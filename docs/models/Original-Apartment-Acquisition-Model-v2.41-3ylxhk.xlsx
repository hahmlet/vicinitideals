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ebeca Lopez\Downloads\"/>
    </mc:Choice>
  </mc:AlternateContent>
  <xr:revisionPtr revIDLastSave="0" documentId="13_ncr:1_{0D735954-14FB-4EE6-889F-FE7B1A4CC93A}" xr6:coauthVersionLast="47" xr6:coauthVersionMax="47" xr10:uidLastSave="{00000000-0000-0000-0000-000000000000}"/>
  <bookViews>
    <workbookView xWindow="-108" yWindow="-108" windowWidth="23256" windowHeight="12456" tabRatio="874" xr2:uid="{00000000-000D-0000-FFFF-FFFF00000000}"/>
  </bookViews>
  <sheets>
    <sheet name="Version" sheetId="27" r:id="rId1"/>
    <sheet name="Property Summary" sheetId="9" r:id="rId2"/>
    <sheet name="Property Assumptions" sheetId="1" state="hidden" r:id="rId3"/>
    <sheet name="MF Rent Roll" sheetId="14" r:id="rId4"/>
    <sheet name="Expenses" sheetId="12" r:id="rId5"/>
    <sheet name="Annual Cash Flow" sheetId="20" r:id="rId6"/>
    <sheet name="Property Returns" sheetId="3" r:id="rId7"/>
    <sheet name="Investor Returns" sheetId="26" r:id="rId8"/>
    <sheet name="Debt" sheetId="6" r:id="rId9"/>
    <sheet name="Calculation Modules--&gt;" sheetId="15" r:id="rId10"/>
    <sheet name="MF Rents" sheetId="17" r:id="rId11"/>
    <sheet name="MF CapEx" sheetId="25" r:id="rId12"/>
    <sheet name="MF Rollover" sheetId="21" r:id="rId13"/>
    <sheet name="MF Free Rent" sheetId="22" r:id="rId14"/>
    <sheet name="MF Vacancy" sheetId="23" r:id="rId15"/>
    <sheet name="MF Releasing" sheetId="24" r:id="rId16"/>
    <sheet name="Raw Data" sheetId="11" state="hidden" r:id="rId17"/>
  </sheets>
  <definedNames>
    <definedName name="_Order1" hidden="1">0</definedName>
    <definedName name="Analysis_Period">'Property Summary'!$D$8</definedName>
    <definedName name="Analysis_Start">'Property Summary'!$D$7</definedName>
    <definedName name="Basis">'Property Summary'!$H$6</definedName>
    <definedName name="Cap_Year">'Property Summary'!$D$9</definedName>
    <definedName name="CashFlow_Table" localSheetId="8">Debt!$C$4:$R$7</definedName>
    <definedName name="Debt">'Property Summary'!$H$18</definedName>
    <definedName name="Debt_Table2">Debt!$B$4:$R$7</definedName>
    <definedName name="Discount_Rate">'Property Summary'!$D$12</definedName>
    <definedName name="Equity_Share_LP" localSheetId="7">'Investor Returns'!$C$9</definedName>
    <definedName name="Equity_Share_LP">#REF!</definedName>
    <definedName name="Equity_Share_Sponsor" localSheetId="7">'Investor Returns'!$C$8</definedName>
    <definedName name="Equity_Share_Sponsor">#REF!</definedName>
    <definedName name="Exit_Cap_Yr_1">'Property Summary'!$D$11</definedName>
    <definedName name="GP_Only?">'Investor Returns'!$E$8</definedName>
    <definedName name="Initial_Equity">'Property Summary'!$H$22</definedName>
    <definedName name="IntroPrintArea" hidden="1">#REF!</definedName>
    <definedName name="Name">'Property Summary'!$D$3</definedName>
    <definedName name="P_List_Table">'Property Assumptions'!$B$4:$W$5</definedName>
    <definedName name="P_List_Table_2">'Property Assumptions'!$C$5:$W$5</definedName>
    <definedName name="Preferred_Return" localSheetId="7">'Investor Returns'!$E$14</definedName>
    <definedName name="Preferred_Return">#REF!</definedName>
    <definedName name="Promote_Structure" localSheetId="7">'Investor Returns'!$B$13:$I$17</definedName>
    <definedName name="Promote_Structure">#REF!</definedName>
    <definedName name="Property_List">OFFSET('Property Assumptions'!$C$5,0,0,COUNTA('Property Assumptions'!$C:$C)-1,1)</definedName>
    <definedName name="Property_Number_List">'Property Assumptions'!$B$5:$B$5</definedName>
    <definedName name="Purchase_Price">'Property Summary'!$D$18</definedName>
    <definedName name="Total_Equity">'Investor Returns'!$D$10</definedName>
    <definedName name="Units">'Property Summary'!$H$3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7" l="1"/>
  <c r="R7" i="6"/>
  <c r="Q7" i="6"/>
  <c r="P7" i="6"/>
  <c r="O7" i="6"/>
  <c r="N7" i="6"/>
  <c r="M7" i="6"/>
  <c r="L7" i="6"/>
  <c r="K7" i="6"/>
  <c r="J7" i="6"/>
  <c r="I7" i="6"/>
  <c r="H7" i="6"/>
  <c r="G7" i="6"/>
  <c r="F7" i="6"/>
  <c r="E7" i="6"/>
  <c r="D7" i="6"/>
  <c r="F4" i="14"/>
  <c r="H18" i="9" l="1"/>
  <c r="K4" i="9"/>
  <c r="K5" i="9" s="1"/>
  <c r="E8" i="26" l="1"/>
  <c r="D9" i="9" l="1"/>
  <c r="F11" i="9" l="1"/>
  <c r="B20" i="9"/>
  <c r="B19" i="9"/>
  <c r="H14" i="26"/>
  <c r="I14" i="26" s="1"/>
  <c r="G19" i="26"/>
  <c r="H19" i="26" s="1"/>
  <c r="I19" i="26" s="1"/>
  <c r="J19" i="26" s="1"/>
  <c r="K19" i="26" s="1"/>
  <c r="L19" i="26" s="1"/>
  <c r="M19" i="26" s="1"/>
  <c r="N19" i="26" s="1"/>
  <c r="O19" i="26" s="1"/>
  <c r="P19" i="26" s="1"/>
  <c r="Q19" i="26" s="1"/>
  <c r="E4" i="26"/>
  <c r="C9" i="26"/>
  <c r="B13" i="26"/>
  <c r="E14" i="26"/>
  <c r="C45" i="26" s="1"/>
  <c r="B52" i="26" s="1"/>
  <c r="E15" i="26"/>
  <c r="C62" i="26" s="1"/>
  <c r="B69" i="26" s="1"/>
  <c r="E16" i="26"/>
  <c r="C77" i="26" s="1"/>
  <c r="F46" i="26"/>
  <c r="B58" i="26"/>
  <c r="F63" i="26"/>
  <c r="F70" i="26" s="1"/>
  <c r="B67" i="26"/>
  <c r="B73" i="26"/>
  <c r="B82" i="26"/>
  <c r="B88" i="26"/>
  <c r="B95" i="26"/>
  <c r="F48" i="26" l="1"/>
  <c r="R19" i="26"/>
  <c r="Q21" i="26"/>
  <c r="H17" i="26"/>
  <c r="I17" i="26" s="1"/>
  <c r="H16" i="26"/>
  <c r="I16" i="26" s="1"/>
  <c r="H15" i="26"/>
  <c r="I15" i="26" s="1"/>
  <c r="J14" i="26"/>
  <c r="F29" i="26"/>
  <c r="B84" i="26"/>
  <c r="C92" i="26"/>
  <c r="F64" i="26"/>
  <c r="S19" i="26" l="1"/>
  <c r="R21" i="26"/>
  <c r="J17" i="26"/>
  <c r="J16" i="26"/>
  <c r="J15" i="26"/>
  <c r="E21" i="20"/>
  <c r="E20" i="20"/>
  <c r="E18" i="20"/>
  <c r="E17" i="20"/>
  <c r="E16" i="20"/>
  <c r="E15" i="20"/>
  <c r="E14" i="20"/>
  <c r="I39" i="17"/>
  <c r="I38" i="17"/>
  <c r="I37" i="17"/>
  <c r="I36" i="17"/>
  <c r="I35" i="17"/>
  <c r="I34" i="17"/>
  <c r="I33" i="17"/>
  <c r="I32" i="17"/>
  <c r="I31" i="17"/>
  <c r="I30" i="17"/>
  <c r="I29" i="17"/>
  <c r="I28" i="17"/>
  <c r="I27" i="17"/>
  <c r="I26" i="17"/>
  <c r="I25" i="17"/>
  <c r="I24" i="17"/>
  <c r="I23" i="17"/>
  <c r="I22" i="17"/>
  <c r="I21" i="17"/>
  <c r="I20" i="17"/>
  <c r="I19" i="17"/>
  <c r="I18" i="17"/>
  <c r="I17" i="17"/>
  <c r="I16" i="17"/>
  <c r="I15" i="17"/>
  <c r="I14" i="17"/>
  <c r="I13" i="17"/>
  <c r="I12" i="17"/>
  <c r="I11" i="17"/>
  <c r="I10" i="17"/>
  <c r="I9" i="17"/>
  <c r="I8" i="17"/>
  <c r="I7" i="17"/>
  <c r="I6" i="17"/>
  <c r="H10" i="17"/>
  <c r="H9" i="17"/>
  <c r="H8" i="17"/>
  <c r="H7" i="17"/>
  <c r="H6" i="17"/>
  <c r="S21" i="26" l="1"/>
  <c r="S35" i="26"/>
  <c r="T19" i="26"/>
  <c r="S29" i="26"/>
  <c r="E13" i="12"/>
  <c r="E12" i="12"/>
  <c r="E10" i="12"/>
  <c r="E9" i="12"/>
  <c r="E8" i="12"/>
  <c r="E7" i="12"/>
  <c r="E6" i="12"/>
  <c r="T21" i="26" l="1"/>
  <c r="U19" i="26"/>
  <c r="T29" i="26"/>
  <c r="T35" i="26"/>
  <c r="B13" i="12"/>
  <c r="B12" i="12"/>
  <c r="B10" i="12"/>
  <c r="B9" i="12"/>
  <c r="B8" i="12"/>
  <c r="B7" i="12"/>
  <c r="B6" i="12"/>
  <c r="B9" i="3"/>
  <c r="B8" i="3"/>
  <c r="B7" i="3"/>
  <c r="M39" i="25"/>
  <c r="L39" i="25"/>
  <c r="K39" i="25"/>
  <c r="J39" i="25"/>
  <c r="I39" i="25"/>
  <c r="H39" i="25"/>
  <c r="G39" i="25"/>
  <c r="F39" i="25"/>
  <c r="E39" i="25"/>
  <c r="D39" i="25"/>
  <c r="C39" i="25"/>
  <c r="B39" i="25"/>
  <c r="GN39" i="25" s="1"/>
  <c r="M38" i="25"/>
  <c r="L38" i="25"/>
  <c r="K38" i="25"/>
  <c r="J38" i="25"/>
  <c r="I38" i="25"/>
  <c r="H38" i="25"/>
  <c r="G38" i="25"/>
  <c r="F38" i="25"/>
  <c r="E38" i="25"/>
  <c r="D38" i="25"/>
  <c r="C38" i="25"/>
  <c r="B38" i="25"/>
  <c r="FE38" i="25" s="1"/>
  <c r="M37" i="25"/>
  <c r="L37" i="25"/>
  <c r="K37" i="25"/>
  <c r="J37" i="25"/>
  <c r="I37" i="25"/>
  <c r="H37" i="25"/>
  <c r="G37" i="25"/>
  <c r="F37" i="25"/>
  <c r="E37" i="25"/>
  <c r="D37" i="25"/>
  <c r="C37" i="25"/>
  <c r="B37" i="25"/>
  <c r="M36" i="25"/>
  <c r="L36" i="25"/>
  <c r="K36" i="25"/>
  <c r="J36" i="25"/>
  <c r="I36" i="25"/>
  <c r="H36" i="25"/>
  <c r="G36" i="25"/>
  <c r="F36" i="25"/>
  <c r="E36" i="25"/>
  <c r="D36" i="25"/>
  <c r="C36" i="25"/>
  <c r="B36" i="25"/>
  <c r="M35" i="25"/>
  <c r="L35" i="25"/>
  <c r="K35" i="25"/>
  <c r="J35" i="25"/>
  <c r="I35" i="25"/>
  <c r="H35" i="25"/>
  <c r="G35" i="25"/>
  <c r="F35" i="25"/>
  <c r="E35" i="25"/>
  <c r="D35" i="25"/>
  <c r="C35" i="25"/>
  <c r="B35" i="25"/>
  <c r="M34" i="25"/>
  <c r="L34" i="25"/>
  <c r="K34" i="25"/>
  <c r="J34" i="25"/>
  <c r="I34" i="25"/>
  <c r="H34" i="25"/>
  <c r="G34" i="25"/>
  <c r="F34" i="25"/>
  <c r="E34" i="25"/>
  <c r="D34" i="25"/>
  <c r="C34" i="25"/>
  <c r="B34" i="25"/>
  <c r="M33" i="25"/>
  <c r="L33" i="25"/>
  <c r="K33" i="25"/>
  <c r="J33" i="25"/>
  <c r="I33" i="25"/>
  <c r="H33" i="25"/>
  <c r="G33" i="25"/>
  <c r="F33" i="25"/>
  <c r="E33" i="25"/>
  <c r="D33" i="25"/>
  <c r="C33" i="25"/>
  <c r="B33" i="25"/>
  <c r="DI33" i="25" s="1"/>
  <c r="M32" i="25"/>
  <c r="L32" i="25"/>
  <c r="K32" i="25"/>
  <c r="J32" i="25"/>
  <c r="I32" i="25"/>
  <c r="H32" i="25"/>
  <c r="G32" i="25"/>
  <c r="F32" i="25"/>
  <c r="E32" i="25"/>
  <c r="D32" i="25"/>
  <c r="C32" i="25"/>
  <c r="B32" i="25"/>
  <c r="M31" i="25"/>
  <c r="L31" i="25"/>
  <c r="K31" i="25"/>
  <c r="J31" i="25"/>
  <c r="I31" i="25"/>
  <c r="H31" i="25"/>
  <c r="G31" i="25"/>
  <c r="F31" i="25"/>
  <c r="E31" i="25"/>
  <c r="D31" i="25"/>
  <c r="C31" i="25"/>
  <c r="B31" i="25"/>
  <c r="M30" i="25"/>
  <c r="L30" i="25"/>
  <c r="K30" i="25"/>
  <c r="J30" i="25"/>
  <c r="I30" i="25"/>
  <c r="H30" i="25"/>
  <c r="G30" i="25"/>
  <c r="F30" i="25"/>
  <c r="E30" i="25"/>
  <c r="D30" i="25"/>
  <c r="C30" i="25"/>
  <c r="B30" i="25"/>
  <c r="EN30" i="25" s="1"/>
  <c r="M29" i="25"/>
  <c r="L29" i="25"/>
  <c r="K29" i="25"/>
  <c r="J29" i="25"/>
  <c r="I29" i="25"/>
  <c r="H29" i="25"/>
  <c r="G29" i="25"/>
  <c r="F29" i="25"/>
  <c r="E29" i="25"/>
  <c r="D29" i="25"/>
  <c r="C29" i="25"/>
  <c r="B29" i="25"/>
  <c r="M28" i="25"/>
  <c r="L28" i="25"/>
  <c r="K28" i="25"/>
  <c r="J28" i="25"/>
  <c r="I28" i="25"/>
  <c r="H28" i="25"/>
  <c r="G28" i="25"/>
  <c r="F28" i="25"/>
  <c r="E28" i="25"/>
  <c r="D28" i="25"/>
  <c r="C28" i="25"/>
  <c r="B28" i="25"/>
  <c r="DM28" i="25" s="1"/>
  <c r="M27" i="25"/>
  <c r="L27" i="25"/>
  <c r="K27" i="25"/>
  <c r="J27" i="25"/>
  <c r="I27" i="25"/>
  <c r="H27" i="25"/>
  <c r="G27" i="25"/>
  <c r="F27" i="25"/>
  <c r="E27" i="25"/>
  <c r="D27" i="25"/>
  <c r="C27" i="25"/>
  <c r="B27" i="25"/>
  <c r="M26" i="25"/>
  <c r="L26" i="25"/>
  <c r="K26" i="25"/>
  <c r="J26" i="25"/>
  <c r="I26" i="25"/>
  <c r="H26" i="25"/>
  <c r="G26" i="25"/>
  <c r="F26" i="25"/>
  <c r="E26" i="25"/>
  <c r="D26" i="25"/>
  <c r="C26" i="25"/>
  <c r="B26" i="25"/>
  <c r="DU26" i="25" s="1"/>
  <c r="M25" i="25"/>
  <c r="L25" i="25"/>
  <c r="K25" i="25"/>
  <c r="J25" i="25"/>
  <c r="I25" i="25"/>
  <c r="H25" i="25"/>
  <c r="G25" i="25"/>
  <c r="F25" i="25"/>
  <c r="E25" i="25"/>
  <c r="D25" i="25"/>
  <c r="C25" i="25"/>
  <c r="B25" i="25"/>
  <c r="CC25" i="25" s="1"/>
  <c r="M24" i="25"/>
  <c r="L24" i="25"/>
  <c r="K24" i="25"/>
  <c r="J24" i="25"/>
  <c r="I24" i="25"/>
  <c r="H24" i="25"/>
  <c r="G24" i="25"/>
  <c r="F24" i="25"/>
  <c r="E24" i="25"/>
  <c r="D24" i="25"/>
  <c r="C24" i="25"/>
  <c r="B24" i="25"/>
  <c r="FI24" i="25" s="1"/>
  <c r="M23" i="25"/>
  <c r="L23" i="25"/>
  <c r="K23" i="25"/>
  <c r="J23" i="25"/>
  <c r="I23" i="25"/>
  <c r="H23" i="25"/>
  <c r="G23" i="25"/>
  <c r="F23" i="25"/>
  <c r="E23" i="25"/>
  <c r="D23" i="25"/>
  <c r="C23" i="25"/>
  <c r="B23" i="25"/>
  <c r="M22" i="25"/>
  <c r="L22" i="25"/>
  <c r="K22" i="25"/>
  <c r="J22" i="25"/>
  <c r="I22" i="25"/>
  <c r="H22" i="25"/>
  <c r="G22" i="25"/>
  <c r="F22" i="25"/>
  <c r="E22" i="25"/>
  <c r="D22" i="25"/>
  <c r="C22" i="25"/>
  <c r="B22" i="25"/>
  <c r="EE22" i="25" s="1"/>
  <c r="M21" i="25"/>
  <c r="L21" i="25"/>
  <c r="K21" i="25"/>
  <c r="J21" i="25"/>
  <c r="I21" i="25"/>
  <c r="H21" i="25"/>
  <c r="G21" i="25"/>
  <c r="F21" i="25"/>
  <c r="E21" i="25"/>
  <c r="D21" i="25"/>
  <c r="C21" i="25"/>
  <c r="B21" i="25"/>
  <c r="GA21" i="25" s="1"/>
  <c r="M20" i="25"/>
  <c r="L20" i="25"/>
  <c r="K20" i="25"/>
  <c r="J20" i="25"/>
  <c r="I20" i="25"/>
  <c r="H20" i="25"/>
  <c r="G20" i="25"/>
  <c r="F20" i="25"/>
  <c r="E20" i="25"/>
  <c r="D20" i="25"/>
  <c r="C20" i="25"/>
  <c r="B20" i="25"/>
  <c r="FW20" i="25" s="1"/>
  <c r="M19" i="25"/>
  <c r="L19" i="25"/>
  <c r="K19" i="25"/>
  <c r="J19" i="25"/>
  <c r="I19" i="25"/>
  <c r="H19" i="25"/>
  <c r="G19" i="25"/>
  <c r="F19" i="25"/>
  <c r="E19" i="25"/>
  <c r="D19" i="25"/>
  <c r="C19" i="25"/>
  <c r="B19" i="25"/>
  <c r="M18" i="25"/>
  <c r="L18" i="25"/>
  <c r="K18" i="25"/>
  <c r="J18" i="25"/>
  <c r="I18" i="25"/>
  <c r="H18" i="25"/>
  <c r="G18" i="25"/>
  <c r="F18" i="25"/>
  <c r="E18" i="25"/>
  <c r="D18" i="25"/>
  <c r="C18" i="25"/>
  <c r="B18" i="25"/>
  <c r="DC18" i="25" s="1"/>
  <c r="M17" i="25"/>
  <c r="L17" i="25"/>
  <c r="K17" i="25"/>
  <c r="J17" i="25"/>
  <c r="I17" i="25"/>
  <c r="H17" i="25"/>
  <c r="G17" i="25"/>
  <c r="F17" i="25"/>
  <c r="E17" i="25"/>
  <c r="D17" i="25"/>
  <c r="C17" i="25"/>
  <c r="B17" i="25"/>
  <c r="FT17" i="25" s="1"/>
  <c r="M16" i="25"/>
  <c r="L16" i="25"/>
  <c r="K16" i="25"/>
  <c r="J16" i="25"/>
  <c r="I16" i="25"/>
  <c r="H16" i="25"/>
  <c r="G16" i="25"/>
  <c r="F16" i="25"/>
  <c r="E16" i="25"/>
  <c r="D16" i="25"/>
  <c r="C16" i="25"/>
  <c r="B16" i="25"/>
  <c r="GB16" i="25" s="1"/>
  <c r="M15" i="25"/>
  <c r="L15" i="25"/>
  <c r="K15" i="25"/>
  <c r="J15" i="25"/>
  <c r="I15" i="25"/>
  <c r="H15" i="25"/>
  <c r="G15" i="25"/>
  <c r="F15" i="25"/>
  <c r="E15" i="25"/>
  <c r="D15" i="25"/>
  <c r="C15" i="25"/>
  <c r="B15" i="25"/>
  <c r="M14" i="25"/>
  <c r="L14" i="25"/>
  <c r="K14" i="25"/>
  <c r="J14" i="25"/>
  <c r="I14" i="25"/>
  <c r="H14" i="25"/>
  <c r="G14" i="25"/>
  <c r="F14" i="25"/>
  <c r="E14" i="25"/>
  <c r="D14" i="25"/>
  <c r="C14" i="25"/>
  <c r="B14" i="25"/>
  <c r="FL14" i="25" s="1"/>
  <c r="M13" i="25"/>
  <c r="L13" i="25"/>
  <c r="K13" i="25"/>
  <c r="J13" i="25"/>
  <c r="I13" i="25"/>
  <c r="H13" i="25"/>
  <c r="G13" i="25"/>
  <c r="F13" i="25"/>
  <c r="E13" i="25"/>
  <c r="D13" i="25"/>
  <c r="C13" i="25"/>
  <c r="B13" i="25"/>
  <c r="GJ13" i="25" s="1"/>
  <c r="M12" i="25"/>
  <c r="L12" i="25"/>
  <c r="K12" i="25"/>
  <c r="J12" i="25"/>
  <c r="I12" i="25"/>
  <c r="H12" i="25"/>
  <c r="G12" i="25"/>
  <c r="F12" i="25"/>
  <c r="E12" i="25"/>
  <c r="D12" i="25"/>
  <c r="C12" i="25"/>
  <c r="B12" i="25"/>
  <c r="GM12" i="25" s="1"/>
  <c r="M11" i="25"/>
  <c r="L11" i="25"/>
  <c r="K11" i="25"/>
  <c r="J11" i="25"/>
  <c r="I11" i="25"/>
  <c r="H11" i="25"/>
  <c r="G11" i="25"/>
  <c r="F11" i="25"/>
  <c r="E11" i="25"/>
  <c r="D11" i="25"/>
  <c r="C11" i="25"/>
  <c r="B11" i="25"/>
  <c r="GP11" i="25" s="1"/>
  <c r="M10" i="25"/>
  <c r="L10" i="25"/>
  <c r="K10" i="25"/>
  <c r="J10" i="25"/>
  <c r="I10" i="25"/>
  <c r="H10" i="25"/>
  <c r="G10" i="25"/>
  <c r="F10" i="25"/>
  <c r="E10" i="25"/>
  <c r="D10" i="25"/>
  <c r="C10" i="25"/>
  <c r="B10" i="25"/>
  <c r="M9" i="25"/>
  <c r="L9" i="25"/>
  <c r="K9" i="25"/>
  <c r="J9" i="25"/>
  <c r="I9" i="25"/>
  <c r="H9" i="25"/>
  <c r="G9" i="25"/>
  <c r="F9" i="25"/>
  <c r="E9" i="25"/>
  <c r="D9" i="25"/>
  <c r="C9" i="25"/>
  <c r="B9" i="25"/>
  <c r="M8" i="25"/>
  <c r="L8" i="25"/>
  <c r="K8" i="25"/>
  <c r="J8" i="25"/>
  <c r="I8" i="25"/>
  <c r="H8" i="25"/>
  <c r="G8" i="25"/>
  <c r="F8" i="25"/>
  <c r="E8" i="25"/>
  <c r="D8" i="25"/>
  <c r="C8" i="25"/>
  <c r="B8" i="25"/>
  <c r="M7" i="25"/>
  <c r="L7" i="25"/>
  <c r="K7" i="25"/>
  <c r="J7" i="25"/>
  <c r="I7" i="25"/>
  <c r="H7" i="25"/>
  <c r="G7" i="25"/>
  <c r="F7" i="25"/>
  <c r="E7" i="25"/>
  <c r="D7" i="25"/>
  <c r="C7" i="25"/>
  <c r="B7" i="25"/>
  <c r="M6" i="25"/>
  <c r="L6" i="25"/>
  <c r="K6" i="25"/>
  <c r="J6" i="25"/>
  <c r="I6" i="25"/>
  <c r="H6" i="25"/>
  <c r="G6" i="25"/>
  <c r="F6" i="25"/>
  <c r="E6" i="25"/>
  <c r="D6" i="25"/>
  <c r="C6" i="25"/>
  <c r="B6" i="25"/>
  <c r="S5" i="25"/>
  <c r="T5" i="25" s="1"/>
  <c r="U5" i="25" s="1"/>
  <c r="V5" i="25" s="1"/>
  <c r="W5" i="25" s="1"/>
  <c r="X5" i="25" s="1"/>
  <c r="Y5" i="25" s="1"/>
  <c r="Z5" i="25" s="1"/>
  <c r="AA5" i="25" s="1"/>
  <c r="AB5" i="25" s="1"/>
  <c r="AC5" i="25" s="1"/>
  <c r="AD5" i="25" s="1"/>
  <c r="AE5" i="25" s="1"/>
  <c r="AF5" i="25" s="1"/>
  <c r="AG5" i="25" s="1"/>
  <c r="AH5" i="25" s="1"/>
  <c r="AI5" i="25" s="1"/>
  <c r="AJ5" i="25" s="1"/>
  <c r="AK5" i="25" s="1"/>
  <c r="AL5" i="25" s="1"/>
  <c r="AM5" i="25" s="1"/>
  <c r="AN5" i="25" s="1"/>
  <c r="AO5" i="25" s="1"/>
  <c r="AP5" i="25" s="1"/>
  <c r="AQ5" i="25" s="1"/>
  <c r="AR5" i="25" s="1"/>
  <c r="AS5" i="25" s="1"/>
  <c r="AT5" i="25" s="1"/>
  <c r="AU5" i="25" s="1"/>
  <c r="AV5" i="25" s="1"/>
  <c r="AW5" i="25" s="1"/>
  <c r="AX5" i="25" s="1"/>
  <c r="AY5" i="25" s="1"/>
  <c r="AZ5" i="25" s="1"/>
  <c r="BA5" i="25" s="1"/>
  <c r="BB5" i="25" s="1"/>
  <c r="BC5" i="25" s="1"/>
  <c r="BD5" i="25" s="1"/>
  <c r="BE5" i="25" s="1"/>
  <c r="BF5" i="25" s="1"/>
  <c r="BG5" i="25" s="1"/>
  <c r="BH5" i="25" s="1"/>
  <c r="BI5" i="25" s="1"/>
  <c r="BJ5" i="25" s="1"/>
  <c r="BK5" i="25" s="1"/>
  <c r="BL5" i="25" s="1"/>
  <c r="BM5" i="25" s="1"/>
  <c r="BN5" i="25" s="1"/>
  <c r="BO5" i="25" s="1"/>
  <c r="BP5" i="25" s="1"/>
  <c r="BQ5" i="25" s="1"/>
  <c r="BR5" i="25" s="1"/>
  <c r="BS5" i="25" s="1"/>
  <c r="BT5" i="25" s="1"/>
  <c r="BU5" i="25" s="1"/>
  <c r="BV5" i="25" s="1"/>
  <c r="BW5" i="25" s="1"/>
  <c r="BX5" i="25" s="1"/>
  <c r="BY5" i="25" s="1"/>
  <c r="BZ5" i="25" s="1"/>
  <c r="CA5" i="25" s="1"/>
  <c r="CB5" i="25" s="1"/>
  <c r="CC5" i="25" s="1"/>
  <c r="CD5" i="25" s="1"/>
  <c r="CE5" i="25" s="1"/>
  <c r="CF5" i="25" s="1"/>
  <c r="CG5" i="25" s="1"/>
  <c r="CH5" i="25" s="1"/>
  <c r="CI5" i="25" s="1"/>
  <c r="CJ5" i="25" s="1"/>
  <c r="CK5" i="25" s="1"/>
  <c r="CL5" i="25" s="1"/>
  <c r="CM5" i="25" s="1"/>
  <c r="CN5" i="25" s="1"/>
  <c r="CO5" i="25" s="1"/>
  <c r="CP5" i="25" s="1"/>
  <c r="CQ5" i="25" s="1"/>
  <c r="CR5" i="25" s="1"/>
  <c r="CS5" i="25" s="1"/>
  <c r="CT5" i="25" s="1"/>
  <c r="CU5" i="25" s="1"/>
  <c r="CV5" i="25" s="1"/>
  <c r="CW5" i="25" s="1"/>
  <c r="CX5" i="25" s="1"/>
  <c r="CY5" i="25" s="1"/>
  <c r="CZ5" i="25" s="1"/>
  <c r="DA5" i="25" s="1"/>
  <c r="DB5" i="25" s="1"/>
  <c r="DC5" i="25" s="1"/>
  <c r="DD5" i="25" s="1"/>
  <c r="DE5" i="25" s="1"/>
  <c r="DF5" i="25" s="1"/>
  <c r="DG5" i="25" s="1"/>
  <c r="DH5" i="25" s="1"/>
  <c r="DI5" i="25" s="1"/>
  <c r="DJ5" i="25" s="1"/>
  <c r="DK5" i="25" s="1"/>
  <c r="DL5" i="25" s="1"/>
  <c r="DM5" i="25" s="1"/>
  <c r="DN5" i="25" s="1"/>
  <c r="DO5" i="25" s="1"/>
  <c r="DP5" i="25" s="1"/>
  <c r="DQ5" i="25" s="1"/>
  <c r="DR5" i="25" s="1"/>
  <c r="DS5" i="25" s="1"/>
  <c r="DT5" i="25" s="1"/>
  <c r="DU5" i="25" s="1"/>
  <c r="DV5" i="25" s="1"/>
  <c r="DW5" i="25" s="1"/>
  <c r="DX5" i="25" s="1"/>
  <c r="DY5" i="25" s="1"/>
  <c r="DZ5" i="25" s="1"/>
  <c r="EA5" i="25" s="1"/>
  <c r="EB5" i="25" s="1"/>
  <c r="EC5" i="25" s="1"/>
  <c r="ED5" i="25" s="1"/>
  <c r="EE5" i="25" s="1"/>
  <c r="EF5" i="25" s="1"/>
  <c r="EG5" i="25" s="1"/>
  <c r="EH5" i="25" s="1"/>
  <c r="EI5" i="25" s="1"/>
  <c r="EJ5" i="25" s="1"/>
  <c r="EK5" i="25" s="1"/>
  <c r="EL5" i="25" s="1"/>
  <c r="EM5" i="25" s="1"/>
  <c r="EN5" i="25" s="1"/>
  <c r="EO5" i="25" s="1"/>
  <c r="EP5" i="25" s="1"/>
  <c r="EQ5" i="25" s="1"/>
  <c r="ER5" i="25" s="1"/>
  <c r="ES5" i="25" s="1"/>
  <c r="ET5" i="25" s="1"/>
  <c r="EU5" i="25" s="1"/>
  <c r="EV5" i="25" s="1"/>
  <c r="EW5" i="25" s="1"/>
  <c r="EX5" i="25" s="1"/>
  <c r="EY5" i="25" s="1"/>
  <c r="EZ5" i="25" s="1"/>
  <c r="FA5" i="25" s="1"/>
  <c r="FB5" i="25" s="1"/>
  <c r="FC5" i="25" s="1"/>
  <c r="FD5" i="25" s="1"/>
  <c r="FE5" i="25" s="1"/>
  <c r="FF5" i="25" s="1"/>
  <c r="FG5" i="25" s="1"/>
  <c r="FH5" i="25" s="1"/>
  <c r="FI5" i="25" s="1"/>
  <c r="FJ5" i="25" s="1"/>
  <c r="FK5" i="25" s="1"/>
  <c r="FL5" i="25" s="1"/>
  <c r="FM5" i="25" s="1"/>
  <c r="FN5" i="25" s="1"/>
  <c r="FO5" i="25" s="1"/>
  <c r="FP5" i="25" s="1"/>
  <c r="FQ5" i="25" s="1"/>
  <c r="FR5" i="25" s="1"/>
  <c r="FS5" i="25" s="1"/>
  <c r="FT5" i="25" s="1"/>
  <c r="FU5" i="25" s="1"/>
  <c r="FV5" i="25" s="1"/>
  <c r="FW5" i="25" s="1"/>
  <c r="FX5" i="25" s="1"/>
  <c r="FY5" i="25" s="1"/>
  <c r="FZ5" i="25" s="1"/>
  <c r="GA5" i="25" s="1"/>
  <c r="GB5" i="25" s="1"/>
  <c r="GC5" i="25" s="1"/>
  <c r="GD5" i="25" s="1"/>
  <c r="GE5" i="25" s="1"/>
  <c r="GF5" i="25" s="1"/>
  <c r="GG5" i="25" s="1"/>
  <c r="GH5" i="25" s="1"/>
  <c r="GI5" i="25" s="1"/>
  <c r="GJ5" i="25" s="1"/>
  <c r="GK5" i="25" s="1"/>
  <c r="GL5" i="25" s="1"/>
  <c r="GM5" i="25" s="1"/>
  <c r="GN5" i="25" s="1"/>
  <c r="GO5" i="25" s="1"/>
  <c r="GP5" i="25" s="1"/>
  <c r="T4" i="25"/>
  <c r="U4" i="25" s="1"/>
  <c r="S3" i="25"/>
  <c r="M39" i="24"/>
  <c r="L39" i="24"/>
  <c r="K39" i="24"/>
  <c r="J39" i="24"/>
  <c r="I39" i="24"/>
  <c r="H39" i="24"/>
  <c r="G39" i="24"/>
  <c r="F39" i="24"/>
  <c r="E39" i="24"/>
  <c r="D39" i="24"/>
  <c r="C39" i="24"/>
  <c r="B39" i="24"/>
  <c r="M38" i="24"/>
  <c r="L38" i="24"/>
  <c r="K38" i="24"/>
  <c r="J38" i="24"/>
  <c r="I38" i="24"/>
  <c r="H38" i="24"/>
  <c r="G38" i="24"/>
  <c r="F38" i="24"/>
  <c r="E38" i="24"/>
  <c r="D38" i="24"/>
  <c r="C38" i="24"/>
  <c r="B38" i="24"/>
  <c r="M37" i="24"/>
  <c r="L37" i="24"/>
  <c r="K37" i="24"/>
  <c r="J37" i="24"/>
  <c r="I37" i="24"/>
  <c r="H37" i="24"/>
  <c r="G37" i="24"/>
  <c r="F37" i="24"/>
  <c r="E37" i="24"/>
  <c r="D37" i="24"/>
  <c r="C37" i="24"/>
  <c r="B37" i="24"/>
  <c r="M36" i="24"/>
  <c r="L36" i="24"/>
  <c r="K36" i="24"/>
  <c r="J36" i="24"/>
  <c r="I36" i="24"/>
  <c r="H36" i="24"/>
  <c r="G36" i="24"/>
  <c r="F36" i="24"/>
  <c r="E36" i="24"/>
  <c r="D36" i="24"/>
  <c r="C36" i="24"/>
  <c r="B36" i="24"/>
  <c r="M35" i="24"/>
  <c r="L35" i="24"/>
  <c r="K35" i="24"/>
  <c r="J35" i="24"/>
  <c r="I35" i="24"/>
  <c r="H35" i="24"/>
  <c r="G35" i="24"/>
  <c r="F35" i="24"/>
  <c r="E35" i="24"/>
  <c r="D35" i="24"/>
  <c r="C35" i="24"/>
  <c r="B35" i="24"/>
  <c r="M34" i="24"/>
  <c r="L34" i="24"/>
  <c r="K34" i="24"/>
  <c r="J34" i="24"/>
  <c r="I34" i="24"/>
  <c r="H34" i="24"/>
  <c r="G34" i="24"/>
  <c r="F34" i="24"/>
  <c r="E34" i="24"/>
  <c r="D34" i="24"/>
  <c r="C34" i="24"/>
  <c r="B34" i="24"/>
  <c r="M33" i="24"/>
  <c r="L33" i="24"/>
  <c r="K33" i="24"/>
  <c r="J33" i="24"/>
  <c r="I33" i="24"/>
  <c r="H33" i="24"/>
  <c r="G33" i="24"/>
  <c r="F33" i="24"/>
  <c r="E33" i="24"/>
  <c r="D33" i="24"/>
  <c r="C33" i="24"/>
  <c r="B33" i="24"/>
  <c r="M32" i="24"/>
  <c r="L32" i="24"/>
  <c r="K32" i="24"/>
  <c r="J32" i="24"/>
  <c r="I32" i="24"/>
  <c r="H32" i="24"/>
  <c r="G32" i="24"/>
  <c r="F32" i="24"/>
  <c r="E32" i="24"/>
  <c r="D32" i="24"/>
  <c r="C32" i="24"/>
  <c r="B32" i="24"/>
  <c r="M31" i="24"/>
  <c r="L31" i="24"/>
  <c r="K31" i="24"/>
  <c r="J31" i="24"/>
  <c r="I31" i="24"/>
  <c r="H31" i="24"/>
  <c r="G31" i="24"/>
  <c r="F31" i="24"/>
  <c r="E31" i="24"/>
  <c r="D31" i="24"/>
  <c r="C31" i="24"/>
  <c r="B31" i="24"/>
  <c r="M30" i="24"/>
  <c r="L30" i="24"/>
  <c r="K30" i="24"/>
  <c r="J30" i="24"/>
  <c r="I30" i="24"/>
  <c r="H30" i="24"/>
  <c r="G30" i="24"/>
  <c r="F30" i="24"/>
  <c r="E30" i="24"/>
  <c r="D30" i="24"/>
  <c r="C30" i="24"/>
  <c r="B30" i="24"/>
  <c r="M29" i="24"/>
  <c r="L29" i="24"/>
  <c r="K29" i="24"/>
  <c r="J29" i="24"/>
  <c r="I29" i="24"/>
  <c r="H29" i="24"/>
  <c r="G29" i="24"/>
  <c r="F29" i="24"/>
  <c r="E29" i="24"/>
  <c r="D29" i="24"/>
  <c r="C29" i="24"/>
  <c r="B29" i="24"/>
  <c r="M28" i="24"/>
  <c r="L28" i="24"/>
  <c r="K28" i="24"/>
  <c r="J28" i="24"/>
  <c r="I28" i="24"/>
  <c r="H28" i="24"/>
  <c r="G28" i="24"/>
  <c r="F28" i="24"/>
  <c r="E28" i="24"/>
  <c r="D28" i="24"/>
  <c r="C28" i="24"/>
  <c r="B28" i="24"/>
  <c r="M27" i="24"/>
  <c r="L27" i="24"/>
  <c r="K27" i="24"/>
  <c r="J27" i="24"/>
  <c r="I27" i="24"/>
  <c r="H27" i="24"/>
  <c r="G27" i="24"/>
  <c r="F27" i="24"/>
  <c r="E27" i="24"/>
  <c r="D27" i="24"/>
  <c r="C27" i="24"/>
  <c r="B27" i="24"/>
  <c r="M26" i="24"/>
  <c r="L26" i="24"/>
  <c r="K26" i="24"/>
  <c r="J26" i="24"/>
  <c r="I26" i="24"/>
  <c r="H26" i="24"/>
  <c r="G26" i="24"/>
  <c r="F26" i="24"/>
  <c r="E26" i="24"/>
  <c r="D26" i="24"/>
  <c r="C26" i="24"/>
  <c r="B26" i="24"/>
  <c r="M25" i="24"/>
  <c r="L25" i="24"/>
  <c r="K25" i="24"/>
  <c r="J25" i="24"/>
  <c r="I25" i="24"/>
  <c r="H25" i="24"/>
  <c r="G25" i="24"/>
  <c r="F25" i="24"/>
  <c r="E25" i="24"/>
  <c r="D25" i="24"/>
  <c r="C25" i="24"/>
  <c r="B25" i="24"/>
  <c r="M24" i="24"/>
  <c r="L24" i="24"/>
  <c r="K24" i="24"/>
  <c r="J24" i="24"/>
  <c r="I24" i="24"/>
  <c r="H24" i="24"/>
  <c r="G24" i="24"/>
  <c r="F24" i="24"/>
  <c r="E24" i="24"/>
  <c r="D24" i="24"/>
  <c r="C24" i="24"/>
  <c r="B24" i="24"/>
  <c r="M23" i="24"/>
  <c r="L23" i="24"/>
  <c r="K23" i="24"/>
  <c r="J23" i="24"/>
  <c r="I23" i="24"/>
  <c r="H23" i="24"/>
  <c r="G23" i="24"/>
  <c r="F23" i="24"/>
  <c r="E23" i="24"/>
  <c r="D23" i="24"/>
  <c r="C23" i="24"/>
  <c r="B23" i="24"/>
  <c r="M22" i="24"/>
  <c r="L22" i="24"/>
  <c r="K22" i="24"/>
  <c r="J22" i="24"/>
  <c r="I22" i="24"/>
  <c r="H22" i="24"/>
  <c r="G22" i="24"/>
  <c r="F22" i="24"/>
  <c r="E22" i="24"/>
  <c r="D22" i="24"/>
  <c r="C22" i="24"/>
  <c r="B22" i="24"/>
  <c r="M21" i="24"/>
  <c r="L21" i="24"/>
  <c r="K21" i="24"/>
  <c r="J21" i="24"/>
  <c r="I21" i="24"/>
  <c r="H21" i="24"/>
  <c r="G21" i="24"/>
  <c r="F21" i="24"/>
  <c r="E21" i="24"/>
  <c r="D21" i="24"/>
  <c r="C21" i="24"/>
  <c r="B21" i="24"/>
  <c r="M20" i="24"/>
  <c r="L20" i="24"/>
  <c r="K20" i="24"/>
  <c r="J20" i="24"/>
  <c r="I20" i="24"/>
  <c r="H20" i="24"/>
  <c r="G20" i="24"/>
  <c r="F20" i="24"/>
  <c r="E20" i="24"/>
  <c r="D20" i="24"/>
  <c r="C20" i="24"/>
  <c r="B20" i="24"/>
  <c r="M19" i="24"/>
  <c r="L19" i="24"/>
  <c r="K19" i="24"/>
  <c r="J19" i="24"/>
  <c r="I19" i="24"/>
  <c r="H19" i="24"/>
  <c r="G19" i="24"/>
  <c r="F19" i="24"/>
  <c r="E19" i="24"/>
  <c r="D19" i="24"/>
  <c r="C19" i="24"/>
  <c r="B19" i="24"/>
  <c r="M18" i="24"/>
  <c r="L18" i="24"/>
  <c r="K18" i="24"/>
  <c r="J18" i="24"/>
  <c r="I18" i="24"/>
  <c r="H18" i="24"/>
  <c r="G18" i="24"/>
  <c r="F18" i="24"/>
  <c r="E18" i="24"/>
  <c r="D18" i="24"/>
  <c r="C18" i="24"/>
  <c r="B18" i="24"/>
  <c r="M17" i="24"/>
  <c r="L17" i="24"/>
  <c r="K17" i="24"/>
  <c r="J17" i="24"/>
  <c r="I17" i="24"/>
  <c r="H17" i="24"/>
  <c r="G17" i="24"/>
  <c r="F17" i="24"/>
  <c r="E17" i="24"/>
  <c r="D17" i="24"/>
  <c r="C17" i="24"/>
  <c r="B17" i="24"/>
  <c r="M16" i="24"/>
  <c r="L16" i="24"/>
  <c r="K16" i="24"/>
  <c r="J16" i="24"/>
  <c r="I16" i="24"/>
  <c r="H16" i="24"/>
  <c r="G16" i="24"/>
  <c r="F16" i="24"/>
  <c r="E16" i="24"/>
  <c r="D16" i="24"/>
  <c r="C16" i="24"/>
  <c r="B16" i="24"/>
  <c r="M15" i="24"/>
  <c r="L15" i="24"/>
  <c r="K15" i="24"/>
  <c r="J15" i="24"/>
  <c r="I15" i="24"/>
  <c r="H15" i="24"/>
  <c r="G15" i="24"/>
  <c r="F15" i="24"/>
  <c r="E15" i="24"/>
  <c r="D15" i="24"/>
  <c r="C15" i="24"/>
  <c r="B15" i="24"/>
  <c r="M14" i="24"/>
  <c r="L14" i="24"/>
  <c r="K14" i="24"/>
  <c r="J14" i="24"/>
  <c r="I14" i="24"/>
  <c r="H14" i="24"/>
  <c r="G14" i="24"/>
  <c r="F14" i="24"/>
  <c r="E14" i="24"/>
  <c r="D14" i="24"/>
  <c r="C14" i="24"/>
  <c r="B14" i="24"/>
  <c r="M13" i="24"/>
  <c r="L13" i="24"/>
  <c r="K13" i="24"/>
  <c r="J13" i="24"/>
  <c r="I13" i="24"/>
  <c r="H13" i="24"/>
  <c r="G13" i="24"/>
  <c r="F13" i="24"/>
  <c r="E13" i="24"/>
  <c r="D13" i="24"/>
  <c r="C13" i="24"/>
  <c r="B13" i="24"/>
  <c r="M12" i="24"/>
  <c r="L12" i="24"/>
  <c r="K12" i="24"/>
  <c r="J12" i="24"/>
  <c r="I12" i="24"/>
  <c r="H12" i="24"/>
  <c r="G12" i="24"/>
  <c r="F12" i="24"/>
  <c r="E12" i="24"/>
  <c r="D12" i="24"/>
  <c r="C12" i="24"/>
  <c r="B12" i="24"/>
  <c r="M11" i="24"/>
  <c r="L11" i="24"/>
  <c r="K11" i="24"/>
  <c r="J11" i="24"/>
  <c r="I11" i="24"/>
  <c r="H11" i="24"/>
  <c r="G11" i="24"/>
  <c r="F11" i="24"/>
  <c r="E11" i="24"/>
  <c r="D11" i="24"/>
  <c r="C11" i="24"/>
  <c r="B11" i="24"/>
  <c r="M10" i="24"/>
  <c r="L10" i="24"/>
  <c r="K10" i="24"/>
  <c r="J10" i="24"/>
  <c r="I10" i="24"/>
  <c r="H10" i="24"/>
  <c r="G10" i="24"/>
  <c r="F10" i="24"/>
  <c r="E10" i="24"/>
  <c r="D10" i="24"/>
  <c r="C10" i="24"/>
  <c r="B10" i="24"/>
  <c r="M9" i="24"/>
  <c r="L9" i="24"/>
  <c r="K9" i="24"/>
  <c r="J9" i="24"/>
  <c r="I9" i="24"/>
  <c r="H9" i="24"/>
  <c r="G9" i="24"/>
  <c r="F9" i="24"/>
  <c r="E9" i="24"/>
  <c r="D9" i="24"/>
  <c r="C9" i="24"/>
  <c r="B9" i="24"/>
  <c r="M8" i="24"/>
  <c r="L8" i="24"/>
  <c r="K8" i="24"/>
  <c r="J8" i="24"/>
  <c r="I8" i="24"/>
  <c r="H8" i="24"/>
  <c r="G8" i="24"/>
  <c r="F8" i="24"/>
  <c r="E8" i="24"/>
  <c r="D8" i="24"/>
  <c r="C8" i="24"/>
  <c r="B8" i="24"/>
  <c r="M7" i="24"/>
  <c r="L7" i="24"/>
  <c r="K7" i="24"/>
  <c r="J7" i="24"/>
  <c r="I7" i="24"/>
  <c r="H7" i="24"/>
  <c r="G7" i="24"/>
  <c r="F7" i="24"/>
  <c r="E7" i="24"/>
  <c r="D7" i="24"/>
  <c r="C7" i="24"/>
  <c r="B7" i="24"/>
  <c r="M6" i="24"/>
  <c r="L6" i="24"/>
  <c r="K6" i="24"/>
  <c r="J6" i="24"/>
  <c r="I6" i="24"/>
  <c r="H6" i="24"/>
  <c r="G6" i="24"/>
  <c r="F6" i="24"/>
  <c r="E6" i="24"/>
  <c r="D6" i="24"/>
  <c r="C6" i="24"/>
  <c r="B6" i="24"/>
  <c r="S5" i="24"/>
  <c r="T5" i="24" s="1"/>
  <c r="U5" i="24" s="1"/>
  <c r="V5" i="24" s="1"/>
  <c r="W5" i="24" s="1"/>
  <c r="X5" i="24" s="1"/>
  <c r="Y5" i="24" s="1"/>
  <c r="Z5" i="24" s="1"/>
  <c r="AA5" i="24" s="1"/>
  <c r="AB5" i="24" s="1"/>
  <c r="AC5" i="24" s="1"/>
  <c r="AD5" i="24" s="1"/>
  <c r="AE5" i="24" s="1"/>
  <c r="AF5" i="24" s="1"/>
  <c r="AG5" i="24" s="1"/>
  <c r="AH5" i="24" s="1"/>
  <c r="AI5" i="24" s="1"/>
  <c r="AJ5" i="24" s="1"/>
  <c r="AK5" i="24" s="1"/>
  <c r="AL5" i="24" s="1"/>
  <c r="AM5" i="24" s="1"/>
  <c r="AN5" i="24" s="1"/>
  <c r="AO5" i="24" s="1"/>
  <c r="AP5" i="24" s="1"/>
  <c r="AQ5" i="24" s="1"/>
  <c r="AR5" i="24" s="1"/>
  <c r="AS5" i="24" s="1"/>
  <c r="AT5" i="24" s="1"/>
  <c r="AU5" i="24" s="1"/>
  <c r="AV5" i="24" s="1"/>
  <c r="AW5" i="24" s="1"/>
  <c r="AX5" i="24" s="1"/>
  <c r="AY5" i="24" s="1"/>
  <c r="AZ5" i="24" s="1"/>
  <c r="BA5" i="24" s="1"/>
  <c r="BB5" i="24" s="1"/>
  <c r="BC5" i="24" s="1"/>
  <c r="BD5" i="24" s="1"/>
  <c r="BE5" i="24" s="1"/>
  <c r="BF5" i="24" s="1"/>
  <c r="BG5" i="24" s="1"/>
  <c r="BH5" i="24" s="1"/>
  <c r="BI5" i="24" s="1"/>
  <c r="BJ5" i="24" s="1"/>
  <c r="BK5" i="24" s="1"/>
  <c r="BL5" i="24" s="1"/>
  <c r="BM5" i="24" s="1"/>
  <c r="BN5" i="24" s="1"/>
  <c r="BO5" i="24" s="1"/>
  <c r="BP5" i="24" s="1"/>
  <c r="BQ5" i="24" s="1"/>
  <c r="BR5" i="24" s="1"/>
  <c r="BS5" i="24" s="1"/>
  <c r="BT5" i="24" s="1"/>
  <c r="BU5" i="24" s="1"/>
  <c r="BV5" i="24" s="1"/>
  <c r="BW5" i="24" s="1"/>
  <c r="BX5" i="24" s="1"/>
  <c r="BY5" i="24" s="1"/>
  <c r="BZ5" i="24" s="1"/>
  <c r="CA5" i="24" s="1"/>
  <c r="CB5" i="24" s="1"/>
  <c r="CC5" i="24" s="1"/>
  <c r="CD5" i="24" s="1"/>
  <c r="CE5" i="24" s="1"/>
  <c r="CF5" i="24" s="1"/>
  <c r="CG5" i="24" s="1"/>
  <c r="CH5" i="24" s="1"/>
  <c r="CI5" i="24" s="1"/>
  <c r="CJ5" i="24" s="1"/>
  <c r="CK5" i="24" s="1"/>
  <c r="CL5" i="24" s="1"/>
  <c r="CM5" i="24" s="1"/>
  <c r="CN5" i="24" s="1"/>
  <c r="CO5" i="24" s="1"/>
  <c r="CP5" i="24" s="1"/>
  <c r="CQ5" i="24" s="1"/>
  <c r="CR5" i="24" s="1"/>
  <c r="CS5" i="24" s="1"/>
  <c r="CT5" i="24" s="1"/>
  <c r="CU5" i="24" s="1"/>
  <c r="CV5" i="24" s="1"/>
  <c r="CW5" i="24" s="1"/>
  <c r="CX5" i="24" s="1"/>
  <c r="CY5" i="24" s="1"/>
  <c r="CZ5" i="24" s="1"/>
  <c r="DA5" i="24" s="1"/>
  <c r="DB5" i="24" s="1"/>
  <c r="DC5" i="24" s="1"/>
  <c r="DD5" i="24" s="1"/>
  <c r="DE5" i="24" s="1"/>
  <c r="DF5" i="24" s="1"/>
  <c r="DG5" i="24" s="1"/>
  <c r="DH5" i="24" s="1"/>
  <c r="DI5" i="24" s="1"/>
  <c r="DJ5" i="24" s="1"/>
  <c r="DK5" i="24" s="1"/>
  <c r="DL5" i="24" s="1"/>
  <c r="DM5" i="24" s="1"/>
  <c r="DN5" i="24" s="1"/>
  <c r="DO5" i="24" s="1"/>
  <c r="DP5" i="24" s="1"/>
  <c r="DQ5" i="24" s="1"/>
  <c r="DR5" i="24" s="1"/>
  <c r="DS5" i="24" s="1"/>
  <c r="DT5" i="24" s="1"/>
  <c r="DU5" i="24" s="1"/>
  <c r="DV5" i="24" s="1"/>
  <c r="DW5" i="24" s="1"/>
  <c r="DX5" i="24" s="1"/>
  <c r="DY5" i="24" s="1"/>
  <c r="DZ5" i="24" s="1"/>
  <c r="EA5" i="24" s="1"/>
  <c r="EB5" i="24" s="1"/>
  <c r="EC5" i="24" s="1"/>
  <c r="ED5" i="24" s="1"/>
  <c r="EE5" i="24" s="1"/>
  <c r="EF5" i="24" s="1"/>
  <c r="EG5" i="24" s="1"/>
  <c r="EH5" i="24" s="1"/>
  <c r="EI5" i="24" s="1"/>
  <c r="EJ5" i="24" s="1"/>
  <c r="EK5" i="24" s="1"/>
  <c r="EL5" i="24" s="1"/>
  <c r="EM5" i="24" s="1"/>
  <c r="EN5" i="24" s="1"/>
  <c r="EO5" i="24" s="1"/>
  <c r="EP5" i="24" s="1"/>
  <c r="EQ5" i="24" s="1"/>
  <c r="ER5" i="24" s="1"/>
  <c r="ES5" i="24" s="1"/>
  <c r="ET5" i="24" s="1"/>
  <c r="EU5" i="24" s="1"/>
  <c r="EV5" i="24" s="1"/>
  <c r="EW5" i="24" s="1"/>
  <c r="EX5" i="24" s="1"/>
  <c r="EY5" i="24" s="1"/>
  <c r="EZ5" i="24" s="1"/>
  <c r="FA5" i="24" s="1"/>
  <c r="FB5" i="24" s="1"/>
  <c r="FC5" i="24" s="1"/>
  <c r="FD5" i="24" s="1"/>
  <c r="FE5" i="24" s="1"/>
  <c r="FF5" i="24" s="1"/>
  <c r="FG5" i="24" s="1"/>
  <c r="FH5" i="24" s="1"/>
  <c r="FI5" i="24" s="1"/>
  <c r="FJ5" i="24" s="1"/>
  <c r="FK5" i="24" s="1"/>
  <c r="FL5" i="24" s="1"/>
  <c r="FM5" i="24" s="1"/>
  <c r="FN5" i="24" s="1"/>
  <c r="FO5" i="24" s="1"/>
  <c r="FP5" i="24" s="1"/>
  <c r="FQ5" i="24" s="1"/>
  <c r="FR5" i="24" s="1"/>
  <c r="FS5" i="24" s="1"/>
  <c r="FT5" i="24" s="1"/>
  <c r="FU5" i="24" s="1"/>
  <c r="FV5" i="24" s="1"/>
  <c r="FW5" i="24" s="1"/>
  <c r="FX5" i="24" s="1"/>
  <c r="FY5" i="24" s="1"/>
  <c r="FZ5" i="24" s="1"/>
  <c r="GA5" i="24" s="1"/>
  <c r="GB5" i="24" s="1"/>
  <c r="GC5" i="24" s="1"/>
  <c r="GD5" i="24" s="1"/>
  <c r="GE5" i="24" s="1"/>
  <c r="GF5" i="24" s="1"/>
  <c r="GG5" i="24" s="1"/>
  <c r="GH5" i="24" s="1"/>
  <c r="GI5" i="24" s="1"/>
  <c r="GJ5" i="24" s="1"/>
  <c r="GK5" i="24" s="1"/>
  <c r="GL5" i="24" s="1"/>
  <c r="GM5" i="24" s="1"/>
  <c r="GN5" i="24" s="1"/>
  <c r="GO5" i="24" s="1"/>
  <c r="GP5" i="24" s="1"/>
  <c r="T4" i="24"/>
  <c r="T3" i="24" s="1"/>
  <c r="S3" i="24"/>
  <c r="M39" i="23"/>
  <c r="L39" i="23"/>
  <c r="K39" i="23"/>
  <c r="J39" i="23"/>
  <c r="I39" i="23"/>
  <c r="H39" i="23"/>
  <c r="G39" i="23"/>
  <c r="F39" i="23"/>
  <c r="E39" i="23"/>
  <c r="D39" i="23"/>
  <c r="C39" i="23"/>
  <c r="B39" i="23"/>
  <c r="M38" i="23"/>
  <c r="L38" i="23"/>
  <c r="K38" i="23"/>
  <c r="J38" i="23"/>
  <c r="I38" i="23"/>
  <c r="H38" i="23"/>
  <c r="G38" i="23"/>
  <c r="F38" i="23"/>
  <c r="E38" i="23"/>
  <c r="D38" i="23"/>
  <c r="C38" i="23"/>
  <c r="B38" i="23"/>
  <c r="M37" i="23"/>
  <c r="L37" i="23"/>
  <c r="K37" i="23"/>
  <c r="J37" i="23"/>
  <c r="I37" i="23"/>
  <c r="H37" i="23"/>
  <c r="G37" i="23"/>
  <c r="F37" i="23"/>
  <c r="E37" i="23"/>
  <c r="D37" i="23"/>
  <c r="C37" i="23"/>
  <c r="B37" i="23"/>
  <c r="M36" i="23"/>
  <c r="L36" i="23"/>
  <c r="K36" i="23"/>
  <c r="J36" i="23"/>
  <c r="I36" i="23"/>
  <c r="H36" i="23"/>
  <c r="G36" i="23"/>
  <c r="F36" i="23"/>
  <c r="E36" i="23"/>
  <c r="D36" i="23"/>
  <c r="C36" i="23"/>
  <c r="B36" i="23"/>
  <c r="M35" i="23"/>
  <c r="L35" i="23"/>
  <c r="K35" i="23"/>
  <c r="J35" i="23"/>
  <c r="I35" i="23"/>
  <c r="H35" i="23"/>
  <c r="G35" i="23"/>
  <c r="F35" i="23"/>
  <c r="E35" i="23"/>
  <c r="D35" i="23"/>
  <c r="C35" i="23"/>
  <c r="B35" i="23"/>
  <c r="M34" i="23"/>
  <c r="L34" i="23"/>
  <c r="K34" i="23"/>
  <c r="J34" i="23"/>
  <c r="I34" i="23"/>
  <c r="H34" i="23"/>
  <c r="G34" i="23"/>
  <c r="F34" i="23"/>
  <c r="E34" i="23"/>
  <c r="D34" i="23"/>
  <c r="C34" i="23"/>
  <c r="B34" i="23"/>
  <c r="M33" i="23"/>
  <c r="L33" i="23"/>
  <c r="K33" i="23"/>
  <c r="J33" i="23"/>
  <c r="I33" i="23"/>
  <c r="H33" i="23"/>
  <c r="G33" i="23"/>
  <c r="F33" i="23"/>
  <c r="E33" i="23"/>
  <c r="D33" i="23"/>
  <c r="C33" i="23"/>
  <c r="B33" i="23"/>
  <c r="M32" i="23"/>
  <c r="L32" i="23"/>
  <c r="K32" i="23"/>
  <c r="J32" i="23"/>
  <c r="I32" i="23"/>
  <c r="H32" i="23"/>
  <c r="G32" i="23"/>
  <c r="F32" i="23"/>
  <c r="E32" i="23"/>
  <c r="D32" i="23"/>
  <c r="C32" i="23"/>
  <c r="B32" i="23"/>
  <c r="M31" i="23"/>
  <c r="L31" i="23"/>
  <c r="K31" i="23"/>
  <c r="J31" i="23"/>
  <c r="I31" i="23"/>
  <c r="H31" i="23"/>
  <c r="G31" i="23"/>
  <c r="F31" i="23"/>
  <c r="E31" i="23"/>
  <c r="D31" i="23"/>
  <c r="C31" i="23"/>
  <c r="B31" i="23"/>
  <c r="M30" i="23"/>
  <c r="L30" i="23"/>
  <c r="K30" i="23"/>
  <c r="J30" i="23"/>
  <c r="I30" i="23"/>
  <c r="H30" i="23"/>
  <c r="G30" i="23"/>
  <c r="F30" i="23"/>
  <c r="E30" i="23"/>
  <c r="D30" i="23"/>
  <c r="C30" i="23"/>
  <c r="B30" i="23"/>
  <c r="M29" i="23"/>
  <c r="L29" i="23"/>
  <c r="K29" i="23"/>
  <c r="J29" i="23"/>
  <c r="I29" i="23"/>
  <c r="H29" i="23"/>
  <c r="G29" i="23"/>
  <c r="F29" i="23"/>
  <c r="E29" i="23"/>
  <c r="D29" i="23"/>
  <c r="C29" i="23"/>
  <c r="B29" i="23"/>
  <c r="M28" i="23"/>
  <c r="L28" i="23"/>
  <c r="K28" i="23"/>
  <c r="J28" i="23"/>
  <c r="I28" i="23"/>
  <c r="H28" i="23"/>
  <c r="G28" i="23"/>
  <c r="F28" i="23"/>
  <c r="E28" i="23"/>
  <c r="D28" i="23"/>
  <c r="C28" i="23"/>
  <c r="B28" i="23"/>
  <c r="M27" i="23"/>
  <c r="L27" i="23"/>
  <c r="K27" i="23"/>
  <c r="J27" i="23"/>
  <c r="I27" i="23"/>
  <c r="H27" i="23"/>
  <c r="G27" i="23"/>
  <c r="F27" i="23"/>
  <c r="E27" i="23"/>
  <c r="D27" i="23"/>
  <c r="C27" i="23"/>
  <c r="B27" i="23"/>
  <c r="M26" i="23"/>
  <c r="L26" i="23"/>
  <c r="K26" i="23"/>
  <c r="J26" i="23"/>
  <c r="I26" i="23"/>
  <c r="H26" i="23"/>
  <c r="G26" i="23"/>
  <c r="F26" i="23"/>
  <c r="E26" i="23"/>
  <c r="D26" i="23"/>
  <c r="C26" i="23"/>
  <c r="B26" i="23"/>
  <c r="M25" i="23"/>
  <c r="L25" i="23"/>
  <c r="K25" i="23"/>
  <c r="J25" i="23"/>
  <c r="I25" i="23"/>
  <c r="H25" i="23"/>
  <c r="G25" i="23"/>
  <c r="F25" i="23"/>
  <c r="E25" i="23"/>
  <c r="D25" i="23"/>
  <c r="C25" i="23"/>
  <c r="B25" i="23"/>
  <c r="M24" i="23"/>
  <c r="L24" i="23"/>
  <c r="K24" i="23"/>
  <c r="J24" i="23"/>
  <c r="I24" i="23"/>
  <c r="H24" i="23"/>
  <c r="G24" i="23"/>
  <c r="F24" i="23"/>
  <c r="E24" i="23"/>
  <c r="D24" i="23"/>
  <c r="C24" i="23"/>
  <c r="B24" i="23"/>
  <c r="M23" i="23"/>
  <c r="L23" i="23"/>
  <c r="K23" i="23"/>
  <c r="J23" i="23"/>
  <c r="I23" i="23"/>
  <c r="H23" i="23"/>
  <c r="G23" i="23"/>
  <c r="F23" i="23"/>
  <c r="E23" i="23"/>
  <c r="D23" i="23"/>
  <c r="C23" i="23"/>
  <c r="B23" i="23"/>
  <c r="M22" i="23"/>
  <c r="L22" i="23"/>
  <c r="K22" i="23"/>
  <c r="J22" i="23"/>
  <c r="I22" i="23"/>
  <c r="H22" i="23"/>
  <c r="G22" i="23"/>
  <c r="F22" i="23"/>
  <c r="E22" i="23"/>
  <c r="D22" i="23"/>
  <c r="C22" i="23"/>
  <c r="B22" i="23"/>
  <c r="M21" i="23"/>
  <c r="L21" i="23"/>
  <c r="K21" i="23"/>
  <c r="J21" i="23"/>
  <c r="I21" i="23"/>
  <c r="H21" i="23"/>
  <c r="G21" i="23"/>
  <c r="F21" i="23"/>
  <c r="E21" i="23"/>
  <c r="D21" i="23"/>
  <c r="C21" i="23"/>
  <c r="B21" i="23"/>
  <c r="M20" i="23"/>
  <c r="L20" i="23"/>
  <c r="K20" i="23"/>
  <c r="J20" i="23"/>
  <c r="I20" i="23"/>
  <c r="H20" i="23"/>
  <c r="G20" i="23"/>
  <c r="F20" i="23"/>
  <c r="E20" i="23"/>
  <c r="D20" i="23"/>
  <c r="C20" i="23"/>
  <c r="B20" i="23"/>
  <c r="M19" i="23"/>
  <c r="L19" i="23"/>
  <c r="K19" i="23"/>
  <c r="J19" i="23"/>
  <c r="I19" i="23"/>
  <c r="H19" i="23"/>
  <c r="G19" i="23"/>
  <c r="F19" i="23"/>
  <c r="E19" i="23"/>
  <c r="D19" i="23"/>
  <c r="C19" i="23"/>
  <c r="B19" i="23"/>
  <c r="M18" i="23"/>
  <c r="L18" i="23"/>
  <c r="K18" i="23"/>
  <c r="J18" i="23"/>
  <c r="I18" i="23"/>
  <c r="H18" i="23"/>
  <c r="G18" i="23"/>
  <c r="F18" i="23"/>
  <c r="E18" i="23"/>
  <c r="D18" i="23"/>
  <c r="C18" i="23"/>
  <c r="B18" i="23"/>
  <c r="M17" i="23"/>
  <c r="L17" i="23"/>
  <c r="K17" i="23"/>
  <c r="J17" i="23"/>
  <c r="I17" i="23"/>
  <c r="H17" i="23"/>
  <c r="G17" i="23"/>
  <c r="F17" i="23"/>
  <c r="E17" i="23"/>
  <c r="D17" i="23"/>
  <c r="C17" i="23"/>
  <c r="B17" i="23"/>
  <c r="M16" i="23"/>
  <c r="L16" i="23"/>
  <c r="K16" i="23"/>
  <c r="J16" i="23"/>
  <c r="I16" i="23"/>
  <c r="H16" i="23"/>
  <c r="G16" i="23"/>
  <c r="F16" i="23"/>
  <c r="E16" i="23"/>
  <c r="D16" i="23"/>
  <c r="C16" i="23"/>
  <c r="B16" i="23"/>
  <c r="M15" i="23"/>
  <c r="L15" i="23"/>
  <c r="K15" i="23"/>
  <c r="J15" i="23"/>
  <c r="I15" i="23"/>
  <c r="H15" i="23"/>
  <c r="G15" i="23"/>
  <c r="F15" i="23"/>
  <c r="E15" i="23"/>
  <c r="D15" i="23"/>
  <c r="C15" i="23"/>
  <c r="B15" i="23"/>
  <c r="M14" i="23"/>
  <c r="L14" i="23"/>
  <c r="K14" i="23"/>
  <c r="J14" i="23"/>
  <c r="I14" i="23"/>
  <c r="H14" i="23"/>
  <c r="G14" i="23"/>
  <c r="F14" i="23"/>
  <c r="E14" i="23"/>
  <c r="D14" i="23"/>
  <c r="C14" i="23"/>
  <c r="B14" i="23"/>
  <c r="M13" i="23"/>
  <c r="L13" i="23"/>
  <c r="K13" i="23"/>
  <c r="J13" i="23"/>
  <c r="I13" i="23"/>
  <c r="H13" i="23"/>
  <c r="G13" i="23"/>
  <c r="F13" i="23"/>
  <c r="E13" i="23"/>
  <c r="D13" i="23"/>
  <c r="C13" i="23"/>
  <c r="B13" i="23"/>
  <c r="M12" i="23"/>
  <c r="L12" i="23"/>
  <c r="K12" i="23"/>
  <c r="J12" i="23"/>
  <c r="I12" i="23"/>
  <c r="H12" i="23"/>
  <c r="G12" i="23"/>
  <c r="F12" i="23"/>
  <c r="E12" i="23"/>
  <c r="D12" i="23"/>
  <c r="C12" i="23"/>
  <c r="B12" i="23"/>
  <c r="M11" i="23"/>
  <c r="L11" i="23"/>
  <c r="K11" i="23"/>
  <c r="J11" i="23"/>
  <c r="I11" i="23"/>
  <c r="H11" i="23"/>
  <c r="G11" i="23"/>
  <c r="F11" i="23"/>
  <c r="E11" i="23"/>
  <c r="D11" i="23"/>
  <c r="C11" i="23"/>
  <c r="B11" i="23"/>
  <c r="M10" i="23"/>
  <c r="L10" i="23"/>
  <c r="K10" i="23"/>
  <c r="J10" i="23"/>
  <c r="I10" i="23"/>
  <c r="H10" i="23"/>
  <c r="G10" i="23"/>
  <c r="F10" i="23"/>
  <c r="E10" i="23"/>
  <c r="D10" i="23"/>
  <c r="C10" i="23"/>
  <c r="B10" i="23"/>
  <c r="M9" i="23"/>
  <c r="L9" i="23"/>
  <c r="K9" i="23"/>
  <c r="J9" i="23"/>
  <c r="I9" i="23"/>
  <c r="H9" i="23"/>
  <c r="G9" i="23"/>
  <c r="F9" i="23"/>
  <c r="E9" i="23"/>
  <c r="D9" i="23"/>
  <c r="C9" i="23"/>
  <c r="B9" i="23"/>
  <c r="M8" i="23"/>
  <c r="L8" i="23"/>
  <c r="K8" i="23"/>
  <c r="J8" i="23"/>
  <c r="I8" i="23"/>
  <c r="H8" i="23"/>
  <c r="G8" i="23"/>
  <c r="F8" i="23"/>
  <c r="E8" i="23"/>
  <c r="D8" i="23"/>
  <c r="C8" i="23"/>
  <c r="B8" i="23"/>
  <c r="M7" i="23"/>
  <c r="L7" i="23"/>
  <c r="K7" i="23"/>
  <c r="J7" i="23"/>
  <c r="I7" i="23"/>
  <c r="H7" i="23"/>
  <c r="G7" i="23"/>
  <c r="F7" i="23"/>
  <c r="E7" i="23"/>
  <c r="D7" i="23"/>
  <c r="C7" i="23"/>
  <c r="B7" i="23"/>
  <c r="M6" i="23"/>
  <c r="L6" i="23"/>
  <c r="K6" i="23"/>
  <c r="J6" i="23"/>
  <c r="I6" i="23"/>
  <c r="H6" i="23"/>
  <c r="G6" i="23"/>
  <c r="F6" i="23"/>
  <c r="E6" i="23"/>
  <c r="D6" i="23"/>
  <c r="C6" i="23"/>
  <c r="B6" i="23"/>
  <c r="S5" i="23"/>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BA5" i="23" s="1"/>
  <c r="BB5" i="23" s="1"/>
  <c r="BC5" i="23" s="1"/>
  <c r="BD5" i="23" s="1"/>
  <c r="BE5" i="23" s="1"/>
  <c r="BF5" i="23" s="1"/>
  <c r="BG5" i="23" s="1"/>
  <c r="BH5" i="23" s="1"/>
  <c r="BI5" i="23" s="1"/>
  <c r="BJ5" i="23" s="1"/>
  <c r="BK5" i="23" s="1"/>
  <c r="BL5" i="23" s="1"/>
  <c r="BM5" i="23" s="1"/>
  <c r="BN5" i="23" s="1"/>
  <c r="BO5" i="23" s="1"/>
  <c r="BP5" i="23" s="1"/>
  <c r="BQ5" i="23" s="1"/>
  <c r="BR5" i="23" s="1"/>
  <c r="BS5" i="23" s="1"/>
  <c r="BT5" i="23" s="1"/>
  <c r="BU5" i="23" s="1"/>
  <c r="BV5" i="23" s="1"/>
  <c r="BW5" i="23" s="1"/>
  <c r="BX5" i="23" s="1"/>
  <c r="BY5" i="23" s="1"/>
  <c r="BZ5" i="23" s="1"/>
  <c r="CA5" i="23" s="1"/>
  <c r="CB5" i="23" s="1"/>
  <c r="CC5" i="23" s="1"/>
  <c r="CD5" i="23" s="1"/>
  <c r="CE5" i="23" s="1"/>
  <c r="CF5" i="23" s="1"/>
  <c r="CG5" i="23" s="1"/>
  <c r="CH5" i="23" s="1"/>
  <c r="CI5" i="23" s="1"/>
  <c r="CJ5" i="23" s="1"/>
  <c r="CK5" i="23" s="1"/>
  <c r="CL5" i="23" s="1"/>
  <c r="CM5" i="23" s="1"/>
  <c r="CN5" i="23" s="1"/>
  <c r="CO5" i="23" s="1"/>
  <c r="CP5" i="23" s="1"/>
  <c r="CQ5" i="23" s="1"/>
  <c r="CR5" i="23" s="1"/>
  <c r="CS5" i="23" s="1"/>
  <c r="CT5" i="23" s="1"/>
  <c r="CU5" i="23" s="1"/>
  <c r="CV5" i="23" s="1"/>
  <c r="CW5" i="23" s="1"/>
  <c r="CX5" i="23" s="1"/>
  <c r="CY5" i="23" s="1"/>
  <c r="CZ5" i="23" s="1"/>
  <c r="DA5" i="23" s="1"/>
  <c r="DB5" i="23" s="1"/>
  <c r="DC5" i="23" s="1"/>
  <c r="DD5" i="23" s="1"/>
  <c r="DE5" i="23" s="1"/>
  <c r="DF5" i="23" s="1"/>
  <c r="DG5" i="23" s="1"/>
  <c r="DH5" i="23" s="1"/>
  <c r="DI5" i="23" s="1"/>
  <c r="DJ5" i="23" s="1"/>
  <c r="DK5" i="23" s="1"/>
  <c r="DL5" i="23" s="1"/>
  <c r="DM5" i="23" s="1"/>
  <c r="DN5" i="23" s="1"/>
  <c r="DO5" i="23" s="1"/>
  <c r="DP5" i="23" s="1"/>
  <c r="DQ5" i="23" s="1"/>
  <c r="DR5" i="23" s="1"/>
  <c r="DS5" i="23" s="1"/>
  <c r="DT5" i="23" s="1"/>
  <c r="DU5" i="23" s="1"/>
  <c r="DV5" i="23" s="1"/>
  <c r="DW5" i="23" s="1"/>
  <c r="DX5" i="23" s="1"/>
  <c r="DY5" i="23" s="1"/>
  <c r="DZ5" i="23" s="1"/>
  <c r="EA5" i="23" s="1"/>
  <c r="EB5" i="23" s="1"/>
  <c r="EC5" i="23" s="1"/>
  <c r="ED5" i="23" s="1"/>
  <c r="EE5" i="23" s="1"/>
  <c r="EF5" i="23" s="1"/>
  <c r="EG5" i="23" s="1"/>
  <c r="EH5" i="23" s="1"/>
  <c r="EI5" i="23" s="1"/>
  <c r="EJ5" i="23" s="1"/>
  <c r="EK5" i="23" s="1"/>
  <c r="EL5" i="23" s="1"/>
  <c r="EM5" i="23" s="1"/>
  <c r="EN5" i="23" s="1"/>
  <c r="EO5" i="23" s="1"/>
  <c r="EP5" i="23" s="1"/>
  <c r="EQ5" i="23" s="1"/>
  <c r="ER5" i="23" s="1"/>
  <c r="ES5" i="23" s="1"/>
  <c r="ET5" i="23" s="1"/>
  <c r="EU5" i="23" s="1"/>
  <c r="EV5" i="23" s="1"/>
  <c r="EW5" i="23" s="1"/>
  <c r="EX5" i="23" s="1"/>
  <c r="EY5" i="23" s="1"/>
  <c r="EZ5" i="23" s="1"/>
  <c r="FA5" i="23" s="1"/>
  <c r="FB5" i="23" s="1"/>
  <c r="FC5" i="23" s="1"/>
  <c r="FD5" i="23" s="1"/>
  <c r="FE5" i="23" s="1"/>
  <c r="FF5" i="23" s="1"/>
  <c r="FG5" i="23" s="1"/>
  <c r="FH5" i="23" s="1"/>
  <c r="FI5" i="23" s="1"/>
  <c r="FJ5" i="23" s="1"/>
  <c r="FK5" i="23" s="1"/>
  <c r="FL5" i="23" s="1"/>
  <c r="FM5" i="23" s="1"/>
  <c r="FN5" i="23" s="1"/>
  <c r="FO5" i="23" s="1"/>
  <c r="FP5" i="23" s="1"/>
  <c r="FQ5" i="23" s="1"/>
  <c r="FR5" i="23" s="1"/>
  <c r="FS5" i="23" s="1"/>
  <c r="FT5" i="23" s="1"/>
  <c r="FU5" i="23" s="1"/>
  <c r="FV5" i="23" s="1"/>
  <c r="FW5" i="23" s="1"/>
  <c r="FX5" i="23" s="1"/>
  <c r="FY5" i="23" s="1"/>
  <c r="FZ5" i="23" s="1"/>
  <c r="GA5" i="23" s="1"/>
  <c r="GB5" i="23" s="1"/>
  <c r="GC5" i="23" s="1"/>
  <c r="GD5" i="23" s="1"/>
  <c r="GE5" i="23" s="1"/>
  <c r="GF5" i="23" s="1"/>
  <c r="GG5" i="23" s="1"/>
  <c r="GH5" i="23" s="1"/>
  <c r="GI5" i="23" s="1"/>
  <c r="GJ5" i="23" s="1"/>
  <c r="GK5" i="23" s="1"/>
  <c r="GL5" i="23" s="1"/>
  <c r="GM5" i="23" s="1"/>
  <c r="GN5" i="23" s="1"/>
  <c r="GO5" i="23" s="1"/>
  <c r="GP5" i="23" s="1"/>
  <c r="T4" i="23"/>
  <c r="S3" i="23"/>
  <c r="M39" i="22"/>
  <c r="L39" i="22"/>
  <c r="K39" i="22"/>
  <c r="J39" i="22"/>
  <c r="I39" i="22"/>
  <c r="H39" i="22"/>
  <c r="G39" i="22"/>
  <c r="F39" i="22"/>
  <c r="E39" i="22"/>
  <c r="D39" i="22"/>
  <c r="C39" i="22"/>
  <c r="B39" i="22"/>
  <c r="M38" i="22"/>
  <c r="L38" i="22"/>
  <c r="K38" i="22"/>
  <c r="J38" i="22"/>
  <c r="I38" i="22"/>
  <c r="H38" i="22"/>
  <c r="G38" i="22"/>
  <c r="F38" i="22"/>
  <c r="E38" i="22"/>
  <c r="D38" i="22"/>
  <c r="C38" i="22"/>
  <c r="B38" i="22"/>
  <c r="M37" i="22"/>
  <c r="L37" i="22"/>
  <c r="K37" i="22"/>
  <c r="J37" i="22"/>
  <c r="I37" i="22"/>
  <c r="H37" i="22"/>
  <c r="G37" i="22"/>
  <c r="F37" i="22"/>
  <c r="E37" i="22"/>
  <c r="D37" i="22"/>
  <c r="C37" i="22"/>
  <c r="B37" i="22"/>
  <c r="M36" i="22"/>
  <c r="L36" i="22"/>
  <c r="K36" i="22"/>
  <c r="J36" i="22"/>
  <c r="I36" i="22"/>
  <c r="H36" i="22"/>
  <c r="G36" i="22"/>
  <c r="F36" i="22"/>
  <c r="E36" i="22"/>
  <c r="D36" i="22"/>
  <c r="C36" i="22"/>
  <c r="B36" i="22"/>
  <c r="M35" i="22"/>
  <c r="L35" i="22"/>
  <c r="K35" i="22"/>
  <c r="J35" i="22"/>
  <c r="I35" i="22"/>
  <c r="H35" i="22"/>
  <c r="G35" i="22"/>
  <c r="F35" i="22"/>
  <c r="E35" i="22"/>
  <c r="D35" i="22"/>
  <c r="C35" i="22"/>
  <c r="B35" i="22"/>
  <c r="M34" i="22"/>
  <c r="L34" i="22"/>
  <c r="K34" i="22"/>
  <c r="J34" i="22"/>
  <c r="I34" i="22"/>
  <c r="H34" i="22"/>
  <c r="G34" i="22"/>
  <c r="F34" i="22"/>
  <c r="E34" i="22"/>
  <c r="D34" i="22"/>
  <c r="C34" i="22"/>
  <c r="B34" i="22"/>
  <c r="M33" i="22"/>
  <c r="L33" i="22"/>
  <c r="K33" i="22"/>
  <c r="J33" i="22"/>
  <c r="I33" i="22"/>
  <c r="H33" i="22"/>
  <c r="G33" i="22"/>
  <c r="F33" i="22"/>
  <c r="E33" i="22"/>
  <c r="D33" i="22"/>
  <c r="C33" i="22"/>
  <c r="B33" i="22"/>
  <c r="M32" i="22"/>
  <c r="L32" i="22"/>
  <c r="K32" i="22"/>
  <c r="J32" i="22"/>
  <c r="I32" i="22"/>
  <c r="H32" i="22"/>
  <c r="G32" i="22"/>
  <c r="F32" i="22"/>
  <c r="E32" i="22"/>
  <c r="D32" i="22"/>
  <c r="C32" i="22"/>
  <c r="B32" i="22"/>
  <c r="M31" i="22"/>
  <c r="L31" i="22"/>
  <c r="K31" i="22"/>
  <c r="J31" i="22"/>
  <c r="I31" i="22"/>
  <c r="H31" i="22"/>
  <c r="G31" i="22"/>
  <c r="F31" i="22"/>
  <c r="E31" i="22"/>
  <c r="D31" i="22"/>
  <c r="C31" i="22"/>
  <c r="B31" i="22"/>
  <c r="M30" i="22"/>
  <c r="L30" i="22"/>
  <c r="K30" i="22"/>
  <c r="J30" i="22"/>
  <c r="I30" i="22"/>
  <c r="H30" i="22"/>
  <c r="G30" i="22"/>
  <c r="F30" i="22"/>
  <c r="E30" i="22"/>
  <c r="D30" i="22"/>
  <c r="C30" i="22"/>
  <c r="B30" i="22"/>
  <c r="M29" i="22"/>
  <c r="L29" i="22"/>
  <c r="K29" i="22"/>
  <c r="J29" i="22"/>
  <c r="I29" i="22"/>
  <c r="H29" i="22"/>
  <c r="G29" i="22"/>
  <c r="F29" i="22"/>
  <c r="E29" i="22"/>
  <c r="D29" i="22"/>
  <c r="C29" i="22"/>
  <c r="B29" i="22"/>
  <c r="M28" i="22"/>
  <c r="L28" i="22"/>
  <c r="K28" i="22"/>
  <c r="J28" i="22"/>
  <c r="I28" i="22"/>
  <c r="H28" i="22"/>
  <c r="G28" i="22"/>
  <c r="F28" i="22"/>
  <c r="E28" i="22"/>
  <c r="D28" i="22"/>
  <c r="C28" i="22"/>
  <c r="B28" i="22"/>
  <c r="M27" i="22"/>
  <c r="L27" i="22"/>
  <c r="K27" i="22"/>
  <c r="J27" i="22"/>
  <c r="I27" i="22"/>
  <c r="H27" i="22"/>
  <c r="G27" i="22"/>
  <c r="F27" i="22"/>
  <c r="E27" i="22"/>
  <c r="D27" i="22"/>
  <c r="C27" i="22"/>
  <c r="B27" i="22"/>
  <c r="M26" i="22"/>
  <c r="L26" i="22"/>
  <c r="K26" i="22"/>
  <c r="J26" i="22"/>
  <c r="I26" i="22"/>
  <c r="H26" i="22"/>
  <c r="G26" i="22"/>
  <c r="F26" i="22"/>
  <c r="E26" i="22"/>
  <c r="D26" i="22"/>
  <c r="C26" i="22"/>
  <c r="B26" i="22"/>
  <c r="M25" i="22"/>
  <c r="L25" i="22"/>
  <c r="K25" i="22"/>
  <c r="J25" i="22"/>
  <c r="I25" i="22"/>
  <c r="H25" i="22"/>
  <c r="G25" i="22"/>
  <c r="F25" i="22"/>
  <c r="E25" i="22"/>
  <c r="D25" i="22"/>
  <c r="C25" i="22"/>
  <c r="B25" i="22"/>
  <c r="M24" i="22"/>
  <c r="L24" i="22"/>
  <c r="K24" i="22"/>
  <c r="J24" i="22"/>
  <c r="I24" i="22"/>
  <c r="H24" i="22"/>
  <c r="G24" i="22"/>
  <c r="F24" i="22"/>
  <c r="E24" i="22"/>
  <c r="D24" i="22"/>
  <c r="C24" i="22"/>
  <c r="B24" i="22"/>
  <c r="M23" i="22"/>
  <c r="L23" i="22"/>
  <c r="K23" i="22"/>
  <c r="J23" i="22"/>
  <c r="I23" i="22"/>
  <c r="H23" i="22"/>
  <c r="G23" i="22"/>
  <c r="F23" i="22"/>
  <c r="E23" i="22"/>
  <c r="D23" i="22"/>
  <c r="C23" i="22"/>
  <c r="B23" i="22"/>
  <c r="M22" i="22"/>
  <c r="L22" i="22"/>
  <c r="K22" i="22"/>
  <c r="J22" i="22"/>
  <c r="I22" i="22"/>
  <c r="H22" i="22"/>
  <c r="G22" i="22"/>
  <c r="F22" i="22"/>
  <c r="E22" i="22"/>
  <c r="D22" i="22"/>
  <c r="C22" i="22"/>
  <c r="B22" i="22"/>
  <c r="M21" i="22"/>
  <c r="L21" i="22"/>
  <c r="K21" i="22"/>
  <c r="J21" i="22"/>
  <c r="I21" i="22"/>
  <c r="H21" i="22"/>
  <c r="G21" i="22"/>
  <c r="F21" i="22"/>
  <c r="E21" i="22"/>
  <c r="D21" i="22"/>
  <c r="C21" i="22"/>
  <c r="B21" i="22"/>
  <c r="M20" i="22"/>
  <c r="L20" i="22"/>
  <c r="K20" i="22"/>
  <c r="J20" i="22"/>
  <c r="I20" i="22"/>
  <c r="H20" i="22"/>
  <c r="G20" i="22"/>
  <c r="F20" i="22"/>
  <c r="E20" i="22"/>
  <c r="D20" i="22"/>
  <c r="C20" i="22"/>
  <c r="B20" i="22"/>
  <c r="M19" i="22"/>
  <c r="L19" i="22"/>
  <c r="K19" i="22"/>
  <c r="J19" i="22"/>
  <c r="I19" i="22"/>
  <c r="H19" i="22"/>
  <c r="G19" i="22"/>
  <c r="F19" i="22"/>
  <c r="E19" i="22"/>
  <c r="D19" i="22"/>
  <c r="C19" i="22"/>
  <c r="B19" i="22"/>
  <c r="M18" i="22"/>
  <c r="L18" i="22"/>
  <c r="K18" i="22"/>
  <c r="J18" i="22"/>
  <c r="I18" i="22"/>
  <c r="H18" i="22"/>
  <c r="G18" i="22"/>
  <c r="F18" i="22"/>
  <c r="E18" i="22"/>
  <c r="D18" i="22"/>
  <c r="C18" i="22"/>
  <c r="B18" i="22"/>
  <c r="M17" i="22"/>
  <c r="L17" i="22"/>
  <c r="K17" i="22"/>
  <c r="J17" i="22"/>
  <c r="I17" i="22"/>
  <c r="H17" i="22"/>
  <c r="G17" i="22"/>
  <c r="F17" i="22"/>
  <c r="E17" i="22"/>
  <c r="D17" i="22"/>
  <c r="C17" i="22"/>
  <c r="B17" i="22"/>
  <c r="M16" i="22"/>
  <c r="L16" i="22"/>
  <c r="K16" i="22"/>
  <c r="J16" i="22"/>
  <c r="I16" i="22"/>
  <c r="H16" i="22"/>
  <c r="G16" i="22"/>
  <c r="F16" i="22"/>
  <c r="E16" i="22"/>
  <c r="D16" i="22"/>
  <c r="C16" i="22"/>
  <c r="B16" i="22"/>
  <c r="M15" i="22"/>
  <c r="L15" i="22"/>
  <c r="K15" i="22"/>
  <c r="J15" i="22"/>
  <c r="I15" i="22"/>
  <c r="H15" i="22"/>
  <c r="G15" i="22"/>
  <c r="F15" i="22"/>
  <c r="E15" i="22"/>
  <c r="D15" i="22"/>
  <c r="C15" i="22"/>
  <c r="B15" i="22"/>
  <c r="M14" i="22"/>
  <c r="L14" i="22"/>
  <c r="K14" i="22"/>
  <c r="J14" i="22"/>
  <c r="I14" i="22"/>
  <c r="H14" i="22"/>
  <c r="G14" i="22"/>
  <c r="F14" i="22"/>
  <c r="E14" i="22"/>
  <c r="D14" i="22"/>
  <c r="C14" i="22"/>
  <c r="B14" i="22"/>
  <c r="M13" i="22"/>
  <c r="L13" i="22"/>
  <c r="K13" i="22"/>
  <c r="J13" i="22"/>
  <c r="I13" i="22"/>
  <c r="H13" i="22"/>
  <c r="G13" i="22"/>
  <c r="F13" i="22"/>
  <c r="E13" i="22"/>
  <c r="D13" i="22"/>
  <c r="C13" i="22"/>
  <c r="B13" i="22"/>
  <c r="M12" i="22"/>
  <c r="L12" i="22"/>
  <c r="K12" i="22"/>
  <c r="J12" i="22"/>
  <c r="I12" i="22"/>
  <c r="H12" i="22"/>
  <c r="G12" i="22"/>
  <c r="F12" i="22"/>
  <c r="E12" i="22"/>
  <c r="D12" i="22"/>
  <c r="C12" i="22"/>
  <c r="B12" i="22"/>
  <c r="M11" i="22"/>
  <c r="L11" i="22"/>
  <c r="K11" i="22"/>
  <c r="J11" i="22"/>
  <c r="I11" i="22"/>
  <c r="H11" i="22"/>
  <c r="G11" i="22"/>
  <c r="F11" i="22"/>
  <c r="E11" i="22"/>
  <c r="D11" i="22"/>
  <c r="C11" i="22"/>
  <c r="B11" i="22"/>
  <c r="M10" i="22"/>
  <c r="L10" i="22"/>
  <c r="K10" i="22"/>
  <c r="J10" i="22"/>
  <c r="I10" i="22"/>
  <c r="H10" i="22"/>
  <c r="G10" i="22"/>
  <c r="F10" i="22"/>
  <c r="E10" i="22"/>
  <c r="D10" i="22"/>
  <c r="C10" i="22"/>
  <c r="B10" i="22"/>
  <c r="M9" i="22"/>
  <c r="L9" i="22"/>
  <c r="K9" i="22"/>
  <c r="J9" i="22"/>
  <c r="I9" i="22"/>
  <c r="H9" i="22"/>
  <c r="G9" i="22"/>
  <c r="F9" i="22"/>
  <c r="E9" i="22"/>
  <c r="D9" i="22"/>
  <c r="C9" i="22"/>
  <c r="B9" i="22"/>
  <c r="M8" i="22"/>
  <c r="L8" i="22"/>
  <c r="K8" i="22"/>
  <c r="J8" i="22"/>
  <c r="I8" i="22"/>
  <c r="H8" i="22"/>
  <c r="G8" i="22"/>
  <c r="F8" i="22"/>
  <c r="E8" i="22"/>
  <c r="D8" i="22"/>
  <c r="C8" i="22"/>
  <c r="B8" i="22"/>
  <c r="M7" i="22"/>
  <c r="L7" i="22"/>
  <c r="K7" i="22"/>
  <c r="J7" i="22"/>
  <c r="I7" i="22"/>
  <c r="H7" i="22"/>
  <c r="G7" i="22"/>
  <c r="F7" i="22"/>
  <c r="E7" i="22"/>
  <c r="D7" i="22"/>
  <c r="C7" i="22"/>
  <c r="B7" i="22"/>
  <c r="M6" i="22"/>
  <c r="L6" i="22"/>
  <c r="K6" i="22"/>
  <c r="J6" i="22"/>
  <c r="I6" i="22"/>
  <c r="H6" i="22"/>
  <c r="G6" i="22"/>
  <c r="F6" i="22"/>
  <c r="E6" i="22"/>
  <c r="D6" i="22"/>
  <c r="C6" i="22"/>
  <c r="B6" i="22"/>
  <c r="S5" i="22"/>
  <c r="T5" i="22" s="1"/>
  <c r="U5" i="22" s="1"/>
  <c r="V5" i="22" s="1"/>
  <c r="W5" i="22" s="1"/>
  <c r="X5" i="22" s="1"/>
  <c r="Y5" i="22" s="1"/>
  <c r="Z5" i="22" s="1"/>
  <c r="AA5" i="22" s="1"/>
  <c r="AB5" i="22" s="1"/>
  <c r="AC5" i="22" s="1"/>
  <c r="AD5" i="22" s="1"/>
  <c r="AE5" i="22" s="1"/>
  <c r="AF5" i="22" s="1"/>
  <c r="AG5" i="22" s="1"/>
  <c r="AH5" i="22" s="1"/>
  <c r="AI5" i="22" s="1"/>
  <c r="AJ5" i="22" s="1"/>
  <c r="AK5" i="22" s="1"/>
  <c r="AL5" i="22" s="1"/>
  <c r="AM5" i="22" s="1"/>
  <c r="AN5" i="22" s="1"/>
  <c r="AO5" i="22" s="1"/>
  <c r="AP5" i="22" s="1"/>
  <c r="AQ5" i="22" s="1"/>
  <c r="AR5" i="22" s="1"/>
  <c r="AS5" i="22" s="1"/>
  <c r="AT5" i="22" s="1"/>
  <c r="AU5" i="22" s="1"/>
  <c r="AV5" i="22" s="1"/>
  <c r="AW5" i="22" s="1"/>
  <c r="AX5" i="22" s="1"/>
  <c r="AY5" i="22" s="1"/>
  <c r="AZ5" i="22" s="1"/>
  <c r="BA5" i="22" s="1"/>
  <c r="BB5" i="22" s="1"/>
  <c r="BC5" i="22" s="1"/>
  <c r="BD5" i="22" s="1"/>
  <c r="BE5" i="22" s="1"/>
  <c r="BF5" i="22" s="1"/>
  <c r="BG5" i="22" s="1"/>
  <c r="BH5" i="22" s="1"/>
  <c r="BI5" i="22" s="1"/>
  <c r="BJ5" i="22" s="1"/>
  <c r="BK5" i="22" s="1"/>
  <c r="BL5" i="22" s="1"/>
  <c r="BM5" i="22" s="1"/>
  <c r="BN5" i="22" s="1"/>
  <c r="BO5" i="22" s="1"/>
  <c r="BP5" i="22" s="1"/>
  <c r="BQ5" i="22" s="1"/>
  <c r="BR5" i="22" s="1"/>
  <c r="BS5" i="22" s="1"/>
  <c r="BT5" i="22" s="1"/>
  <c r="BU5" i="22" s="1"/>
  <c r="BV5" i="22" s="1"/>
  <c r="BW5" i="22" s="1"/>
  <c r="BX5" i="22" s="1"/>
  <c r="BY5" i="22" s="1"/>
  <c r="BZ5" i="22" s="1"/>
  <c r="CA5" i="22" s="1"/>
  <c r="CB5" i="22" s="1"/>
  <c r="CC5" i="22" s="1"/>
  <c r="CD5" i="22" s="1"/>
  <c r="CE5" i="22" s="1"/>
  <c r="CF5" i="22" s="1"/>
  <c r="CG5" i="22" s="1"/>
  <c r="CH5" i="22" s="1"/>
  <c r="CI5" i="22" s="1"/>
  <c r="CJ5" i="22" s="1"/>
  <c r="CK5" i="22" s="1"/>
  <c r="CL5" i="22" s="1"/>
  <c r="CM5" i="22" s="1"/>
  <c r="CN5" i="22" s="1"/>
  <c r="CO5" i="22" s="1"/>
  <c r="CP5" i="22" s="1"/>
  <c r="CQ5" i="22" s="1"/>
  <c r="CR5" i="22" s="1"/>
  <c r="CS5" i="22" s="1"/>
  <c r="CT5" i="22" s="1"/>
  <c r="CU5" i="22" s="1"/>
  <c r="CV5" i="22" s="1"/>
  <c r="CW5" i="22" s="1"/>
  <c r="CX5" i="22" s="1"/>
  <c r="CY5" i="22" s="1"/>
  <c r="CZ5" i="22" s="1"/>
  <c r="DA5" i="22" s="1"/>
  <c r="DB5" i="22" s="1"/>
  <c r="DC5" i="22" s="1"/>
  <c r="DD5" i="22" s="1"/>
  <c r="DE5" i="22" s="1"/>
  <c r="DF5" i="22" s="1"/>
  <c r="DG5" i="22" s="1"/>
  <c r="DH5" i="22" s="1"/>
  <c r="DI5" i="22" s="1"/>
  <c r="DJ5" i="22" s="1"/>
  <c r="DK5" i="22" s="1"/>
  <c r="DL5" i="22" s="1"/>
  <c r="DM5" i="22" s="1"/>
  <c r="DN5" i="22" s="1"/>
  <c r="DO5" i="22" s="1"/>
  <c r="DP5" i="22" s="1"/>
  <c r="DQ5" i="22" s="1"/>
  <c r="DR5" i="22" s="1"/>
  <c r="DS5" i="22" s="1"/>
  <c r="DT5" i="22" s="1"/>
  <c r="DU5" i="22" s="1"/>
  <c r="DV5" i="22" s="1"/>
  <c r="DW5" i="22" s="1"/>
  <c r="DX5" i="22" s="1"/>
  <c r="DY5" i="22" s="1"/>
  <c r="DZ5" i="22" s="1"/>
  <c r="EA5" i="22" s="1"/>
  <c r="EB5" i="22" s="1"/>
  <c r="EC5" i="22" s="1"/>
  <c r="ED5" i="22" s="1"/>
  <c r="EE5" i="22" s="1"/>
  <c r="EF5" i="22" s="1"/>
  <c r="EG5" i="22" s="1"/>
  <c r="EH5" i="22" s="1"/>
  <c r="EI5" i="22" s="1"/>
  <c r="EJ5" i="22" s="1"/>
  <c r="EK5" i="22" s="1"/>
  <c r="EL5" i="22" s="1"/>
  <c r="EM5" i="22" s="1"/>
  <c r="EN5" i="22" s="1"/>
  <c r="EO5" i="22" s="1"/>
  <c r="EP5" i="22" s="1"/>
  <c r="EQ5" i="22" s="1"/>
  <c r="ER5" i="22" s="1"/>
  <c r="ES5" i="22" s="1"/>
  <c r="ET5" i="22" s="1"/>
  <c r="EU5" i="22" s="1"/>
  <c r="EV5" i="22" s="1"/>
  <c r="EW5" i="22" s="1"/>
  <c r="EX5" i="22" s="1"/>
  <c r="EY5" i="22" s="1"/>
  <c r="EZ5" i="22" s="1"/>
  <c r="FA5" i="22" s="1"/>
  <c r="FB5" i="22" s="1"/>
  <c r="FC5" i="22" s="1"/>
  <c r="FD5" i="22" s="1"/>
  <c r="FE5" i="22" s="1"/>
  <c r="FF5" i="22" s="1"/>
  <c r="FG5" i="22" s="1"/>
  <c r="FH5" i="22" s="1"/>
  <c r="FI5" i="22" s="1"/>
  <c r="FJ5" i="22" s="1"/>
  <c r="FK5" i="22" s="1"/>
  <c r="FL5" i="22" s="1"/>
  <c r="FM5" i="22" s="1"/>
  <c r="FN5" i="22" s="1"/>
  <c r="FO5" i="22" s="1"/>
  <c r="FP5" i="22" s="1"/>
  <c r="FQ5" i="22" s="1"/>
  <c r="FR5" i="22" s="1"/>
  <c r="FS5" i="22" s="1"/>
  <c r="FT5" i="22" s="1"/>
  <c r="FU5" i="22" s="1"/>
  <c r="FV5" i="22" s="1"/>
  <c r="FW5" i="22" s="1"/>
  <c r="FX5" i="22" s="1"/>
  <c r="FY5" i="22" s="1"/>
  <c r="FZ5" i="22" s="1"/>
  <c r="GA5" i="22" s="1"/>
  <c r="GB5" i="22" s="1"/>
  <c r="GC5" i="22" s="1"/>
  <c r="GD5" i="22" s="1"/>
  <c r="GE5" i="22" s="1"/>
  <c r="GF5" i="22" s="1"/>
  <c r="GG5" i="22" s="1"/>
  <c r="GH5" i="22" s="1"/>
  <c r="GI5" i="22" s="1"/>
  <c r="GJ5" i="22" s="1"/>
  <c r="GK5" i="22" s="1"/>
  <c r="GL5" i="22" s="1"/>
  <c r="GM5" i="22" s="1"/>
  <c r="GN5" i="22" s="1"/>
  <c r="GO5" i="22" s="1"/>
  <c r="GP5" i="22" s="1"/>
  <c r="T4" i="22"/>
  <c r="U4" i="22" s="1"/>
  <c r="S3" i="22"/>
  <c r="B5" i="3"/>
  <c r="M39" i="21"/>
  <c r="L39" i="21"/>
  <c r="K39" i="21"/>
  <c r="J39" i="21"/>
  <c r="I39" i="21"/>
  <c r="H39" i="21"/>
  <c r="G39" i="21"/>
  <c r="F39" i="21"/>
  <c r="E39" i="21"/>
  <c r="D39" i="21"/>
  <c r="C39" i="21"/>
  <c r="B39" i="21"/>
  <c r="GJ39" i="21" s="1"/>
  <c r="M38" i="21"/>
  <c r="L38" i="21"/>
  <c r="K38" i="21"/>
  <c r="J38" i="21"/>
  <c r="I38" i="21"/>
  <c r="H38" i="21"/>
  <c r="G38" i="21"/>
  <c r="F38" i="21"/>
  <c r="E38" i="21"/>
  <c r="D38" i="21"/>
  <c r="C38" i="21"/>
  <c r="B38" i="21"/>
  <c r="GP38" i="21" s="1"/>
  <c r="M37" i="21"/>
  <c r="L37" i="21"/>
  <c r="K37" i="21"/>
  <c r="J37" i="21"/>
  <c r="I37" i="21"/>
  <c r="H37" i="21"/>
  <c r="G37" i="21"/>
  <c r="F37" i="21"/>
  <c r="E37" i="21"/>
  <c r="D37" i="21"/>
  <c r="C37" i="21"/>
  <c r="B37" i="21"/>
  <c r="M36" i="21"/>
  <c r="L36" i="21"/>
  <c r="K36" i="21"/>
  <c r="J36" i="21"/>
  <c r="I36" i="21"/>
  <c r="H36" i="21"/>
  <c r="G36" i="21"/>
  <c r="F36" i="21"/>
  <c r="E36" i="21"/>
  <c r="D36" i="21"/>
  <c r="C36" i="21"/>
  <c r="B36" i="21"/>
  <c r="M35" i="21"/>
  <c r="L35" i="21"/>
  <c r="K35" i="21"/>
  <c r="J35" i="21"/>
  <c r="I35" i="21"/>
  <c r="H35" i="21"/>
  <c r="G35" i="21"/>
  <c r="F35" i="21"/>
  <c r="E35" i="21"/>
  <c r="D35" i="21"/>
  <c r="C35" i="21"/>
  <c r="B35" i="21"/>
  <c r="M34" i="21"/>
  <c r="L34" i="21"/>
  <c r="K34" i="21"/>
  <c r="J34" i="21"/>
  <c r="I34" i="21"/>
  <c r="H34" i="21"/>
  <c r="G34" i="21"/>
  <c r="F34" i="21"/>
  <c r="E34" i="21"/>
  <c r="D34" i="21"/>
  <c r="C34" i="21"/>
  <c r="B34" i="21"/>
  <c r="M33" i="21"/>
  <c r="L33" i="21"/>
  <c r="K33" i="21"/>
  <c r="J33" i="21"/>
  <c r="I33" i="21"/>
  <c r="H33" i="21"/>
  <c r="G33" i="21"/>
  <c r="F33" i="21"/>
  <c r="E33" i="21"/>
  <c r="D33" i="21"/>
  <c r="C33" i="21"/>
  <c r="B33" i="21"/>
  <c r="M32" i="21"/>
  <c r="L32" i="21"/>
  <c r="K32" i="21"/>
  <c r="J32" i="21"/>
  <c r="I32" i="21"/>
  <c r="H32" i="21"/>
  <c r="G32" i="21"/>
  <c r="F32" i="21"/>
  <c r="E32" i="21"/>
  <c r="D32" i="21"/>
  <c r="C32" i="21"/>
  <c r="B32" i="21"/>
  <c r="M31" i="21"/>
  <c r="L31" i="21"/>
  <c r="K31" i="21"/>
  <c r="J31" i="21"/>
  <c r="I31" i="21"/>
  <c r="H31" i="21"/>
  <c r="G31" i="21"/>
  <c r="F31" i="21"/>
  <c r="E31" i="21"/>
  <c r="D31" i="21"/>
  <c r="C31" i="21"/>
  <c r="B31" i="21"/>
  <c r="M30" i="21"/>
  <c r="L30" i="21"/>
  <c r="K30" i="21"/>
  <c r="J30" i="21"/>
  <c r="I30" i="21"/>
  <c r="H30" i="21"/>
  <c r="G30" i="21"/>
  <c r="F30" i="21"/>
  <c r="E30" i="21"/>
  <c r="D30" i="21"/>
  <c r="C30" i="21"/>
  <c r="B30" i="21"/>
  <c r="M29" i="21"/>
  <c r="L29" i="21"/>
  <c r="K29" i="21"/>
  <c r="J29" i="21"/>
  <c r="I29" i="21"/>
  <c r="H29" i="21"/>
  <c r="G29" i="21"/>
  <c r="F29" i="21"/>
  <c r="E29" i="21"/>
  <c r="D29" i="21"/>
  <c r="C29" i="21"/>
  <c r="B29" i="21"/>
  <c r="M28" i="21"/>
  <c r="L28" i="21"/>
  <c r="K28" i="21"/>
  <c r="J28" i="21"/>
  <c r="I28" i="21"/>
  <c r="H28" i="21"/>
  <c r="G28" i="21"/>
  <c r="F28" i="21"/>
  <c r="E28" i="21"/>
  <c r="D28" i="21"/>
  <c r="C28" i="21"/>
  <c r="B28" i="21"/>
  <c r="M27" i="21"/>
  <c r="L27" i="21"/>
  <c r="K27" i="21"/>
  <c r="J27" i="21"/>
  <c r="I27" i="21"/>
  <c r="H27" i="21"/>
  <c r="G27" i="21"/>
  <c r="F27" i="21"/>
  <c r="E27" i="21"/>
  <c r="D27" i="21"/>
  <c r="C27" i="21"/>
  <c r="B27" i="21"/>
  <c r="M26" i="21"/>
  <c r="L26" i="21"/>
  <c r="K26" i="21"/>
  <c r="J26" i="21"/>
  <c r="I26" i="21"/>
  <c r="H26" i="21"/>
  <c r="G26" i="21"/>
  <c r="F26" i="21"/>
  <c r="E26" i="21"/>
  <c r="D26" i="21"/>
  <c r="C26" i="21"/>
  <c r="B26" i="21"/>
  <c r="M25" i="21"/>
  <c r="L25" i="21"/>
  <c r="K25" i="21"/>
  <c r="J25" i="21"/>
  <c r="I25" i="21"/>
  <c r="H25" i="21"/>
  <c r="G25" i="21"/>
  <c r="F25" i="21"/>
  <c r="E25" i="21"/>
  <c r="D25" i="21"/>
  <c r="C25" i="21"/>
  <c r="B25" i="21"/>
  <c r="M24" i="21"/>
  <c r="L24" i="21"/>
  <c r="K24" i="21"/>
  <c r="J24" i="21"/>
  <c r="I24" i="21"/>
  <c r="H24" i="21"/>
  <c r="G24" i="21"/>
  <c r="F24" i="21"/>
  <c r="E24" i="21"/>
  <c r="D24" i="21"/>
  <c r="C24" i="21"/>
  <c r="B24" i="21"/>
  <c r="M23" i="21"/>
  <c r="L23" i="21"/>
  <c r="K23" i="21"/>
  <c r="J23" i="21"/>
  <c r="I23" i="21"/>
  <c r="H23" i="21"/>
  <c r="G23" i="21"/>
  <c r="F23" i="21"/>
  <c r="E23" i="21"/>
  <c r="D23" i="21"/>
  <c r="C23" i="21"/>
  <c r="B23" i="21"/>
  <c r="M22" i="21"/>
  <c r="L22" i="21"/>
  <c r="K22" i="21"/>
  <c r="J22" i="21"/>
  <c r="I22" i="21"/>
  <c r="H22" i="21"/>
  <c r="G22" i="21"/>
  <c r="F22" i="21"/>
  <c r="E22" i="21"/>
  <c r="D22" i="21"/>
  <c r="C22" i="21"/>
  <c r="B22" i="21"/>
  <c r="M21" i="21"/>
  <c r="L21" i="21"/>
  <c r="K21" i="21"/>
  <c r="J21" i="21"/>
  <c r="I21" i="21"/>
  <c r="H21" i="21"/>
  <c r="G21" i="21"/>
  <c r="F21" i="21"/>
  <c r="E21" i="21"/>
  <c r="D21" i="21"/>
  <c r="C21" i="21"/>
  <c r="B21" i="21"/>
  <c r="M20" i="21"/>
  <c r="L20" i="21"/>
  <c r="K20" i="21"/>
  <c r="J20" i="21"/>
  <c r="I20" i="21"/>
  <c r="H20" i="21"/>
  <c r="G20" i="21"/>
  <c r="F20" i="21"/>
  <c r="E20" i="21"/>
  <c r="D20" i="21"/>
  <c r="C20" i="21"/>
  <c r="B20" i="21"/>
  <c r="M19" i="21"/>
  <c r="L19" i="21"/>
  <c r="K19" i="21"/>
  <c r="J19" i="21"/>
  <c r="I19" i="21"/>
  <c r="H19" i="21"/>
  <c r="G19" i="21"/>
  <c r="F19" i="21"/>
  <c r="E19" i="21"/>
  <c r="D19" i="21"/>
  <c r="C19" i="21"/>
  <c r="B19" i="21"/>
  <c r="M18" i="21"/>
  <c r="L18" i="21"/>
  <c r="K18" i="21"/>
  <c r="J18" i="21"/>
  <c r="I18" i="21"/>
  <c r="H18" i="21"/>
  <c r="G18" i="21"/>
  <c r="F18" i="21"/>
  <c r="E18" i="21"/>
  <c r="D18" i="21"/>
  <c r="C18" i="21"/>
  <c r="B18" i="21"/>
  <c r="M17" i="21"/>
  <c r="L17" i="21"/>
  <c r="K17" i="21"/>
  <c r="J17" i="21"/>
  <c r="I17" i="21"/>
  <c r="H17" i="21"/>
  <c r="G17" i="21"/>
  <c r="F17" i="21"/>
  <c r="E17" i="21"/>
  <c r="D17" i="21"/>
  <c r="C17" i="21"/>
  <c r="B17" i="21"/>
  <c r="M16" i="21"/>
  <c r="L16" i="21"/>
  <c r="K16" i="21"/>
  <c r="J16" i="21"/>
  <c r="I16" i="21"/>
  <c r="H16" i="21"/>
  <c r="G16" i="21"/>
  <c r="F16" i="21"/>
  <c r="E16" i="21"/>
  <c r="D16" i="21"/>
  <c r="C16" i="21"/>
  <c r="B16" i="21"/>
  <c r="M15" i="21"/>
  <c r="L15" i="21"/>
  <c r="K15" i="21"/>
  <c r="J15" i="21"/>
  <c r="I15" i="21"/>
  <c r="H15" i="21"/>
  <c r="G15" i="21"/>
  <c r="F15" i="21"/>
  <c r="E15" i="21"/>
  <c r="D15" i="21"/>
  <c r="C15" i="21"/>
  <c r="B15" i="21"/>
  <c r="M14" i="21"/>
  <c r="L14" i="21"/>
  <c r="K14" i="21"/>
  <c r="J14" i="21"/>
  <c r="I14" i="21"/>
  <c r="H14" i="21"/>
  <c r="G14" i="21"/>
  <c r="F14" i="21"/>
  <c r="E14" i="21"/>
  <c r="D14" i="21"/>
  <c r="C14" i="21"/>
  <c r="B14" i="21"/>
  <c r="M13" i="21"/>
  <c r="L13" i="21"/>
  <c r="K13" i="21"/>
  <c r="J13" i="21"/>
  <c r="I13" i="21"/>
  <c r="H13" i="21"/>
  <c r="G13" i="21"/>
  <c r="F13" i="21"/>
  <c r="E13" i="21"/>
  <c r="D13" i="21"/>
  <c r="C13" i="21"/>
  <c r="B13" i="21"/>
  <c r="M12" i="21"/>
  <c r="L12" i="21"/>
  <c r="K12" i="21"/>
  <c r="J12" i="21"/>
  <c r="I12" i="21"/>
  <c r="H12" i="21"/>
  <c r="G12" i="21"/>
  <c r="F12" i="21"/>
  <c r="E12" i="21"/>
  <c r="D12" i="21"/>
  <c r="C12" i="21"/>
  <c r="B12" i="21"/>
  <c r="M11" i="21"/>
  <c r="L11" i="21"/>
  <c r="K11" i="21"/>
  <c r="J11" i="21"/>
  <c r="I11" i="21"/>
  <c r="H11" i="21"/>
  <c r="G11" i="21"/>
  <c r="F11" i="21"/>
  <c r="E11" i="21"/>
  <c r="D11" i="21"/>
  <c r="C11" i="21"/>
  <c r="B11" i="21"/>
  <c r="GL11" i="21" s="1"/>
  <c r="M10" i="21"/>
  <c r="L10" i="21"/>
  <c r="K10" i="21"/>
  <c r="J10" i="21"/>
  <c r="I10" i="21"/>
  <c r="H10" i="21"/>
  <c r="G10" i="21"/>
  <c r="F10" i="21"/>
  <c r="E10" i="21"/>
  <c r="D10" i="21"/>
  <c r="C10" i="21"/>
  <c r="B10" i="21"/>
  <c r="M9" i="21"/>
  <c r="L9" i="21"/>
  <c r="K9" i="21"/>
  <c r="J9" i="21"/>
  <c r="I9" i="21"/>
  <c r="H9" i="21"/>
  <c r="G9" i="21"/>
  <c r="F9" i="21"/>
  <c r="E9" i="21"/>
  <c r="D9" i="21"/>
  <c r="C9" i="21"/>
  <c r="B9" i="21"/>
  <c r="P8" i="21"/>
  <c r="M8" i="21"/>
  <c r="L8" i="21"/>
  <c r="K8" i="21"/>
  <c r="J8" i="21"/>
  <c r="I8" i="21"/>
  <c r="H8" i="21"/>
  <c r="G8" i="21"/>
  <c r="F8" i="21"/>
  <c r="E8" i="21"/>
  <c r="D8" i="21"/>
  <c r="C8" i="21"/>
  <c r="B8" i="21"/>
  <c r="M7" i="21"/>
  <c r="L7" i="21"/>
  <c r="K7" i="21"/>
  <c r="J7" i="21"/>
  <c r="I7" i="21"/>
  <c r="H7" i="21"/>
  <c r="G7" i="21"/>
  <c r="F7" i="21"/>
  <c r="E7" i="21"/>
  <c r="D7" i="21"/>
  <c r="C7" i="21"/>
  <c r="B7" i="21"/>
  <c r="M6" i="21"/>
  <c r="L6" i="21"/>
  <c r="K6" i="21"/>
  <c r="J6" i="21"/>
  <c r="I6" i="21"/>
  <c r="H6" i="21"/>
  <c r="G6" i="21"/>
  <c r="F6" i="21"/>
  <c r="E6" i="21"/>
  <c r="D6" i="21"/>
  <c r="C6" i="21"/>
  <c r="B6" i="21"/>
  <c r="S5" i="21"/>
  <c r="T5" i="21" s="1"/>
  <c r="U5" i="21" s="1"/>
  <c r="V5" i="21" s="1"/>
  <c r="W5" i="21" s="1"/>
  <c r="X5" i="21" s="1"/>
  <c r="Y5" i="21" s="1"/>
  <c r="Z5" i="21" s="1"/>
  <c r="AA5" i="21" s="1"/>
  <c r="AB5" i="21" s="1"/>
  <c r="AC5" i="21" s="1"/>
  <c r="AD5" i="21" s="1"/>
  <c r="AE5" i="21" s="1"/>
  <c r="AF5" i="21" s="1"/>
  <c r="AG5" i="21" s="1"/>
  <c r="AH5" i="21" s="1"/>
  <c r="AI5" i="21" s="1"/>
  <c r="AJ5" i="21" s="1"/>
  <c r="AK5" i="21" s="1"/>
  <c r="AL5" i="21" s="1"/>
  <c r="AM5" i="21" s="1"/>
  <c r="AN5" i="21" s="1"/>
  <c r="AO5" i="21" s="1"/>
  <c r="AP5" i="21" s="1"/>
  <c r="AQ5" i="21" s="1"/>
  <c r="AR5" i="21" s="1"/>
  <c r="AS5" i="21" s="1"/>
  <c r="AT5" i="21" s="1"/>
  <c r="AU5" i="21" s="1"/>
  <c r="AV5" i="21" s="1"/>
  <c r="AW5" i="21" s="1"/>
  <c r="AX5" i="21" s="1"/>
  <c r="AY5" i="21" s="1"/>
  <c r="AZ5" i="21" s="1"/>
  <c r="BA5" i="21" s="1"/>
  <c r="BB5" i="21" s="1"/>
  <c r="BC5" i="21" s="1"/>
  <c r="BD5" i="21" s="1"/>
  <c r="BE5" i="21" s="1"/>
  <c r="BF5" i="21" s="1"/>
  <c r="BG5" i="21" s="1"/>
  <c r="BH5" i="21" s="1"/>
  <c r="BI5" i="21" s="1"/>
  <c r="BJ5" i="21" s="1"/>
  <c r="BK5" i="21" s="1"/>
  <c r="BL5" i="21" s="1"/>
  <c r="BM5" i="21" s="1"/>
  <c r="BN5" i="21" s="1"/>
  <c r="BO5" i="21" s="1"/>
  <c r="BP5" i="21" s="1"/>
  <c r="BQ5" i="21" s="1"/>
  <c r="BR5" i="21" s="1"/>
  <c r="BS5" i="21" s="1"/>
  <c r="BT5" i="21" s="1"/>
  <c r="BU5" i="21" s="1"/>
  <c r="BV5" i="21" s="1"/>
  <c r="BW5" i="21" s="1"/>
  <c r="BX5" i="21" s="1"/>
  <c r="BY5" i="21" s="1"/>
  <c r="BZ5" i="21" s="1"/>
  <c r="CA5" i="21" s="1"/>
  <c r="CB5" i="21" s="1"/>
  <c r="CC5" i="21" s="1"/>
  <c r="CD5" i="21" s="1"/>
  <c r="CE5" i="21" s="1"/>
  <c r="CF5" i="21" s="1"/>
  <c r="CG5" i="21" s="1"/>
  <c r="CH5" i="21" s="1"/>
  <c r="CI5" i="21" s="1"/>
  <c r="CJ5" i="21" s="1"/>
  <c r="CK5" i="21" s="1"/>
  <c r="CL5" i="21" s="1"/>
  <c r="CM5" i="21" s="1"/>
  <c r="CN5" i="21" s="1"/>
  <c r="CO5" i="21" s="1"/>
  <c r="CP5" i="21" s="1"/>
  <c r="CQ5" i="21" s="1"/>
  <c r="CR5" i="21" s="1"/>
  <c r="CS5" i="21" s="1"/>
  <c r="CT5" i="21" s="1"/>
  <c r="CU5" i="21" s="1"/>
  <c r="CV5" i="21" s="1"/>
  <c r="CW5" i="21" s="1"/>
  <c r="CX5" i="21" s="1"/>
  <c r="CY5" i="21" s="1"/>
  <c r="CZ5" i="21" s="1"/>
  <c r="DA5" i="21" s="1"/>
  <c r="DB5" i="21" s="1"/>
  <c r="DC5" i="21" s="1"/>
  <c r="DD5" i="21" s="1"/>
  <c r="DE5" i="21" s="1"/>
  <c r="DF5" i="21" s="1"/>
  <c r="DG5" i="21" s="1"/>
  <c r="DH5" i="21" s="1"/>
  <c r="DI5" i="21" s="1"/>
  <c r="DJ5" i="21" s="1"/>
  <c r="DK5" i="21" s="1"/>
  <c r="DL5" i="21" s="1"/>
  <c r="DM5" i="21" s="1"/>
  <c r="DN5" i="21" s="1"/>
  <c r="DO5" i="21" s="1"/>
  <c r="DP5" i="21" s="1"/>
  <c r="DQ5" i="21" s="1"/>
  <c r="DR5" i="21" s="1"/>
  <c r="DS5" i="21" s="1"/>
  <c r="DT5" i="21" s="1"/>
  <c r="DU5" i="21" s="1"/>
  <c r="DV5" i="21" s="1"/>
  <c r="DW5" i="21" s="1"/>
  <c r="DX5" i="21" s="1"/>
  <c r="DY5" i="21" s="1"/>
  <c r="DZ5" i="21" s="1"/>
  <c r="EA5" i="21" s="1"/>
  <c r="EB5" i="21" s="1"/>
  <c r="EC5" i="21" s="1"/>
  <c r="ED5" i="21" s="1"/>
  <c r="EE5" i="21" s="1"/>
  <c r="EF5" i="21" s="1"/>
  <c r="EG5" i="21" s="1"/>
  <c r="EH5" i="21" s="1"/>
  <c r="EI5" i="21" s="1"/>
  <c r="EJ5" i="21" s="1"/>
  <c r="EK5" i="21" s="1"/>
  <c r="EL5" i="21" s="1"/>
  <c r="EM5" i="21" s="1"/>
  <c r="EN5" i="21" s="1"/>
  <c r="EO5" i="21" s="1"/>
  <c r="EP5" i="21" s="1"/>
  <c r="EQ5" i="21" s="1"/>
  <c r="ER5" i="21" s="1"/>
  <c r="ES5" i="21" s="1"/>
  <c r="ET5" i="21" s="1"/>
  <c r="EU5" i="21" s="1"/>
  <c r="EV5" i="21" s="1"/>
  <c r="EW5" i="21" s="1"/>
  <c r="EX5" i="21" s="1"/>
  <c r="EY5" i="21" s="1"/>
  <c r="EZ5" i="21" s="1"/>
  <c r="FA5" i="21" s="1"/>
  <c r="FB5" i="21" s="1"/>
  <c r="FC5" i="21" s="1"/>
  <c r="FD5" i="21" s="1"/>
  <c r="FE5" i="21" s="1"/>
  <c r="FF5" i="21" s="1"/>
  <c r="FG5" i="21" s="1"/>
  <c r="FH5" i="21" s="1"/>
  <c r="FI5" i="21" s="1"/>
  <c r="FJ5" i="21" s="1"/>
  <c r="FK5" i="21" s="1"/>
  <c r="FL5" i="21" s="1"/>
  <c r="FM5" i="21" s="1"/>
  <c r="FN5" i="21" s="1"/>
  <c r="FO5" i="21" s="1"/>
  <c r="FP5" i="21" s="1"/>
  <c r="FQ5" i="21" s="1"/>
  <c r="FR5" i="21" s="1"/>
  <c r="FS5" i="21" s="1"/>
  <c r="FT5" i="21" s="1"/>
  <c r="FU5" i="21" s="1"/>
  <c r="FV5" i="21" s="1"/>
  <c r="FW5" i="21" s="1"/>
  <c r="FX5" i="21" s="1"/>
  <c r="FY5" i="21" s="1"/>
  <c r="FZ5" i="21" s="1"/>
  <c r="GA5" i="21" s="1"/>
  <c r="GB5" i="21" s="1"/>
  <c r="GC5" i="21" s="1"/>
  <c r="GD5" i="21" s="1"/>
  <c r="GE5" i="21" s="1"/>
  <c r="GF5" i="21" s="1"/>
  <c r="GG5" i="21" s="1"/>
  <c r="GH5" i="21" s="1"/>
  <c r="GI5" i="21" s="1"/>
  <c r="GJ5" i="21" s="1"/>
  <c r="GK5" i="21" s="1"/>
  <c r="GL5" i="21" s="1"/>
  <c r="GM5" i="21" s="1"/>
  <c r="GN5" i="21" s="1"/>
  <c r="GO5" i="21" s="1"/>
  <c r="GP5" i="21" s="1"/>
  <c r="T4" i="21"/>
  <c r="U4" i="21" s="1"/>
  <c r="T3" i="21"/>
  <c r="S3" i="21"/>
  <c r="E5" i="20"/>
  <c r="U3" i="17"/>
  <c r="U5" i="17"/>
  <c r="V5" i="17" s="1"/>
  <c r="W5" i="17" s="1"/>
  <c r="X5" i="17" s="1"/>
  <c r="Y5" i="17" s="1"/>
  <c r="Z5" i="17" s="1"/>
  <c r="AA5" i="17" s="1"/>
  <c r="AB5" i="17" s="1"/>
  <c r="AC5" i="17" s="1"/>
  <c r="AD5" i="17" s="1"/>
  <c r="AE5" i="17" s="1"/>
  <c r="AF5" i="17" s="1"/>
  <c r="AG5" i="17" s="1"/>
  <c r="AH5" i="17" s="1"/>
  <c r="AI5" i="17" s="1"/>
  <c r="AJ5" i="17" s="1"/>
  <c r="AK5" i="17" s="1"/>
  <c r="AL5" i="17" s="1"/>
  <c r="AM5" i="17" s="1"/>
  <c r="AN5" i="17" s="1"/>
  <c r="AO5" i="17" s="1"/>
  <c r="AP5" i="17" s="1"/>
  <c r="AQ5" i="17" s="1"/>
  <c r="AR5" i="17" s="1"/>
  <c r="AS5" i="17" s="1"/>
  <c r="AT5" i="17" s="1"/>
  <c r="AU5" i="17" s="1"/>
  <c r="AV5" i="17" s="1"/>
  <c r="AW5" i="17" s="1"/>
  <c r="AX5" i="17" s="1"/>
  <c r="AY5" i="17" s="1"/>
  <c r="AZ5" i="17" s="1"/>
  <c r="BA5" i="17" s="1"/>
  <c r="BB5" i="17" s="1"/>
  <c r="BC5" i="17" s="1"/>
  <c r="BD5" i="17" s="1"/>
  <c r="BE5" i="17" s="1"/>
  <c r="BF5" i="17" s="1"/>
  <c r="BG5" i="17" s="1"/>
  <c r="BH5" i="17" s="1"/>
  <c r="BI5" i="17" s="1"/>
  <c r="BJ5" i="17" s="1"/>
  <c r="BK5" i="17" s="1"/>
  <c r="BL5" i="17" s="1"/>
  <c r="BM5" i="17" s="1"/>
  <c r="BN5" i="17" s="1"/>
  <c r="BO5" i="17" s="1"/>
  <c r="BP5" i="17" s="1"/>
  <c r="BQ5" i="17" s="1"/>
  <c r="BR5" i="17" s="1"/>
  <c r="BS5" i="17" s="1"/>
  <c r="BT5" i="17" s="1"/>
  <c r="BU5" i="17" s="1"/>
  <c r="BV5" i="17" s="1"/>
  <c r="BW5" i="17" s="1"/>
  <c r="BX5" i="17" s="1"/>
  <c r="BY5" i="17" s="1"/>
  <c r="BZ5" i="17" s="1"/>
  <c r="CA5" i="17" s="1"/>
  <c r="CB5" i="17" s="1"/>
  <c r="CC5" i="17" s="1"/>
  <c r="CD5" i="17" s="1"/>
  <c r="CE5" i="17" s="1"/>
  <c r="CF5" i="17" s="1"/>
  <c r="CG5" i="17" s="1"/>
  <c r="CH5" i="17" s="1"/>
  <c r="CI5" i="17" s="1"/>
  <c r="CJ5" i="17" s="1"/>
  <c r="CK5" i="17" s="1"/>
  <c r="CL5" i="17" s="1"/>
  <c r="CM5" i="17" s="1"/>
  <c r="CN5" i="17" s="1"/>
  <c r="CO5" i="17" s="1"/>
  <c r="CP5" i="17" s="1"/>
  <c r="CQ5" i="17" s="1"/>
  <c r="CR5" i="17" s="1"/>
  <c r="CS5" i="17" s="1"/>
  <c r="CT5" i="17" s="1"/>
  <c r="CU5" i="17" s="1"/>
  <c r="CV5" i="17" s="1"/>
  <c r="CW5" i="17" s="1"/>
  <c r="CX5" i="17" s="1"/>
  <c r="CY5" i="17" s="1"/>
  <c r="CZ5" i="17" s="1"/>
  <c r="DA5" i="17" s="1"/>
  <c r="DB5" i="17" s="1"/>
  <c r="DC5" i="17" s="1"/>
  <c r="DD5" i="17" s="1"/>
  <c r="DE5" i="17" s="1"/>
  <c r="DF5" i="17" s="1"/>
  <c r="DG5" i="17" s="1"/>
  <c r="DH5" i="17" s="1"/>
  <c r="DI5" i="17" s="1"/>
  <c r="DJ5" i="17" s="1"/>
  <c r="DK5" i="17" s="1"/>
  <c r="DL5" i="17" s="1"/>
  <c r="DM5" i="17" s="1"/>
  <c r="DN5" i="17" s="1"/>
  <c r="DO5" i="17" s="1"/>
  <c r="DP5" i="17" s="1"/>
  <c r="DQ5" i="17" s="1"/>
  <c r="DR5" i="17" s="1"/>
  <c r="DS5" i="17" s="1"/>
  <c r="DT5" i="17" s="1"/>
  <c r="DU5" i="17" s="1"/>
  <c r="DV5" i="17" s="1"/>
  <c r="DW5" i="17" s="1"/>
  <c r="DX5" i="17" s="1"/>
  <c r="DY5" i="17" s="1"/>
  <c r="DZ5" i="17" s="1"/>
  <c r="EA5" i="17" s="1"/>
  <c r="EB5" i="17" s="1"/>
  <c r="EC5" i="17" s="1"/>
  <c r="ED5" i="17" s="1"/>
  <c r="EE5" i="17" s="1"/>
  <c r="EF5" i="17" s="1"/>
  <c r="EG5" i="17" s="1"/>
  <c r="EH5" i="17" s="1"/>
  <c r="EI5" i="17" s="1"/>
  <c r="EJ5" i="17" s="1"/>
  <c r="EK5" i="17" s="1"/>
  <c r="EL5" i="17" s="1"/>
  <c r="EM5" i="17" s="1"/>
  <c r="EN5" i="17" s="1"/>
  <c r="EO5" i="17" s="1"/>
  <c r="EP5" i="17" s="1"/>
  <c r="EQ5" i="17" s="1"/>
  <c r="ER5" i="17" s="1"/>
  <c r="ES5" i="17" s="1"/>
  <c r="ET5" i="17" s="1"/>
  <c r="EU5" i="17" s="1"/>
  <c r="EV5" i="17" s="1"/>
  <c r="EW5" i="17" s="1"/>
  <c r="EX5" i="17" s="1"/>
  <c r="EY5" i="17" s="1"/>
  <c r="EZ5" i="17" s="1"/>
  <c r="FA5" i="17" s="1"/>
  <c r="FB5" i="17" s="1"/>
  <c r="FC5" i="17" s="1"/>
  <c r="FD5" i="17" s="1"/>
  <c r="FE5" i="17" s="1"/>
  <c r="FF5" i="17" s="1"/>
  <c r="FG5" i="17" s="1"/>
  <c r="FH5" i="17" s="1"/>
  <c r="FI5" i="17" s="1"/>
  <c r="FJ5" i="17" s="1"/>
  <c r="FK5" i="17" s="1"/>
  <c r="FL5" i="17" s="1"/>
  <c r="FM5" i="17" s="1"/>
  <c r="FN5" i="17" s="1"/>
  <c r="FO5" i="17" s="1"/>
  <c r="FP5" i="17" s="1"/>
  <c r="FQ5" i="17" s="1"/>
  <c r="FR5" i="17" s="1"/>
  <c r="FS5" i="17" s="1"/>
  <c r="FT5" i="17" s="1"/>
  <c r="FU5" i="17" s="1"/>
  <c r="FV5" i="17" s="1"/>
  <c r="FW5" i="17" s="1"/>
  <c r="FX5" i="17" s="1"/>
  <c r="FY5" i="17" s="1"/>
  <c r="FZ5" i="17" s="1"/>
  <c r="GA5" i="17" s="1"/>
  <c r="GB5" i="17" s="1"/>
  <c r="GC5" i="17" s="1"/>
  <c r="GD5" i="17" s="1"/>
  <c r="GE5" i="17" s="1"/>
  <c r="GF5" i="17" s="1"/>
  <c r="GG5" i="17" s="1"/>
  <c r="GH5" i="17" s="1"/>
  <c r="GI5" i="17" s="1"/>
  <c r="GJ5" i="17" s="1"/>
  <c r="GK5" i="17" s="1"/>
  <c r="GL5" i="17" s="1"/>
  <c r="GM5" i="17" s="1"/>
  <c r="GN5" i="17" s="1"/>
  <c r="GO5" i="17" s="1"/>
  <c r="GP5" i="17" s="1"/>
  <c r="GQ5" i="17" s="1"/>
  <c r="GR5" i="17" s="1"/>
  <c r="V4" i="17"/>
  <c r="V3" i="17" s="1"/>
  <c r="O39" i="17"/>
  <c r="N39" i="17"/>
  <c r="M39" i="17"/>
  <c r="L39" i="17"/>
  <c r="K39" i="17"/>
  <c r="J39" i="17"/>
  <c r="G39" i="17"/>
  <c r="H39" i="17" s="1"/>
  <c r="F39" i="17"/>
  <c r="E39" i="17"/>
  <c r="D39" i="17"/>
  <c r="C39" i="17"/>
  <c r="B39" i="17"/>
  <c r="O38" i="17"/>
  <c r="N38" i="17"/>
  <c r="M38" i="17"/>
  <c r="L38" i="17"/>
  <c r="K38" i="17"/>
  <c r="J38" i="17"/>
  <c r="G38" i="17"/>
  <c r="H38" i="17" s="1"/>
  <c r="F38" i="17"/>
  <c r="E38" i="17"/>
  <c r="D38" i="17"/>
  <c r="C38" i="17"/>
  <c r="B38" i="17"/>
  <c r="O37" i="17"/>
  <c r="N37" i="17"/>
  <c r="M37" i="17"/>
  <c r="L37" i="17"/>
  <c r="K37" i="17"/>
  <c r="J37" i="17"/>
  <c r="G37" i="17"/>
  <c r="H37" i="17" s="1"/>
  <c r="F37" i="17"/>
  <c r="E37" i="17"/>
  <c r="D37" i="17"/>
  <c r="C37" i="17"/>
  <c r="B37" i="17"/>
  <c r="O36" i="17"/>
  <c r="N36" i="17"/>
  <c r="M36" i="17"/>
  <c r="L36" i="17"/>
  <c r="K36" i="17"/>
  <c r="J36" i="17"/>
  <c r="G36" i="17"/>
  <c r="H36" i="17" s="1"/>
  <c r="F36" i="17"/>
  <c r="E36" i="17"/>
  <c r="D36" i="17"/>
  <c r="C36" i="17"/>
  <c r="B36" i="17"/>
  <c r="O35" i="17"/>
  <c r="N35" i="17"/>
  <c r="M35" i="17"/>
  <c r="L35" i="17"/>
  <c r="K35" i="17"/>
  <c r="J35" i="17"/>
  <c r="G35" i="17"/>
  <c r="H35" i="17" s="1"/>
  <c r="F35" i="17"/>
  <c r="E35" i="17"/>
  <c r="D35" i="17"/>
  <c r="C35" i="17"/>
  <c r="B35" i="17"/>
  <c r="O34" i="17"/>
  <c r="N34" i="17"/>
  <c r="M34" i="17"/>
  <c r="L34" i="17"/>
  <c r="K34" i="17"/>
  <c r="J34" i="17"/>
  <c r="G34" i="17"/>
  <c r="H34" i="17" s="1"/>
  <c r="F34" i="17"/>
  <c r="E34" i="17"/>
  <c r="D34" i="17"/>
  <c r="C34" i="17"/>
  <c r="B34" i="17"/>
  <c r="O33" i="17"/>
  <c r="N33" i="17"/>
  <c r="M33" i="17"/>
  <c r="L33" i="17"/>
  <c r="K33" i="17"/>
  <c r="J33" i="17"/>
  <c r="G33" i="17"/>
  <c r="H33" i="17" s="1"/>
  <c r="F33" i="17"/>
  <c r="E33" i="17"/>
  <c r="D33" i="17"/>
  <c r="C33" i="17"/>
  <c r="B33" i="17"/>
  <c r="O32" i="17"/>
  <c r="N32" i="17"/>
  <c r="M32" i="17"/>
  <c r="L32" i="17"/>
  <c r="K32" i="17"/>
  <c r="J32" i="17"/>
  <c r="G32" i="17"/>
  <c r="H32" i="17" s="1"/>
  <c r="F32" i="17"/>
  <c r="E32" i="17"/>
  <c r="D32" i="17"/>
  <c r="C32" i="17"/>
  <c r="B32" i="17"/>
  <c r="O31" i="17"/>
  <c r="N31" i="17"/>
  <c r="M31" i="17"/>
  <c r="L31" i="17"/>
  <c r="K31" i="17"/>
  <c r="J31" i="17"/>
  <c r="G31" i="17"/>
  <c r="H31" i="17" s="1"/>
  <c r="F31" i="17"/>
  <c r="E31" i="17"/>
  <c r="D31" i="17"/>
  <c r="C31" i="17"/>
  <c r="B31" i="17"/>
  <c r="O30" i="17"/>
  <c r="N30" i="17"/>
  <c r="M30" i="17"/>
  <c r="L30" i="17"/>
  <c r="K30" i="17"/>
  <c r="J30" i="17"/>
  <c r="G30" i="17"/>
  <c r="H30" i="17" s="1"/>
  <c r="F30" i="17"/>
  <c r="E30" i="17"/>
  <c r="D30" i="17"/>
  <c r="C30" i="17"/>
  <c r="B30" i="17"/>
  <c r="O29" i="17"/>
  <c r="N29" i="17"/>
  <c r="M29" i="17"/>
  <c r="L29" i="17"/>
  <c r="K29" i="17"/>
  <c r="J29" i="17"/>
  <c r="G29" i="17"/>
  <c r="H29" i="17" s="1"/>
  <c r="F29" i="17"/>
  <c r="E29" i="17"/>
  <c r="D29" i="17"/>
  <c r="C29" i="17"/>
  <c r="B29" i="17"/>
  <c r="O28" i="17"/>
  <c r="N28" i="17"/>
  <c r="M28" i="17"/>
  <c r="L28" i="17"/>
  <c r="K28" i="17"/>
  <c r="J28" i="17"/>
  <c r="G28" i="17"/>
  <c r="H28" i="17" s="1"/>
  <c r="F28" i="17"/>
  <c r="E28" i="17"/>
  <c r="D28" i="17"/>
  <c r="C28" i="17"/>
  <c r="B28" i="17"/>
  <c r="O27" i="17"/>
  <c r="N27" i="17"/>
  <c r="M27" i="17"/>
  <c r="L27" i="17"/>
  <c r="K27" i="17"/>
  <c r="J27" i="17"/>
  <c r="G27" i="17"/>
  <c r="H27" i="17" s="1"/>
  <c r="F27" i="17"/>
  <c r="E27" i="17"/>
  <c r="D27" i="17"/>
  <c r="C27" i="17"/>
  <c r="B27" i="17"/>
  <c r="O26" i="17"/>
  <c r="N26" i="17"/>
  <c r="M26" i="17"/>
  <c r="L26" i="17"/>
  <c r="K26" i="17"/>
  <c r="J26" i="17"/>
  <c r="G26" i="17"/>
  <c r="H26" i="17" s="1"/>
  <c r="F26" i="17"/>
  <c r="E26" i="17"/>
  <c r="D26" i="17"/>
  <c r="C26" i="17"/>
  <c r="B26" i="17"/>
  <c r="O25" i="17"/>
  <c r="N25" i="17"/>
  <c r="M25" i="17"/>
  <c r="L25" i="17"/>
  <c r="K25" i="17"/>
  <c r="J25" i="17"/>
  <c r="G25" i="17"/>
  <c r="H25" i="17" s="1"/>
  <c r="F25" i="17"/>
  <c r="E25" i="17"/>
  <c r="D25" i="17"/>
  <c r="C25" i="17"/>
  <c r="B25" i="17"/>
  <c r="O24" i="17"/>
  <c r="N24" i="17"/>
  <c r="M24" i="17"/>
  <c r="L24" i="17"/>
  <c r="K24" i="17"/>
  <c r="J24" i="17"/>
  <c r="G24" i="17"/>
  <c r="H24" i="17" s="1"/>
  <c r="F24" i="17"/>
  <c r="E24" i="17"/>
  <c r="D24" i="17"/>
  <c r="C24" i="17"/>
  <c r="B24" i="17"/>
  <c r="O23" i="17"/>
  <c r="N23" i="17"/>
  <c r="M23" i="17"/>
  <c r="L23" i="17"/>
  <c r="K23" i="17"/>
  <c r="J23" i="17"/>
  <c r="G23" i="17"/>
  <c r="H23" i="17" s="1"/>
  <c r="F23" i="17"/>
  <c r="E23" i="17"/>
  <c r="D23" i="17"/>
  <c r="C23" i="17"/>
  <c r="B23" i="17"/>
  <c r="O22" i="17"/>
  <c r="N22" i="17"/>
  <c r="M22" i="17"/>
  <c r="L22" i="17"/>
  <c r="K22" i="17"/>
  <c r="J22" i="17"/>
  <c r="G22" i="17"/>
  <c r="H22" i="17" s="1"/>
  <c r="F22" i="17"/>
  <c r="E22" i="17"/>
  <c r="D22" i="17"/>
  <c r="C22" i="17"/>
  <c r="B22" i="17"/>
  <c r="O21" i="17"/>
  <c r="N21" i="17"/>
  <c r="M21" i="17"/>
  <c r="L21" i="17"/>
  <c r="K21" i="17"/>
  <c r="J21" i="17"/>
  <c r="G21" i="17"/>
  <c r="H21" i="17" s="1"/>
  <c r="F21" i="17"/>
  <c r="E21" i="17"/>
  <c r="D21" i="17"/>
  <c r="C21" i="17"/>
  <c r="B21" i="17"/>
  <c r="O20" i="17"/>
  <c r="N20" i="17"/>
  <c r="M20" i="17"/>
  <c r="L20" i="17"/>
  <c r="K20" i="17"/>
  <c r="J20" i="17"/>
  <c r="G20" i="17"/>
  <c r="H20" i="17" s="1"/>
  <c r="F20" i="17"/>
  <c r="E20" i="17"/>
  <c r="D20" i="17"/>
  <c r="C20" i="17"/>
  <c r="B20" i="17"/>
  <c r="O19" i="17"/>
  <c r="N19" i="17"/>
  <c r="M19" i="17"/>
  <c r="L19" i="17"/>
  <c r="K19" i="17"/>
  <c r="J19" i="17"/>
  <c r="G19" i="17"/>
  <c r="H19" i="17" s="1"/>
  <c r="F19" i="17"/>
  <c r="E19" i="17"/>
  <c r="D19" i="17"/>
  <c r="C19" i="17"/>
  <c r="B19" i="17"/>
  <c r="O18" i="17"/>
  <c r="N18" i="17"/>
  <c r="M18" i="17"/>
  <c r="L18" i="17"/>
  <c r="K18" i="17"/>
  <c r="J18" i="17"/>
  <c r="G18" i="17"/>
  <c r="H18" i="17" s="1"/>
  <c r="F18" i="17"/>
  <c r="E18" i="17"/>
  <c r="D18" i="17"/>
  <c r="C18" i="17"/>
  <c r="B18" i="17"/>
  <c r="O17" i="17"/>
  <c r="N17" i="17"/>
  <c r="M17" i="17"/>
  <c r="L17" i="17"/>
  <c r="K17" i="17"/>
  <c r="J17" i="17"/>
  <c r="G17" i="17"/>
  <c r="H17" i="17" s="1"/>
  <c r="F17" i="17"/>
  <c r="E17" i="17"/>
  <c r="D17" i="17"/>
  <c r="C17" i="17"/>
  <c r="B17" i="17"/>
  <c r="O16" i="17"/>
  <c r="N16" i="17"/>
  <c r="M16" i="17"/>
  <c r="L16" i="17"/>
  <c r="K16" i="17"/>
  <c r="J16" i="17"/>
  <c r="G16" i="17"/>
  <c r="H16" i="17" s="1"/>
  <c r="F16" i="17"/>
  <c r="E16" i="17"/>
  <c r="D16" i="17"/>
  <c r="C16" i="17"/>
  <c r="B16" i="17"/>
  <c r="O15" i="17"/>
  <c r="N15" i="17"/>
  <c r="M15" i="17"/>
  <c r="L15" i="17"/>
  <c r="K15" i="17"/>
  <c r="J15" i="17"/>
  <c r="G15" i="17"/>
  <c r="H15" i="17" s="1"/>
  <c r="F15" i="17"/>
  <c r="E15" i="17"/>
  <c r="D15" i="17"/>
  <c r="C15" i="17"/>
  <c r="B15" i="17"/>
  <c r="O14" i="17"/>
  <c r="N14" i="17"/>
  <c r="M14" i="17"/>
  <c r="L14" i="17"/>
  <c r="K14" i="17"/>
  <c r="J14" i="17"/>
  <c r="G14" i="17"/>
  <c r="H14" i="17" s="1"/>
  <c r="F14" i="17"/>
  <c r="E14" i="17"/>
  <c r="D14" i="17"/>
  <c r="C14" i="17"/>
  <c r="B14" i="17"/>
  <c r="O13" i="17"/>
  <c r="N13" i="17"/>
  <c r="M13" i="17"/>
  <c r="L13" i="17"/>
  <c r="K13" i="17"/>
  <c r="J13" i="17"/>
  <c r="G13" i="17"/>
  <c r="H13" i="17" s="1"/>
  <c r="F13" i="17"/>
  <c r="E13" i="17"/>
  <c r="D13" i="17"/>
  <c r="C13" i="17"/>
  <c r="B13" i="17"/>
  <c r="O12" i="17"/>
  <c r="N12" i="17"/>
  <c r="M12" i="17"/>
  <c r="L12" i="17"/>
  <c r="K12" i="17"/>
  <c r="J12" i="17"/>
  <c r="G12" i="17"/>
  <c r="H12" i="17" s="1"/>
  <c r="F12" i="17"/>
  <c r="E12" i="17"/>
  <c r="D12" i="17"/>
  <c r="C12" i="17"/>
  <c r="B12" i="17"/>
  <c r="O11" i="17"/>
  <c r="N11" i="17"/>
  <c r="M11" i="17"/>
  <c r="L11" i="17"/>
  <c r="K11" i="17"/>
  <c r="J11" i="17"/>
  <c r="G11" i="17"/>
  <c r="H11" i="17" s="1"/>
  <c r="F11" i="17"/>
  <c r="E11" i="17"/>
  <c r="D11" i="17"/>
  <c r="C11" i="17"/>
  <c r="B11" i="17"/>
  <c r="O10" i="17"/>
  <c r="N10" i="17"/>
  <c r="M10" i="17"/>
  <c r="L10" i="17"/>
  <c r="K10" i="17"/>
  <c r="J10" i="17"/>
  <c r="G10" i="17"/>
  <c r="F10" i="17"/>
  <c r="E10" i="17"/>
  <c r="D10" i="17"/>
  <c r="C10" i="17"/>
  <c r="B10" i="17"/>
  <c r="O9" i="17"/>
  <c r="N9" i="17"/>
  <c r="M9" i="17"/>
  <c r="L9" i="17"/>
  <c r="K9" i="17"/>
  <c r="J9" i="17"/>
  <c r="G9" i="17"/>
  <c r="F9" i="17"/>
  <c r="E9" i="17"/>
  <c r="D9" i="17"/>
  <c r="C9" i="17"/>
  <c r="B9" i="17"/>
  <c r="O8" i="17"/>
  <c r="N8" i="17"/>
  <c r="M8" i="17"/>
  <c r="L8" i="17"/>
  <c r="K8" i="17"/>
  <c r="J8" i="17"/>
  <c r="G8" i="17"/>
  <c r="F8" i="17"/>
  <c r="E8" i="17"/>
  <c r="D8" i="17"/>
  <c r="C8" i="17"/>
  <c r="B8" i="17"/>
  <c r="O7" i="17"/>
  <c r="N7" i="17"/>
  <c r="M7" i="17"/>
  <c r="L7" i="17"/>
  <c r="K7" i="17"/>
  <c r="J7" i="17"/>
  <c r="G7" i="17"/>
  <c r="F7" i="17"/>
  <c r="E7" i="17"/>
  <c r="D7" i="17"/>
  <c r="C7" i="17"/>
  <c r="B7" i="17"/>
  <c r="O6" i="17"/>
  <c r="N6" i="17"/>
  <c r="M6" i="17"/>
  <c r="L6" i="17"/>
  <c r="K6" i="17"/>
  <c r="J6" i="17"/>
  <c r="G6" i="17"/>
  <c r="F6" i="17"/>
  <c r="E6" i="17"/>
  <c r="D6" i="17"/>
  <c r="C6" i="17"/>
  <c r="B6" i="17"/>
  <c r="J2" i="14"/>
  <c r="K2" i="14" s="1"/>
  <c r="R38" i="14"/>
  <c r="P39" i="21" s="1"/>
  <c r="Q38" i="14"/>
  <c r="P38" i="14"/>
  <c r="N39" i="21" s="1"/>
  <c r="R37" i="14"/>
  <c r="P38" i="21" s="1"/>
  <c r="Q37" i="14"/>
  <c r="P37" i="14"/>
  <c r="R36" i="14"/>
  <c r="R37" i="17" s="1"/>
  <c r="Q36" i="14"/>
  <c r="Q37" i="17" s="1"/>
  <c r="P36" i="14"/>
  <c r="P37" i="17" s="1"/>
  <c r="R35" i="14"/>
  <c r="Q35" i="14"/>
  <c r="O36" i="21" s="1"/>
  <c r="P35" i="14"/>
  <c r="P36" i="17" s="1"/>
  <c r="R34" i="14"/>
  <c r="R35" i="17" s="1"/>
  <c r="Q34" i="14"/>
  <c r="O35" i="21" s="1"/>
  <c r="P34" i="14"/>
  <c r="R33" i="14"/>
  <c r="R34" i="17" s="1"/>
  <c r="Q33" i="14"/>
  <c r="Q34" i="17" s="1"/>
  <c r="P33" i="14"/>
  <c r="P34" i="17" s="1"/>
  <c r="R32" i="14"/>
  <c r="P33" i="21" s="1"/>
  <c r="Q32" i="14"/>
  <c r="Q33" i="17" s="1"/>
  <c r="P32" i="14"/>
  <c r="P33" i="17" s="1"/>
  <c r="R31" i="14"/>
  <c r="P32" i="21" s="1"/>
  <c r="Q31" i="14"/>
  <c r="O32" i="21" s="1"/>
  <c r="P31" i="14"/>
  <c r="P32" i="17" s="1"/>
  <c r="R30" i="14"/>
  <c r="R31" i="17" s="1"/>
  <c r="Q30" i="14"/>
  <c r="Q31" i="17" s="1"/>
  <c r="P30" i="14"/>
  <c r="R29" i="14"/>
  <c r="R30" i="17" s="1"/>
  <c r="Q29" i="14"/>
  <c r="Q30" i="17" s="1"/>
  <c r="P29" i="14"/>
  <c r="N30" i="21" s="1"/>
  <c r="R28" i="14"/>
  <c r="P29" i="21" s="1"/>
  <c r="Q28" i="14"/>
  <c r="Q29" i="17" s="1"/>
  <c r="P28" i="14"/>
  <c r="P29" i="17" s="1"/>
  <c r="R27" i="14"/>
  <c r="P28" i="21" s="1"/>
  <c r="Q27" i="14"/>
  <c r="O28" i="21" s="1"/>
  <c r="P27" i="14"/>
  <c r="P28" i="17" s="1"/>
  <c r="R26" i="14"/>
  <c r="R27" i="17" s="1"/>
  <c r="Q26" i="14"/>
  <c r="Q27" i="17" s="1"/>
  <c r="P26" i="14"/>
  <c r="N27" i="21" s="1"/>
  <c r="R25" i="14"/>
  <c r="R26" i="17" s="1"/>
  <c r="Q25" i="14"/>
  <c r="Q26" i="17" s="1"/>
  <c r="P25" i="14"/>
  <c r="N26" i="21" s="1"/>
  <c r="R24" i="14"/>
  <c r="Q24" i="14"/>
  <c r="Q25" i="17" s="1"/>
  <c r="P24" i="14"/>
  <c r="P25" i="17" s="1"/>
  <c r="R23" i="14"/>
  <c r="R24" i="17" s="1"/>
  <c r="Q23" i="14"/>
  <c r="O24" i="21" s="1"/>
  <c r="P23" i="14"/>
  <c r="P24" i="17" s="1"/>
  <c r="R22" i="14"/>
  <c r="R23" i="17" s="1"/>
  <c r="Q22" i="14"/>
  <c r="Q23" i="17" s="1"/>
  <c r="P22" i="14"/>
  <c r="N23" i="21" s="1"/>
  <c r="R21" i="14"/>
  <c r="R22" i="17" s="1"/>
  <c r="Q21" i="14"/>
  <c r="Q22" i="17" s="1"/>
  <c r="P21" i="14"/>
  <c r="N22" i="21" s="1"/>
  <c r="R20" i="14"/>
  <c r="P21" i="21" s="1"/>
  <c r="Q20" i="14"/>
  <c r="Q21" i="17" s="1"/>
  <c r="P20" i="14"/>
  <c r="P21" i="17" s="1"/>
  <c r="R19" i="14"/>
  <c r="R20" i="17" s="1"/>
  <c r="Q19" i="14"/>
  <c r="P19" i="14"/>
  <c r="P20" i="17" s="1"/>
  <c r="R18" i="14"/>
  <c r="R19" i="17" s="1"/>
  <c r="Q18" i="14"/>
  <c r="O19" i="21" s="1"/>
  <c r="P18" i="14"/>
  <c r="N19" i="21" s="1"/>
  <c r="R17" i="14"/>
  <c r="R18" i="17" s="1"/>
  <c r="Q17" i="14"/>
  <c r="Q18" i="17" s="1"/>
  <c r="P17" i="14"/>
  <c r="P18" i="17" s="1"/>
  <c r="R16" i="14"/>
  <c r="R17" i="17" s="1"/>
  <c r="Q16" i="14"/>
  <c r="Q17" i="17" s="1"/>
  <c r="P16" i="14"/>
  <c r="P17" i="17" s="1"/>
  <c r="R15" i="14"/>
  <c r="R16" i="17" s="1"/>
  <c r="Q15" i="14"/>
  <c r="O16" i="21" s="1"/>
  <c r="P15" i="14"/>
  <c r="P16" i="17" s="1"/>
  <c r="R14" i="14"/>
  <c r="R15" i="17" s="1"/>
  <c r="Q14" i="14"/>
  <c r="O15" i="21" s="1"/>
  <c r="P14" i="14"/>
  <c r="R13" i="14"/>
  <c r="R14" i="17" s="1"/>
  <c r="Q13" i="14"/>
  <c r="Q14" i="17" s="1"/>
  <c r="P13" i="14"/>
  <c r="P14" i="17" s="1"/>
  <c r="R12" i="14"/>
  <c r="P13" i="21" s="1"/>
  <c r="Q12" i="14"/>
  <c r="Q13" i="17" s="1"/>
  <c r="P12" i="14"/>
  <c r="P13" i="17" s="1"/>
  <c r="R11" i="14"/>
  <c r="P12" i="21" s="1"/>
  <c r="Q11" i="14"/>
  <c r="O12" i="21" s="1"/>
  <c r="P11" i="14"/>
  <c r="P12" i="17" s="1"/>
  <c r="R10" i="14"/>
  <c r="P11" i="21" s="1"/>
  <c r="Q10" i="14"/>
  <c r="Q11" i="17" s="1"/>
  <c r="P10" i="14"/>
  <c r="P11" i="17" s="1"/>
  <c r="R9" i="14"/>
  <c r="R10" i="17" s="1"/>
  <c r="Q9" i="14"/>
  <c r="P9" i="14"/>
  <c r="N10" i="24" s="1"/>
  <c r="R8" i="14"/>
  <c r="P9" i="22" s="1"/>
  <c r="Q8" i="14"/>
  <c r="Q9" i="17" s="1"/>
  <c r="P8" i="14"/>
  <c r="N9" i="21" s="1"/>
  <c r="R7" i="14"/>
  <c r="R8" i="17" s="1"/>
  <c r="Q7" i="14"/>
  <c r="Q8" i="17" s="1"/>
  <c r="P7" i="14"/>
  <c r="P8" i="17" s="1"/>
  <c r="R6" i="14"/>
  <c r="P7" i="21" s="1"/>
  <c r="Q6" i="14"/>
  <c r="Q7" i="17" s="1"/>
  <c r="P6" i="14"/>
  <c r="P7" i="17" s="1"/>
  <c r="R5" i="14"/>
  <c r="R6" i="17" s="1"/>
  <c r="Q5" i="14"/>
  <c r="P5" i="14"/>
  <c r="P6" i="17" s="1"/>
  <c r="U29" i="26" l="1"/>
  <c r="U21" i="26"/>
  <c r="U35" i="26"/>
  <c r="GN11" i="17"/>
  <c r="GF11" i="17"/>
  <c r="FX11" i="17"/>
  <c r="FP11" i="17"/>
  <c r="FH11" i="17"/>
  <c r="EZ11" i="17"/>
  <c r="ER11" i="17"/>
  <c r="EJ11" i="17"/>
  <c r="EB11" i="17"/>
  <c r="DT11" i="17"/>
  <c r="DL11" i="17"/>
  <c r="DD11" i="17"/>
  <c r="CV11" i="17"/>
  <c r="CN11" i="17"/>
  <c r="CF11" i="17"/>
  <c r="BX11" i="17"/>
  <c r="BP11" i="17"/>
  <c r="BH11" i="17"/>
  <c r="AZ11" i="17"/>
  <c r="AR11" i="17"/>
  <c r="AJ11" i="17"/>
  <c r="AB11" i="17"/>
  <c r="BT11" i="17"/>
  <c r="EC11" i="17"/>
  <c r="BQ11" i="17"/>
  <c r="GM11" i="17"/>
  <c r="GE11" i="17"/>
  <c r="FW11" i="17"/>
  <c r="FO11" i="17"/>
  <c r="FG11" i="17"/>
  <c r="EY11" i="17"/>
  <c r="EQ11" i="17"/>
  <c r="EI11" i="17"/>
  <c r="EA11" i="17"/>
  <c r="DS11" i="17"/>
  <c r="DK11" i="17"/>
  <c r="DC11" i="17"/>
  <c r="CU11" i="17"/>
  <c r="CM11" i="17"/>
  <c r="CE11" i="17"/>
  <c r="BW11" i="17"/>
  <c r="BO11" i="17"/>
  <c r="BG11" i="17"/>
  <c r="AY11" i="17"/>
  <c r="AQ11" i="17"/>
  <c r="AI11" i="17"/>
  <c r="AA11" i="17"/>
  <c r="Z11" i="17"/>
  <c r="CJ11" i="17"/>
  <c r="AF11" i="17"/>
  <c r="CW11" i="17"/>
  <c r="AC11" i="17"/>
  <c r="GL11" i="17"/>
  <c r="GD11" i="17"/>
  <c r="FV11" i="17"/>
  <c r="FN11" i="17"/>
  <c r="FF11" i="17"/>
  <c r="EX11" i="17"/>
  <c r="EP11" i="17"/>
  <c r="EH11" i="17"/>
  <c r="DZ11" i="17"/>
  <c r="DR11" i="17"/>
  <c r="DJ11" i="17"/>
  <c r="DB11" i="17"/>
  <c r="CT11" i="17"/>
  <c r="CL11" i="17"/>
  <c r="CD11" i="17"/>
  <c r="BV11" i="17"/>
  <c r="BN11" i="17"/>
  <c r="BF11" i="17"/>
  <c r="AX11" i="17"/>
  <c r="AP11" i="17"/>
  <c r="AH11" i="17"/>
  <c r="BD11" i="17"/>
  <c r="X11" i="17"/>
  <c r="GG11" i="17"/>
  <c r="FI11" i="17"/>
  <c r="ES11" i="17"/>
  <c r="DE11" i="17"/>
  <c r="BY11" i="17"/>
  <c r="AK11" i="17"/>
  <c r="GK11" i="17"/>
  <c r="GC11" i="17"/>
  <c r="FU11" i="17"/>
  <c r="FM11" i="17"/>
  <c r="FE11" i="17"/>
  <c r="EW11" i="17"/>
  <c r="EO11" i="17"/>
  <c r="EG11" i="17"/>
  <c r="DY11" i="17"/>
  <c r="DQ11" i="17"/>
  <c r="DI11" i="17"/>
  <c r="DA11" i="17"/>
  <c r="CS11" i="17"/>
  <c r="CK11" i="17"/>
  <c r="CC11" i="17"/>
  <c r="BU11" i="17"/>
  <c r="BM11" i="17"/>
  <c r="BE11" i="17"/>
  <c r="AW11" i="17"/>
  <c r="AO11" i="17"/>
  <c r="AG11" i="17"/>
  <c r="Y11" i="17"/>
  <c r="DX11" i="17"/>
  <c r="AV11" i="17"/>
  <c r="EK11" i="17"/>
  <c r="AS11" i="17"/>
  <c r="GR11" i="17"/>
  <c r="GJ11" i="17"/>
  <c r="GB11" i="17"/>
  <c r="FT11" i="17"/>
  <c r="FL11" i="17"/>
  <c r="FD11" i="17"/>
  <c r="EV11" i="17"/>
  <c r="EN11" i="17"/>
  <c r="EF11" i="17"/>
  <c r="DP11" i="17"/>
  <c r="DH11" i="17"/>
  <c r="CZ11" i="17"/>
  <c r="CR11" i="17"/>
  <c r="CB11" i="17"/>
  <c r="BL11" i="17"/>
  <c r="AN11" i="17"/>
  <c r="FY11" i="17"/>
  <c r="CG11" i="17"/>
  <c r="GQ11" i="17"/>
  <c r="GI11" i="17"/>
  <c r="GA11" i="17"/>
  <c r="FS11" i="17"/>
  <c r="FK11" i="17"/>
  <c r="FC11" i="17"/>
  <c r="EU11" i="17"/>
  <c r="EM11" i="17"/>
  <c r="EE11" i="17"/>
  <c r="DW11" i="17"/>
  <c r="DO11" i="17"/>
  <c r="DG11" i="17"/>
  <c r="CY11" i="17"/>
  <c r="CQ11" i="17"/>
  <c r="CI11" i="17"/>
  <c r="CA11" i="17"/>
  <c r="BS11" i="17"/>
  <c r="BK11" i="17"/>
  <c r="BC11" i="17"/>
  <c r="AU11" i="17"/>
  <c r="AM11" i="17"/>
  <c r="AE11" i="17"/>
  <c r="W11" i="17"/>
  <c r="GO11" i="17"/>
  <c r="DM11" i="17"/>
  <c r="BI11" i="17"/>
  <c r="GP11" i="17"/>
  <c r="GH11" i="17"/>
  <c r="FZ11" i="17"/>
  <c r="FR11" i="17"/>
  <c r="FJ11" i="17"/>
  <c r="FB11" i="17"/>
  <c r="ET11" i="17"/>
  <c r="EL11" i="17"/>
  <c r="ED11" i="17"/>
  <c r="DV11" i="17"/>
  <c r="DN11" i="17"/>
  <c r="DF11" i="17"/>
  <c r="CX11" i="17"/>
  <c r="CP11" i="17"/>
  <c r="CH11" i="17"/>
  <c r="BZ11" i="17"/>
  <c r="BR11" i="17"/>
  <c r="BJ11" i="17"/>
  <c r="BB11" i="17"/>
  <c r="AT11" i="17"/>
  <c r="AL11" i="17"/>
  <c r="AD11" i="17"/>
  <c r="V11" i="17"/>
  <c r="FQ11" i="17"/>
  <c r="FA11" i="17"/>
  <c r="DU11" i="17"/>
  <c r="CO11" i="17"/>
  <c r="BA11" i="17"/>
  <c r="U11" i="17"/>
  <c r="GQ17" i="17"/>
  <c r="GI17" i="17"/>
  <c r="GA17" i="17"/>
  <c r="FS17" i="17"/>
  <c r="FK17" i="17"/>
  <c r="FC17" i="17"/>
  <c r="EU17" i="17"/>
  <c r="EM17" i="17"/>
  <c r="EE17" i="17"/>
  <c r="DW17" i="17"/>
  <c r="DO17" i="17"/>
  <c r="DG17" i="17"/>
  <c r="CY17" i="17"/>
  <c r="CQ17" i="17"/>
  <c r="CI17" i="17"/>
  <c r="CA17" i="17"/>
  <c r="BS17" i="17"/>
  <c r="BK17" i="17"/>
  <c r="BC17" i="17"/>
  <c r="AU17" i="17"/>
  <c r="AM17" i="17"/>
  <c r="AE17" i="17"/>
  <c r="W17" i="17"/>
  <c r="GP17" i="17"/>
  <c r="GH17" i="17"/>
  <c r="FZ17" i="17"/>
  <c r="FR17" i="17"/>
  <c r="FJ17" i="17"/>
  <c r="FB17" i="17"/>
  <c r="ET17" i="17"/>
  <c r="EL17" i="17"/>
  <c r="ED17" i="17"/>
  <c r="DV17" i="17"/>
  <c r="DN17" i="17"/>
  <c r="DF17" i="17"/>
  <c r="CX17" i="17"/>
  <c r="CP17" i="17"/>
  <c r="CH17" i="17"/>
  <c r="BZ17" i="17"/>
  <c r="BR17" i="17"/>
  <c r="BJ17" i="17"/>
  <c r="BB17" i="17"/>
  <c r="AT17" i="17"/>
  <c r="AL17" i="17"/>
  <c r="AD17" i="17"/>
  <c r="V17" i="17"/>
  <c r="GO17" i="17"/>
  <c r="GG17" i="17"/>
  <c r="FY17" i="17"/>
  <c r="FQ17" i="17"/>
  <c r="FI17" i="17"/>
  <c r="FA17" i="17"/>
  <c r="ES17" i="17"/>
  <c r="EK17" i="17"/>
  <c r="EC17" i="17"/>
  <c r="DU17" i="17"/>
  <c r="DM17" i="17"/>
  <c r="DE17" i="17"/>
  <c r="CW17" i="17"/>
  <c r="CO17" i="17"/>
  <c r="CG17" i="17"/>
  <c r="BY17" i="17"/>
  <c r="BQ17" i="17"/>
  <c r="BI17" i="17"/>
  <c r="BA17" i="17"/>
  <c r="AS17" i="17"/>
  <c r="AK17" i="17"/>
  <c r="AC17" i="17"/>
  <c r="U17" i="17"/>
  <c r="GN17" i="17"/>
  <c r="GF17" i="17"/>
  <c r="FX17" i="17"/>
  <c r="FP17" i="17"/>
  <c r="FH17" i="17"/>
  <c r="EZ17" i="17"/>
  <c r="ER17" i="17"/>
  <c r="EJ17" i="17"/>
  <c r="EB17" i="17"/>
  <c r="DT17" i="17"/>
  <c r="DL17" i="17"/>
  <c r="DD17" i="17"/>
  <c r="CV17" i="17"/>
  <c r="CN17" i="17"/>
  <c r="CF17" i="17"/>
  <c r="BX17" i="17"/>
  <c r="BP17" i="17"/>
  <c r="BH17" i="17"/>
  <c r="AZ17" i="17"/>
  <c r="AR17" i="17"/>
  <c r="AJ17" i="17"/>
  <c r="AB17" i="17"/>
  <c r="GM17" i="17"/>
  <c r="GE17" i="17"/>
  <c r="FW17" i="17"/>
  <c r="FO17" i="17"/>
  <c r="FG17" i="17"/>
  <c r="EY17" i="17"/>
  <c r="EQ17" i="17"/>
  <c r="EI17" i="17"/>
  <c r="EA17" i="17"/>
  <c r="DS17" i="17"/>
  <c r="DK17" i="17"/>
  <c r="DC17" i="17"/>
  <c r="CU17" i="17"/>
  <c r="CM17" i="17"/>
  <c r="CE17" i="17"/>
  <c r="BW17" i="17"/>
  <c r="BO17" i="17"/>
  <c r="BG17" i="17"/>
  <c r="AY17" i="17"/>
  <c r="AQ17" i="17"/>
  <c r="AI17" i="17"/>
  <c r="AA17" i="17"/>
  <c r="GL17" i="17"/>
  <c r="GD17" i="17"/>
  <c r="FV17" i="17"/>
  <c r="FN17" i="17"/>
  <c r="FF17" i="17"/>
  <c r="EX17" i="17"/>
  <c r="EP17" i="17"/>
  <c r="EH17" i="17"/>
  <c r="DZ17" i="17"/>
  <c r="DR17" i="17"/>
  <c r="DJ17" i="17"/>
  <c r="DB17" i="17"/>
  <c r="CT17" i="17"/>
  <c r="CL17" i="17"/>
  <c r="CD17" i="17"/>
  <c r="BV17" i="17"/>
  <c r="BN17" i="17"/>
  <c r="BF17" i="17"/>
  <c r="AX17" i="17"/>
  <c r="AP17" i="17"/>
  <c r="AH17" i="17"/>
  <c r="Z17" i="17"/>
  <c r="GK17" i="17"/>
  <c r="GC17" i="17"/>
  <c r="FU17" i="17"/>
  <c r="FM17" i="17"/>
  <c r="FE17" i="17"/>
  <c r="EW17" i="17"/>
  <c r="EO17" i="17"/>
  <c r="EG17" i="17"/>
  <c r="DY17" i="17"/>
  <c r="DQ17" i="17"/>
  <c r="DI17" i="17"/>
  <c r="DA17" i="17"/>
  <c r="CS17" i="17"/>
  <c r="CK17" i="17"/>
  <c r="CC17" i="17"/>
  <c r="BU17" i="17"/>
  <c r="BM17" i="17"/>
  <c r="BE17" i="17"/>
  <c r="AW17" i="17"/>
  <c r="AO17" i="17"/>
  <c r="AG17" i="17"/>
  <c r="Y17" i="17"/>
  <c r="FD17" i="17"/>
  <c r="CR17" i="17"/>
  <c r="AF17" i="17"/>
  <c r="EV17" i="17"/>
  <c r="CJ17" i="17"/>
  <c r="X17" i="17"/>
  <c r="EN17" i="17"/>
  <c r="CB17" i="17"/>
  <c r="FL17" i="17"/>
  <c r="GR17" i="17"/>
  <c r="EF17" i="17"/>
  <c r="BT17" i="17"/>
  <c r="GJ17" i="17"/>
  <c r="DX17" i="17"/>
  <c r="BL17" i="17"/>
  <c r="GB17" i="17"/>
  <c r="DP17" i="17"/>
  <c r="BD17" i="17"/>
  <c r="CZ17" i="17"/>
  <c r="FT17" i="17"/>
  <c r="DH17" i="17"/>
  <c r="AV17" i="17"/>
  <c r="AN17" i="17"/>
  <c r="GN33" i="17"/>
  <c r="GF33" i="17"/>
  <c r="FX33" i="17"/>
  <c r="FP33" i="17"/>
  <c r="FH33" i="17"/>
  <c r="EZ33" i="17"/>
  <c r="ER33" i="17"/>
  <c r="GM33" i="17"/>
  <c r="GE33" i="17"/>
  <c r="FW33" i="17"/>
  <c r="FO33" i="17"/>
  <c r="FG33" i="17"/>
  <c r="EY33" i="17"/>
  <c r="EQ33" i="17"/>
  <c r="EI33" i="17"/>
  <c r="EA33" i="17"/>
  <c r="DS33" i="17"/>
  <c r="DK33" i="17"/>
  <c r="DC33" i="17"/>
  <c r="CU33" i="17"/>
  <c r="CM33" i="17"/>
  <c r="CE33" i="17"/>
  <c r="GL33" i="17"/>
  <c r="GD33" i="17"/>
  <c r="FV33" i="17"/>
  <c r="FN33" i="17"/>
  <c r="FF33" i="17"/>
  <c r="EX33" i="17"/>
  <c r="EP33" i="17"/>
  <c r="EH33" i="17"/>
  <c r="GK33" i="17"/>
  <c r="GC33" i="17"/>
  <c r="FU33" i="17"/>
  <c r="FM33" i="17"/>
  <c r="FE33" i="17"/>
  <c r="EW33" i="17"/>
  <c r="EO33" i="17"/>
  <c r="EG33" i="17"/>
  <c r="DY33" i="17"/>
  <c r="DQ33" i="17"/>
  <c r="DI33" i="17"/>
  <c r="DA33" i="17"/>
  <c r="CS33" i="17"/>
  <c r="CK33" i="17"/>
  <c r="CC33" i="17"/>
  <c r="GQ33" i="17"/>
  <c r="GI33" i="17"/>
  <c r="GA33" i="17"/>
  <c r="FS33" i="17"/>
  <c r="FK33" i="17"/>
  <c r="FC33" i="17"/>
  <c r="EU33" i="17"/>
  <c r="EM33" i="17"/>
  <c r="GP33" i="17"/>
  <c r="GH33" i="17"/>
  <c r="FZ33" i="17"/>
  <c r="GG33" i="17"/>
  <c r="FI33" i="17"/>
  <c r="EL33" i="17"/>
  <c r="DZ33" i="17"/>
  <c r="DO33" i="17"/>
  <c r="DE33" i="17"/>
  <c r="CT33" i="17"/>
  <c r="CI33" i="17"/>
  <c r="BY33" i="17"/>
  <c r="BQ33" i="17"/>
  <c r="BI33" i="17"/>
  <c r="BA33" i="17"/>
  <c r="AS33" i="17"/>
  <c r="AK33" i="17"/>
  <c r="AC33" i="17"/>
  <c r="U33" i="17"/>
  <c r="GB33" i="17"/>
  <c r="FD33" i="17"/>
  <c r="EK33" i="17"/>
  <c r="DX33" i="17"/>
  <c r="DN33" i="17"/>
  <c r="DD33" i="17"/>
  <c r="CR33" i="17"/>
  <c r="CH33" i="17"/>
  <c r="BX33" i="17"/>
  <c r="BP33" i="17"/>
  <c r="BH33" i="17"/>
  <c r="AZ33" i="17"/>
  <c r="AR33" i="17"/>
  <c r="AJ33" i="17"/>
  <c r="AB33" i="17"/>
  <c r="FY33" i="17"/>
  <c r="FB33" i="17"/>
  <c r="EJ33" i="17"/>
  <c r="DW33" i="17"/>
  <c r="DM33" i="17"/>
  <c r="DB33" i="17"/>
  <c r="CQ33" i="17"/>
  <c r="CG33" i="17"/>
  <c r="BW33" i="17"/>
  <c r="BO33" i="17"/>
  <c r="BG33" i="17"/>
  <c r="AY33" i="17"/>
  <c r="AQ33" i="17"/>
  <c r="AI33" i="17"/>
  <c r="AA33" i="17"/>
  <c r="FT33" i="17"/>
  <c r="FA33" i="17"/>
  <c r="EF33" i="17"/>
  <c r="DV33" i="17"/>
  <c r="DL33" i="17"/>
  <c r="CZ33" i="17"/>
  <c r="CP33" i="17"/>
  <c r="CF33" i="17"/>
  <c r="BV33" i="17"/>
  <c r="BN33" i="17"/>
  <c r="BF33" i="17"/>
  <c r="AX33" i="17"/>
  <c r="AP33" i="17"/>
  <c r="AH33" i="17"/>
  <c r="Z33" i="17"/>
  <c r="GR33" i="17"/>
  <c r="FQ33" i="17"/>
  <c r="ET33" i="17"/>
  <c r="ED33" i="17"/>
  <c r="DT33" i="17"/>
  <c r="DH33" i="17"/>
  <c r="CX33" i="17"/>
  <c r="CN33" i="17"/>
  <c r="CB33" i="17"/>
  <c r="BT33" i="17"/>
  <c r="BL33" i="17"/>
  <c r="BD33" i="17"/>
  <c r="AV33" i="17"/>
  <c r="AN33" i="17"/>
  <c r="AF33" i="17"/>
  <c r="X33" i="17"/>
  <c r="GJ33" i="17"/>
  <c r="EC33" i="17"/>
  <c r="CY33" i="17"/>
  <c r="BZ33" i="17"/>
  <c r="BC33" i="17"/>
  <c r="AG33" i="17"/>
  <c r="FR33" i="17"/>
  <c r="EB33" i="17"/>
  <c r="CW33" i="17"/>
  <c r="BU33" i="17"/>
  <c r="BB33" i="17"/>
  <c r="AE33" i="17"/>
  <c r="FL33" i="17"/>
  <c r="DU33" i="17"/>
  <c r="CV33" i="17"/>
  <c r="BS33" i="17"/>
  <c r="AW33" i="17"/>
  <c r="AD33" i="17"/>
  <c r="FJ33" i="17"/>
  <c r="DR33" i="17"/>
  <c r="CO33" i="17"/>
  <c r="BR33" i="17"/>
  <c r="AU33" i="17"/>
  <c r="Y33" i="17"/>
  <c r="ES33" i="17"/>
  <c r="DJ33" i="17"/>
  <c r="CJ33" i="17"/>
  <c r="BK33" i="17"/>
  <c r="AO33" i="17"/>
  <c r="V33" i="17"/>
  <c r="EN33" i="17"/>
  <c r="BM33" i="17"/>
  <c r="EE33" i="17"/>
  <c r="BJ33" i="17"/>
  <c r="DP33" i="17"/>
  <c r="BE33" i="17"/>
  <c r="DG33" i="17"/>
  <c r="AT33" i="17"/>
  <c r="CL33" i="17"/>
  <c r="AL33" i="17"/>
  <c r="GO33" i="17"/>
  <c r="EV33" i="17"/>
  <c r="DF33" i="17"/>
  <c r="CD33" i="17"/>
  <c r="CA33" i="17"/>
  <c r="AM33" i="17"/>
  <c r="W33" i="17"/>
  <c r="GQ37" i="17"/>
  <c r="GI37" i="17"/>
  <c r="GA37" i="17"/>
  <c r="FS37" i="17"/>
  <c r="FK37" i="17"/>
  <c r="FC37" i="17"/>
  <c r="EU37" i="17"/>
  <c r="EM37" i="17"/>
  <c r="EE37" i="17"/>
  <c r="DW37" i="17"/>
  <c r="DO37" i="17"/>
  <c r="DG37" i="17"/>
  <c r="CY37" i="17"/>
  <c r="CQ37" i="17"/>
  <c r="CI37" i="17"/>
  <c r="CA37" i="17"/>
  <c r="BS37" i="17"/>
  <c r="BK37" i="17"/>
  <c r="BC37" i="17"/>
  <c r="AU37" i="17"/>
  <c r="AM37" i="17"/>
  <c r="AE37" i="17"/>
  <c r="W37" i="17"/>
  <c r="GP37" i="17"/>
  <c r="GH37" i="17"/>
  <c r="FZ37" i="17"/>
  <c r="FR37" i="17"/>
  <c r="FJ37" i="17"/>
  <c r="FB37" i="17"/>
  <c r="ET37" i="17"/>
  <c r="EL37" i="17"/>
  <c r="ED37" i="17"/>
  <c r="DV37" i="17"/>
  <c r="DN37" i="17"/>
  <c r="DF37" i="17"/>
  <c r="CX37" i="17"/>
  <c r="CP37" i="17"/>
  <c r="CH37" i="17"/>
  <c r="BZ37" i="17"/>
  <c r="BR37" i="17"/>
  <c r="BJ37" i="17"/>
  <c r="BB37" i="17"/>
  <c r="AT37" i="17"/>
  <c r="AL37" i="17"/>
  <c r="AD37" i="17"/>
  <c r="V37" i="17"/>
  <c r="GO37" i="17"/>
  <c r="GG37" i="17"/>
  <c r="FY37" i="17"/>
  <c r="FQ37" i="17"/>
  <c r="FI37" i="17"/>
  <c r="FA37" i="17"/>
  <c r="ES37" i="17"/>
  <c r="EK37" i="17"/>
  <c r="EC37" i="17"/>
  <c r="DU37" i="17"/>
  <c r="DM37" i="17"/>
  <c r="DE37" i="17"/>
  <c r="CW37" i="17"/>
  <c r="CO37" i="17"/>
  <c r="CG37" i="17"/>
  <c r="BY37" i="17"/>
  <c r="BQ37" i="17"/>
  <c r="BI37" i="17"/>
  <c r="BA37" i="17"/>
  <c r="AS37" i="17"/>
  <c r="AK37" i="17"/>
  <c r="AC37" i="17"/>
  <c r="U37" i="17"/>
  <c r="GN37" i="17"/>
  <c r="GF37" i="17"/>
  <c r="FX37" i="17"/>
  <c r="FP37" i="17"/>
  <c r="FH37" i="17"/>
  <c r="EZ37" i="17"/>
  <c r="ER37" i="17"/>
  <c r="EJ37" i="17"/>
  <c r="EB37" i="17"/>
  <c r="DT37" i="17"/>
  <c r="DL37" i="17"/>
  <c r="DD37" i="17"/>
  <c r="CV37" i="17"/>
  <c r="CN37" i="17"/>
  <c r="CF37" i="17"/>
  <c r="BX37" i="17"/>
  <c r="BP37" i="17"/>
  <c r="BH37" i="17"/>
  <c r="AZ37" i="17"/>
  <c r="AR37" i="17"/>
  <c r="AJ37" i="17"/>
  <c r="AB37" i="17"/>
  <c r="GM37" i="17"/>
  <c r="GE37" i="17"/>
  <c r="FW37" i="17"/>
  <c r="FO37" i="17"/>
  <c r="FG37" i="17"/>
  <c r="EY37" i="17"/>
  <c r="EQ37" i="17"/>
  <c r="EI37" i="17"/>
  <c r="EA37" i="17"/>
  <c r="DS37" i="17"/>
  <c r="DK37" i="17"/>
  <c r="DC37" i="17"/>
  <c r="CU37" i="17"/>
  <c r="CM37" i="17"/>
  <c r="CE37" i="17"/>
  <c r="BW37" i="17"/>
  <c r="BO37" i="17"/>
  <c r="BG37" i="17"/>
  <c r="AY37" i="17"/>
  <c r="AQ37" i="17"/>
  <c r="AI37" i="17"/>
  <c r="AA37" i="17"/>
  <c r="GL37" i="17"/>
  <c r="GD37" i="17"/>
  <c r="FV37" i="17"/>
  <c r="FN37" i="17"/>
  <c r="FF37" i="17"/>
  <c r="EX37" i="17"/>
  <c r="EP37" i="17"/>
  <c r="EH37" i="17"/>
  <c r="DZ37" i="17"/>
  <c r="DR37" i="17"/>
  <c r="DJ37" i="17"/>
  <c r="DB37" i="17"/>
  <c r="CT37" i="17"/>
  <c r="CL37" i="17"/>
  <c r="CD37" i="17"/>
  <c r="BV37" i="17"/>
  <c r="BN37" i="17"/>
  <c r="BF37" i="17"/>
  <c r="AX37" i="17"/>
  <c r="AP37" i="17"/>
  <c r="AH37" i="17"/>
  <c r="Z37" i="17"/>
  <c r="FU37" i="17"/>
  <c r="EO37" i="17"/>
  <c r="DI37" i="17"/>
  <c r="CC37" i="17"/>
  <c r="AW37" i="17"/>
  <c r="FT37" i="17"/>
  <c r="EN37" i="17"/>
  <c r="DH37" i="17"/>
  <c r="CB37" i="17"/>
  <c r="AV37" i="17"/>
  <c r="FM37" i="17"/>
  <c r="EG37" i="17"/>
  <c r="DA37" i="17"/>
  <c r="BU37" i="17"/>
  <c r="AO37" i="17"/>
  <c r="GR37" i="17"/>
  <c r="FL37" i="17"/>
  <c r="EF37" i="17"/>
  <c r="CZ37" i="17"/>
  <c r="BT37" i="17"/>
  <c r="AN37" i="17"/>
  <c r="GK37" i="17"/>
  <c r="FE37" i="17"/>
  <c r="DY37" i="17"/>
  <c r="CS37" i="17"/>
  <c r="BM37" i="17"/>
  <c r="AG37" i="17"/>
  <c r="GJ37" i="17"/>
  <c r="FD37" i="17"/>
  <c r="DX37" i="17"/>
  <c r="CR37" i="17"/>
  <c r="BL37" i="17"/>
  <c r="AF37" i="17"/>
  <c r="GC37" i="17"/>
  <c r="EW37" i="17"/>
  <c r="DQ37" i="17"/>
  <c r="CK37" i="17"/>
  <c r="BE37" i="17"/>
  <c r="Y37" i="17"/>
  <c r="GB37" i="17"/>
  <c r="EV37" i="17"/>
  <c r="CJ37" i="17"/>
  <c r="X37" i="17"/>
  <c r="BD37" i="17"/>
  <c r="DP37" i="17"/>
  <c r="U7" i="17"/>
  <c r="V7" i="17"/>
  <c r="GQ15" i="17"/>
  <c r="GI15" i="17"/>
  <c r="GA15" i="17"/>
  <c r="FS15" i="17"/>
  <c r="FK15" i="17"/>
  <c r="FC15" i="17"/>
  <c r="EU15" i="17"/>
  <c r="EM15" i="17"/>
  <c r="EE15" i="17"/>
  <c r="DW15" i="17"/>
  <c r="DO15" i="17"/>
  <c r="DG15" i="17"/>
  <c r="CY15" i="17"/>
  <c r="CQ15" i="17"/>
  <c r="CI15" i="17"/>
  <c r="CA15" i="17"/>
  <c r="BS15" i="17"/>
  <c r="BK15" i="17"/>
  <c r="BC15" i="17"/>
  <c r="AU15" i="17"/>
  <c r="AM15" i="17"/>
  <c r="AE15" i="17"/>
  <c r="W15" i="17"/>
  <c r="GP15" i="17"/>
  <c r="GH15" i="17"/>
  <c r="FZ15" i="17"/>
  <c r="FR15" i="17"/>
  <c r="FJ15" i="17"/>
  <c r="FB15" i="17"/>
  <c r="ET15" i="17"/>
  <c r="EL15" i="17"/>
  <c r="ED15" i="17"/>
  <c r="DV15" i="17"/>
  <c r="DN15" i="17"/>
  <c r="DF15" i="17"/>
  <c r="CX15" i="17"/>
  <c r="CP15" i="17"/>
  <c r="CH15" i="17"/>
  <c r="BZ15" i="17"/>
  <c r="BR15" i="17"/>
  <c r="BJ15" i="17"/>
  <c r="BB15" i="17"/>
  <c r="AT15" i="17"/>
  <c r="AL15" i="17"/>
  <c r="AD15" i="17"/>
  <c r="V15" i="17"/>
  <c r="GO15" i="17"/>
  <c r="GG15" i="17"/>
  <c r="FY15" i="17"/>
  <c r="FQ15" i="17"/>
  <c r="FI15" i="17"/>
  <c r="FA15" i="17"/>
  <c r="ES15" i="17"/>
  <c r="EK15" i="17"/>
  <c r="EC15" i="17"/>
  <c r="DU15" i="17"/>
  <c r="DM15" i="17"/>
  <c r="DE15" i="17"/>
  <c r="CW15" i="17"/>
  <c r="CO15" i="17"/>
  <c r="CG15" i="17"/>
  <c r="BY15" i="17"/>
  <c r="BQ15" i="17"/>
  <c r="BI15" i="17"/>
  <c r="BA15" i="17"/>
  <c r="AS15" i="17"/>
  <c r="AK15" i="17"/>
  <c r="AC15" i="17"/>
  <c r="U15" i="17"/>
  <c r="GN15" i="17"/>
  <c r="GF15" i="17"/>
  <c r="FX15" i="17"/>
  <c r="FP15" i="17"/>
  <c r="FH15" i="17"/>
  <c r="EZ15" i="17"/>
  <c r="ER15" i="17"/>
  <c r="EJ15" i="17"/>
  <c r="EB15" i="17"/>
  <c r="DT15" i="17"/>
  <c r="DL15" i="17"/>
  <c r="DD15" i="17"/>
  <c r="CV15" i="17"/>
  <c r="CN15" i="17"/>
  <c r="CF15" i="17"/>
  <c r="BX15" i="17"/>
  <c r="BP15" i="17"/>
  <c r="BH15" i="17"/>
  <c r="AZ15" i="17"/>
  <c r="AR15" i="17"/>
  <c r="AJ15" i="17"/>
  <c r="AB15" i="17"/>
  <c r="GM15" i="17"/>
  <c r="GE15" i="17"/>
  <c r="FW15" i="17"/>
  <c r="FO15" i="17"/>
  <c r="FG15" i="17"/>
  <c r="EY15" i="17"/>
  <c r="EQ15" i="17"/>
  <c r="EI15" i="17"/>
  <c r="EA15" i="17"/>
  <c r="DS15" i="17"/>
  <c r="DK15" i="17"/>
  <c r="DC15" i="17"/>
  <c r="CU15" i="17"/>
  <c r="CM15" i="17"/>
  <c r="CE15" i="17"/>
  <c r="BW15" i="17"/>
  <c r="BO15" i="17"/>
  <c r="BG15" i="17"/>
  <c r="AY15" i="17"/>
  <c r="AQ15" i="17"/>
  <c r="AI15" i="17"/>
  <c r="AA15" i="17"/>
  <c r="GL15" i="17"/>
  <c r="GD15" i="17"/>
  <c r="FV15" i="17"/>
  <c r="FN15" i="17"/>
  <c r="FF15" i="17"/>
  <c r="EX15" i="17"/>
  <c r="EP15" i="17"/>
  <c r="EH15" i="17"/>
  <c r="DZ15" i="17"/>
  <c r="DR15" i="17"/>
  <c r="DJ15" i="17"/>
  <c r="DB15" i="17"/>
  <c r="CT15" i="17"/>
  <c r="CL15" i="17"/>
  <c r="CD15" i="17"/>
  <c r="BV15" i="17"/>
  <c r="BN15" i="17"/>
  <c r="BF15" i="17"/>
  <c r="AX15" i="17"/>
  <c r="AP15" i="17"/>
  <c r="AH15" i="17"/>
  <c r="Z15" i="17"/>
  <c r="GK15" i="17"/>
  <c r="GC15" i="17"/>
  <c r="FU15" i="17"/>
  <c r="FM15" i="17"/>
  <c r="FE15" i="17"/>
  <c r="EW15" i="17"/>
  <c r="EO15" i="17"/>
  <c r="EG15" i="17"/>
  <c r="DY15" i="17"/>
  <c r="DQ15" i="17"/>
  <c r="DI15" i="17"/>
  <c r="DA15" i="17"/>
  <c r="CS15" i="17"/>
  <c r="CK15" i="17"/>
  <c r="CC15" i="17"/>
  <c r="BU15" i="17"/>
  <c r="BM15" i="17"/>
  <c r="BE15" i="17"/>
  <c r="AW15" i="17"/>
  <c r="AO15" i="17"/>
  <c r="AG15" i="17"/>
  <c r="Y15" i="17"/>
  <c r="GR15" i="17"/>
  <c r="EF15" i="17"/>
  <c r="BT15" i="17"/>
  <c r="GJ15" i="17"/>
  <c r="DX15" i="17"/>
  <c r="BL15" i="17"/>
  <c r="GB15" i="17"/>
  <c r="DP15" i="17"/>
  <c r="BD15" i="17"/>
  <c r="FT15" i="17"/>
  <c r="DH15" i="17"/>
  <c r="AV15" i="17"/>
  <c r="FL15" i="17"/>
  <c r="CZ15" i="17"/>
  <c r="AN15" i="17"/>
  <c r="FD15" i="17"/>
  <c r="CR15" i="17"/>
  <c r="AF15" i="17"/>
  <c r="EN15" i="17"/>
  <c r="EV15" i="17"/>
  <c r="CJ15" i="17"/>
  <c r="X15" i="17"/>
  <c r="CB15" i="17"/>
  <c r="GK19" i="17"/>
  <c r="GC19" i="17"/>
  <c r="FU19" i="17"/>
  <c r="FM19" i="17"/>
  <c r="FE19" i="17"/>
  <c r="EW19" i="17"/>
  <c r="EO19" i="17"/>
  <c r="EG19" i="17"/>
  <c r="DY19" i="17"/>
  <c r="GR19" i="17"/>
  <c r="GJ19" i="17"/>
  <c r="GB19" i="17"/>
  <c r="FT19" i="17"/>
  <c r="FL19" i="17"/>
  <c r="FD19" i="17"/>
  <c r="EV19" i="17"/>
  <c r="EN19" i="17"/>
  <c r="EF19" i="17"/>
  <c r="DX19" i="17"/>
  <c r="GQ19" i="17"/>
  <c r="GI19" i="17"/>
  <c r="GA19" i="17"/>
  <c r="FS19" i="17"/>
  <c r="FK19" i="17"/>
  <c r="FC19" i="17"/>
  <c r="EU19" i="17"/>
  <c r="EM19" i="17"/>
  <c r="EE19" i="17"/>
  <c r="GP19" i="17"/>
  <c r="GH19" i="17"/>
  <c r="FZ19" i="17"/>
  <c r="FR19" i="17"/>
  <c r="FJ19" i="17"/>
  <c r="FB19" i="17"/>
  <c r="ET19" i="17"/>
  <c r="EL19" i="17"/>
  <c r="ED19" i="17"/>
  <c r="GO19" i="17"/>
  <c r="GN19" i="17"/>
  <c r="GF19" i="17"/>
  <c r="FX19" i="17"/>
  <c r="FP19" i="17"/>
  <c r="FH19" i="17"/>
  <c r="EZ19" i="17"/>
  <c r="ER19" i="17"/>
  <c r="EJ19" i="17"/>
  <c r="EB19" i="17"/>
  <c r="GM19" i="17"/>
  <c r="GE19" i="17"/>
  <c r="FW19" i="17"/>
  <c r="FO19" i="17"/>
  <c r="FG19" i="17"/>
  <c r="EY19" i="17"/>
  <c r="EQ19" i="17"/>
  <c r="EI19" i="17"/>
  <c r="EA19" i="17"/>
  <c r="DS19" i="17"/>
  <c r="GL19" i="17"/>
  <c r="FF19" i="17"/>
  <c r="DZ19" i="17"/>
  <c r="DO19" i="17"/>
  <c r="DG19" i="17"/>
  <c r="CY19" i="17"/>
  <c r="CQ19" i="17"/>
  <c r="CI19" i="17"/>
  <c r="CA19" i="17"/>
  <c r="BS19" i="17"/>
  <c r="BK19" i="17"/>
  <c r="BC19" i="17"/>
  <c r="AU19" i="17"/>
  <c r="AM19" i="17"/>
  <c r="AE19" i="17"/>
  <c r="W19" i="17"/>
  <c r="GG19" i="17"/>
  <c r="FA19" i="17"/>
  <c r="DW19" i="17"/>
  <c r="DN19" i="17"/>
  <c r="DF19" i="17"/>
  <c r="CX19" i="17"/>
  <c r="CP19" i="17"/>
  <c r="CH19" i="17"/>
  <c r="BZ19" i="17"/>
  <c r="BR19" i="17"/>
  <c r="BJ19" i="17"/>
  <c r="BB19" i="17"/>
  <c r="AT19" i="17"/>
  <c r="AL19" i="17"/>
  <c r="AD19" i="17"/>
  <c r="V19" i="17"/>
  <c r="GD19" i="17"/>
  <c r="EX19" i="17"/>
  <c r="DV19" i="17"/>
  <c r="DM19" i="17"/>
  <c r="DE19" i="17"/>
  <c r="CW19" i="17"/>
  <c r="CO19" i="17"/>
  <c r="CG19" i="17"/>
  <c r="BY19" i="17"/>
  <c r="BQ19" i="17"/>
  <c r="BI19" i="17"/>
  <c r="BA19" i="17"/>
  <c r="AS19" i="17"/>
  <c r="AK19" i="17"/>
  <c r="AC19" i="17"/>
  <c r="U19" i="17"/>
  <c r="FY19" i="17"/>
  <c r="ES19" i="17"/>
  <c r="DU19" i="17"/>
  <c r="DL19" i="17"/>
  <c r="DD19" i="17"/>
  <c r="CV19" i="17"/>
  <c r="CN19" i="17"/>
  <c r="CF19" i="17"/>
  <c r="BX19" i="17"/>
  <c r="BP19" i="17"/>
  <c r="BH19" i="17"/>
  <c r="AZ19" i="17"/>
  <c r="AR19" i="17"/>
  <c r="AJ19" i="17"/>
  <c r="AB19" i="17"/>
  <c r="FV19" i="17"/>
  <c r="EP19" i="17"/>
  <c r="DT19" i="17"/>
  <c r="DK19" i="17"/>
  <c r="DC19" i="17"/>
  <c r="CU19" i="17"/>
  <c r="CM19" i="17"/>
  <c r="CE19" i="17"/>
  <c r="BW19" i="17"/>
  <c r="BO19" i="17"/>
  <c r="BG19" i="17"/>
  <c r="AY19" i="17"/>
  <c r="AQ19" i="17"/>
  <c r="AI19" i="17"/>
  <c r="AA19" i="17"/>
  <c r="FQ19" i="17"/>
  <c r="EK19" i="17"/>
  <c r="DR19" i="17"/>
  <c r="DJ19" i="17"/>
  <c r="DB19" i="17"/>
  <c r="CT19" i="17"/>
  <c r="CL19" i="17"/>
  <c r="CD19" i="17"/>
  <c r="BV19" i="17"/>
  <c r="BN19" i="17"/>
  <c r="BF19" i="17"/>
  <c r="AX19" i="17"/>
  <c r="AP19" i="17"/>
  <c r="AH19" i="17"/>
  <c r="Z19" i="17"/>
  <c r="FN19" i="17"/>
  <c r="EH19" i="17"/>
  <c r="DQ19" i="17"/>
  <c r="DI19" i="17"/>
  <c r="DA19" i="17"/>
  <c r="CS19" i="17"/>
  <c r="CK19" i="17"/>
  <c r="CC19" i="17"/>
  <c r="BU19" i="17"/>
  <c r="BM19" i="17"/>
  <c r="BE19" i="17"/>
  <c r="AW19" i="17"/>
  <c r="AO19" i="17"/>
  <c r="AG19" i="17"/>
  <c r="Y19" i="17"/>
  <c r="DP19" i="17"/>
  <c r="BD19" i="17"/>
  <c r="EC19" i="17"/>
  <c r="DH19" i="17"/>
  <c r="AV19" i="17"/>
  <c r="CZ19" i="17"/>
  <c r="AN19" i="17"/>
  <c r="CR19" i="17"/>
  <c r="AF19" i="17"/>
  <c r="CJ19" i="17"/>
  <c r="X19" i="17"/>
  <c r="CB19" i="17"/>
  <c r="BL19" i="17"/>
  <c r="FI19" i="17"/>
  <c r="BT19" i="17"/>
  <c r="V8" i="17"/>
  <c r="U8" i="17"/>
  <c r="U10" i="17"/>
  <c r="S10" i="23" s="1"/>
  <c r="V10" i="17"/>
  <c r="GM12" i="17"/>
  <c r="GE12" i="17"/>
  <c r="FW12" i="17"/>
  <c r="FO12" i="17"/>
  <c r="FG12" i="17"/>
  <c r="EY12" i="17"/>
  <c r="EQ12" i="17"/>
  <c r="EI12" i="17"/>
  <c r="EA12" i="17"/>
  <c r="DS12" i="17"/>
  <c r="GL12" i="17"/>
  <c r="GD12" i="17"/>
  <c r="FV12" i="17"/>
  <c r="FN12" i="17"/>
  <c r="FF12" i="17"/>
  <c r="EX12" i="17"/>
  <c r="EP12" i="17"/>
  <c r="EH12" i="17"/>
  <c r="DZ12" i="17"/>
  <c r="DR12" i="17"/>
  <c r="GK12" i="17"/>
  <c r="GC12" i="17"/>
  <c r="FU12" i="17"/>
  <c r="FM12" i="17"/>
  <c r="FE12" i="17"/>
  <c r="EW12" i="17"/>
  <c r="EO12" i="17"/>
  <c r="EG12" i="17"/>
  <c r="DY12" i="17"/>
  <c r="DQ12" i="17"/>
  <c r="GR12" i="17"/>
  <c r="GJ12" i="17"/>
  <c r="GB12" i="17"/>
  <c r="FT12" i="17"/>
  <c r="FL12" i="17"/>
  <c r="FD12" i="17"/>
  <c r="EV12" i="17"/>
  <c r="EN12" i="17"/>
  <c r="EF12" i="17"/>
  <c r="DX12" i="17"/>
  <c r="DP12" i="17"/>
  <c r="GQ12" i="17"/>
  <c r="GI12" i="17"/>
  <c r="GA12" i="17"/>
  <c r="FS12" i="17"/>
  <c r="FK12" i="17"/>
  <c r="FC12" i="17"/>
  <c r="EU12" i="17"/>
  <c r="GP12" i="17"/>
  <c r="GH12" i="17"/>
  <c r="FZ12" i="17"/>
  <c r="FR12" i="17"/>
  <c r="FJ12" i="17"/>
  <c r="FB12" i="17"/>
  <c r="ET12" i="17"/>
  <c r="EL12" i="17"/>
  <c r="ED12" i="17"/>
  <c r="DV12" i="17"/>
  <c r="GO12" i="17"/>
  <c r="GG12" i="17"/>
  <c r="FY12" i="17"/>
  <c r="FQ12" i="17"/>
  <c r="FI12" i="17"/>
  <c r="FA12" i="17"/>
  <c r="ES12" i="17"/>
  <c r="EK12" i="17"/>
  <c r="EC12" i="17"/>
  <c r="DU12" i="17"/>
  <c r="FH12" i="17"/>
  <c r="DT12" i="17"/>
  <c r="DH12" i="17"/>
  <c r="CZ12" i="17"/>
  <c r="CR12" i="17"/>
  <c r="CJ12" i="17"/>
  <c r="CB12" i="17"/>
  <c r="BT12" i="17"/>
  <c r="BL12" i="17"/>
  <c r="BD12" i="17"/>
  <c r="AV12" i="17"/>
  <c r="AN12" i="17"/>
  <c r="AF12" i="17"/>
  <c r="X12" i="17"/>
  <c r="DI12" i="17"/>
  <c r="CC12" i="17"/>
  <c r="Y12" i="17"/>
  <c r="EZ12" i="17"/>
  <c r="DO12" i="17"/>
  <c r="DG12" i="17"/>
  <c r="CY12" i="17"/>
  <c r="CQ12" i="17"/>
  <c r="CI12" i="17"/>
  <c r="CA12" i="17"/>
  <c r="BS12" i="17"/>
  <c r="BK12" i="17"/>
  <c r="BC12" i="17"/>
  <c r="AU12" i="17"/>
  <c r="AM12" i="17"/>
  <c r="AE12" i="17"/>
  <c r="W12" i="17"/>
  <c r="AO12" i="17"/>
  <c r="ER12" i="17"/>
  <c r="DN12" i="17"/>
  <c r="DF12" i="17"/>
  <c r="CX12" i="17"/>
  <c r="CP12" i="17"/>
  <c r="CH12" i="17"/>
  <c r="BZ12" i="17"/>
  <c r="BR12" i="17"/>
  <c r="BJ12" i="17"/>
  <c r="BB12" i="17"/>
  <c r="AT12" i="17"/>
  <c r="AL12" i="17"/>
  <c r="AD12" i="17"/>
  <c r="V12" i="17"/>
  <c r="FP12" i="17"/>
  <c r="CK12" i="17"/>
  <c r="AW12" i="17"/>
  <c r="EM12" i="17"/>
  <c r="DM12" i="17"/>
  <c r="DE12" i="17"/>
  <c r="CW12" i="17"/>
  <c r="CO12" i="17"/>
  <c r="CG12" i="17"/>
  <c r="BY12" i="17"/>
  <c r="BQ12" i="17"/>
  <c r="BI12" i="17"/>
  <c r="BA12" i="17"/>
  <c r="AS12" i="17"/>
  <c r="AK12" i="17"/>
  <c r="AC12" i="17"/>
  <c r="U12" i="17"/>
  <c r="BE12" i="17"/>
  <c r="GN12" i="17"/>
  <c r="EJ12" i="17"/>
  <c r="DL12" i="17"/>
  <c r="DD12" i="17"/>
  <c r="CV12" i="17"/>
  <c r="CN12" i="17"/>
  <c r="CF12" i="17"/>
  <c r="BX12" i="17"/>
  <c r="BP12" i="17"/>
  <c r="BH12" i="17"/>
  <c r="AZ12" i="17"/>
  <c r="AR12" i="17"/>
  <c r="AJ12" i="17"/>
  <c r="AB12" i="17"/>
  <c r="DW12" i="17"/>
  <c r="BU12" i="17"/>
  <c r="GF12" i="17"/>
  <c r="EE12" i="17"/>
  <c r="DK12" i="17"/>
  <c r="DC12" i="17"/>
  <c r="CU12" i="17"/>
  <c r="CM12" i="17"/>
  <c r="CE12" i="17"/>
  <c r="BW12" i="17"/>
  <c r="BO12" i="17"/>
  <c r="BG12" i="17"/>
  <c r="AY12" i="17"/>
  <c r="AQ12" i="17"/>
  <c r="AI12" i="17"/>
  <c r="AA12" i="17"/>
  <c r="DA12" i="17"/>
  <c r="BM12" i="17"/>
  <c r="FX12" i="17"/>
  <c r="EB12" i="17"/>
  <c r="DJ12" i="17"/>
  <c r="DB12" i="17"/>
  <c r="CT12" i="17"/>
  <c r="CL12" i="17"/>
  <c r="CD12" i="17"/>
  <c r="BV12" i="17"/>
  <c r="BN12" i="17"/>
  <c r="BF12" i="17"/>
  <c r="AX12" i="17"/>
  <c r="AP12" i="17"/>
  <c r="AH12" i="17"/>
  <c r="Z12" i="17"/>
  <c r="CS12" i="17"/>
  <c r="AG12" i="17"/>
  <c r="GM14" i="17"/>
  <c r="GE14" i="17"/>
  <c r="FW14" i="17"/>
  <c r="FO14" i="17"/>
  <c r="FG14" i="17"/>
  <c r="EY14" i="17"/>
  <c r="EQ14" i="17"/>
  <c r="EI14" i="17"/>
  <c r="EA14" i="17"/>
  <c r="DS14" i="17"/>
  <c r="DK14" i="17"/>
  <c r="DC14" i="17"/>
  <c r="CU14" i="17"/>
  <c r="CM14" i="17"/>
  <c r="CE14" i="17"/>
  <c r="BW14" i="17"/>
  <c r="BO14" i="17"/>
  <c r="BG14" i="17"/>
  <c r="AY14" i="17"/>
  <c r="AQ14" i="17"/>
  <c r="AI14" i="17"/>
  <c r="AA14" i="17"/>
  <c r="GL14" i="17"/>
  <c r="GD14" i="17"/>
  <c r="FV14" i="17"/>
  <c r="FN14" i="17"/>
  <c r="FF14" i="17"/>
  <c r="EX14" i="17"/>
  <c r="EP14" i="17"/>
  <c r="EH14" i="17"/>
  <c r="DZ14" i="17"/>
  <c r="DR14" i="17"/>
  <c r="DJ14" i="17"/>
  <c r="DB14" i="17"/>
  <c r="CT14" i="17"/>
  <c r="CL14" i="17"/>
  <c r="CD14" i="17"/>
  <c r="BV14" i="17"/>
  <c r="BN14" i="17"/>
  <c r="BF14" i="17"/>
  <c r="AX14" i="17"/>
  <c r="AP14" i="17"/>
  <c r="AH14" i="17"/>
  <c r="Z14" i="17"/>
  <c r="GK14" i="17"/>
  <c r="GC14" i="17"/>
  <c r="FU14" i="17"/>
  <c r="FM14" i="17"/>
  <c r="FE14" i="17"/>
  <c r="EW14" i="17"/>
  <c r="EO14" i="17"/>
  <c r="EG14" i="17"/>
  <c r="DY14" i="17"/>
  <c r="DQ14" i="17"/>
  <c r="DI14" i="17"/>
  <c r="DA14" i="17"/>
  <c r="CS14" i="17"/>
  <c r="CK14" i="17"/>
  <c r="CC14" i="17"/>
  <c r="BU14" i="17"/>
  <c r="BM14" i="17"/>
  <c r="BE14" i="17"/>
  <c r="AW14" i="17"/>
  <c r="AO14" i="17"/>
  <c r="AG14" i="17"/>
  <c r="Y14" i="17"/>
  <c r="GR14" i="17"/>
  <c r="GJ14" i="17"/>
  <c r="GB14" i="17"/>
  <c r="FT14" i="17"/>
  <c r="FL14" i="17"/>
  <c r="FD14" i="17"/>
  <c r="EV14" i="17"/>
  <c r="EN14" i="17"/>
  <c r="EF14" i="17"/>
  <c r="DX14" i="17"/>
  <c r="DP14" i="17"/>
  <c r="DH14" i="17"/>
  <c r="CZ14" i="17"/>
  <c r="CR14" i="17"/>
  <c r="CJ14" i="17"/>
  <c r="CB14" i="17"/>
  <c r="BT14" i="17"/>
  <c r="BL14" i="17"/>
  <c r="BD14" i="17"/>
  <c r="AV14" i="17"/>
  <c r="AN14" i="17"/>
  <c r="AF14" i="17"/>
  <c r="X14" i="17"/>
  <c r="GQ14" i="17"/>
  <c r="GI14" i="17"/>
  <c r="GA14" i="17"/>
  <c r="FS14" i="17"/>
  <c r="FK14" i="17"/>
  <c r="FC14" i="17"/>
  <c r="EU14" i="17"/>
  <c r="EM14" i="17"/>
  <c r="EE14" i="17"/>
  <c r="DW14" i="17"/>
  <c r="DO14" i="17"/>
  <c r="DG14" i="17"/>
  <c r="CY14" i="17"/>
  <c r="CQ14" i="17"/>
  <c r="CI14" i="17"/>
  <c r="CA14" i="17"/>
  <c r="BS14" i="17"/>
  <c r="BK14" i="17"/>
  <c r="BC14" i="17"/>
  <c r="AU14" i="17"/>
  <c r="AM14" i="17"/>
  <c r="AE14" i="17"/>
  <c r="W14" i="17"/>
  <c r="GP14" i="17"/>
  <c r="GH14" i="17"/>
  <c r="FZ14" i="17"/>
  <c r="FR14" i="17"/>
  <c r="FJ14" i="17"/>
  <c r="FB14" i="17"/>
  <c r="ET14" i="17"/>
  <c r="EL14" i="17"/>
  <c r="ED14" i="17"/>
  <c r="DV14" i="17"/>
  <c r="DN14" i="17"/>
  <c r="DF14" i="17"/>
  <c r="CX14" i="17"/>
  <c r="CP14" i="17"/>
  <c r="CH14" i="17"/>
  <c r="BZ14" i="17"/>
  <c r="BR14" i="17"/>
  <c r="BJ14" i="17"/>
  <c r="BB14" i="17"/>
  <c r="AT14" i="17"/>
  <c r="AL14" i="17"/>
  <c r="AD14" i="17"/>
  <c r="V14" i="17"/>
  <c r="GO14" i="17"/>
  <c r="GG14" i="17"/>
  <c r="FY14" i="17"/>
  <c r="FQ14" i="17"/>
  <c r="FI14" i="17"/>
  <c r="FA14" i="17"/>
  <c r="ES14" i="17"/>
  <c r="EK14" i="17"/>
  <c r="EC14" i="17"/>
  <c r="DU14" i="17"/>
  <c r="DM14" i="17"/>
  <c r="DE14" i="17"/>
  <c r="CW14" i="17"/>
  <c r="CO14" i="17"/>
  <c r="CG14" i="17"/>
  <c r="BY14" i="17"/>
  <c r="BQ14" i="17"/>
  <c r="BI14" i="17"/>
  <c r="BA14" i="17"/>
  <c r="AS14" i="17"/>
  <c r="AK14" i="17"/>
  <c r="AC14" i="17"/>
  <c r="U14" i="17"/>
  <c r="GF14" i="17"/>
  <c r="DT14" i="17"/>
  <c r="BH14" i="17"/>
  <c r="EB14" i="17"/>
  <c r="FX14" i="17"/>
  <c r="DL14" i="17"/>
  <c r="AZ14" i="17"/>
  <c r="FP14" i="17"/>
  <c r="DD14" i="17"/>
  <c r="AR14" i="17"/>
  <c r="GN14" i="17"/>
  <c r="FH14" i="17"/>
  <c r="CV14" i="17"/>
  <c r="AJ14" i="17"/>
  <c r="BP14" i="17"/>
  <c r="EZ14" i="17"/>
  <c r="CN14" i="17"/>
  <c r="AB14" i="17"/>
  <c r="ER14" i="17"/>
  <c r="CF14" i="17"/>
  <c r="EJ14" i="17"/>
  <c r="BX14" i="17"/>
  <c r="GM16" i="17"/>
  <c r="GE16" i="17"/>
  <c r="FW16" i="17"/>
  <c r="FO16" i="17"/>
  <c r="FG16" i="17"/>
  <c r="EY16" i="17"/>
  <c r="EQ16" i="17"/>
  <c r="EI16" i="17"/>
  <c r="EA16" i="17"/>
  <c r="DS16" i="17"/>
  <c r="DK16" i="17"/>
  <c r="DC16" i="17"/>
  <c r="CU16" i="17"/>
  <c r="CM16" i="17"/>
  <c r="CE16" i="17"/>
  <c r="BW16" i="17"/>
  <c r="BO16" i="17"/>
  <c r="BG16" i="17"/>
  <c r="AY16" i="17"/>
  <c r="AQ16" i="17"/>
  <c r="AI16" i="17"/>
  <c r="AA16" i="17"/>
  <c r="GL16" i="17"/>
  <c r="GD16" i="17"/>
  <c r="FV16" i="17"/>
  <c r="FN16" i="17"/>
  <c r="FF16" i="17"/>
  <c r="EX16" i="17"/>
  <c r="EP16" i="17"/>
  <c r="EH16" i="17"/>
  <c r="DZ16" i="17"/>
  <c r="DR16" i="17"/>
  <c r="DJ16" i="17"/>
  <c r="DB16" i="17"/>
  <c r="CT16" i="17"/>
  <c r="CL16" i="17"/>
  <c r="CD16" i="17"/>
  <c r="BV16" i="17"/>
  <c r="BN16" i="17"/>
  <c r="BF16" i="17"/>
  <c r="AX16" i="17"/>
  <c r="AP16" i="17"/>
  <c r="AH16" i="17"/>
  <c r="Z16" i="17"/>
  <c r="GK16" i="17"/>
  <c r="GC16" i="17"/>
  <c r="FU16" i="17"/>
  <c r="FM16" i="17"/>
  <c r="FE16" i="17"/>
  <c r="EW16" i="17"/>
  <c r="EO16" i="17"/>
  <c r="EG16" i="17"/>
  <c r="DY16" i="17"/>
  <c r="DQ16" i="17"/>
  <c r="DI16" i="17"/>
  <c r="DA16" i="17"/>
  <c r="CS16" i="17"/>
  <c r="CK16" i="17"/>
  <c r="CC16" i="17"/>
  <c r="BU16" i="17"/>
  <c r="BM16" i="17"/>
  <c r="BE16" i="17"/>
  <c r="AW16" i="17"/>
  <c r="AO16" i="17"/>
  <c r="AG16" i="17"/>
  <c r="Y16" i="17"/>
  <c r="GR16" i="17"/>
  <c r="GJ16" i="17"/>
  <c r="GB16" i="17"/>
  <c r="FT16" i="17"/>
  <c r="FL16" i="17"/>
  <c r="FD16" i="17"/>
  <c r="EV16" i="17"/>
  <c r="EN16" i="17"/>
  <c r="EF16" i="17"/>
  <c r="DX16" i="17"/>
  <c r="DP16" i="17"/>
  <c r="DH16" i="17"/>
  <c r="CZ16" i="17"/>
  <c r="CR16" i="17"/>
  <c r="CJ16" i="17"/>
  <c r="CB16" i="17"/>
  <c r="BT16" i="17"/>
  <c r="BL16" i="17"/>
  <c r="BD16" i="17"/>
  <c r="AV16" i="17"/>
  <c r="AN16" i="17"/>
  <c r="AF16" i="17"/>
  <c r="X16" i="17"/>
  <c r="GQ16" i="17"/>
  <c r="GI16" i="17"/>
  <c r="GA16" i="17"/>
  <c r="FS16" i="17"/>
  <c r="FK16" i="17"/>
  <c r="FC16" i="17"/>
  <c r="EU16" i="17"/>
  <c r="EM16" i="17"/>
  <c r="EE16" i="17"/>
  <c r="DW16" i="17"/>
  <c r="DO16" i="17"/>
  <c r="DG16" i="17"/>
  <c r="CY16" i="17"/>
  <c r="CQ16" i="17"/>
  <c r="CI16" i="17"/>
  <c r="CA16" i="17"/>
  <c r="BS16" i="17"/>
  <c r="BK16" i="17"/>
  <c r="BC16" i="17"/>
  <c r="AU16" i="17"/>
  <c r="AM16" i="17"/>
  <c r="AE16" i="17"/>
  <c r="W16" i="17"/>
  <c r="GP16" i="17"/>
  <c r="GH16" i="17"/>
  <c r="FZ16" i="17"/>
  <c r="FR16" i="17"/>
  <c r="FJ16" i="17"/>
  <c r="FB16" i="17"/>
  <c r="ET16" i="17"/>
  <c r="EL16" i="17"/>
  <c r="ED16" i="17"/>
  <c r="DV16" i="17"/>
  <c r="DN16" i="17"/>
  <c r="DF16" i="17"/>
  <c r="CX16" i="17"/>
  <c r="CP16" i="17"/>
  <c r="CH16" i="17"/>
  <c r="BZ16" i="17"/>
  <c r="BR16" i="17"/>
  <c r="BJ16" i="17"/>
  <c r="BB16" i="17"/>
  <c r="AT16" i="17"/>
  <c r="AL16" i="17"/>
  <c r="AD16" i="17"/>
  <c r="V16" i="17"/>
  <c r="GO16" i="17"/>
  <c r="GG16" i="17"/>
  <c r="FY16" i="17"/>
  <c r="FQ16" i="17"/>
  <c r="FI16" i="17"/>
  <c r="FA16" i="17"/>
  <c r="ES16" i="17"/>
  <c r="EK16" i="17"/>
  <c r="EC16" i="17"/>
  <c r="DU16" i="17"/>
  <c r="DM16" i="17"/>
  <c r="DE16" i="17"/>
  <c r="CW16" i="17"/>
  <c r="CO16" i="17"/>
  <c r="CG16" i="17"/>
  <c r="BY16" i="17"/>
  <c r="BQ16" i="17"/>
  <c r="BI16" i="17"/>
  <c r="BA16" i="17"/>
  <c r="AS16" i="17"/>
  <c r="AK16" i="17"/>
  <c r="AC16" i="17"/>
  <c r="U16" i="17"/>
  <c r="ER16" i="17"/>
  <c r="CF16" i="17"/>
  <c r="CN16" i="17"/>
  <c r="EJ16" i="17"/>
  <c r="BX16" i="17"/>
  <c r="GN16" i="17"/>
  <c r="EB16" i="17"/>
  <c r="BP16" i="17"/>
  <c r="EZ16" i="17"/>
  <c r="GF16" i="17"/>
  <c r="DT16" i="17"/>
  <c r="BH16" i="17"/>
  <c r="FX16" i="17"/>
  <c r="DL16" i="17"/>
  <c r="AZ16" i="17"/>
  <c r="AB16" i="17"/>
  <c r="FP16" i="17"/>
  <c r="DD16" i="17"/>
  <c r="AR16" i="17"/>
  <c r="FH16" i="17"/>
  <c r="CV16" i="17"/>
  <c r="AJ16" i="17"/>
  <c r="GM18" i="17"/>
  <c r="GE18" i="17"/>
  <c r="FW18" i="17"/>
  <c r="FO18" i="17"/>
  <c r="FG18" i="17"/>
  <c r="EY18" i="17"/>
  <c r="EQ18" i="17"/>
  <c r="EI18" i="17"/>
  <c r="EA18" i="17"/>
  <c r="DS18" i="17"/>
  <c r="DK18" i="17"/>
  <c r="DC18" i="17"/>
  <c r="CU18" i="17"/>
  <c r="CM18" i="17"/>
  <c r="CE18" i="17"/>
  <c r="BW18" i="17"/>
  <c r="BO18" i="17"/>
  <c r="BG18" i="17"/>
  <c r="AY18" i="17"/>
  <c r="AQ18" i="17"/>
  <c r="AI18" i="17"/>
  <c r="AA18" i="17"/>
  <c r="GL18" i="17"/>
  <c r="GD18" i="17"/>
  <c r="FV18" i="17"/>
  <c r="FN18" i="17"/>
  <c r="FF18" i="17"/>
  <c r="EX18" i="17"/>
  <c r="EP18" i="17"/>
  <c r="EH18" i="17"/>
  <c r="DZ18" i="17"/>
  <c r="DR18" i="17"/>
  <c r="DJ18" i="17"/>
  <c r="DB18" i="17"/>
  <c r="CT18" i="17"/>
  <c r="CL18" i="17"/>
  <c r="CD18" i="17"/>
  <c r="BV18" i="17"/>
  <c r="BN18" i="17"/>
  <c r="BF18" i="17"/>
  <c r="AX18" i="17"/>
  <c r="AP18" i="17"/>
  <c r="AH18" i="17"/>
  <c r="Z18" i="17"/>
  <c r="GK18" i="17"/>
  <c r="GC18" i="17"/>
  <c r="FU18" i="17"/>
  <c r="FM18" i="17"/>
  <c r="FE18" i="17"/>
  <c r="EW18" i="17"/>
  <c r="EO18" i="17"/>
  <c r="EG18" i="17"/>
  <c r="DY18" i="17"/>
  <c r="DQ18" i="17"/>
  <c r="DI18" i="17"/>
  <c r="DA18" i="17"/>
  <c r="CS18" i="17"/>
  <c r="CK18" i="17"/>
  <c r="CC18" i="17"/>
  <c r="BU18" i="17"/>
  <c r="BM18" i="17"/>
  <c r="BE18" i="17"/>
  <c r="AW18" i="17"/>
  <c r="AO18" i="17"/>
  <c r="AG18" i="17"/>
  <c r="Y18" i="17"/>
  <c r="GR18" i="17"/>
  <c r="GJ18" i="17"/>
  <c r="GB18" i="17"/>
  <c r="FT18" i="17"/>
  <c r="FL18" i="17"/>
  <c r="FD18" i="17"/>
  <c r="EV18" i="17"/>
  <c r="EN18" i="17"/>
  <c r="EF18" i="17"/>
  <c r="DX18" i="17"/>
  <c r="DP18" i="17"/>
  <c r="DH18" i="17"/>
  <c r="CZ18" i="17"/>
  <c r="CR18" i="17"/>
  <c r="CJ18" i="17"/>
  <c r="CB18" i="17"/>
  <c r="BT18" i="17"/>
  <c r="BL18" i="17"/>
  <c r="BD18" i="17"/>
  <c r="AV18" i="17"/>
  <c r="AN18" i="17"/>
  <c r="AF18" i="17"/>
  <c r="X18" i="17"/>
  <c r="GQ18" i="17"/>
  <c r="GI18" i="17"/>
  <c r="GA18" i="17"/>
  <c r="FS18" i="17"/>
  <c r="FK18" i="17"/>
  <c r="FC18" i="17"/>
  <c r="EU18" i="17"/>
  <c r="EM18" i="17"/>
  <c r="EE18" i="17"/>
  <c r="DW18" i="17"/>
  <c r="DO18" i="17"/>
  <c r="DG18" i="17"/>
  <c r="CY18" i="17"/>
  <c r="CQ18" i="17"/>
  <c r="CI18" i="17"/>
  <c r="CA18" i="17"/>
  <c r="BS18" i="17"/>
  <c r="BK18" i="17"/>
  <c r="BC18" i="17"/>
  <c r="AU18" i="17"/>
  <c r="AM18" i="17"/>
  <c r="AE18" i="17"/>
  <c r="W18" i="17"/>
  <c r="GP18" i="17"/>
  <c r="GH18" i="17"/>
  <c r="FZ18" i="17"/>
  <c r="FR18" i="17"/>
  <c r="FJ18" i="17"/>
  <c r="FB18" i="17"/>
  <c r="ET18" i="17"/>
  <c r="EL18" i="17"/>
  <c r="ED18" i="17"/>
  <c r="DV18" i="17"/>
  <c r="DN18" i="17"/>
  <c r="DF18" i="17"/>
  <c r="CX18" i="17"/>
  <c r="CP18" i="17"/>
  <c r="CH18" i="17"/>
  <c r="BZ18" i="17"/>
  <c r="BR18" i="17"/>
  <c r="BJ18" i="17"/>
  <c r="BB18" i="17"/>
  <c r="AT18" i="17"/>
  <c r="AL18" i="17"/>
  <c r="AD18" i="17"/>
  <c r="V18" i="17"/>
  <c r="GO18" i="17"/>
  <c r="GG18" i="17"/>
  <c r="FY18" i="17"/>
  <c r="FQ18" i="17"/>
  <c r="FI18" i="17"/>
  <c r="FA18" i="17"/>
  <c r="ES18" i="17"/>
  <c r="EK18" i="17"/>
  <c r="EC18" i="17"/>
  <c r="DU18" i="17"/>
  <c r="DM18" i="17"/>
  <c r="DE18" i="17"/>
  <c r="CW18" i="17"/>
  <c r="CO18" i="17"/>
  <c r="CG18" i="17"/>
  <c r="BY18" i="17"/>
  <c r="BQ18" i="17"/>
  <c r="BI18" i="17"/>
  <c r="BA18" i="17"/>
  <c r="AS18" i="17"/>
  <c r="AK18" i="17"/>
  <c r="AC18" i="17"/>
  <c r="U18" i="17"/>
  <c r="FP18" i="17"/>
  <c r="DD18" i="17"/>
  <c r="AR18" i="17"/>
  <c r="AZ18" i="17"/>
  <c r="FH18" i="17"/>
  <c r="CV18" i="17"/>
  <c r="AJ18" i="17"/>
  <c r="EZ18" i="17"/>
  <c r="CN18" i="17"/>
  <c r="AB18" i="17"/>
  <c r="DL18" i="17"/>
  <c r="ER18" i="17"/>
  <c r="CF18" i="17"/>
  <c r="EJ18" i="17"/>
  <c r="BX18" i="17"/>
  <c r="GN18" i="17"/>
  <c r="EB18" i="17"/>
  <c r="BP18" i="17"/>
  <c r="GF18" i="17"/>
  <c r="DT18" i="17"/>
  <c r="BH18" i="17"/>
  <c r="FX18" i="17"/>
  <c r="GO20" i="17"/>
  <c r="GG20" i="17"/>
  <c r="FY20" i="17"/>
  <c r="FQ20" i="17"/>
  <c r="FI20" i="17"/>
  <c r="FA20" i="17"/>
  <c r="ES20" i="17"/>
  <c r="EK20" i="17"/>
  <c r="EC20" i="17"/>
  <c r="DU20" i="17"/>
  <c r="DM20" i="17"/>
  <c r="DE20" i="17"/>
  <c r="CW20" i="17"/>
  <c r="CO20" i="17"/>
  <c r="CG20" i="17"/>
  <c r="BY20" i="17"/>
  <c r="BQ20" i="17"/>
  <c r="BI20" i="17"/>
  <c r="BA20" i="17"/>
  <c r="AS20" i="17"/>
  <c r="AK20" i="17"/>
  <c r="AC20" i="17"/>
  <c r="U20" i="17"/>
  <c r="GN20" i="17"/>
  <c r="GF20" i="17"/>
  <c r="FX20" i="17"/>
  <c r="FP20" i="17"/>
  <c r="FH20" i="17"/>
  <c r="EZ20" i="17"/>
  <c r="ER20" i="17"/>
  <c r="EJ20" i="17"/>
  <c r="EB20" i="17"/>
  <c r="DT20" i="17"/>
  <c r="DL20" i="17"/>
  <c r="DD20" i="17"/>
  <c r="CV20" i="17"/>
  <c r="CN20" i="17"/>
  <c r="CF20" i="17"/>
  <c r="BX20" i="17"/>
  <c r="BP20" i="17"/>
  <c r="BH20" i="17"/>
  <c r="AZ20" i="17"/>
  <c r="AR20" i="17"/>
  <c r="AJ20" i="17"/>
  <c r="AB20" i="17"/>
  <c r="GM20" i="17"/>
  <c r="GE20" i="17"/>
  <c r="FW20" i="17"/>
  <c r="FO20" i="17"/>
  <c r="FG20" i="17"/>
  <c r="EY20" i="17"/>
  <c r="EQ20" i="17"/>
  <c r="EI20" i="17"/>
  <c r="EA20" i="17"/>
  <c r="DS20" i="17"/>
  <c r="DK20" i="17"/>
  <c r="DC20" i="17"/>
  <c r="CU20" i="17"/>
  <c r="CM20" i="17"/>
  <c r="CE20" i="17"/>
  <c r="BW20" i="17"/>
  <c r="BO20" i="17"/>
  <c r="BG20" i="17"/>
  <c r="AY20" i="17"/>
  <c r="AQ20" i="17"/>
  <c r="AI20" i="17"/>
  <c r="AA20" i="17"/>
  <c r="GL20" i="17"/>
  <c r="GD20" i="17"/>
  <c r="FV20" i="17"/>
  <c r="FN20" i="17"/>
  <c r="FF20" i="17"/>
  <c r="EX20" i="17"/>
  <c r="EP20" i="17"/>
  <c r="EH20" i="17"/>
  <c r="DZ20" i="17"/>
  <c r="DR20" i="17"/>
  <c r="DJ20" i="17"/>
  <c r="DB20" i="17"/>
  <c r="CT20" i="17"/>
  <c r="CL20" i="17"/>
  <c r="CD20" i="17"/>
  <c r="BV20" i="17"/>
  <c r="BN20" i="17"/>
  <c r="BF20" i="17"/>
  <c r="AX20" i="17"/>
  <c r="AP20" i="17"/>
  <c r="AH20" i="17"/>
  <c r="Z20" i="17"/>
  <c r="GK20" i="17"/>
  <c r="GC20" i="17"/>
  <c r="FU20" i="17"/>
  <c r="FM20" i="17"/>
  <c r="FE20" i="17"/>
  <c r="EW20" i="17"/>
  <c r="EO20" i="17"/>
  <c r="EG20" i="17"/>
  <c r="DY20" i="17"/>
  <c r="DQ20" i="17"/>
  <c r="DI20" i="17"/>
  <c r="DA20" i="17"/>
  <c r="CS20" i="17"/>
  <c r="CK20" i="17"/>
  <c r="CC20" i="17"/>
  <c r="BU20" i="17"/>
  <c r="BM20" i="17"/>
  <c r="BE20" i="17"/>
  <c r="AW20" i="17"/>
  <c r="AO20" i="17"/>
  <c r="AG20" i="17"/>
  <c r="Y20" i="17"/>
  <c r="GR20" i="17"/>
  <c r="GJ20" i="17"/>
  <c r="GB20" i="17"/>
  <c r="FT20" i="17"/>
  <c r="FL20" i="17"/>
  <c r="FD20" i="17"/>
  <c r="EV20" i="17"/>
  <c r="EN20" i="17"/>
  <c r="EF20" i="17"/>
  <c r="DX20" i="17"/>
  <c r="DP20" i="17"/>
  <c r="DH20" i="17"/>
  <c r="CZ20" i="17"/>
  <c r="CR20" i="17"/>
  <c r="CJ20" i="17"/>
  <c r="CB20" i="17"/>
  <c r="BT20" i="17"/>
  <c r="BL20" i="17"/>
  <c r="BD20" i="17"/>
  <c r="AV20" i="17"/>
  <c r="AN20" i="17"/>
  <c r="AF20" i="17"/>
  <c r="X20" i="17"/>
  <c r="GQ20" i="17"/>
  <c r="GI20" i="17"/>
  <c r="GA20" i="17"/>
  <c r="FS20" i="17"/>
  <c r="FK20" i="17"/>
  <c r="FC20" i="17"/>
  <c r="EU20" i="17"/>
  <c r="EM20" i="17"/>
  <c r="EE20" i="17"/>
  <c r="DW20" i="17"/>
  <c r="DO20" i="17"/>
  <c r="DG20" i="17"/>
  <c r="CY20" i="17"/>
  <c r="CQ20" i="17"/>
  <c r="CI20" i="17"/>
  <c r="CA20" i="17"/>
  <c r="BS20" i="17"/>
  <c r="BK20" i="17"/>
  <c r="BC20" i="17"/>
  <c r="AU20" i="17"/>
  <c r="AM20" i="17"/>
  <c r="AE20" i="17"/>
  <c r="W20" i="17"/>
  <c r="EL20" i="17"/>
  <c r="BZ20" i="17"/>
  <c r="GP20" i="17"/>
  <c r="ED20" i="17"/>
  <c r="BR20" i="17"/>
  <c r="GH20" i="17"/>
  <c r="DV20" i="17"/>
  <c r="BJ20" i="17"/>
  <c r="FZ20" i="17"/>
  <c r="DN20" i="17"/>
  <c r="BB20" i="17"/>
  <c r="FR20" i="17"/>
  <c r="DF20" i="17"/>
  <c r="AT20" i="17"/>
  <c r="FJ20" i="17"/>
  <c r="CX20" i="17"/>
  <c r="AL20" i="17"/>
  <c r="FB20" i="17"/>
  <c r="CP20" i="17"/>
  <c r="AD20" i="17"/>
  <c r="ET20" i="17"/>
  <c r="CH20" i="17"/>
  <c r="V20" i="17"/>
  <c r="GO22" i="17"/>
  <c r="GG22" i="17"/>
  <c r="GN22" i="17"/>
  <c r="GF22" i="17"/>
  <c r="FX22" i="17"/>
  <c r="FP22" i="17"/>
  <c r="FH22" i="17"/>
  <c r="EZ22" i="17"/>
  <c r="ER22" i="17"/>
  <c r="EJ22" i="17"/>
  <c r="EB22" i="17"/>
  <c r="DT22" i="17"/>
  <c r="DL22" i="17"/>
  <c r="DD22" i="17"/>
  <c r="GM22" i="17"/>
  <c r="GE22" i="17"/>
  <c r="FW22" i="17"/>
  <c r="GL22" i="17"/>
  <c r="GD22" i="17"/>
  <c r="FV22" i="17"/>
  <c r="FN22" i="17"/>
  <c r="FF22" i="17"/>
  <c r="EX22" i="17"/>
  <c r="EP22" i="17"/>
  <c r="EH22" i="17"/>
  <c r="DZ22" i="17"/>
  <c r="DR22" i="17"/>
  <c r="DJ22" i="17"/>
  <c r="DB22" i="17"/>
  <c r="GQ22" i="17"/>
  <c r="GI22" i="17"/>
  <c r="GA22" i="17"/>
  <c r="FS22" i="17"/>
  <c r="GK22" i="17"/>
  <c r="FT22" i="17"/>
  <c r="FI22" i="17"/>
  <c r="EW22" i="17"/>
  <c r="EM22" i="17"/>
  <c r="EC22" i="17"/>
  <c r="DQ22" i="17"/>
  <c r="DG22" i="17"/>
  <c r="CW22" i="17"/>
  <c r="CO22" i="17"/>
  <c r="CG22" i="17"/>
  <c r="BY22" i="17"/>
  <c r="BQ22" i="17"/>
  <c r="BI22" i="17"/>
  <c r="BA22" i="17"/>
  <c r="AS22" i="17"/>
  <c r="AK22" i="17"/>
  <c r="AC22" i="17"/>
  <c r="U22" i="17"/>
  <c r="GJ22" i="17"/>
  <c r="FR22" i="17"/>
  <c r="FG22" i="17"/>
  <c r="EV22" i="17"/>
  <c r="EL22" i="17"/>
  <c r="EA22" i="17"/>
  <c r="DP22" i="17"/>
  <c r="DF22" i="17"/>
  <c r="CV22" i="17"/>
  <c r="CN22" i="17"/>
  <c r="CF22" i="17"/>
  <c r="BX22" i="17"/>
  <c r="BP22" i="17"/>
  <c r="BH22" i="17"/>
  <c r="AZ22" i="17"/>
  <c r="AR22" i="17"/>
  <c r="AJ22" i="17"/>
  <c r="AB22" i="17"/>
  <c r="GH22" i="17"/>
  <c r="FQ22" i="17"/>
  <c r="FE22" i="17"/>
  <c r="EU22" i="17"/>
  <c r="EK22" i="17"/>
  <c r="DY22" i="17"/>
  <c r="DO22" i="17"/>
  <c r="DE22" i="17"/>
  <c r="CU22" i="17"/>
  <c r="CM22" i="17"/>
  <c r="CE22" i="17"/>
  <c r="BW22" i="17"/>
  <c r="BO22" i="17"/>
  <c r="BG22" i="17"/>
  <c r="AY22" i="17"/>
  <c r="AQ22" i="17"/>
  <c r="AI22" i="17"/>
  <c r="AA22" i="17"/>
  <c r="GC22" i="17"/>
  <c r="FO22" i="17"/>
  <c r="FD22" i="17"/>
  <c r="ET22" i="17"/>
  <c r="EI22" i="17"/>
  <c r="DX22" i="17"/>
  <c r="DN22" i="17"/>
  <c r="DC22" i="17"/>
  <c r="CT22" i="17"/>
  <c r="CL22" i="17"/>
  <c r="CD22" i="17"/>
  <c r="BV22" i="17"/>
  <c r="BN22" i="17"/>
  <c r="BF22" i="17"/>
  <c r="AX22" i="17"/>
  <c r="AP22" i="17"/>
  <c r="AH22" i="17"/>
  <c r="Z22" i="17"/>
  <c r="GB22" i="17"/>
  <c r="FM22" i="17"/>
  <c r="FC22" i="17"/>
  <c r="ES22" i="17"/>
  <c r="EG22" i="17"/>
  <c r="DW22" i="17"/>
  <c r="DM22" i="17"/>
  <c r="DA22" i="17"/>
  <c r="CS22" i="17"/>
  <c r="CK22" i="17"/>
  <c r="CC22" i="17"/>
  <c r="BU22" i="17"/>
  <c r="BM22" i="17"/>
  <c r="BE22" i="17"/>
  <c r="AW22" i="17"/>
  <c r="AO22" i="17"/>
  <c r="AG22" i="17"/>
  <c r="Y22" i="17"/>
  <c r="FZ22" i="17"/>
  <c r="FL22" i="17"/>
  <c r="FB22" i="17"/>
  <c r="EQ22" i="17"/>
  <c r="EF22" i="17"/>
  <c r="DV22" i="17"/>
  <c r="DK22" i="17"/>
  <c r="CZ22" i="17"/>
  <c r="CR22" i="17"/>
  <c r="CJ22" i="17"/>
  <c r="CB22" i="17"/>
  <c r="BT22" i="17"/>
  <c r="BL22" i="17"/>
  <c r="BD22" i="17"/>
  <c r="AV22" i="17"/>
  <c r="AN22" i="17"/>
  <c r="AF22" i="17"/>
  <c r="X22" i="17"/>
  <c r="GR22" i="17"/>
  <c r="FY22" i="17"/>
  <c r="FK22" i="17"/>
  <c r="FA22" i="17"/>
  <c r="EO22" i="17"/>
  <c r="EE22" i="17"/>
  <c r="DU22" i="17"/>
  <c r="DI22" i="17"/>
  <c r="CY22" i="17"/>
  <c r="CQ22" i="17"/>
  <c r="CI22" i="17"/>
  <c r="CA22" i="17"/>
  <c r="BS22" i="17"/>
  <c r="BK22" i="17"/>
  <c r="BC22" i="17"/>
  <c r="AU22" i="17"/>
  <c r="AM22" i="17"/>
  <c r="AE22" i="17"/>
  <c r="W22" i="17"/>
  <c r="GP22" i="17"/>
  <c r="CX22" i="17"/>
  <c r="AL22" i="17"/>
  <c r="FU22" i="17"/>
  <c r="CP22" i="17"/>
  <c r="AD22" i="17"/>
  <c r="FJ22" i="17"/>
  <c r="CH22" i="17"/>
  <c r="V22" i="17"/>
  <c r="EY22" i="17"/>
  <c r="BZ22" i="17"/>
  <c r="EN22" i="17"/>
  <c r="BR22" i="17"/>
  <c r="ED22" i="17"/>
  <c r="BJ22" i="17"/>
  <c r="DS22" i="17"/>
  <c r="BB22" i="17"/>
  <c r="AT22" i="17"/>
  <c r="DH22" i="17"/>
  <c r="GM24" i="17"/>
  <c r="GE24" i="17"/>
  <c r="FW24" i="17"/>
  <c r="FO24" i="17"/>
  <c r="GL24" i="17"/>
  <c r="GD24" i="17"/>
  <c r="FV24" i="17"/>
  <c r="FN24" i="17"/>
  <c r="FF24" i="17"/>
  <c r="EX24" i="17"/>
  <c r="EP24" i="17"/>
  <c r="GK24" i="17"/>
  <c r="GC24" i="17"/>
  <c r="FU24" i="17"/>
  <c r="FM24" i="17"/>
  <c r="FE24" i="17"/>
  <c r="GP24" i="17"/>
  <c r="GH24" i="17"/>
  <c r="FZ24" i="17"/>
  <c r="FR24" i="17"/>
  <c r="FJ24" i="17"/>
  <c r="FB24" i="17"/>
  <c r="GI24" i="17"/>
  <c r="FS24" i="17"/>
  <c r="FD24" i="17"/>
  <c r="ET24" i="17"/>
  <c r="EK24" i="17"/>
  <c r="EC24" i="17"/>
  <c r="DU24" i="17"/>
  <c r="DM24" i="17"/>
  <c r="DE24" i="17"/>
  <c r="CW24" i="17"/>
  <c r="CO24" i="17"/>
  <c r="CG24" i="17"/>
  <c r="BY24" i="17"/>
  <c r="BQ24" i="17"/>
  <c r="BI24" i="17"/>
  <c r="BA24" i="17"/>
  <c r="AS24" i="17"/>
  <c r="AK24" i="17"/>
  <c r="AC24" i="17"/>
  <c r="U24" i="17"/>
  <c r="GG24" i="17"/>
  <c r="FQ24" i="17"/>
  <c r="FC24" i="17"/>
  <c r="ES24" i="17"/>
  <c r="EJ24" i="17"/>
  <c r="EB24" i="17"/>
  <c r="DT24" i="17"/>
  <c r="DL24" i="17"/>
  <c r="DD24" i="17"/>
  <c r="CV24" i="17"/>
  <c r="CN24" i="17"/>
  <c r="CF24" i="17"/>
  <c r="BX24" i="17"/>
  <c r="BP24" i="17"/>
  <c r="BH24" i="17"/>
  <c r="AZ24" i="17"/>
  <c r="AR24" i="17"/>
  <c r="AJ24" i="17"/>
  <c r="AB24" i="17"/>
  <c r="GF24" i="17"/>
  <c r="FP24" i="17"/>
  <c r="FA24" i="17"/>
  <c r="ER24" i="17"/>
  <c r="EI24" i="17"/>
  <c r="EA24" i="17"/>
  <c r="DS24" i="17"/>
  <c r="DK24" i="17"/>
  <c r="DC24" i="17"/>
  <c r="CU24" i="17"/>
  <c r="CM24" i="17"/>
  <c r="CE24" i="17"/>
  <c r="BW24" i="17"/>
  <c r="BO24" i="17"/>
  <c r="BG24" i="17"/>
  <c r="AY24" i="17"/>
  <c r="AQ24" i="17"/>
  <c r="AI24" i="17"/>
  <c r="AA24" i="17"/>
  <c r="GR24" i="17"/>
  <c r="GB24" i="17"/>
  <c r="FL24" i="17"/>
  <c r="EZ24" i="17"/>
  <c r="EQ24" i="17"/>
  <c r="EH24" i="17"/>
  <c r="DZ24" i="17"/>
  <c r="DR24" i="17"/>
  <c r="DJ24" i="17"/>
  <c r="DB24" i="17"/>
  <c r="CT24" i="17"/>
  <c r="CL24" i="17"/>
  <c r="CD24" i="17"/>
  <c r="BV24" i="17"/>
  <c r="BN24" i="17"/>
  <c r="BF24" i="17"/>
  <c r="AX24" i="17"/>
  <c r="AP24" i="17"/>
  <c r="AH24" i="17"/>
  <c r="Z24" i="17"/>
  <c r="GQ24" i="17"/>
  <c r="GA24" i="17"/>
  <c r="FK24" i="17"/>
  <c r="EY24" i="17"/>
  <c r="EO24" i="17"/>
  <c r="EG24" i="17"/>
  <c r="DY24" i="17"/>
  <c r="DQ24" i="17"/>
  <c r="DI24" i="17"/>
  <c r="DA24" i="17"/>
  <c r="CS24" i="17"/>
  <c r="CK24" i="17"/>
  <c r="CC24" i="17"/>
  <c r="BU24" i="17"/>
  <c r="BM24" i="17"/>
  <c r="BE24" i="17"/>
  <c r="AW24" i="17"/>
  <c r="AO24" i="17"/>
  <c r="AG24" i="17"/>
  <c r="Y24" i="17"/>
  <c r="GO24" i="17"/>
  <c r="FY24" i="17"/>
  <c r="FI24" i="17"/>
  <c r="EW24" i="17"/>
  <c r="EN24" i="17"/>
  <c r="EF24" i="17"/>
  <c r="DX24" i="17"/>
  <c r="DP24" i="17"/>
  <c r="DH24" i="17"/>
  <c r="CZ24" i="17"/>
  <c r="CR24" i="17"/>
  <c r="CJ24" i="17"/>
  <c r="CB24" i="17"/>
  <c r="BT24" i="17"/>
  <c r="BL24" i="17"/>
  <c r="BD24" i="17"/>
  <c r="AV24" i="17"/>
  <c r="AN24" i="17"/>
  <c r="AF24" i="17"/>
  <c r="X24" i="17"/>
  <c r="GN24" i="17"/>
  <c r="FX24" i="17"/>
  <c r="FH24" i="17"/>
  <c r="EV24" i="17"/>
  <c r="EM24" i="17"/>
  <c r="EE24" i="17"/>
  <c r="DW24" i="17"/>
  <c r="DO24" i="17"/>
  <c r="DG24" i="17"/>
  <c r="CY24" i="17"/>
  <c r="CQ24" i="17"/>
  <c r="CI24" i="17"/>
  <c r="CA24" i="17"/>
  <c r="BS24" i="17"/>
  <c r="BK24" i="17"/>
  <c r="BC24" i="17"/>
  <c r="AU24" i="17"/>
  <c r="AM24" i="17"/>
  <c r="AE24" i="17"/>
  <c r="W24" i="17"/>
  <c r="EU24" i="17"/>
  <c r="CH24" i="17"/>
  <c r="V24" i="17"/>
  <c r="EL24" i="17"/>
  <c r="BZ24" i="17"/>
  <c r="ED24" i="17"/>
  <c r="BR24" i="17"/>
  <c r="DV24" i="17"/>
  <c r="BJ24" i="17"/>
  <c r="DN24" i="17"/>
  <c r="BB24" i="17"/>
  <c r="GJ24" i="17"/>
  <c r="DF24" i="17"/>
  <c r="AT24" i="17"/>
  <c r="FT24" i="17"/>
  <c r="CX24" i="17"/>
  <c r="AL24" i="17"/>
  <c r="FG24" i="17"/>
  <c r="CP24" i="17"/>
  <c r="AD24" i="17"/>
  <c r="GM26" i="17"/>
  <c r="GE26" i="17"/>
  <c r="FW26" i="17"/>
  <c r="FO26" i="17"/>
  <c r="FG26" i="17"/>
  <c r="EY26" i="17"/>
  <c r="EQ26" i="17"/>
  <c r="EI26" i="17"/>
  <c r="EA26" i="17"/>
  <c r="DS26" i="17"/>
  <c r="DK26" i="17"/>
  <c r="DC26" i="17"/>
  <c r="CU26" i="17"/>
  <c r="CM26" i="17"/>
  <c r="CE26" i="17"/>
  <c r="BW26" i="17"/>
  <c r="BO26" i="17"/>
  <c r="BG26" i="17"/>
  <c r="AY26" i="17"/>
  <c r="AQ26" i="17"/>
  <c r="AI26" i="17"/>
  <c r="AA26" i="17"/>
  <c r="GL26" i="17"/>
  <c r="GD26" i="17"/>
  <c r="FV26" i="17"/>
  <c r="FN26" i="17"/>
  <c r="FF26" i="17"/>
  <c r="EX26" i="17"/>
  <c r="EP26" i="17"/>
  <c r="EH26" i="17"/>
  <c r="DZ26" i="17"/>
  <c r="DR26" i="17"/>
  <c r="DJ26" i="17"/>
  <c r="DB26" i="17"/>
  <c r="CT26" i="17"/>
  <c r="CL26" i="17"/>
  <c r="CD26" i="17"/>
  <c r="BV26" i="17"/>
  <c r="BN26" i="17"/>
  <c r="BF26" i="17"/>
  <c r="AX26" i="17"/>
  <c r="AP26" i="17"/>
  <c r="AH26" i="17"/>
  <c r="Z26" i="17"/>
  <c r="GK26" i="17"/>
  <c r="GC26" i="17"/>
  <c r="FU26" i="17"/>
  <c r="FM26" i="17"/>
  <c r="FE26" i="17"/>
  <c r="EW26" i="17"/>
  <c r="EO26" i="17"/>
  <c r="EG26" i="17"/>
  <c r="DY26" i="17"/>
  <c r="DQ26" i="17"/>
  <c r="DI26" i="17"/>
  <c r="DA26" i="17"/>
  <c r="CS26" i="17"/>
  <c r="CK26" i="17"/>
  <c r="CC26" i="17"/>
  <c r="BU26" i="17"/>
  <c r="BM26" i="17"/>
  <c r="BE26" i="17"/>
  <c r="AW26" i="17"/>
  <c r="AO26" i="17"/>
  <c r="AG26" i="17"/>
  <c r="Y26" i="17"/>
  <c r="GR26" i="17"/>
  <c r="GJ26" i="17"/>
  <c r="GB26" i="17"/>
  <c r="FT26" i="17"/>
  <c r="FL26" i="17"/>
  <c r="FD26" i="17"/>
  <c r="EV26" i="17"/>
  <c r="EN26" i="17"/>
  <c r="EF26" i="17"/>
  <c r="DX26" i="17"/>
  <c r="DP26" i="17"/>
  <c r="DH26" i="17"/>
  <c r="CZ26" i="17"/>
  <c r="CR26" i="17"/>
  <c r="CJ26" i="17"/>
  <c r="CB26" i="17"/>
  <c r="BT26" i="17"/>
  <c r="BL26" i="17"/>
  <c r="BD26" i="17"/>
  <c r="AV26" i="17"/>
  <c r="AN26" i="17"/>
  <c r="AF26" i="17"/>
  <c r="X26" i="17"/>
  <c r="GP26" i="17"/>
  <c r="GH26" i="17"/>
  <c r="FZ26" i="17"/>
  <c r="FR26" i="17"/>
  <c r="FJ26" i="17"/>
  <c r="FB26" i="17"/>
  <c r="ET26" i="17"/>
  <c r="EL26" i="17"/>
  <c r="ED26" i="17"/>
  <c r="DV26" i="17"/>
  <c r="DN26" i="17"/>
  <c r="DF26" i="17"/>
  <c r="CX26" i="17"/>
  <c r="CP26" i="17"/>
  <c r="CH26" i="17"/>
  <c r="BZ26" i="17"/>
  <c r="BR26" i="17"/>
  <c r="BJ26" i="17"/>
  <c r="BB26" i="17"/>
  <c r="AT26" i="17"/>
  <c r="AL26" i="17"/>
  <c r="AD26" i="17"/>
  <c r="V26" i="17"/>
  <c r="GA26" i="17"/>
  <c r="FH26" i="17"/>
  <c r="EK26" i="17"/>
  <c r="DO26" i="17"/>
  <c r="CV26" i="17"/>
  <c r="BY26" i="17"/>
  <c r="BC26" i="17"/>
  <c r="AJ26" i="17"/>
  <c r="FY26" i="17"/>
  <c r="FC26" i="17"/>
  <c r="EJ26" i="17"/>
  <c r="DM26" i="17"/>
  <c r="CQ26" i="17"/>
  <c r="BX26" i="17"/>
  <c r="BA26" i="17"/>
  <c r="AE26" i="17"/>
  <c r="GQ26" i="17"/>
  <c r="FX26" i="17"/>
  <c r="FA26" i="17"/>
  <c r="EE26" i="17"/>
  <c r="DL26" i="17"/>
  <c r="CO26" i="17"/>
  <c r="BS26" i="17"/>
  <c r="AZ26" i="17"/>
  <c r="AC26" i="17"/>
  <c r="GO26" i="17"/>
  <c r="FS26" i="17"/>
  <c r="EZ26" i="17"/>
  <c r="EC26" i="17"/>
  <c r="DG26" i="17"/>
  <c r="CN26" i="17"/>
  <c r="BQ26" i="17"/>
  <c r="AU26" i="17"/>
  <c r="AB26" i="17"/>
  <c r="GN26" i="17"/>
  <c r="FQ26" i="17"/>
  <c r="EU26" i="17"/>
  <c r="EB26" i="17"/>
  <c r="DE26" i="17"/>
  <c r="CI26" i="17"/>
  <c r="BP26" i="17"/>
  <c r="AS26" i="17"/>
  <c r="W26" i="17"/>
  <c r="GI26" i="17"/>
  <c r="FP26" i="17"/>
  <c r="ES26" i="17"/>
  <c r="DW26" i="17"/>
  <c r="DD26" i="17"/>
  <c r="CG26" i="17"/>
  <c r="BK26" i="17"/>
  <c r="AR26" i="17"/>
  <c r="U26" i="17"/>
  <c r="GG26" i="17"/>
  <c r="FK26" i="17"/>
  <c r="ER26" i="17"/>
  <c r="DU26" i="17"/>
  <c r="CY26" i="17"/>
  <c r="CF26" i="17"/>
  <c r="BI26" i="17"/>
  <c r="AM26" i="17"/>
  <c r="BH26" i="17"/>
  <c r="AK26" i="17"/>
  <c r="GF26" i="17"/>
  <c r="FI26" i="17"/>
  <c r="EM26" i="17"/>
  <c r="DT26" i="17"/>
  <c r="CW26" i="17"/>
  <c r="CA26" i="17"/>
  <c r="GP28" i="17"/>
  <c r="GH28" i="17"/>
  <c r="FZ28" i="17"/>
  <c r="FR28" i="17"/>
  <c r="FJ28" i="17"/>
  <c r="FB28" i="17"/>
  <c r="ET28" i="17"/>
  <c r="EL28" i="17"/>
  <c r="ED28" i="17"/>
  <c r="DV28" i="17"/>
  <c r="DN28" i="17"/>
  <c r="DF28" i="17"/>
  <c r="CX28" i="17"/>
  <c r="CP28" i="17"/>
  <c r="CH28" i="17"/>
  <c r="BZ28" i="17"/>
  <c r="BR28" i="17"/>
  <c r="BJ28" i="17"/>
  <c r="BB28" i="17"/>
  <c r="AT28" i="17"/>
  <c r="AL28" i="17"/>
  <c r="GO28" i="17"/>
  <c r="GG28" i="17"/>
  <c r="FY28" i="17"/>
  <c r="FQ28" i="17"/>
  <c r="FI28" i="17"/>
  <c r="FA28" i="17"/>
  <c r="ES28" i="17"/>
  <c r="EK28" i="17"/>
  <c r="EC28" i="17"/>
  <c r="DU28" i="17"/>
  <c r="DM28" i="17"/>
  <c r="DE28" i="17"/>
  <c r="CW28" i="17"/>
  <c r="CO28" i="17"/>
  <c r="CG28" i="17"/>
  <c r="BY28" i="17"/>
  <c r="BQ28" i="17"/>
  <c r="BI28" i="17"/>
  <c r="BA28" i="17"/>
  <c r="AS28" i="17"/>
  <c r="AK28" i="17"/>
  <c r="GN28" i="17"/>
  <c r="GF28" i="17"/>
  <c r="FX28" i="17"/>
  <c r="FP28" i="17"/>
  <c r="FH28" i="17"/>
  <c r="EZ28" i="17"/>
  <c r="ER28" i="17"/>
  <c r="EJ28" i="17"/>
  <c r="EB28" i="17"/>
  <c r="DT28" i="17"/>
  <c r="DL28" i="17"/>
  <c r="DD28" i="17"/>
  <c r="CV28" i="17"/>
  <c r="CN28" i="17"/>
  <c r="CF28" i="17"/>
  <c r="BX28" i="17"/>
  <c r="BP28" i="17"/>
  <c r="BH28" i="17"/>
  <c r="AZ28" i="17"/>
  <c r="AR28" i="17"/>
  <c r="AJ28" i="17"/>
  <c r="GM28" i="17"/>
  <c r="GE28" i="17"/>
  <c r="GK28" i="17"/>
  <c r="GC28" i="17"/>
  <c r="FU28" i="17"/>
  <c r="FM28" i="17"/>
  <c r="FE28" i="17"/>
  <c r="EW28" i="17"/>
  <c r="EO28" i="17"/>
  <c r="EG28" i="17"/>
  <c r="DY28" i="17"/>
  <c r="DQ28" i="17"/>
  <c r="DI28" i="17"/>
  <c r="DA28" i="17"/>
  <c r="CS28" i="17"/>
  <c r="CK28" i="17"/>
  <c r="CC28" i="17"/>
  <c r="BU28" i="17"/>
  <c r="BM28" i="17"/>
  <c r="BE28" i="17"/>
  <c r="AW28" i="17"/>
  <c r="AO28" i="17"/>
  <c r="AG28" i="17"/>
  <c r="GA28" i="17"/>
  <c r="FK28" i="17"/>
  <c r="EU28" i="17"/>
  <c r="EE28" i="17"/>
  <c r="DO28" i="17"/>
  <c r="CY28" i="17"/>
  <c r="CI28" i="17"/>
  <c r="BS28" i="17"/>
  <c r="BC28" i="17"/>
  <c r="AM28" i="17"/>
  <c r="AA28" i="17"/>
  <c r="GR28" i="17"/>
  <c r="FW28" i="17"/>
  <c r="FG28" i="17"/>
  <c r="EQ28" i="17"/>
  <c r="EA28" i="17"/>
  <c r="DK28" i="17"/>
  <c r="CU28" i="17"/>
  <c r="CE28" i="17"/>
  <c r="BO28" i="17"/>
  <c r="AY28" i="17"/>
  <c r="AI28" i="17"/>
  <c r="Z28" i="17"/>
  <c r="GQ28" i="17"/>
  <c r="FV28" i="17"/>
  <c r="FF28" i="17"/>
  <c r="EP28" i="17"/>
  <c r="DZ28" i="17"/>
  <c r="DJ28" i="17"/>
  <c r="CT28" i="17"/>
  <c r="CD28" i="17"/>
  <c r="BN28" i="17"/>
  <c r="AX28" i="17"/>
  <c r="AH28" i="17"/>
  <c r="Y28" i="17"/>
  <c r="GL28" i="17"/>
  <c r="FT28" i="17"/>
  <c r="FD28" i="17"/>
  <c r="EN28" i="17"/>
  <c r="DX28" i="17"/>
  <c r="DH28" i="17"/>
  <c r="CR28" i="17"/>
  <c r="CB28" i="17"/>
  <c r="BL28" i="17"/>
  <c r="AV28" i="17"/>
  <c r="AF28" i="17"/>
  <c r="X28" i="17"/>
  <c r="GI28" i="17"/>
  <c r="FO28" i="17"/>
  <c r="EY28" i="17"/>
  <c r="EI28" i="17"/>
  <c r="DS28" i="17"/>
  <c r="DC28" i="17"/>
  <c r="CM28" i="17"/>
  <c r="BW28" i="17"/>
  <c r="BG28" i="17"/>
  <c r="AQ28" i="17"/>
  <c r="AD28" i="17"/>
  <c r="V28" i="17"/>
  <c r="FN28" i="17"/>
  <c r="DW28" i="17"/>
  <c r="CJ28" i="17"/>
  <c r="AP28" i="17"/>
  <c r="FL28" i="17"/>
  <c r="DR28" i="17"/>
  <c r="CA28" i="17"/>
  <c r="AN28" i="17"/>
  <c r="FC28" i="17"/>
  <c r="DP28" i="17"/>
  <c r="BV28" i="17"/>
  <c r="AE28" i="17"/>
  <c r="EX28" i="17"/>
  <c r="DG28" i="17"/>
  <c r="BT28" i="17"/>
  <c r="AC28" i="17"/>
  <c r="GJ28" i="17"/>
  <c r="EV28" i="17"/>
  <c r="DB28" i="17"/>
  <c r="BK28" i="17"/>
  <c r="AB28" i="17"/>
  <c r="GD28" i="17"/>
  <c r="EM28" i="17"/>
  <c r="CZ28" i="17"/>
  <c r="BF28" i="17"/>
  <c r="W28" i="17"/>
  <c r="GB28" i="17"/>
  <c r="EH28" i="17"/>
  <c r="CQ28" i="17"/>
  <c r="BD28" i="17"/>
  <c r="U28" i="17"/>
  <c r="AU28" i="17"/>
  <c r="FS28" i="17"/>
  <c r="EF28" i="17"/>
  <c r="CL28" i="17"/>
  <c r="GK30" i="17"/>
  <c r="GC30" i="17"/>
  <c r="FU30" i="17"/>
  <c r="FM30" i="17"/>
  <c r="FE30" i="17"/>
  <c r="EW30" i="17"/>
  <c r="EO30" i="17"/>
  <c r="EG30" i="17"/>
  <c r="DY30" i="17"/>
  <c r="DQ30" i="17"/>
  <c r="DI30" i="17"/>
  <c r="DA30" i="17"/>
  <c r="CS30" i="17"/>
  <c r="CK30" i="17"/>
  <c r="CC30" i="17"/>
  <c r="GR30" i="17"/>
  <c r="GJ30" i="17"/>
  <c r="GB30" i="17"/>
  <c r="FT30" i="17"/>
  <c r="FL30" i="17"/>
  <c r="FD30" i="17"/>
  <c r="EV30" i="17"/>
  <c r="EN30" i="17"/>
  <c r="EF30" i="17"/>
  <c r="DX30" i="17"/>
  <c r="DP30" i="17"/>
  <c r="DH30" i="17"/>
  <c r="CZ30" i="17"/>
  <c r="CR30" i="17"/>
  <c r="CJ30" i="17"/>
  <c r="CB30" i="17"/>
  <c r="GQ30" i="17"/>
  <c r="GI30" i="17"/>
  <c r="GA30" i="17"/>
  <c r="FS30" i="17"/>
  <c r="FK30" i="17"/>
  <c r="FC30" i="17"/>
  <c r="EU30" i="17"/>
  <c r="EM30" i="17"/>
  <c r="EE30" i="17"/>
  <c r="DW30" i="17"/>
  <c r="DO30" i="17"/>
  <c r="DG30" i="17"/>
  <c r="CY30" i="17"/>
  <c r="CQ30" i="17"/>
  <c r="CI30" i="17"/>
  <c r="CA30" i="17"/>
  <c r="GP30" i="17"/>
  <c r="GN30" i="17"/>
  <c r="GF30" i="17"/>
  <c r="FX30" i="17"/>
  <c r="FP30" i="17"/>
  <c r="FH30" i="17"/>
  <c r="EZ30" i="17"/>
  <c r="ER30" i="17"/>
  <c r="EJ30" i="17"/>
  <c r="EB30" i="17"/>
  <c r="DT30" i="17"/>
  <c r="DL30" i="17"/>
  <c r="DD30" i="17"/>
  <c r="CV30" i="17"/>
  <c r="CN30" i="17"/>
  <c r="CF30" i="17"/>
  <c r="GH30" i="17"/>
  <c r="FR30" i="17"/>
  <c r="FB30" i="17"/>
  <c r="EL30" i="17"/>
  <c r="DV30" i="17"/>
  <c r="DF30" i="17"/>
  <c r="CP30" i="17"/>
  <c r="BZ30" i="17"/>
  <c r="BR30" i="17"/>
  <c r="BJ30" i="17"/>
  <c r="BB30" i="17"/>
  <c r="AT30" i="17"/>
  <c r="AL30" i="17"/>
  <c r="AD30" i="17"/>
  <c r="V30" i="17"/>
  <c r="GG30" i="17"/>
  <c r="FQ30" i="17"/>
  <c r="FA30" i="17"/>
  <c r="EK30" i="17"/>
  <c r="DU30" i="17"/>
  <c r="DE30" i="17"/>
  <c r="CO30" i="17"/>
  <c r="BY30" i="17"/>
  <c r="BQ30" i="17"/>
  <c r="BI30" i="17"/>
  <c r="BA30" i="17"/>
  <c r="AS30" i="17"/>
  <c r="AK30" i="17"/>
  <c r="AC30" i="17"/>
  <c r="U30" i="17"/>
  <c r="GE30" i="17"/>
  <c r="FO30" i="17"/>
  <c r="EY30" i="17"/>
  <c r="EI30" i="17"/>
  <c r="DS30" i="17"/>
  <c r="DC30" i="17"/>
  <c r="CM30" i="17"/>
  <c r="BX30" i="17"/>
  <c r="BP30" i="17"/>
  <c r="BH30" i="17"/>
  <c r="AZ30" i="17"/>
  <c r="AR30" i="17"/>
  <c r="AJ30" i="17"/>
  <c r="AB30" i="17"/>
  <c r="GD30" i="17"/>
  <c r="FN30" i="17"/>
  <c r="EX30" i="17"/>
  <c r="EH30" i="17"/>
  <c r="DR30" i="17"/>
  <c r="DB30" i="17"/>
  <c r="CL30" i="17"/>
  <c r="BW30" i="17"/>
  <c r="BO30" i="17"/>
  <c r="BG30" i="17"/>
  <c r="AY30" i="17"/>
  <c r="AQ30" i="17"/>
  <c r="AI30" i="17"/>
  <c r="AA30" i="17"/>
  <c r="GO30" i="17"/>
  <c r="FY30" i="17"/>
  <c r="FI30" i="17"/>
  <c r="ES30" i="17"/>
  <c r="EC30" i="17"/>
  <c r="DM30" i="17"/>
  <c r="CW30" i="17"/>
  <c r="CG30" i="17"/>
  <c r="BU30" i="17"/>
  <c r="BM30" i="17"/>
  <c r="BE30" i="17"/>
  <c r="AW30" i="17"/>
  <c r="AO30" i="17"/>
  <c r="AG30" i="17"/>
  <c r="Y30" i="17"/>
  <c r="FG30" i="17"/>
  <c r="DN30" i="17"/>
  <c r="CD30" i="17"/>
  <c r="BD30" i="17"/>
  <c r="AH30" i="17"/>
  <c r="FF30" i="17"/>
  <c r="DK30" i="17"/>
  <c r="BV30" i="17"/>
  <c r="BC30" i="17"/>
  <c r="AF30" i="17"/>
  <c r="GM30" i="17"/>
  <c r="ET30" i="17"/>
  <c r="DJ30" i="17"/>
  <c r="BT30" i="17"/>
  <c r="AX30" i="17"/>
  <c r="AE30" i="17"/>
  <c r="GL30" i="17"/>
  <c r="EQ30" i="17"/>
  <c r="CX30" i="17"/>
  <c r="BS30" i="17"/>
  <c r="AV30" i="17"/>
  <c r="Z30" i="17"/>
  <c r="FW30" i="17"/>
  <c r="ED30" i="17"/>
  <c r="CT30" i="17"/>
  <c r="BL30" i="17"/>
  <c r="AP30" i="17"/>
  <c r="W30" i="17"/>
  <c r="CU30" i="17"/>
  <c r="AM30" i="17"/>
  <c r="CH30" i="17"/>
  <c r="X30" i="17"/>
  <c r="FZ30" i="17"/>
  <c r="CE30" i="17"/>
  <c r="FV30" i="17"/>
  <c r="BN30" i="17"/>
  <c r="FJ30" i="17"/>
  <c r="BK30" i="17"/>
  <c r="EP30" i="17"/>
  <c r="BF30" i="17"/>
  <c r="EA30" i="17"/>
  <c r="AU30" i="17"/>
  <c r="DZ30" i="17"/>
  <c r="AN30" i="17"/>
  <c r="GK32" i="17"/>
  <c r="GC32" i="17"/>
  <c r="FU32" i="17"/>
  <c r="FM32" i="17"/>
  <c r="FE32" i="17"/>
  <c r="EW32" i="17"/>
  <c r="EO32" i="17"/>
  <c r="EG32" i="17"/>
  <c r="DY32" i="17"/>
  <c r="DQ32" i="17"/>
  <c r="DI32" i="17"/>
  <c r="DA32" i="17"/>
  <c r="CS32" i="17"/>
  <c r="CK32" i="17"/>
  <c r="CC32" i="17"/>
  <c r="BU32" i="17"/>
  <c r="BM32" i="17"/>
  <c r="BE32" i="17"/>
  <c r="AW32" i="17"/>
  <c r="AO32" i="17"/>
  <c r="AG32" i="17"/>
  <c r="Y32" i="17"/>
  <c r="GR32" i="17"/>
  <c r="GJ32" i="17"/>
  <c r="GB32" i="17"/>
  <c r="FT32" i="17"/>
  <c r="FL32" i="17"/>
  <c r="FD32" i="17"/>
  <c r="EV32" i="17"/>
  <c r="EN32" i="17"/>
  <c r="EF32" i="17"/>
  <c r="DX32" i="17"/>
  <c r="DP32" i="17"/>
  <c r="DH32" i="17"/>
  <c r="CZ32" i="17"/>
  <c r="CR32" i="17"/>
  <c r="CJ32" i="17"/>
  <c r="CB32" i="17"/>
  <c r="BT32" i="17"/>
  <c r="BL32" i="17"/>
  <c r="BD32" i="17"/>
  <c r="AV32" i="17"/>
  <c r="AN32" i="17"/>
  <c r="AF32" i="17"/>
  <c r="X32" i="17"/>
  <c r="GQ32" i="17"/>
  <c r="GI32" i="17"/>
  <c r="GA32" i="17"/>
  <c r="FS32" i="17"/>
  <c r="FK32" i="17"/>
  <c r="FC32" i="17"/>
  <c r="EU32" i="17"/>
  <c r="EM32" i="17"/>
  <c r="EE32" i="17"/>
  <c r="DW32" i="17"/>
  <c r="DO32" i="17"/>
  <c r="DG32" i="17"/>
  <c r="CY32" i="17"/>
  <c r="CQ32" i="17"/>
  <c r="CI32" i="17"/>
  <c r="CA32" i="17"/>
  <c r="BS32" i="17"/>
  <c r="BK32" i="17"/>
  <c r="BC32" i="17"/>
  <c r="AU32" i="17"/>
  <c r="AM32" i="17"/>
  <c r="AE32" i="17"/>
  <c r="W32" i="17"/>
  <c r="GP32" i="17"/>
  <c r="GH32" i="17"/>
  <c r="FZ32" i="17"/>
  <c r="FR32" i="17"/>
  <c r="FJ32" i="17"/>
  <c r="FB32" i="17"/>
  <c r="ET32" i="17"/>
  <c r="EL32" i="17"/>
  <c r="ED32" i="17"/>
  <c r="DV32" i="17"/>
  <c r="DN32" i="17"/>
  <c r="DF32" i="17"/>
  <c r="CX32" i="17"/>
  <c r="CP32" i="17"/>
  <c r="CH32" i="17"/>
  <c r="BZ32" i="17"/>
  <c r="BR32" i="17"/>
  <c r="BJ32" i="17"/>
  <c r="BB32" i="17"/>
  <c r="AT32" i="17"/>
  <c r="AL32" i="17"/>
  <c r="AD32" i="17"/>
  <c r="V32" i="17"/>
  <c r="GN32" i="17"/>
  <c r="GF32" i="17"/>
  <c r="FX32" i="17"/>
  <c r="FP32" i="17"/>
  <c r="FH32" i="17"/>
  <c r="EZ32" i="17"/>
  <c r="ER32" i="17"/>
  <c r="EJ32" i="17"/>
  <c r="EB32" i="17"/>
  <c r="DT32" i="17"/>
  <c r="DL32" i="17"/>
  <c r="DD32" i="17"/>
  <c r="CV32" i="17"/>
  <c r="CN32" i="17"/>
  <c r="CF32" i="17"/>
  <c r="BX32" i="17"/>
  <c r="BP32" i="17"/>
  <c r="BH32" i="17"/>
  <c r="AZ32" i="17"/>
  <c r="AR32" i="17"/>
  <c r="AJ32" i="17"/>
  <c r="AB32" i="17"/>
  <c r="GL32" i="17"/>
  <c r="FO32" i="17"/>
  <c r="ES32" i="17"/>
  <c r="DZ32" i="17"/>
  <c r="DC32" i="17"/>
  <c r="CG32" i="17"/>
  <c r="BN32" i="17"/>
  <c r="AQ32" i="17"/>
  <c r="U32" i="17"/>
  <c r="GG32" i="17"/>
  <c r="FN32" i="17"/>
  <c r="EQ32" i="17"/>
  <c r="DU32" i="17"/>
  <c r="DB32" i="17"/>
  <c r="CE32" i="17"/>
  <c r="BI32" i="17"/>
  <c r="AP32" i="17"/>
  <c r="GE32" i="17"/>
  <c r="FI32" i="17"/>
  <c r="EP32" i="17"/>
  <c r="DS32" i="17"/>
  <c r="CW32" i="17"/>
  <c r="CD32" i="17"/>
  <c r="BG32" i="17"/>
  <c r="AK32" i="17"/>
  <c r="GD32" i="17"/>
  <c r="FG32" i="17"/>
  <c r="EK32" i="17"/>
  <c r="DR32" i="17"/>
  <c r="CU32" i="17"/>
  <c r="BY32" i="17"/>
  <c r="BF32" i="17"/>
  <c r="AI32" i="17"/>
  <c r="FW32" i="17"/>
  <c r="FA32" i="17"/>
  <c r="EH32" i="17"/>
  <c r="DK32" i="17"/>
  <c r="CO32" i="17"/>
  <c r="BV32" i="17"/>
  <c r="AY32" i="17"/>
  <c r="AC32" i="17"/>
  <c r="GM32" i="17"/>
  <c r="EC32" i="17"/>
  <c r="BW32" i="17"/>
  <c r="Z32" i="17"/>
  <c r="FY32" i="17"/>
  <c r="EA32" i="17"/>
  <c r="BQ32" i="17"/>
  <c r="FV32" i="17"/>
  <c r="DM32" i="17"/>
  <c r="BO32" i="17"/>
  <c r="FQ32" i="17"/>
  <c r="DJ32" i="17"/>
  <c r="BA32" i="17"/>
  <c r="EY32" i="17"/>
  <c r="CT32" i="17"/>
  <c r="AS32" i="17"/>
  <c r="FF32" i="17"/>
  <c r="AA32" i="17"/>
  <c r="EX32" i="17"/>
  <c r="EI32" i="17"/>
  <c r="DE32" i="17"/>
  <c r="CM32" i="17"/>
  <c r="CL32" i="17"/>
  <c r="AX32" i="17"/>
  <c r="GO32" i="17"/>
  <c r="AH32" i="17"/>
  <c r="GR34" i="17"/>
  <c r="GJ34" i="17"/>
  <c r="GB34" i="17"/>
  <c r="FT34" i="17"/>
  <c r="FL34" i="17"/>
  <c r="FD34" i="17"/>
  <c r="EV34" i="17"/>
  <c r="EN34" i="17"/>
  <c r="EF34" i="17"/>
  <c r="DX34" i="17"/>
  <c r="DP34" i="17"/>
  <c r="DH34" i="17"/>
  <c r="CZ34" i="17"/>
  <c r="CR34" i="17"/>
  <c r="CJ34" i="17"/>
  <c r="CB34" i="17"/>
  <c r="BT34" i="17"/>
  <c r="BL34" i="17"/>
  <c r="BD34" i="17"/>
  <c r="AV34" i="17"/>
  <c r="AN34" i="17"/>
  <c r="AF34" i="17"/>
  <c r="X34" i="17"/>
  <c r="GQ34" i="17"/>
  <c r="GI34" i="17"/>
  <c r="GA34" i="17"/>
  <c r="FS34" i="17"/>
  <c r="FK34" i="17"/>
  <c r="FC34" i="17"/>
  <c r="EU34" i="17"/>
  <c r="EM34" i="17"/>
  <c r="EE34" i="17"/>
  <c r="DW34" i="17"/>
  <c r="DO34" i="17"/>
  <c r="DG34" i="17"/>
  <c r="CY34" i="17"/>
  <c r="CQ34" i="17"/>
  <c r="CI34" i="17"/>
  <c r="CA34" i="17"/>
  <c r="BS34" i="17"/>
  <c r="BK34" i="17"/>
  <c r="BC34" i="17"/>
  <c r="AU34" i="17"/>
  <c r="AM34" i="17"/>
  <c r="AE34" i="17"/>
  <c r="W34" i="17"/>
  <c r="GP34" i="17"/>
  <c r="GH34" i="17"/>
  <c r="FZ34" i="17"/>
  <c r="FR34" i="17"/>
  <c r="FJ34" i="17"/>
  <c r="FB34" i="17"/>
  <c r="ET34" i="17"/>
  <c r="EL34" i="17"/>
  <c r="ED34" i="17"/>
  <c r="DV34" i="17"/>
  <c r="DN34" i="17"/>
  <c r="DF34" i="17"/>
  <c r="CX34" i="17"/>
  <c r="CP34" i="17"/>
  <c r="CH34" i="17"/>
  <c r="BZ34" i="17"/>
  <c r="BR34" i="17"/>
  <c r="BJ34" i="17"/>
  <c r="BB34" i="17"/>
  <c r="AT34" i="17"/>
  <c r="AL34" i="17"/>
  <c r="AD34" i="17"/>
  <c r="V34" i="17"/>
  <c r="GO34" i="17"/>
  <c r="GG34" i="17"/>
  <c r="FY34" i="17"/>
  <c r="FQ34" i="17"/>
  <c r="FI34" i="17"/>
  <c r="FA34" i="17"/>
  <c r="ES34" i="17"/>
  <c r="EK34" i="17"/>
  <c r="EC34" i="17"/>
  <c r="DU34" i="17"/>
  <c r="DM34" i="17"/>
  <c r="DE34" i="17"/>
  <c r="CW34" i="17"/>
  <c r="CO34" i="17"/>
  <c r="CG34" i="17"/>
  <c r="BY34" i="17"/>
  <c r="BQ34" i="17"/>
  <c r="BI34" i="17"/>
  <c r="BA34" i="17"/>
  <c r="AS34" i="17"/>
  <c r="AK34" i="17"/>
  <c r="AC34" i="17"/>
  <c r="U34" i="17"/>
  <c r="GN34" i="17"/>
  <c r="GF34" i="17"/>
  <c r="FX34" i="17"/>
  <c r="FP34" i="17"/>
  <c r="FH34" i="17"/>
  <c r="EZ34" i="17"/>
  <c r="ER34" i="17"/>
  <c r="EJ34" i="17"/>
  <c r="EB34" i="17"/>
  <c r="DT34" i="17"/>
  <c r="DL34" i="17"/>
  <c r="DD34" i="17"/>
  <c r="CV34" i="17"/>
  <c r="CN34" i="17"/>
  <c r="CF34" i="17"/>
  <c r="BX34" i="17"/>
  <c r="BP34" i="17"/>
  <c r="BH34" i="17"/>
  <c r="GM34" i="17"/>
  <c r="GE34" i="17"/>
  <c r="FW34" i="17"/>
  <c r="FO34" i="17"/>
  <c r="FG34" i="17"/>
  <c r="EY34" i="17"/>
  <c r="EQ34" i="17"/>
  <c r="EI34" i="17"/>
  <c r="EA34" i="17"/>
  <c r="DS34" i="17"/>
  <c r="DK34" i="17"/>
  <c r="DC34" i="17"/>
  <c r="CU34" i="17"/>
  <c r="CM34" i="17"/>
  <c r="CE34" i="17"/>
  <c r="BW34" i="17"/>
  <c r="BO34" i="17"/>
  <c r="BG34" i="17"/>
  <c r="AY34" i="17"/>
  <c r="AQ34" i="17"/>
  <c r="AI34" i="17"/>
  <c r="AA34" i="17"/>
  <c r="GL34" i="17"/>
  <c r="GD34" i="17"/>
  <c r="FV34" i="17"/>
  <c r="FN34" i="17"/>
  <c r="FF34" i="17"/>
  <c r="EX34" i="17"/>
  <c r="EP34" i="17"/>
  <c r="EH34" i="17"/>
  <c r="DZ34" i="17"/>
  <c r="DR34" i="17"/>
  <c r="DJ34" i="17"/>
  <c r="DB34" i="17"/>
  <c r="CT34" i="17"/>
  <c r="CL34" i="17"/>
  <c r="CD34" i="17"/>
  <c r="BV34" i="17"/>
  <c r="BN34" i="17"/>
  <c r="BF34" i="17"/>
  <c r="AX34" i="17"/>
  <c r="AP34" i="17"/>
  <c r="AH34" i="17"/>
  <c r="Z34" i="17"/>
  <c r="EW34" i="17"/>
  <c r="CK34" i="17"/>
  <c r="AO34" i="17"/>
  <c r="EO34" i="17"/>
  <c r="CC34" i="17"/>
  <c r="AJ34" i="17"/>
  <c r="EG34" i="17"/>
  <c r="BU34" i="17"/>
  <c r="AG34" i="17"/>
  <c r="GK34" i="17"/>
  <c r="DY34" i="17"/>
  <c r="BM34" i="17"/>
  <c r="AB34" i="17"/>
  <c r="FU34" i="17"/>
  <c r="DI34" i="17"/>
  <c r="AZ34" i="17"/>
  <c r="DQ34" i="17"/>
  <c r="DA34" i="17"/>
  <c r="CS34" i="17"/>
  <c r="BE34" i="17"/>
  <c r="GC34" i="17"/>
  <c r="AR34" i="17"/>
  <c r="FM34" i="17"/>
  <c r="FE34" i="17"/>
  <c r="Y34" i="17"/>
  <c r="AW34" i="17"/>
  <c r="GM36" i="17"/>
  <c r="GE36" i="17"/>
  <c r="FW36" i="17"/>
  <c r="FO36" i="17"/>
  <c r="FG36" i="17"/>
  <c r="EY36" i="17"/>
  <c r="EQ36" i="17"/>
  <c r="EI36" i="17"/>
  <c r="EA36" i="17"/>
  <c r="DS36" i="17"/>
  <c r="DK36" i="17"/>
  <c r="DC36" i="17"/>
  <c r="CU36" i="17"/>
  <c r="GL36" i="17"/>
  <c r="GD36" i="17"/>
  <c r="FV36" i="17"/>
  <c r="FN36" i="17"/>
  <c r="FF36" i="17"/>
  <c r="EX36" i="17"/>
  <c r="EP36" i="17"/>
  <c r="EH36" i="17"/>
  <c r="DZ36" i="17"/>
  <c r="DR36" i="17"/>
  <c r="DJ36" i="17"/>
  <c r="DB36" i="17"/>
  <c r="CT36" i="17"/>
  <c r="GK36" i="17"/>
  <c r="GC36" i="17"/>
  <c r="FU36" i="17"/>
  <c r="FM36" i="17"/>
  <c r="FE36" i="17"/>
  <c r="EW36" i="17"/>
  <c r="EO36" i="17"/>
  <c r="EG36" i="17"/>
  <c r="DY36" i="17"/>
  <c r="DQ36" i="17"/>
  <c r="DI36" i="17"/>
  <c r="DA36" i="17"/>
  <c r="CS36" i="17"/>
  <c r="GR36" i="17"/>
  <c r="GJ36" i="17"/>
  <c r="GB36" i="17"/>
  <c r="FT36" i="17"/>
  <c r="FL36" i="17"/>
  <c r="FD36" i="17"/>
  <c r="EV36" i="17"/>
  <c r="EN36" i="17"/>
  <c r="EF36" i="17"/>
  <c r="DX36" i="17"/>
  <c r="DP36" i="17"/>
  <c r="DH36" i="17"/>
  <c r="CZ36" i="17"/>
  <c r="GQ36" i="17"/>
  <c r="GI36" i="17"/>
  <c r="GA36" i="17"/>
  <c r="FS36" i="17"/>
  <c r="FK36" i="17"/>
  <c r="FC36" i="17"/>
  <c r="EU36" i="17"/>
  <c r="EM36" i="17"/>
  <c r="EE36" i="17"/>
  <c r="DW36" i="17"/>
  <c r="DO36" i="17"/>
  <c r="DG36" i="17"/>
  <c r="CY36" i="17"/>
  <c r="CQ36" i="17"/>
  <c r="GP36" i="17"/>
  <c r="GH36" i="17"/>
  <c r="FZ36" i="17"/>
  <c r="FR36" i="17"/>
  <c r="FJ36" i="17"/>
  <c r="FB36" i="17"/>
  <c r="ET36" i="17"/>
  <c r="EL36" i="17"/>
  <c r="ED36" i="17"/>
  <c r="DV36" i="17"/>
  <c r="DN36" i="17"/>
  <c r="DF36" i="17"/>
  <c r="CX36" i="17"/>
  <c r="CP36" i="17"/>
  <c r="GO36" i="17"/>
  <c r="FI36" i="17"/>
  <c r="EC36" i="17"/>
  <c r="CW36" i="17"/>
  <c r="CJ36" i="17"/>
  <c r="CB36" i="17"/>
  <c r="BT36" i="17"/>
  <c r="BL36" i="17"/>
  <c r="BD36" i="17"/>
  <c r="AV36" i="17"/>
  <c r="AN36" i="17"/>
  <c r="AF36" i="17"/>
  <c r="X36" i="17"/>
  <c r="GN36" i="17"/>
  <c r="FH36" i="17"/>
  <c r="EB36" i="17"/>
  <c r="CV36" i="17"/>
  <c r="CI36" i="17"/>
  <c r="CA36" i="17"/>
  <c r="BS36" i="17"/>
  <c r="BK36" i="17"/>
  <c r="BC36" i="17"/>
  <c r="AU36" i="17"/>
  <c r="AM36" i="17"/>
  <c r="AE36" i="17"/>
  <c r="W36" i="17"/>
  <c r="GG36" i="17"/>
  <c r="FA36" i="17"/>
  <c r="DU36" i="17"/>
  <c r="CR36" i="17"/>
  <c r="CH36" i="17"/>
  <c r="BZ36" i="17"/>
  <c r="BR36" i="17"/>
  <c r="BJ36" i="17"/>
  <c r="BB36" i="17"/>
  <c r="AT36" i="17"/>
  <c r="AL36" i="17"/>
  <c r="AD36" i="17"/>
  <c r="V36" i="17"/>
  <c r="GF36" i="17"/>
  <c r="EZ36" i="17"/>
  <c r="DT36" i="17"/>
  <c r="CO36" i="17"/>
  <c r="CG36" i="17"/>
  <c r="BY36" i="17"/>
  <c r="BQ36" i="17"/>
  <c r="BI36" i="17"/>
  <c r="BA36" i="17"/>
  <c r="AS36" i="17"/>
  <c r="AK36" i="17"/>
  <c r="AC36" i="17"/>
  <c r="U36" i="17"/>
  <c r="FY36" i="17"/>
  <c r="ES36" i="17"/>
  <c r="DM36" i="17"/>
  <c r="CN36" i="17"/>
  <c r="CF36" i="17"/>
  <c r="BX36" i="17"/>
  <c r="BP36" i="17"/>
  <c r="BH36" i="17"/>
  <c r="AZ36" i="17"/>
  <c r="AR36" i="17"/>
  <c r="AJ36" i="17"/>
  <c r="AB36" i="17"/>
  <c r="FX36" i="17"/>
  <c r="ER36" i="17"/>
  <c r="DL36" i="17"/>
  <c r="CM36" i="17"/>
  <c r="CE36" i="17"/>
  <c r="BW36" i="17"/>
  <c r="BO36" i="17"/>
  <c r="BG36" i="17"/>
  <c r="AY36" i="17"/>
  <c r="AQ36" i="17"/>
  <c r="AI36" i="17"/>
  <c r="AA36" i="17"/>
  <c r="FQ36" i="17"/>
  <c r="EK36" i="17"/>
  <c r="DE36" i="17"/>
  <c r="CL36" i="17"/>
  <c r="CD36" i="17"/>
  <c r="BV36" i="17"/>
  <c r="BN36" i="17"/>
  <c r="BF36" i="17"/>
  <c r="AX36" i="17"/>
  <c r="AP36" i="17"/>
  <c r="AH36" i="17"/>
  <c r="Z36" i="17"/>
  <c r="FP36" i="17"/>
  <c r="AW36" i="17"/>
  <c r="EJ36" i="17"/>
  <c r="AO36" i="17"/>
  <c r="DD36" i="17"/>
  <c r="AG36" i="17"/>
  <c r="CK36" i="17"/>
  <c r="Y36" i="17"/>
  <c r="BU36" i="17"/>
  <c r="CC36" i="17"/>
  <c r="BM36" i="17"/>
  <c r="BE36" i="17"/>
  <c r="GM38" i="17"/>
  <c r="GE38" i="17"/>
  <c r="FW38" i="17"/>
  <c r="FO38" i="17"/>
  <c r="FG38" i="17"/>
  <c r="EY38" i="17"/>
  <c r="EQ38" i="17"/>
  <c r="EI38" i="17"/>
  <c r="EA38" i="17"/>
  <c r="DS38" i="17"/>
  <c r="DK38" i="17"/>
  <c r="DC38" i="17"/>
  <c r="CU38" i="17"/>
  <c r="CM38" i="17"/>
  <c r="CE38" i="17"/>
  <c r="BW38" i="17"/>
  <c r="BO38" i="17"/>
  <c r="BG38" i="17"/>
  <c r="AY38" i="17"/>
  <c r="AQ38" i="17"/>
  <c r="AI38" i="17"/>
  <c r="AA38" i="17"/>
  <c r="GL38" i="17"/>
  <c r="GD38" i="17"/>
  <c r="FV38" i="17"/>
  <c r="FN38" i="17"/>
  <c r="FF38" i="17"/>
  <c r="EX38" i="17"/>
  <c r="EP38" i="17"/>
  <c r="EH38" i="17"/>
  <c r="DZ38" i="17"/>
  <c r="DR38" i="17"/>
  <c r="DJ38" i="17"/>
  <c r="DB38" i="17"/>
  <c r="CT38" i="17"/>
  <c r="CL38" i="17"/>
  <c r="CD38" i="17"/>
  <c r="BV38" i="17"/>
  <c r="BN38" i="17"/>
  <c r="BF38" i="17"/>
  <c r="AX38" i="17"/>
  <c r="AP38" i="17"/>
  <c r="AH38" i="17"/>
  <c r="Z38" i="17"/>
  <c r="GK38" i="17"/>
  <c r="GC38" i="17"/>
  <c r="FU38" i="17"/>
  <c r="FM38" i="17"/>
  <c r="FE38" i="17"/>
  <c r="EW38" i="17"/>
  <c r="EO38" i="17"/>
  <c r="EG38" i="17"/>
  <c r="DY38" i="17"/>
  <c r="DQ38" i="17"/>
  <c r="DI38" i="17"/>
  <c r="DA38" i="17"/>
  <c r="CS38" i="17"/>
  <c r="CK38" i="17"/>
  <c r="CC38" i="17"/>
  <c r="BU38" i="17"/>
  <c r="BM38" i="17"/>
  <c r="BE38" i="17"/>
  <c r="AW38" i="17"/>
  <c r="AO38" i="17"/>
  <c r="AG38" i="17"/>
  <c r="Y38" i="17"/>
  <c r="GR38" i="17"/>
  <c r="GJ38" i="17"/>
  <c r="GB38" i="17"/>
  <c r="FT38" i="17"/>
  <c r="FL38" i="17"/>
  <c r="FD38" i="17"/>
  <c r="EV38" i="17"/>
  <c r="EN38" i="17"/>
  <c r="EF38" i="17"/>
  <c r="DX38" i="17"/>
  <c r="DP38" i="17"/>
  <c r="DH38" i="17"/>
  <c r="CZ38" i="17"/>
  <c r="CR38" i="17"/>
  <c r="CJ38" i="17"/>
  <c r="CB38" i="17"/>
  <c r="BT38" i="17"/>
  <c r="BL38" i="17"/>
  <c r="BD38" i="17"/>
  <c r="AV38" i="17"/>
  <c r="AN38" i="17"/>
  <c r="AF38" i="17"/>
  <c r="X38" i="17"/>
  <c r="GQ38" i="17"/>
  <c r="GI38" i="17"/>
  <c r="GA38" i="17"/>
  <c r="FS38" i="17"/>
  <c r="FK38" i="17"/>
  <c r="FC38" i="17"/>
  <c r="EU38" i="17"/>
  <c r="EM38" i="17"/>
  <c r="EE38" i="17"/>
  <c r="DW38" i="17"/>
  <c r="DO38" i="17"/>
  <c r="DG38" i="17"/>
  <c r="CY38" i="17"/>
  <c r="CQ38" i="17"/>
  <c r="CI38" i="17"/>
  <c r="CA38" i="17"/>
  <c r="BS38" i="17"/>
  <c r="BK38" i="17"/>
  <c r="BC38" i="17"/>
  <c r="AU38" i="17"/>
  <c r="AM38" i="17"/>
  <c r="AE38" i="17"/>
  <c r="W38" i="17"/>
  <c r="GP38" i="17"/>
  <c r="GH38" i="17"/>
  <c r="FZ38" i="17"/>
  <c r="FR38" i="17"/>
  <c r="FJ38" i="17"/>
  <c r="FB38" i="17"/>
  <c r="ET38" i="17"/>
  <c r="EL38" i="17"/>
  <c r="ED38" i="17"/>
  <c r="DV38" i="17"/>
  <c r="DN38" i="17"/>
  <c r="DF38" i="17"/>
  <c r="CX38" i="17"/>
  <c r="CP38" i="17"/>
  <c r="CH38" i="17"/>
  <c r="BZ38" i="17"/>
  <c r="BR38" i="17"/>
  <c r="BJ38" i="17"/>
  <c r="BB38" i="17"/>
  <c r="AT38" i="17"/>
  <c r="AL38" i="17"/>
  <c r="AD38" i="17"/>
  <c r="V38" i="17"/>
  <c r="GG38" i="17"/>
  <c r="FA38" i="17"/>
  <c r="DU38" i="17"/>
  <c r="CO38" i="17"/>
  <c r="BI38" i="17"/>
  <c r="AC38" i="17"/>
  <c r="GF38" i="17"/>
  <c r="EZ38" i="17"/>
  <c r="DT38" i="17"/>
  <c r="CN38" i="17"/>
  <c r="BH38" i="17"/>
  <c r="AB38" i="17"/>
  <c r="FY38" i="17"/>
  <c r="ES38" i="17"/>
  <c r="DM38" i="17"/>
  <c r="CG38" i="17"/>
  <c r="BA38" i="17"/>
  <c r="U38" i="17"/>
  <c r="FX38" i="17"/>
  <c r="ER38" i="17"/>
  <c r="DL38" i="17"/>
  <c r="CF38" i="17"/>
  <c r="AZ38" i="17"/>
  <c r="FQ38" i="17"/>
  <c r="EK38" i="17"/>
  <c r="DE38" i="17"/>
  <c r="BY38" i="17"/>
  <c r="AS38" i="17"/>
  <c r="FP38" i="17"/>
  <c r="EJ38" i="17"/>
  <c r="DD38" i="17"/>
  <c r="BX38" i="17"/>
  <c r="AR38" i="17"/>
  <c r="GO38" i="17"/>
  <c r="FI38" i="17"/>
  <c r="EC38" i="17"/>
  <c r="CW38" i="17"/>
  <c r="BQ38" i="17"/>
  <c r="AK38" i="17"/>
  <c r="BP38" i="17"/>
  <c r="AJ38" i="17"/>
  <c r="FH38" i="17"/>
  <c r="GN38" i="17"/>
  <c r="CV38" i="17"/>
  <c r="EB38" i="17"/>
  <c r="GQ13" i="17"/>
  <c r="GI13" i="17"/>
  <c r="GA13" i="17"/>
  <c r="FS13" i="17"/>
  <c r="FK13" i="17"/>
  <c r="FC13" i="17"/>
  <c r="EU13" i="17"/>
  <c r="EM13" i="17"/>
  <c r="EE13" i="17"/>
  <c r="DW13" i="17"/>
  <c r="DO13" i="17"/>
  <c r="DG13" i="17"/>
  <c r="CY13" i="17"/>
  <c r="CQ13" i="17"/>
  <c r="CI13" i="17"/>
  <c r="CA13" i="17"/>
  <c r="BS13" i="17"/>
  <c r="BK13" i="17"/>
  <c r="BC13" i="17"/>
  <c r="AU13" i="17"/>
  <c r="AM13" i="17"/>
  <c r="AE13" i="17"/>
  <c r="W13" i="17"/>
  <c r="GP13" i="17"/>
  <c r="GH13" i="17"/>
  <c r="FZ13" i="17"/>
  <c r="FR13" i="17"/>
  <c r="FJ13" i="17"/>
  <c r="FB13" i="17"/>
  <c r="ET13" i="17"/>
  <c r="EL13" i="17"/>
  <c r="ED13" i="17"/>
  <c r="DV13" i="17"/>
  <c r="DN13" i="17"/>
  <c r="DF13" i="17"/>
  <c r="CX13" i="17"/>
  <c r="CP13" i="17"/>
  <c r="CH13" i="17"/>
  <c r="BZ13" i="17"/>
  <c r="BR13" i="17"/>
  <c r="BJ13" i="17"/>
  <c r="BB13" i="17"/>
  <c r="AT13" i="17"/>
  <c r="AL13" i="17"/>
  <c r="AD13" i="17"/>
  <c r="V13" i="17"/>
  <c r="GO13" i="17"/>
  <c r="GG13" i="17"/>
  <c r="FY13" i="17"/>
  <c r="FQ13" i="17"/>
  <c r="FI13" i="17"/>
  <c r="FA13" i="17"/>
  <c r="ES13" i="17"/>
  <c r="EK13" i="17"/>
  <c r="EC13" i="17"/>
  <c r="DU13" i="17"/>
  <c r="DM13" i="17"/>
  <c r="DE13" i="17"/>
  <c r="CW13" i="17"/>
  <c r="CO13" i="17"/>
  <c r="CG13" i="17"/>
  <c r="BY13" i="17"/>
  <c r="BQ13" i="17"/>
  <c r="BI13" i="17"/>
  <c r="BA13" i="17"/>
  <c r="AS13" i="17"/>
  <c r="AK13" i="17"/>
  <c r="AC13" i="17"/>
  <c r="U13" i="17"/>
  <c r="GN13" i="17"/>
  <c r="GF13" i="17"/>
  <c r="FX13" i="17"/>
  <c r="FP13" i="17"/>
  <c r="FH13" i="17"/>
  <c r="EZ13" i="17"/>
  <c r="ER13" i="17"/>
  <c r="EJ13" i="17"/>
  <c r="EB13" i="17"/>
  <c r="DT13" i="17"/>
  <c r="DL13" i="17"/>
  <c r="DD13" i="17"/>
  <c r="CV13" i="17"/>
  <c r="CN13" i="17"/>
  <c r="CF13" i="17"/>
  <c r="BX13" i="17"/>
  <c r="BP13" i="17"/>
  <c r="BH13" i="17"/>
  <c r="AZ13" i="17"/>
  <c r="AR13" i="17"/>
  <c r="AJ13" i="17"/>
  <c r="AB13" i="17"/>
  <c r="GM13" i="17"/>
  <c r="GE13" i="17"/>
  <c r="FW13" i="17"/>
  <c r="FO13" i="17"/>
  <c r="FG13" i="17"/>
  <c r="EY13" i="17"/>
  <c r="EQ13" i="17"/>
  <c r="EI13" i="17"/>
  <c r="EA13" i="17"/>
  <c r="DS13" i="17"/>
  <c r="DK13" i="17"/>
  <c r="DC13" i="17"/>
  <c r="CU13" i="17"/>
  <c r="CM13" i="17"/>
  <c r="CE13" i="17"/>
  <c r="BW13" i="17"/>
  <c r="BO13" i="17"/>
  <c r="BG13" i="17"/>
  <c r="AY13" i="17"/>
  <c r="AQ13" i="17"/>
  <c r="AI13" i="17"/>
  <c r="AA13" i="17"/>
  <c r="GL13" i="17"/>
  <c r="GD13" i="17"/>
  <c r="FV13" i="17"/>
  <c r="FN13" i="17"/>
  <c r="FF13" i="17"/>
  <c r="EX13" i="17"/>
  <c r="EP13" i="17"/>
  <c r="EH13" i="17"/>
  <c r="DZ13" i="17"/>
  <c r="DR13" i="17"/>
  <c r="DJ13" i="17"/>
  <c r="DB13" i="17"/>
  <c r="CT13" i="17"/>
  <c r="CL13" i="17"/>
  <c r="CD13" i="17"/>
  <c r="BV13" i="17"/>
  <c r="BN13" i="17"/>
  <c r="BF13" i="17"/>
  <c r="AX13" i="17"/>
  <c r="AP13" i="17"/>
  <c r="AH13" i="17"/>
  <c r="Z13" i="17"/>
  <c r="GK13" i="17"/>
  <c r="GC13" i="17"/>
  <c r="FU13" i="17"/>
  <c r="FM13" i="17"/>
  <c r="FE13" i="17"/>
  <c r="EW13" i="17"/>
  <c r="EO13" i="17"/>
  <c r="EG13" i="17"/>
  <c r="DY13" i="17"/>
  <c r="DQ13" i="17"/>
  <c r="DI13" i="17"/>
  <c r="DA13" i="17"/>
  <c r="CS13" i="17"/>
  <c r="CK13" i="17"/>
  <c r="CC13" i="17"/>
  <c r="BU13" i="17"/>
  <c r="BM13" i="17"/>
  <c r="BE13" i="17"/>
  <c r="AW13" i="17"/>
  <c r="AO13" i="17"/>
  <c r="AG13" i="17"/>
  <c r="Y13" i="17"/>
  <c r="FT13" i="17"/>
  <c r="DH13" i="17"/>
  <c r="AV13" i="17"/>
  <c r="FL13" i="17"/>
  <c r="CZ13" i="17"/>
  <c r="AN13" i="17"/>
  <c r="DP13" i="17"/>
  <c r="FD13" i="17"/>
  <c r="CR13" i="17"/>
  <c r="AF13" i="17"/>
  <c r="EV13" i="17"/>
  <c r="CJ13" i="17"/>
  <c r="X13" i="17"/>
  <c r="EN13" i="17"/>
  <c r="CB13" i="17"/>
  <c r="GR13" i="17"/>
  <c r="EF13" i="17"/>
  <c r="BT13" i="17"/>
  <c r="GB13" i="17"/>
  <c r="GJ13" i="17"/>
  <c r="DX13" i="17"/>
  <c r="BL13" i="17"/>
  <c r="BD13" i="17"/>
  <c r="GQ25" i="17"/>
  <c r="GI25" i="17"/>
  <c r="GA25" i="17"/>
  <c r="FS25" i="17"/>
  <c r="FK25" i="17"/>
  <c r="FC25" i="17"/>
  <c r="EU25" i="17"/>
  <c r="EM25" i="17"/>
  <c r="EE25" i="17"/>
  <c r="DW25" i="17"/>
  <c r="DO25" i="17"/>
  <c r="DG25" i="17"/>
  <c r="CY25" i="17"/>
  <c r="CQ25" i="17"/>
  <c r="CI25" i="17"/>
  <c r="CA25" i="17"/>
  <c r="BS25" i="17"/>
  <c r="BK25" i="17"/>
  <c r="BC25" i="17"/>
  <c r="AU25" i="17"/>
  <c r="AM25" i="17"/>
  <c r="AE25" i="17"/>
  <c r="W25" i="17"/>
  <c r="GP25" i="17"/>
  <c r="GH25" i="17"/>
  <c r="FZ25" i="17"/>
  <c r="FR25" i="17"/>
  <c r="FJ25" i="17"/>
  <c r="FB25" i="17"/>
  <c r="ET25" i="17"/>
  <c r="EL25" i="17"/>
  <c r="ED25" i="17"/>
  <c r="DV25" i="17"/>
  <c r="DN25" i="17"/>
  <c r="DF25" i="17"/>
  <c r="CX25" i="17"/>
  <c r="CP25" i="17"/>
  <c r="CH25" i="17"/>
  <c r="BZ25" i="17"/>
  <c r="BR25" i="17"/>
  <c r="BJ25" i="17"/>
  <c r="BB25" i="17"/>
  <c r="AT25" i="17"/>
  <c r="AL25" i="17"/>
  <c r="AD25" i="17"/>
  <c r="V25" i="17"/>
  <c r="GO25" i="17"/>
  <c r="GG25" i="17"/>
  <c r="FY25" i="17"/>
  <c r="FQ25" i="17"/>
  <c r="FI25" i="17"/>
  <c r="FA25" i="17"/>
  <c r="ES25" i="17"/>
  <c r="EK25" i="17"/>
  <c r="EC25" i="17"/>
  <c r="DU25" i="17"/>
  <c r="DM25" i="17"/>
  <c r="DE25" i="17"/>
  <c r="CW25" i="17"/>
  <c r="CO25" i="17"/>
  <c r="CG25" i="17"/>
  <c r="BY25" i="17"/>
  <c r="BQ25" i="17"/>
  <c r="BI25" i="17"/>
  <c r="BA25" i="17"/>
  <c r="AS25" i="17"/>
  <c r="AK25" i="17"/>
  <c r="AC25" i="17"/>
  <c r="U25" i="17"/>
  <c r="GN25" i="17"/>
  <c r="GF25" i="17"/>
  <c r="FX25" i="17"/>
  <c r="FP25" i="17"/>
  <c r="GL25" i="17"/>
  <c r="GD25" i="17"/>
  <c r="FV25" i="17"/>
  <c r="FN25" i="17"/>
  <c r="FF25" i="17"/>
  <c r="EX25" i="17"/>
  <c r="EP25" i="17"/>
  <c r="EH25" i="17"/>
  <c r="DZ25" i="17"/>
  <c r="DR25" i="17"/>
  <c r="DJ25" i="17"/>
  <c r="DB25" i="17"/>
  <c r="CT25" i="17"/>
  <c r="CL25" i="17"/>
  <c r="CD25" i="17"/>
  <c r="BV25" i="17"/>
  <c r="BN25" i="17"/>
  <c r="BF25" i="17"/>
  <c r="AX25" i="17"/>
  <c r="AP25" i="17"/>
  <c r="AH25" i="17"/>
  <c r="Z25" i="17"/>
  <c r="GK25" i="17"/>
  <c r="FO25" i="17"/>
  <c r="EY25" i="17"/>
  <c r="EI25" i="17"/>
  <c r="DS25" i="17"/>
  <c r="DC25" i="17"/>
  <c r="CM25" i="17"/>
  <c r="BW25" i="17"/>
  <c r="BG25" i="17"/>
  <c r="AQ25" i="17"/>
  <c r="AA25" i="17"/>
  <c r="GJ25" i="17"/>
  <c r="FM25" i="17"/>
  <c r="EW25" i="17"/>
  <c r="EG25" i="17"/>
  <c r="DQ25" i="17"/>
  <c r="DA25" i="17"/>
  <c r="CK25" i="17"/>
  <c r="BU25" i="17"/>
  <c r="BE25" i="17"/>
  <c r="AO25" i="17"/>
  <c r="Y25" i="17"/>
  <c r="GE25" i="17"/>
  <c r="FL25" i="17"/>
  <c r="EV25" i="17"/>
  <c r="EF25" i="17"/>
  <c r="DP25" i="17"/>
  <c r="CZ25" i="17"/>
  <c r="CJ25" i="17"/>
  <c r="BT25" i="17"/>
  <c r="BD25" i="17"/>
  <c r="AN25" i="17"/>
  <c r="X25" i="17"/>
  <c r="GC25" i="17"/>
  <c r="FH25" i="17"/>
  <c r="ER25" i="17"/>
  <c r="EB25" i="17"/>
  <c r="DL25" i="17"/>
  <c r="CV25" i="17"/>
  <c r="CF25" i="17"/>
  <c r="BP25" i="17"/>
  <c r="AZ25" i="17"/>
  <c r="AJ25" i="17"/>
  <c r="GB25" i="17"/>
  <c r="FG25" i="17"/>
  <c r="EQ25" i="17"/>
  <c r="EA25" i="17"/>
  <c r="DK25" i="17"/>
  <c r="CU25" i="17"/>
  <c r="CE25" i="17"/>
  <c r="BO25" i="17"/>
  <c r="AY25" i="17"/>
  <c r="AI25" i="17"/>
  <c r="FW25" i="17"/>
  <c r="FE25" i="17"/>
  <c r="EO25" i="17"/>
  <c r="DY25" i="17"/>
  <c r="DI25" i="17"/>
  <c r="CS25" i="17"/>
  <c r="CC25" i="17"/>
  <c r="BM25" i="17"/>
  <c r="AW25" i="17"/>
  <c r="AG25" i="17"/>
  <c r="GR25" i="17"/>
  <c r="FU25" i="17"/>
  <c r="FD25" i="17"/>
  <c r="EN25" i="17"/>
  <c r="DX25" i="17"/>
  <c r="DH25" i="17"/>
  <c r="CR25" i="17"/>
  <c r="CB25" i="17"/>
  <c r="BL25" i="17"/>
  <c r="AV25" i="17"/>
  <c r="AF25" i="17"/>
  <c r="CN25" i="17"/>
  <c r="BX25" i="17"/>
  <c r="GM25" i="17"/>
  <c r="BH25" i="17"/>
  <c r="FT25" i="17"/>
  <c r="AR25" i="17"/>
  <c r="EZ25" i="17"/>
  <c r="AB25" i="17"/>
  <c r="EJ25" i="17"/>
  <c r="DT25" i="17"/>
  <c r="DD25" i="17"/>
  <c r="GO31" i="17"/>
  <c r="GG31" i="17"/>
  <c r="FY31" i="17"/>
  <c r="FQ31" i="17"/>
  <c r="FI31" i="17"/>
  <c r="FA31" i="17"/>
  <c r="ES31" i="17"/>
  <c r="EK31" i="17"/>
  <c r="EC31" i="17"/>
  <c r="DU31" i="17"/>
  <c r="DM31" i="17"/>
  <c r="DE31" i="17"/>
  <c r="CW31" i="17"/>
  <c r="CO31" i="17"/>
  <c r="CG31" i="17"/>
  <c r="BY31" i="17"/>
  <c r="BQ31" i="17"/>
  <c r="BI31" i="17"/>
  <c r="BA31" i="17"/>
  <c r="AS31" i="17"/>
  <c r="AK31" i="17"/>
  <c r="AC31" i="17"/>
  <c r="U31" i="17"/>
  <c r="GN31" i="17"/>
  <c r="GF31" i="17"/>
  <c r="FX31" i="17"/>
  <c r="FP31" i="17"/>
  <c r="FH31" i="17"/>
  <c r="EZ31" i="17"/>
  <c r="ER31" i="17"/>
  <c r="EJ31" i="17"/>
  <c r="EB31" i="17"/>
  <c r="DT31" i="17"/>
  <c r="DL31" i="17"/>
  <c r="DD31" i="17"/>
  <c r="CV31" i="17"/>
  <c r="CN31" i="17"/>
  <c r="CF31" i="17"/>
  <c r="BX31" i="17"/>
  <c r="BP31" i="17"/>
  <c r="BH31" i="17"/>
  <c r="AZ31" i="17"/>
  <c r="AR31" i="17"/>
  <c r="AJ31" i="17"/>
  <c r="AB31" i="17"/>
  <c r="GM31" i="17"/>
  <c r="GE31" i="17"/>
  <c r="FW31" i="17"/>
  <c r="FO31" i="17"/>
  <c r="FG31" i="17"/>
  <c r="EY31" i="17"/>
  <c r="EQ31" i="17"/>
  <c r="EI31" i="17"/>
  <c r="EA31" i="17"/>
  <c r="DS31" i="17"/>
  <c r="DK31" i="17"/>
  <c r="DC31" i="17"/>
  <c r="CU31" i="17"/>
  <c r="CM31" i="17"/>
  <c r="CE31" i="17"/>
  <c r="BW31" i="17"/>
  <c r="BO31" i="17"/>
  <c r="BG31" i="17"/>
  <c r="AY31" i="17"/>
  <c r="AQ31" i="17"/>
  <c r="AI31" i="17"/>
  <c r="AA31" i="17"/>
  <c r="GL31" i="17"/>
  <c r="GD31" i="17"/>
  <c r="FV31" i="17"/>
  <c r="FN31" i="17"/>
  <c r="FF31" i="17"/>
  <c r="EX31" i="17"/>
  <c r="EP31" i="17"/>
  <c r="EH31" i="17"/>
  <c r="DZ31" i="17"/>
  <c r="DR31" i="17"/>
  <c r="DJ31" i="17"/>
  <c r="DB31" i="17"/>
  <c r="CT31" i="17"/>
  <c r="CL31" i="17"/>
  <c r="CD31" i="17"/>
  <c r="BV31" i="17"/>
  <c r="BN31" i="17"/>
  <c r="BF31" i="17"/>
  <c r="AX31" i="17"/>
  <c r="AP31" i="17"/>
  <c r="AH31" i="17"/>
  <c r="Z31" i="17"/>
  <c r="GR31" i="17"/>
  <c r="GJ31" i="17"/>
  <c r="GB31" i="17"/>
  <c r="FT31" i="17"/>
  <c r="FL31" i="17"/>
  <c r="FD31" i="17"/>
  <c r="EV31" i="17"/>
  <c r="EN31" i="17"/>
  <c r="EF31" i="17"/>
  <c r="DX31" i="17"/>
  <c r="DP31" i="17"/>
  <c r="DH31" i="17"/>
  <c r="CZ31" i="17"/>
  <c r="CR31" i="17"/>
  <c r="CJ31" i="17"/>
  <c r="CB31" i="17"/>
  <c r="BT31" i="17"/>
  <c r="BL31" i="17"/>
  <c r="BD31" i="17"/>
  <c r="AV31" i="17"/>
  <c r="AN31" i="17"/>
  <c r="AF31" i="17"/>
  <c r="X31" i="17"/>
  <c r="FZ31" i="17"/>
  <c r="FC31" i="17"/>
  <c r="EG31" i="17"/>
  <c r="DN31" i="17"/>
  <c r="CQ31" i="17"/>
  <c r="BU31" i="17"/>
  <c r="BB31" i="17"/>
  <c r="AE31" i="17"/>
  <c r="GQ31" i="17"/>
  <c r="FU31" i="17"/>
  <c r="FB31" i="17"/>
  <c r="EE31" i="17"/>
  <c r="DI31" i="17"/>
  <c r="CP31" i="17"/>
  <c r="BS31" i="17"/>
  <c r="AW31" i="17"/>
  <c r="AD31" i="17"/>
  <c r="GP31" i="17"/>
  <c r="FS31" i="17"/>
  <c r="EW31" i="17"/>
  <c r="ED31" i="17"/>
  <c r="DG31" i="17"/>
  <c r="CK31" i="17"/>
  <c r="BR31" i="17"/>
  <c r="AU31" i="17"/>
  <c r="Y31" i="17"/>
  <c r="GK31" i="17"/>
  <c r="FR31" i="17"/>
  <c r="EU31" i="17"/>
  <c r="DY31" i="17"/>
  <c r="DF31" i="17"/>
  <c r="CI31" i="17"/>
  <c r="BM31" i="17"/>
  <c r="AT31" i="17"/>
  <c r="W31" i="17"/>
  <c r="GH31" i="17"/>
  <c r="FK31" i="17"/>
  <c r="EO31" i="17"/>
  <c r="DV31" i="17"/>
  <c r="CY31" i="17"/>
  <c r="CC31" i="17"/>
  <c r="BJ31" i="17"/>
  <c r="AM31" i="17"/>
  <c r="EM31" i="17"/>
  <c r="CH31" i="17"/>
  <c r="AG31" i="17"/>
  <c r="GI31" i="17"/>
  <c r="EL31" i="17"/>
  <c r="CA31" i="17"/>
  <c r="V31" i="17"/>
  <c r="GC31" i="17"/>
  <c r="DW31" i="17"/>
  <c r="BZ31" i="17"/>
  <c r="GA31" i="17"/>
  <c r="DQ31" i="17"/>
  <c r="BK31" i="17"/>
  <c r="FJ31" i="17"/>
  <c r="DA31" i="17"/>
  <c r="BC31" i="17"/>
  <c r="AO31" i="17"/>
  <c r="FM31" i="17"/>
  <c r="AL31" i="17"/>
  <c r="FE31" i="17"/>
  <c r="ET31" i="17"/>
  <c r="DO31" i="17"/>
  <c r="CX31" i="17"/>
  <c r="CS31" i="17"/>
  <c r="BE31" i="17"/>
  <c r="V9" i="17"/>
  <c r="U9" i="17"/>
  <c r="GK23" i="17"/>
  <c r="GC23" i="17"/>
  <c r="FU23" i="17"/>
  <c r="FM23" i="17"/>
  <c r="FE23" i="17"/>
  <c r="EW23" i="17"/>
  <c r="EO23" i="17"/>
  <c r="EG23" i="17"/>
  <c r="DY23" i="17"/>
  <c r="DQ23" i="17"/>
  <c r="DI23" i="17"/>
  <c r="DA23" i="17"/>
  <c r="CS23" i="17"/>
  <c r="CK23" i="17"/>
  <c r="CC23" i="17"/>
  <c r="BU23" i="17"/>
  <c r="BM23" i="17"/>
  <c r="BE23" i="17"/>
  <c r="AW23" i="17"/>
  <c r="AO23" i="17"/>
  <c r="AG23" i="17"/>
  <c r="Y23" i="17"/>
  <c r="GR23" i="17"/>
  <c r="GJ23" i="17"/>
  <c r="GB23" i="17"/>
  <c r="FT23" i="17"/>
  <c r="FL23" i="17"/>
  <c r="FD23" i="17"/>
  <c r="EV23" i="17"/>
  <c r="EN23" i="17"/>
  <c r="EF23" i="17"/>
  <c r="DX23" i="17"/>
  <c r="DP23" i="17"/>
  <c r="DH23" i="17"/>
  <c r="CZ23" i="17"/>
  <c r="CR23" i="17"/>
  <c r="CJ23" i="17"/>
  <c r="CB23" i="17"/>
  <c r="BT23" i="17"/>
  <c r="BL23" i="17"/>
  <c r="BD23" i="17"/>
  <c r="AV23" i="17"/>
  <c r="AN23" i="17"/>
  <c r="AF23" i="17"/>
  <c r="X23" i="17"/>
  <c r="GQ23" i="17"/>
  <c r="GI23" i="17"/>
  <c r="GA23" i="17"/>
  <c r="FS23" i="17"/>
  <c r="FK23" i="17"/>
  <c r="FC23" i="17"/>
  <c r="EU23" i="17"/>
  <c r="EM23" i="17"/>
  <c r="EE23" i="17"/>
  <c r="DW23" i="17"/>
  <c r="DO23" i="17"/>
  <c r="DG23" i="17"/>
  <c r="CY23" i="17"/>
  <c r="CQ23" i="17"/>
  <c r="CI23" i="17"/>
  <c r="CA23" i="17"/>
  <c r="BS23" i="17"/>
  <c r="BK23" i="17"/>
  <c r="BC23" i="17"/>
  <c r="AU23" i="17"/>
  <c r="AM23" i="17"/>
  <c r="AE23" i="17"/>
  <c r="W23" i="17"/>
  <c r="GP23" i="17"/>
  <c r="GH23" i="17"/>
  <c r="FZ23" i="17"/>
  <c r="FR23" i="17"/>
  <c r="FJ23" i="17"/>
  <c r="FB23" i="17"/>
  <c r="ET23" i="17"/>
  <c r="EL23" i="17"/>
  <c r="ED23" i="17"/>
  <c r="DV23" i="17"/>
  <c r="DN23" i="17"/>
  <c r="DF23" i="17"/>
  <c r="CX23" i="17"/>
  <c r="CP23" i="17"/>
  <c r="CH23" i="17"/>
  <c r="BZ23" i="17"/>
  <c r="BR23" i="17"/>
  <c r="BJ23" i="17"/>
  <c r="BB23" i="17"/>
  <c r="AT23" i="17"/>
  <c r="AL23" i="17"/>
  <c r="AD23" i="17"/>
  <c r="V23" i="17"/>
  <c r="GO23" i="17"/>
  <c r="GG23" i="17"/>
  <c r="FY23" i="17"/>
  <c r="FQ23" i="17"/>
  <c r="FI23" i="17"/>
  <c r="FA23" i="17"/>
  <c r="ES23" i="17"/>
  <c r="EK23" i="17"/>
  <c r="EC23" i="17"/>
  <c r="DU23" i="17"/>
  <c r="GN23" i="17"/>
  <c r="GF23" i="17"/>
  <c r="FX23" i="17"/>
  <c r="FP23" i="17"/>
  <c r="FH23" i="17"/>
  <c r="EZ23" i="17"/>
  <c r="ER23" i="17"/>
  <c r="EJ23" i="17"/>
  <c r="EB23" i="17"/>
  <c r="DT23" i="17"/>
  <c r="DL23" i="17"/>
  <c r="DD23" i="17"/>
  <c r="CV23" i="17"/>
  <c r="CN23" i="17"/>
  <c r="CF23" i="17"/>
  <c r="BX23" i="17"/>
  <c r="BP23" i="17"/>
  <c r="BH23" i="17"/>
  <c r="AZ23" i="17"/>
  <c r="AR23" i="17"/>
  <c r="GM23" i="17"/>
  <c r="GE23" i="17"/>
  <c r="FW23" i="17"/>
  <c r="FO23" i="17"/>
  <c r="FG23" i="17"/>
  <c r="EY23" i="17"/>
  <c r="EQ23" i="17"/>
  <c r="EI23" i="17"/>
  <c r="EA23" i="17"/>
  <c r="DS23" i="17"/>
  <c r="DK23" i="17"/>
  <c r="DC23" i="17"/>
  <c r="CU23" i="17"/>
  <c r="CM23" i="17"/>
  <c r="CE23" i="17"/>
  <c r="BW23" i="17"/>
  <c r="BO23" i="17"/>
  <c r="BG23" i="17"/>
  <c r="AY23" i="17"/>
  <c r="AQ23" i="17"/>
  <c r="AI23" i="17"/>
  <c r="AA23" i="17"/>
  <c r="EH23" i="17"/>
  <c r="CT23" i="17"/>
  <c r="BN23" i="17"/>
  <c r="AJ23" i="17"/>
  <c r="GL23" i="17"/>
  <c r="DZ23" i="17"/>
  <c r="CO23" i="17"/>
  <c r="BI23" i="17"/>
  <c r="AH23" i="17"/>
  <c r="GD23" i="17"/>
  <c r="DR23" i="17"/>
  <c r="CL23" i="17"/>
  <c r="BF23" i="17"/>
  <c r="AC23" i="17"/>
  <c r="FV23" i="17"/>
  <c r="DM23" i="17"/>
  <c r="CG23" i="17"/>
  <c r="BA23" i="17"/>
  <c r="AB23" i="17"/>
  <c r="FN23" i="17"/>
  <c r="DJ23" i="17"/>
  <c r="CD23" i="17"/>
  <c r="AX23" i="17"/>
  <c r="Z23" i="17"/>
  <c r="FF23" i="17"/>
  <c r="DE23" i="17"/>
  <c r="BY23" i="17"/>
  <c r="AS23" i="17"/>
  <c r="U23" i="17"/>
  <c r="EX23" i="17"/>
  <c r="DB23" i="17"/>
  <c r="BV23" i="17"/>
  <c r="AP23" i="17"/>
  <c r="EP23" i="17"/>
  <c r="CW23" i="17"/>
  <c r="BQ23" i="17"/>
  <c r="AK23" i="17"/>
  <c r="GQ27" i="17"/>
  <c r="GI27" i="17"/>
  <c r="GA27" i="17"/>
  <c r="FS27" i="17"/>
  <c r="FK27" i="17"/>
  <c r="FC27" i="17"/>
  <c r="EU27" i="17"/>
  <c r="EM27" i="17"/>
  <c r="EE27" i="17"/>
  <c r="DW27" i="17"/>
  <c r="DO27" i="17"/>
  <c r="DG27" i="17"/>
  <c r="CY27" i="17"/>
  <c r="CQ27" i="17"/>
  <c r="CI27" i="17"/>
  <c r="CA27" i="17"/>
  <c r="BS27" i="17"/>
  <c r="BK27" i="17"/>
  <c r="BC27" i="17"/>
  <c r="AU27" i="17"/>
  <c r="AM27" i="17"/>
  <c r="AE27" i="17"/>
  <c r="W27" i="17"/>
  <c r="GP27" i="17"/>
  <c r="GH27" i="17"/>
  <c r="FZ27" i="17"/>
  <c r="FR27" i="17"/>
  <c r="FJ27" i="17"/>
  <c r="FB27" i="17"/>
  <c r="ET27" i="17"/>
  <c r="EL27" i="17"/>
  <c r="ED27" i="17"/>
  <c r="DV27" i="17"/>
  <c r="DN27" i="17"/>
  <c r="DF27" i="17"/>
  <c r="CX27" i="17"/>
  <c r="CP27" i="17"/>
  <c r="CH27" i="17"/>
  <c r="BZ27" i="17"/>
  <c r="BR27" i="17"/>
  <c r="BJ27" i="17"/>
  <c r="BB27" i="17"/>
  <c r="AT27" i="17"/>
  <c r="AL27" i="17"/>
  <c r="AD27" i="17"/>
  <c r="V27" i="17"/>
  <c r="GO27" i="17"/>
  <c r="GG27" i="17"/>
  <c r="FY27" i="17"/>
  <c r="FQ27" i="17"/>
  <c r="FI27" i="17"/>
  <c r="FA27" i="17"/>
  <c r="ES27" i="17"/>
  <c r="EK27" i="17"/>
  <c r="EC27" i="17"/>
  <c r="DU27" i="17"/>
  <c r="DM27" i="17"/>
  <c r="DE27" i="17"/>
  <c r="CW27" i="17"/>
  <c r="CO27" i="17"/>
  <c r="CG27" i="17"/>
  <c r="BY27" i="17"/>
  <c r="BQ27" i="17"/>
  <c r="BI27" i="17"/>
  <c r="BA27" i="17"/>
  <c r="AS27" i="17"/>
  <c r="AK27" i="17"/>
  <c r="AC27" i="17"/>
  <c r="U27" i="17"/>
  <c r="GN27" i="17"/>
  <c r="GF27" i="17"/>
  <c r="FX27" i="17"/>
  <c r="FP27" i="17"/>
  <c r="FH27" i="17"/>
  <c r="EZ27" i="17"/>
  <c r="ER27" i="17"/>
  <c r="EJ27" i="17"/>
  <c r="EB27" i="17"/>
  <c r="DT27" i="17"/>
  <c r="DL27" i="17"/>
  <c r="DD27" i="17"/>
  <c r="CV27" i="17"/>
  <c r="CN27" i="17"/>
  <c r="CF27" i="17"/>
  <c r="BX27" i="17"/>
  <c r="BP27" i="17"/>
  <c r="BH27" i="17"/>
  <c r="AZ27" i="17"/>
  <c r="AR27" i="17"/>
  <c r="AJ27" i="17"/>
  <c r="AB27" i="17"/>
  <c r="GL27" i="17"/>
  <c r="GD27" i="17"/>
  <c r="FV27" i="17"/>
  <c r="FN27" i="17"/>
  <c r="FF27" i="17"/>
  <c r="EX27" i="17"/>
  <c r="EP27" i="17"/>
  <c r="EH27" i="17"/>
  <c r="DZ27" i="17"/>
  <c r="DR27" i="17"/>
  <c r="DJ27" i="17"/>
  <c r="DB27" i="17"/>
  <c r="CT27" i="17"/>
  <c r="CL27" i="17"/>
  <c r="CD27" i="17"/>
  <c r="BV27" i="17"/>
  <c r="BN27" i="17"/>
  <c r="BF27" i="17"/>
  <c r="AX27" i="17"/>
  <c r="AP27" i="17"/>
  <c r="AH27" i="17"/>
  <c r="Z27" i="17"/>
  <c r="GM27" i="17"/>
  <c r="FT27" i="17"/>
  <c r="EW27" i="17"/>
  <c r="EA27" i="17"/>
  <c r="DH27" i="17"/>
  <c r="CK27" i="17"/>
  <c r="BO27" i="17"/>
  <c r="AV27" i="17"/>
  <c r="Y27" i="17"/>
  <c r="GK27" i="17"/>
  <c r="FO27" i="17"/>
  <c r="EV27" i="17"/>
  <c r="DY27" i="17"/>
  <c r="DC27" i="17"/>
  <c r="CJ27" i="17"/>
  <c r="BM27" i="17"/>
  <c r="AQ27" i="17"/>
  <c r="X27" i="17"/>
  <c r="GJ27" i="17"/>
  <c r="FM27" i="17"/>
  <c r="EQ27" i="17"/>
  <c r="DX27" i="17"/>
  <c r="DA27" i="17"/>
  <c r="CE27" i="17"/>
  <c r="BL27" i="17"/>
  <c r="AO27" i="17"/>
  <c r="GE27" i="17"/>
  <c r="FL27" i="17"/>
  <c r="EO27" i="17"/>
  <c r="DS27" i="17"/>
  <c r="CZ27" i="17"/>
  <c r="CC27" i="17"/>
  <c r="BG27" i="17"/>
  <c r="AN27" i="17"/>
  <c r="GC27" i="17"/>
  <c r="FG27" i="17"/>
  <c r="EN27" i="17"/>
  <c r="DQ27" i="17"/>
  <c r="CU27" i="17"/>
  <c r="CB27" i="17"/>
  <c r="BE27" i="17"/>
  <c r="AI27" i="17"/>
  <c r="GB27" i="17"/>
  <c r="FE27" i="17"/>
  <c r="EI27" i="17"/>
  <c r="DP27" i="17"/>
  <c r="CS27" i="17"/>
  <c r="BW27" i="17"/>
  <c r="BD27" i="17"/>
  <c r="AG27" i="17"/>
  <c r="FW27" i="17"/>
  <c r="FD27" i="17"/>
  <c r="EG27" i="17"/>
  <c r="DK27" i="17"/>
  <c r="CR27" i="17"/>
  <c r="BU27" i="17"/>
  <c r="AY27" i="17"/>
  <c r="AF27" i="17"/>
  <c r="AW27" i="17"/>
  <c r="GR27" i="17"/>
  <c r="AA27" i="17"/>
  <c r="FU27" i="17"/>
  <c r="EY27" i="17"/>
  <c r="EF27" i="17"/>
  <c r="DI27" i="17"/>
  <c r="CM27" i="17"/>
  <c r="BT27" i="17"/>
  <c r="GK39" i="17"/>
  <c r="GC39" i="17"/>
  <c r="FU39" i="17"/>
  <c r="FM39" i="17"/>
  <c r="FE39" i="17"/>
  <c r="EW39" i="17"/>
  <c r="EO39" i="17"/>
  <c r="EG39" i="17"/>
  <c r="DY39" i="17"/>
  <c r="DQ39" i="17"/>
  <c r="DI39" i="17"/>
  <c r="DA39" i="17"/>
  <c r="CS39" i="17"/>
  <c r="CK39" i="17"/>
  <c r="CC39" i="17"/>
  <c r="BU39" i="17"/>
  <c r="BM39" i="17"/>
  <c r="GR39" i="17"/>
  <c r="GJ39" i="17"/>
  <c r="GB39" i="17"/>
  <c r="FT39" i="17"/>
  <c r="FL39" i="17"/>
  <c r="FD39" i="17"/>
  <c r="EV39" i="17"/>
  <c r="EN39" i="17"/>
  <c r="EF39" i="17"/>
  <c r="DX39" i="17"/>
  <c r="DP39" i="17"/>
  <c r="DH39" i="17"/>
  <c r="CZ39" i="17"/>
  <c r="CR39" i="17"/>
  <c r="CJ39" i="17"/>
  <c r="CB39" i="17"/>
  <c r="BT39" i="17"/>
  <c r="BL39" i="17"/>
  <c r="GQ39" i="17"/>
  <c r="GI39" i="17"/>
  <c r="GA39" i="17"/>
  <c r="FS39" i="17"/>
  <c r="FK39" i="17"/>
  <c r="FC39" i="17"/>
  <c r="EU39" i="17"/>
  <c r="EM39" i="17"/>
  <c r="EE39" i="17"/>
  <c r="DW39" i="17"/>
  <c r="DO39" i="17"/>
  <c r="DG39" i="17"/>
  <c r="CY39" i="17"/>
  <c r="CQ39" i="17"/>
  <c r="CI39" i="17"/>
  <c r="CA39" i="17"/>
  <c r="BS39" i="17"/>
  <c r="BK39" i="17"/>
  <c r="BC39" i="17"/>
  <c r="AU39" i="17"/>
  <c r="AM39" i="17"/>
  <c r="AE39" i="17"/>
  <c r="W39" i="17"/>
  <c r="GP39" i="17"/>
  <c r="GH39" i="17"/>
  <c r="FZ39" i="17"/>
  <c r="FR39" i="17"/>
  <c r="FJ39" i="17"/>
  <c r="FB39" i="17"/>
  <c r="ET39" i="17"/>
  <c r="EL39" i="17"/>
  <c r="ED39" i="17"/>
  <c r="DV39" i="17"/>
  <c r="DN39" i="17"/>
  <c r="DF39" i="17"/>
  <c r="CX39" i="17"/>
  <c r="CP39" i="17"/>
  <c r="CH39" i="17"/>
  <c r="BZ39" i="17"/>
  <c r="BR39" i="17"/>
  <c r="BJ39" i="17"/>
  <c r="BB39" i="17"/>
  <c r="AT39" i="17"/>
  <c r="AL39" i="17"/>
  <c r="AD39" i="17"/>
  <c r="V39" i="17"/>
  <c r="GO39" i="17"/>
  <c r="GG39" i="17"/>
  <c r="FY39" i="17"/>
  <c r="FQ39" i="17"/>
  <c r="FI39" i="17"/>
  <c r="FA39" i="17"/>
  <c r="ES39" i="17"/>
  <c r="EK39" i="17"/>
  <c r="EC39" i="17"/>
  <c r="DU39" i="17"/>
  <c r="DM39" i="17"/>
  <c r="DE39" i="17"/>
  <c r="CW39" i="17"/>
  <c r="CO39" i="17"/>
  <c r="CG39" i="17"/>
  <c r="BY39" i="17"/>
  <c r="BQ39" i="17"/>
  <c r="BI39" i="17"/>
  <c r="BA39" i="17"/>
  <c r="AS39" i="17"/>
  <c r="AK39" i="17"/>
  <c r="AC39" i="17"/>
  <c r="U39" i="17"/>
  <c r="GN39" i="17"/>
  <c r="GF39" i="17"/>
  <c r="FX39" i="17"/>
  <c r="FP39" i="17"/>
  <c r="FH39" i="17"/>
  <c r="EZ39" i="17"/>
  <c r="ER39" i="17"/>
  <c r="EJ39" i="17"/>
  <c r="EB39" i="17"/>
  <c r="DT39" i="17"/>
  <c r="DL39" i="17"/>
  <c r="DD39" i="17"/>
  <c r="CV39" i="17"/>
  <c r="CN39" i="17"/>
  <c r="CF39" i="17"/>
  <c r="BX39" i="17"/>
  <c r="BP39" i="17"/>
  <c r="BH39" i="17"/>
  <c r="AZ39" i="17"/>
  <c r="AR39" i="17"/>
  <c r="AJ39" i="17"/>
  <c r="AB39" i="17"/>
  <c r="GM39" i="17"/>
  <c r="GE39" i="17"/>
  <c r="FW39" i="17"/>
  <c r="FO39" i="17"/>
  <c r="FG39" i="17"/>
  <c r="EY39" i="17"/>
  <c r="EQ39" i="17"/>
  <c r="EI39" i="17"/>
  <c r="EA39" i="17"/>
  <c r="DS39" i="17"/>
  <c r="DK39" i="17"/>
  <c r="DC39" i="17"/>
  <c r="CU39" i="17"/>
  <c r="CM39" i="17"/>
  <c r="CE39" i="17"/>
  <c r="BW39" i="17"/>
  <c r="BO39" i="17"/>
  <c r="BG39" i="17"/>
  <c r="AY39" i="17"/>
  <c r="AQ39" i="17"/>
  <c r="AI39" i="17"/>
  <c r="AA39" i="17"/>
  <c r="GL39" i="17"/>
  <c r="GD39" i="17"/>
  <c r="FV39" i="17"/>
  <c r="FN39" i="17"/>
  <c r="FF39" i="17"/>
  <c r="EX39" i="17"/>
  <c r="EP39" i="17"/>
  <c r="EH39" i="17"/>
  <c r="DZ39" i="17"/>
  <c r="DR39" i="17"/>
  <c r="DJ39" i="17"/>
  <c r="DB39" i="17"/>
  <c r="CT39" i="17"/>
  <c r="CL39" i="17"/>
  <c r="CD39" i="17"/>
  <c r="BV39" i="17"/>
  <c r="BN39" i="17"/>
  <c r="BF39" i="17"/>
  <c r="AX39" i="17"/>
  <c r="AP39" i="17"/>
  <c r="AH39" i="17"/>
  <c r="Z39" i="17"/>
  <c r="AO39" i="17"/>
  <c r="AN39" i="17"/>
  <c r="AG39" i="17"/>
  <c r="AF39" i="17"/>
  <c r="BE39" i="17"/>
  <c r="Y39" i="17"/>
  <c r="BD39" i="17"/>
  <c r="X39" i="17"/>
  <c r="AW39" i="17"/>
  <c r="AV39" i="17"/>
  <c r="GK21" i="17"/>
  <c r="GC21" i="17"/>
  <c r="FU21" i="17"/>
  <c r="FM21" i="17"/>
  <c r="FE21" i="17"/>
  <c r="EW21" i="17"/>
  <c r="EO21" i="17"/>
  <c r="EG21" i="17"/>
  <c r="DY21" i="17"/>
  <c r="DQ21" i="17"/>
  <c r="DI21" i="17"/>
  <c r="DA21" i="17"/>
  <c r="CS21" i="17"/>
  <c r="CK21" i="17"/>
  <c r="CC21" i="17"/>
  <c r="BU21" i="17"/>
  <c r="BM21" i="17"/>
  <c r="BE21" i="17"/>
  <c r="AW21" i="17"/>
  <c r="AO21" i="17"/>
  <c r="AG21" i="17"/>
  <c r="Y21" i="17"/>
  <c r="GR21" i="17"/>
  <c r="GJ21" i="17"/>
  <c r="GB21" i="17"/>
  <c r="FT21" i="17"/>
  <c r="FL21" i="17"/>
  <c r="FD21" i="17"/>
  <c r="EV21" i="17"/>
  <c r="EN21" i="17"/>
  <c r="EF21" i="17"/>
  <c r="DX21" i="17"/>
  <c r="DP21" i="17"/>
  <c r="DH21" i="17"/>
  <c r="CZ21" i="17"/>
  <c r="CR21" i="17"/>
  <c r="CJ21" i="17"/>
  <c r="CB21" i="17"/>
  <c r="BT21" i="17"/>
  <c r="BL21" i="17"/>
  <c r="BD21" i="17"/>
  <c r="AV21" i="17"/>
  <c r="AN21" i="17"/>
  <c r="AF21" i="17"/>
  <c r="X21" i="17"/>
  <c r="GQ21" i="17"/>
  <c r="GI21" i="17"/>
  <c r="GA21" i="17"/>
  <c r="FS21" i="17"/>
  <c r="FK21" i="17"/>
  <c r="FC21" i="17"/>
  <c r="EU21" i="17"/>
  <c r="EM21" i="17"/>
  <c r="EE21" i="17"/>
  <c r="DW21" i="17"/>
  <c r="DO21" i="17"/>
  <c r="DG21" i="17"/>
  <c r="CY21" i="17"/>
  <c r="CQ21" i="17"/>
  <c r="CI21" i="17"/>
  <c r="CA21" i="17"/>
  <c r="BS21" i="17"/>
  <c r="BK21" i="17"/>
  <c r="BC21" i="17"/>
  <c r="AU21" i="17"/>
  <c r="AM21" i="17"/>
  <c r="AE21" i="17"/>
  <c r="W21" i="17"/>
  <c r="GP21" i="17"/>
  <c r="GH21" i="17"/>
  <c r="FZ21" i="17"/>
  <c r="FR21" i="17"/>
  <c r="FJ21" i="17"/>
  <c r="FB21" i="17"/>
  <c r="ET21" i="17"/>
  <c r="EL21" i="17"/>
  <c r="ED21" i="17"/>
  <c r="DV21" i="17"/>
  <c r="DN21" i="17"/>
  <c r="DF21" i="17"/>
  <c r="CX21" i="17"/>
  <c r="CP21" i="17"/>
  <c r="CH21" i="17"/>
  <c r="BZ21" i="17"/>
  <c r="BR21" i="17"/>
  <c r="BJ21" i="17"/>
  <c r="BB21" i="17"/>
  <c r="AT21" i="17"/>
  <c r="AL21" i="17"/>
  <c r="AD21" i="17"/>
  <c r="V21" i="17"/>
  <c r="GO21" i="17"/>
  <c r="GG21" i="17"/>
  <c r="FY21" i="17"/>
  <c r="FQ21" i="17"/>
  <c r="FI21" i="17"/>
  <c r="FA21" i="17"/>
  <c r="ES21" i="17"/>
  <c r="EK21" i="17"/>
  <c r="EC21" i="17"/>
  <c r="DU21" i="17"/>
  <c r="DM21" i="17"/>
  <c r="DE21" i="17"/>
  <c r="CW21" i="17"/>
  <c r="CO21" i="17"/>
  <c r="CG21" i="17"/>
  <c r="BY21" i="17"/>
  <c r="BQ21" i="17"/>
  <c r="BI21" i="17"/>
  <c r="BA21" i="17"/>
  <c r="AS21" i="17"/>
  <c r="AK21" i="17"/>
  <c r="AC21" i="17"/>
  <c r="U21" i="17"/>
  <c r="GN21" i="17"/>
  <c r="GF21" i="17"/>
  <c r="FX21" i="17"/>
  <c r="FP21" i="17"/>
  <c r="FH21" i="17"/>
  <c r="EZ21" i="17"/>
  <c r="ER21" i="17"/>
  <c r="EJ21" i="17"/>
  <c r="EB21" i="17"/>
  <c r="DT21" i="17"/>
  <c r="DL21" i="17"/>
  <c r="DD21" i="17"/>
  <c r="CV21" i="17"/>
  <c r="CN21" i="17"/>
  <c r="CF21" i="17"/>
  <c r="BX21" i="17"/>
  <c r="BP21" i="17"/>
  <c r="BH21" i="17"/>
  <c r="AZ21" i="17"/>
  <c r="AR21" i="17"/>
  <c r="AJ21" i="17"/>
  <c r="AB21" i="17"/>
  <c r="GM21" i="17"/>
  <c r="GE21" i="17"/>
  <c r="FW21" i="17"/>
  <c r="FO21" i="17"/>
  <c r="FG21" i="17"/>
  <c r="EY21" i="17"/>
  <c r="EQ21" i="17"/>
  <c r="EI21" i="17"/>
  <c r="EA21" i="17"/>
  <c r="DS21" i="17"/>
  <c r="DK21" i="17"/>
  <c r="DC21" i="17"/>
  <c r="CU21" i="17"/>
  <c r="CM21" i="17"/>
  <c r="CE21" i="17"/>
  <c r="BW21" i="17"/>
  <c r="BO21" i="17"/>
  <c r="BG21" i="17"/>
  <c r="AY21" i="17"/>
  <c r="AQ21" i="17"/>
  <c r="AI21" i="17"/>
  <c r="AA21" i="17"/>
  <c r="EX21" i="17"/>
  <c r="CL21" i="17"/>
  <c r="Z21" i="17"/>
  <c r="EP21" i="17"/>
  <c r="CD21" i="17"/>
  <c r="EH21" i="17"/>
  <c r="BV21" i="17"/>
  <c r="GL21" i="17"/>
  <c r="DZ21" i="17"/>
  <c r="BN21" i="17"/>
  <c r="GD21" i="17"/>
  <c r="DR21" i="17"/>
  <c r="BF21" i="17"/>
  <c r="FV21" i="17"/>
  <c r="DJ21" i="17"/>
  <c r="AX21" i="17"/>
  <c r="FN21" i="17"/>
  <c r="DB21" i="17"/>
  <c r="AP21" i="17"/>
  <c r="FF21" i="17"/>
  <c r="CT21" i="17"/>
  <c r="AH21" i="17"/>
  <c r="GL29" i="17"/>
  <c r="GD29" i="17"/>
  <c r="FV29" i="17"/>
  <c r="FN29" i="17"/>
  <c r="FF29" i="17"/>
  <c r="EX29" i="17"/>
  <c r="EP29" i="17"/>
  <c r="EH29" i="17"/>
  <c r="DZ29" i="17"/>
  <c r="DR29" i="17"/>
  <c r="DJ29" i="17"/>
  <c r="DB29" i="17"/>
  <c r="CT29" i="17"/>
  <c r="CL29" i="17"/>
  <c r="CD29" i="17"/>
  <c r="BV29" i="17"/>
  <c r="BN29" i="17"/>
  <c r="BF29" i="17"/>
  <c r="AX29" i="17"/>
  <c r="AP29" i="17"/>
  <c r="AH29" i="17"/>
  <c r="Z29" i="17"/>
  <c r="GK29" i="17"/>
  <c r="GC29" i="17"/>
  <c r="FU29" i="17"/>
  <c r="FM29" i="17"/>
  <c r="FE29" i="17"/>
  <c r="EW29" i="17"/>
  <c r="EO29" i="17"/>
  <c r="EG29" i="17"/>
  <c r="DY29" i="17"/>
  <c r="DQ29" i="17"/>
  <c r="DI29" i="17"/>
  <c r="DA29" i="17"/>
  <c r="CS29" i="17"/>
  <c r="CK29" i="17"/>
  <c r="CC29" i="17"/>
  <c r="BU29" i="17"/>
  <c r="BM29" i="17"/>
  <c r="BE29" i="17"/>
  <c r="AW29" i="17"/>
  <c r="AO29" i="17"/>
  <c r="AG29" i="17"/>
  <c r="Y29" i="17"/>
  <c r="GR29" i="17"/>
  <c r="GJ29" i="17"/>
  <c r="GB29" i="17"/>
  <c r="FT29" i="17"/>
  <c r="FL29" i="17"/>
  <c r="FD29" i="17"/>
  <c r="EV29" i="17"/>
  <c r="EN29" i="17"/>
  <c r="EF29" i="17"/>
  <c r="DX29" i="17"/>
  <c r="DP29" i="17"/>
  <c r="DH29" i="17"/>
  <c r="CZ29" i="17"/>
  <c r="CR29" i="17"/>
  <c r="CJ29" i="17"/>
  <c r="CB29" i="17"/>
  <c r="BT29" i="17"/>
  <c r="BL29" i="17"/>
  <c r="BD29" i="17"/>
  <c r="AV29" i="17"/>
  <c r="AN29" i="17"/>
  <c r="AF29" i="17"/>
  <c r="X29" i="17"/>
  <c r="GQ29" i="17"/>
  <c r="GI29" i="17"/>
  <c r="GA29" i="17"/>
  <c r="FS29" i="17"/>
  <c r="FK29" i="17"/>
  <c r="FC29" i="17"/>
  <c r="EU29" i="17"/>
  <c r="EM29" i="17"/>
  <c r="EE29" i="17"/>
  <c r="DW29" i="17"/>
  <c r="DO29" i="17"/>
  <c r="DG29" i="17"/>
  <c r="CY29" i="17"/>
  <c r="CQ29" i="17"/>
  <c r="CI29" i="17"/>
  <c r="CA29" i="17"/>
  <c r="BS29" i="17"/>
  <c r="BK29" i="17"/>
  <c r="BC29" i="17"/>
  <c r="AU29" i="17"/>
  <c r="AM29" i="17"/>
  <c r="AE29" i="17"/>
  <c r="W29" i="17"/>
  <c r="GO29" i="17"/>
  <c r="GG29" i="17"/>
  <c r="FY29" i="17"/>
  <c r="FQ29" i="17"/>
  <c r="FI29" i="17"/>
  <c r="FA29" i="17"/>
  <c r="ES29" i="17"/>
  <c r="EK29" i="17"/>
  <c r="EC29" i="17"/>
  <c r="DU29" i="17"/>
  <c r="DM29" i="17"/>
  <c r="DE29" i="17"/>
  <c r="CW29" i="17"/>
  <c r="CO29" i="17"/>
  <c r="CG29" i="17"/>
  <c r="BY29" i="17"/>
  <c r="BQ29" i="17"/>
  <c r="BI29" i="17"/>
  <c r="BA29" i="17"/>
  <c r="AS29" i="17"/>
  <c r="AK29" i="17"/>
  <c r="AC29" i="17"/>
  <c r="U29" i="17"/>
  <c r="GM29" i="17"/>
  <c r="FP29" i="17"/>
  <c r="ET29" i="17"/>
  <c r="EA29" i="17"/>
  <c r="DD29" i="17"/>
  <c r="CH29" i="17"/>
  <c r="BO29" i="17"/>
  <c r="AR29" i="17"/>
  <c r="V29" i="17"/>
  <c r="GH29" i="17"/>
  <c r="FO29" i="17"/>
  <c r="ER29" i="17"/>
  <c r="DV29" i="17"/>
  <c r="DC29" i="17"/>
  <c r="CF29" i="17"/>
  <c r="BJ29" i="17"/>
  <c r="AQ29" i="17"/>
  <c r="GF29" i="17"/>
  <c r="FJ29" i="17"/>
  <c r="EQ29" i="17"/>
  <c r="DT29" i="17"/>
  <c r="CX29" i="17"/>
  <c r="CE29" i="17"/>
  <c r="BH29" i="17"/>
  <c r="AL29" i="17"/>
  <c r="GE29" i="17"/>
  <c r="FH29" i="17"/>
  <c r="EL29" i="17"/>
  <c r="DS29" i="17"/>
  <c r="CV29" i="17"/>
  <c r="BZ29" i="17"/>
  <c r="BG29" i="17"/>
  <c r="AJ29" i="17"/>
  <c r="FX29" i="17"/>
  <c r="FB29" i="17"/>
  <c r="EI29" i="17"/>
  <c r="DL29" i="17"/>
  <c r="CP29" i="17"/>
  <c r="BW29" i="17"/>
  <c r="AZ29" i="17"/>
  <c r="AD29" i="17"/>
  <c r="EZ29" i="17"/>
  <c r="CU29" i="17"/>
  <c r="AT29" i="17"/>
  <c r="EY29" i="17"/>
  <c r="CN29" i="17"/>
  <c r="AI29" i="17"/>
  <c r="GP29" i="17"/>
  <c r="EJ29" i="17"/>
  <c r="CM29" i="17"/>
  <c r="AB29" i="17"/>
  <c r="GN29" i="17"/>
  <c r="ED29" i="17"/>
  <c r="BX29" i="17"/>
  <c r="AA29" i="17"/>
  <c r="FZ29" i="17"/>
  <c r="EB29" i="17"/>
  <c r="BR29" i="17"/>
  <c r="FW29" i="17"/>
  <c r="DN29" i="17"/>
  <c r="BP29" i="17"/>
  <c r="FR29" i="17"/>
  <c r="DK29" i="17"/>
  <c r="BB29" i="17"/>
  <c r="FG29" i="17"/>
  <c r="DF29" i="17"/>
  <c r="AY29" i="17"/>
  <c r="GN35" i="17"/>
  <c r="GF35" i="17"/>
  <c r="FX35" i="17"/>
  <c r="FP35" i="17"/>
  <c r="FH35" i="17"/>
  <c r="EZ35" i="17"/>
  <c r="ER35" i="17"/>
  <c r="EJ35" i="17"/>
  <c r="EB35" i="17"/>
  <c r="DT35" i="17"/>
  <c r="DL35" i="17"/>
  <c r="DD35" i="17"/>
  <c r="CV35" i="17"/>
  <c r="CN35" i="17"/>
  <c r="CF35" i="17"/>
  <c r="BX35" i="17"/>
  <c r="BP35" i="17"/>
  <c r="BH35" i="17"/>
  <c r="AZ35" i="17"/>
  <c r="AR35" i="17"/>
  <c r="AJ35" i="17"/>
  <c r="AB35" i="17"/>
  <c r="GM35" i="17"/>
  <c r="GE35" i="17"/>
  <c r="FW35" i="17"/>
  <c r="FO35" i="17"/>
  <c r="FG35" i="17"/>
  <c r="EY35" i="17"/>
  <c r="EQ35" i="17"/>
  <c r="EI35" i="17"/>
  <c r="EA35" i="17"/>
  <c r="DS35" i="17"/>
  <c r="DK35" i="17"/>
  <c r="DC35" i="17"/>
  <c r="CU35" i="17"/>
  <c r="CM35" i="17"/>
  <c r="CE35" i="17"/>
  <c r="BW35" i="17"/>
  <c r="BO35" i="17"/>
  <c r="BG35" i="17"/>
  <c r="AY35" i="17"/>
  <c r="AQ35" i="17"/>
  <c r="AI35" i="17"/>
  <c r="AA35" i="17"/>
  <c r="GL35" i="17"/>
  <c r="GD35" i="17"/>
  <c r="FV35" i="17"/>
  <c r="FN35" i="17"/>
  <c r="FF35" i="17"/>
  <c r="EX35" i="17"/>
  <c r="EP35" i="17"/>
  <c r="EH35" i="17"/>
  <c r="DZ35" i="17"/>
  <c r="DR35" i="17"/>
  <c r="DJ35" i="17"/>
  <c r="DB35" i="17"/>
  <c r="CT35" i="17"/>
  <c r="CL35" i="17"/>
  <c r="CD35" i="17"/>
  <c r="BV35" i="17"/>
  <c r="BN35" i="17"/>
  <c r="BF35" i="17"/>
  <c r="AX35" i="17"/>
  <c r="AP35" i="17"/>
  <c r="AH35" i="17"/>
  <c r="Z35" i="17"/>
  <c r="GK35" i="17"/>
  <c r="GC35" i="17"/>
  <c r="FU35" i="17"/>
  <c r="FM35" i="17"/>
  <c r="FE35" i="17"/>
  <c r="EW35" i="17"/>
  <c r="EO35" i="17"/>
  <c r="EG35" i="17"/>
  <c r="DY35" i="17"/>
  <c r="DQ35" i="17"/>
  <c r="DI35" i="17"/>
  <c r="DA35" i="17"/>
  <c r="CS35" i="17"/>
  <c r="CK35" i="17"/>
  <c r="CC35" i="17"/>
  <c r="BU35" i="17"/>
  <c r="BM35" i="17"/>
  <c r="BE35" i="17"/>
  <c r="AW35" i="17"/>
  <c r="AO35" i="17"/>
  <c r="AG35" i="17"/>
  <c r="Y35" i="17"/>
  <c r="GR35" i="17"/>
  <c r="GJ35" i="17"/>
  <c r="GB35" i="17"/>
  <c r="FT35" i="17"/>
  <c r="FL35" i="17"/>
  <c r="FD35" i="17"/>
  <c r="EV35" i="17"/>
  <c r="EN35" i="17"/>
  <c r="EF35" i="17"/>
  <c r="DX35" i="17"/>
  <c r="DP35" i="17"/>
  <c r="DH35" i="17"/>
  <c r="CZ35" i="17"/>
  <c r="CR35" i="17"/>
  <c r="CJ35" i="17"/>
  <c r="CB35" i="17"/>
  <c r="BT35" i="17"/>
  <c r="BL35" i="17"/>
  <c r="BD35" i="17"/>
  <c r="AV35" i="17"/>
  <c r="AN35" i="17"/>
  <c r="AF35" i="17"/>
  <c r="X35" i="17"/>
  <c r="GQ35" i="17"/>
  <c r="GI35" i="17"/>
  <c r="GA35" i="17"/>
  <c r="FS35" i="17"/>
  <c r="FK35" i="17"/>
  <c r="FC35" i="17"/>
  <c r="EU35" i="17"/>
  <c r="EM35" i="17"/>
  <c r="EE35" i="17"/>
  <c r="DW35" i="17"/>
  <c r="DO35" i="17"/>
  <c r="DG35" i="17"/>
  <c r="CY35" i="17"/>
  <c r="CQ35" i="17"/>
  <c r="CI35" i="17"/>
  <c r="CA35" i="17"/>
  <c r="BS35" i="17"/>
  <c r="BK35" i="17"/>
  <c r="BC35" i="17"/>
  <c r="AU35" i="17"/>
  <c r="AM35" i="17"/>
  <c r="AE35" i="17"/>
  <c r="W35" i="17"/>
  <c r="GP35" i="17"/>
  <c r="GH35" i="17"/>
  <c r="FZ35" i="17"/>
  <c r="FR35" i="17"/>
  <c r="FJ35" i="17"/>
  <c r="FB35" i="17"/>
  <c r="ET35" i="17"/>
  <c r="EL35" i="17"/>
  <c r="ED35" i="17"/>
  <c r="DV35" i="17"/>
  <c r="DN35" i="17"/>
  <c r="DF35" i="17"/>
  <c r="CX35" i="17"/>
  <c r="CP35" i="17"/>
  <c r="CH35" i="17"/>
  <c r="BZ35" i="17"/>
  <c r="BR35" i="17"/>
  <c r="BJ35" i="17"/>
  <c r="BB35" i="17"/>
  <c r="AT35" i="17"/>
  <c r="AL35" i="17"/>
  <c r="AD35" i="17"/>
  <c r="V35" i="17"/>
  <c r="FI35" i="17"/>
  <c r="CW35" i="17"/>
  <c r="AK35" i="17"/>
  <c r="FA35" i="17"/>
  <c r="CO35" i="17"/>
  <c r="AC35" i="17"/>
  <c r="ES35" i="17"/>
  <c r="CG35" i="17"/>
  <c r="U35" i="17"/>
  <c r="EK35" i="17"/>
  <c r="BY35" i="17"/>
  <c r="GG35" i="17"/>
  <c r="DU35" i="17"/>
  <c r="BI35" i="17"/>
  <c r="DM35" i="17"/>
  <c r="DE35" i="17"/>
  <c r="BQ35" i="17"/>
  <c r="BA35" i="17"/>
  <c r="FY35" i="17"/>
  <c r="EC35" i="17"/>
  <c r="AS35" i="17"/>
  <c r="GO35" i="17"/>
  <c r="FQ35" i="17"/>
  <c r="V6" i="17"/>
  <c r="U6" i="17"/>
  <c r="EE38" i="21"/>
  <c r="EY38" i="21"/>
  <c r="Z11" i="21"/>
  <c r="GE38" i="21"/>
  <c r="CL11" i="21"/>
  <c r="FN11" i="21"/>
  <c r="AQ38" i="21"/>
  <c r="BS38" i="21"/>
  <c r="CY38" i="21"/>
  <c r="AA38" i="21"/>
  <c r="DC38" i="21"/>
  <c r="AM38" i="21"/>
  <c r="DS38" i="21"/>
  <c r="T3" i="22"/>
  <c r="AP11" i="21"/>
  <c r="BG38" i="21"/>
  <c r="BH38" i="24" s="1"/>
  <c r="EI38" i="21"/>
  <c r="DB11" i="21"/>
  <c r="BW38" i="21"/>
  <c r="FK38" i="21"/>
  <c r="EX11" i="21"/>
  <c r="CM38" i="21"/>
  <c r="FO38" i="21"/>
  <c r="CQ11" i="23"/>
  <c r="V4" i="21"/>
  <c r="V8" i="21" s="1"/>
  <c r="U3" i="21"/>
  <c r="AD39" i="25"/>
  <c r="CP39" i="25"/>
  <c r="O11" i="21"/>
  <c r="BF11" i="21"/>
  <c r="DR11" i="21"/>
  <c r="GD11" i="21"/>
  <c r="U4" i="24"/>
  <c r="AW38" i="25"/>
  <c r="AT39" i="25"/>
  <c r="DF39" i="25"/>
  <c r="W4" i="17"/>
  <c r="BV11" i="21"/>
  <c r="EH11" i="21"/>
  <c r="W38" i="21"/>
  <c r="BC38" i="21"/>
  <c r="CI38" i="21"/>
  <c r="DO38" i="21"/>
  <c r="EU38" i="21"/>
  <c r="GA38" i="21"/>
  <c r="DI38" i="25"/>
  <c r="BJ39" i="25"/>
  <c r="FU38" i="25"/>
  <c r="BZ39" i="25"/>
  <c r="N10" i="21"/>
  <c r="U9" i="21"/>
  <c r="O8" i="22"/>
  <c r="U8" i="21"/>
  <c r="O7" i="21"/>
  <c r="S6" i="21"/>
  <c r="U7" i="21"/>
  <c r="N6" i="21"/>
  <c r="O6" i="25"/>
  <c r="O6" i="24"/>
  <c r="O6" i="22"/>
  <c r="O6" i="23"/>
  <c r="O10" i="25"/>
  <c r="O10" i="24"/>
  <c r="O10" i="22"/>
  <c r="P6" i="25"/>
  <c r="P6" i="24"/>
  <c r="S6" i="24" s="1"/>
  <c r="P6" i="23"/>
  <c r="P6" i="22"/>
  <c r="N8" i="25"/>
  <c r="N8" i="24"/>
  <c r="N8" i="23"/>
  <c r="N8" i="22"/>
  <c r="O9" i="25"/>
  <c r="O9" i="24"/>
  <c r="O9" i="23"/>
  <c r="O9" i="22"/>
  <c r="P10" i="25"/>
  <c r="P10" i="24"/>
  <c r="S10" i="24" s="1"/>
  <c r="P10" i="23"/>
  <c r="P10" i="22"/>
  <c r="R9" i="17"/>
  <c r="O6" i="21"/>
  <c r="O10" i="21"/>
  <c r="AD11" i="21"/>
  <c r="AT11" i="21"/>
  <c r="BJ11" i="21"/>
  <c r="BK11" i="23" s="1"/>
  <c r="BZ11" i="21"/>
  <c r="CP11" i="21"/>
  <c r="DF11" i="21"/>
  <c r="DV11" i="21"/>
  <c r="EL11" i="21"/>
  <c r="FB11" i="21"/>
  <c r="FR11" i="21"/>
  <c r="GH11" i="21"/>
  <c r="N9" i="25"/>
  <c r="N9" i="24"/>
  <c r="N9" i="23"/>
  <c r="N9" i="22"/>
  <c r="U10" i="21"/>
  <c r="T10" i="21"/>
  <c r="S10" i="21"/>
  <c r="U6" i="21"/>
  <c r="N7" i="25"/>
  <c r="N7" i="24"/>
  <c r="N7" i="23"/>
  <c r="O8" i="24"/>
  <c r="O8" i="23"/>
  <c r="O8" i="25"/>
  <c r="P9" i="25"/>
  <c r="P9" i="24"/>
  <c r="P9" i="23"/>
  <c r="N11" i="24"/>
  <c r="N11" i="23"/>
  <c r="N11" i="25"/>
  <c r="P10" i="17"/>
  <c r="P6" i="21"/>
  <c r="N8" i="21"/>
  <c r="O9" i="21"/>
  <c r="P10" i="21"/>
  <c r="S7" i="21"/>
  <c r="S8" i="21"/>
  <c r="S9" i="21"/>
  <c r="AH11" i="21"/>
  <c r="AX11" i="21"/>
  <c r="BN11" i="21"/>
  <c r="CD11" i="21"/>
  <c r="CT11" i="21"/>
  <c r="DJ11" i="21"/>
  <c r="DZ11" i="21"/>
  <c r="EP11" i="21"/>
  <c r="FF11" i="21"/>
  <c r="FG11" i="23" s="1"/>
  <c r="FV11" i="21"/>
  <c r="N11" i="22"/>
  <c r="GI11" i="23"/>
  <c r="O10" i="23"/>
  <c r="P7" i="25"/>
  <c r="P7" i="24"/>
  <c r="P7" i="23"/>
  <c r="P7" i="22"/>
  <c r="P11" i="25"/>
  <c r="P11" i="24"/>
  <c r="P11" i="22"/>
  <c r="P11" i="23"/>
  <c r="N6" i="25"/>
  <c r="N6" i="23"/>
  <c r="N6" i="24"/>
  <c r="N6" i="22"/>
  <c r="O7" i="25"/>
  <c r="O7" i="23"/>
  <c r="O7" i="24"/>
  <c r="O7" i="22"/>
  <c r="P8" i="25"/>
  <c r="P8" i="23"/>
  <c r="P8" i="24"/>
  <c r="P8" i="22"/>
  <c r="N10" i="25"/>
  <c r="N10" i="23"/>
  <c r="N10" i="22"/>
  <c r="O11" i="25"/>
  <c r="O11" i="23"/>
  <c r="O11" i="24"/>
  <c r="O11" i="22"/>
  <c r="Q6" i="17"/>
  <c r="R7" i="17"/>
  <c r="P9" i="17"/>
  <c r="Q10" i="17"/>
  <c r="R11" i="17"/>
  <c r="N7" i="21"/>
  <c r="O8" i="21"/>
  <c r="P9" i="21"/>
  <c r="GO11" i="21"/>
  <c r="GK11" i="21"/>
  <c r="GL11" i="24" s="1"/>
  <c r="GG11" i="21"/>
  <c r="GH11" i="23" s="1"/>
  <c r="GC11" i="21"/>
  <c r="FY11" i="21"/>
  <c r="FU11" i="21"/>
  <c r="FQ11" i="21"/>
  <c r="FM11" i="21"/>
  <c r="FI11" i="21"/>
  <c r="FE11" i="21"/>
  <c r="FF11" i="24" s="1"/>
  <c r="FA11" i="21"/>
  <c r="EW11" i="21"/>
  <c r="ES11" i="21"/>
  <c r="EO11" i="21"/>
  <c r="EK11" i="21"/>
  <c r="EG11" i="21"/>
  <c r="EC11" i="21"/>
  <c r="DY11" i="21"/>
  <c r="DZ11" i="24" s="1"/>
  <c r="DU11" i="21"/>
  <c r="DV11" i="23" s="1"/>
  <c r="DQ11" i="21"/>
  <c r="DM11" i="21"/>
  <c r="DI11" i="21"/>
  <c r="DE11" i="21"/>
  <c r="DA11" i="21"/>
  <c r="CW11" i="21"/>
  <c r="CS11" i="21"/>
  <c r="CT11" i="24" s="1"/>
  <c r="CO11" i="21"/>
  <c r="CK11" i="21"/>
  <c r="CL11" i="24" s="1"/>
  <c r="CG11" i="21"/>
  <c r="CC11" i="21"/>
  <c r="BY11" i="21"/>
  <c r="BU11" i="21"/>
  <c r="BQ11" i="21"/>
  <c r="BM11" i="21"/>
  <c r="BN11" i="24" s="1"/>
  <c r="BI11" i="21"/>
  <c r="BJ11" i="23" s="1"/>
  <c r="BE11" i="21"/>
  <c r="BA11" i="21"/>
  <c r="AW11" i="21"/>
  <c r="AS11" i="21"/>
  <c r="AO11" i="21"/>
  <c r="AK11" i="21"/>
  <c r="AG11" i="21"/>
  <c r="AH11" i="24" s="1"/>
  <c r="AC11" i="21"/>
  <c r="Y11" i="21"/>
  <c r="U11" i="21"/>
  <c r="GN11" i="21"/>
  <c r="GJ11" i="21"/>
  <c r="GF11" i="21"/>
  <c r="GB11" i="21"/>
  <c r="FX11" i="21"/>
  <c r="FY11" i="24" s="1"/>
  <c r="FT11" i="21"/>
  <c r="FU11" i="23" s="1"/>
  <c r="FP11" i="21"/>
  <c r="FL11" i="21"/>
  <c r="FH11" i="21"/>
  <c r="FD11" i="21"/>
  <c r="EZ11" i="21"/>
  <c r="EV11" i="21"/>
  <c r="ER11" i="21"/>
  <c r="ES11" i="24" s="1"/>
  <c r="EN11" i="21"/>
  <c r="EJ11" i="21"/>
  <c r="EF11" i="21"/>
  <c r="EB11" i="21"/>
  <c r="DX11" i="21"/>
  <c r="DT11" i="21"/>
  <c r="DP11" i="21"/>
  <c r="DL11" i="21"/>
  <c r="DM11" i="24" s="1"/>
  <c r="DH11" i="21"/>
  <c r="DI11" i="23" s="1"/>
  <c r="DD11" i="21"/>
  <c r="CZ11" i="21"/>
  <c r="CV11" i="21"/>
  <c r="CR11" i="21"/>
  <c r="CN11" i="21"/>
  <c r="CJ11" i="21"/>
  <c r="CF11" i="21"/>
  <c r="CG11" i="24" s="1"/>
  <c r="CB11" i="21"/>
  <c r="BX11" i="21"/>
  <c r="BT11" i="21"/>
  <c r="BP11" i="21"/>
  <c r="BL11" i="21"/>
  <c r="BH11" i="21"/>
  <c r="BD11" i="21"/>
  <c r="AZ11" i="21"/>
  <c r="BA11" i="24" s="1"/>
  <c r="AV11" i="21"/>
  <c r="AW11" i="23" s="1"/>
  <c r="AR11" i="21"/>
  <c r="AN11" i="21"/>
  <c r="AJ11" i="21"/>
  <c r="AF11" i="21"/>
  <c r="AB11" i="21"/>
  <c r="X11" i="21"/>
  <c r="T11" i="21"/>
  <c r="U11" i="24" s="1"/>
  <c r="GM11" i="21"/>
  <c r="GN11" i="23" s="1"/>
  <c r="GI11" i="21"/>
  <c r="GE11" i="21"/>
  <c r="GA11" i="21"/>
  <c r="FW11" i="21"/>
  <c r="FS11" i="21"/>
  <c r="FO11" i="21"/>
  <c r="FK11" i="21"/>
  <c r="FL11" i="24" s="1"/>
  <c r="FG11" i="21"/>
  <c r="FC11" i="21"/>
  <c r="EY11" i="21"/>
  <c r="EU11" i="21"/>
  <c r="EQ11" i="21"/>
  <c r="EM11" i="21"/>
  <c r="EI11" i="21"/>
  <c r="EE11" i="21"/>
  <c r="EF11" i="24" s="1"/>
  <c r="EA11" i="21"/>
  <c r="EB11" i="23" s="1"/>
  <c r="DW11" i="21"/>
  <c r="DS11" i="21"/>
  <c r="DO11" i="21"/>
  <c r="DK11" i="21"/>
  <c r="DG11" i="21"/>
  <c r="DC11" i="21"/>
  <c r="CY11" i="21"/>
  <c r="CZ11" i="24" s="1"/>
  <c r="CU11" i="21"/>
  <c r="CQ11" i="21"/>
  <c r="CM11" i="21"/>
  <c r="CI11" i="21"/>
  <c r="CE11" i="21"/>
  <c r="CA11" i="21"/>
  <c r="BW11" i="21"/>
  <c r="BS11" i="21"/>
  <c r="BT11" i="24" s="1"/>
  <c r="BO11" i="21"/>
  <c r="BP11" i="23" s="1"/>
  <c r="BK11" i="21"/>
  <c r="BG11" i="21"/>
  <c r="BC11" i="21"/>
  <c r="AY11" i="21"/>
  <c r="AU11" i="21"/>
  <c r="AQ11" i="21"/>
  <c r="AM11" i="21"/>
  <c r="AN11" i="24" s="1"/>
  <c r="AI11" i="21"/>
  <c r="AE11" i="21"/>
  <c r="AA11" i="21"/>
  <c r="W11" i="21"/>
  <c r="S11" i="21"/>
  <c r="N11" i="21"/>
  <c r="T6" i="21"/>
  <c r="T7" i="21"/>
  <c r="T8" i="21"/>
  <c r="T9" i="21"/>
  <c r="V11" i="21"/>
  <c r="AL11" i="21"/>
  <c r="BB11" i="21"/>
  <c r="BR11" i="21"/>
  <c r="CH11" i="21"/>
  <c r="CX11" i="21"/>
  <c r="CY11" i="24" s="1"/>
  <c r="DN11" i="21"/>
  <c r="DO11" i="23" s="1"/>
  <c r="ED11" i="21"/>
  <c r="ET11" i="21"/>
  <c r="FJ11" i="21"/>
  <c r="FZ11" i="21"/>
  <c r="GP11" i="21"/>
  <c r="N7" i="22"/>
  <c r="W11" i="23"/>
  <c r="V11" i="24"/>
  <c r="GO11" i="25"/>
  <c r="GK11" i="25"/>
  <c r="GG11" i="25"/>
  <c r="GC11" i="25"/>
  <c r="FY11" i="25"/>
  <c r="FU11" i="25"/>
  <c r="FQ11" i="25"/>
  <c r="FM11" i="25"/>
  <c r="FI11" i="25"/>
  <c r="FE11" i="25"/>
  <c r="FA11" i="25"/>
  <c r="EW11" i="25"/>
  <c r="ES11" i="25"/>
  <c r="EO11" i="25"/>
  <c r="EK11" i="25"/>
  <c r="GN11" i="25"/>
  <c r="GJ11" i="25"/>
  <c r="GF11" i="25"/>
  <c r="GB11" i="25"/>
  <c r="FX11" i="25"/>
  <c r="FT11" i="25"/>
  <c r="FP11" i="25"/>
  <c r="FL11" i="25"/>
  <c r="FH11" i="25"/>
  <c r="FD11" i="25"/>
  <c r="EZ11" i="25"/>
  <c r="EV11" i="25"/>
  <c r="ER11" i="25"/>
  <c r="EN11" i="25"/>
  <c r="EJ11" i="25"/>
  <c r="EF11" i="25"/>
  <c r="EB11" i="25"/>
  <c r="DX11" i="25"/>
  <c r="DT11" i="25"/>
  <c r="DP11" i="25"/>
  <c r="DL11" i="25"/>
  <c r="DH11" i="25"/>
  <c r="DD11" i="25"/>
  <c r="CZ11" i="25"/>
  <c r="CV11" i="25"/>
  <c r="CR11" i="25"/>
  <c r="CN11" i="25"/>
  <c r="CJ11" i="25"/>
  <c r="CF11" i="25"/>
  <c r="CB11" i="25"/>
  <c r="BX11" i="25"/>
  <c r="BT11" i="25"/>
  <c r="BP11" i="25"/>
  <c r="BL11" i="25"/>
  <c r="BH11" i="25"/>
  <c r="BD11" i="25"/>
  <c r="AZ11" i="25"/>
  <c r="AV11" i="25"/>
  <c r="AR11" i="25"/>
  <c r="AN11" i="25"/>
  <c r="AJ11" i="25"/>
  <c r="AF11" i="25"/>
  <c r="AB11" i="25"/>
  <c r="X11" i="25"/>
  <c r="T11" i="25"/>
  <c r="GM11" i="25"/>
  <c r="GI11" i="25"/>
  <c r="GE11" i="25"/>
  <c r="GA11" i="25"/>
  <c r="FW11" i="25"/>
  <c r="FS11" i="25"/>
  <c r="FO11" i="25"/>
  <c r="FK11" i="25"/>
  <c r="FG11" i="25"/>
  <c r="FC11" i="25"/>
  <c r="EY11" i="25"/>
  <c r="EU11" i="25"/>
  <c r="EQ11" i="25"/>
  <c r="EM11" i="25"/>
  <c r="EI11" i="25"/>
  <c r="EE11" i="25"/>
  <c r="EA11" i="25"/>
  <c r="DW11" i="25"/>
  <c r="DS11" i="25"/>
  <c r="DO11" i="25"/>
  <c r="DK11" i="25"/>
  <c r="DG11" i="25"/>
  <c r="DC11" i="25"/>
  <c r="CY11" i="25"/>
  <c r="CU11" i="25"/>
  <c r="CQ11" i="25"/>
  <c r="CM11" i="25"/>
  <c r="CI11" i="25"/>
  <c r="CE11" i="25"/>
  <c r="CA11" i="25"/>
  <c r="BW11" i="25"/>
  <c r="BS11" i="25"/>
  <c r="BO11" i="25"/>
  <c r="BK11" i="25"/>
  <c r="BG11" i="25"/>
  <c r="BC11" i="25"/>
  <c r="AY11" i="25"/>
  <c r="AU11" i="25"/>
  <c r="AQ11" i="25"/>
  <c r="AM11" i="25"/>
  <c r="AI11" i="25"/>
  <c r="AE11" i="25"/>
  <c r="AA11" i="25"/>
  <c r="W11" i="25"/>
  <c r="S11" i="25"/>
  <c r="GL11" i="25"/>
  <c r="FV11" i="25"/>
  <c r="FF11" i="25"/>
  <c r="EP11" i="25"/>
  <c r="ED11" i="25"/>
  <c r="DV11" i="25"/>
  <c r="DN11" i="25"/>
  <c r="DF11" i="25"/>
  <c r="CX11" i="25"/>
  <c r="CP11" i="25"/>
  <c r="CH11" i="25"/>
  <c r="BZ11" i="25"/>
  <c r="BR11" i="25"/>
  <c r="BJ11" i="25"/>
  <c r="BB11" i="25"/>
  <c r="AT11" i="25"/>
  <c r="AL11" i="25"/>
  <c r="AD11" i="25"/>
  <c r="V11" i="25"/>
  <c r="GH11" i="25"/>
  <c r="FR11" i="25"/>
  <c r="FB11" i="25"/>
  <c r="EL11" i="25"/>
  <c r="EC11" i="25"/>
  <c r="DU11" i="25"/>
  <c r="DM11" i="25"/>
  <c r="DE11" i="25"/>
  <c r="CW11" i="25"/>
  <c r="CO11" i="25"/>
  <c r="CG11" i="25"/>
  <c r="BY11" i="25"/>
  <c r="BQ11" i="25"/>
  <c r="BI11" i="25"/>
  <c r="BA11" i="25"/>
  <c r="AS11" i="25"/>
  <c r="AK11" i="25"/>
  <c r="AC11" i="25"/>
  <c r="U11" i="25"/>
  <c r="GD11" i="25"/>
  <c r="FN11" i="25"/>
  <c r="EX11" i="25"/>
  <c r="EH11" i="25"/>
  <c r="DZ11" i="25"/>
  <c r="DR11" i="25"/>
  <c r="DJ11" i="25"/>
  <c r="DB11" i="25"/>
  <c r="CT11" i="25"/>
  <c r="CL11" i="25"/>
  <c r="CD11" i="25"/>
  <c r="BV11" i="25"/>
  <c r="BN11" i="25"/>
  <c r="BF11" i="25"/>
  <c r="AX11" i="25"/>
  <c r="AP11" i="25"/>
  <c r="AH11" i="25"/>
  <c r="Z11" i="25"/>
  <c r="FZ11" i="25"/>
  <c r="DY11" i="25"/>
  <c r="CS11" i="25"/>
  <c r="BM11" i="25"/>
  <c r="AG11" i="25"/>
  <c r="FJ11" i="25"/>
  <c r="DQ11" i="25"/>
  <c r="CK11" i="25"/>
  <c r="BE11" i="25"/>
  <c r="Y11" i="25"/>
  <c r="ET11" i="25"/>
  <c r="DI11" i="25"/>
  <c r="CC11" i="25"/>
  <c r="AW11" i="25"/>
  <c r="EG11" i="25"/>
  <c r="DA11" i="25"/>
  <c r="BU11" i="25"/>
  <c r="AO11" i="25"/>
  <c r="EQ11" i="24"/>
  <c r="FQ11" i="24"/>
  <c r="EG11" i="24"/>
  <c r="CW11" i="24"/>
  <c r="EV11" i="24"/>
  <c r="EL11" i="24"/>
  <c r="BD11" i="24"/>
  <c r="FX11" i="24"/>
  <c r="DJ11" i="24"/>
  <c r="S9" i="25"/>
  <c r="S7" i="25"/>
  <c r="S10" i="25"/>
  <c r="S8" i="25"/>
  <c r="S6" i="25"/>
  <c r="AE38" i="21"/>
  <c r="AU38" i="21"/>
  <c r="BK38" i="21"/>
  <c r="CA38" i="21"/>
  <c r="CQ38" i="21"/>
  <c r="DG38" i="21"/>
  <c r="DW38" i="21"/>
  <c r="DX38" i="24" s="1"/>
  <c r="EM38" i="21"/>
  <c r="FC38" i="21"/>
  <c r="FS38" i="21"/>
  <c r="GI38" i="21"/>
  <c r="BM38" i="25"/>
  <c r="DY38" i="25"/>
  <c r="GK38" i="25"/>
  <c r="AH39" i="25"/>
  <c r="AX39" i="25"/>
  <c r="BN39" i="25"/>
  <c r="CD39" i="25"/>
  <c r="CT39" i="25"/>
  <c r="DJ39" i="25"/>
  <c r="R28" i="17"/>
  <c r="S38" i="21"/>
  <c r="AI38" i="21"/>
  <c r="AY38" i="21"/>
  <c r="BO38" i="21"/>
  <c r="CE38" i="21"/>
  <c r="CU38" i="21"/>
  <c r="DK38" i="21"/>
  <c r="EA38" i="21"/>
  <c r="EQ38" i="21"/>
  <c r="FG38" i="21"/>
  <c r="FW38" i="21"/>
  <c r="FX38" i="24" s="1"/>
  <c r="GM38" i="21"/>
  <c r="CC38" i="25"/>
  <c r="EO38" i="25"/>
  <c r="V39" i="25"/>
  <c r="AL39" i="25"/>
  <c r="BB39" i="25"/>
  <c r="BR39" i="25"/>
  <c r="CH39" i="25"/>
  <c r="CX39" i="25"/>
  <c r="R12" i="17"/>
  <c r="AG38" i="25"/>
  <c r="CS38" i="25"/>
  <c r="Z39" i="25"/>
  <c r="AP39" i="25"/>
  <c r="BF39" i="25"/>
  <c r="BV39" i="25"/>
  <c r="CL39" i="25"/>
  <c r="DB39" i="25"/>
  <c r="O39" i="25"/>
  <c r="O39" i="24"/>
  <c r="O39" i="23"/>
  <c r="O39" i="22"/>
  <c r="U39" i="21"/>
  <c r="Y39" i="21"/>
  <c r="AC39" i="21"/>
  <c r="AG39" i="21"/>
  <c r="AK39" i="21"/>
  <c r="AL39" i="23" s="1"/>
  <c r="AO39" i="21"/>
  <c r="AS39" i="21"/>
  <c r="AW39" i="21"/>
  <c r="BA39" i="21"/>
  <c r="BE39" i="21"/>
  <c r="BI39" i="21"/>
  <c r="BM39" i="21"/>
  <c r="BQ39" i="21"/>
  <c r="BU39" i="21"/>
  <c r="BY39" i="21"/>
  <c r="CC39" i="21"/>
  <c r="CG39" i="21"/>
  <c r="CK39" i="21"/>
  <c r="CO39" i="21"/>
  <c r="CS39" i="21"/>
  <c r="CW39" i="21"/>
  <c r="DA39" i="21"/>
  <c r="DE39" i="21"/>
  <c r="DI39" i="21"/>
  <c r="DM39" i="21"/>
  <c r="DQ39" i="21"/>
  <c r="DU39" i="21"/>
  <c r="DY39" i="21"/>
  <c r="EC39" i="21"/>
  <c r="EG39" i="21"/>
  <c r="EK39" i="21"/>
  <c r="EO39" i="21"/>
  <c r="ES39" i="21"/>
  <c r="EW39" i="21"/>
  <c r="FA39" i="21"/>
  <c r="FE39" i="21"/>
  <c r="FI39" i="21"/>
  <c r="FM39" i="21"/>
  <c r="FQ39" i="21"/>
  <c r="FU39" i="21"/>
  <c r="FY39" i="21"/>
  <c r="GC39" i="21"/>
  <c r="GG39" i="21"/>
  <c r="P39" i="25"/>
  <c r="P39" i="24"/>
  <c r="FM39" i="24" s="1"/>
  <c r="P39" i="23"/>
  <c r="P39" i="22"/>
  <c r="V39" i="21"/>
  <c r="Z39" i="21"/>
  <c r="AD39" i="21"/>
  <c r="AH39" i="21"/>
  <c r="AL39" i="21"/>
  <c r="AP39" i="21"/>
  <c r="AT39" i="21"/>
  <c r="AU39" i="23" s="1"/>
  <c r="AX39" i="21"/>
  <c r="BB39" i="21"/>
  <c r="BF39" i="21"/>
  <c r="BJ39" i="21"/>
  <c r="BN39" i="21"/>
  <c r="BR39" i="21"/>
  <c r="BV39" i="21"/>
  <c r="BZ39" i="21"/>
  <c r="CA39" i="23" s="1"/>
  <c r="CD39" i="21"/>
  <c r="CH39" i="21"/>
  <c r="CL39" i="21"/>
  <c r="CP39" i="21"/>
  <c r="CT39" i="21"/>
  <c r="CX39" i="21"/>
  <c r="DB39" i="21"/>
  <c r="DF39" i="21"/>
  <c r="DG39" i="23" s="1"/>
  <c r="DJ39" i="21"/>
  <c r="DN39" i="21"/>
  <c r="DR39" i="21"/>
  <c r="DV39" i="21"/>
  <c r="DZ39" i="21"/>
  <c r="ED39" i="21"/>
  <c r="EH39" i="21"/>
  <c r="EL39" i="21"/>
  <c r="EM39" i="23" s="1"/>
  <c r="EP39" i="21"/>
  <c r="ET39" i="21"/>
  <c r="EX39" i="21"/>
  <c r="FB39" i="21"/>
  <c r="FF39" i="21"/>
  <c r="FJ39" i="21"/>
  <c r="FN39" i="21"/>
  <c r="FR39" i="21"/>
  <c r="FS39" i="23" s="1"/>
  <c r="FV39" i="21"/>
  <c r="FZ39" i="21"/>
  <c r="GD39" i="21"/>
  <c r="GA39" i="23"/>
  <c r="EU39" i="23"/>
  <c r="DO39" i="23"/>
  <c r="BC39" i="23"/>
  <c r="W39" i="23"/>
  <c r="FR39" i="23"/>
  <c r="DF39" i="23"/>
  <c r="BZ39" i="23"/>
  <c r="AT39" i="23"/>
  <c r="GG39" i="23"/>
  <c r="FE39" i="23"/>
  <c r="FA39" i="23"/>
  <c r="DY39" i="23"/>
  <c r="DU39" i="23"/>
  <c r="CS39" i="23"/>
  <c r="CO39" i="23"/>
  <c r="FX39" i="23"/>
  <c r="ER39" i="23"/>
  <c r="DL39" i="23"/>
  <c r="CF39" i="23"/>
  <c r="AZ39" i="23"/>
  <c r="T39" i="23"/>
  <c r="Q39" i="17"/>
  <c r="GM39" i="21"/>
  <c r="GI39" i="21"/>
  <c r="GP39" i="21"/>
  <c r="GL39" i="21"/>
  <c r="GH39" i="21"/>
  <c r="GO39" i="21"/>
  <c r="GK39" i="21"/>
  <c r="GL39" i="24" s="1"/>
  <c r="S39" i="21"/>
  <c r="W39" i="21"/>
  <c r="AA39" i="21"/>
  <c r="AE39" i="21"/>
  <c r="AI39" i="21"/>
  <c r="AM39" i="21"/>
  <c r="AQ39" i="21"/>
  <c r="AU39" i="21"/>
  <c r="AV39" i="24" s="1"/>
  <c r="AY39" i="21"/>
  <c r="BC39" i="21"/>
  <c r="BG39" i="21"/>
  <c r="BK39" i="21"/>
  <c r="BO39" i="21"/>
  <c r="BS39" i="21"/>
  <c r="BW39" i="21"/>
  <c r="CA39" i="21"/>
  <c r="CB39" i="24" s="1"/>
  <c r="CE39" i="21"/>
  <c r="CI39" i="21"/>
  <c r="CM39" i="21"/>
  <c r="CQ39" i="21"/>
  <c r="CU39" i="21"/>
  <c r="CY39" i="21"/>
  <c r="DC39" i="21"/>
  <c r="DG39" i="21"/>
  <c r="DH39" i="24" s="1"/>
  <c r="DK39" i="21"/>
  <c r="DO39" i="21"/>
  <c r="DS39" i="21"/>
  <c r="DW39" i="21"/>
  <c r="EA39" i="21"/>
  <c r="EE39" i="21"/>
  <c r="EI39" i="21"/>
  <c r="EM39" i="21"/>
  <c r="EN39" i="24" s="1"/>
  <c r="EQ39" i="21"/>
  <c r="EU39" i="21"/>
  <c r="EY39" i="21"/>
  <c r="FC39" i="21"/>
  <c r="FG39" i="21"/>
  <c r="FK39" i="21"/>
  <c r="FO39" i="21"/>
  <c r="FS39" i="21"/>
  <c r="FT39" i="24" s="1"/>
  <c r="FW39" i="21"/>
  <c r="GA39" i="21"/>
  <c r="GE39" i="21"/>
  <c r="GN39" i="21"/>
  <c r="P39" i="17"/>
  <c r="N39" i="25"/>
  <c r="N39" i="24"/>
  <c r="N39" i="23"/>
  <c r="N39" i="22"/>
  <c r="AB39" i="22" s="1"/>
  <c r="R39" i="17"/>
  <c r="O39" i="21"/>
  <c r="T39" i="21"/>
  <c r="X39" i="21"/>
  <c r="AB39" i="21"/>
  <c r="AF39" i="21"/>
  <c r="AJ39" i="21"/>
  <c r="AK39" i="24" s="1"/>
  <c r="AN39" i="21"/>
  <c r="AR39" i="21"/>
  <c r="AV39" i="21"/>
  <c r="AZ39" i="21"/>
  <c r="BD39" i="21"/>
  <c r="BH39" i="21"/>
  <c r="BL39" i="21"/>
  <c r="BP39" i="21"/>
  <c r="BQ39" i="24" s="1"/>
  <c r="BT39" i="21"/>
  <c r="BU39" i="23" s="1"/>
  <c r="BX39" i="21"/>
  <c r="CB39" i="21"/>
  <c r="CF39" i="21"/>
  <c r="CJ39" i="21"/>
  <c r="CN39" i="21"/>
  <c r="CR39" i="21"/>
  <c r="CV39" i="21"/>
  <c r="CZ39" i="21"/>
  <c r="DA39" i="23" s="1"/>
  <c r="DD39" i="21"/>
  <c r="DH39" i="21"/>
  <c r="DL39" i="21"/>
  <c r="DP39" i="21"/>
  <c r="DT39" i="21"/>
  <c r="DX39" i="21"/>
  <c r="EB39" i="21"/>
  <c r="EF39" i="21"/>
  <c r="EG39" i="22" s="1"/>
  <c r="EJ39" i="21"/>
  <c r="EN39" i="21"/>
  <c r="ER39" i="21"/>
  <c r="EV39" i="21"/>
  <c r="EZ39" i="21"/>
  <c r="FD39" i="21"/>
  <c r="FH39" i="21"/>
  <c r="FL39" i="21"/>
  <c r="FM39" i="23" s="1"/>
  <c r="FP39" i="21"/>
  <c r="FT39" i="21"/>
  <c r="FX39" i="21"/>
  <c r="GB39" i="21"/>
  <c r="GF39" i="21"/>
  <c r="X39" i="22"/>
  <c r="AJ39" i="22"/>
  <c r="CJ39" i="22"/>
  <c r="CV39" i="22"/>
  <c r="FM39" i="22"/>
  <c r="CC39" i="22"/>
  <c r="EI39" i="22"/>
  <c r="EY39" i="22"/>
  <c r="FF39" i="22"/>
  <c r="GN39" i="22"/>
  <c r="EB39" i="22"/>
  <c r="AX39" i="22"/>
  <c r="BJ39" i="22"/>
  <c r="DJ39" i="22"/>
  <c r="DZ39" i="22"/>
  <c r="GP39" i="23"/>
  <c r="AA39" i="22"/>
  <c r="CE39" i="22"/>
  <c r="DV39" i="22"/>
  <c r="S39" i="23"/>
  <c r="AA39" i="23"/>
  <c r="AE39" i="23"/>
  <c r="AI39" i="23"/>
  <c r="AM39" i="23"/>
  <c r="AY39" i="23"/>
  <c r="BG39" i="23"/>
  <c r="BK39" i="23"/>
  <c r="BO39" i="23"/>
  <c r="BS39" i="23"/>
  <c r="CE39" i="23"/>
  <c r="CM39" i="23"/>
  <c r="CQ39" i="23"/>
  <c r="CU39" i="23"/>
  <c r="CY39" i="23"/>
  <c r="DK39" i="23"/>
  <c r="DS39" i="23"/>
  <c r="DW39" i="23"/>
  <c r="EA39" i="23"/>
  <c r="EE39" i="23"/>
  <c r="EQ39" i="23"/>
  <c r="EY39" i="23"/>
  <c r="FC39" i="23"/>
  <c r="FG39" i="23"/>
  <c r="FK39" i="23"/>
  <c r="FW39" i="23"/>
  <c r="GE39" i="23"/>
  <c r="GI39" i="23"/>
  <c r="GM39" i="23"/>
  <c r="AE39" i="24"/>
  <c r="X39" i="23"/>
  <c r="AB39" i="23"/>
  <c r="AF39" i="23"/>
  <c r="AJ39" i="23"/>
  <c r="AN39" i="23"/>
  <c r="AR39" i="23"/>
  <c r="BD39" i="23"/>
  <c r="BH39" i="23"/>
  <c r="BL39" i="23"/>
  <c r="BP39" i="23"/>
  <c r="BT39" i="23"/>
  <c r="BX39" i="23"/>
  <c r="CJ39" i="23"/>
  <c r="CN39" i="23"/>
  <c r="CR39" i="23"/>
  <c r="CV39" i="23"/>
  <c r="CZ39" i="23"/>
  <c r="DD39" i="23"/>
  <c r="DP39" i="23"/>
  <c r="DT39" i="23"/>
  <c r="DX39" i="23"/>
  <c r="EB39" i="23"/>
  <c r="EF39" i="23"/>
  <c r="EJ39" i="23"/>
  <c r="EV39" i="23"/>
  <c r="EZ39" i="23"/>
  <c r="FD39" i="23"/>
  <c r="FH39" i="23"/>
  <c r="FL39" i="23"/>
  <c r="FP39" i="23"/>
  <c r="GB39" i="23"/>
  <c r="GF39" i="23"/>
  <c r="GJ39" i="23"/>
  <c r="GN39" i="23"/>
  <c r="FR39" i="24"/>
  <c r="EL39" i="24"/>
  <c r="DF39" i="24"/>
  <c r="BZ39" i="24"/>
  <c r="AT39" i="24"/>
  <c r="DA39" i="24"/>
  <c r="BU39" i="24"/>
  <c r="GM39" i="24"/>
  <c r="FG39" i="24"/>
  <c r="EA39" i="24"/>
  <c r="CU39" i="24"/>
  <c r="EB39" i="24"/>
  <c r="BY39" i="23"/>
  <c r="CC39" i="23"/>
  <c r="CG39" i="23"/>
  <c r="CK39" i="23"/>
  <c r="DE39" i="23"/>
  <c r="DI39" i="23"/>
  <c r="DM39" i="23"/>
  <c r="DQ39" i="23"/>
  <c r="EK39" i="23"/>
  <c r="EO39" i="23"/>
  <c r="ES39" i="23"/>
  <c r="EW39" i="23"/>
  <c r="FQ39" i="23"/>
  <c r="FU39" i="23"/>
  <c r="FY39" i="23"/>
  <c r="GC39" i="23"/>
  <c r="GO39" i="23"/>
  <c r="V39" i="23"/>
  <c r="Z39" i="23"/>
  <c r="AD39" i="23"/>
  <c r="AH39" i="23"/>
  <c r="AP39" i="23"/>
  <c r="AX39" i="23"/>
  <c r="BB39" i="23"/>
  <c r="BF39" i="23"/>
  <c r="BJ39" i="23"/>
  <c r="BN39" i="23"/>
  <c r="BV39" i="23"/>
  <c r="CD39" i="23"/>
  <c r="CH39" i="23"/>
  <c r="CL39" i="23"/>
  <c r="CP39" i="23"/>
  <c r="CT39" i="23"/>
  <c r="DB39" i="23"/>
  <c r="DJ39" i="23"/>
  <c r="DN39" i="23"/>
  <c r="DR39" i="23"/>
  <c r="DV39" i="23"/>
  <c r="DZ39" i="23"/>
  <c r="EH39" i="23"/>
  <c r="EP39" i="23"/>
  <c r="ET39" i="23"/>
  <c r="EX39" i="23"/>
  <c r="FB39" i="23"/>
  <c r="FF39" i="23"/>
  <c r="FN39" i="23"/>
  <c r="FV39" i="23"/>
  <c r="FZ39" i="23"/>
  <c r="GD39" i="23"/>
  <c r="GH39" i="23"/>
  <c r="GL39" i="23"/>
  <c r="U39" i="25"/>
  <c r="Y39" i="25"/>
  <c r="AC39" i="25"/>
  <c r="AG39" i="25"/>
  <c r="AK39" i="25"/>
  <c r="AO39" i="25"/>
  <c r="AS39" i="25"/>
  <c r="AW39" i="25"/>
  <c r="BA39" i="25"/>
  <c r="BE39" i="25"/>
  <c r="BI39" i="25"/>
  <c r="BM39" i="25"/>
  <c r="BQ39" i="25"/>
  <c r="BU39" i="25"/>
  <c r="BY39" i="25"/>
  <c r="CC39" i="25"/>
  <c r="CG39" i="25"/>
  <c r="CK39" i="25"/>
  <c r="CO39" i="25"/>
  <c r="CS39" i="25"/>
  <c r="CW39" i="25"/>
  <c r="DA39" i="25"/>
  <c r="DE39" i="25"/>
  <c r="DI39" i="25"/>
  <c r="DM39" i="25"/>
  <c r="DQ39" i="25"/>
  <c r="DU39" i="25"/>
  <c r="DY39" i="25"/>
  <c r="EC39" i="25"/>
  <c r="EG39" i="25"/>
  <c r="EK39" i="25"/>
  <c r="EO39" i="25"/>
  <c r="ES39" i="25"/>
  <c r="EW39" i="25"/>
  <c r="FA39" i="25"/>
  <c r="FE39" i="25"/>
  <c r="FI39" i="25"/>
  <c r="FM39" i="25"/>
  <c r="FQ39" i="25"/>
  <c r="FU39" i="25"/>
  <c r="FY39" i="25"/>
  <c r="GC39" i="25"/>
  <c r="GG39" i="25"/>
  <c r="GK39" i="25"/>
  <c r="GO39" i="25"/>
  <c r="DN39" i="25"/>
  <c r="DR39" i="25"/>
  <c r="DV39" i="25"/>
  <c r="DZ39" i="25"/>
  <c r="ED39" i="25"/>
  <c r="EH39" i="25"/>
  <c r="EL39" i="25"/>
  <c r="EP39" i="25"/>
  <c r="ET39" i="25"/>
  <c r="EX39" i="25"/>
  <c r="FB39" i="25"/>
  <c r="FF39" i="25"/>
  <c r="FJ39" i="25"/>
  <c r="FN39" i="25"/>
  <c r="FR39" i="25"/>
  <c r="FV39" i="25"/>
  <c r="FZ39" i="25"/>
  <c r="GD39" i="25"/>
  <c r="GH39" i="25"/>
  <c r="GL39" i="25"/>
  <c r="GP39" i="25"/>
  <c r="S39" i="25"/>
  <c r="W39" i="25"/>
  <c r="AA39" i="25"/>
  <c r="AE39" i="25"/>
  <c r="AI39" i="25"/>
  <c r="AM39" i="25"/>
  <c r="AQ39" i="25"/>
  <c r="AU39" i="25"/>
  <c r="AY39" i="25"/>
  <c r="BC39" i="25"/>
  <c r="BG39" i="25"/>
  <c r="BK39" i="25"/>
  <c r="BO39" i="25"/>
  <c r="BS39" i="25"/>
  <c r="BW39" i="25"/>
  <c r="CA39" i="25"/>
  <c r="CE39" i="25"/>
  <c r="CI39" i="25"/>
  <c r="CM39" i="25"/>
  <c r="CQ39" i="25"/>
  <c r="CU39" i="25"/>
  <c r="CY39" i="25"/>
  <c r="DC39" i="25"/>
  <c r="DG39" i="25"/>
  <c r="DK39" i="25"/>
  <c r="DO39" i="25"/>
  <c r="DS39" i="25"/>
  <c r="DW39" i="25"/>
  <c r="EA39" i="25"/>
  <c r="EE39" i="25"/>
  <c r="EI39" i="25"/>
  <c r="EM39" i="25"/>
  <c r="EQ39" i="25"/>
  <c r="EU39" i="25"/>
  <c r="EY39" i="25"/>
  <c r="FC39" i="25"/>
  <c r="FG39" i="25"/>
  <c r="FK39" i="25"/>
  <c r="FO39" i="25"/>
  <c r="FS39" i="25"/>
  <c r="FW39" i="25"/>
  <c r="GA39" i="25"/>
  <c r="GE39" i="25"/>
  <c r="GI39" i="25"/>
  <c r="GM39" i="25"/>
  <c r="T39" i="25"/>
  <c r="X39" i="25"/>
  <c r="AB39" i="25"/>
  <c r="AF39" i="25"/>
  <c r="AJ39" i="25"/>
  <c r="AN39" i="25"/>
  <c r="AR39" i="25"/>
  <c r="AV39" i="25"/>
  <c r="AZ39" i="25"/>
  <c r="BD39" i="25"/>
  <c r="BH39" i="25"/>
  <c r="BL39" i="25"/>
  <c r="BP39" i="25"/>
  <c r="BT39" i="25"/>
  <c r="BX39" i="25"/>
  <c r="CB39" i="25"/>
  <c r="CF39" i="25"/>
  <c r="CJ39" i="25"/>
  <c r="CN39" i="25"/>
  <c r="CR39" i="25"/>
  <c r="CV39" i="25"/>
  <c r="CZ39" i="25"/>
  <c r="DD39" i="25"/>
  <c r="DH39" i="25"/>
  <c r="DL39" i="25"/>
  <c r="DP39" i="25"/>
  <c r="DT39" i="25"/>
  <c r="DX39" i="25"/>
  <c r="EB39" i="25"/>
  <c r="EF39" i="25"/>
  <c r="EJ39" i="25"/>
  <c r="EN39" i="25"/>
  <c r="ER39" i="25"/>
  <c r="EV39" i="25"/>
  <c r="EZ39" i="25"/>
  <c r="FD39" i="25"/>
  <c r="FH39" i="25"/>
  <c r="FL39" i="25"/>
  <c r="FP39" i="25"/>
  <c r="FT39" i="25"/>
  <c r="FX39" i="25"/>
  <c r="GB39" i="25"/>
  <c r="GF39" i="25"/>
  <c r="GJ39" i="25"/>
  <c r="O38" i="25"/>
  <c r="O38" i="23"/>
  <c r="O38" i="24"/>
  <c r="T38" i="21"/>
  <c r="U38" i="24" s="1"/>
  <c r="X38" i="21"/>
  <c r="AB38" i="21"/>
  <c r="AF38" i="21"/>
  <c r="AJ38" i="21"/>
  <c r="AN38" i="21"/>
  <c r="AR38" i="21"/>
  <c r="AV38" i="21"/>
  <c r="AZ38" i="21"/>
  <c r="BA38" i="24" s="1"/>
  <c r="BD38" i="21"/>
  <c r="BH38" i="21"/>
  <c r="BL38" i="21"/>
  <c r="BP38" i="21"/>
  <c r="BT38" i="21"/>
  <c r="BX38" i="21"/>
  <c r="CB38" i="21"/>
  <c r="CF38" i="21"/>
  <c r="CG38" i="24" s="1"/>
  <c r="CJ38" i="21"/>
  <c r="CN38" i="21"/>
  <c r="CR38" i="21"/>
  <c r="CV38" i="21"/>
  <c r="CZ38" i="21"/>
  <c r="DD38" i="21"/>
  <c r="DH38" i="21"/>
  <c r="DL38" i="21"/>
  <c r="DM38" i="24" s="1"/>
  <c r="DP38" i="21"/>
  <c r="DT38" i="21"/>
  <c r="DX38" i="21"/>
  <c r="EB38" i="21"/>
  <c r="EF38" i="21"/>
  <c r="EJ38" i="21"/>
  <c r="EN38" i="21"/>
  <c r="ER38" i="21"/>
  <c r="ES38" i="24" s="1"/>
  <c r="EV38" i="21"/>
  <c r="EZ38" i="21"/>
  <c r="FD38" i="21"/>
  <c r="FH38" i="21"/>
  <c r="FL38" i="21"/>
  <c r="FP38" i="21"/>
  <c r="FT38" i="21"/>
  <c r="FX38" i="21"/>
  <c r="FY38" i="24" s="1"/>
  <c r="GB38" i="21"/>
  <c r="GF38" i="21"/>
  <c r="GJ38" i="21"/>
  <c r="GN38" i="21"/>
  <c r="O38" i="22"/>
  <c r="AD38" i="23"/>
  <c r="BJ38" i="23"/>
  <c r="EK38" i="23"/>
  <c r="N38" i="23"/>
  <c r="N38" i="25"/>
  <c r="N38" i="24"/>
  <c r="P38" i="25"/>
  <c r="P38" i="24"/>
  <c r="T38" i="24" s="1"/>
  <c r="P38" i="23"/>
  <c r="GN38" i="23"/>
  <c r="GJ38" i="23"/>
  <c r="GF38" i="23"/>
  <c r="FT38" i="23"/>
  <c r="FH38" i="23"/>
  <c r="FD38" i="23"/>
  <c r="EZ38" i="23"/>
  <c r="ER38" i="23"/>
  <c r="EN38" i="23"/>
  <c r="EB38" i="23"/>
  <c r="DL38" i="23"/>
  <c r="DH38" i="23"/>
  <c r="CV38" i="23"/>
  <c r="CR38" i="23"/>
  <c r="CN38" i="23"/>
  <c r="CF38" i="23"/>
  <c r="CB38" i="23"/>
  <c r="P38" i="17"/>
  <c r="N38" i="21"/>
  <c r="U38" i="21"/>
  <c r="Y38" i="21"/>
  <c r="AC38" i="21"/>
  <c r="AG38" i="21"/>
  <c r="AK38" i="21"/>
  <c r="AO38" i="21"/>
  <c r="AS38" i="21"/>
  <c r="AT38" i="24" s="1"/>
  <c r="AW38" i="21"/>
  <c r="AX38" i="24" s="1"/>
  <c r="BA38" i="21"/>
  <c r="BE38" i="21"/>
  <c r="BI38" i="21"/>
  <c r="BM38" i="21"/>
  <c r="BQ38" i="21"/>
  <c r="BU38" i="21"/>
  <c r="BV38" i="24" s="1"/>
  <c r="BY38" i="21"/>
  <c r="BZ38" i="24" s="1"/>
  <c r="CC38" i="21"/>
  <c r="CG38" i="21"/>
  <c r="CK38" i="21"/>
  <c r="CO38" i="21"/>
  <c r="CS38" i="21"/>
  <c r="CW38" i="21"/>
  <c r="DA38" i="21"/>
  <c r="DB38" i="24" s="1"/>
  <c r="DE38" i="21"/>
  <c r="DI38" i="21"/>
  <c r="DJ38" i="24" s="1"/>
  <c r="DM38" i="21"/>
  <c r="DQ38" i="21"/>
  <c r="DU38" i="21"/>
  <c r="DY38" i="21"/>
  <c r="EC38" i="21"/>
  <c r="EG38" i="21"/>
  <c r="EH38" i="24" s="1"/>
  <c r="EK38" i="21"/>
  <c r="EL38" i="24" s="1"/>
  <c r="EO38" i="21"/>
  <c r="ES38" i="21"/>
  <c r="EW38" i="21"/>
  <c r="FA38" i="21"/>
  <c r="FB38" i="24" s="1"/>
  <c r="FE38" i="21"/>
  <c r="FI38" i="21"/>
  <c r="FM38" i="21"/>
  <c r="FN38" i="24" s="1"/>
  <c r="FQ38" i="21"/>
  <c r="FU38" i="21"/>
  <c r="FV38" i="24" s="1"/>
  <c r="FY38" i="21"/>
  <c r="GC38" i="21"/>
  <c r="GG38" i="21"/>
  <c r="GK38" i="21"/>
  <c r="GO38" i="21"/>
  <c r="P38" i="22"/>
  <c r="S38" i="22"/>
  <c r="CC38" i="23"/>
  <c r="EO38" i="23"/>
  <c r="BY38" i="22"/>
  <c r="CO38" i="22"/>
  <c r="X38" i="24"/>
  <c r="AN38" i="24"/>
  <c r="GK38" i="22"/>
  <c r="FE38" i="22"/>
  <c r="GN38" i="22"/>
  <c r="FL38" i="22"/>
  <c r="EJ38" i="22"/>
  <c r="FN38" i="22"/>
  <c r="AE38" i="22"/>
  <c r="ET38" i="22"/>
  <c r="CH38" i="22"/>
  <c r="BR38" i="22"/>
  <c r="V38" i="22"/>
  <c r="N38" i="22"/>
  <c r="DA38" i="22" s="1"/>
  <c r="GL38" i="22"/>
  <c r="O38" i="21"/>
  <c r="V38" i="21"/>
  <c r="Z38" i="21"/>
  <c r="AD38" i="21"/>
  <c r="AH38" i="21"/>
  <c r="AI38" i="24" s="1"/>
  <c r="AL38" i="21"/>
  <c r="AP38" i="21"/>
  <c r="AT38" i="21"/>
  <c r="AX38" i="21"/>
  <c r="AY38" i="24" s="1"/>
  <c r="BB38" i="21"/>
  <c r="BF38" i="21"/>
  <c r="BJ38" i="21"/>
  <c r="BN38" i="21"/>
  <c r="BO38" i="24" s="1"/>
  <c r="BR38" i="21"/>
  <c r="BV38" i="21"/>
  <c r="BZ38" i="21"/>
  <c r="CD38" i="21"/>
  <c r="CE38" i="24" s="1"/>
  <c r="CH38" i="21"/>
  <c r="CL38" i="21"/>
  <c r="CP38" i="21"/>
  <c r="CQ38" i="22" s="1"/>
  <c r="CT38" i="21"/>
  <c r="CU38" i="24" s="1"/>
  <c r="CX38" i="21"/>
  <c r="DB38" i="21"/>
  <c r="DF38" i="21"/>
  <c r="DG38" i="24" s="1"/>
  <c r="DJ38" i="21"/>
  <c r="DK38" i="24" s="1"/>
  <c r="DN38" i="21"/>
  <c r="DR38" i="21"/>
  <c r="DV38" i="21"/>
  <c r="DZ38" i="21"/>
  <c r="EA38" i="24" s="1"/>
  <c r="ED38" i="21"/>
  <c r="EH38" i="21"/>
  <c r="EL38" i="21"/>
  <c r="EM38" i="22" s="1"/>
  <c r="EP38" i="21"/>
  <c r="EQ38" i="24" s="1"/>
  <c r="ET38" i="21"/>
  <c r="EX38" i="21"/>
  <c r="FB38" i="21"/>
  <c r="FF38" i="21"/>
  <c r="FG38" i="24" s="1"/>
  <c r="FJ38" i="21"/>
  <c r="FN38" i="21"/>
  <c r="FR38" i="21"/>
  <c r="FV38" i="21"/>
  <c r="FW38" i="24" s="1"/>
  <c r="FZ38" i="21"/>
  <c r="GD38" i="21"/>
  <c r="GH38" i="21"/>
  <c r="GL38" i="21"/>
  <c r="GM38" i="24" s="1"/>
  <c r="AB38" i="23"/>
  <c r="AF38" i="23"/>
  <c r="AR38" i="23"/>
  <c r="AV38" i="23"/>
  <c r="BL38" i="23"/>
  <c r="BX38" i="22"/>
  <c r="EC38" i="22"/>
  <c r="AG38" i="22"/>
  <c r="FV38" i="22"/>
  <c r="T38" i="23"/>
  <c r="X38" i="23"/>
  <c r="AJ38" i="23"/>
  <c r="AN38" i="23"/>
  <c r="BD38" i="23"/>
  <c r="BP38" i="23"/>
  <c r="BX38" i="23"/>
  <c r="CJ38" i="23"/>
  <c r="CZ38" i="23"/>
  <c r="DD38" i="23"/>
  <c r="DP38" i="23"/>
  <c r="EF38" i="23"/>
  <c r="EJ38" i="23"/>
  <c r="FL38" i="23"/>
  <c r="FP38" i="23"/>
  <c r="GB38" i="23"/>
  <c r="GP38" i="24"/>
  <c r="GL38" i="24"/>
  <c r="GH38" i="24"/>
  <c r="FZ38" i="24"/>
  <c r="FR38" i="24"/>
  <c r="FJ38" i="24"/>
  <c r="FF38" i="24"/>
  <c r="ET38" i="24"/>
  <c r="EP38" i="24"/>
  <c r="ED38" i="24"/>
  <c r="DZ38" i="24"/>
  <c r="DV38" i="24"/>
  <c r="DN38" i="24"/>
  <c r="DF38" i="24"/>
  <c r="CX38" i="24"/>
  <c r="CT38" i="24"/>
  <c r="CP38" i="24"/>
  <c r="CH38" i="24"/>
  <c r="CD38" i="24"/>
  <c r="BR38" i="24"/>
  <c r="BN38" i="24"/>
  <c r="BJ38" i="24"/>
  <c r="BB38" i="24"/>
  <c r="GK38" i="24"/>
  <c r="GG38" i="24"/>
  <c r="GC38" i="24"/>
  <c r="FU38" i="24"/>
  <c r="FQ38" i="24"/>
  <c r="FM38" i="24"/>
  <c r="FE38" i="24"/>
  <c r="FA38" i="24"/>
  <c r="EW38" i="24"/>
  <c r="EO38" i="24"/>
  <c r="EK38" i="24"/>
  <c r="EG38" i="24"/>
  <c r="DY38" i="24"/>
  <c r="DU38" i="24"/>
  <c r="DQ38" i="24"/>
  <c r="DI38" i="24"/>
  <c r="DE38" i="24"/>
  <c r="DA38" i="24"/>
  <c r="CS38" i="24"/>
  <c r="CO38" i="24"/>
  <c r="CK38" i="24"/>
  <c r="CC38" i="24"/>
  <c r="BY38" i="24"/>
  <c r="BU38" i="24"/>
  <c r="BM38" i="24"/>
  <c r="BI38" i="24"/>
  <c r="BE38" i="24"/>
  <c r="AW38" i="24"/>
  <c r="AS38" i="24"/>
  <c r="GN38" i="24"/>
  <c r="GJ38" i="24"/>
  <c r="GF38" i="24"/>
  <c r="GB38" i="24"/>
  <c r="FT38" i="24"/>
  <c r="FP38" i="24"/>
  <c r="FL38" i="24"/>
  <c r="FH38" i="24"/>
  <c r="FD38" i="24"/>
  <c r="EZ38" i="24"/>
  <c r="ER38" i="24"/>
  <c r="EN38" i="24"/>
  <c r="EJ38" i="24"/>
  <c r="EF38" i="24"/>
  <c r="EB38" i="24"/>
  <c r="DT38" i="24"/>
  <c r="DP38" i="24"/>
  <c r="DL38" i="24"/>
  <c r="DH38" i="24"/>
  <c r="DD38" i="24"/>
  <c r="CZ38" i="24"/>
  <c r="CV38" i="24"/>
  <c r="CR38" i="24"/>
  <c r="CN38" i="24"/>
  <c r="CJ38" i="24"/>
  <c r="CF38" i="24"/>
  <c r="CB38" i="24"/>
  <c r="BX38" i="24"/>
  <c r="BP38" i="24"/>
  <c r="BL38" i="24"/>
  <c r="BD38" i="24"/>
  <c r="AV38" i="24"/>
  <c r="AR38" i="24"/>
  <c r="Y38" i="24"/>
  <c r="AC38" i="24"/>
  <c r="AG38" i="24"/>
  <c r="AO38" i="24"/>
  <c r="BC38" i="24"/>
  <c r="BS38" i="24"/>
  <c r="CI38" i="24"/>
  <c r="CY38" i="24"/>
  <c r="DO38" i="24"/>
  <c r="EE38" i="24"/>
  <c r="EU38" i="24"/>
  <c r="FK38" i="24"/>
  <c r="GA38" i="24"/>
  <c r="GN38" i="25"/>
  <c r="GJ38" i="25"/>
  <c r="GF38" i="25"/>
  <c r="GB38" i="25"/>
  <c r="FX38" i="25"/>
  <c r="FT38" i="25"/>
  <c r="FP38" i="25"/>
  <c r="FL38" i="25"/>
  <c r="FH38" i="25"/>
  <c r="FD38" i="25"/>
  <c r="EZ38" i="25"/>
  <c r="EV38" i="25"/>
  <c r="ER38" i="25"/>
  <c r="EN38" i="25"/>
  <c r="EJ38" i="25"/>
  <c r="EF38" i="25"/>
  <c r="EB38" i="25"/>
  <c r="DX38" i="25"/>
  <c r="DT38" i="25"/>
  <c r="DP38" i="25"/>
  <c r="DL38" i="25"/>
  <c r="DH38" i="25"/>
  <c r="DD38" i="25"/>
  <c r="CZ38" i="25"/>
  <c r="CV38" i="25"/>
  <c r="CR38" i="25"/>
  <c r="CN38" i="25"/>
  <c r="CJ38" i="25"/>
  <c r="CF38" i="25"/>
  <c r="CB38" i="25"/>
  <c r="BX38" i="25"/>
  <c r="BT38" i="25"/>
  <c r="BP38" i="25"/>
  <c r="BL38" i="25"/>
  <c r="BH38" i="25"/>
  <c r="BD38" i="25"/>
  <c r="AZ38" i="25"/>
  <c r="AV38" i="25"/>
  <c r="AR38" i="25"/>
  <c r="AN38" i="25"/>
  <c r="AJ38" i="25"/>
  <c r="AF38" i="25"/>
  <c r="AB38" i="25"/>
  <c r="X38" i="25"/>
  <c r="T38" i="25"/>
  <c r="GM38" i="25"/>
  <c r="GI38" i="25"/>
  <c r="GE38" i="25"/>
  <c r="GA38" i="25"/>
  <c r="FW38" i="25"/>
  <c r="FS38" i="25"/>
  <c r="FO38" i="25"/>
  <c r="FK38" i="25"/>
  <c r="FG38" i="25"/>
  <c r="FC38" i="25"/>
  <c r="EY38" i="25"/>
  <c r="EU38" i="25"/>
  <c r="EQ38" i="25"/>
  <c r="EM38" i="25"/>
  <c r="EI38" i="25"/>
  <c r="EE38" i="25"/>
  <c r="EA38" i="25"/>
  <c r="DW38" i="25"/>
  <c r="DS38" i="25"/>
  <c r="DO38" i="25"/>
  <c r="DK38" i="25"/>
  <c r="DG38" i="25"/>
  <c r="DC38" i="25"/>
  <c r="CY38" i="25"/>
  <c r="CU38" i="25"/>
  <c r="CQ38" i="25"/>
  <c r="CM38" i="25"/>
  <c r="CI38" i="25"/>
  <c r="CE38" i="25"/>
  <c r="CA38" i="25"/>
  <c r="BW38" i="25"/>
  <c r="BS38" i="25"/>
  <c r="BO38" i="25"/>
  <c r="BK38" i="25"/>
  <c r="BG38" i="25"/>
  <c r="BC38" i="25"/>
  <c r="AY38" i="25"/>
  <c r="AU38" i="25"/>
  <c r="AQ38" i="25"/>
  <c r="AM38" i="25"/>
  <c r="AI38" i="25"/>
  <c r="AE38" i="25"/>
  <c r="AA38" i="25"/>
  <c r="W38" i="25"/>
  <c r="S38" i="25"/>
  <c r="GP38" i="25"/>
  <c r="GL38" i="25"/>
  <c r="GH38" i="25"/>
  <c r="GD38" i="25"/>
  <c r="FZ38" i="25"/>
  <c r="FV38" i="25"/>
  <c r="FR38" i="25"/>
  <c r="FN38" i="25"/>
  <c r="FJ38" i="25"/>
  <c r="FF38" i="25"/>
  <c r="FB38" i="25"/>
  <c r="EX38" i="25"/>
  <c r="ET38" i="25"/>
  <c r="EP38" i="25"/>
  <c r="EL38" i="25"/>
  <c r="EH38" i="25"/>
  <c r="ED38" i="25"/>
  <c r="DZ38" i="25"/>
  <c r="DV38" i="25"/>
  <c r="DR38" i="25"/>
  <c r="DN38" i="25"/>
  <c r="DJ38" i="25"/>
  <c r="DF38" i="25"/>
  <c r="DB38" i="25"/>
  <c r="CX38" i="25"/>
  <c r="CT38" i="25"/>
  <c r="CP38" i="25"/>
  <c r="CL38" i="25"/>
  <c r="CH38" i="25"/>
  <c r="CD38" i="25"/>
  <c r="BZ38" i="25"/>
  <c r="BV38" i="25"/>
  <c r="BR38" i="25"/>
  <c r="BN38" i="25"/>
  <c r="BJ38" i="25"/>
  <c r="BF38" i="25"/>
  <c r="BB38" i="25"/>
  <c r="AX38" i="25"/>
  <c r="AT38" i="25"/>
  <c r="AP38" i="25"/>
  <c r="AL38" i="25"/>
  <c r="AH38" i="25"/>
  <c r="AD38" i="25"/>
  <c r="Z38" i="25"/>
  <c r="V38" i="25"/>
  <c r="U38" i="25"/>
  <c r="AK38" i="25"/>
  <c r="BA38" i="25"/>
  <c r="BQ38" i="25"/>
  <c r="CG38" i="25"/>
  <c r="CW38" i="25"/>
  <c r="DM38" i="25"/>
  <c r="EC38" i="25"/>
  <c r="ES38" i="25"/>
  <c r="FI38" i="25"/>
  <c r="FY38" i="25"/>
  <c r="GO38" i="25"/>
  <c r="Y38" i="23"/>
  <c r="AC38" i="23"/>
  <c r="AG38" i="23"/>
  <c r="AO38" i="23"/>
  <c r="AS38" i="23"/>
  <c r="AW38" i="23"/>
  <c r="BE38" i="23"/>
  <c r="BI38" i="23"/>
  <c r="BM38" i="23"/>
  <c r="BU38" i="23"/>
  <c r="BY38" i="23"/>
  <c r="CK38" i="23"/>
  <c r="CO38" i="23"/>
  <c r="CS38" i="23"/>
  <c r="DA38" i="23"/>
  <c r="DE38" i="23"/>
  <c r="DI38" i="23"/>
  <c r="DQ38" i="23"/>
  <c r="DU38" i="23"/>
  <c r="DY38" i="23"/>
  <c r="EG38" i="23"/>
  <c r="EW38" i="23"/>
  <c r="FA38" i="23"/>
  <c r="FE38" i="23"/>
  <c r="FM38" i="23"/>
  <c r="FQ38" i="23"/>
  <c r="FU38" i="23"/>
  <c r="GC38" i="23"/>
  <c r="GG38" i="23"/>
  <c r="GK38" i="23"/>
  <c r="V38" i="24"/>
  <c r="AD38" i="24"/>
  <c r="AH38" i="24"/>
  <c r="AL38" i="24"/>
  <c r="AQ38" i="24"/>
  <c r="BG38" i="24"/>
  <c r="BW38" i="24"/>
  <c r="CM38" i="24"/>
  <c r="DC38" i="24"/>
  <c r="DS38" i="24"/>
  <c r="EI38" i="24"/>
  <c r="EY38" i="24"/>
  <c r="FO38" i="24"/>
  <c r="GE38" i="24"/>
  <c r="Y38" i="25"/>
  <c r="AO38" i="25"/>
  <c r="BE38" i="25"/>
  <c r="BU38" i="25"/>
  <c r="CK38" i="25"/>
  <c r="DA38" i="25"/>
  <c r="DQ38" i="25"/>
  <c r="EG38" i="25"/>
  <c r="EW38" i="25"/>
  <c r="FM38" i="25"/>
  <c r="GC38" i="25"/>
  <c r="V38" i="23"/>
  <c r="AH38" i="23"/>
  <c r="AL38" i="23"/>
  <c r="AT38" i="23"/>
  <c r="AX38" i="23"/>
  <c r="BB38" i="23"/>
  <c r="BN38" i="23"/>
  <c r="BR38" i="23"/>
  <c r="CD38" i="23"/>
  <c r="CH38" i="23"/>
  <c r="CP38" i="23"/>
  <c r="CT38" i="23"/>
  <c r="CX38" i="23"/>
  <c r="DF38" i="23"/>
  <c r="DJ38" i="23"/>
  <c r="DN38" i="23"/>
  <c r="DV38" i="23"/>
  <c r="DZ38" i="23"/>
  <c r="ED38" i="23"/>
  <c r="EL38" i="23"/>
  <c r="EP38" i="23"/>
  <c r="ET38" i="23"/>
  <c r="FB38" i="23"/>
  <c r="FF38" i="23"/>
  <c r="FJ38" i="23"/>
  <c r="FR38" i="23"/>
  <c r="FV38" i="23"/>
  <c r="FZ38" i="23"/>
  <c r="GH38" i="23"/>
  <c r="GL38" i="23"/>
  <c r="S38" i="24"/>
  <c r="W38" i="24"/>
  <c r="AA38" i="24"/>
  <c r="AE38" i="24"/>
  <c r="AM38" i="24"/>
  <c r="AU38" i="24"/>
  <c r="BK38" i="24"/>
  <c r="CA38" i="24"/>
  <c r="CQ38" i="24"/>
  <c r="DW38" i="24"/>
  <c r="EM38" i="24"/>
  <c r="FC38" i="24"/>
  <c r="FS38" i="24"/>
  <c r="GI38" i="24"/>
  <c r="AC38" i="25"/>
  <c r="AS38" i="25"/>
  <c r="BI38" i="25"/>
  <c r="BY38" i="25"/>
  <c r="CO38" i="25"/>
  <c r="DE38" i="25"/>
  <c r="DU38" i="25"/>
  <c r="EK38" i="25"/>
  <c r="FA38" i="25"/>
  <c r="FQ38" i="25"/>
  <c r="GG38" i="25"/>
  <c r="AR12" i="25"/>
  <c r="CN12" i="25"/>
  <c r="EJ12" i="25"/>
  <c r="GF12" i="25"/>
  <c r="BD13" i="25"/>
  <c r="BD14" i="25"/>
  <c r="CB16" i="25"/>
  <c r="DC17" i="25"/>
  <c r="EI18" i="25"/>
  <c r="CW24" i="25"/>
  <c r="Q19" i="17"/>
  <c r="P30" i="17"/>
  <c r="Q35" i="17"/>
  <c r="AF12" i="25"/>
  <c r="AV12" i="25"/>
  <c r="BL12" i="25"/>
  <c r="CB12" i="25"/>
  <c r="CR12" i="25"/>
  <c r="DH12" i="25"/>
  <c r="DX12" i="25"/>
  <c r="EN12" i="25"/>
  <c r="FD12" i="25"/>
  <c r="FT12" i="25"/>
  <c r="GJ12" i="25"/>
  <c r="AB13" i="25"/>
  <c r="AR13" i="25"/>
  <c r="BI13" i="25"/>
  <c r="DT13" i="25"/>
  <c r="GF13" i="25"/>
  <c r="BT14" i="25"/>
  <c r="EF14" i="25"/>
  <c r="AF16" i="25"/>
  <c r="CR16" i="25"/>
  <c r="FD16" i="25"/>
  <c r="AR17" i="25"/>
  <c r="DX17" i="25"/>
  <c r="AQ18" i="25"/>
  <c r="FO18" i="25"/>
  <c r="EA20" i="25"/>
  <c r="CA21" i="25"/>
  <c r="AA22" i="25"/>
  <c r="AW25" i="25"/>
  <c r="AB12" i="25"/>
  <c r="BX12" i="25"/>
  <c r="DT12" i="25"/>
  <c r="FP12" i="25"/>
  <c r="AN13" i="25"/>
  <c r="FP13" i="25"/>
  <c r="DP14" i="25"/>
  <c r="EN16" i="25"/>
  <c r="GJ17" i="25"/>
  <c r="AU21" i="25"/>
  <c r="FS21" i="25"/>
  <c r="Q15" i="17"/>
  <c r="P26" i="17"/>
  <c r="GM12" i="21"/>
  <c r="GM13" i="21"/>
  <c r="GM14" i="21"/>
  <c r="GN14" i="24" s="1"/>
  <c r="GM15" i="21"/>
  <c r="GM16" i="21"/>
  <c r="GM17" i="21"/>
  <c r="GM18" i="21"/>
  <c r="GM19" i="21"/>
  <c r="GM20" i="21"/>
  <c r="GM21" i="21"/>
  <c r="GM22" i="21"/>
  <c r="GM23" i="21"/>
  <c r="GM24" i="21"/>
  <c r="GL25" i="21"/>
  <c r="GO26" i="21"/>
  <c r="GK28" i="21"/>
  <c r="EK29" i="21"/>
  <c r="T12" i="25"/>
  <c r="AJ12" i="25"/>
  <c r="AZ12" i="25"/>
  <c r="BP12" i="25"/>
  <c r="CF12" i="25"/>
  <c r="CV12" i="25"/>
  <c r="DL12" i="25"/>
  <c r="EB12" i="25"/>
  <c r="ER12" i="25"/>
  <c r="FH12" i="25"/>
  <c r="FX12" i="25"/>
  <c r="GN12" i="25"/>
  <c r="AF13" i="25"/>
  <c r="AV13" i="25"/>
  <c r="BX13" i="25"/>
  <c r="EJ13" i="25"/>
  <c r="X14" i="25"/>
  <c r="CJ14" i="25"/>
  <c r="EV14" i="25"/>
  <c r="AV16" i="25"/>
  <c r="DH16" i="25"/>
  <c r="FT16" i="25"/>
  <c r="BL17" i="25"/>
  <c r="ET17" i="25"/>
  <c r="BW18" i="25"/>
  <c r="AI20" i="25"/>
  <c r="FG20" i="25"/>
  <c r="DG21" i="25"/>
  <c r="BS22" i="25"/>
  <c r="FU25" i="25"/>
  <c r="BH12" i="25"/>
  <c r="DD12" i="25"/>
  <c r="EZ12" i="25"/>
  <c r="X13" i="25"/>
  <c r="DD13" i="25"/>
  <c r="GB14" i="25"/>
  <c r="AB17" i="25"/>
  <c r="CU20" i="25"/>
  <c r="U28" i="25"/>
  <c r="P22" i="17"/>
  <c r="R32" i="17"/>
  <c r="X12" i="25"/>
  <c r="AN12" i="25"/>
  <c r="BD12" i="25"/>
  <c r="BT12" i="25"/>
  <c r="CJ12" i="25"/>
  <c r="CZ12" i="25"/>
  <c r="DP12" i="25"/>
  <c r="EF12" i="25"/>
  <c r="EV12" i="25"/>
  <c r="FL12" i="25"/>
  <c r="GB12" i="25"/>
  <c r="T13" i="25"/>
  <c r="AJ13" i="25"/>
  <c r="AZ13" i="25"/>
  <c r="CN13" i="25"/>
  <c r="EZ13" i="25"/>
  <c r="AN14" i="25"/>
  <c r="CZ14" i="25"/>
  <c r="BL16" i="25"/>
  <c r="DX16" i="25"/>
  <c r="GJ16" i="25"/>
  <c r="CH17" i="25"/>
  <c r="FO17" i="25"/>
  <c r="BO20" i="25"/>
  <c r="GM20" i="25"/>
  <c r="EM21" i="25"/>
  <c r="N15" i="25"/>
  <c r="N15" i="24"/>
  <c r="N15" i="23"/>
  <c r="N15" i="22"/>
  <c r="O20" i="25"/>
  <c r="O20" i="24"/>
  <c r="O20" i="23"/>
  <c r="O20" i="22"/>
  <c r="P25" i="25"/>
  <c r="P25" i="24"/>
  <c r="P25" i="23"/>
  <c r="P25" i="22"/>
  <c r="N31" i="25"/>
  <c r="N31" i="24"/>
  <c r="N31" i="23"/>
  <c r="N31" i="22"/>
  <c r="N35" i="25"/>
  <c r="N35" i="24"/>
  <c r="N35" i="23"/>
  <c r="N35" i="22"/>
  <c r="P16" i="25"/>
  <c r="P16" i="24"/>
  <c r="P16" i="23"/>
  <c r="P16" i="22"/>
  <c r="P24" i="25"/>
  <c r="P24" i="24"/>
  <c r="P24" i="23"/>
  <c r="P24" i="22"/>
  <c r="P36" i="25"/>
  <c r="P36" i="24"/>
  <c r="P36" i="23"/>
  <c r="P36" i="22"/>
  <c r="N15" i="21"/>
  <c r="P17" i="21"/>
  <c r="O20" i="21"/>
  <c r="P25" i="21"/>
  <c r="GN27" i="21"/>
  <c r="GJ27" i="21"/>
  <c r="GF27" i="21"/>
  <c r="GB27" i="21"/>
  <c r="FX27" i="21"/>
  <c r="FT27" i="21"/>
  <c r="FP27" i="21"/>
  <c r="FL27" i="21"/>
  <c r="FH27" i="21"/>
  <c r="FD27" i="21"/>
  <c r="EZ27" i="21"/>
  <c r="FA27" i="24" s="1"/>
  <c r="EV27" i="21"/>
  <c r="ER27" i="21"/>
  <c r="EN27" i="21"/>
  <c r="EJ27" i="21"/>
  <c r="EF27" i="21"/>
  <c r="EB27" i="21"/>
  <c r="DX27" i="21"/>
  <c r="DT27" i="21"/>
  <c r="DU27" i="24" s="1"/>
  <c r="DP27" i="21"/>
  <c r="DL27" i="21"/>
  <c r="DH27" i="21"/>
  <c r="DD27" i="21"/>
  <c r="CZ27" i="21"/>
  <c r="CV27" i="21"/>
  <c r="CR27" i="21"/>
  <c r="CN27" i="21"/>
  <c r="CO27" i="24" s="1"/>
  <c r="CJ27" i="21"/>
  <c r="CF27" i="21"/>
  <c r="CB27" i="21"/>
  <c r="BX27" i="21"/>
  <c r="BT27" i="21"/>
  <c r="BP27" i="21"/>
  <c r="BL27" i="21"/>
  <c r="BH27" i="21"/>
  <c r="BI27" i="24" s="1"/>
  <c r="BD27" i="21"/>
  <c r="AZ27" i="21"/>
  <c r="AV27" i="21"/>
  <c r="AR27" i="21"/>
  <c r="AN27" i="21"/>
  <c r="AJ27" i="21"/>
  <c r="AF27" i="21"/>
  <c r="AB27" i="21"/>
  <c r="AC27" i="24" s="1"/>
  <c r="X27" i="21"/>
  <c r="T27" i="21"/>
  <c r="GM27" i="21"/>
  <c r="GI27" i="21"/>
  <c r="GE27" i="21"/>
  <c r="GA27" i="21"/>
  <c r="FW27" i="21"/>
  <c r="FS27" i="21"/>
  <c r="FT27" i="24" s="1"/>
  <c r="FO27" i="21"/>
  <c r="FK27" i="21"/>
  <c r="FG27" i="21"/>
  <c r="FC27" i="21"/>
  <c r="EY27" i="21"/>
  <c r="EU27" i="21"/>
  <c r="EQ27" i="21"/>
  <c r="EM27" i="21"/>
  <c r="EN27" i="24" s="1"/>
  <c r="EI27" i="21"/>
  <c r="EE27" i="21"/>
  <c r="EA27" i="21"/>
  <c r="DW27" i="21"/>
  <c r="DS27" i="21"/>
  <c r="DO27" i="21"/>
  <c r="DK27" i="21"/>
  <c r="DG27" i="21"/>
  <c r="DH27" i="24" s="1"/>
  <c r="DC27" i="21"/>
  <c r="CY27" i="21"/>
  <c r="CU27" i="21"/>
  <c r="CQ27" i="21"/>
  <c r="CM27" i="21"/>
  <c r="CI27" i="21"/>
  <c r="CE27" i="21"/>
  <c r="CA27" i="21"/>
  <c r="CB27" i="24" s="1"/>
  <c r="BW27" i="21"/>
  <c r="BS27" i="21"/>
  <c r="BO27" i="21"/>
  <c r="BK27" i="21"/>
  <c r="BG27" i="21"/>
  <c r="BC27" i="21"/>
  <c r="AY27" i="21"/>
  <c r="AU27" i="21"/>
  <c r="AV27" i="24" s="1"/>
  <c r="AQ27" i="21"/>
  <c r="AM27" i="21"/>
  <c r="AI27" i="21"/>
  <c r="AE27" i="21"/>
  <c r="AA27" i="21"/>
  <c r="W27" i="21"/>
  <c r="S27" i="21"/>
  <c r="GO31" i="21"/>
  <c r="GK31" i="21"/>
  <c r="GG31" i="21"/>
  <c r="GC31" i="21"/>
  <c r="FY31" i="21"/>
  <c r="FU31" i="21"/>
  <c r="FQ31" i="21"/>
  <c r="FM31" i="21"/>
  <c r="FI31" i="21"/>
  <c r="FJ31" i="24" s="1"/>
  <c r="FE31" i="21"/>
  <c r="FA31" i="21"/>
  <c r="EW31" i="21"/>
  <c r="ES31" i="21"/>
  <c r="EO31" i="21"/>
  <c r="EK31" i="21"/>
  <c r="EG31" i="21"/>
  <c r="EC31" i="21"/>
  <c r="DY31" i="21"/>
  <c r="DU31" i="21"/>
  <c r="DQ31" i="21"/>
  <c r="DM31" i="21"/>
  <c r="DI31" i="21"/>
  <c r="DE31" i="21"/>
  <c r="DA31" i="21"/>
  <c r="CW31" i="21"/>
  <c r="CX31" i="24" s="1"/>
  <c r="CS31" i="21"/>
  <c r="CO31" i="21"/>
  <c r="CK31" i="21"/>
  <c r="CG31" i="21"/>
  <c r="CC31" i="21"/>
  <c r="BY31" i="21"/>
  <c r="BU31" i="21"/>
  <c r="BQ31" i="21"/>
  <c r="BM31" i="21"/>
  <c r="BI31" i="21"/>
  <c r="BE31" i="21"/>
  <c r="BA31" i="21"/>
  <c r="AW31" i="21"/>
  <c r="AS31" i="21"/>
  <c r="AO31" i="21"/>
  <c r="AK31" i="21"/>
  <c r="AL31" i="24" s="1"/>
  <c r="AG31" i="21"/>
  <c r="AC31" i="21"/>
  <c r="Y31" i="21"/>
  <c r="U31" i="21"/>
  <c r="GN31" i="21"/>
  <c r="GJ31" i="21"/>
  <c r="GF31" i="21"/>
  <c r="GB31" i="21"/>
  <c r="GC31" i="24" s="1"/>
  <c r="FX31" i="21"/>
  <c r="FT31" i="21"/>
  <c r="FP31" i="21"/>
  <c r="FL31" i="21"/>
  <c r="FH31" i="21"/>
  <c r="FD31" i="21"/>
  <c r="EZ31" i="21"/>
  <c r="EV31" i="21"/>
  <c r="EW31" i="24" s="1"/>
  <c r="ER31" i="21"/>
  <c r="EN31" i="21"/>
  <c r="EJ31" i="21"/>
  <c r="EF31" i="21"/>
  <c r="EB31" i="21"/>
  <c r="DX31" i="21"/>
  <c r="DT31" i="21"/>
  <c r="DP31" i="21"/>
  <c r="DQ31" i="24" s="1"/>
  <c r="DL31" i="21"/>
  <c r="DH31" i="21"/>
  <c r="DD31" i="21"/>
  <c r="CZ31" i="21"/>
  <c r="CV31" i="21"/>
  <c r="CR31" i="21"/>
  <c r="CN31" i="21"/>
  <c r="CJ31" i="21"/>
  <c r="CK31" i="24" s="1"/>
  <c r="CF31" i="21"/>
  <c r="CB31" i="21"/>
  <c r="BX31" i="21"/>
  <c r="BT31" i="21"/>
  <c r="BP31" i="21"/>
  <c r="BL31" i="21"/>
  <c r="BH31" i="21"/>
  <c r="BD31" i="21"/>
  <c r="BE31" i="24" s="1"/>
  <c r="AZ31" i="21"/>
  <c r="AV31" i="21"/>
  <c r="AR31" i="21"/>
  <c r="AN31" i="21"/>
  <c r="AJ31" i="21"/>
  <c r="AF31" i="21"/>
  <c r="AB31" i="21"/>
  <c r="X31" i="21"/>
  <c r="Y31" i="24" s="1"/>
  <c r="T31" i="21"/>
  <c r="GM31" i="21"/>
  <c r="GI31" i="21"/>
  <c r="GE31" i="21"/>
  <c r="GA31" i="21"/>
  <c r="FW31" i="21"/>
  <c r="FS31" i="21"/>
  <c r="FO31" i="21"/>
  <c r="FP31" i="24" s="1"/>
  <c r="FK31" i="21"/>
  <c r="FG31" i="21"/>
  <c r="FC31" i="21"/>
  <c r="EY31" i="21"/>
  <c r="EU31" i="21"/>
  <c r="EQ31" i="21"/>
  <c r="EM31" i="21"/>
  <c r="EI31" i="21"/>
  <c r="EJ31" i="24" s="1"/>
  <c r="EE31" i="21"/>
  <c r="EA31" i="21"/>
  <c r="DW31" i="21"/>
  <c r="DS31" i="21"/>
  <c r="DO31" i="21"/>
  <c r="DK31" i="21"/>
  <c r="DG31" i="21"/>
  <c r="DC31" i="21"/>
  <c r="DD31" i="24" s="1"/>
  <c r="CY31" i="21"/>
  <c r="CU31" i="21"/>
  <c r="CQ31" i="21"/>
  <c r="CM31" i="21"/>
  <c r="CI31" i="21"/>
  <c r="CE31" i="21"/>
  <c r="CA31" i="21"/>
  <c r="BW31" i="21"/>
  <c r="BX31" i="24" s="1"/>
  <c r="BS31" i="21"/>
  <c r="BO31" i="21"/>
  <c r="BK31" i="21"/>
  <c r="BG31" i="21"/>
  <c r="BC31" i="21"/>
  <c r="AY31" i="21"/>
  <c r="AU31" i="21"/>
  <c r="AQ31" i="21"/>
  <c r="AR31" i="24" s="1"/>
  <c r="AM31" i="21"/>
  <c r="AI31" i="21"/>
  <c r="AE31" i="21"/>
  <c r="AA31" i="21"/>
  <c r="W31" i="21"/>
  <c r="S31" i="21"/>
  <c r="GP31" i="21"/>
  <c r="GL31" i="21"/>
  <c r="GM31" i="24" s="1"/>
  <c r="GH31" i="21"/>
  <c r="GD31" i="21"/>
  <c r="FZ31" i="21"/>
  <c r="FV31" i="21"/>
  <c r="FR31" i="21"/>
  <c r="FN31" i="21"/>
  <c r="FJ31" i="21"/>
  <c r="FF31" i="21"/>
  <c r="FG31" i="24" s="1"/>
  <c r="FB31" i="21"/>
  <c r="EX31" i="21"/>
  <c r="ET31" i="21"/>
  <c r="EP31" i="21"/>
  <c r="EL31" i="21"/>
  <c r="EH31" i="21"/>
  <c r="ED31" i="21"/>
  <c r="DZ31" i="21"/>
  <c r="EA31" i="24" s="1"/>
  <c r="DV31" i="21"/>
  <c r="DR31" i="21"/>
  <c r="DN31" i="21"/>
  <c r="DJ31" i="21"/>
  <c r="DF31" i="21"/>
  <c r="DB31" i="21"/>
  <c r="CX31" i="21"/>
  <c r="CT31" i="21"/>
  <c r="CU31" i="24" s="1"/>
  <c r="CP31" i="21"/>
  <c r="CL31" i="21"/>
  <c r="CH31" i="21"/>
  <c r="CD31" i="21"/>
  <c r="BZ31" i="21"/>
  <c r="BV31" i="21"/>
  <c r="BR31" i="21"/>
  <c r="BN31" i="21"/>
  <c r="BO31" i="24" s="1"/>
  <c r="BJ31" i="21"/>
  <c r="BF31" i="21"/>
  <c r="BB31" i="21"/>
  <c r="AX31" i="21"/>
  <c r="AT31" i="21"/>
  <c r="AP31" i="21"/>
  <c r="AL31" i="21"/>
  <c r="AH31" i="21"/>
  <c r="AI31" i="24" s="1"/>
  <c r="AD31" i="21"/>
  <c r="Z31" i="21"/>
  <c r="V31" i="21"/>
  <c r="N31" i="21"/>
  <c r="GO35" i="21"/>
  <c r="GK35" i="21"/>
  <c r="GG35" i="21"/>
  <c r="GC35" i="21"/>
  <c r="GD35" i="24" s="1"/>
  <c r="FY35" i="21"/>
  <c r="FU35" i="21"/>
  <c r="FQ35" i="21"/>
  <c r="FM35" i="21"/>
  <c r="FI35" i="21"/>
  <c r="FE35" i="21"/>
  <c r="FA35" i="21"/>
  <c r="EW35" i="21"/>
  <c r="EX35" i="24" s="1"/>
  <c r="ES35" i="21"/>
  <c r="EO35" i="21"/>
  <c r="EK35" i="21"/>
  <c r="EG35" i="21"/>
  <c r="EC35" i="21"/>
  <c r="DY35" i="21"/>
  <c r="DU35" i="21"/>
  <c r="DQ35" i="21"/>
  <c r="DR35" i="24" s="1"/>
  <c r="DM35" i="21"/>
  <c r="DI35" i="21"/>
  <c r="DE35" i="21"/>
  <c r="DA35" i="21"/>
  <c r="CW35" i="21"/>
  <c r="CS35" i="21"/>
  <c r="CO35" i="21"/>
  <c r="CK35" i="21"/>
  <c r="CL35" i="24" s="1"/>
  <c r="CG35" i="21"/>
  <c r="CC35" i="21"/>
  <c r="BY35" i="21"/>
  <c r="BU35" i="21"/>
  <c r="BQ35" i="21"/>
  <c r="BM35" i="21"/>
  <c r="BI35" i="21"/>
  <c r="BE35" i="21"/>
  <c r="BF35" i="24" s="1"/>
  <c r="BA35" i="21"/>
  <c r="AW35" i="21"/>
  <c r="AS35" i="21"/>
  <c r="AO35" i="21"/>
  <c r="AK35" i="21"/>
  <c r="AG35" i="21"/>
  <c r="AC35" i="21"/>
  <c r="Y35" i="21"/>
  <c r="Z35" i="24" s="1"/>
  <c r="U35" i="21"/>
  <c r="GN35" i="21"/>
  <c r="GJ35" i="21"/>
  <c r="GF35" i="21"/>
  <c r="GB35" i="21"/>
  <c r="FX35" i="21"/>
  <c r="FT35" i="21"/>
  <c r="FP35" i="21"/>
  <c r="FQ35" i="24" s="1"/>
  <c r="FL35" i="21"/>
  <c r="FH35" i="21"/>
  <c r="FD35" i="21"/>
  <c r="EZ35" i="21"/>
  <c r="EV35" i="21"/>
  <c r="ER35" i="21"/>
  <c r="EN35" i="21"/>
  <c r="EJ35" i="21"/>
  <c r="EK35" i="24" s="1"/>
  <c r="EF35" i="21"/>
  <c r="EB35" i="21"/>
  <c r="DX35" i="21"/>
  <c r="DT35" i="21"/>
  <c r="DP35" i="21"/>
  <c r="DL35" i="21"/>
  <c r="DH35" i="21"/>
  <c r="DD35" i="21"/>
  <c r="DE35" i="24" s="1"/>
  <c r="CZ35" i="21"/>
  <c r="CV35" i="21"/>
  <c r="CR35" i="21"/>
  <c r="CN35" i="21"/>
  <c r="CJ35" i="21"/>
  <c r="CF35" i="21"/>
  <c r="CB35" i="21"/>
  <c r="BX35" i="21"/>
  <c r="BY35" i="24" s="1"/>
  <c r="BT35" i="21"/>
  <c r="BP35" i="21"/>
  <c r="BL35" i="21"/>
  <c r="BH35" i="21"/>
  <c r="BD35" i="21"/>
  <c r="AZ35" i="21"/>
  <c r="AV35" i="21"/>
  <c r="AR35" i="21"/>
  <c r="AS35" i="24" s="1"/>
  <c r="AN35" i="21"/>
  <c r="AJ35" i="21"/>
  <c r="AF35" i="21"/>
  <c r="AB35" i="21"/>
  <c r="X35" i="21"/>
  <c r="T35" i="21"/>
  <c r="GM35" i="21"/>
  <c r="GI35" i="21"/>
  <c r="GJ35" i="24" s="1"/>
  <c r="GE35" i="21"/>
  <c r="GA35" i="21"/>
  <c r="FW35" i="21"/>
  <c r="FS35" i="21"/>
  <c r="FO35" i="21"/>
  <c r="FK35" i="21"/>
  <c r="FG35" i="21"/>
  <c r="FC35" i="21"/>
  <c r="FD35" i="24" s="1"/>
  <c r="EY35" i="21"/>
  <c r="EU35" i="21"/>
  <c r="EQ35" i="21"/>
  <c r="EM35" i="21"/>
  <c r="EI35" i="21"/>
  <c r="EE35" i="21"/>
  <c r="EA35" i="21"/>
  <c r="DW35" i="21"/>
  <c r="DX35" i="24" s="1"/>
  <c r="DS35" i="21"/>
  <c r="DO35" i="21"/>
  <c r="DK35" i="21"/>
  <c r="DG35" i="21"/>
  <c r="DC35" i="21"/>
  <c r="CY35" i="21"/>
  <c r="CU35" i="21"/>
  <c r="CQ35" i="21"/>
  <c r="CR35" i="24" s="1"/>
  <c r="CM35" i="21"/>
  <c r="CI35" i="21"/>
  <c r="CE35" i="21"/>
  <c r="CA35" i="21"/>
  <c r="BW35" i="21"/>
  <c r="BS35" i="21"/>
  <c r="BO35" i="21"/>
  <c r="BK35" i="21"/>
  <c r="BL35" i="24" s="1"/>
  <c r="BG35" i="21"/>
  <c r="BC35" i="21"/>
  <c r="AY35" i="21"/>
  <c r="AU35" i="21"/>
  <c r="AQ35" i="21"/>
  <c r="AM35" i="21"/>
  <c r="AI35" i="21"/>
  <c r="AE35" i="21"/>
  <c r="AF35" i="24" s="1"/>
  <c r="AA35" i="21"/>
  <c r="W35" i="21"/>
  <c r="S35" i="21"/>
  <c r="GP35" i="21"/>
  <c r="GL35" i="21"/>
  <c r="GH35" i="21"/>
  <c r="GD35" i="21"/>
  <c r="FZ35" i="21"/>
  <c r="GA35" i="24" s="1"/>
  <c r="FV35" i="21"/>
  <c r="FR35" i="21"/>
  <c r="FN35" i="21"/>
  <c r="FJ35" i="21"/>
  <c r="FF35" i="21"/>
  <c r="FB35" i="21"/>
  <c r="EX35" i="21"/>
  <c r="ET35" i="21"/>
  <c r="EU35" i="24" s="1"/>
  <c r="EP35" i="21"/>
  <c r="EL35" i="21"/>
  <c r="EH35" i="21"/>
  <c r="ED35" i="21"/>
  <c r="DZ35" i="21"/>
  <c r="DV35" i="21"/>
  <c r="DR35" i="21"/>
  <c r="DN35" i="21"/>
  <c r="DO35" i="24" s="1"/>
  <c r="DJ35" i="21"/>
  <c r="DF35" i="21"/>
  <c r="DB35" i="21"/>
  <c r="CX35" i="21"/>
  <c r="CT35" i="21"/>
  <c r="CP35" i="21"/>
  <c r="CL35" i="21"/>
  <c r="CH35" i="21"/>
  <c r="CI35" i="24" s="1"/>
  <c r="CD35" i="21"/>
  <c r="BZ35" i="21"/>
  <c r="BV35" i="21"/>
  <c r="BR35" i="21"/>
  <c r="BN35" i="21"/>
  <c r="BJ35" i="21"/>
  <c r="BF35" i="21"/>
  <c r="BB35" i="21"/>
  <c r="BC35" i="24" s="1"/>
  <c r="AX35" i="21"/>
  <c r="AT35" i="21"/>
  <c r="AP35" i="21"/>
  <c r="AL35" i="21"/>
  <c r="AH35" i="21"/>
  <c r="AD35" i="21"/>
  <c r="Z35" i="21"/>
  <c r="V35" i="21"/>
  <c r="W35" i="24" s="1"/>
  <c r="N35" i="21"/>
  <c r="P37" i="21"/>
  <c r="T12" i="21"/>
  <c r="X12" i="21"/>
  <c r="AB12" i="21"/>
  <c r="AF12" i="21"/>
  <c r="AJ12" i="21"/>
  <c r="AN12" i="21"/>
  <c r="AR12" i="21"/>
  <c r="AV12" i="21"/>
  <c r="AZ12" i="21"/>
  <c r="BD12" i="21"/>
  <c r="BH12" i="21"/>
  <c r="BL12" i="21"/>
  <c r="BP12" i="21"/>
  <c r="BT12" i="21"/>
  <c r="BX12" i="21"/>
  <c r="CB12" i="21"/>
  <c r="CF12" i="21"/>
  <c r="CJ12" i="21"/>
  <c r="CN12" i="21"/>
  <c r="CR12" i="21"/>
  <c r="CV12" i="21"/>
  <c r="CZ12" i="21"/>
  <c r="DD12" i="21"/>
  <c r="DH12" i="21"/>
  <c r="DL12" i="21"/>
  <c r="DP12" i="21"/>
  <c r="DT12" i="21"/>
  <c r="DX12" i="21"/>
  <c r="EB12" i="21"/>
  <c r="EF12" i="21"/>
  <c r="EJ12" i="21"/>
  <c r="EN12" i="21"/>
  <c r="ER12" i="21"/>
  <c r="EV12" i="21"/>
  <c r="EZ12" i="21"/>
  <c r="FD12" i="21"/>
  <c r="FH12" i="21"/>
  <c r="FL12" i="21"/>
  <c r="FP12" i="21"/>
  <c r="FT12" i="21"/>
  <c r="FX12" i="21"/>
  <c r="GB12" i="21"/>
  <c r="GF12" i="21"/>
  <c r="GJ12" i="21"/>
  <c r="GN12" i="21"/>
  <c r="T13" i="21"/>
  <c r="X13" i="21"/>
  <c r="AB13" i="21"/>
  <c r="AF13" i="21"/>
  <c r="AJ13" i="21"/>
  <c r="AN13" i="21"/>
  <c r="AR13" i="21"/>
  <c r="AV13" i="21"/>
  <c r="AZ13" i="21"/>
  <c r="BD13" i="21"/>
  <c r="BH13" i="21"/>
  <c r="BL13" i="21"/>
  <c r="BP13" i="21"/>
  <c r="BT13" i="21"/>
  <c r="BX13" i="21"/>
  <c r="CB13" i="21"/>
  <c r="CF13" i="21"/>
  <c r="CJ13" i="21"/>
  <c r="CN13" i="21"/>
  <c r="CR13" i="21"/>
  <c r="CV13" i="21"/>
  <c r="CZ13" i="21"/>
  <c r="DD13" i="21"/>
  <c r="DH13" i="21"/>
  <c r="DL13" i="21"/>
  <c r="DP13" i="21"/>
  <c r="DT13" i="21"/>
  <c r="DX13" i="21"/>
  <c r="EB13" i="21"/>
  <c r="EF13" i="21"/>
  <c r="EJ13" i="21"/>
  <c r="EN13" i="21"/>
  <c r="ER13" i="21"/>
  <c r="EV13" i="21"/>
  <c r="EZ13" i="21"/>
  <c r="FD13" i="21"/>
  <c r="FH13" i="21"/>
  <c r="FL13" i="21"/>
  <c r="FP13" i="21"/>
  <c r="FT13" i="21"/>
  <c r="FX13" i="21"/>
  <c r="GB13" i="21"/>
  <c r="GF13" i="21"/>
  <c r="GJ13" i="21"/>
  <c r="GN13" i="21"/>
  <c r="T14" i="21"/>
  <c r="X14" i="21"/>
  <c r="AB14" i="21"/>
  <c r="AF14" i="21"/>
  <c r="AJ14" i="21"/>
  <c r="AN14" i="21"/>
  <c r="AR14" i="21"/>
  <c r="AV14" i="21"/>
  <c r="AZ14" i="21"/>
  <c r="BD14" i="21"/>
  <c r="BH14" i="21"/>
  <c r="BL14" i="21"/>
  <c r="BP14" i="21"/>
  <c r="BT14" i="21"/>
  <c r="BX14" i="21"/>
  <c r="CB14" i="21"/>
  <c r="CF14" i="21"/>
  <c r="CJ14" i="21"/>
  <c r="CN14" i="21"/>
  <c r="CR14" i="21"/>
  <c r="CV14" i="21"/>
  <c r="CZ14" i="21"/>
  <c r="DD14" i="21"/>
  <c r="DH14" i="21"/>
  <c r="DL14" i="21"/>
  <c r="DP14" i="21"/>
  <c r="DT14" i="21"/>
  <c r="DX14" i="21"/>
  <c r="EB14" i="21"/>
  <c r="EF14" i="21"/>
  <c r="EJ14" i="21"/>
  <c r="EN14" i="21"/>
  <c r="ER14" i="21"/>
  <c r="EV14" i="21"/>
  <c r="EZ14" i="21"/>
  <c r="FD14" i="21"/>
  <c r="FH14" i="21"/>
  <c r="FL14" i="21"/>
  <c r="FP14" i="21"/>
  <c r="FT14" i="21"/>
  <c r="FX14" i="21"/>
  <c r="GB14" i="21"/>
  <c r="GF14" i="21"/>
  <c r="GJ14" i="21"/>
  <c r="GN14" i="21"/>
  <c r="T15" i="21"/>
  <c r="X15" i="21"/>
  <c r="AB15" i="21"/>
  <c r="AF15" i="21"/>
  <c r="AJ15" i="21"/>
  <c r="AN15" i="21"/>
  <c r="AR15" i="21"/>
  <c r="AV15" i="21"/>
  <c r="AZ15" i="21"/>
  <c r="BD15" i="21"/>
  <c r="BH15" i="21"/>
  <c r="BL15" i="21"/>
  <c r="BP15" i="21"/>
  <c r="BT15" i="21"/>
  <c r="BX15" i="21"/>
  <c r="CB15" i="21"/>
  <c r="CF15" i="21"/>
  <c r="CJ15" i="21"/>
  <c r="CN15" i="21"/>
  <c r="CR15" i="21"/>
  <c r="CV15" i="21"/>
  <c r="CZ15" i="21"/>
  <c r="DD15" i="21"/>
  <c r="DH15" i="21"/>
  <c r="DL15" i="21"/>
  <c r="DP15" i="21"/>
  <c r="DT15" i="21"/>
  <c r="DX15" i="21"/>
  <c r="EB15" i="21"/>
  <c r="EF15" i="21"/>
  <c r="EJ15" i="21"/>
  <c r="EN15" i="21"/>
  <c r="ER15" i="21"/>
  <c r="EV15" i="21"/>
  <c r="EZ15" i="21"/>
  <c r="FD15" i="21"/>
  <c r="FH15" i="21"/>
  <c r="FL15" i="21"/>
  <c r="FP15" i="21"/>
  <c r="FT15" i="21"/>
  <c r="FX15" i="21"/>
  <c r="GB15" i="21"/>
  <c r="GF15" i="21"/>
  <c r="GJ15" i="21"/>
  <c r="GN15" i="21"/>
  <c r="T16" i="21"/>
  <c r="X16" i="21"/>
  <c r="AB16" i="21"/>
  <c r="AF16" i="21"/>
  <c r="AJ16" i="21"/>
  <c r="AN16" i="21"/>
  <c r="AR16" i="21"/>
  <c r="AV16" i="21"/>
  <c r="AZ16" i="21"/>
  <c r="BD16" i="21"/>
  <c r="BH16" i="21"/>
  <c r="BL16" i="21"/>
  <c r="BP16" i="21"/>
  <c r="BT16" i="21"/>
  <c r="BX16" i="21"/>
  <c r="CB16" i="21"/>
  <c r="CF16" i="21"/>
  <c r="CJ16" i="21"/>
  <c r="CN16" i="21"/>
  <c r="CR16" i="21"/>
  <c r="CV16" i="21"/>
  <c r="CZ16" i="21"/>
  <c r="DD16" i="21"/>
  <c r="DH16" i="21"/>
  <c r="DL16" i="21"/>
  <c r="DP16" i="21"/>
  <c r="DT16" i="21"/>
  <c r="DX16" i="21"/>
  <c r="EB16" i="21"/>
  <c r="EF16" i="21"/>
  <c r="EJ16" i="21"/>
  <c r="EN16" i="21"/>
  <c r="ER16" i="21"/>
  <c r="EV16" i="21"/>
  <c r="EZ16" i="21"/>
  <c r="FD16" i="21"/>
  <c r="FH16" i="21"/>
  <c r="FL16" i="21"/>
  <c r="FP16" i="21"/>
  <c r="FT16" i="21"/>
  <c r="FX16" i="21"/>
  <c r="GB16" i="21"/>
  <c r="GF16" i="21"/>
  <c r="GJ16" i="21"/>
  <c r="GN16" i="21"/>
  <c r="GO16" i="24" s="1"/>
  <c r="T17" i="21"/>
  <c r="X17" i="21"/>
  <c r="AB17" i="21"/>
  <c r="AF17" i="21"/>
  <c r="AJ17" i="21"/>
  <c r="AN17" i="21"/>
  <c r="AR17" i="21"/>
  <c r="AV17" i="21"/>
  <c r="AZ17" i="21"/>
  <c r="BD17" i="21"/>
  <c r="BH17" i="21"/>
  <c r="BL17" i="21"/>
  <c r="BP17" i="21"/>
  <c r="BT17" i="21"/>
  <c r="BX17" i="21"/>
  <c r="CB17" i="21"/>
  <c r="CF17" i="21"/>
  <c r="CJ17" i="21"/>
  <c r="CN17" i="21"/>
  <c r="CR17" i="21"/>
  <c r="CV17" i="21"/>
  <c r="CZ17" i="21"/>
  <c r="DD17" i="21"/>
  <c r="DH17" i="21"/>
  <c r="DL17" i="21"/>
  <c r="DP17" i="21"/>
  <c r="DT17" i="21"/>
  <c r="DX17" i="21"/>
  <c r="EB17" i="21"/>
  <c r="EF17" i="21"/>
  <c r="EJ17" i="21"/>
  <c r="EN17" i="21"/>
  <c r="ER17" i="21"/>
  <c r="EV17" i="21"/>
  <c r="EZ17" i="21"/>
  <c r="FD17" i="21"/>
  <c r="FH17" i="21"/>
  <c r="FL17" i="21"/>
  <c r="FP17" i="21"/>
  <c r="FT17" i="21"/>
  <c r="FX17" i="21"/>
  <c r="GB17" i="21"/>
  <c r="GF17" i="21"/>
  <c r="GJ17" i="21"/>
  <c r="GN17" i="21"/>
  <c r="T18" i="21"/>
  <c r="X18" i="21"/>
  <c r="AB18" i="21"/>
  <c r="AF18" i="21"/>
  <c r="AJ18" i="21"/>
  <c r="AN18" i="21"/>
  <c r="AR18" i="21"/>
  <c r="AV18" i="21"/>
  <c r="AZ18" i="21"/>
  <c r="BD18" i="21"/>
  <c r="BH18" i="21"/>
  <c r="BL18" i="21"/>
  <c r="BP18" i="21"/>
  <c r="BT18" i="21"/>
  <c r="BX18" i="21"/>
  <c r="CB18" i="21"/>
  <c r="CF18" i="21"/>
  <c r="CJ18" i="21"/>
  <c r="CN18" i="21"/>
  <c r="CR18" i="21"/>
  <c r="CV18" i="21"/>
  <c r="CZ18" i="21"/>
  <c r="DD18" i="21"/>
  <c r="DH18" i="21"/>
  <c r="DL18" i="21"/>
  <c r="DP18" i="21"/>
  <c r="DT18" i="21"/>
  <c r="DX18" i="21"/>
  <c r="EB18" i="21"/>
  <c r="EF18" i="21"/>
  <c r="EJ18" i="21"/>
  <c r="EN18" i="21"/>
  <c r="ER18" i="21"/>
  <c r="EV18" i="21"/>
  <c r="EZ18" i="21"/>
  <c r="FD18" i="21"/>
  <c r="FH18" i="21"/>
  <c r="FL18" i="21"/>
  <c r="FP18" i="21"/>
  <c r="FT18" i="21"/>
  <c r="FX18" i="21"/>
  <c r="GB18" i="21"/>
  <c r="GF18" i="21"/>
  <c r="GJ18" i="21"/>
  <c r="GN18" i="21"/>
  <c r="T19" i="21"/>
  <c r="X19" i="21"/>
  <c r="AB19" i="21"/>
  <c r="AF19" i="21"/>
  <c r="AJ19" i="21"/>
  <c r="AN19" i="21"/>
  <c r="AR19" i="21"/>
  <c r="AV19" i="21"/>
  <c r="AZ19" i="21"/>
  <c r="BD19" i="21"/>
  <c r="BH19" i="21"/>
  <c r="BL19" i="21"/>
  <c r="BP19" i="21"/>
  <c r="BT19" i="21"/>
  <c r="BX19" i="21"/>
  <c r="CB19" i="21"/>
  <c r="CF19" i="21"/>
  <c r="CJ19" i="21"/>
  <c r="CN19" i="21"/>
  <c r="CR19" i="21"/>
  <c r="CV19" i="21"/>
  <c r="CZ19" i="21"/>
  <c r="DD19" i="21"/>
  <c r="DH19" i="21"/>
  <c r="DL19" i="21"/>
  <c r="DP19" i="21"/>
  <c r="DT19" i="21"/>
  <c r="DX19" i="21"/>
  <c r="EB19" i="21"/>
  <c r="EF19" i="21"/>
  <c r="EJ19" i="21"/>
  <c r="EN19" i="21"/>
  <c r="ER19" i="21"/>
  <c r="EV19" i="21"/>
  <c r="EZ19" i="21"/>
  <c r="FD19" i="21"/>
  <c r="FH19" i="21"/>
  <c r="FL19" i="21"/>
  <c r="FP19" i="21"/>
  <c r="FT19" i="21"/>
  <c r="FX19" i="21"/>
  <c r="GB19" i="21"/>
  <c r="GF19" i="21"/>
  <c r="GJ19" i="21"/>
  <c r="GN19" i="21"/>
  <c r="T20" i="21"/>
  <c r="X20" i="21"/>
  <c r="AB20" i="21"/>
  <c r="AF20" i="21"/>
  <c r="AJ20" i="21"/>
  <c r="AN20" i="21"/>
  <c r="AR20" i="21"/>
  <c r="AV20" i="21"/>
  <c r="AZ20" i="21"/>
  <c r="BD20" i="21"/>
  <c r="BH20" i="21"/>
  <c r="BL20" i="21"/>
  <c r="BP20" i="21"/>
  <c r="BT20" i="21"/>
  <c r="BX20" i="21"/>
  <c r="CB20" i="21"/>
  <c r="CF20" i="21"/>
  <c r="CJ20" i="21"/>
  <c r="CN20" i="21"/>
  <c r="CR20" i="21"/>
  <c r="CV20" i="21"/>
  <c r="CZ20" i="21"/>
  <c r="DD20" i="21"/>
  <c r="DH20" i="21"/>
  <c r="DL20" i="21"/>
  <c r="DP20" i="21"/>
  <c r="DT20" i="21"/>
  <c r="DX20" i="21"/>
  <c r="EB20" i="21"/>
  <c r="EF20" i="21"/>
  <c r="EG20" i="24" s="1"/>
  <c r="EJ20" i="21"/>
  <c r="EN20" i="21"/>
  <c r="ER20" i="21"/>
  <c r="EV20" i="21"/>
  <c r="EZ20" i="21"/>
  <c r="FD20" i="21"/>
  <c r="FH20" i="21"/>
  <c r="FL20" i="21"/>
  <c r="FM20" i="24" s="1"/>
  <c r="FP20" i="21"/>
  <c r="FT20" i="21"/>
  <c r="FX20" i="21"/>
  <c r="GB20" i="21"/>
  <c r="GF20" i="21"/>
  <c r="GJ20" i="21"/>
  <c r="GN20" i="21"/>
  <c r="T21" i="21"/>
  <c r="U21" i="24" s="1"/>
  <c r="X21" i="21"/>
  <c r="AB21" i="21"/>
  <c r="AF21" i="21"/>
  <c r="AJ21" i="21"/>
  <c r="AN21" i="21"/>
  <c r="AR21" i="21"/>
  <c r="AV21" i="21"/>
  <c r="AZ21" i="21"/>
  <c r="BA21" i="24" s="1"/>
  <c r="BD21" i="21"/>
  <c r="BH21" i="21"/>
  <c r="BL21" i="21"/>
  <c r="BP21" i="21"/>
  <c r="BT21" i="21"/>
  <c r="BX21" i="21"/>
  <c r="CB21" i="21"/>
  <c r="CF21" i="21"/>
  <c r="CJ21" i="21"/>
  <c r="CN21" i="21"/>
  <c r="CR21" i="21"/>
  <c r="CV21" i="21"/>
  <c r="CZ21" i="21"/>
  <c r="DD21" i="21"/>
  <c r="DH21" i="21"/>
  <c r="DL21" i="21"/>
  <c r="DP21" i="21"/>
  <c r="DT21" i="21"/>
  <c r="DX21" i="21"/>
  <c r="EB21" i="21"/>
  <c r="EF21" i="21"/>
  <c r="EJ21" i="21"/>
  <c r="EN21" i="21"/>
  <c r="ER21" i="21"/>
  <c r="ES21" i="24" s="1"/>
  <c r="EV21" i="21"/>
  <c r="EZ21" i="21"/>
  <c r="FD21" i="21"/>
  <c r="FH21" i="21"/>
  <c r="FL21" i="21"/>
  <c r="FP21" i="21"/>
  <c r="FT21" i="21"/>
  <c r="FX21" i="21"/>
  <c r="FY21" i="24" s="1"/>
  <c r="GB21" i="21"/>
  <c r="GF21" i="21"/>
  <c r="GJ21" i="21"/>
  <c r="GN21" i="21"/>
  <c r="T22" i="21"/>
  <c r="X22" i="21"/>
  <c r="AB22" i="21"/>
  <c r="AF22" i="21"/>
  <c r="AG22" i="24" s="1"/>
  <c r="AJ22" i="21"/>
  <c r="AN22" i="21"/>
  <c r="AR22" i="21"/>
  <c r="AV22" i="21"/>
  <c r="AZ22" i="21"/>
  <c r="BD22" i="21"/>
  <c r="BH22" i="21"/>
  <c r="BL22" i="21"/>
  <c r="BM22" i="24" s="1"/>
  <c r="BP22" i="21"/>
  <c r="BT22" i="21"/>
  <c r="BX22" i="21"/>
  <c r="CB22" i="21"/>
  <c r="CF22" i="21"/>
  <c r="CJ22" i="21"/>
  <c r="CN22" i="21"/>
  <c r="CR22" i="21"/>
  <c r="CS22" i="24" s="1"/>
  <c r="CV22" i="21"/>
  <c r="CZ22" i="21"/>
  <c r="DD22" i="21"/>
  <c r="DH22" i="21"/>
  <c r="DL22" i="21"/>
  <c r="DP22" i="21"/>
  <c r="DT22" i="21"/>
  <c r="DX22" i="21"/>
  <c r="DY22" i="24" s="1"/>
  <c r="EB22" i="21"/>
  <c r="EF22" i="21"/>
  <c r="EJ22" i="21"/>
  <c r="EN22" i="21"/>
  <c r="ER22" i="21"/>
  <c r="EV22" i="21"/>
  <c r="EZ22" i="21"/>
  <c r="FD22" i="21"/>
  <c r="FE22" i="24" s="1"/>
  <c r="FH22" i="21"/>
  <c r="FL22" i="21"/>
  <c r="FP22" i="21"/>
  <c r="FT22" i="21"/>
  <c r="FX22" i="21"/>
  <c r="GB22" i="21"/>
  <c r="GF22" i="21"/>
  <c r="GJ22" i="21"/>
  <c r="GK22" i="24" s="1"/>
  <c r="GN22" i="21"/>
  <c r="T23" i="21"/>
  <c r="X23" i="21"/>
  <c r="AB23" i="21"/>
  <c r="AF23" i="21"/>
  <c r="AJ23" i="21"/>
  <c r="AN23" i="21"/>
  <c r="AR23" i="21"/>
  <c r="AS23" i="22" s="1"/>
  <c r="AV23" i="21"/>
  <c r="AZ23" i="21"/>
  <c r="BD23" i="21"/>
  <c r="BH23" i="21"/>
  <c r="BL23" i="21"/>
  <c r="BP23" i="21"/>
  <c r="BT23" i="21"/>
  <c r="BX23" i="21"/>
  <c r="BY23" i="22" s="1"/>
  <c r="CB23" i="21"/>
  <c r="CF23" i="21"/>
  <c r="CJ23" i="21"/>
  <c r="CN23" i="21"/>
  <c r="CR23" i="21"/>
  <c r="CV23" i="21"/>
  <c r="CZ23" i="21"/>
  <c r="DD23" i="21"/>
  <c r="DE23" i="22" s="1"/>
  <c r="DH23" i="21"/>
  <c r="DL23" i="21"/>
  <c r="DP23" i="21"/>
  <c r="DT23" i="21"/>
  <c r="DX23" i="21"/>
  <c r="EB23" i="21"/>
  <c r="EF23" i="21"/>
  <c r="EJ23" i="21"/>
  <c r="EK23" i="22" s="1"/>
  <c r="EN23" i="21"/>
  <c r="ER23" i="21"/>
  <c r="EV23" i="21"/>
  <c r="EZ23" i="21"/>
  <c r="FD23" i="21"/>
  <c r="FH23" i="21"/>
  <c r="FL23" i="21"/>
  <c r="FP23" i="21"/>
  <c r="FQ23" i="22" s="1"/>
  <c r="FT23" i="21"/>
  <c r="FX23" i="21"/>
  <c r="GB23" i="21"/>
  <c r="GF23" i="21"/>
  <c r="GJ23" i="21"/>
  <c r="GN23" i="21"/>
  <c r="T24" i="21"/>
  <c r="X24" i="21"/>
  <c r="Y24" i="24" s="1"/>
  <c r="AB24" i="21"/>
  <c r="AF24" i="21"/>
  <c r="AJ24" i="21"/>
  <c r="AN24" i="21"/>
  <c r="AR24" i="21"/>
  <c r="AV24" i="21"/>
  <c r="AZ24" i="21"/>
  <c r="BD24" i="21"/>
  <c r="BE24" i="24" s="1"/>
  <c r="BH24" i="21"/>
  <c r="BL24" i="21"/>
  <c r="BP24" i="21"/>
  <c r="BT24" i="21"/>
  <c r="BX24" i="21"/>
  <c r="CB24" i="21"/>
  <c r="CF24" i="21"/>
  <c r="CJ24" i="21"/>
  <c r="CK24" i="24" s="1"/>
  <c r="CN24" i="21"/>
  <c r="CR24" i="21"/>
  <c r="CV24" i="21"/>
  <c r="CZ24" i="21"/>
  <c r="DD24" i="21"/>
  <c r="DH24" i="21"/>
  <c r="DL24" i="21"/>
  <c r="DP24" i="21"/>
  <c r="DQ24" i="24" s="1"/>
  <c r="DT24" i="21"/>
  <c r="DX24" i="21"/>
  <c r="EB24" i="21"/>
  <c r="EF24" i="21"/>
  <c r="EJ24" i="21"/>
  <c r="EN24" i="21"/>
  <c r="ER24" i="21"/>
  <c r="EV24" i="21"/>
  <c r="EW24" i="24" s="1"/>
  <c r="EZ24" i="21"/>
  <c r="FD24" i="21"/>
  <c r="FH24" i="21"/>
  <c r="FL24" i="21"/>
  <c r="FP24" i="21"/>
  <c r="FT24" i="21"/>
  <c r="FX24" i="21"/>
  <c r="GB24" i="21"/>
  <c r="GC24" i="24" s="1"/>
  <c r="GF24" i="21"/>
  <c r="GJ24" i="21"/>
  <c r="GN24" i="21"/>
  <c r="T25" i="21"/>
  <c r="X25" i="21"/>
  <c r="AB25" i="21"/>
  <c r="AF25" i="21"/>
  <c r="AJ25" i="21"/>
  <c r="AK25" i="24" s="1"/>
  <c r="AN25" i="21"/>
  <c r="AR25" i="21"/>
  <c r="AV25" i="21"/>
  <c r="AZ25" i="21"/>
  <c r="BD25" i="21"/>
  <c r="BH25" i="21"/>
  <c r="BL25" i="21"/>
  <c r="BP25" i="21"/>
  <c r="BQ25" i="24" s="1"/>
  <c r="BT25" i="21"/>
  <c r="BX25" i="21"/>
  <c r="CB25" i="21"/>
  <c r="CF25" i="21"/>
  <c r="CJ25" i="21"/>
  <c r="CN25" i="21"/>
  <c r="CR25" i="21"/>
  <c r="CV25" i="21"/>
  <c r="CW25" i="24" s="1"/>
  <c r="DA25" i="21"/>
  <c r="DI25" i="21"/>
  <c r="DQ25" i="21"/>
  <c r="DY25" i="21"/>
  <c r="EG25" i="21"/>
  <c r="EO25" i="21"/>
  <c r="EW25" i="21"/>
  <c r="FE25" i="21"/>
  <c r="FF25" i="24" s="1"/>
  <c r="FM25" i="21"/>
  <c r="FU25" i="21"/>
  <c r="GC25" i="21"/>
  <c r="GK25" i="21"/>
  <c r="U26" i="21"/>
  <c r="AC26" i="21"/>
  <c r="AK26" i="21"/>
  <c r="AS26" i="21"/>
  <c r="AT26" i="24" s="1"/>
  <c r="BA26" i="21"/>
  <c r="BI26" i="21"/>
  <c r="BQ26" i="21"/>
  <c r="BY26" i="21"/>
  <c r="CG26" i="21"/>
  <c r="CO26" i="21"/>
  <c r="CW26" i="21"/>
  <c r="DE26" i="21"/>
  <c r="DF26" i="24" s="1"/>
  <c r="DM26" i="21"/>
  <c r="DU26" i="21"/>
  <c r="EC26" i="21"/>
  <c r="EK26" i="21"/>
  <c r="ES26" i="21"/>
  <c r="FA26" i="21"/>
  <c r="FI26" i="21"/>
  <c r="FQ26" i="21"/>
  <c r="FR26" i="24" s="1"/>
  <c r="FY26" i="21"/>
  <c r="GG26" i="21"/>
  <c r="Y27" i="21"/>
  <c r="AG27" i="21"/>
  <c r="AO27" i="21"/>
  <c r="AW27" i="21"/>
  <c r="BE27" i="21"/>
  <c r="BM27" i="21"/>
  <c r="BU27" i="21"/>
  <c r="CC27" i="21"/>
  <c r="CK27" i="21"/>
  <c r="CS27" i="21"/>
  <c r="DA27" i="21"/>
  <c r="DI27" i="21"/>
  <c r="DQ27" i="21"/>
  <c r="DY27" i="21"/>
  <c r="EG27" i="21"/>
  <c r="EO27" i="21"/>
  <c r="EW27" i="21"/>
  <c r="FE27" i="21"/>
  <c r="FM27" i="21"/>
  <c r="FU27" i="21"/>
  <c r="GC27" i="21"/>
  <c r="GK27" i="21"/>
  <c r="GL27" i="24" s="1"/>
  <c r="U28" i="21"/>
  <c r="AC28" i="21"/>
  <c r="AK28" i="21"/>
  <c r="AS28" i="21"/>
  <c r="BA28" i="21"/>
  <c r="BI28" i="21"/>
  <c r="BQ28" i="21"/>
  <c r="BY28" i="21"/>
  <c r="BZ28" i="24" s="1"/>
  <c r="CG28" i="21"/>
  <c r="CO28" i="21"/>
  <c r="CW28" i="21"/>
  <c r="DE28" i="21"/>
  <c r="DM28" i="21"/>
  <c r="DU28" i="21"/>
  <c r="EC28" i="21"/>
  <c r="EK28" i="21"/>
  <c r="EL28" i="24" s="1"/>
  <c r="ES28" i="21"/>
  <c r="FA28" i="21"/>
  <c r="FI28" i="21"/>
  <c r="FQ28" i="21"/>
  <c r="FY28" i="21"/>
  <c r="GG28" i="21"/>
  <c r="GO28" i="21"/>
  <c r="Y29" i="21"/>
  <c r="Z29" i="24" s="1"/>
  <c r="AG29" i="21"/>
  <c r="AO29" i="21"/>
  <c r="AW29" i="21"/>
  <c r="BE29" i="21"/>
  <c r="BM29" i="21"/>
  <c r="BU29" i="21"/>
  <c r="CC29" i="21"/>
  <c r="CK29" i="21"/>
  <c r="CL29" i="24" s="1"/>
  <c r="CS29" i="21"/>
  <c r="DA29" i="21"/>
  <c r="DI29" i="21"/>
  <c r="DQ29" i="21"/>
  <c r="DY29" i="21"/>
  <c r="EG29" i="21"/>
  <c r="O12" i="25"/>
  <c r="O12" i="24"/>
  <c r="O12" i="23"/>
  <c r="O12" i="22"/>
  <c r="O16" i="25"/>
  <c r="O16" i="24"/>
  <c r="O16" i="23"/>
  <c r="O16" i="22"/>
  <c r="P21" i="25"/>
  <c r="P21" i="24"/>
  <c r="DA21" i="24" s="1"/>
  <c r="P21" i="23"/>
  <c r="P21" i="22"/>
  <c r="O24" i="25"/>
  <c r="O24" i="24"/>
  <c r="O24" i="23"/>
  <c r="O24" i="22"/>
  <c r="O28" i="25"/>
  <c r="O28" i="24"/>
  <c r="O28" i="23"/>
  <c r="O28" i="22"/>
  <c r="P33" i="25"/>
  <c r="P33" i="24"/>
  <c r="P33" i="23"/>
  <c r="P33" i="22"/>
  <c r="N14" i="25"/>
  <c r="N14" i="24"/>
  <c r="N14" i="23"/>
  <c r="N14" i="22"/>
  <c r="N18" i="25"/>
  <c r="N18" i="24"/>
  <c r="N18" i="23"/>
  <c r="N18" i="22"/>
  <c r="P20" i="25"/>
  <c r="P20" i="24"/>
  <c r="P20" i="23"/>
  <c r="P20" i="22"/>
  <c r="O23" i="25"/>
  <c r="O23" i="24"/>
  <c r="O23" i="23"/>
  <c r="O23" i="22"/>
  <c r="O27" i="25"/>
  <c r="O27" i="24"/>
  <c r="O27" i="23"/>
  <c r="O27" i="22"/>
  <c r="O31" i="25"/>
  <c r="O31" i="24"/>
  <c r="O31" i="23"/>
  <c r="O31" i="22"/>
  <c r="N34" i="25"/>
  <c r="N34" i="24"/>
  <c r="N34" i="23"/>
  <c r="N34" i="22"/>
  <c r="N13" i="25"/>
  <c r="N13" i="23"/>
  <c r="N13" i="24"/>
  <c r="N13" i="22"/>
  <c r="O14" i="25"/>
  <c r="O14" i="23"/>
  <c r="O14" i="24"/>
  <c r="O14" i="22"/>
  <c r="P15" i="25"/>
  <c r="P15" i="23"/>
  <c r="P15" i="24"/>
  <c r="GO15" i="24" s="1"/>
  <c r="P15" i="22"/>
  <c r="N17" i="25"/>
  <c r="N17" i="23"/>
  <c r="N17" i="24"/>
  <c r="N17" i="22"/>
  <c r="O18" i="25"/>
  <c r="O18" i="23"/>
  <c r="O18" i="24"/>
  <c r="O18" i="22"/>
  <c r="P19" i="25"/>
  <c r="P19" i="23"/>
  <c r="P19" i="24"/>
  <c r="GO19" i="24" s="1"/>
  <c r="P19" i="22"/>
  <c r="N21" i="25"/>
  <c r="N21" i="23"/>
  <c r="N21" i="24"/>
  <c r="N21" i="22"/>
  <c r="O22" i="25"/>
  <c r="O22" i="23"/>
  <c r="O22" i="24"/>
  <c r="O22" i="22"/>
  <c r="P23" i="25"/>
  <c r="P23" i="23"/>
  <c r="P23" i="24"/>
  <c r="P23" i="22"/>
  <c r="N25" i="25"/>
  <c r="N25" i="23"/>
  <c r="N25" i="24"/>
  <c r="N25" i="22"/>
  <c r="O26" i="25"/>
  <c r="O26" i="23"/>
  <c r="O26" i="24"/>
  <c r="O26" i="22"/>
  <c r="P27" i="25"/>
  <c r="P27" i="23"/>
  <c r="P27" i="24"/>
  <c r="P27" i="22"/>
  <c r="N29" i="25"/>
  <c r="N29" i="23"/>
  <c r="N29" i="24"/>
  <c r="N29" i="22"/>
  <c r="O30" i="25"/>
  <c r="O30" i="23"/>
  <c r="O30" i="24"/>
  <c r="O30" i="22"/>
  <c r="P31" i="25"/>
  <c r="P31" i="23"/>
  <c r="P31" i="24"/>
  <c r="P31" i="22"/>
  <c r="N33" i="25"/>
  <c r="N33" i="23"/>
  <c r="N33" i="24"/>
  <c r="N33" i="22"/>
  <c r="O34" i="25"/>
  <c r="O34" i="23"/>
  <c r="O34" i="24"/>
  <c r="O34" i="22"/>
  <c r="P35" i="25"/>
  <c r="P35" i="23"/>
  <c r="P35" i="24"/>
  <c r="P35" i="22"/>
  <c r="N37" i="25"/>
  <c r="N37" i="23"/>
  <c r="N37" i="24"/>
  <c r="N37" i="22"/>
  <c r="N14" i="21"/>
  <c r="P16" i="21"/>
  <c r="N18" i="21"/>
  <c r="P20" i="21"/>
  <c r="O23" i="21"/>
  <c r="P24" i="21"/>
  <c r="GN26" i="21"/>
  <c r="GJ26" i="21"/>
  <c r="GF26" i="21"/>
  <c r="GB26" i="21"/>
  <c r="GC26" i="24" s="1"/>
  <c r="FX26" i="21"/>
  <c r="FT26" i="21"/>
  <c r="FP26" i="21"/>
  <c r="FL26" i="21"/>
  <c r="FH26" i="21"/>
  <c r="FD26" i="21"/>
  <c r="EZ26" i="21"/>
  <c r="EV26" i="21"/>
  <c r="EW26" i="24" s="1"/>
  <c r="ER26" i="21"/>
  <c r="EN26" i="21"/>
  <c r="EJ26" i="21"/>
  <c r="EF26" i="21"/>
  <c r="EB26" i="21"/>
  <c r="DX26" i="21"/>
  <c r="DT26" i="21"/>
  <c r="DP26" i="21"/>
  <c r="DQ26" i="24" s="1"/>
  <c r="DL26" i="21"/>
  <c r="DH26" i="21"/>
  <c r="DD26" i="21"/>
  <c r="CZ26" i="21"/>
  <c r="CV26" i="21"/>
  <c r="CR26" i="21"/>
  <c r="CN26" i="21"/>
  <c r="CJ26" i="21"/>
  <c r="CK26" i="24" s="1"/>
  <c r="CF26" i="21"/>
  <c r="CB26" i="21"/>
  <c r="BX26" i="21"/>
  <c r="BT26" i="21"/>
  <c r="BP26" i="21"/>
  <c r="BL26" i="21"/>
  <c r="BH26" i="21"/>
  <c r="BD26" i="21"/>
  <c r="BE26" i="24" s="1"/>
  <c r="AZ26" i="21"/>
  <c r="AV26" i="21"/>
  <c r="AR26" i="21"/>
  <c r="AN26" i="21"/>
  <c r="AJ26" i="21"/>
  <c r="AF26" i="21"/>
  <c r="AB26" i="21"/>
  <c r="X26" i="21"/>
  <c r="Y26" i="24" s="1"/>
  <c r="T26" i="21"/>
  <c r="GM26" i="21"/>
  <c r="GI26" i="21"/>
  <c r="GE26" i="21"/>
  <c r="GA26" i="21"/>
  <c r="FW26" i="21"/>
  <c r="FS26" i="21"/>
  <c r="FO26" i="21"/>
  <c r="FP26" i="24" s="1"/>
  <c r="FK26" i="21"/>
  <c r="FG26" i="21"/>
  <c r="FC26" i="21"/>
  <c r="EY26" i="21"/>
  <c r="EU26" i="21"/>
  <c r="EQ26" i="21"/>
  <c r="EM26" i="21"/>
  <c r="EI26" i="21"/>
  <c r="EJ26" i="24" s="1"/>
  <c r="EE26" i="21"/>
  <c r="EA26" i="21"/>
  <c r="DW26" i="21"/>
  <c r="DS26" i="21"/>
  <c r="DO26" i="21"/>
  <c r="DK26" i="21"/>
  <c r="DG26" i="21"/>
  <c r="DC26" i="21"/>
  <c r="DD26" i="24" s="1"/>
  <c r="CY26" i="21"/>
  <c r="CU26" i="21"/>
  <c r="CQ26" i="21"/>
  <c r="CM26" i="21"/>
  <c r="CI26" i="21"/>
  <c r="CE26" i="21"/>
  <c r="CA26" i="21"/>
  <c r="BW26" i="21"/>
  <c r="BX26" i="24" s="1"/>
  <c r="BS26" i="21"/>
  <c r="BO26" i="21"/>
  <c r="BK26" i="21"/>
  <c r="BG26" i="21"/>
  <c r="BC26" i="21"/>
  <c r="AY26" i="21"/>
  <c r="AU26" i="21"/>
  <c r="AQ26" i="21"/>
  <c r="AR26" i="24" s="1"/>
  <c r="AM26" i="21"/>
  <c r="AI26" i="21"/>
  <c r="AE26" i="21"/>
  <c r="AA26" i="21"/>
  <c r="W26" i="21"/>
  <c r="S26" i="21"/>
  <c r="O27" i="21"/>
  <c r="GO30" i="21"/>
  <c r="GP30" i="24" s="1"/>
  <c r="GK30" i="21"/>
  <c r="GG30" i="21"/>
  <c r="GC30" i="21"/>
  <c r="FY30" i="21"/>
  <c r="FU30" i="21"/>
  <c r="FQ30" i="21"/>
  <c r="FM30" i="21"/>
  <c r="FI30" i="21"/>
  <c r="FJ30" i="24" s="1"/>
  <c r="FE30" i="21"/>
  <c r="FA30" i="21"/>
  <c r="EW30" i="21"/>
  <c r="ES30" i="21"/>
  <c r="EO30" i="21"/>
  <c r="EK30" i="21"/>
  <c r="EG30" i="21"/>
  <c r="EC30" i="21"/>
  <c r="ED30" i="24" s="1"/>
  <c r="DY30" i="21"/>
  <c r="DU30" i="21"/>
  <c r="DQ30" i="21"/>
  <c r="DM30" i="21"/>
  <c r="DI30" i="21"/>
  <c r="DE30" i="21"/>
  <c r="DA30" i="21"/>
  <c r="CW30" i="21"/>
  <c r="CX30" i="24" s="1"/>
  <c r="CS30" i="21"/>
  <c r="CO30" i="21"/>
  <c r="CK30" i="21"/>
  <c r="CG30" i="21"/>
  <c r="CC30" i="21"/>
  <c r="BY30" i="21"/>
  <c r="BU30" i="21"/>
  <c r="BQ30" i="21"/>
  <c r="BR30" i="24" s="1"/>
  <c r="BM30" i="21"/>
  <c r="BI30" i="21"/>
  <c r="BE30" i="21"/>
  <c r="BA30" i="21"/>
  <c r="AW30" i="21"/>
  <c r="AS30" i="21"/>
  <c r="AO30" i="21"/>
  <c r="AK30" i="21"/>
  <c r="AL30" i="24" s="1"/>
  <c r="AG30" i="21"/>
  <c r="AC30" i="21"/>
  <c r="Y30" i="21"/>
  <c r="U30" i="21"/>
  <c r="GN30" i="21"/>
  <c r="GJ30" i="21"/>
  <c r="GF30" i="21"/>
  <c r="GB30" i="21"/>
  <c r="GC30" i="24" s="1"/>
  <c r="FX30" i="21"/>
  <c r="FT30" i="21"/>
  <c r="FP30" i="21"/>
  <c r="FL30" i="21"/>
  <c r="FH30" i="21"/>
  <c r="FD30" i="21"/>
  <c r="EZ30" i="21"/>
  <c r="EV30" i="21"/>
  <c r="EW30" i="24" s="1"/>
  <c r="ER30" i="21"/>
  <c r="EN30" i="21"/>
  <c r="EJ30" i="21"/>
  <c r="EF30" i="21"/>
  <c r="EB30" i="21"/>
  <c r="DX30" i="21"/>
  <c r="DT30" i="21"/>
  <c r="DP30" i="21"/>
  <c r="DQ30" i="24" s="1"/>
  <c r="DL30" i="21"/>
  <c r="DH30" i="21"/>
  <c r="DD30" i="21"/>
  <c r="CZ30" i="21"/>
  <c r="CV30" i="21"/>
  <c r="CR30" i="21"/>
  <c r="CN30" i="21"/>
  <c r="CJ30" i="21"/>
  <c r="CK30" i="24" s="1"/>
  <c r="CF30" i="21"/>
  <c r="CB30" i="21"/>
  <c r="BX30" i="21"/>
  <c r="BT30" i="21"/>
  <c r="BP30" i="21"/>
  <c r="BL30" i="21"/>
  <c r="BH30" i="21"/>
  <c r="BD30" i="21"/>
  <c r="BE30" i="24" s="1"/>
  <c r="AZ30" i="21"/>
  <c r="AV30" i="21"/>
  <c r="AR30" i="21"/>
  <c r="AN30" i="21"/>
  <c r="AJ30" i="21"/>
  <c r="AF30" i="21"/>
  <c r="AB30" i="21"/>
  <c r="X30" i="21"/>
  <c r="Y30" i="24" s="1"/>
  <c r="T30" i="21"/>
  <c r="GM30" i="21"/>
  <c r="GI30" i="21"/>
  <c r="GE30" i="21"/>
  <c r="GA30" i="21"/>
  <c r="FW30" i="21"/>
  <c r="FS30" i="21"/>
  <c r="FO30" i="21"/>
  <c r="FP30" i="24" s="1"/>
  <c r="FK30" i="21"/>
  <c r="FG30" i="21"/>
  <c r="FC30" i="21"/>
  <c r="EY30" i="21"/>
  <c r="EU30" i="21"/>
  <c r="EQ30" i="21"/>
  <c r="EM30" i="21"/>
  <c r="EI30" i="21"/>
  <c r="EJ30" i="24" s="1"/>
  <c r="EE30" i="21"/>
  <c r="EA30" i="21"/>
  <c r="DW30" i="21"/>
  <c r="DS30" i="21"/>
  <c r="DO30" i="21"/>
  <c r="DK30" i="21"/>
  <c r="DG30" i="21"/>
  <c r="DC30" i="21"/>
  <c r="DD30" i="24" s="1"/>
  <c r="CY30" i="21"/>
  <c r="CU30" i="21"/>
  <c r="CQ30" i="21"/>
  <c r="CM30" i="21"/>
  <c r="CI30" i="21"/>
  <c r="CE30" i="21"/>
  <c r="CA30" i="21"/>
  <c r="BW30" i="21"/>
  <c r="BX30" i="24" s="1"/>
  <c r="BS30" i="21"/>
  <c r="BO30" i="21"/>
  <c r="BK30" i="21"/>
  <c r="BG30" i="21"/>
  <c r="BC30" i="21"/>
  <c r="AY30" i="21"/>
  <c r="AU30" i="21"/>
  <c r="AQ30" i="21"/>
  <c r="AR30" i="24" s="1"/>
  <c r="AM30" i="21"/>
  <c r="AI30" i="21"/>
  <c r="AE30" i="21"/>
  <c r="AA30" i="21"/>
  <c r="W30" i="21"/>
  <c r="S30" i="21"/>
  <c r="GP30" i="21"/>
  <c r="GL30" i="21"/>
  <c r="GH30" i="21"/>
  <c r="GD30" i="21"/>
  <c r="FZ30" i="21"/>
  <c r="FV30" i="21"/>
  <c r="FR30" i="21"/>
  <c r="FN30" i="21"/>
  <c r="FJ30" i="21"/>
  <c r="FF30" i="21"/>
  <c r="FB30" i="21"/>
  <c r="EX30" i="21"/>
  <c r="ET30" i="21"/>
  <c r="EP30" i="21"/>
  <c r="EL30" i="21"/>
  <c r="EH30" i="21"/>
  <c r="ED30" i="21"/>
  <c r="DZ30" i="21"/>
  <c r="DV30" i="21"/>
  <c r="DR30" i="21"/>
  <c r="DN30" i="21"/>
  <c r="DJ30" i="21"/>
  <c r="DF30" i="21"/>
  <c r="DB30" i="21"/>
  <c r="CX30" i="21"/>
  <c r="CT30" i="21"/>
  <c r="CP30" i="21"/>
  <c r="CL30" i="21"/>
  <c r="CH30" i="21"/>
  <c r="CD30" i="21"/>
  <c r="BZ30" i="21"/>
  <c r="BV30" i="21"/>
  <c r="BR30" i="21"/>
  <c r="BN30" i="21"/>
  <c r="BJ30" i="21"/>
  <c r="BF30" i="21"/>
  <c r="BB30" i="21"/>
  <c r="AX30" i="21"/>
  <c r="AT30" i="21"/>
  <c r="AP30" i="21"/>
  <c r="AL30" i="21"/>
  <c r="AH30" i="21"/>
  <c r="AD30" i="21"/>
  <c r="Z30" i="21"/>
  <c r="V30" i="21"/>
  <c r="O31" i="21"/>
  <c r="GO34" i="21"/>
  <c r="GK34" i="21"/>
  <c r="GG34" i="21"/>
  <c r="GC34" i="21"/>
  <c r="GD34" i="24" s="1"/>
  <c r="FY34" i="21"/>
  <c r="FU34" i="21"/>
  <c r="FQ34" i="21"/>
  <c r="FM34" i="21"/>
  <c r="FI34" i="21"/>
  <c r="FE34" i="21"/>
  <c r="FA34" i="21"/>
  <c r="EW34" i="21"/>
  <c r="EX34" i="24" s="1"/>
  <c r="ES34" i="21"/>
  <c r="EO34" i="21"/>
  <c r="EK34" i="21"/>
  <c r="EG34" i="21"/>
  <c r="EC34" i="21"/>
  <c r="DY34" i="21"/>
  <c r="DU34" i="21"/>
  <c r="DQ34" i="21"/>
  <c r="DR34" i="24" s="1"/>
  <c r="DM34" i="21"/>
  <c r="DI34" i="21"/>
  <c r="DE34" i="21"/>
  <c r="DA34" i="21"/>
  <c r="CW34" i="21"/>
  <c r="CS34" i="21"/>
  <c r="CO34" i="21"/>
  <c r="CK34" i="21"/>
  <c r="CL34" i="24" s="1"/>
  <c r="CG34" i="21"/>
  <c r="CC34" i="21"/>
  <c r="BY34" i="21"/>
  <c r="BU34" i="21"/>
  <c r="BQ34" i="21"/>
  <c r="BM34" i="21"/>
  <c r="BI34" i="21"/>
  <c r="BE34" i="21"/>
  <c r="BF34" i="24" s="1"/>
  <c r="BA34" i="21"/>
  <c r="AW34" i="21"/>
  <c r="AS34" i="21"/>
  <c r="AO34" i="21"/>
  <c r="AK34" i="21"/>
  <c r="AG34" i="21"/>
  <c r="AC34" i="21"/>
  <c r="Y34" i="21"/>
  <c r="Z34" i="24" s="1"/>
  <c r="U34" i="21"/>
  <c r="GN34" i="21"/>
  <c r="GJ34" i="21"/>
  <c r="GF34" i="21"/>
  <c r="GB34" i="21"/>
  <c r="FX34" i="21"/>
  <c r="FT34" i="21"/>
  <c r="FP34" i="21"/>
  <c r="FL34" i="21"/>
  <c r="FH34" i="21"/>
  <c r="FD34" i="21"/>
  <c r="EZ34" i="21"/>
  <c r="EV34" i="21"/>
  <c r="ER34" i="21"/>
  <c r="EN34" i="21"/>
  <c r="EJ34" i="21"/>
  <c r="EF34" i="21"/>
  <c r="EB34" i="21"/>
  <c r="DX34" i="21"/>
  <c r="DT34" i="21"/>
  <c r="DP34" i="21"/>
  <c r="DL34" i="21"/>
  <c r="DH34" i="21"/>
  <c r="DD34" i="21"/>
  <c r="CZ34" i="21"/>
  <c r="CV34" i="21"/>
  <c r="CR34" i="21"/>
  <c r="CN34" i="21"/>
  <c r="CJ34" i="21"/>
  <c r="CF34" i="21"/>
  <c r="CB34" i="21"/>
  <c r="BX34" i="21"/>
  <c r="BT34" i="21"/>
  <c r="BP34" i="21"/>
  <c r="BL34" i="21"/>
  <c r="BH34" i="21"/>
  <c r="BD34" i="21"/>
  <c r="AZ34" i="21"/>
  <c r="AV34" i="21"/>
  <c r="AR34" i="21"/>
  <c r="AN34" i="21"/>
  <c r="AJ34" i="21"/>
  <c r="AF34" i="21"/>
  <c r="AB34" i="21"/>
  <c r="X34" i="21"/>
  <c r="T34" i="21"/>
  <c r="GM34" i="21"/>
  <c r="GI34" i="21"/>
  <c r="GE34" i="21"/>
  <c r="GA34" i="21"/>
  <c r="FW34" i="21"/>
  <c r="FS34" i="21"/>
  <c r="FO34" i="21"/>
  <c r="FK34" i="21"/>
  <c r="FG34" i="21"/>
  <c r="FC34" i="21"/>
  <c r="EY34" i="21"/>
  <c r="EU34" i="21"/>
  <c r="EQ34" i="21"/>
  <c r="EM34" i="21"/>
  <c r="EI34" i="21"/>
  <c r="EE34" i="21"/>
  <c r="EA34" i="21"/>
  <c r="DW34" i="21"/>
  <c r="DS34" i="21"/>
  <c r="DO34" i="21"/>
  <c r="DK34" i="21"/>
  <c r="DG34" i="21"/>
  <c r="DC34" i="21"/>
  <c r="CY34" i="21"/>
  <c r="CU34" i="21"/>
  <c r="CQ34" i="21"/>
  <c r="CM34" i="21"/>
  <c r="CI34" i="21"/>
  <c r="CE34" i="21"/>
  <c r="CA34" i="21"/>
  <c r="BW34" i="21"/>
  <c r="BS34" i="21"/>
  <c r="BO34" i="21"/>
  <c r="BK34" i="21"/>
  <c r="BG34" i="21"/>
  <c r="BC34" i="21"/>
  <c r="AY34" i="21"/>
  <c r="AU34" i="21"/>
  <c r="AQ34" i="21"/>
  <c r="AM34" i="21"/>
  <c r="AI34" i="21"/>
  <c r="AE34" i="21"/>
  <c r="AA34" i="21"/>
  <c r="W34" i="21"/>
  <c r="S34" i="21"/>
  <c r="GP34" i="21"/>
  <c r="GL34" i="21"/>
  <c r="GH34" i="21"/>
  <c r="GD34" i="21"/>
  <c r="FZ34" i="21"/>
  <c r="GA34" i="24" s="1"/>
  <c r="FV34" i="21"/>
  <c r="FR34" i="21"/>
  <c r="FN34" i="21"/>
  <c r="FJ34" i="21"/>
  <c r="FF34" i="21"/>
  <c r="FB34" i="21"/>
  <c r="EX34" i="21"/>
  <c r="ET34" i="21"/>
  <c r="EU34" i="24" s="1"/>
  <c r="EP34" i="21"/>
  <c r="EL34" i="21"/>
  <c r="EH34" i="21"/>
  <c r="ED34" i="21"/>
  <c r="DZ34" i="21"/>
  <c r="DV34" i="21"/>
  <c r="DR34" i="21"/>
  <c r="DN34" i="21"/>
  <c r="DO34" i="24" s="1"/>
  <c r="DJ34" i="21"/>
  <c r="DF34" i="21"/>
  <c r="DB34" i="21"/>
  <c r="CX34" i="21"/>
  <c r="CT34" i="21"/>
  <c r="CP34" i="21"/>
  <c r="CL34" i="21"/>
  <c r="CH34" i="21"/>
  <c r="CI34" i="24" s="1"/>
  <c r="CD34" i="21"/>
  <c r="BZ34" i="21"/>
  <c r="BV34" i="21"/>
  <c r="BR34" i="21"/>
  <c r="BN34" i="21"/>
  <c r="BJ34" i="21"/>
  <c r="BF34" i="21"/>
  <c r="BB34" i="21"/>
  <c r="BC34" i="24" s="1"/>
  <c r="AX34" i="21"/>
  <c r="AT34" i="21"/>
  <c r="AP34" i="21"/>
  <c r="AL34" i="21"/>
  <c r="AH34" i="21"/>
  <c r="AD34" i="21"/>
  <c r="Z34" i="21"/>
  <c r="V34" i="21"/>
  <c r="W34" i="24" s="1"/>
  <c r="N34" i="21"/>
  <c r="P36" i="21"/>
  <c r="U12" i="21"/>
  <c r="Y12" i="21"/>
  <c r="AC12" i="21"/>
  <c r="AG12" i="21"/>
  <c r="AK12" i="21"/>
  <c r="AO12" i="21"/>
  <c r="AP12" i="24" s="1"/>
  <c r="AS12" i="21"/>
  <c r="AW12" i="21"/>
  <c r="BA12" i="21"/>
  <c r="BE12" i="21"/>
  <c r="BI12" i="21"/>
  <c r="BM12" i="21"/>
  <c r="BQ12" i="21"/>
  <c r="BU12" i="21"/>
  <c r="BV12" i="24" s="1"/>
  <c r="BY12" i="21"/>
  <c r="CC12" i="21"/>
  <c r="CG12" i="21"/>
  <c r="CK12" i="21"/>
  <c r="CO12" i="21"/>
  <c r="CS12" i="21"/>
  <c r="CW12" i="21"/>
  <c r="DA12" i="21"/>
  <c r="DB12" i="24" s="1"/>
  <c r="DE12" i="21"/>
  <c r="DI12" i="21"/>
  <c r="DM12" i="21"/>
  <c r="DQ12" i="21"/>
  <c r="DU12" i="21"/>
  <c r="DY12" i="21"/>
  <c r="EC12" i="21"/>
  <c r="EG12" i="21"/>
  <c r="EH12" i="24" s="1"/>
  <c r="EK12" i="21"/>
  <c r="EO12" i="21"/>
  <c r="ES12" i="21"/>
  <c r="EW12" i="21"/>
  <c r="FA12" i="21"/>
  <c r="FE12" i="21"/>
  <c r="FI12" i="21"/>
  <c r="FM12" i="21"/>
  <c r="FN12" i="24" s="1"/>
  <c r="FQ12" i="21"/>
  <c r="FU12" i="21"/>
  <c r="FY12" i="21"/>
  <c r="GC12" i="21"/>
  <c r="GG12" i="21"/>
  <c r="GK12" i="21"/>
  <c r="GO12" i="21"/>
  <c r="U13" i="21"/>
  <c r="V13" i="24" s="1"/>
  <c r="Y13" i="21"/>
  <c r="AC13" i="21"/>
  <c r="AG13" i="21"/>
  <c r="AK13" i="21"/>
  <c r="AO13" i="21"/>
  <c r="AS13" i="21"/>
  <c r="AW13" i="21"/>
  <c r="BA13" i="21"/>
  <c r="BB13" i="24" s="1"/>
  <c r="BE13" i="21"/>
  <c r="BI13" i="21"/>
  <c r="BM13" i="21"/>
  <c r="BQ13" i="21"/>
  <c r="BU13" i="21"/>
  <c r="BY13" i="21"/>
  <c r="CC13" i="21"/>
  <c r="CG13" i="21"/>
  <c r="CH13" i="24" s="1"/>
  <c r="CK13" i="21"/>
  <c r="CO13" i="21"/>
  <c r="CS13" i="21"/>
  <c r="CW13" i="21"/>
  <c r="DA13" i="21"/>
  <c r="DE13" i="21"/>
  <c r="DI13" i="21"/>
  <c r="DM13" i="21"/>
  <c r="DN13" i="24" s="1"/>
  <c r="DQ13" i="21"/>
  <c r="DU13" i="21"/>
  <c r="DY13" i="21"/>
  <c r="EC13" i="21"/>
  <c r="EG13" i="21"/>
  <c r="EK13" i="21"/>
  <c r="EO13" i="21"/>
  <c r="ES13" i="21"/>
  <c r="ET13" i="24" s="1"/>
  <c r="EW13" i="21"/>
  <c r="FA13" i="21"/>
  <c r="FE13" i="21"/>
  <c r="FI13" i="21"/>
  <c r="FM13" i="21"/>
  <c r="FQ13" i="21"/>
  <c r="FU13" i="21"/>
  <c r="FY13" i="21"/>
  <c r="FZ13" i="24" s="1"/>
  <c r="GC13" i="21"/>
  <c r="GG13" i="21"/>
  <c r="GK13" i="21"/>
  <c r="GO13" i="21"/>
  <c r="U14" i="21"/>
  <c r="Y14" i="21"/>
  <c r="AC14" i="21"/>
  <c r="AG14" i="21"/>
  <c r="AH14" i="24" s="1"/>
  <c r="AK14" i="21"/>
  <c r="AO14" i="21"/>
  <c r="AS14" i="21"/>
  <c r="AW14" i="21"/>
  <c r="BA14" i="21"/>
  <c r="BE14" i="21"/>
  <c r="BI14" i="21"/>
  <c r="BM14" i="21"/>
  <c r="BN14" i="24" s="1"/>
  <c r="BQ14" i="21"/>
  <c r="BU14" i="21"/>
  <c r="BY14" i="21"/>
  <c r="CC14" i="21"/>
  <c r="CG14" i="21"/>
  <c r="CK14" i="21"/>
  <c r="CO14" i="21"/>
  <c r="CS14" i="21"/>
  <c r="CT14" i="24" s="1"/>
  <c r="CW14" i="21"/>
  <c r="DA14" i="21"/>
  <c r="DE14" i="21"/>
  <c r="DI14" i="21"/>
  <c r="DM14" i="21"/>
  <c r="DQ14" i="21"/>
  <c r="DU14" i="21"/>
  <c r="DY14" i="21"/>
  <c r="DZ14" i="24" s="1"/>
  <c r="EC14" i="21"/>
  <c r="EG14" i="21"/>
  <c r="EK14" i="21"/>
  <c r="EO14" i="21"/>
  <c r="ES14" i="21"/>
  <c r="EW14" i="21"/>
  <c r="FA14" i="21"/>
  <c r="FE14" i="21"/>
  <c r="FF14" i="24" s="1"/>
  <c r="FI14" i="21"/>
  <c r="FM14" i="21"/>
  <c r="FQ14" i="21"/>
  <c r="FU14" i="21"/>
  <c r="FY14" i="21"/>
  <c r="GC14" i="21"/>
  <c r="GG14" i="21"/>
  <c r="GK14" i="21"/>
  <c r="GL14" i="24" s="1"/>
  <c r="GO14" i="21"/>
  <c r="U15" i="21"/>
  <c r="Y15" i="21"/>
  <c r="AC15" i="21"/>
  <c r="AG15" i="21"/>
  <c r="AK15" i="21"/>
  <c r="AO15" i="21"/>
  <c r="AS15" i="21"/>
  <c r="AT15" i="24" s="1"/>
  <c r="AW15" i="21"/>
  <c r="BA15" i="21"/>
  <c r="BE15" i="21"/>
  <c r="BI15" i="21"/>
  <c r="BM15" i="21"/>
  <c r="BQ15" i="21"/>
  <c r="BU15" i="21"/>
  <c r="BY15" i="21"/>
  <c r="BZ15" i="24" s="1"/>
  <c r="CC15" i="21"/>
  <c r="CG15" i="21"/>
  <c r="CK15" i="21"/>
  <c r="CO15" i="21"/>
  <c r="CS15" i="21"/>
  <c r="CW15" i="21"/>
  <c r="DA15" i="21"/>
  <c r="DE15" i="21"/>
  <c r="DF15" i="24" s="1"/>
  <c r="DI15" i="21"/>
  <c r="DM15" i="21"/>
  <c r="DQ15" i="21"/>
  <c r="DU15" i="21"/>
  <c r="DY15" i="21"/>
  <c r="EC15" i="21"/>
  <c r="EG15" i="21"/>
  <c r="EK15" i="21"/>
  <c r="EL15" i="24" s="1"/>
  <c r="EO15" i="21"/>
  <c r="ES15" i="21"/>
  <c r="EW15" i="21"/>
  <c r="FA15" i="21"/>
  <c r="FE15" i="21"/>
  <c r="FI15" i="21"/>
  <c r="FM15" i="21"/>
  <c r="FQ15" i="21"/>
  <c r="FR15" i="24" s="1"/>
  <c r="FU15" i="21"/>
  <c r="FY15" i="21"/>
  <c r="GC15" i="21"/>
  <c r="GG15" i="21"/>
  <c r="GK15" i="21"/>
  <c r="GO15" i="21"/>
  <c r="U16" i="21"/>
  <c r="Y16" i="21"/>
  <c r="Z16" i="24" s="1"/>
  <c r="AC16" i="21"/>
  <c r="AG16" i="21"/>
  <c r="AK16" i="21"/>
  <c r="AO16" i="21"/>
  <c r="AS16" i="21"/>
  <c r="AW16" i="21"/>
  <c r="BA16" i="21"/>
  <c r="BE16" i="21"/>
  <c r="BF16" i="24" s="1"/>
  <c r="BI16" i="21"/>
  <c r="BM16" i="21"/>
  <c r="BQ16" i="21"/>
  <c r="BU16" i="21"/>
  <c r="BY16" i="21"/>
  <c r="CC16" i="21"/>
  <c r="CG16" i="21"/>
  <c r="CK16" i="21"/>
  <c r="CL16" i="24" s="1"/>
  <c r="CO16" i="21"/>
  <c r="CS16" i="21"/>
  <c r="CW16" i="21"/>
  <c r="DA16" i="21"/>
  <c r="DE16" i="21"/>
  <c r="DI16" i="21"/>
  <c r="DM16" i="21"/>
  <c r="DQ16" i="21"/>
  <c r="DR16" i="24" s="1"/>
  <c r="DU16" i="21"/>
  <c r="DY16" i="21"/>
  <c r="EC16" i="21"/>
  <c r="EG16" i="21"/>
  <c r="EK16" i="21"/>
  <c r="EO16" i="21"/>
  <c r="ES16" i="21"/>
  <c r="EW16" i="21"/>
  <c r="EX16" i="24" s="1"/>
  <c r="FA16" i="21"/>
  <c r="FE16" i="21"/>
  <c r="FI16" i="21"/>
  <c r="FM16" i="21"/>
  <c r="FQ16" i="21"/>
  <c r="FU16" i="21"/>
  <c r="FY16" i="21"/>
  <c r="GC16" i="21"/>
  <c r="GD16" i="24" s="1"/>
  <c r="GG16" i="21"/>
  <c r="GK16" i="21"/>
  <c r="GO16" i="21"/>
  <c r="U17" i="21"/>
  <c r="Y17" i="21"/>
  <c r="AC17" i="21"/>
  <c r="AG17" i="21"/>
  <c r="AK17" i="21"/>
  <c r="AO17" i="21"/>
  <c r="AS17" i="21"/>
  <c r="AW17" i="21"/>
  <c r="BA17" i="21"/>
  <c r="BE17" i="21"/>
  <c r="BI17" i="21"/>
  <c r="BM17" i="21"/>
  <c r="BQ17" i="21"/>
  <c r="BU17" i="21"/>
  <c r="BY17" i="21"/>
  <c r="CC17" i="21"/>
  <c r="CG17" i="21"/>
  <c r="CK17" i="21"/>
  <c r="CO17" i="21"/>
  <c r="CS17" i="21"/>
  <c r="CW17" i="21"/>
  <c r="DA17" i="21"/>
  <c r="DE17" i="21"/>
  <c r="DI17" i="21"/>
  <c r="DM17" i="21"/>
  <c r="DQ17" i="21"/>
  <c r="DU17" i="21"/>
  <c r="DY17" i="21"/>
  <c r="EC17" i="21"/>
  <c r="EG17" i="21"/>
  <c r="EK17" i="21"/>
  <c r="EO17" i="21"/>
  <c r="ES17" i="21"/>
  <c r="EW17" i="21"/>
  <c r="FA17" i="21"/>
  <c r="FE17" i="21"/>
  <c r="FI17" i="21"/>
  <c r="FM17" i="21"/>
  <c r="FQ17" i="21"/>
  <c r="FU17" i="21"/>
  <c r="FY17" i="21"/>
  <c r="GC17" i="21"/>
  <c r="GG17" i="21"/>
  <c r="GK17" i="21"/>
  <c r="GO17" i="21"/>
  <c r="U18" i="21"/>
  <c r="Y18" i="21"/>
  <c r="AC18" i="21"/>
  <c r="AG18" i="21"/>
  <c r="AK18" i="21"/>
  <c r="AO18" i="21"/>
  <c r="AS18" i="21"/>
  <c r="AW18" i="21"/>
  <c r="BA18" i="21"/>
  <c r="BE18" i="21"/>
  <c r="BI18" i="21"/>
  <c r="BM18" i="21"/>
  <c r="BQ18" i="21"/>
  <c r="BU18" i="21"/>
  <c r="BY18" i="21"/>
  <c r="CC18" i="21"/>
  <c r="CG18" i="21"/>
  <c r="CK18" i="21"/>
  <c r="CO18" i="21"/>
  <c r="CS18" i="21"/>
  <c r="CW18" i="21"/>
  <c r="DA18" i="21"/>
  <c r="DE18" i="21"/>
  <c r="DI18" i="21"/>
  <c r="DM18" i="21"/>
  <c r="DQ18" i="21"/>
  <c r="DU18" i="21"/>
  <c r="DY18" i="21"/>
  <c r="EC18" i="21"/>
  <c r="EG18" i="21"/>
  <c r="EK18" i="21"/>
  <c r="EO18" i="21"/>
  <c r="ES18" i="21"/>
  <c r="EW18" i="21"/>
  <c r="FA18" i="21"/>
  <c r="FE18" i="21"/>
  <c r="FI18" i="21"/>
  <c r="FM18" i="21"/>
  <c r="FQ18" i="21"/>
  <c r="FU18" i="21"/>
  <c r="FY18" i="21"/>
  <c r="GC18" i="21"/>
  <c r="GG18" i="21"/>
  <c r="GK18" i="21"/>
  <c r="GO18" i="21"/>
  <c r="U19" i="21"/>
  <c r="Y19" i="21"/>
  <c r="AC19" i="21"/>
  <c r="AG19" i="21"/>
  <c r="AK19" i="21"/>
  <c r="AO19" i="21"/>
  <c r="AS19" i="21"/>
  <c r="AW19" i="21"/>
  <c r="BA19" i="21"/>
  <c r="BE19" i="21"/>
  <c r="BI19" i="21"/>
  <c r="BM19" i="21"/>
  <c r="BQ19" i="21"/>
  <c r="BU19" i="21"/>
  <c r="BY19" i="21"/>
  <c r="CC19" i="21"/>
  <c r="CG19" i="21"/>
  <c r="CK19" i="21"/>
  <c r="CO19" i="21"/>
  <c r="CS19" i="21"/>
  <c r="CW19" i="21"/>
  <c r="DA19" i="21"/>
  <c r="DE19" i="21"/>
  <c r="DI19" i="21"/>
  <c r="DM19" i="21"/>
  <c r="DQ19" i="21"/>
  <c r="DU19" i="21"/>
  <c r="DY19" i="21"/>
  <c r="EC19" i="21"/>
  <c r="EG19" i="21"/>
  <c r="EK19" i="21"/>
  <c r="EO19" i="21"/>
  <c r="ES19" i="21"/>
  <c r="EW19" i="21"/>
  <c r="FA19" i="21"/>
  <c r="FE19" i="21"/>
  <c r="FI19" i="21"/>
  <c r="FM19" i="21"/>
  <c r="FQ19" i="21"/>
  <c r="FU19" i="21"/>
  <c r="FY19" i="21"/>
  <c r="GC19" i="21"/>
  <c r="GG19" i="21"/>
  <c r="GK19" i="21"/>
  <c r="GO19" i="21"/>
  <c r="U20" i="21"/>
  <c r="Y20" i="21"/>
  <c r="AC20" i="21"/>
  <c r="AG20" i="21"/>
  <c r="AK20" i="21"/>
  <c r="AO20" i="21"/>
  <c r="AS20" i="21"/>
  <c r="AW20" i="21"/>
  <c r="BA20" i="21"/>
  <c r="BE20" i="21"/>
  <c r="BI20" i="21"/>
  <c r="BM20" i="21"/>
  <c r="BQ20" i="21"/>
  <c r="BU20" i="21"/>
  <c r="BY20" i="21"/>
  <c r="CC20" i="21"/>
  <c r="CG20" i="21"/>
  <c r="CK20" i="21"/>
  <c r="CO20" i="21"/>
  <c r="CS20" i="21"/>
  <c r="CW20" i="21"/>
  <c r="DA20" i="21"/>
  <c r="DE20" i="21"/>
  <c r="DI20" i="21"/>
  <c r="DM20" i="21"/>
  <c r="DQ20" i="21"/>
  <c r="DU20" i="21"/>
  <c r="DY20" i="21"/>
  <c r="EC20" i="21"/>
  <c r="EG20" i="21"/>
  <c r="EH20" i="24" s="1"/>
  <c r="EK20" i="21"/>
  <c r="EO20" i="21"/>
  <c r="ES20" i="21"/>
  <c r="EW20" i="21"/>
  <c r="FA20" i="21"/>
  <c r="FE20" i="21"/>
  <c r="FI20" i="21"/>
  <c r="FM20" i="21"/>
  <c r="FN20" i="24" s="1"/>
  <c r="FQ20" i="21"/>
  <c r="FU20" i="21"/>
  <c r="FY20" i="21"/>
  <c r="GC20" i="21"/>
  <c r="GG20" i="21"/>
  <c r="GK20" i="21"/>
  <c r="GO20" i="21"/>
  <c r="U21" i="21"/>
  <c r="V21" i="24" s="1"/>
  <c r="Y21" i="21"/>
  <c r="AC21" i="21"/>
  <c r="AG21" i="21"/>
  <c r="AK21" i="21"/>
  <c r="AO21" i="21"/>
  <c r="AS21" i="21"/>
  <c r="AW21" i="21"/>
  <c r="BA21" i="21"/>
  <c r="BB21" i="24" s="1"/>
  <c r="BE21" i="21"/>
  <c r="BI21" i="21"/>
  <c r="BM21" i="21"/>
  <c r="BQ21" i="21"/>
  <c r="BU21" i="21"/>
  <c r="BY21" i="21"/>
  <c r="CC21" i="21"/>
  <c r="CG21" i="21"/>
  <c r="CH21" i="24" s="1"/>
  <c r="CK21" i="21"/>
  <c r="CO21" i="21"/>
  <c r="CS21" i="21"/>
  <c r="CW21" i="21"/>
  <c r="DA21" i="21"/>
  <c r="DE21" i="21"/>
  <c r="DI21" i="21"/>
  <c r="DM21" i="21"/>
  <c r="DN21" i="24" s="1"/>
  <c r="DQ21" i="21"/>
  <c r="DU21" i="21"/>
  <c r="DY21" i="21"/>
  <c r="EC21" i="21"/>
  <c r="EG21" i="21"/>
  <c r="EK21" i="21"/>
  <c r="EO21" i="21"/>
  <c r="ES21" i="21"/>
  <c r="ET21" i="24" s="1"/>
  <c r="EW21" i="21"/>
  <c r="FA21" i="21"/>
  <c r="FE21" i="21"/>
  <c r="FI21" i="21"/>
  <c r="FM21" i="21"/>
  <c r="FQ21" i="21"/>
  <c r="FU21" i="21"/>
  <c r="FY21" i="21"/>
  <c r="FZ21" i="24" s="1"/>
  <c r="GC21" i="21"/>
  <c r="GG21" i="21"/>
  <c r="GK21" i="21"/>
  <c r="GO21" i="21"/>
  <c r="U22" i="21"/>
  <c r="Y22" i="21"/>
  <c r="AC22" i="21"/>
  <c r="AG22" i="21"/>
  <c r="AH22" i="24" s="1"/>
  <c r="AK22" i="21"/>
  <c r="AO22" i="21"/>
  <c r="AS22" i="21"/>
  <c r="AW22" i="21"/>
  <c r="BA22" i="21"/>
  <c r="BE22" i="21"/>
  <c r="BI22" i="21"/>
  <c r="BM22" i="21"/>
  <c r="BN22" i="24" s="1"/>
  <c r="BQ22" i="21"/>
  <c r="BU22" i="21"/>
  <c r="BY22" i="21"/>
  <c r="CC22" i="21"/>
  <c r="CG22" i="21"/>
  <c r="CK22" i="21"/>
  <c r="CO22" i="21"/>
  <c r="CS22" i="21"/>
  <c r="CT22" i="24" s="1"/>
  <c r="CW22" i="21"/>
  <c r="DA22" i="21"/>
  <c r="DE22" i="21"/>
  <c r="DI22" i="21"/>
  <c r="DM22" i="21"/>
  <c r="DQ22" i="21"/>
  <c r="DU22" i="21"/>
  <c r="DY22" i="21"/>
  <c r="DZ22" i="24" s="1"/>
  <c r="EC22" i="21"/>
  <c r="EG22" i="21"/>
  <c r="EK22" i="21"/>
  <c r="EO22" i="21"/>
  <c r="ES22" i="21"/>
  <c r="EW22" i="21"/>
  <c r="FA22" i="21"/>
  <c r="FE22" i="21"/>
  <c r="FF22" i="24" s="1"/>
  <c r="FI22" i="21"/>
  <c r="FM22" i="21"/>
  <c r="FQ22" i="21"/>
  <c r="FU22" i="21"/>
  <c r="FY22" i="21"/>
  <c r="GC22" i="21"/>
  <c r="GG22" i="21"/>
  <c r="GK22" i="21"/>
  <c r="GL22" i="24" s="1"/>
  <c r="GO22" i="21"/>
  <c r="U23" i="21"/>
  <c r="Y23" i="21"/>
  <c r="AC23" i="21"/>
  <c r="AG23" i="21"/>
  <c r="AK23" i="21"/>
  <c r="AO23" i="21"/>
  <c r="AS23" i="21"/>
  <c r="AT23" i="23" s="1"/>
  <c r="AW23" i="21"/>
  <c r="BA23" i="21"/>
  <c r="BE23" i="21"/>
  <c r="BI23" i="21"/>
  <c r="BM23" i="21"/>
  <c r="BQ23" i="21"/>
  <c r="BU23" i="21"/>
  <c r="BY23" i="21"/>
  <c r="BZ23" i="23" s="1"/>
  <c r="CC23" i="21"/>
  <c r="CG23" i="21"/>
  <c r="CK23" i="21"/>
  <c r="CO23" i="21"/>
  <c r="CS23" i="21"/>
  <c r="CW23" i="21"/>
  <c r="DA23" i="21"/>
  <c r="DE23" i="21"/>
  <c r="DF23" i="23" s="1"/>
  <c r="DI23" i="21"/>
  <c r="DM23" i="21"/>
  <c r="DQ23" i="21"/>
  <c r="DU23" i="21"/>
  <c r="DY23" i="21"/>
  <c r="EC23" i="21"/>
  <c r="EG23" i="21"/>
  <c r="EK23" i="21"/>
  <c r="EL23" i="23" s="1"/>
  <c r="EO23" i="21"/>
  <c r="ES23" i="21"/>
  <c r="EW23" i="21"/>
  <c r="FA23" i="21"/>
  <c r="FE23" i="21"/>
  <c r="FI23" i="21"/>
  <c r="FM23" i="21"/>
  <c r="FQ23" i="21"/>
  <c r="FR23" i="23" s="1"/>
  <c r="FU23" i="21"/>
  <c r="FY23" i="21"/>
  <c r="GC23" i="21"/>
  <c r="GG23" i="21"/>
  <c r="GK23" i="21"/>
  <c r="GO23" i="21"/>
  <c r="U24" i="21"/>
  <c r="Y24" i="21"/>
  <c r="Z24" i="24" s="1"/>
  <c r="AC24" i="21"/>
  <c r="AG24" i="21"/>
  <c r="AK24" i="21"/>
  <c r="AO24" i="21"/>
  <c r="AS24" i="21"/>
  <c r="AW24" i="21"/>
  <c r="BA24" i="21"/>
  <c r="BE24" i="21"/>
  <c r="BF24" i="24" s="1"/>
  <c r="BI24" i="21"/>
  <c r="BM24" i="21"/>
  <c r="BQ24" i="21"/>
  <c r="BU24" i="21"/>
  <c r="BY24" i="21"/>
  <c r="CC24" i="21"/>
  <c r="CG24" i="21"/>
  <c r="CK24" i="21"/>
  <c r="CL24" i="24" s="1"/>
  <c r="CO24" i="21"/>
  <c r="CS24" i="21"/>
  <c r="CW24" i="21"/>
  <c r="DA24" i="21"/>
  <c r="DE24" i="21"/>
  <c r="DI24" i="21"/>
  <c r="DM24" i="21"/>
  <c r="DQ24" i="21"/>
  <c r="DR24" i="24" s="1"/>
  <c r="DU24" i="21"/>
  <c r="DY24" i="21"/>
  <c r="EC24" i="21"/>
  <c r="EG24" i="21"/>
  <c r="EK24" i="21"/>
  <c r="EO24" i="21"/>
  <c r="ES24" i="21"/>
  <c r="EW24" i="21"/>
  <c r="EX24" i="24" s="1"/>
  <c r="FA24" i="21"/>
  <c r="FE24" i="21"/>
  <c r="FI24" i="21"/>
  <c r="FM24" i="21"/>
  <c r="FQ24" i="21"/>
  <c r="FU24" i="21"/>
  <c r="FY24" i="21"/>
  <c r="GC24" i="21"/>
  <c r="GD24" i="24" s="1"/>
  <c r="GG24" i="21"/>
  <c r="GK24" i="21"/>
  <c r="GO24" i="21"/>
  <c r="U25" i="21"/>
  <c r="Y25" i="21"/>
  <c r="AC25" i="21"/>
  <c r="AG25" i="21"/>
  <c r="AK25" i="21"/>
  <c r="AL25" i="24" s="1"/>
  <c r="AO25" i="21"/>
  <c r="AS25" i="21"/>
  <c r="AW25" i="21"/>
  <c r="BA25" i="21"/>
  <c r="BE25" i="21"/>
  <c r="BI25" i="21"/>
  <c r="BM25" i="21"/>
  <c r="BQ25" i="21"/>
  <c r="BR25" i="24" s="1"/>
  <c r="BU25" i="21"/>
  <c r="BY25" i="21"/>
  <c r="CC25" i="21"/>
  <c r="CG25" i="21"/>
  <c r="CK25" i="21"/>
  <c r="CO25" i="21"/>
  <c r="CS25" i="21"/>
  <c r="CW25" i="21"/>
  <c r="CX25" i="24" s="1"/>
  <c r="DB25" i="21"/>
  <c r="DJ25" i="21"/>
  <c r="DR25" i="21"/>
  <c r="DZ25" i="21"/>
  <c r="EH25" i="21"/>
  <c r="EP25" i="21"/>
  <c r="EX25" i="21"/>
  <c r="FF25" i="21"/>
  <c r="FG25" i="24" s="1"/>
  <c r="FN25" i="21"/>
  <c r="FV25" i="21"/>
  <c r="GD25" i="21"/>
  <c r="V26" i="21"/>
  <c r="AD26" i="21"/>
  <c r="AL26" i="21"/>
  <c r="AT26" i="21"/>
  <c r="BB26" i="21"/>
  <c r="BC26" i="24" s="1"/>
  <c r="BJ26" i="21"/>
  <c r="BR26" i="21"/>
  <c r="BZ26" i="21"/>
  <c r="CH26" i="21"/>
  <c r="CP26" i="21"/>
  <c r="CX26" i="21"/>
  <c r="DF26" i="21"/>
  <c r="DN26" i="21"/>
  <c r="DO26" i="24" s="1"/>
  <c r="DV26" i="21"/>
  <c r="ED26" i="21"/>
  <c r="EL26" i="21"/>
  <c r="ET26" i="21"/>
  <c r="FB26" i="21"/>
  <c r="FJ26" i="21"/>
  <c r="FR26" i="21"/>
  <c r="FZ26" i="21"/>
  <c r="GA26" i="24" s="1"/>
  <c r="GH26" i="21"/>
  <c r="GP26" i="21"/>
  <c r="Z27" i="21"/>
  <c r="AH27" i="21"/>
  <c r="AP27" i="21"/>
  <c r="AX27" i="21"/>
  <c r="BF27" i="21"/>
  <c r="BN27" i="21"/>
  <c r="BO27" i="24" s="1"/>
  <c r="BV27" i="21"/>
  <c r="CD27" i="21"/>
  <c r="CL27" i="21"/>
  <c r="CT27" i="21"/>
  <c r="DB27" i="21"/>
  <c r="DJ27" i="21"/>
  <c r="DR27" i="21"/>
  <c r="DZ27" i="21"/>
  <c r="EH27" i="21"/>
  <c r="EP27" i="21"/>
  <c r="EX27" i="21"/>
  <c r="FF27" i="21"/>
  <c r="FN27" i="21"/>
  <c r="FV27" i="21"/>
  <c r="GD27" i="21"/>
  <c r="GL27" i="21"/>
  <c r="GM27" i="24" s="1"/>
  <c r="V28" i="21"/>
  <c r="AD28" i="21"/>
  <c r="AL28" i="21"/>
  <c r="AT28" i="21"/>
  <c r="BB28" i="21"/>
  <c r="BJ28" i="21"/>
  <c r="BR28" i="21"/>
  <c r="BZ28" i="21"/>
  <c r="CA28" i="24" s="1"/>
  <c r="CH28" i="21"/>
  <c r="CP28" i="21"/>
  <c r="CX28" i="21"/>
  <c r="DF28" i="21"/>
  <c r="DN28" i="21"/>
  <c r="DV28" i="21"/>
  <c r="ED28" i="21"/>
  <c r="EL28" i="21"/>
  <c r="EM28" i="24" s="1"/>
  <c r="ET28" i="21"/>
  <c r="FB28" i="21"/>
  <c r="FJ28" i="21"/>
  <c r="FR28" i="21"/>
  <c r="FZ28" i="21"/>
  <c r="GH28" i="21"/>
  <c r="GP28" i="21"/>
  <c r="Z29" i="21"/>
  <c r="AA29" i="24" s="1"/>
  <c r="AH29" i="21"/>
  <c r="AP29" i="21"/>
  <c r="AX29" i="21"/>
  <c r="BF29" i="21"/>
  <c r="BN29" i="21"/>
  <c r="BV29" i="21"/>
  <c r="CD29" i="21"/>
  <c r="CL29" i="21"/>
  <c r="CM29" i="24" s="1"/>
  <c r="CT29" i="21"/>
  <c r="DB29" i="21"/>
  <c r="DJ29" i="21"/>
  <c r="DR29" i="21"/>
  <c r="DZ29" i="21"/>
  <c r="P13" i="25"/>
  <c r="P13" i="24"/>
  <c r="P13" i="23"/>
  <c r="P13" i="22"/>
  <c r="N19" i="25"/>
  <c r="N19" i="24"/>
  <c r="N19" i="23"/>
  <c r="N19" i="22"/>
  <c r="N23" i="25"/>
  <c r="N23" i="24"/>
  <c r="N23" i="23"/>
  <c r="N23" i="22"/>
  <c r="N27" i="25"/>
  <c r="N27" i="24"/>
  <c r="N27" i="23"/>
  <c r="N27" i="22"/>
  <c r="P29" i="25"/>
  <c r="P29" i="24"/>
  <c r="P29" i="23"/>
  <c r="P29" i="22"/>
  <c r="O32" i="25"/>
  <c r="O32" i="24"/>
  <c r="O32" i="23"/>
  <c r="O32" i="22"/>
  <c r="O36" i="25"/>
  <c r="O36" i="24"/>
  <c r="O36" i="23"/>
  <c r="O36" i="22"/>
  <c r="P12" i="25"/>
  <c r="P12" i="24"/>
  <c r="P12" i="23"/>
  <c r="P12" i="22"/>
  <c r="O15" i="25"/>
  <c r="O15" i="24"/>
  <c r="O15" i="23"/>
  <c r="O15" i="22"/>
  <c r="O19" i="25"/>
  <c r="O19" i="24"/>
  <c r="O19" i="23"/>
  <c r="O19" i="22"/>
  <c r="N22" i="25"/>
  <c r="N22" i="24"/>
  <c r="N22" i="23"/>
  <c r="N22" i="22"/>
  <c r="N26" i="25"/>
  <c r="N26" i="24"/>
  <c r="N26" i="23"/>
  <c r="N26" i="22"/>
  <c r="P28" i="25"/>
  <c r="P28" i="24"/>
  <c r="P28" i="23"/>
  <c r="P28" i="22"/>
  <c r="N30" i="25"/>
  <c r="N30" i="24"/>
  <c r="N30" i="23"/>
  <c r="N30" i="22"/>
  <c r="P32" i="25"/>
  <c r="P32" i="24"/>
  <c r="P32" i="23"/>
  <c r="P32" i="22"/>
  <c r="O35" i="25"/>
  <c r="O35" i="24"/>
  <c r="O35" i="23"/>
  <c r="O35" i="22"/>
  <c r="N12" i="25"/>
  <c r="N12" i="24"/>
  <c r="N12" i="23"/>
  <c r="N12" i="22"/>
  <c r="O13" i="25"/>
  <c r="O13" i="24"/>
  <c r="O13" i="23"/>
  <c r="O13" i="22"/>
  <c r="P14" i="25"/>
  <c r="P14" i="24"/>
  <c r="P14" i="23"/>
  <c r="P14" i="22"/>
  <c r="N16" i="25"/>
  <c r="N16" i="24"/>
  <c r="N16" i="23"/>
  <c r="N16" i="22"/>
  <c r="O17" i="25"/>
  <c r="O17" i="24"/>
  <c r="O17" i="23"/>
  <c r="O17" i="22"/>
  <c r="P18" i="25"/>
  <c r="P18" i="24"/>
  <c r="P18" i="23"/>
  <c r="P18" i="22"/>
  <c r="N20" i="25"/>
  <c r="N20" i="24"/>
  <c r="N20" i="23"/>
  <c r="N20" i="22"/>
  <c r="O21" i="25"/>
  <c r="O21" i="24"/>
  <c r="O21" i="23"/>
  <c r="O21" i="22"/>
  <c r="P22" i="25"/>
  <c r="P22" i="24"/>
  <c r="P22" i="23"/>
  <c r="P22" i="22"/>
  <c r="N24" i="25"/>
  <c r="N24" i="24"/>
  <c r="N24" i="23"/>
  <c r="N24" i="22"/>
  <c r="O25" i="25"/>
  <c r="O25" i="24"/>
  <c r="O25" i="23"/>
  <c r="O25" i="22"/>
  <c r="P26" i="25"/>
  <c r="P26" i="24"/>
  <c r="P26" i="23"/>
  <c r="P26" i="22"/>
  <c r="N28" i="25"/>
  <c r="N28" i="24"/>
  <c r="N28" i="23"/>
  <c r="N28" i="22"/>
  <c r="O29" i="25"/>
  <c r="O29" i="24"/>
  <c r="O29" i="23"/>
  <c r="O29" i="22"/>
  <c r="P30" i="25"/>
  <c r="P30" i="24"/>
  <c r="P30" i="23"/>
  <c r="P30" i="22"/>
  <c r="N32" i="25"/>
  <c r="N32" i="24"/>
  <c r="N32" i="23"/>
  <c r="N32" i="22"/>
  <c r="O33" i="25"/>
  <c r="O33" i="24"/>
  <c r="O33" i="23"/>
  <c r="O33" i="22"/>
  <c r="P34" i="25"/>
  <c r="P34" i="24"/>
  <c r="P34" i="23"/>
  <c r="P34" i="22"/>
  <c r="N36" i="25"/>
  <c r="N36" i="24"/>
  <c r="N36" i="23"/>
  <c r="N36" i="22"/>
  <c r="O37" i="25"/>
  <c r="O37" i="24"/>
  <c r="O37" i="23"/>
  <c r="O37" i="22"/>
  <c r="Q12" i="17"/>
  <c r="R13" i="17"/>
  <c r="P15" i="17"/>
  <c r="Q16" i="17"/>
  <c r="P19" i="17"/>
  <c r="Q20" i="17"/>
  <c r="R21" i="17"/>
  <c r="FN23" i="23"/>
  <c r="EH23" i="23"/>
  <c r="DB23" i="23"/>
  <c r="BV23" i="23"/>
  <c r="AP23" i="23"/>
  <c r="GG23" i="22"/>
  <c r="FA23" i="22"/>
  <c r="DU23" i="22"/>
  <c r="CO23" i="22"/>
  <c r="BI23" i="22"/>
  <c r="AC23" i="22"/>
  <c r="FT23" i="23"/>
  <c r="EN23" i="23"/>
  <c r="DH23" i="23"/>
  <c r="CB23" i="23"/>
  <c r="AV23" i="23"/>
  <c r="GM23" i="23"/>
  <c r="FG23" i="23"/>
  <c r="EA23" i="23"/>
  <c r="CU23" i="23"/>
  <c r="BO23" i="23"/>
  <c r="AI23" i="23"/>
  <c r="P23" i="17"/>
  <c r="Q24" i="17"/>
  <c r="R25" i="17"/>
  <c r="P27" i="17"/>
  <c r="Q28" i="17"/>
  <c r="R29" i="17"/>
  <c r="P31" i="17"/>
  <c r="Q32" i="17"/>
  <c r="R33" i="17"/>
  <c r="P35" i="17"/>
  <c r="Q36" i="17"/>
  <c r="N13" i="21"/>
  <c r="O14" i="21"/>
  <c r="P15" i="21"/>
  <c r="N17" i="21"/>
  <c r="O18" i="21"/>
  <c r="P19" i="21"/>
  <c r="N21" i="21"/>
  <c r="O22" i="21"/>
  <c r="P23" i="21"/>
  <c r="GN25" i="21"/>
  <c r="GO25" i="24" s="1"/>
  <c r="GJ25" i="21"/>
  <c r="GF25" i="21"/>
  <c r="GB25" i="21"/>
  <c r="GC25" i="24" s="1"/>
  <c r="FX25" i="21"/>
  <c r="FY25" i="24" s="1"/>
  <c r="FT25" i="21"/>
  <c r="FP25" i="21"/>
  <c r="FL25" i="21"/>
  <c r="FH25" i="21"/>
  <c r="FI25" i="24" s="1"/>
  <c r="FD25" i="21"/>
  <c r="EZ25" i="21"/>
  <c r="EV25" i="21"/>
  <c r="EW25" i="24" s="1"/>
  <c r="ER25" i="21"/>
  <c r="ES25" i="24" s="1"/>
  <c r="EN25" i="21"/>
  <c r="EJ25" i="21"/>
  <c r="EF25" i="21"/>
  <c r="EB25" i="21"/>
  <c r="EC25" i="24" s="1"/>
  <c r="DX25" i="21"/>
  <c r="DT25" i="21"/>
  <c r="DP25" i="21"/>
  <c r="DQ25" i="24" s="1"/>
  <c r="DL25" i="21"/>
  <c r="DM25" i="24" s="1"/>
  <c r="DH25" i="21"/>
  <c r="DD25" i="21"/>
  <c r="CZ25" i="21"/>
  <c r="GM25" i="21"/>
  <c r="GI25" i="21"/>
  <c r="GE25" i="21"/>
  <c r="GA25" i="21"/>
  <c r="GB25" i="24" s="1"/>
  <c r="FW25" i="21"/>
  <c r="FS25" i="21"/>
  <c r="FO25" i="21"/>
  <c r="FK25" i="21"/>
  <c r="FG25" i="21"/>
  <c r="FC25" i="21"/>
  <c r="EY25" i="21"/>
  <c r="EU25" i="21"/>
  <c r="EV25" i="24" s="1"/>
  <c r="EQ25" i="21"/>
  <c r="EM25" i="21"/>
  <c r="EI25" i="21"/>
  <c r="EE25" i="21"/>
  <c r="EA25" i="21"/>
  <c r="DW25" i="21"/>
  <c r="DS25" i="21"/>
  <c r="DO25" i="21"/>
  <c r="DP25" i="24" s="1"/>
  <c r="DK25" i="21"/>
  <c r="DG25" i="21"/>
  <c r="DC25" i="21"/>
  <c r="N25" i="21"/>
  <c r="O26" i="21"/>
  <c r="P27" i="21"/>
  <c r="GO29" i="21"/>
  <c r="GK29" i="21"/>
  <c r="GL29" i="24" s="1"/>
  <c r="GG29" i="21"/>
  <c r="GH29" i="24" s="1"/>
  <c r="GC29" i="21"/>
  <c r="FY29" i="21"/>
  <c r="FU29" i="21"/>
  <c r="FQ29" i="21"/>
  <c r="FR29" i="24" s="1"/>
  <c r="FM29" i="21"/>
  <c r="FI29" i="21"/>
  <c r="FE29" i="21"/>
  <c r="FF29" i="24" s="1"/>
  <c r="FA29" i="21"/>
  <c r="FB29" i="24" s="1"/>
  <c r="EW29" i="21"/>
  <c r="GN29" i="21"/>
  <c r="GJ29" i="21"/>
  <c r="GF29" i="21"/>
  <c r="GG29" i="24" s="1"/>
  <c r="GB29" i="21"/>
  <c r="FX29" i="21"/>
  <c r="FT29" i="21"/>
  <c r="FU29" i="24" s="1"/>
  <c r="FP29" i="21"/>
  <c r="FQ29" i="24" s="1"/>
  <c r="FL29" i="21"/>
  <c r="FH29" i="21"/>
  <c r="FD29" i="21"/>
  <c r="EZ29" i="21"/>
  <c r="FA29" i="24" s="1"/>
  <c r="EV29" i="21"/>
  <c r="ER29" i="21"/>
  <c r="EN29" i="21"/>
  <c r="EO29" i="24" s="1"/>
  <c r="EJ29" i="21"/>
  <c r="EK29" i="24" s="1"/>
  <c r="EF29" i="21"/>
  <c r="EB29" i="21"/>
  <c r="DX29" i="21"/>
  <c r="DT29" i="21"/>
  <c r="DU29" i="24" s="1"/>
  <c r="DP29" i="21"/>
  <c r="DL29" i="21"/>
  <c r="DH29" i="21"/>
  <c r="DI29" i="24" s="1"/>
  <c r="DD29" i="21"/>
  <c r="DE29" i="24" s="1"/>
  <c r="CZ29" i="21"/>
  <c r="CV29" i="21"/>
  <c r="CR29" i="21"/>
  <c r="CN29" i="21"/>
  <c r="CO29" i="24" s="1"/>
  <c r="CJ29" i="21"/>
  <c r="CF29" i="21"/>
  <c r="CB29" i="21"/>
  <c r="CC29" i="24" s="1"/>
  <c r="BX29" i="21"/>
  <c r="BY29" i="24" s="1"/>
  <c r="BT29" i="21"/>
  <c r="BP29" i="21"/>
  <c r="BL29" i="21"/>
  <c r="BH29" i="21"/>
  <c r="BI29" i="24" s="1"/>
  <c r="BD29" i="21"/>
  <c r="AZ29" i="21"/>
  <c r="AV29" i="21"/>
  <c r="AW29" i="24" s="1"/>
  <c r="AR29" i="21"/>
  <c r="AS29" i="24" s="1"/>
  <c r="AN29" i="21"/>
  <c r="AJ29" i="21"/>
  <c r="AF29" i="21"/>
  <c r="AB29" i="21"/>
  <c r="AC29" i="24" s="1"/>
  <c r="X29" i="21"/>
  <c r="T29" i="21"/>
  <c r="GM29" i="21"/>
  <c r="GN29" i="24" s="1"/>
  <c r="GI29" i="21"/>
  <c r="GJ29" i="24" s="1"/>
  <c r="GE29" i="21"/>
  <c r="GA29" i="21"/>
  <c r="FW29" i="21"/>
  <c r="FS29" i="21"/>
  <c r="FT29" i="24" s="1"/>
  <c r="FO29" i="21"/>
  <c r="FK29" i="21"/>
  <c r="FG29" i="21"/>
  <c r="FH29" i="24" s="1"/>
  <c r="FC29" i="21"/>
  <c r="FD29" i="24" s="1"/>
  <c r="EY29" i="21"/>
  <c r="EU29" i="21"/>
  <c r="EQ29" i="21"/>
  <c r="EM29" i="21"/>
  <c r="EN29" i="24" s="1"/>
  <c r="EI29" i="21"/>
  <c r="EE29" i="21"/>
  <c r="EA29" i="21"/>
  <c r="EB29" i="24" s="1"/>
  <c r="DW29" i="21"/>
  <c r="DX29" i="24" s="1"/>
  <c r="DS29" i="21"/>
  <c r="DO29" i="21"/>
  <c r="DK29" i="21"/>
  <c r="DG29" i="21"/>
  <c r="DH29" i="24" s="1"/>
  <c r="DC29" i="21"/>
  <c r="CY29" i="21"/>
  <c r="CU29" i="21"/>
  <c r="CV29" i="24" s="1"/>
  <c r="CQ29" i="21"/>
  <c r="CR29" i="24" s="1"/>
  <c r="CM29" i="21"/>
  <c r="CI29" i="21"/>
  <c r="CE29" i="21"/>
  <c r="CA29" i="21"/>
  <c r="CB29" i="24" s="1"/>
  <c r="BW29" i="21"/>
  <c r="BS29" i="21"/>
  <c r="BO29" i="21"/>
  <c r="BP29" i="24" s="1"/>
  <c r="BK29" i="21"/>
  <c r="BL29" i="24" s="1"/>
  <c r="BG29" i="21"/>
  <c r="BC29" i="21"/>
  <c r="AY29" i="21"/>
  <c r="AU29" i="21"/>
  <c r="AV29" i="24" s="1"/>
  <c r="AQ29" i="21"/>
  <c r="AM29" i="21"/>
  <c r="AI29" i="21"/>
  <c r="AJ29" i="24" s="1"/>
  <c r="AE29" i="21"/>
  <c r="AF29" i="24" s="1"/>
  <c r="AA29" i="21"/>
  <c r="W29" i="21"/>
  <c r="S29" i="21"/>
  <c r="GP29" i="21"/>
  <c r="GL29" i="21"/>
  <c r="GH29" i="21"/>
  <c r="GD29" i="21"/>
  <c r="GE29" i="24" s="1"/>
  <c r="FZ29" i="21"/>
  <c r="GA29" i="24" s="1"/>
  <c r="FV29" i="21"/>
  <c r="FR29" i="21"/>
  <c r="FN29" i="21"/>
  <c r="FJ29" i="21"/>
  <c r="FK29" i="24" s="1"/>
  <c r="FF29" i="21"/>
  <c r="FB29" i="21"/>
  <c r="EX29" i="21"/>
  <c r="EY29" i="24" s="1"/>
  <c r="ET29" i="21"/>
  <c r="EU29" i="24" s="1"/>
  <c r="EP29" i="21"/>
  <c r="EL29" i="21"/>
  <c r="EH29" i="21"/>
  <c r="N29" i="21"/>
  <c r="O30" i="21"/>
  <c r="P31" i="21"/>
  <c r="GO33" i="21"/>
  <c r="GP33" i="24" s="1"/>
  <c r="GK33" i="21"/>
  <c r="GL33" i="24" s="1"/>
  <c r="GG33" i="21"/>
  <c r="GC33" i="21"/>
  <c r="FY33" i="21"/>
  <c r="FU33" i="21"/>
  <c r="FV33" i="24" s="1"/>
  <c r="FQ33" i="21"/>
  <c r="FM33" i="21"/>
  <c r="FI33" i="21"/>
  <c r="FJ33" i="24" s="1"/>
  <c r="FE33" i="21"/>
  <c r="FF33" i="24" s="1"/>
  <c r="FA33" i="21"/>
  <c r="EW33" i="21"/>
  <c r="ES33" i="21"/>
  <c r="EO33" i="21"/>
  <c r="EK33" i="21"/>
  <c r="EG33" i="21"/>
  <c r="EC33" i="21"/>
  <c r="ED33" i="24" s="1"/>
  <c r="DY33" i="21"/>
  <c r="DZ33" i="24" s="1"/>
  <c r="DU33" i="21"/>
  <c r="DQ33" i="21"/>
  <c r="DM33" i="21"/>
  <c r="DI33" i="21"/>
  <c r="DJ33" i="24" s="1"/>
  <c r="DE33" i="21"/>
  <c r="DA33" i="21"/>
  <c r="CW33" i="21"/>
  <c r="CX33" i="24" s="1"/>
  <c r="CS33" i="21"/>
  <c r="CT33" i="24" s="1"/>
  <c r="CO33" i="21"/>
  <c r="CK33" i="21"/>
  <c r="CG33" i="21"/>
  <c r="CC33" i="21"/>
  <c r="BY33" i="21"/>
  <c r="BU33" i="21"/>
  <c r="BQ33" i="21"/>
  <c r="BR33" i="24" s="1"/>
  <c r="BM33" i="21"/>
  <c r="BN33" i="24" s="1"/>
  <c r="BI33" i="21"/>
  <c r="BE33" i="21"/>
  <c r="BA33" i="21"/>
  <c r="AW33" i="21"/>
  <c r="AX33" i="24" s="1"/>
  <c r="AS33" i="21"/>
  <c r="AO33" i="21"/>
  <c r="AK33" i="21"/>
  <c r="AL33" i="24" s="1"/>
  <c r="AG33" i="21"/>
  <c r="AH33" i="24" s="1"/>
  <c r="AC33" i="21"/>
  <c r="Y33" i="21"/>
  <c r="U33" i="21"/>
  <c r="GN33" i="21"/>
  <c r="GO33" i="24" s="1"/>
  <c r="GJ33" i="21"/>
  <c r="GF33" i="21"/>
  <c r="GB33" i="21"/>
  <c r="GC33" i="24" s="1"/>
  <c r="FX33" i="21"/>
  <c r="FY33" i="24" s="1"/>
  <c r="FT33" i="21"/>
  <c r="FP33" i="21"/>
  <c r="FL33" i="21"/>
  <c r="FH33" i="21"/>
  <c r="FI33" i="24" s="1"/>
  <c r="FD33" i="21"/>
  <c r="EZ33" i="21"/>
  <c r="EV33" i="21"/>
  <c r="EW33" i="24" s="1"/>
  <c r="ER33" i="21"/>
  <c r="ES33" i="24" s="1"/>
  <c r="EN33" i="21"/>
  <c r="EJ33" i="21"/>
  <c r="EF33" i="21"/>
  <c r="EB33" i="21"/>
  <c r="EC33" i="24" s="1"/>
  <c r="DX33" i="21"/>
  <c r="DT33" i="21"/>
  <c r="DP33" i="21"/>
  <c r="DQ33" i="24" s="1"/>
  <c r="DL33" i="21"/>
  <c r="DM33" i="24" s="1"/>
  <c r="DH33" i="21"/>
  <c r="DD33" i="21"/>
  <c r="CZ33" i="21"/>
  <c r="CV33" i="21"/>
  <c r="CW33" i="24" s="1"/>
  <c r="CR33" i="21"/>
  <c r="CN33" i="21"/>
  <c r="CJ33" i="21"/>
  <c r="CK33" i="24" s="1"/>
  <c r="CF33" i="21"/>
  <c r="CG33" i="24" s="1"/>
  <c r="CB33" i="21"/>
  <c r="BX33" i="21"/>
  <c r="BT33" i="21"/>
  <c r="BP33" i="21"/>
  <c r="BQ33" i="24" s="1"/>
  <c r="BL33" i="21"/>
  <c r="BH33" i="21"/>
  <c r="BD33" i="21"/>
  <c r="BE33" i="24" s="1"/>
  <c r="AZ33" i="21"/>
  <c r="BA33" i="24" s="1"/>
  <c r="AV33" i="21"/>
  <c r="AR33" i="21"/>
  <c r="AN33" i="21"/>
  <c r="AJ33" i="21"/>
  <c r="AK33" i="24" s="1"/>
  <c r="AF33" i="21"/>
  <c r="AB33" i="21"/>
  <c r="X33" i="21"/>
  <c r="Y33" i="24" s="1"/>
  <c r="T33" i="21"/>
  <c r="U33" i="24" s="1"/>
  <c r="GM33" i="21"/>
  <c r="GI33" i="21"/>
  <c r="GE33" i="21"/>
  <c r="GA33" i="21"/>
  <c r="GB33" i="24" s="1"/>
  <c r="FW33" i="21"/>
  <c r="FS33" i="21"/>
  <c r="FO33" i="21"/>
  <c r="FP33" i="24" s="1"/>
  <c r="FK33" i="21"/>
  <c r="FL33" i="24" s="1"/>
  <c r="FG33" i="21"/>
  <c r="FC33" i="21"/>
  <c r="EY33" i="21"/>
  <c r="EU33" i="21"/>
  <c r="EV33" i="24" s="1"/>
  <c r="EQ33" i="21"/>
  <c r="EM33" i="21"/>
  <c r="EI33" i="21"/>
  <c r="EE33" i="21"/>
  <c r="EF33" i="24" s="1"/>
  <c r="EA33" i="21"/>
  <c r="DW33" i="21"/>
  <c r="DS33" i="21"/>
  <c r="DO33" i="21"/>
  <c r="DP33" i="24" s="1"/>
  <c r="DK33" i="21"/>
  <c r="DG33" i="21"/>
  <c r="DC33" i="21"/>
  <c r="DD33" i="24" s="1"/>
  <c r="CY33" i="21"/>
  <c r="CZ33" i="24" s="1"/>
  <c r="CU33" i="21"/>
  <c r="CQ33" i="21"/>
  <c r="CM33" i="21"/>
  <c r="CI33" i="21"/>
  <c r="CJ33" i="24" s="1"/>
  <c r="CE33" i="21"/>
  <c r="CA33" i="21"/>
  <c r="BW33" i="21"/>
  <c r="BX33" i="24" s="1"/>
  <c r="BS33" i="21"/>
  <c r="BT33" i="24" s="1"/>
  <c r="BO33" i="21"/>
  <c r="BK33" i="21"/>
  <c r="BG33" i="21"/>
  <c r="BC33" i="21"/>
  <c r="BD33" i="24" s="1"/>
  <c r="AY33" i="21"/>
  <c r="AU33" i="21"/>
  <c r="AQ33" i="21"/>
  <c r="AR33" i="24" s="1"/>
  <c r="AM33" i="21"/>
  <c r="AN33" i="24" s="1"/>
  <c r="AI33" i="21"/>
  <c r="AE33" i="21"/>
  <c r="AA33" i="21"/>
  <c r="W33" i="21"/>
  <c r="X33" i="24" s="1"/>
  <c r="S33" i="21"/>
  <c r="GP33" i="21"/>
  <c r="GL33" i="21"/>
  <c r="GM33" i="24" s="1"/>
  <c r="GH33" i="21"/>
  <c r="GI33" i="24" s="1"/>
  <c r="GD33" i="21"/>
  <c r="FZ33" i="21"/>
  <c r="FV33" i="21"/>
  <c r="FR33" i="21"/>
  <c r="FS33" i="24" s="1"/>
  <c r="FN33" i="21"/>
  <c r="FJ33" i="21"/>
  <c r="FF33" i="21"/>
  <c r="FG33" i="24" s="1"/>
  <c r="FB33" i="21"/>
  <c r="FC33" i="24" s="1"/>
  <c r="EX33" i="21"/>
  <c r="ET33" i="21"/>
  <c r="EP33" i="21"/>
  <c r="EL33" i="21"/>
  <c r="EM33" i="24" s="1"/>
  <c r="EH33" i="21"/>
  <c r="ED33" i="21"/>
  <c r="DZ33" i="21"/>
  <c r="EA33" i="24" s="1"/>
  <c r="DV33" i="21"/>
  <c r="DW33" i="24" s="1"/>
  <c r="DR33" i="21"/>
  <c r="DN33" i="21"/>
  <c r="DJ33" i="21"/>
  <c r="DF33" i="21"/>
  <c r="DG33" i="24" s="1"/>
  <c r="DB33" i="21"/>
  <c r="CX33" i="21"/>
  <c r="CT33" i="21"/>
  <c r="CU33" i="24" s="1"/>
  <c r="CP33" i="21"/>
  <c r="CQ33" i="24" s="1"/>
  <c r="CL33" i="21"/>
  <c r="CH33" i="21"/>
  <c r="CD33" i="21"/>
  <c r="BZ33" i="21"/>
  <c r="CA33" i="24" s="1"/>
  <c r="BV33" i="21"/>
  <c r="BR33" i="21"/>
  <c r="BN33" i="21"/>
  <c r="BO33" i="24" s="1"/>
  <c r="BJ33" i="21"/>
  <c r="BK33" i="24" s="1"/>
  <c r="BF33" i="21"/>
  <c r="BB33" i="21"/>
  <c r="AX33" i="21"/>
  <c r="AT33" i="21"/>
  <c r="AU33" i="24" s="1"/>
  <c r="AP33" i="21"/>
  <c r="AL33" i="21"/>
  <c r="AH33" i="21"/>
  <c r="AD33" i="21"/>
  <c r="AE33" i="24" s="1"/>
  <c r="Z33" i="21"/>
  <c r="V33" i="21"/>
  <c r="N33" i="21"/>
  <c r="O34" i="21"/>
  <c r="P35" i="21"/>
  <c r="GO37" i="21"/>
  <c r="GK37" i="21"/>
  <c r="GG37" i="21"/>
  <c r="GC37" i="21"/>
  <c r="FY37" i="21"/>
  <c r="FU37" i="21"/>
  <c r="FQ37" i="21"/>
  <c r="FM37" i="21"/>
  <c r="FI37" i="21"/>
  <c r="FE37" i="21"/>
  <c r="FA37" i="21"/>
  <c r="EW37" i="21"/>
  <c r="ES37" i="21"/>
  <c r="EO37" i="21"/>
  <c r="EK37" i="21"/>
  <c r="EG37" i="21"/>
  <c r="EC37" i="21"/>
  <c r="DY37" i="21"/>
  <c r="DZ37" i="24" s="1"/>
  <c r="DU37" i="21"/>
  <c r="DQ37" i="21"/>
  <c r="DM37" i="21"/>
  <c r="DI37" i="21"/>
  <c r="DE37" i="21"/>
  <c r="DA37" i="21"/>
  <c r="CW37" i="21"/>
  <c r="CS37" i="21"/>
  <c r="CO37" i="21"/>
  <c r="CK37" i="21"/>
  <c r="CG37" i="21"/>
  <c r="CC37" i="21"/>
  <c r="BY37" i="21"/>
  <c r="BU37" i="21"/>
  <c r="BQ37" i="21"/>
  <c r="BM37" i="21"/>
  <c r="BI37" i="21"/>
  <c r="BE37" i="21"/>
  <c r="BA37" i="21"/>
  <c r="AW37" i="21"/>
  <c r="AS37" i="21"/>
  <c r="AO37" i="21"/>
  <c r="AK37" i="21"/>
  <c r="AG37" i="21"/>
  <c r="AC37" i="21"/>
  <c r="Y37" i="21"/>
  <c r="U37" i="21"/>
  <c r="GN37" i="21"/>
  <c r="GJ37" i="21"/>
  <c r="GF37" i="21"/>
  <c r="GB37" i="21"/>
  <c r="FX37" i="21"/>
  <c r="FT37" i="21"/>
  <c r="FP37" i="21"/>
  <c r="FL37" i="21"/>
  <c r="FH37" i="21"/>
  <c r="FD37" i="21"/>
  <c r="EZ37" i="21"/>
  <c r="EV37" i="21"/>
  <c r="ER37" i="21"/>
  <c r="EN37" i="21"/>
  <c r="EJ37" i="21"/>
  <c r="EF37" i="21"/>
  <c r="EB37" i="21"/>
  <c r="DX37" i="21"/>
  <c r="DT37" i="21"/>
  <c r="DP37" i="21"/>
  <c r="DL37" i="21"/>
  <c r="DH37" i="21"/>
  <c r="DD37" i="21"/>
  <c r="CZ37" i="21"/>
  <c r="CV37" i="21"/>
  <c r="CR37" i="21"/>
  <c r="CN37" i="21"/>
  <c r="CJ37" i="21"/>
  <c r="CF37" i="21"/>
  <c r="CB37" i="21"/>
  <c r="BX37" i="21"/>
  <c r="BT37" i="21"/>
  <c r="BP37" i="21"/>
  <c r="BL37" i="21"/>
  <c r="BH37" i="21"/>
  <c r="BD37" i="21"/>
  <c r="AZ37" i="21"/>
  <c r="AV37" i="21"/>
  <c r="AR37" i="21"/>
  <c r="AN37" i="21"/>
  <c r="AJ37" i="21"/>
  <c r="AF37" i="21"/>
  <c r="AB37" i="21"/>
  <c r="X37" i="21"/>
  <c r="T37" i="21"/>
  <c r="GM37" i="21"/>
  <c r="GI37" i="21"/>
  <c r="GE37" i="21"/>
  <c r="GA37" i="21"/>
  <c r="FW37" i="21"/>
  <c r="FS37" i="21"/>
  <c r="FO37" i="21"/>
  <c r="FK37" i="21"/>
  <c r="FG37" i="21"/>
  <c r="FC37" i="21"/>
  <c r="EY37" i="21"/>
  <c r="EU37" i="21"/>
  <c r="EQ37" i="21"/>
  <c r="EM37" i="21"/>
  <c r="EI37" i="21"/>
  <c r="EE37" i="21"/>
  <c r="EA37" i="21"/>
  <c r="DW37" i="21"/>
  <c r="DS37" i="21"/>
  <c r="DO37" i="21"/>
  <c r="DK37" i="21"/>
  <c r="DG37" i="21"/>
  <c r="DC37" i="21"/>
  <c r="CY37" i="21"/>
  <c r="CU37" i="21"/>
  <c r="CQ37" i="21"/>
  <c r="CM37" i="21"/>
  <c r="CI37" i="21"/>
  <c r="CE37" i="21"/>
  <c r="CA37" i="21"/>
  <c r="BW37" i="21"/>
  <c r="BS37" i="21"/>
  <c r="BO37" i="21"/>
  <c r="BK37" i="21"/>
  <c r="BG37" i="21"/>
  <c r="BC37" i="21"/>
  <c r="AY37" i="21"/>
  <c r="AU37" i="21"/>
  <c r="AQ37" i="21"/>
  <c r="AM37" i="21"/>
  <c r="AI37" i="21"/>
  <c r="AE37" i="21"/>
  <c r="AA37" i="21"/>
  <c r="W37" i="21"/>
  <c r="S37" i="21"/>
  <c r="GP37" i="21"/>
  <c r="GL37" i="21"/>
  <c r="GH37" i="21"/>
  <c r="GD37" i="21"/>
  <c r="FZ37" i="21"/>
  <c r="FV37" i="21"/>
  <c r="FR37" i="21"/>
  <c r="FN37" i="21"/>
  <c r="FJ37" i="21"/>
  <c r="FF37" i="21"/>
  <c r="FB37" i="21"/>
  <c r="EX37" i="21"/>
  <c r="ET37" i="21"/>
  <c r="EP37" i="21"/>
  <c r="EL37" i="21"/>
  <c r="EH37" i="21"/>
  <c r="ED37" i="21"/>
  <c r="DZ37" i="21"/>
  <c r="DV37" i="21"/>
  <c r="DR37" i="21"/>
  <c r="DN37" i="21"/>
  <c r="DJ37" i="21"/>
  <c r="DF37" i="21"/>
  <c r="DB37" i="21"/>
  <c r="CX37" i="21"/>
  <c r="CT37" i="21"/>
  <c r="CP37" i="21"/>
  <c r="CL37" i="21"/>
  <c r="CH37" i="21"/>
  <c r="CD37" i="21"/>
  <c r="BZ37" i="21"/>
  <c r="BV37" i="21"/>
  <c r="BR37" i="21"/>
  <c r="BN37" i="21"/>
  <c r="BJ37" i="21"/>
  <c r="BF37" i="21"/>
  <c r="BB37" i="21"/>
  <c r="AX37" i="21"/>
  <c r="AT37" i="21"/>
  <c r="AP37" i="21"/>
  <c r="AL37" i="21"/>
  <c r="AH37" i="21"/>
  <c r="AD37" i="21"/>
  <c r="Z37" i="21"/>
  <c r="V37" i="21"/>
  <c r="N37" i="21"/>
  <c r="V12" i="21"/>
  <c r="Z12" i="21"/>
  <c r="AD12" i="21"/>
  <c r="AH12" i="21"/>
  <c r="AL12" i="21"/>
  <c r="AM12" i="24" s="1"/>
  <c r="AP12" i="21"/>
  <c r="AT12" i="21"/>
  <c r="AX12" i="21"/>
  <c r="BB12" i="21"/>
  <c r="BF12" i="21"/>
  <c r="BJ12" i="21"/>
  <c r="BN12" i="21"/>
  <c r="BR12" i="21"/>
  <c r="BS12" i="24" s="1"/>
  <c r="BV12" i="21"/>
  <c r="BZ12" i="21"/>
  <c r="CD12" i="21"/>
  <c r="CH12" i="21"/>
  <c r="CL12" i="21"/>
  <c r="CP12" i="21"/>
  <c r="CT12" i="21"/>
  <c r="CX12" i="21"/>
  <c r="CY12" i="24" s="1"/>
  <c r="DB12" i="21"/>
  <c r="DF12" i="21"/>
  <c r="DJ12" i="21"/>
  <c r="DN12" i="21"/>
  <c r="DR12" i="21"/>
  <c r="DV12" i="21"/>
  <c r="DZ12" i="21"/>
  <c r="ED12" i="21"/>
  <c r="EE12" i="24" s="1"/>
  <c r="EH12" i="21"/>
  <c r="EL12" i="21"/>
  <c r="EP12" i="21"/>
  <c r="ET12" i="21"/>
  <c r="EX12" i="21"/>
  <c r="FB12" i="21"/>
  <c r="FF12" i="21"/>
  <c r="FJ12" i="21"/>
  <c r="FK12" i="24" s="1"/>
  <c r="FN12" i="21"/>
  <c r="FR12" i="21"/>
  <c r="FV12" i="21"/>
  <c r="FZ12" i="21"/>
  <c r="GD12" i="21"/>
  <c r="GH12" i="21"/>
  <c r="GL12" i="21"/>
  <c r="GP12" i="21"/>
  <c r="V13" i="21"/>
  <c r="Z13" i="21"/>
  <c r="AD13" i="21"/>
  <c r="AH13" i="21"/>
  <c r="AL13" i="21"/>
  <c r="AP13" i="21"/>
  <c r="AT13" i="21"/>
  <c r="AX13" i="21"/>
  <c r="AY13" i="24" s="1"/>
  <c r="BB13" i="21"/>
  <c r="BF13" i="21"/>
  <c r="BJ13" i="21"/>
  <c r="BN13" i="21"/>
  <c r="BR13" i="21"/>
  <c r="BV13" i="21"/>
  <c r="BZ13" i="21"/>
  <c r="CD13" i="21"/>
  <c r="CE13" i="24" s="1"/>
  <c r="CH13" i="21"/>
  <c r="CL13" i="21"/>
  <c r="CP13" i="21"/>
  <c r="CT13" i="21"/>
  <c r="CX13" i="21"/>
  <c r="DB13" i="21"/>
  <c r="DF13" i="21"/>
  <c r="DJ13" i="21"/>
  <c r="DK13" i="24" s="1"/>
  <c r="DN13" i="21"/>
  <c r="DR13" i="21"/>
  <c r="DV13" i="21"/>
  <c r="DZ13" i="21"/>
  <c r="ED13" i="21"/>
  <c r="EH13" i="21"/>
  <c r="EL13" i="21"/>
  <c r="EP13" i="21"/>
  <c r="EQ13" i="24" s="1"/>
  <c r="ET13" i="21"/>
  <c r="EX13" i="21"/>
  <c r="FB13" i="21"/>
  <c r="FF13" i="21"/>
  <c r="FJ13" i="21"/>
  <c r="FN13" i="21"/>
  <c r="FR13" i="21"/>
  <c r="FV13" i="21"/>
  <c r="FW13" i="24" s="1"/>
  <c r="FZ13" i="21"/>
  <c r="GD13" i="21"/>
  <c r="GH13" i="21"/>
  <c r="GL13" i="21"/>
  <c r="GP13" i="21"/>
  <c r="V14" i="21"/>
  <c r="Z14" i="21"/>
  <c r="AD14" i="21"/>
  <c r="AE14" i="24" s="1"/>
  <c r="AH14" i="21"/>
  <c r="AL14" i="21"/>
  <c r="AP14" i="21"/>
  <c r="AT14" i="21"/>
  <c r="AX14" i="21"/>
  <c r="BB14" i="21"/>
  <c r="BF14" i="21"/>
  <c r="BJ14" i="21"/>
  <c r="BK14" i="24" s="1"/>
  <c r="BN14" i="21"/>
  <c r="BR14" i="21"/>
  <c r="BV14" i="21"/>
  <c r="BZ14" i="21"/>
  <c r="CD14" i="21"/>
  <c r="CH14" i="21"/>
  <c r="CL14" i="21"/>
  <c r="CP14" i="21"/>
  <c r="CQ14" i="24" s="1"/>
  <c r="CT14" i="21"/>
  <c r="CX14" i="21"/>
  <c r="DB14" i="21"/>
  <c r="DF14" i="21"/>
  <c r="DJ14" i="21"/>
  <c r="DN14" i="21"/>
  <c r="DR14" i="21"/>
  <c r="DV14" i="21"/>
  <c r="DW14" i="24" s="1"/>
  <c r="DZ14" i="21"/>
  <c r="ED14" i="21"/>
  <c r="EH14" i="21"/>
  <c r="EL14" i="21"/>
  <c r="EP14" i="21"/>
  <c r="ET14" i="21"/>
  <c r="EX14" i="21"/>
  <c r="FB14" i="21"/>
  <c r="FC14" i="24" s="1"/>
  <c r="FF14" i="21"/>
  <c r="FJ14" i="21"/>
  <c r="FN14" i="21"/>
  <c r="FR14" i="21"/>
  <c r="FV14" i="21"/>
  <c r="FZ14" i="21"/>
  <c r="GD14" i="21"/>
  <c r="GH14" i="21"/>
  <c r="GI14" i="24" s="1"/>
  <c r="GL14" i="21"/>
  <c r="GP14" i="21"/>
  <c r="V15" i="21"/>
  <c r="Z15" i="21"/>
  <c r="AD15" i="21"/>
  <c r="AH15" i="21"/>
  <c r="AL15" i="21"/>
  <c r="AP15" i="21"/>
  <c r="AQ15" i="24" s="1"/>
  <c r="AT15" i="21"/>
  <c r="AX15" i="21"/>
  <c r="BB15" i="21"/>
  <c r="BF15" i="21"/>
  <c r="BJ15" i="21"/>
  <c r="BN15" i="21"/>
  <c r="BR15" i="21"/>
  <c r="BV15" i="21"/>
  <c r="BW15" i="24" s="1"/>
  <c r="BZ15" i="21"/>
  <c r="CD15" i="21"/>
  <c r="CH15" i="21"/>
  <c r="CL15" i="21"/>
  <c r="CP15" i="21"/>
  <c r="CT15" i="21"/>
  <c r="CX15" i="21"/>
  <c r="DB15" i="21"/>
  <c r="DC15" i="24" s="1"/>
  <c r="DF15" i="21"/>
  <c r="DJ15" i="21"/>
  <c r="DN15" i="21"/>
  <c r="DR15" i="21"/>
  <c r="DV15" i="21"/>
  <c r="DZ15" i="21"/>
  <c r="ED15" i="21"/>
  <c r="EH15" i="21"/>
  <c r="EI15" i="24" s="1"/>
  <c r="EL15" i="21"/>
  <c r="EP15" i="21"/>
  <c r="ET15" i="21"/>
  <c r="EX15" i="21"/>
  <c r="FB15" i="21"/>
  <c r="FF15" i="21"/>
  <c r="FJ15" i="21"/>
  <c r="FN15" i="21"/>
  <c r="FO15" i="24" s="1"/>
  <c r="FR15" i="21"/>
  <c r="FV15" i="21"/>
  <c r="FZ15" i="21"/>
  <c r="GD15" i="21"/>
  <c r="GH15" i="21"/>
  <c r="GL15" i="21"/>
  <c r="GP15" i="21"/>
  <c r="V16" i="21"/>
  <c r="W16" i="24" s="1"/>
  <c r="Z16" i="21"/>
  <c r="AD16" i="21"/>
  <c r="AH16" i="21"/>
  <c r="AL16" i="21"/>
  <c r="AP16" i="21"/>
  <c r="AT16" i="21"/>
  <c r="AX16" i="21"/>
  <c r="BB16" i="21"/>
  <c r="BC16" i="24" s="1"/>
  <c r="BF16" i="21"/>
  <c r="BJ16" i="21"/>
  <c r="BN16" i="21"/>
  <c r="BR16" i="21"/>
  <c r="BV16" i="21"/>
  <c r="BZ16" i="21"/>
  <c r="CD16" i="21"/>
  <c r="CH16" i="21"/>
  <c r="CI16" i="24" s="1"/>
  <c r="CL16" i="21"/>
  <c r="CP16" i="21"/>
  <c r="CT16" i="21"/>
  <c r="CX16" i="21"/>
  <c r="DB16" i="21"/>
  <c r="DF16" i="21"/>
  <c r="DJ16" i="21"/>
  <c r="DN16" i="21"/>
  <c r="DO16" i="24" s="1"/>
  <c r="DR16" i="21"/>
  <c r="DV16" i="21"/>
  <c r="DZ16" i="21"/>
  <c r="ED16" i="21"/>
  <c r="EH16" i="21"/>
  <c r="EL16" i="21"/>
  <c r="EP16" i="21"/>
  <c r="ET16" i="21"/>
  <c r="EU16" i="24" s="1"/>
  <c r="EX16" i="21"/>
  <c r="FB16" i="21"/>
  <c r="FF16" i="21"/>
  <c r="FJ16" i="21"/>
  <c r="FN16" i="21"/>
  <c r="FR16" i="21"/>
  <c r="FV16" i="21"/>
  <c r="FZ16" i="21"/>
  <c r="GA16" i="24" s="1"/>
  <c r="GD16" i="21"/>
  <c r="GH16" i="21"/>
  <c r="GL16" i="21"/>
  <c r="GP16" i="21"/>
  <c r="V17" i="21"/>
  <c r="Z17" i="21"/>
  <c r="AD17" i="21"/>
  <c r="AH17" i="21"/>
  <c r="AI17" i="24" s="1"/>
  <c r="AL17" i="21"/>
  <c r="AP17" i="21"/>
  <c r="AT17" i="21"/>
  <c r="AX17" i="21"/>
  <c r="BB17" i="21"/>
  <c r="BF17" i="21"/>
  <c r="BJ17" i="21"/>
  <c r="BN17" i="21"/>
  <c r="BO17" i="24" s="1"/>
  <c r="BR17" i="21"/>
  <c r="BV17" i="21"/>
  <c r="BZ17" i="21"/>
  <c r="CD17" i="21"/>
  <c r="CH17" i="21"/>
  <c r="CL17" i="21"/>
  <c r="CP17" i="21"/>
  <c r="CT17" i="21"/>
  <c r="CU17" i="24" s="1"/>
  <c r="CX17" i="21"/>
  <c r="DB17" i="21"/>
  <c r="DF17" i="21"/>
  <c r="DJ17" i="21"/>
  <c r="DN17" i="21"/>
  <c r="DR17" i="21"/>
  <c r="DV17" i="21"/>
  <c r="DZ17" i="21"/>
  <c r="EA17" i="24" s="1"/>
  <c r="ED17" i="21"/>
  <c r="EH17" i="21"/>
  <c r="EL17" i="21"/>
  <c r="EP17" i="21"/>
  <c r="ET17" i="21"/>
  <c r="EX17" i="21"/>
  <c r="FB17" i="21"/>
  <c r="FF17" i="21"/>
  <c r="FG17" i="24" s="1"/>
  <c r="FJ17" i="21"/>
  <c r="FN17" i="21"/>
  <c r="FR17" i="21"/>
  <c r="FV17" i="21"/>
  <c r="FZ17" i="21"/>
  <c r="GD17" i="21"/>
  <c r="GH17" i="21"/>
  <c r="GL17" i="21"/>
  <c r="GM17" i="24" s="1"/>
  <c r="GP17" i="21"/>
  <c r="V18" i="21"/>
  <c r="Z18" i="21"/>
  <c r="AD18" i="21"/>
  <c r="AH18" i="21"/>
  <c r="AL18" i="21"/>
  <c r="AP18" i="21"/>
  <c r="AT18" i="21"/>
  <c r="AU18" i="24" s="1"/>
  <c r="AX18" i="21"/>
  <c r="BB18" i="21"/>
  <c r="BF18" i="21"/>
  <c r="BJ18" i="21"/>
  <c r="BN18" i="21"/>
  <c r="BR18" i="21"/>
  <c r="BV18" i="21"/>
  <c r="BZ18" i="21"/>
  <c r="CA18" i="24" s="1"/>
  <c r="CD18" i="21"/>
  <c r="CH18" i="21"/>
  <c r="CL18" i="21"/>
  <c r="CP18" i="21"/>
  <c r="CT18" i="21"/>
  <c r="CX18" i="21"/>
  <c r="DB18" i="21"/>
  <c r="DF18" i="21"/>
  <c r="DG18" i="24" s="1"/>
  <c r="DJ18" i="21"/>
  <c r="DN18" i="21"/>
  <c r="DR18" i="21"/>
  <c r="DV18" i="21"/>
  <c r="DZ18" i="21"/>
  <c r="ED18" i="21"/>
  <c r="EH18" i="21"/>
  <c r="EL18" i="21"/>
  <c r="EM18" i="24" s="1"/>
  <c r="EP18" i="21"/>
  <c r="ET18" i="21"/>
  <c r="EX18" i="21"/>
  <c r="FB18" i="21"/>
  <c r="FF18" i="21"/>
  <c r="FJ18" i="21"/>
  <c r="FN18" i="21"/>
  <c r="FR18" i="21"/>
  <c r="FS18" i="24" s="1"/>
  <c r="FV18" i="21"/>
  <c r="FZ18" i="21"/>
  <c r="GD18" i="21"/>
  <c r="GH18" i="21"/>
  <c r="GL18" i="21"/>
  <c r="GP18" i="21"/>
  <c r="V19" i="21"/>
  <c r="Z19" i="21"/>
  <c r="AA19" i="24" s="1"/>
  <c r="AD19" i="21"/>
  <c r="AH19" i="21"/>
  <c r="AL19" i="21"/>
  <c r="AP19" i="21"/>
  <c r="AT19" i="21"/>
  <c r="AX19" i="21"/>
  <c r="BB19" i="21"/>
  <c r="BF19" i="21"/>
  <c r="BG19" i="24" s="1"/>
  <c r="BJ19" i="21"/>
  <c r="BN19" i="21"/>
  <c r="BR19" i="21"/>
  <c r="BV19" i="21"/>
  <c r="BZ19" i="21"/>
  <c r="CD19" i="21"/>
  <c r="CH19" i="21"/>
  <c r="CL19" i="21"/>
  <c r="CM19" i="24" s="1"/>
  <c r="CP19" i="21"/>
  <c r="CT19" i="21"/>
  <c r="CX19" i="21"/>
  <c r="DB19" i="21"/>
  <c r="DF19" i="21"/>
  <c r="DJ19" i="21"/>
  <c r="DN19" i="21"/>
  <c r="DR19" i="21"/>
  <c r="DS19" i="24" s="1"/>
  <c r="DV19" i="21"/>
  <c r="DZ19" i="21"/>
  <c r="ED19" i="21"/>
  <c r="EH19" i="21"/>
  <c r="EL19" i="21"/>
  <c r="EP19" i="21"/>
  <c r="ET19" i="21"/>
  <c r="EX19" i="21"/>
  <c r="EY19" i="24" s="1"/>
  <c r="FB19" i="21"/>
  <c r="FF19" i="21"/>
  <c r="FJ19" i="21"/>
  <c r="FN19" i="21"/>
  <c r="FR19" i="21"/>
  <c r="FV19" i="21"/>
  <c r="FZ19" i="21"/>
  <c r="GD19" i="21"/>
  <c r="GE19" i="24" s="1"/>
  <c r="GH19" i="21"/>
  <c r="GL19" i="21"/>
  <c r="GP19" i="21"/>
  <c r="V20" i="21"/>
  <c r="Z20" i="21"/>
  <c r="AD20" i="21"/>
  <c r="AH20" i="21"/>
  <c r="AL20" i="21"/>
  <c r="AM20" i="24" s="1"/>
  <c r="AP20" i="21"/>
  <c r="AT20" i="21"/>
  <c r="AX20" i="21"/>
  <c r="BB20" i="21"/>
  <c r="BF20" i="21"/>
  <c r="BJ20" i="21"/>
  <c r="BN20" i="21"/>
  <c r="BR20" i="21"/>
  <c r="BS20" i="24" s="1"/>
  <c r="BV20" i="21"/>
  <c r="BZ20" i="21"/>
  <c r="CD20" i="21"/>
  <c r="CH20" i="21"/>
  <c r="CL20" i="21"/>
  <c r="CP20" i="21"/>
  <c r="CT20" i="21"/>
  <c r="CX20" i="21"/>
  <c r="CY20" i="24" s="1"/>
  <c r="DB20" i="21"/>
  <c r="DF20" i="21"/>
  <c r="DJ20" i="21"/>
  <c r="DN20" i="21"/>
  <c r="DR20" i="21"/>
  <c r="DV20" i="21"/>
  <c r="DZ20" i="21"/>
  <c r="ED20" i="21"/>
  <c r="EE20" i="24" s="1"/>
  <c r="EH20" i="21"/>
  <c r="EL20" i="21"/>
  <c r="EP20" i="21"/>
  <c r="ET20" i="21"/>
  <c r="EX20" i="21"/>
  <c r="FB20" i="21"/>
  <c r="FF20" i="21"/>
  <c r="FJ20" i="21"/>
  <c r="FK20" i="24" s="1"/>
  <c r="FN20" i="21"/>
  <c r="FR20" i="21"/>
  <c r="FV20" i="21"/>
  <c r="FZ20" i="21"/>
  <c r="GD20" i="21"/>
  <c r="GH20" i="21"/>
  <c r="GL20" i="21"/>
  <c r="GP20" i="21"/>
  <c r="V21" i="21"/>
  <c r="Z21" i="21"/>
  <c r="AD21" i="21"/>
  <c r="AH21" i="21"/>
  <c r="AL21" i="21"/>
  <c r="AP21" i="21"/>
  <c r="AT21" i="21"/>
  <c r="AX21" i="21"/>
  <c r="AY21" i="24" s="1"/>
  <c r="BB21" i="21"/>
  <c r="BF21" i="21"/>
  <c r="BJ21" i="21"/>
  <c r="BN21" i="21"/>
  <c r="BR21" i="21"/>
  <c r="BV21" i="21"/>
  <c r="BZ21" i="21"/>
  <c r="CD21" i="21"/>
  <c r="CE21" i="24" s="1"/>
  <c r="CH21" i="21"/>
  <c r="CL21" i="21"/>
  <c r="CP21" i="21"/>
  <c r="CT21" i="21"/>
  <c r="CX21" i="21"/>
  <c r="DB21" i="21"/>
  <c r="DF21" i="21"/>
  <c r="DJ21" i="21"/>
  <c r="DK21" i="24" s="1"/>
  <c r="DN21" i="21"/>
  <c r="DR21" i="21"/>
  <c r="DV21" i="21"/>
  <c r="DZ21" i="21"/>
  <c r="ED21" i="21"/>
  <c r="EH21" i="21"/>
  <c r="EL21" i="21"/>
  <c r="EP21" i="21"/>
  <c r="EQ21" i="24" s="1"/>
  <c r="ET21" i="21"/>
  <c r="EX21" i="21"/>
  <c r="FB21" i="21"/>
  <c r="FF21" i="21"/>
  <c r="FJ21" i="21"/>
  <c r="FN21" i="21"/>
  <c r="FR21" i="21"/>
  <c r="FV21" i="21"/>
  <c r="FW21" i="24" s="1"/>
  <c r="FZ21" i="21"/>
  <c r="GD21" i="21"/>
  <c r="GH21" i="21"/>
  <c r="GL21" i="21"/>
  <c r="GP21" i="21"/>
  <c r="V22" i="21"/>
  <c r="Z22" i="21"/>
  <c r="AD22" i="21"/>
  <c r="AE22" i="24" s="1"/>
  <c r="AH22" i="21"/>
  <c r="AL22" i="21"/>
  <c r="AP22" i="21"/>
  <c r="AT22" i="21"/>
  <c r="AX22" i="21"/>
  <c r="BB22" i="21"/>
  <c r="BF22" i="21"/>
  <c r="BJ22" i="21"/>
  <c r="BK22" i="24" s="1"/>
  <c r="BN22" i="21"/>
  <c r="BR22" i="21"/>
  <c r="BV22" i="21"/>
  <c r="BZ22" i="21"/>
  <c r="CD22" i="21"/>
  <c r="CH22" i="21"/>
  <c r="CL22" i="21"/>
  <c r="CP22" i="21"/>
  <c r="CQ22" i="24" s="1"/>
  <c r="CT22" i="21"/>
  <c r="CX22" i="21"/>
  <c r="DB22" i="21"/>
  <c r="DF22" i="21"/>
  <c r="DJ22" i="21"/>
  <c r="DN22" i="21"/>
  <c r="DR22" i="21"/>
  <c r="DV22" i="21"/>
  <c r="DW22" i="24" s="1"/>
  <c r="DZ22" i="21"/>
  <c r="ED22" i="21"/>
  <c r="EH22" i="21"/>
  <c r="EL22" i="21"/>
  <c r="EP22" i="21"/>
  <c r="ET22" i="21"/>
  <c r="EX22" i="21"/>
  <c r="FB22" i="21"/>
  <c r="FC22" i="24" s="1"/>
  <c r="FF22" i="21"/>
  <c r="FJ22" i="21"/>
  <c r="FN22" i="21"/>
  <c r="FR22" i="21"/>
  <c r="FV22" i="21"/>
  <c r="FZ22" i="21"/>
  <c r="GD22" i="21"/>
  <c r="GH22" i="21"/>
  <c r="GI22" i="24" s="1"/>
  <c r="GL22" i="21"/>
  <c r="GP22" i="21"/>
  <c r="V23" i="21"/>
  <c r="Z23" i="21"/>
  <c r="AD23" i="21"/>
  <c r="AH23" i="21"/>
  <c r="AL23" i="21"/>
  <c r="AP23" i="21"/>
  <c r="AQ23" i="24" s="1"/>
  <c r="AT23" i="21"/>
  <c r="AX23" i="21"/>
  <c r="BB23" i="21"/>
  <c r="BF23" i="21"/>
  <c r="BJ23" i="21"/>
  <c r="BN23" i="21"/>
  <c r="BR23" i="21"/>
  <c r="BV23" i="21"/>
  <c r="BW23" i="24" s="1"/>
  <c r="BZ23" i="21"/>
  <c r="CD23" i="21"/>
  <c r="CH23" i="21"/>
  <c r="CL23" i="21"/>
  <c r="CP23" i="21"/>
  <c r="CT23" i="21"/>
  <c r="CX23" i="21"/>
  <c r="DB23" i="21"/>
  <c r="DC23" i="24" s="1"/>
  <c r="DF23" i="21"/>
  <c r="DJ23" i="21"/>
  <c r="DN23" i="21"/>
  <c r="DR23" i="21"/>
  <c r="DV23" i="21"/>
  <c r="DZ23" i="21"/>
  <c r="ED23" i="21"/>
  <c r="EH23" i="21"/>
  <c r="EI23" i="24" s="1"/>
  <c r="EL23" i="21"/>
  <c r="EP23" i="21"/>
  <c r="ET23" i="21"/>
  <c r="EX23" i="21"/>
  <c r="FB23" i="21"/>
  <c r="FF23" i="21"/>
  <c r="FJ23" i="21"/>
  <c r="FN23" i="21"/>
  <c r="FO23" i="24" s="1"/>
  <c r="FR23" i="21"/>
  <c r="FV23" i="21"/>
  <c r="FZ23" i="21"/>
  <c r="GD23" i="21"/>
  <c r="GH23" i="21"/>
  <c r="GL23" i="21"/>
  <c r="GP23" i="21"/>
  <c r="V24" i="21"/>
  <c r="Z24" i="21"/>
  <c r="AD24" i="21"/>
  <c r="AH24" i="21"/>
  <c r="AL24" i="21"/>
  <c r="AP24" i="21"/>
  <c r="AT24" i="21"/>
  <c r="AX24" i="21"/>
  <c r="BB24" i="21"/>
  <c r="BF24" i="21"/>
  <c r="BJ24" i="21"/>
  <c r="BN24" i="21"/>
  <c r="BR24" i="21"/>
  <c r="BV24" i="21"/>
  <c r="BZ24" i="21"/>
  <c r="CD24" i="21"/>
  <c r="CH24" i="21"/>
  <c r="CL24" i="21"/>
  <c r="CP24" i="21"/>
  <c r="CT24" i="21"/>
  <c r="CX24" i="21"/>
  <c r="DB24" i="21"/>
  <c r="DF24" i="21"/>
  <c r="DJ24" i="21"/>
  <c r="DN24" i="21"/>
  <c r="DR24" i="21"/>
  <c r="DV24" i="21"/>
  <c r="DZ24" i="21"/>
  <c r="ED24" i="21"/>
  <c r="EH24" i="21"/>
  <c r="EL24" i="21"/>
  <c r="EP24" i="21"/>
  <c r="ET24" i="21"/>
  <c r="EX24" i="21"/>
  <c r="FB24" i="21"/>
  <c r="FF24" i="21"/>
  <c r="FJ24" i="21"/>
  <c r="FN24" i="21"/>
  <c r="FR24" i="21"/>
  <c r="FV24" i="21"/>
  <c r="FZ24" i="21"/>
  <c r="GD24" i="21"/>
  <c r="GH24" i="21"/>
  <c r="GL24" i="21"/>
  <c r="GP24" i="21"/>
  <c r="V25" i="21"/>
  <c r="W25" i="24" s="1"/>
  <c r="Z25" i="21"/>
  <c r="AD25" i="21"/>
  <c r="AH25" i="21"/>
  <c r="AI25" i="24" s="1"/>
  <c r="AL25" i="21"/>
  <c r="AM25" i="24" s="1"/>
  <c r="AP25" i="21"/>
  <c r="AT25" i="21"/>
  <c r="AU25" i="24" s="1"/>
  <c r="AX25" i="21"/>
  <c r="BB25" i="21"/>
  <c r="BC25" i="24" s="1"/>
  <c r="BF25" i="21"/>
  <c r="BJ25" i="21"/>
  <c r="BN25" i="21"/>
  <c r="BO25" i="24" s="1"/>
  <c r="BR25" i="21"/>
  <c r="BS25" i="24" s="1"/>
  <c r="BV25" i="21"/>
  <c r="BZ25" i="21"/>
  <c r="CD25" i="21"/>
  <c r="CH25" i="21"/>
  <c r="CI25" i="24" s="1"/>
  <c r="CL25" i="21"/>
  <c r="CP25" i="21"/>
  <c r="CT25" i="21"/>
  <c r="CU25" i="24" s="1"/>
  <c r="CX25" i="21"/>
  <c r="CY25" i="24" s="1"/>
  <c r="DE25" i="21"/>
  <c r="DM25" i="21"/>
  <c r="DN25" i="24" s="1"/>
  <c r="DU25" i="21"/>
  <c r="EC25" i="21"/>
  <c r="ED25" i="24" s="1"/>
  <c r="EK25" i="21"/>
  <c r="ES25" i="21"/>
  <c r="FA25" i="21"/>
  <c r="FB25" i="24" s="1"/>
  <c r="FI25" i="21"/>
  <c r="FJ25" i="24" s="1"/>
  <c r="FQ25" i="21"/>
  <c r="FY25" i="21"/>
  <c r="GG25" i="21"/>
  <c r="GO25" i="21"/>
  <c r="GP25" i="24" s="1"/>
  <c r="Y26" i="21"/>
  <c r="AG26" i="21"/>
  <c r="AO26" i="21"/>
  <c r="AW26" i="21"/>
  <c r="BE26" i="21"/>
  <c r="BM26" i="21"/>
  <c r="BU26" i="21"/>
  <c r="CC26" i="21"/>
  <c r="CK26" i="21"/>
  <c r="CS26" i="21"/>
  <c r="DA26" i="21"/>
  <c r="DI26" i="21"/>
  <c r="DQ26" i="21"/>
  <c r="DY26" i="21"/>
  <c r="EG26" i="21"/>
  <c r="EO26" i="21"/>
  <c r="EW26" i="21"/>
  <c r="FE26" i="21"/>
  <c r="FM26" i="21"/>
  <c r="FU26" i="21"/>
  <c r="GC26" i="21"/>
  <c r="GK26" i="21"/>
  <c r="U27" i="21"/>
  <c r="AC27" i="21"/>
  <c r="AK27" i="21"/>
  <c r="AS27" i="21"/>
  <c r="BA27" i="21"/>
  <c r="BB27" i="24" s="1"/>
  <c r="BI27" i="21"/>
  <c r="BQ27" i="21"/>
  <c r="BY27" i="21"/>
  <c r="CG27" i="21"/>
  <c r="CO27" i="21"/>
  <c r="CW27" i="21"/>
  <c r="DE27" i="21"/>
  <c r="DM27" i="21"/>
  <c r="DN27" i="24" s="1"/>
  <c r="DU27" i="21"/>
  <c r="EC27" i="21"/>
  <c r="EK27" i="21"/>
  <c r="ES27" i="21"/>
  <c r="FA27" i="21"/>
  <c r="FI27" i="21"/>
  <c r="FQ27" i="21"/>
  <c r="FY27" i="21"/>
  <c r="FZ27" i="24" s="1"/>
  <c r="GG27" i="21"/>
  <c r="GO27" i="21"/>
  <c r="Y28" i="21"/>
  <c r="AG28" i="21"/>
  <c r="AO28" i="21"/>
  <c r="AP28" i="24" s="1"/>
  <c r="AW28" i="21"/>
  <c r="BE28" i="21"/>
  <c r="BM28" i="21"/>
  <c r="BN28" i="24" s="1"/>
  <c r="BU28" i="21"/>
  <c r="BV28" i="24" s="1"/>
  <c r="CC28" i="21"/>
  <c r="CK28" i="21"/>
  <c r="CS28" i="21"/>
  <c r="DA28" i="21"/>
  <c r="DB28" i="24" s="1"/>
  <c r="DI28" i="21"/>
  <c r="DQ28" i="21"/>
  <c r="DY28" i="21"/>
  <c r="DZ28" i="24" s="1"/>
  <c r="EG28" i="21"/>
  <c r="EH28" i="24" s="1"/>
  <c r="EO28" i="21"/>
  <c r="EW28" i="21"/>
  <c r="FE28" i="21"/>
  <c r="FM28" i="21"/>
  <c r="FN28" i="24" s="1"/>
  <c r="FU28" i="21"/>
  <c r="GC28" i="21"/>
  <c r="U29" i="21"/>
  <c r="V29" i="24" s="1"/>
  <c r="AC29" i="21"/>
  <c r="AD29" i="24" s="1"/>
  <c r="AK29" i="21"/>
  <c r="AS29" i="21"/>
  <c r="BA29" i="21"/>
  <c r="BI29" i="21"/>
  <c r="BJ29" i="24" s="1"/>
  <c r="BQ29" i="21"/>
  <c r="BY29" i="21"/>
  <c r="CG29" i="21"/>
  <c r="CH29" i="24" s="1"/>
  <c r="CO29" i="21"/>
  <c r="CP29" i="24" s="1"/>
  <c r="CW29" i="21"/>
  <c r="DE29" i="21"/>
  <c r="DF29" i="24" s="1"/>
  <c r="DM29" i="21"/>
  <c r="DU29" i="21"/>
  <c r="DV29" i="24" s="1"/>
  <c r="EC29" i="21"/>
  <c r="EO29" i="21"/>
  <c r="P17" i="25"/>
  <c r="P17" i="24"/>
  <c r="V17" i="24" s="1"/>
  <c r="P17" i="23"/>
  <c r="P17" i="22"/>
  <c r="P37" i="25"/>
  <c r="P37" i="24"/>
  <c r="FK37" i="24" s="1"/>
  <c r="P37" i="23"/>
  <c r="P37" i="22"/>
  <c r="GO14" i="22"/>
  <c r="FI14" i="22"/>
  <c r="EC14" i="22"/>
  <c r="CW14" i="22"/>
  <c r="BQ14" i="22"/>
  <c r="AK14" i="22"/>
  <c r="FQ18" i="22"/>
  <c r="EK18" i="22"/>
  <c r="DE18" i="22"/>
  <c r="BM18" i="22"/>
  <c r="AG18" i="22"/>
  <c r="CG18" i="22"/>
  <c r="FY34" i="23"/>
  <c r="ES34" i="23"/>
  <c r="DM34" i="23"/>
  <c r="CG34" i="23"/>
  <c r="BA34" i="23"/>
  <c r="U34" i="23"/>
  <c r="R36" i="17"/>
  <c r="N12" i="21"/>
  <c r="O13" i="21"/>
  <c r="P14" i="21"/>
  <c r="N16" i="21"/>
  <c r="O17" i="21"/>
  <c r="P18" i="21"/>
  <c r="N20" i="21"/>
  <c r="O21" i="21"/>
  <c r="P22" i="21"/>
  <c r="N24" i="21"/>
  <c r="O25" i="21"/>
  <c r="P26" i="21"/>
  <c r="GN28" i="21"/>
  <c r="GO28" i="24" s="1"/>
  <c r="GJ28" i="21"/>
  <c r="GF28" i="21"/>
  <c r="GG28" i="24" s="1"/>
  <c r="GB28" i="21"/>
  <c r="FX28" i="21"/>
  <c r="FT28" i="21"/>
  <c r="FP28" i="21"/>
  <c r="FL28" i="21"/>
  <c r="FM28" i="24" s="1"/>
  <c r="FH28" i="21"/>
  <c r="FI28" i="24" s="1"/>
  <c r="FD28" i="21"/>
  <c r="EZ28" i="21"/>
  <c r="FA28" i="24" s="1"/>
  <c r="EV28" i="21"/>
  <c r="ER28" i="21"/>
  <c r="ES28" i="24" s="1"/>
  <c r="EN28" i="21"/>
  <c r="EJ28" i="21"/>
  <c r="EF28" i="21"/>
  <c r="EG28" i="23" s="1"/>
  <c r="EB28" i="21"/>
  <c r="EC28" i="24" s="1"/>
  <c r="DX28" i="21"/>
  <c r="DT28" i="21"/>
  <c r="DU28" i="24" s="1"/>
  <c r="DP28" i="21"/>
  <c r="DL28" i="21"/>
  <c r="DH28" i="21"/>
  <c r="DD28" i="21"/>
  <c r="CZ28" i="21"/>
  <c r="DA28" i="24" s="1"/>
  <c r="CV28" i="21"/>
  <c r="CW28" i="24" s="1"/>
  <c r="CR28" i="21"/>
  <c r="CN28" i="21"/>
  <c r="CJ28" i="21"/>
  <c r="CF28" i="21"/>
  <c r="CG28" i="24" s="1"/>
  <c r="CB28" i="21"/>
  <c r="BX28" i="21"/>
  <c r="BT28" i="21"/>
  <c r="BU28" i="24" s="1"/>
  <c r="BP28" i="21"/>
  <c r="BQ28" i="24" s="1"/>
  <c r="BL28" i="21"/>
  <c r="BH28" i="21"/>
  <c r="BI28" i="24" s="1"/>
  <c r="BD28" i="21"/>
  <c r="AZ28" i="21"/>
  <c r="AV28" i="21"/>
  <c r="AR28" i="21"/>
  <c r="AN28" i="21"/>
  <c r="AO28" i="24" s="1"/>
  <c r="AJ28" i="21"/>
  <c r="AK28" i="24" s="1"/>
  <c r="AF28" i="21"/>
  <c r="AB28" i="21"/>
  <c r="AC28" i="24" s="1"/>
  <c r="X28" i="21"/>
  <c r="T28" i="21"/>
  <c r="U28" i="24" s="1"/>
  <c r="GM28" i="21"/>
  <c r="GI28" i="21"/>
  <c r="GE28" i="21"/>
  <c r="GF28" i="24" s="1"/>
  <c r="GA28" i="21"/>
  <c r="GB28" i="24" s="1"/>
  <c r="FW28" i="21"/>
  <c r="FS28" i="21"/>
  <c r="FT28" i="24" s="1"/>
  <c r="FO28" i="21"/>
  <c r="FK28" i="21"/>
  <c r="FL28" i="24" s="1"/>
  <c r="FG28" i="21"/>
  <c r="FC28" i="21"/>
  <c r="EY28" i="21"/>
  <c r="EZ28" i="24" s="1"/>
  <c r="EU28" i="21"/>
  <c r="EV28" i="24" s="1"/>
  <c r="EQ28" i="21"/>
  <c r="EM28" i="21"/>
  <c r="EN28" i="24" s="1"/>
  <c r="EI28" i="21"/>
  <c r="EE28" i="21"/>
  <c r="EF28" i="24" s="1"/>
  <c r="EA28" i="21"/>
  <c r="DW28" i="21"/>
  <c r="DS28" i="21"/>
  <c r="DT28" i="24" s="1"/>
  <c r="DO28" i="21"/>
  <c r="DP28" i="24" s="1"/>
  <c r="DK28" i="21"/>
  <c r="DG28" i="21"/>
  <c r="DH28" i="24" s="1"/>
  <c r="DC28" i="21"/>
  <c r="CY28" i="21"/>
  <c r="CZ28" i="24" s="1"/>
  <c r="CU28" i="21"/>
  <c r="CQ28" i="21"/>
  <c r="CM28" i="21"/>
  <c r="CN28" i="24" s="1"/>
  <c r="CI28" i="21"/>
  <c r="CJ28" i="24" s="1"/>
  <c r="CE28" i="21"/>
  <c r="CA28" i="21"/>
  <c r="BW28" i="21"/>
  <c r="BS28" i="21"/>
  <c r="BT28" i="24" s="1"/>
  <c r="BO28" i="21"/>
  <c r="BK28" i="21"/>
  <c r="BG28" i="21"/>
  <c r="BH28" i="24" s="1"/>
  <c r="BC28" i="21"/>
  <c r="BD28" i="24" s="1"/>
  <c r="AY28" i="21"/>
  <c r="AU28" i="21"/>
  <c r="AV28" i="24" s="1"/>
  <c r="AQ28" i="21"/>
  <c r="AM28" i="21"/>
  <c r="AN28" i="24" s="1"/>
  <c r="AI28" i="21"/>
  <c r="AE28" i="21"/>
  <c r="AA28" i="21"/>
  <c r="AB28" i="24" s="1"/>
  <c r="W28" i="21"/>
  <c r="X28" i="24" s="1"/>
  <c r="S28" i="21"/>
  <c r="N28" i="21"/>
  <c r="O29" i="21"/>
  <c r="P30" i="21"/>
  <c r="GO32" i="21"/>
  <c r="GK32" i="21"/>
  <c r="GG32" i="21"/>
  <c r="GH32" i="24" s="1"/>
  <c r="GC32" i="21"/>
  <c r="GD32" i="24" s="1"/>
  <c r="FY32" i="21"/>
  <c r="FU32" i="21"/>
  <c r="FQ32" i="21"/>
  <c r="FM32" i="21"/>
  <c r="FN32" i="24" s="1"/>
  <c r="FI32" i="21"/>
  <c r="FE32" i="21"/>
  <c r="FA32" i="21"/>
  <c r="FB32" i="24" s="1"/>
  <c r="EW32" i="21"/>
  <c r="ES32" i="21"/>
  <c r="EO32" i="21"/>
  <c r="EK32" i="21"/>
  <c r="EG32" i="21"/>
  <c r="EH32" i="24" s="1"/>
  <c r="EC32" i="21"/>
  <c r="DY32" i="21"/>
  <c r="DU32" i="21"/>
  <c r="DV32" i="24" s="1"/>
  <c r="DQ32" i="21"/>
  <c r="DR32" i="24" s="1"/>
  <c r="DM32" i="21"/>
  <c r="DI32" i="21"/>
  <c r="DE32" i="21"/>
  <c r="DA32" i="21"/>
  <c r="DB32" i="24" s="1"/>
  <c r="CW32" i="21"/>
  <c r="CS32" i="21"/>
  <c r="CO32" i="21"/>
  <c r="CP32" i="24" s="1"/>
  <c r="CK32" i="21"/>
  <c r="CG32" i="21"/>
  <c r="CC32" i="21"/>
  <c r="CD32" i="24" s="1"/>
  <c r="BY32" i="21"/>
  <c r="BU32" i="21"/>
  <c r="BV32" i="24" s="1"/>
  <c r="BQ32" i="21"/>
  <c r="BM32" i="21"/>
  <c r="BI32" i="21"/>
  <c r="BJ32" i="24" s="1"/>
  <c r="BE32" i="21"/>
  <c r="BF32" i="24" s="1"/>
  <c r="BA32" i="21"/>
  <c r="AW32" i="21"/>
  <c r="AS32" i="21"/>
  <c r="AO32" i="21"/>
  <c r="AP32" i="24" s="1"/>
  <c r="AK32" i="21"/>
  <c r="AG32" i="21"/>
  <c r="AC32" i="21"/>
  <c r="AD32" i="24" s="1"/>
  <c r="Y32" i="21"/>
  <c r="U32" i="21"/>
  <c r="GN32" i="21"/>
  <c r="GJ32" i="21"/>
  <c r="GF32" i="21"/>
  <c r="GG32" i="24" s="1"/>
  <c r="GB32" i="21"/>
  <c r="FX32" i="21"/>
  <c r="FT32" i="21"/>
  <c r="FU32" i="24" s="1"/>
  <c r="FP32" i="21"/>
  <c r="FQ32" i="24" s="1"/>
  <c r="FL32" i="21"/>
  <c r="FH32" i="21"/>
  <c r="FI32" i="24" s="1"/>
  <c r="FD32" i="21"/>
  <c r="EZ32" i="21"/>
  <c r="FA32" i="24" s="1"/>
  <c r="EV32" i="21"/>
  <c r="ER32" i="21"/>
  <c r="EN32" i="21"/>
  <c r="EO32" i="24" s="1"/>
  <c r="EJ32" i="21"/>
  <c r="EK32" i="24" s="1"/>
  <c r="EF32" i="21"/>
  <c r="EB32" i="21"/>
  <c r="EC32" i="24" s="1"/>
  <c r="DX32" i="21"/>
  <c r="DT32" i="21"/>
  <c r="DU32" i="24" s="1"/>
  <c r="DP32" i="21"/>
  <c r="DL32" i="21"/>
  <c r="DH32" i="21"/>
  <c r="DI32" i="24" s="1"/>
  <c r="DD32" i="21"/>
  <c r="DE32" i="24" s="1"/>
  <c r="CZ32" i="21"/>
  <c r="CV32" i="21"/>
  <c r="CW32" i="24" s="1"/>
  <c r="CR32" i="21"/>
  <c r="CN32" i="21"/>
  <c r="CO32" i="24" s="1"/>
  <c r="CJ32" i="21"/>
  <c r="CF32" i="21"/>
  <c r="CB32" i="21"/>
  <c r="CC32" i="24" s="1"/>
  <c r="BX32" i="21"/>
  <c r="BY32" i="24" s="1"/>
  <c r="BT32" i="21"/>
  <c r="BP32" i="21"/>
  <c r="BL32" i="21"/>
  <c r="BH32" i="21"/>
  <c r="BI32" i="24" s="1"/>
  <c r="BD32" i="21"/>
  <c r="AZ32" i="21"/>
  <c r="AV32" i="21"/>
  <c r="AW32" i="24" s="1"/>
  <c r="AR32" i="21"/>
  <c r="AS32" i="24" s="1"/>
  <c r="AN32" i="21"/>
  <c r="AJ32" i="21"/>
  <c r="AK32" i="24" s="1"/>
  <c r="AF32" i="21"/>
  <c r="AB32" i="21"/>
  <c r="AC32" i="24" s="1"/>
  <c r="X32" i="21"/>
  <c r="T32" i="21"/>
  <c r="GM32" i="21"/>
  <c r="GN32" i="24" s="1"/>
  <c r="GI32" i="21"/>
  <c r="GJ32" i="24" s="1"/>
  <c r="GE32" i="21"/>
  <c r="GA32" i="21"/>
  <c r="GB32" i="24" s="1"/>
  <c r="FW32" i="21"/>
  <c r="FS32" i="21"/>
  <c r="FT32" i="24" s="1"/>
  <c r="FO32" i="21"/>
  <c r="FK32" i="21"/>
  <c r="FG32" i="21"/>
  <c r="FH32" i="24" s="1"/>
  <c r="FC32" i="21"/>
  <c r="FD32" i="24" s="1"/>
  <c r="EY32" i="21"/>
  <c r="EU32" i="21"/>
  <c r="EV32" i="24" s="1"/>
  <c r="EQ32" i="21"/>
  <c r="EM32" i="21"/>
  <c r="EN32" i="24" s="1"/>
  <c r="EI32" i="21"/>
  <c r="EE32" i="21"/>
  <c r="EA32" i="21"/>
  <c r="EB32" i="24" s="1"/>
  <c r="DW32" i="21"/>
  <c r="DX32" i="24" s="1"/>
  <c r="DS32" i="21"/>
  <c r="DO32" i="21"/>
  <c r="DK32" i="21"/>
  <c r="DG32" i="21"/>
  <c r="DH32" i="24" s="1"/>
  <c r="DC32" i="21"/>
  <c r="CY32" i="21"/>
  <c r="CU32" i="21"/>
  <c r="CV32" i="24" s="1"/>
  <c r="CQ32" i="21"/>
  <c r="CR32" i="24" s="1"/>
  <c r="CM32" i="21"/>
  <c r="CI32" i="21"/>
  <c r="CJ32" i="24" s="1"/>
  <c r="CE32" i="21"/>
  <c r="CA32" i="21"/>
  <c r="CB32" i="24" s="1"/>
  <c r="BW32" i="21"/>
  <c r="BS32" i="21"/>
  <c r="BO32" i="21"/>
  <c r="BP32" i="24" s="1"/>
  <c r="BK32" i="21"/>
  <c r="BL32" i="24" s="1"/>
  <c r="BG32" i="21"/>
  <c r="BC32" i="21"/>
  <c r="BD32" i="24" s="1"/>
  <c r="AY32" i="21"/>
  <c r="AU32" i="21"/>
  <c r="AV32" i="24" s="1"/>
  <c r="AQ32" i="21"/>
  <c r="AM32" i="21"/>
  <c r="AI32" i="21"/>
  <c r="AJ32" i="24" s="1"/>
  <c r="AE32" i="21"/>
  <c r="AF32" i="24" s="1"/>
  <c r="AA32" i="21"/>
  <c r="W32" i="21"/>
  <c r="X32" i="24" s="1"/>
  <c r="S32" i="21"/>
  <c r="GP32" i="21"/>
  <c r="GL32" i="21"/>
  <c r="GH32" i="21"/>
  <c r="GD32" i="21"/>
  <c r="GE32" i="24" s="1"/>
  <c r="FZ32" i="21"/>
  <c r="GA32" i="24" s="1"/>
  <c r="FV32" i="21"/>
  <c r="FR32" i="21"/>
  <c r="FN32" i="21"/>
  <c r="FJ32" i="21"/>
  <c r="FK32" i="24" s="1"/>
  <c r="FF32" i="21"/>
  <c r="FB32" i="21"/>
  <c r="EX32" i="21"/>
  <c r="EY32" i="24" s="1"/>
  <c r="ET32" i="21"/>
  <c r="EU32" i="24" s="1"/>
  <c r="EP32" i="21"/>
  <c r="EL32" i="21"/>
  <c r="EM32" i="24" s="1"/>
  <c r="EH32" i="21"/>
  <c r="ED32" i="21"/>
  <c r="EE32" i="24" s="1"/>
  <c r="DZ32" i="21"/>
  <c r="DV32" i="21"/>
  <c r="DR32" i="21"/>
  <c r="DS32" i="24" s="1"/>
  <c r="DN32" i="21"/>
  <c r="DO32" i="24" s="1"/>
  <c r="DJ32" i="21"/>
  <c r="DF32" i="21"/>
  <c r="DG32" i="24" s="1"/>
  <c r="DB32" i="21"/>
  <c r="CX32" i="21"/>
  <c r="CY32" i="24" s="1"/>
  <c r="CT32" i="21"/>
  <c r="CP32" i="21"/>
  <c r="CL32" i="21"/>
  <c r="CM32" i="24" s="1"/>
  <c r="CH32" i="21"/>
  <c r="CI32" i="24" s="1"/>
  <c r="CD32" i="21"/>
  <c r="BZ32" i="21"/>
  <c r="CA32" i="24" s="1"/>
  <c r="BV32" i="21"/>
  <c r="BR32" i="21"/>
  <c r="BS32" i="24" s="1"/>
  <c r="BN32" i="21"/>
  <c r="BJ32" i="21"/>
  <c r="BF32" i="21"/>
  <c r="BG32" i="24" s="1"/>
  <c r="BB32" i="21"/>
  <c r="BC32" i="24" s="1"/>
  <c r="AX32" i="21"/>
  <c r="AT32" i="21"/>
  <c r="AP32" i="21"/>
  <c r="AL32" i="21"/>
  <c r="AM32" i="24" s="1"/>
  <c r="AH32" i="21"/>
  <c r="AD32" i="21"/>
  <c r="Z32" i="21"/>
  <c r="AA32" i="24" s="1"/>
  <c r="V32" i="21"/>
  <c r="W32" i="24" s="1"/>
  <c r="N32" i="21"/>
  <c r="O33" i="21"/>
  <c r="P34" i="21"/>
  <c r="GO36" i="21"/>
  <c r="GP36" i="24" s="1"/>
  <c r="GK36" i="21"/>
  <c r="GG36" i="21"/>
  <c r="GC36" i="21"/>
  <c r="FY36" i="21"/>
  <c r="FZ36" i="24" s="1"/>
  <c r="FU36" i="21"/>
  <c r="FQ36" i="21"/>
  <c r="FR36" i="24" s="1"/>
  <c r="FM36" i="21"/>
  <c r="FI36" i="21"/>
  <c r="FJ36" i="24" s="1"/>
  <c r="FE36" i="21"/>
  <c r="FA36" i="21"/>
  <c r="EW36" i="21"/>
  <c r="EX36" i="24" s="1"/>
  <c r="ES36" i="21"/>
  <c r="EO36" i="21"/>
  <c r="EK36" i="21"/>
  <c r="EL36" i="24" s="1"/>
  <c r="EG36" i="21"/>
  <c r="EC36" i="21"/>
  <c r="ED36" i="24" s="1"/>
  <c r="DY36" i="21"/>
  <c r="DU36" i="21"/>
  <c r="DQ36" i="21"/>
  <c r="DR36" i="24" s="1"/>
  <c r="DM36" i="21"/>
  <c r="DN36" i="24" s="1"/>
  <c r="DI36" i="21"/>
  <c r="DE36" i="21"/>
  <c r="DF36" i="24" s="1"/>
  <c r="DA36" i="21"/>
  <c r="CW36" i="21"/>
  <c r="CX36" i="24" s="1"/>
  <c r="CS36" i="21"/>
  <c r="CO36" i="21"/>
  <c r="CK36" i="21"/>
  <c r="CL36" i="24" s="1"/>
  <c r="CG36" i="21"/>
  <c r="CC36" i="21"/>
  <c r="BY36" i="21"/>
  <c r="BU36" i="21"/>
  <c r="BQ36" i="21"/>
  <c r="BR36" i="24" s="1"/>
  <c r="BM36" i="21"/>
  <c r="BI36" i="21"/>
  <c r="BE36" i="21"/>
  <c r="BF36" i="24" s="1"/>
  <c r="BA36" i="21"/>
  <c r="BB36" i="24" s="1"/>
  <c r="AW36" i="21"/>
  <c r="AS36" i="21"/>
  <c r="AT36" i="24" s="1"/>
  <c r="AO36" i="21"/>
  <c r="AK36" i="21"/>
  <c r="AL36" i="24" s="1"/>
  <c r="AG36" i="21"/>
  <c r="AC36" i="21"/>
  <c r="Y36" i="21"/>
  <c r="U36" i="21"/>
  <c r="V36" i="24" s="1"/>
  <c r="GN36" i="21"/>
  <c r="GJ36" i="21"/>
  <c r="GK36" i="24" s="1"/>
  <c r="GF36" i="21"/>
  <c r="GB36" i="21"/>
  <c r="GC36" i="24" s="1"/>
  <c r="FX36" i="21"/>
  <c r="FT36" i="21"/>
  <c r="FP36" i="21"/>
  <c r="FQ36" i="24" s="1"/>
  <c r="FL36" i="21"/>
  <c r="FM36" i="24" s="1"/>
  <c r="FH36" i="21"/>
  <c r="FD36" i="21"/>
  <c r="FE36" i="24" s="1"/>
  <c r="EZ36" i="21"/>
  <c r="EV36" i="21"/>
  <c r="EW36" i="24" s="1"/>
  <c r="ER36" i="21"/>
  <c r="EN36" i="21"/>
  <c r="EJ36" i="21"/>
  <c r="EK36" i="24" s="1"/>
  <c r="EF36" i="21"/>
  <c r="EG36" i="24" s="1"/>
  <c r="EB36" i="21"/>
  <c r="DX36" i="21"/>
  <c r="DT36" i="21"/>
  <c r="DP36" i="21"/>
  <c r="DQ36" i="24" s="1"/>
  <c r="DL36" i="21"/>
  <c r="DH36" i="21"/>
  <c r="DD36" i="21"/>
  <c r="DE36" i="24" s="1"/>
  <c r="CZ36" i="21"/>
  <c r="DA36" i="24" s="1"/>
  <c r="CV36" i="21"/>
  <c r="CR36" i="21"/>
  <c r="CS36" i="24" s="1"/>
  <c r="CN36" i="21"/>
  <c r="CJ36" i="21"/>
  <c r="CK36" i="24" s="1"/>
  <c r="CF36" i="21"/>
  <c r="CB36" i="21"/>
  <c r="BX36" i="21"/>
  <c r="BY36" i="24" s="1"/>
  <c r="BT36" i="21"/>
  <c r="BU36" i="24" s="1"/>
  <c r="BP36" i="21"/>
  <c r="BL36" i="21"/>
  <c r="BM36" i="24" s="1"/>
  <c r="BH36" i="21"/>
  <c r="BD36" i="21"/>
  <c r="BE36" i="24" s="1"/>
  <c r="AZ36" i="21"/>
  <c r="AV36" i="21"/>
  <c r="AR36" i="21"/>
  <c r="AS36" i="24" s="1"/>
  <c r="AN36" i="21"/>
  <c r="AO36" i="24" s="1"/>
  <c r="AJ36" i="21"/>
  <c r="AF36" i="21"/>
  <c r="AG36" i="24" s="1"/>
  <c r="AB36" i="21"/>
  <c r="X36" i="21"/>
  <c r="Y36" i="24" s="1"/>
  <c r="T36" i="21"/>
  <c r="GM36" i="21"/>
  <c r="GI36" i="21"/>
  <c r="GJ36" i="24" s="1"/>
  <c r="GE36" i="21"/>
  <c r="GF36" i="24" s="1"/>
  <c r="GA36" i="21"/>
  <c r="FW36" i="21"/>
  <c r="FS36" i="21"/>
  <c r="FO36" i="21"/>
  <c r="FP36" i="24" s="1"/>
  <c r="FK36" i="21"/>
  <c r="FG36" i="21"/>
  <c r="FC36" i="21"/>
  <c r="FD36" i="24" s="1"/>
  <c r="EY36" i="21"/>
  <c r="EZ36" i="24" s="1"/>
  <c r="EU36" i="21"/>
  <c r="EQ36" i="21"/>
  <c r="ER36" i="24" s="1"/>
  <c r="EM36" i="21"/>
  <c r="EI36" i="21"/>
  <c r="EJ36" i="24" s="1"/>
  <c r="EE36" i="21"/>
  <c r="EA36" i="21"/>
  <c r="DW36" i="21"/>
  <c r="DX36" i="24" s="1"/>
  <c r="DS36" i="21"/>
  <c r="DT36" i="24" s="1"/>
  <c r="DO36" i="21"/>
  <c r="DK36" i="21"/>
  <c r="DL36" i="24" s="1"/>
  <c r="DG36" i="21"/>
  <c r="DC36" i="21"/>
  <c r="DD36" i="24" s="1"/>
  <c r="CY36" i="21"/>
  <c r="CU36" i="21"/>
  <c r="CQ36" i="21"/>
  <c r="CM36" i="21"/>
  <c r="CN36" i="24" s="1"/>
  <c r="CI36" i="21"/>
  <c r="CE36" i="21"/>
  <c r="CF36" i="24" s="1"/>
  <c r="CA36" i="21"/>
  <c r="BW36" i="21"/>
  <c r="BX36" i="24" s="1"/>
  <c r="BS36" i="21"/>
  <c r="BO36" i="21"/>
  <c r="BK36" i="21"/>
  <c r="BL36" i="24" s="1"/>
  <c r="BG36" i="21"/>
  <c r="BH36" i="24" s="1"/>
  <c r="BC36" i="21"/>
  <c r="AY36" i="21"/>
  <c r="AU36" i="21"/>
  <c r="AQ36" i="21"/>
  <c r="AR36" i="24" s="1"/>
  <c r="AM36" i="21"/>
  <c r="AI36" i="21"/>
  <c r="AE36" i="21"/>
  <c r="AF36" i="24" s="1"/>
  <c r="AA36" i="21"/>
  <c r="AB36" i="24" s="1"/>
  <c r="W36" i="21"/>
  <c r="S36" i="21"/>
  <c r="T36" i="24" s="1"/>
  <c r="GP36" i="21"/>
  <c r="GL36" i="21"/>
  <c r="GM36" i="24" s="1"/>
  <c r="GH36" i="21"/>
  <c r="GD36" i="21"/>
  <c r="FZ36" i="21"/>
  <c r="GA36" i="24" s="1"/>
  <c r="FV36" i="21"/>
  <c r="FW36" i="24" s="1"/>
  <c r="FR36" i="21"/>
  <c r="FN36" i="21"/>
  <c r="FJ36" i="21"/>
  <c r="FF36" i="21"/>
  <c r="FG36" i="24" s="1"/>
  <c r="FB36" i="21"/>
  <c r="EX36" i="21"/>
  <c r="ET36" i="21"/>
  <c r="EU36" i="24" s="1"/>
  <c r="EP36" i="21"/>
  <c r="EQ36" i="24" s="1"/>
  <c r="EL36" i="21"/>
  <c r="EH36" i="21"/>
  <c r="ED36" i="21"/>
  <c r="DZ36" i="21"/>
  <c r="EA36" i="24" s="1"/>
  <c r="DV36" i="21"/>
  <c r="DR36" i="21"/>
  <c r="DN36" i="21"/>
  <c r="DO36" i="24" s="1"/>
  <c r="DJ36" i="21"/>
  <c r="DK36" i="24" s="1"/>
  <c r="DF36" i="21"/>
  <c r="DB36" i="21"/>
  <c r="DC36" i="24" s="1"/>
  <c r="CX36" i="21"/>
  <c r="CT36" i="21"/>
  <c r="CU36" i="24" s="1"/>
  <c r="CP36" i="21"/>
  <c r="CL36" i="21"/>
  <c r="CH36" i="21"/>
  <c r="CI36" i="24" s="1"/>
  <c r="CD36" i="21"/>
  <c r="CE36" i="24" s="1"/>
  <c r="BZ36" i="21"/>
  <c r="BV36" i="21"/>
  <c r="BR36" i="21"/>
  <c r="BN36" i="21"/>
  <c r="BO36" i="24" s="1"/>
  <c r="BJ36" i="21"/>
  <c r="BF36" i="21"/>
  <c r="BB36" i="21"/>
  <c r="BC36" i="24" s="1"/>
  <c r="AX36" i="21"/>
  <c r="AY36" i="24" s="1"/>
  <c r="AT36" i="21"/>
  <c r="AP36" i="21"/>
  <c r="AL36" i="21"/>
  <c r="AH36" i="21"/>
  <c r="AI36" i="24" s="1"/>
  <c r="AD36" i="21"/>
  <c r="Z36" i="21"/>
  <c r="V36" i="21"/>
  <c r="W36" i="24" s="1"/>
  <c r="N36" i="21"/>
  <c r="O37" i="21"/>
  <c r="S12" i="21"/>
  <c r="W12" i="21"/>
  <c r="AA12" i="21"/>
  <c r="AE12" i="21"/>
  <c r="AI12" i="21"/>
  <c r="AM12" i="21"/>
  <c r="AN12" i="24" s="1"/>
  <c r="AQ12" i="21"/>
  <c r="AU12" i="21"/>
  <c r="AY12" i="21"/>
  <c r="BC12" i="21"/>
  <c r="BG12" i="21"/>
  <c r="BK12" i="21"/>
  <c r="BO12" i="21"/>
  <c r="BS12" i="21"/>
  <c r="BT12" i="24" s="1"/>
  <c r="BW12" i="21"/>
  <c r="CA12" i="21"/>
  <c r="CE12" i="21"/>
  <c r="CI12" i="21"/>
  <c r="CM12" i="21"/>
  <c r="CQ12" i="21"/>
  <c r="CU12" i="21"/>
  <c r="CY12" i="21"/>
  <c r="CZ12" i="24" s="1"/>
  <c r="DC12" i="21"/>
  <c r="DG12" i="21"/>
  <c r="DK12" i="21"/>
  <c r="DO12" i="21"/>
  <c r="DS12" i="21"/>
  <c r="DW12" i="21"/>
  <c r="EA12" i="21"/>
  <c r="EE12" i="21"/>
  <c r="EF12" i="24" s="1"/>
  <c r="EI12" i="21"/>
  <c r="EM12" i="21"/>
  <c r="EQ12" i="21"/>
  <c r="EU12" i="21"/>
  <c r="EY12" i="21"/>
  <c r="FC12" i="21"/>
  <c r="FG12" i="21"/>
  <c r="FK12" i="21"/>
  <c r="FL12" i="24" s="1"/>
  <c r="FO12" i="21"/>
  <c r="FS12" i="21"/>
  <c r="FW12" i="21"/>
  <c r="GA12" i="21"/>
  <c r="GE12" i="21"/>
  <c r="GI12" i="21"/>
  <c r="S13" i="21"/>
  <c r="W13" i="21"/>
  <c r="X13" i="24" s="1"/>
  <c r="AA13" i="21"/>
  <c r="AE13" i="21"/>
  <c r="AI13" i="21"/>
  <c r="AM13" i="21"/>
  <c r="AQ13" i="21"/>
  <c r="AU13" i="21"/>
  <c r="AY13" i="21"/>
  <c r="BC13" i="21"/>
  <c r="BD13" i="24" s="1"/>
  <c r="BG13" i="21"/>
  <c r="BK13" i="21"/>
  <c r="BO13" i="21"/>
  <c r="BS13" i="21"/>
  <c r="BW13" i="21"/>
  <c r="CA13" i="21"/>
  <c r="CE13" i="21"/>
  <c r="CI13" i="21"/>
  <c r="CJ13" i="24" s="1"/>
  <c r="CM13" i="21"/>
  <c r="CQ13" i="21"/>
  <c r="CU13" i="21"/>
  <c r="CY13" i="21"/>
  <c r="DC13" i="21"/>
  <c r="DG13" i="21"/>
  <c r="DK13" i="21"/>
  <c r="DO13" i="21"/>
  <c r="DP13" i="24" s="1"/>
  <c r="DS13" i="21"/>
  <c r="DW13" i="21"/>
  <c r="EA13" i="21"/>
  <c r="EE13" i="21"/>
  <c r="EI13" i="21"/>
  <c r="EM13" i="21"/>
  <c r="EQ13" i="21"/>
  <c r="EU13" i="21"/>
  <c r="EV13" i="24" s="1"/>
  <c r="EY13" i="21"/>
  <c r="FC13" i="21"/>
  <c r="FG13" i="21"/>
  <c r="FK13" i="21"/>
  <c r="FO13" i="21"/>
  <c r="FS13" i="21"/>
  <c r="FW13" i="21"/>
  <c r="GA13" i="21"/>
  <c r="GB13" i="24" s="1"/>
  <c r="GE13" i="21"/>
  <c r="GI13" i="21"/>
  <c r="S14" i="21"/>
  <c r="W14" i="21"/>
  <c r="AA14" i="21"/>
  <c r="AE14" i="21"/>
  <c r="AI14" i="21"/>
  <c r="AM14" i="21"/>
  <c r="AN14" i="24" s="1"/>
  <c r="AQ14" i="21"/>
  <c r="AU14" i="21"/>
  <c r="AY14" i="21"/>
  <c r="BC14" i="21"/>
  <c r="BG14" i="21"/>
  <c r="BK14" i="21"/>
  <c r="BO14" i="21"/>
  <c r="BS14" i="21"/>
  <c r="BT14" i="24" s="1"/>
  <c r="BW14" i="21"/>
  <c r="CA14" i="21"/>
  <c r="CE14" i="21"/>
  <c r="CI14" i="21"/>
  <c r="CM14" i="21"/>
  <c r="CQ14" i="21"/>
  <c r="CU14" i="21"/>
  <c r="CY14" i="21"/>
  <c r="CZ14" i="24" s="1"/>
  <c r="DC14" i="21"/>
  <c r="DG14" i="21"/>
  <c r="DK14" i="21"/>
  <c r="DO14" i="21"/>
  <c r="DS14" i="21"/>
  <c r="DW14" i="21"/>
  <c r="EA14" i="21"/>
  <c r="EE14" i="21"/>
  <c r="EF14" i="24" s="1"/>
  <c r="EI14" i="21"/>
  <c r="EM14" i="21"/>
  <c r="EQ14" i="21"/>
  <c r="EU14" i="21"/>
  <c r="EY14" i="21"/>
  <c r="FC14" i="21"/>
  <c r="FG14" i="21"/>
  <c r="FK14" i="21"/>
  <c r="FL14" i="24" s="1"/>
  <c r="FO14" i="21"/>
  <c r="FS14" i="21"/>
  <c r="FW14" i="21"/>
  <c r="GA14" i="21"/>
  <c r="GE14" i="21"/>
  <c r="GI14" i="21"/>
  <c r="S15" i="21"/>
  <c r="W15" i="21"/>
  <c r="X15" i="24" s="1"/>
  <c r="AA15" i="21"/>
  <c r="AE15" i="21"/>
  <c r="AI15" i="21"/>
  <c r="AM15" i="21"/>
  <c r="AQ15" i="21"/>
  <c r="AU15" i="21"/>
  <c r="AY15" i="21"/>
  <c r="BC15" i="21"/>
  <c r="BD15" i="24" s="1"/>
  <c r="BG15" i="21"/>
  <c r="BK15" i="21"/>
  <c r="BO15" i="21"/>
  <c r="BS15" i="21"/>
  <c r="BW15" i="21"/>
  <c r="CA15" i="21"/>
  <c r="CE15" i="21"/>
  <c r="CI15" i="21"/>
  <c r="CJ15" i="24" s="1"/>
  <c r="CM15" i="21"/>
  <c r="CQ15" i="21"/>
  <c r="CU15" i="21"/>
  <c r="CY15" i="21"/>
  <c r="DC15" i="21"/>
  <c r="DG15" i="21"/>
  <c r="DK15" i="21"/>
  <c r="DO15" i="21"/>
  <c r="DP15" i="24" s="1"/>
  <c r="DS15" i="21"/>
  <c r="DW15" i="21"/>
  <c r="EA15" i="21"/>
  <c r="EE15" i="21"/>
  <c r="EI15" i="21"/>
  <c r="EM15" i="21"/>
  <c r="EQ15" i="21"/>
  <c r="EU15" i="21"/>
  <c r="EV15" i="24" s="1"/>
  <c r="EY15" i="21"/>
  <c r="FC15" i="21"/>
  <c r="FG15" i="21"/>
  <c r="FK15" i="21"/>
  <c r="FO15" i="21"/>
  <c r="FS15" i="21"/>
  <c r="FW15" i="21"/>
  <c r="GA15" i="21"/>
  <c r="GB15" i="24" s="1"/>
  <c r="GE15" i="21"/>
  <c r="GI15" i="21"/>
  <c r="S16" i="21"/>
  <c r="W16" i="21"/>
  <c r="AA16" i="21"/>
  <c r="AE16" i="21"/>
  <c r="AI16" i="21"/>
  <c r="AM16" i="21"/>
  <c r="AN16" i="24" s="1"/>
  <c r="AQ16" i="21"/>
  <c r="AU16" i="21"/>
  <c r="AY16" i="21"/>
  <c r="BC16" i="21"/>
  <c r="BG16" i="21"/>
  <c r="BK16" i="21"/>
  <c r="BO16" i="21"/>
  <c r="BS16" i="21"/>
  <c r="BT16" i="24" s="1"/>
  <c r="BW16" i="21"/>
  <c r="CA16" i="21"/>
  <c r="CE16" i="21"/>
  <c r="CI16" i="21"/>
  <c r="CM16" i="21"/>
  <c r="CQ16" i="21"/>
  <c r="CU16" i="21"/>
  <c r="CY16" i="21"/>
  <c r="CZ16" i="24" s="1"/>
  <c r="DC16" i="21"/>
  <c r="DG16" i="21"/>
  <c r="DK16" i="21"/>
  <c r="DO16" i="21"/>
  <c r="DS16" i="21"/>
  <c r="DW16" i="21"/>
  <c r="EA16" i="21"/>
  <c r="EE16" i="21"/>
  <c r="EF16" i="24" s="1"/>
  <c r="EI16" i="21"/>
  <c r="EM16" i="21"/>
  <c r="EQ16" i="21"/>
  <c r="EU16" i="21"/>
  <c r="EY16" i="21"/>
  <c r="FC16" i="21"/>
  <c r="FG16" i="21"/>
  <c r="FK16" i="21"/>
  <c r="FL16" i="24" s="1"/>
  <c r="FO16" i="21"/>
  <c r="FS16" i="21"/>
  <c r="FW16" i="21"/>
  <c r="GA16" i="21"/>
  <c r="GE16" i="21"/>
  <c r="GI16" i="21"/>
  <c r="S17" i="21"/>
  <c r="W17" i="21"/>
  <c r="AA17" i="21"/>
  <c r="AE17" i="21"/>
  <c r="AI17" i="21"/>
  <c r="AM17" i="21"/>
  <c r="AQ17" i="21"/>
  <c r="AU17" i="21"/>
  <c r="AY17" i="21"/>
  <c r="BC17" i="21"/>
  <c r="BG17" i="21"/>
  <c r="BK17" i="21"/>
  <c r="BO17" i="21"/>
  <c r="BS17" i="21"/>
  <c r="BW17" i="21"/>
  <c r="CA17" i="21"/>
  <c r="CE17" i="21"/>
  <c r="CI17" i="21"/>
  <c r="CM17" i="21"/>
  <c r="CQ17" i="21"/>
  <c r="CU17" i="21"/>
  <c r="CY17" i="21"/>
  <c r="DC17" i="21"/>
  <c r="DG17" i="21"/>
  <c r="DK17" i="21"/>
  <c r="DO17" i="21"/>
  <c r="DS17" i="21"/>
  <c r="DW17" i="21"/>
  <c r="EA17" i="21"/>
  <c r="EE17" i="21"/>
  <c r="EI17" i="21"/>
  <c r="EM17" i="21"/>
  <c r="EQ17" i="21"/>
  <c r="EU17" i="21"/>
  <c r="EY17" i="21"/>
  <c r="FC17" i="21"/>
  <c r="FG17" i="21"/>
  <c r="FK17" i="21"/>
  <c r="FO17" i="21"/>
  <c r="FS17" i="21"/>
  <c r="FW17" i="21"/>
  <c r="GA17" i="21"/>
  <c r="GE17" i="21"/>
  <c r="GI17" i="21"/>
  <c r="S18" i="21"/>
  <c r="W18" i="21"/>
  <c r="AA18" i="21"/>
  <c r="AE18" i="21"/>
  <c r="AI18" i="21"/>
  <c r="AM18" i="21"/>
  <c r="AN18" i="24" s="1"/>
  <c r="AQ18" i="21"/>
  <c r="AU18" i="21"/>
  <c r="AY18" i="21"/>
  <c r="BC18" i="21"/>
  <c r="BG18" i="21"/>
  <c r="BK18" i="21"/>
  <c r="BO18" i="21"/>
  <c r="BS18" i="21"/>
  <c r="BW18" i="21"/>
  <c r="CA18" i="21"/>
  <c r="CE18" i="21"/>
  <c r="CI18" i="21"/>
  <c r="CM18" i="21"/>
  <c r="CQ18" i="21"/>
  <c r="CU18" i="21"/>
  <c r="CY18" i="21"/>
  <c r="DC18" i="21"/>
  <c r="DG18" i="21"/>
  <c r="DK18" i="21"/>
  <c r="DO18" i="21"/>
  <c r="DS18" i="21"/>
  <c r="DW18" i="21"/>
  <c r="EA18" i="21"/>
  <c r="EE18" i="21"/>
  <c r="EI18" i="21"/>
  <c r="EM18" i="21"/>
  <c r="EQ18" i="21"/>
  <c r="EU18" i="21"/>
  <c r="EY18" i="21"/>
  <c r="FC18" i="21"/>
  <c r="FG18" i="21"/>
  <c r="FK18" i="21"/>
  <c r="FO18" i="21"/>
  <c r="FS18" i="21"/>
  <c r="FW18" i="21"/>
  <c r="GA18" i="21"/>
  <c r="GE18" i="21"/>
  <c r="GI18" i="21"/>
  <c r="S19" i="21"/>
  <c r="W19" i="21"/>
  <c r="X19" i="24" s="1"/>
  <c r="AA19" i="21"/>
  <c r="AE19" i="21"/>
  <c r="AI19" i="21"/>
  <c r="AM19" i="21"/>
  <c r="AQ19" i="21"/>
  <c r="AU19" i="21"/>
  <c r="AY19" i="21"/>
  <c r="BC19" i="21"/>
  <c r="BD19" i="24" s="1"/>
  <c r="BG19" i="21"/>
  <c r="BK19" i="21"/>
  <c r="BO19" i="21"/>
  <c r="BS19" i="21"/>
  <c r="BW19" i="21"/>
  <c r="CA19" i="21"/>
  <c r="CE19" i="21"/>
  <c r="CI19" i="21"/>
  <c r="CJ19" i="24" s="1"/>
  <c r="CM19" i="21"/>
  <c r="CQ19" i="21"/>
  <c r="CU19" i="21"/>
  <c r="CY19" i="21"/>
  <c r="DC19" i="21"/>
  <c r="DG19" i="21"/>
  <c r="DK19" i="21"/>
  <c r="DO19" i="21"/>
  <c r="DP19" i="24" s="1"/>
  <c r="DS19" i="21"/>
  <c r="DW19" i="21"/>
  <c r="EA19" i="21"/>
  <c r="EE19" i="21"/>
  <c r="EI19" i="21"/>
  <c r="EM19" i="21"/>
  <c r="EQ19" i="21"/>
  <c r="EU19" i="21"/>
  <c r="EV19" i="24" s="1"/>
  <c r="EY19" i="21"/>
  <c r="FC19" i="21"/>
  <c r="FG19" i="21"/>
  <c r="FK19" i="21"/>
  <c r="FO19" i="21"/>
  <c r="FS19" i="21"/>
  <c r="FW19" i="21"/>
  <c r="GA19" i="21"/>
  <c r="GB19" i="24" s="1"/>
  <c r="GE19" i="21"/>
  <c r="GI19" i="21"/>
  <c r="S20" i="21"/>
  <c r="W20" i="21"/>
  <c r="AA20" i="21"/>
  <c r="AE20" i="21"/>
  <c r="AI20" i="21"/>
  <c r="AM20" i="21"/>
  <c r="AQ20" i="21"/>
  <c r="AU20" i="21"/>
  <c r="AY20" i="21"/>
  <c r="BC20" i="21"/>
  <c r="BG20" i="21"/>
  <c r="BK20" i="21"/>
  <c r="BO20" i="21"/>
  <c r="BS20" i="21"/>
  <c r="BW20" i="21"/>
  <c r="CA20" i="21"/>
  <c r="CE20" i="21"/>
  <c r="CI20" i="21"/>
  <c r="CM20" i="21"/>
  <c r="CQ20" i="21"/>
  <c r="CU20" i="21"/>
  <c r="CY20" i="21"/>
  <c r="DC20" i="21"/>
  <c r="DG20" i="21"/>
  <c r="DK20" i="21"/>
  <c r="DL20" i="24" s="1"/>
  <c r="DO20" i="21"/>
  <c r="DS20" i="21"/>
  <c r="DT20" i="24" s="1"/>
  <c r="DW20" i="21"/>
  <c r="EA20" i="21"/>
  <c r="EE20" i="21"/>
  <c r="EF20" i="24" s="1"/>
  <c r="EI20" i="21"/>
  <c r="EJ20" i="24" s="1"/>
  <c r="EM20" i="21"/>
  <c r="EQ20" i="21"/>
  <c r="ER20" i="24" s="1"/>
  <c r="EU20" i="21"/>
  <c r="EY20" i="21"/>
  <c r="EZ20" i="24" s="1"/>
  <c r="FC20" i="21"/>
  <c r="FG20" i="21"/>
  <c r="FK20" i="21"/>
  <c r="FL20" i="24" s="1"/>
  <c r="FO20" i="21"/>
  <c r="FP20" i="24" s="1"/>
  <c r="FS20" i="21"/>
  <c r="FW20" i="21"/>
  <c r="FX20" i="24" s="1"/>
  <c r="GA20" i="21"/>
  <c r="GE20" i="21"/>
  <c r="GF20" i="24" s="1"/>
  <c r="GI20" i="21"/>
  <c r="S21" i="21"/>
  <c r="W21" i="21"/>
  <c r="X21" i="24" s="1"/>
  <c r="AA21" i="21"/>
  <c r="AE21" i="21"/>
  <c r="AI21" i="21"/>
  <c r="AM21" i="21"/>
  <c r="AQ21" i="21"/>
  <c r="AU21" i="21"/>
  <c r="AY21" i="21"/>
  <c r="BC21" i="21"/>
  <c r="BD21" i="24" s="1"/>
  <c r="BG21" i="21"/>
  <c r="BK21" i="21"/>
  <c r="BO21" i="21"/>
  <c r="BS21" i="21"/>
  <c r="BW21" i="21"/>
  <c r="CA21" i="21"/>
  <c r="CE21" i="21"/>
  <c r="CI21" i="21"/>
  <c r="CJ21" i="24" s="1"/>
  <c r="CM21" i="21"/>
  <c r="CQ21" i="21"/>
  <c r="CU21" i="21"/>
  <c r="CY21" i="21"/>
  <c r="DC21" i="21"/>
  <c r="DG21" i="21"/>
  <c r="DK21" i="21"/>
  <c r="DO21" i="21"/>
  <c r="DP21" i="24" s="1"/>
  <c r="DS21" i="21"/>
  <c r="DW21" i="21"/>
  <c r="EA21" i="21"/>
  <c r="EE21" i="21"/>
  <c r="EI21" i="21"/>
  <c r="EM21" i="21"/>
  <c r="EQ21" i="21"/>
  <c r="EU21" i="21"/>
  <c r="EV21" i="24" s="1"/>
  <c r="EY21" i="21"/>
  <c r="FC21" i="21"/>
  <c r="FG21" i="21"/>
  <c r="FK21" i="21"/>
  <c r="FO21" i="21"/>
  <c r="FS21" i="21"/>
  <c r="FW21" i="21"/>
  <c r="GA21" i="21"/>
  <c r="GB21" i="24" s="1"/>
  <c r="GE21" i="21"/>
  <c r="GI21" i="21"/>
  <c r="S22" i="21"/>
  <c r="W22" i="21"/>
  <c r="AA22" i="21"/>
  <c r="AE22" i="21"/>
  <c r="AI22" i="21"/>
  <c r="AM22" i="21"/>
  <c r="AQ22" i="21"/>
  <c r="AU22" i="21"/>
  <c r="AY22" i="21"/>
  <c r="BC22" i="21"/>
  <c r="BG22" i="21"/>
  <c r="BK22" i="21"/>
  <c r="BO22" i="21"/>
  <c r="BS22" i="21"/>
  <c r="BW22" i="21"/>
  <c r="CA22" i="21"/>
  <c r="CE22" i="21"/>
  <c r="CI22" i="21"/>
  <c r="CM22" i="21"/>
  <c r="CQ22" i="21"/>
  <c r="CU22" i="21"/>
  <c r="CY22" i="21"/>
  <c r="DC22" i="21"/>
  <c r="DG22" i="21"/>
  <c r="DK22" i="21"/>
  <c r="DO22" i="21"/>
  <c r="DS22" i="21"/>
  <c r="DW22" i="21"/>
  <c r="EA22" i="21"/>
  <c r="EE22" i="21"/>
  <c r="EI22" i="21"/>
  <c r="EM22" i="21"/>
  <c r="EQ22" i="21"/>
  <c r="EU22" i="21"/>
  <c r="EY22" i="21"/>
  <c r="FC22" i="21"/>
  <c r="FG22" i="21"/>
  <c r="FK22" i="21"/>
  <c r="FO22" i="21"/>
  <c r="FS22" i="21"/>
  <c r="FW22" i="21"/>
  <c r="GA22" i="21"/>
  <c r="GE22" i="21"/>
  <c r="GI22" i="21"/>
  <c r="S23" i="21"/>
  <c r="W23" i="21"/>
  <c r="X23" i="24" s="1"/>
  <c r="AA23" i="21"/>
  <c r="AB23" i="24" s="1"/>
  <c r="AE23" i="21"/>
  <c r="AI23" i="21"/>
  <c r="AJ23" i="24" s="1"/>
  <c r="AM23" i="21"/>
  <c r="AQ23" i="21"/>
  <c r="AR23" i="24" s="1"/>
  <c r="AU23" i="21"/>
  <c r="AY23" i="21"/>
  <c r="BC23" i="21"/>
  <c r="BD23" i="24" s="1"/>
  <c r="BG23" i="21"/>
  <c r="BH23" i="24" s="1"/>
  <c r="BK23" i="21"/>
  <c r="BO23" i="21"/>
  <c r="BP23" i="24" s="1"/>
  <c r="BS23" i="21"/>
  <c r="BW23" i="21"/>
  <c r="BX23" i="24" s="1"/>
  <c r="CA23" i="21"/>
  <c r="CE23" i="21"/>
  <c r="CI23" i="21"/>
  <c r="CJ23" i="23" s="1"/>
  <c r="CM23" i="21"/>
  <c r="CN23" i="24" s="1"/>
  <c r="CQ23" i="21"/>
  <c r="CU23" i="21"/>
  <c r="CY23" i="21"/>
  <c r="DC23" i="21"/>
  <c r="DD23" i="24" s="1"/>
  <c r="DG23" i="21"/>
  <c r="DK23" i="21"/>
  <c r="DO23" i="21"/>
  <c r="DS23" i="21"/>
  <c r="DT23" i="24" s="1"/>
  <c r="DW23" i="21"/>
  <c r="EA23" i="21"/>
  <c r="EB23" i="24" s="1"/>
  <c r="EE23" i="21"/>
  <c r="EI23" i="21"/>
  <c r="EJ23" i="24" s="1"/>
  <c r="EM23" i="21"/>
  <c r="EQ23" i="21"/>
  <c r="EU23" i="21"/>
  <c r="EV23" i="24" s="1"/>
  <c r="EY23" i="21"/>
  <c r="EZ23" i="24" s="1"/>
  <c r="FC23" i="21"/>
  <c r="FG23" i="21"/>
  <c r="FH23" i="24" s="1"/>
  <c r="FK23" i="21"/>
  <c r="FO23" i="21"/>
  <c r="FP23" i="24" s="1"/>
  <c r="FS23" i="21"/>
  <c r="FW23" i="21"/>
  <c r="GA23" i="21"/>
  <c r="GB23" i="24" s="1"/>
  <c r="GE23" i="21"/>
  <c r="GF23" i="24" s="1"/>
  <c r="GI23" i="21"/>
  <c r="S24" i="21"/>
  <c r="T24" i="24" s="1"/>
  <c r="W24" i="21"/>
  <c r="AA24" i="21"/>
  <c r="AB24" i="24" s="1"/>
  <c r="AE24" i="21"/>
  <c r="AI24" i="21"/>
  <c r="AM24" i="21"/>
  <c r="AN24" i="24" s="1"/>
  <c r="AQ24" i="21"/>
  <c r="AR24" i="24" s="1"/>
  <c r="AU24" i="21"/>
  <c r="AY24" i="21"/>
  <c r="AZ24" i="24" s="1"/>
  <c r="BC24" i="21"/>
  <c r="BG24" i="21"/>
  <c r="BH24" i="24" s="1"/>
  <c r="BK24" i="21"/>
  <c r="BO24" i="21"/>
  <c r="BS24" i="21"/>
  <c r="BT24" i="24" s="1"/>
  <c r="BW24" i="21"/>
  <c r="BX24" i="24" s="1"/>
  <c r="CA24" i="21"/>
  <c r="CE24" i="21"/>
  <c r="CF24" i="24" s="1"/>
  <c r="CI24" i="21"/>
  <c r="CM24" i="21"/>
  <c r="CN24" i="24" s="1"/>
  <c r="CQ24" i="21"/>
  <c r="CU24" i="21"/>
  <c r="CY24" i="21"/>
  <c r="CZ24" i="24" s="1"/>
  <c r="DC24" i="21"/>
  <c r="DD24" i="24" s="1"/>
  <c r="DG24" i="21"/>
  <c r="DK24" i="21"/>
  <c r="DL24" i="24" s="1"/>
  <c r="DO24" i="21"/>
  <c r="DS24" i="21"/>
  <c r="DT24" i="24" s="1"/>
  <c r="DW24" i="21"/>
  <c r="EA24" i="21"/>
  <c r="EE24" i="21"/>
  <c r="EF24" i="24" s="1"/>
  <c r="EI24" i="21"/>
  <c r="EJ24" i="24" s="1"/>
  <c r="EM24" i="21"/>
  <c r="EQ24" i="21"/>
  <c r="ER24" i="24" s="1"/>
  <c r="EU24" i="21"/>
  <c r="EY24" i="21"/>
  <c r="EZ24" i="24" s="1"/>
  <c r="FC24" i="21"/>
  <c r="FG24" i="21"/>
  <c r="FK24" i="21"/>
  <c r="FL24" i="24" s="1"/>
  <c r="FO24" i="21"/>
  <c r="FP24" i="24" s="1"/>
  <c r="FS24" i="21"/>
  <c r="FW24" i="21"/>
  <c r="FX24" i="24" s="1"/>
  <c r="GA24" i="21"/>
  <c r="GE24" i="21"/>
  <c r="GF24" i="24" s="1"/>
  <c r="GI24" i="21"/>
  <c r="S25" i="21"/>
  <c r="W25" i="21"/>
  <c r="X25" i="24" s="1"/>
  <c r="AA25" i="21"/>
  <c r="AB25" i="24" s="1"/>
  <c r="AE25" i="21"/>
  <c r="AI25" i="21"/>
  <c r="AJ25" i="24" s="1"/>
  <c r="AM25" i="21"/>
  <c r="AQ25" i="21"/>
  <c r="AR25" i="24" s="1"/>
  <c r="AU25" i="21"/>
  <c r="AY25" i="21"/>
  <c r="BC25" i="21"/>
  <c r="BD25" i="24" s="1"/>
  <c r="BG25" i="21"/>
  <c r="BH25" i="24" s="1"/>
  <c r="BK25" i="21"/>
  <c r="BO25" i="21"/>
  <c r="BP25" i="24" s="1"/>
  <c r="BS25" i="21"/>
  <c r="BW25" i="21"/>
  <c r="BX25" i="24" s="1"/>
  <c r="CA25" i="21"/>
  <c r="CE25" i="21"/>
  <c r="CI25" i="21"/>
  <c r="CJ25" i="24" s="1"/>
  <c r="CM25" i="21"/>
  <c r="CN25" i="24" s="1"/>
  <c r="CQ25" i="21"/>
  <c r="CU25" i="21"/>
  <c r="CV25" i="24" s="1"/>
  <c r="CY25" i="21"/>
  <c r="DF25" i="21"/>
  <c r="DG25" i="24" s="1"/>
  <c r="DN25" i="21"/>
  <c r="DV25" i="21"/>
  <c r="ED25" i="21"/>
  <c r="EE25" i="24" s="1"/>
  <c r="EL25" i="21"/>
  <c r="EM25" i="24" s="1"/>
  <c r="ET25" i="21"/>
  <c r="FB25" i="21"/>
  <c r="FC25" i="24" s="1"/>
  <c r="FJ25" i="21"/>
  <c r="FR25" i="21"/>
  <c r="FS25" i="24" s="1"/>
  <c r="FZ25" i="21"/>
  <c r="GH25" i="21"/>
  <c r="GP25" i="21"/>
  <c r="Z26" i="21"/>
  <c r="AH26" i="21"/>
  <c r="AP26" i="21"/>
  <c r="AX26" i="21"/>
  <c r="BF26" i="21"/>
  <c r="BN26" i="21"/>
  <c r="BV26" i="21"/>
  <c r="CD26" i="21"/>
  <c r="CL26" i="21"/>
  <c r="CT26" i="21"/>
  <c r="DB26" i="21"/>
  <c r="DJ26" i="21"/>
  <c r="DR26" i="21"/>
  <c r="DZ26" i="21"/>
  <c r="EH26" i="21"/>
  <c r="EP26" i="21"/>
  <c r="EX26" i="21"/>
  <c r="FF26" i="21"/>
  <c r="FN26" i="21"/>
  <c r="FV26" i="21"/>
  <c r="GD26" i="21"/>
  <c r="GL26" i="21"/>
  <c r="V27" i="21"/>
  <c r="AD27" i="21"/>
  <c r="AE27" i="24" s="1"/>
  <c r="AL27" i="21"/>
  <c r="AM27" i="24" s="1"/>
  <c r="AT27" i="21"/>
  <c r="BB27" i="21"/>
  <c r="BC27" i="24" s="1"/>
  <c r="BJ27" i="21"/>
  <c r="BR27" i="21"/>
  <c r="BS27" i="24" s="1"/>
  <c r="BZ27" i="21"/>
  <c r="CH27" i="21"/>
  <c r="CP27" i="21"/>
  <c r="CQ27" i="24" s="1"/>
  <c r="CX27" i="21"/>
  <c r="CY27" i="24" s="1"/>
  <c r="DF27" i="21"/>
  <c r="DN27" i="21"/>
  <c r="DO27" i="24" s="1"/>
  <c r="DV27" i="21"/>
  <c r="ED27" i="21"/>
  <c r="EE27" i="24" s="1"/>
  <c r="EL27" i="21"/>
  <c r="ET27" i="21"/>
  <c r="FB27" i="21"/>
  <c r="FC27" i="24" s="1"/>
  <c r="FJ27" i="21"/>
  <c r="FK27" i="24" s="1"/>
  <c r="FR27" i="21"/>
  <c r="FZ27" i="21"/>
  <c r="GA27" i="24" s="1"/>
  <c r="GH27" i="21"/>
  <c r="GP27" i="21"/>
  <c r="Z28" i="21"/>
  <c r="AH28" i="21"/>
  <c r="AP28" i="21"/>
  <c r="AQ28" i="24" s="1"/>
  <c r="AX28" i="21"/>
  <c r="AY28" i="24" s="1"/>
  <c r="BF28" i="21"/>
  <c r="BN28" i="21"/>
  <c r="BV28" i="21"/>
  <c r="CD28" i="21"/>
  <c r="CE28" i="24" s="1"/>
  <c r="CL28" i="21"/>
  <c r="CT28" i="21"/>
  <c r="DB28" i="21"/>
  <c r="DC28" i="24" s="1"/>
  <c r="DJ28" i="21"/>
  <c r="DK28" i="24" s="1"/>
  <c r="DR28" i="21"/>
  <c r="DZ28" i="21"/>
  <c r="EA28" i="24" s="1"/>
  <c r="EH28" i="21"/>
  <c r="EP28" i="21"/>
  <c r="EQ28" i="24" s="1"/>
  <c r="EX28" i="21"/>
  <c r="FF28" i="21"/>
  <c r="FN28" i="21"/>
  <c r="FO28" i="24" s="1"/>
  <c r="FV28" i="21"/>
  <c r="FW28" i="24" s="1"/>
  <c r="GD28" i="21"/>
  <c r="GL28" i="21"/>
  <c r="GM28" i="24" s="1"/>
  <c r="V29" i="21"/>
  <c r="AD29" i="21"/>
  <c r="AE29" i="24" s="1"/>
  <c r="AL29" i="21"/>
  <c r="AT29" i="21"/>
  <c r="BB29" i="21"/>
  <c r="BC29" i="24" s="1"/>
  <c r="BJ29" i="21"/>
  <c r="BK29" i="24" s="1"/>
  <c r="BR29" i="21"/>
  <c r="BZ29" i="21"/>
  <c r="CA29" i="24" s="1"/>
  <c r="CH29" i="21"/>
  <c r="CP29" i="21"/>
  <c r="CQ29" i="24" s="1"/>
  <c r="CX29" i="21"/>
  <c r="DF29" i="21"/>
  <c r="DN29" i="21"/>
  <c r="DO29" i="24" s="1"/>
  <c r="DV29" i="21"/>
  <c r="DW29" i="24" s="1"/>
  <c r="ED29" i="21"/>
  <c r="ES29" i="21"/>
  <c r="ET29" i="24" s="1"/>
  <c r="DM21" i="24"/>
  <c r="CG21" i="24"/>
  <c r="FD21" i="24"/>
  <c r="DL21" i="24"/>
  <c r="FO21" i="24"/>
  <c r="DW21" i="24"/>
  <c r="GD21" i="24"/>
  <c r="EX21" i="24"/>
  <c r="BF21" i="24"/>
  <c r="Z21" i="24"/>
  <c r="GK25" i="24"/>
  <c r="GG25" i="24"/>
  <c r="FU25" i="24"/>
  <c r="FQ25" i="24"/>
  <c r="FM25" i="24"/>
  <c r="FE25" i="24"/>
  <c r="FA25" i="24"/>
  <c r="EO25" i="24"/>
  <c r="EK25" i="24"/>
  <c r="EG25" i="24"/>
  <c r="DY25" i="24"/>
  <c r="DU25" i="24"/>
  <c r="DI25" i="24"/>
  <c r="DE25" i="24"/>
  <c r="DA25" i="24"/>
  <c r="CS25" i="24"/>
  <c r="CO25" i="24"/>
  <c r="CK25" i="24"/>
  <c r="CG25" i="24"/>
  <c r="CC25" i="24"/>
  <c r="BY25" i="24"/>
  <c r="BU25" i="24"/>
  <c r="BM25" i="24"/>
  <c r="BI25" i="24"/>
  <c r="BE25" i="24"/>
  <c r="BA25" i="24"/>
  <c r="AW25" i="24"/>
  <c r="AS25" i="24"/>
  <c r="AO25" i="24"/>
  <c r="AG25" i="24"/>
  <c r="AC25" i="24"/>
  <c r="Y25" i="24"/>
  <c r="U25" i="24"/>
  <c r="GN25" i="24"/>
  <c r="GJ25" i="24"/>
  <c r="GF25" i="24"/>
  <c r="FX25" i="24"/>
  <c r="FT25" i="24"/>
  <c r="FP25" i="24"/>
  <c r="FL25" i="24"/>
  <c r="FH25" i="24"/>
  <c r="FD25" i="24"/>
  <c r="EZ25" i="24"/>
  <c r="ER25" i="24"/>
  <c r="EN25" i="24"/>
  <c r="EJ25" i="24"/>
  <c r="EF25" i="24"/>
  <c r="EB25" i="24"/>
  <c r="DX25" i="24"/>
  <c r="DT25" i="24"/>
  <c r="DL25" i="24"/>
  <c r="DH25" i="24"/>
  <c r="DD25" i="24"/>
  <c r="CZ25" i="24"/>
  <c r="CR25" i="24"/>
  <c r="CF25" i="24"/>
  <c r="CB25" i="24"/>
  <c r="BT25" i="24"/>
  <c r="BL25" i="24"/>
  <c r="AZ25" i="24"/>
  <c r="AV25" i="24"/>
  <c r="AN25" i="24"/>
  <c r="AF25" i="24"/>
  <c r="T25" i="24"/>
  <c r="GM25" i="24"/>
  <c r="GI25" i="24"/>
  <c r="GE25" i="24"/>
  <c r="GA25" i="24"/>
  <c r="FW25" i="24"/>
  <c r="FO25" i="24"/>
  <c r="FK25" i="24"/>
  <c r="EY25" i="24"/>
  <c r="EU25" i="24"/>
  <c r="EQ25" i="24"/>
  <c r="EI25" i="24"/>
  <c r="EA25" i="24"/>
  <c r="DW25" i="24"/>
  <c r="DS25" i="24"/>
  <c r="DO25" i="24"/>
  <c r="DK25" i="24"/>
  <c r="DC25" i="24"/>
  <c r="CQ25" i="24"/>
  <c r="CM25" i="24"/>
  <c r="CE25" i="24"/>
  <c r="CA25" i="24"/>
  <c r="BW25" i="24"/>
  <c r="BK25" i="24"/>
  <c r="BG25" i="24"/>
  <c r="AY25" i="24"/>
  <c r="AQ25" i="24"/>
  <c r="AE25" i="24"/>
  <c r="AA25" i="24"/>
  <c r="S25" i="24"/>
  <c r="GL25" i="24"/>
  <c r="GH25" i="24"/>
  <c r="GD25" i="24"/>
  <c r="FZ25" i="24"/>
  <c r="FV25" i="24"/>
  <c r="FR25" i="24"/>
  <c r="FN25" i="24"/>
  <c r="EX25" i="24"/>
  <c r="ET25" i="24"/>
  <c r="EP25" i="24"/>
  <c r="EL25" i="24"/>
  <c r="EH25" i="24"/>
  <c r="DZ25" i="24"/>
  <c r="DV25" i="24"/>
  <c r="DR25" i="24"/>
  <c r="DJ25" i="24"/>
  <c r="DF25" i="24"/>
  <c r="DB25" i="24"/>
  <c r="CT25" i="24"/>
  <c r="CP25" i="24"/>
  <c r="CL25" i="24"/>
  <c r="CH25" i="24"/>
  <c r="CD25" i="24"/>
  <c r="BZ25" i="24"/>
  <c r="BV25" i="24"/>
  <c r="BN25" i="24"/>
  <c r="BJ25" i="24"/>
  <c r="BF25" i="24"/>
  <c r="BB25" i="24"/>
  <c r="AX25" i="24"/>
  <c r="AT25" i="24"/>
  <c r="AP25" i="24"/>
  <c r="AH25" i="24"/>
  <c r="AD25" i="24"/>
  <c r="Z25" i="24"/>
  <c r="V25" i="24"/>
  <c r="GO29" i="24"/>
  <c r="GK29" i="24"/>
  <c r="GC29" i="24"/>
  <c r="FY29" i="24"/>
  <c r="FM29" i="24"/>
  <c r="FI29" i="24"/>
  <c r="FE29" i="24"/>
  <c r="EW29" i="24"/>
  <c r="GF29" i="24"/>
  <c r="GB29" i="24"/>
  <c r="FX29" i="24"/>
  <c r="FP29" i="24"/>
  <c r="FL29" i="24"/>
  <c r="EZ29" i="24"/>
  <c r="EV29" i="24"/>
  <c r="ER29" i="24"/>
  <c r="GM29" i="24"/>
  <c r="GI29" i="24"/>
  <c r="FW29" i="24"/>
  <c r="FS29" i="24"/>
  <c r="FO29" i="24"/>
  <c r="FG29" i="24"/>
  <c r="FC29" i="24"/>
  <c r="GD29" i="24"/>
  <c r="FN29" i="24"/>
  <c r="EX29" i="24"/>
  <c r="EP29" i="24"/>
  <c r="EG29" i="24"/>
  <c r="EC29" i="24"/>
  <c r="DY29" i="24"/>
  <c r="DQ29" i="24"/>
  <c r="DM29" i="24"/>
  <c r="DA29" i="24"/>
  <c r="CW29" i="24"/>
  <c r="CS29" i="24"/>
  <c r="CK29" i="24"/>
  <c r="CG29" i="24"/>
  <c r="GP29" i="24"/>
  <c r="FZ29" i="24"/>
  <c r="FJ29" i="24"/>
  <c r="EJ29" i="24"/>
  <c r="EF29" i="24"/>
  <c r="DT29" i="24"/>
  <c r="DP29" i="24"/>
  <c r="DL29" i="24"/>
  <c r="DD29" i="24"/>
  <c r="CZ29" i="24"/>
  <c r="CN29" i="24"/>
  <c r="CJ29" i="24"/>
  <c r="CF29" i="24"/>
  <c r="BX29" i="24"/>
  <c r="BT29" i="24"/>
  <c r="BH29" i="24"/>
  <c r="BD29" i="24"/>
  <c r="AZ29" i="24"/>
  <c r="AR29" i="24"/>
  <c r="AN29" i="24"/>
  <c r="AB29" i="24"/>
  <c r="X29" i="24"/>
  <c r="T29" i="24"/>
  <c r="FV29" i="24"/>
  <c r="ES29" i="24"/>
  <c r="EM29" i="24"/>
  <c r="EI29" i="24"/>
  <c r="EE29" i="24"/>
  <c r="EA29" i="24"/>
  <c r="DS29" i="24"/>
  <c r="DK29" i="24"/>
  <c r="DG29" i="24"/>
  <c r="DC29" i="24"/>
  <c r="CY29" i="24"/>
  <c r="CU29" i="24"/>
  <c r="CI29" i="24"/>
  <c r="CE29" i="24"/>
  <c r="BW29" i="24"/>
  <c r="BS29" i="24"/>
  <c r="BO29" i="24"/>
  <c r="BG29" i="24"/>
  <c r="AY29" i="24"/>
  <c r="AU29" i="24"/>
  <c r="AQ29" i="24"/>
  <c r="AM29" i="24"/>
  <c r="AI29" i="24"/>
  <c r="W29" i="24"/>
  <c r="S29" i="24"/>
  <c r="EQ29" i="24"/>
  <c r="EL29" i="24"/>
  <c r="EH29" i="24"/>
  <c r="ED29" i="24"/>
  <c r="DZ29" i="24"/>
  <c r="DR29" i="24"/>
  <c r="DN29" i="24"/>
  <c r="DJ29" i="24"/>
  <c r="DB29" i="24"/>
  <c r="CX29" i="24"/>
  <c r="CT29" i="24"/>
  <c r="CD29" i="24"/>
  <c r="BZ29" i="24"/>
  <c r="BV29" i="24"/>
  <c r="BR29" i="24"/>
  <c r="BN29" i="24"/>
  <c r="BF29" i="24"/>
  <c r="BB29" i="24"/>
  <c r="AX29" i="24"/>
  <c r="AT29" i="24"/>
  <c r="AP29" i="24"/>
  <c r="AL29" i="24"/>
  <c r="AH29" i="24"/>
  <c r="BM29" i="24"/>
  <c r="AG29" i="24"/>
  <c r="BU29" i="24"/>
  <c r="BE29" i="24"/>
  <c r="AO29" i="24"/>
  <c r="Y29" i="24"/>
  <c r="BQ29" i="24"/>
  <c r="BA29" i="24"/>
  <c r="AK29" i="24"/>
  <c r="U29" i="24"/>
  <c r="GK33" i="24"/>
  <c r="GG33" i="24"/>
  <c r="FU33" i="24"/>
  <c r="FQ33" i="24"/>
  <c r="FM33" i="24"/>
  <c r="FE33" i="24"/>
  <c r="FA33" i="24"/>
  <c r="EO33" i="24"/>
  <c r="EK33" i="24"/>
  <c r="EG33" i="24"/>
  <c r="DY33" i="24"/>
  <c r="DU33" i="24"/>
  <c r="DI33" i="24"/>
  <c r="DE33" i="24"/>
  <c r="DA33" i="24"/>
  <c r="CS33" i="24"/>
  <c r="CO33" i="24"/>
  <c r="CC33" i="24"/>
  <c r="BY33" i="24"/>
  <c r="BU33" i="24"/>
  <c r="BM33" i="24"/>
  <c r="BI33" i="24"/>
  <c r="AW33" i="24"/>
  <c r="AS33" i="24"/>
  <c r="AO33" i="24"/>
  <c r="AG33" i="24"/>
  <c r="AC33" i="24"/>
  <c r="GN33" i="24"/>
  <c r="GJ33" i="24"/>
  <c r="GF33" i="24"/>
  <c r="FX33" i="24"/>
  <c r="FT33" i="24"/>
  <c r="FH33" i="24"/>
  <c r="FD33" i="24"/>
  <c r="EZ33" i="24"/>
  <c r="ER33" i="24"/>
  <c r="EN33" i="24"/>
  <c r="EJ33" i="24"/>
  <c r="EB33" i="24"/>
  <c r="DX33" i="24"/>
  <c r="DT33" i="24"/>
  <c r="DL33" i="24"/>
  <c r="DH33" i="24"/>
  <c r="CV33" i="24"/>
  <c r="CR33" i="24"/>
  <c r="CN33" i="24"/>
  <c r="CF33" i="24"/>
  <c r="CB33" i="24"/>
  <c r="BP33" i="24"/>
  <c r="BL33" i="24"/>
  <c r="BH33" i="24"/>
  <c r="AZ33" i="24"/>
  <c r="AV33" i="24"/>
  <c r="AJ33" i="24"/>
  <c r="AF33" i="24"/>
  <c r="AB33" i="24"/>
  <c r="T33" i="24"/>
  <c r="GE33" i="24"/>
  <c r="GA33" i="24"/>
  <c r="FW33" i="24"/>
  <c r="FO33" i="24"/>
  <c r="FK33" i="24"/>
  <c r="EY33" i="24"/>
  <c r="EU33" i="24"/>
  <c r="EQ33" i="24"/>
  <c r="EI33" i="24"/>
  <c r="EE33" i="24"/>
  <c r="DS33" i="24"/>
  <c r="DO33" i="24"/>
  <c r="DK33" i="24"/>
  <c r="DC33" i="24"/>
  <c r="CY33" i="24"/>
  <c r="CM33" i="24"/>
  <c r="CI33" i="24"/>
  <c r="CE33" i="24"/>
  <c r="BW33" i="24"/>
  <c r="BS33" i="24"/>
  <c r="BG33" i="24"/>
  <c r="BC33" i="24"/>
  <c r="AY33" i="24"/>
  <c r="AQ33" i="24"/>
  <c r="AM33" i="24"/>
  <c r="AI33" i="24"/>
  <c r="AA33" i="24"/>
  <c r="W33" i="24"/>
  <c r="S33" i="24"/>
  <c r="GD33" i="24"/>
  <c r="FN33" i="24"/>
  <c r="EX33" i="24"/>
  <c r="EH33" i="24"/>
  <c r="DR33" i="24"/>
  <c r="DB33" i="24"/>
  <c r="CL33" i="24"/>
  <c r="BV33" i="24"/>
  <c r="BF33" i="24"/>
  <c r="AP33" i="24"/>
  <c r="Z33" i="24"/>
  <c r="FZ33" i="24"/>
  <c r="ET33" i="24"/>
  <c r="DN33" i="24"/>
  <c r="CH33" i="24"/>
  <c r="BB33" i="24"/>
  <c r="V33" i="24"/>
  <c r="EP33" i="24"/>
  <c r="CD33" i="24"/>
  <c r="GH33" i="24"/>
  <c r="FR33" i="24"/>
  <c r="FB33" i="24"/>
  <c r="EL33" i="24"/>
  <c r="DV33" i="24"/>
  <c r="DF33" i="24"/>
  <c r="CP33" i="24"/>
  <c r="BZ33" i="24"/>
  <c r="BJ33" i="24"/>
  <c r="AT33" i="24"/>
  <c r="AD33" i="24"/>
  <c r="DY37" i="24"/>
  <c r="AZ37" i="24"/>
  <c r="BS37" i="24"/>
  <c r="V12" i="24"/>
  <c r="Z12" i="24"/>
  <c r="AD12" i="24"/>
  <c r="AH12" i="24"/>
  <c r="AL12" i="24"/>
  <c r="AT12" i="24"/>
  <c r="AX12" i="24"/>
  <c r="BB12" i="24"/>
  <c r="BF12" i="24"/>
  <c r="BJ12" i="24"/>
  <c r="BN12" i="24"/>
  <c r="BR12" i="24"/>
  <c r="BZ12" i="24"/>
  <c r="CD12" i="24"/>
  <c r="CH12" i="24"/>
  <c r="CL12" i="24"/>
  <c r="CP12" i="24"/>
  <c r="CT12" i="24"/>
  <c r="CX12" i="24"/>
  <c r="DF12" i="24"/>
  <c r="DJ12" i="24"/>
  <c r="DN12" i="24"/>
  <c r="DR12" i="24"/>
  <c r="DV12" i="24"/>
  <c r="DZ12" i="24"/>
  <c r="ED12" i="24"/>
  <c r="EL12" i="24"/>
  <c r="EP12" i="24"/>
  <c r="ET12" i="24"/>
  <c r="EX12" i="24"/>
  <c r="FB12" i="24"/>
  <c r="FF12" i="24"/>
  <c r="FJ12" i="24"/>
  <c r="FR12" i="24"/>
  <c r="FV12" i="24"/>
  <c r="FZ12" i="24"/>
  <c r="GD12" i="24"/>
  <c r="GH12" i="24"/>
  <c r="GL12" i="24"/>
  <c r="GP12" i="24"/>
  <c r="Z13" i="24"/>
  <c r="AD13" i="24"/>
  <c r="AH13" i="24"/>
  <c r="AL13" i="24"/>
  <c r="AP13" i="24"/>
  <c r="AT13" i="24"/>
  <c r="AX13" i="24"/>
  <c r="BF13" i="24"/>
  <c r="BJ13" i="24"/>
  <c r="BN13" i="24"/>
  <c r="BR13" i="24"/>
  <c r="BV13" i="24"/>
  <c r="BZ13" i="24"/>
  <c r="CD13" i="24"/>
  <c r="CL13" i="24"/>
  <c r="CP13" i="24"/>
  <c r="CT13" i="24"/>
  <c r="CX13" i="24"/>
  <c r="DB13" i="24"/>
  <c r="DF13" i="24"/>
  <c r="DJ13" i="24"/>
  <c r="DR13" i="24"/>
  <c r="DV13" i="24"/>
  <c r="DZ13" i="24"/>
  <c r="ED13" i="24"/>
  <c r="EH13" i="24"/>
  <c r="EL13" i="24"/>
  <c r="EP13" i="24"/>
  <c r="EX13" i="24"/>
  <c r="FB13" i="24"/>
  <c r="FF13" i="24"/>
  <c r="FJ13" i="24"/>
  <c r="FN13" i="24"/>
  <c r="FR13" i="24"/>
  <c r="FV13" i="24"/>
  <c r="GD13" i="24"/>
  <c r="GH13" i="24"/>
  <c r="GL13" i="24"/>
  <c r="GP13" i="24"/>
  <c r="V14" i="24"/>
  <c r="Z14" i="24"/>
  <c r="AD14" i="24"/>
  <c r="AL14" i="24"/>
  <c r="AP14" i="24"/>
  <c r="AT14" i="24"/>
  <c r="AX14" i="24"/>
  <c r="BB14" i="24"/>
  <c r="BF14" i="24"/>
  <c r="BJ14" i="24"/>
  <c r="BR14" i="24"/>
  <c r="BV14" i="24"/>
  <c r="BZ14" i="24"/>
  <c r="CD14" i="24"/>
  <c r="CH14" i="24"/>
  <c r="CL14" i="24"/>
  <c r="CP14" i="24"/>
  <c r="CX14" i="24"/>
  <c r="DB14" i="24"/>
  <c r="DF14" i="24"/>
  <c r="DJ14" i="24"/>
  <c r="DN14" i="24"/>
  <c r="DR14" i="24"/>
  <c r="DV14" i="24"/>
  <c r="ED14" i="24"/>
  <c r="EH14" i="24"/>
  <c r="EL14" i="24"/>
  <c r="EP14" i="24"/>
  <c r="ET14" i="24"/>
  <c r="EX14" i="24"/>
  <c r="FB14" i="24"/>
  <c r="FJ14" i="24"/>
  <c r="FN14" i="24"/>
  <c r="FR14" i="24"/>
  <c r="FV14" i="24"/>
  <c r="FZ14" i="24"/>
  <c r="GD14" i="24"/>
  <c r="GH14" i="24"/>
  <c r="GP14" i="24"/>
  <c r="V15" i="24"/>
  <c r="Z15" i="24"/>
  <c r="AD15" i="24"/>
  <c r="AH15" i="24"/>
  <c r="AL15" i="24"/>
  <c r="AP15" i="24"/>
  <c r="AX15" i="24"/>
  <c r="BB15" i="24"/>
  <c r="BF15" i="24"/>
  <c r="BJ15" i="24"/>
  <c r="BN15" i="24"/>
  <c r="BR15" i="24"/>
  <c r="BV15" i="24"/>
  <c r="CD15" i="24"/>
  <c r="CH15" i="24"/>
  <c r="CL15" i="24"/>
  <c r="CP15" i="24"/>
  <c r="CT15" i="24"/>
  <c r="CX15" i="24"/>
  <c r="DB15" i="24"/>
  <c r="DJ15" i="24"/>
  <c r="DN15" i="24"/>
  <c r="DR15" i="24"/>
  <c r="DV15" i="24"/>
  <c r="DZ15" i="24"/>
  <c r="ED15" i="24"/>
  <c r="EH15" i="24"/>
  <c r="EP15" i="24"/>
  <c r="ET15" i="24"/>
  <c r="EX15" i="24"/>
  <c r="FB15" i="24"/>
  <c r="FF15" i="24"/>
  <c r="FJ15" i="24"/>
  <c r="FN15" i="24"/>
  <c r="FV15" i="24"/>
  <c r="FZ15" i="24"/>
  <c r="GD15" i="24"/>
  <c r="GH15" i="24"/>
  <c r="GL15" i="24"/>
  <c r="GP15" i="24"/>
  <c r="V16" i="24"/>
  <c r="AD16" i="24"/>
  <c r="AH16" i="24"/>
  <c r="AL16" i="24"/>
  <c r="AP16" i="24"/>
  <c r="AT16" i="24"/>
  <c r="AX16" i="24"/>
  <c r="BB16" i="24"/>
  <c r="BJ16" i="24"/>
  <c r="BN16" i="24"/>
  <c r="BR16" i="24"/>
  <c r="BV16" i="24"/>
  <c r="BZ16" i="24"/>
  <c r="CD16" i="24"/>
  <c r="CH16" i="24"/>
  <c r="CP16" i="24"/>
  <c r="CT16" i="24"/>
  <c r="CX16" i="24"/>
  <c r="DB16" i="24"/>
  <c r="DF16" i="24"/>
  <c r="DJ16" i="24"/>
  <c r="DN16" i="24"/>
  <c r="DV16" i="24"/>
  <c r="DZ16" i="24"/>
  <c r="ED16" i="24"/>
  <c r="EH16" i="24"/>
  <c r="EL16" i="24"/>
  <c r="EP16" i="24"/>
  <c r="ET16" i="24"/>
  <c r="FB16" i="24"/>
  <c r="FF16" i="24"/>
  <c r="FJ16" i="24"/>
  <c r="FN16" i="24"/>
  <c r="FR16" i="24"/>
  <c r="FV16" i="24"/>
  <c r="FZ16" i="24"/>
  <c r="GH16" i="24"/>
  <c r="GL16" i="24"/>
  <c r="GP16" i="24"/>
  <c r="AP17" i="24"/>
  <c r="BV17" i="24"/>
  <c r="DB17" i="24"/>
  <c r="DV17" i="24"/>
  <c r="ET17" i="24"/>
  <c r="FN17" i="24"/>
  <c r="GH17" i="24"/>
  <c r="V18" i="24"/>
  <c r="Z18" i="24"/>
  <c r="AD18" i="24"/>
  <c r="AH18" i="24"/>
  <c r="AL18" i="24"/>
  <c r="AP18" i="24"/>
  <c r="AT18" i="24"/>
  <c r="AX18" i="24"/>
  <c r="BB18" i="24"/>
  <c r="BF18" i="24"/>
  <c r="BJ18" i="24"/>
  <c r="BN18" i="24"/>
  <c r="BR18" i="24"/>
  <c r="BV18" i="24"/>
  <c r="BZ18" i="24"/>
  <c r="CD18" i="24"/>
  <c r="CH18" i="24"/>
  <c r="CL18" i="24"/>
  <c r="CP18" i="24"/>
  <c r="CT18" i="24"/>
  <c r="CX18" i="24"/>
  <c r="DB18" i="24"/>
  <c r="DF18" i="24"/>
  <c r="DJ18" i="24"/>
  <c r="DN18" i="24"/>
  <c r="DR18" i="24"/>
  <c r="DV18" i="24"/>
  <c r="DZ18" i="24"/>
  <c r="ED18" i="24"/>
  <c r="EH18" i="24"/>
  <c r="EL18" i="24"/>
  <c r="EP18" i="24"/>
  <c r="ET18" i="24"/>
  <c r="EX18" i="24"/>
  <c r="FB18" i="24"/>
  <c r="FF18" i="24"/>
  <c r="FJ18" i="24"/>
  <c r="FN18" i="24"/>
  <c r="FR18" i="24"/>
  <c r="FV18" i="24"/>
  <c r="FZ18" i="24"/>
  <c r="GD18" i="24"/>
  <c r="GH18" i="24"/>
  <c r="GL18" i="24"/>
  <c r="GP18" i="24"/>
  <c r="V19" i="24"/>
  <c r="Z19" i="24"/>
  <c r="AD19" i="24"/>
  <c r="AH19" i="24"/>
  <c r="AL19" i="24"/>
  <c r="AP19" i="24"/>
  <c r="AT19" i="24"/>
  <c r="AX19" i="24"/>
  <c r="BB19" i="24"/>
  <c r="BF19" i="24"/>
  <c r="BJ19" i="24"/>
  <c r="BN19" i="24"/>
  <c r="BR19" i="24"/>
  <c r="BV19" i="24"/>
  <c r="BZ19" i="24"/>
  <c r="CD19" i="24"/>
  <c r="CH19" i="24"/>
  <c r="CL19" i="24"/>
  <c r="CP19" i="24"/>
  <c r="CT19" i="24"/>
  <c r="CX19" i="24"/>
  <c r="DB19" i="24"/>
  <c r="DF19" i="24"/>
  <c r="DJ19" i="24"/>
  <c r="DN19" i="24"/>
  <c r="DR19" i="24"/>
  <c r="DV19" i="24"/>
  <c r="DZ19" i="24"/>
  <c r="ED19" i="24"/>
  <c r="EH19" i="24"/>
  <c r="EL19" i="24"/>
  <c r="EP19" i="24"/>
  <c r="ET19" i="24"/>
  <c r="EX19" i="24"/>
  <c r="FB19" i="24"/>
  <c r="FF19" i="24"/>
  <c r="FJ19" i="24"/>
  <c r="FN19" i="24"/>
  <c r="FR19" i="24"/>
  <c r="FV19" i="24"/>
  <c r="FZ19" i="24"/>
  <c r="GD19" i="24"/>
  <c r="GH19" i="24"/>
  <c r="GL19" i="24"/>
  <c r="GP19" i="24"/>
  <c r="V20" i="24"/>
  <c r="Z20" i="24"/>
  <c r="AD20" i="24"/>
  <c r="AH20" i="24"/>
  <c r="AL20" i="24"/>
  <c r="AP20" i="24"/>
  <c r="AT20" i="24"/>
  <c r="AX20" i="24"/>
  <c r="BB20" i="24"/>
  <c r="BF20" i="24"/>
  <c r="BJ20" i="24"/>
  <c r="BN20" i="24"/>
  <c r="BR20" i="24"/>
  <c r="BV20" i="24"/>
  <c r="BZ20" i="24"/>
  <c r="CD20" i="24"/>
  <c r="CH20" i="24"/>
  <c r="CL20" i="24"/>
  <c r="CP20" i="24"/>
  <c r="CT20" i="24"/>
  <c r="CX20" i="24"/>
  <c r="DB20" i="24"/>
  <c r="DG20" i="24"/>
  <c r="GO20" i="24"/>
  <c r="GK20" i="24"/>
  <c r="GG20" i="24"/>
  <c r="GC20" i="24"/>
  <c r="FY20" i="24"/>
  <c r="FU20" i="24"/>
  <c r="FQ20" i="24"/>
  <c r="FI20" i="24"/>
  <c r="FE20" i="24"/>
  <c r="FA20" i="24"/>
  <c r="EW20" i="24"/>
  <c r="ES20" i="24"/>
  <c r="EO20" i="24"/>
  <c r="EK20" i="24"/>
  <c r="EC20" i="24"/>
  <c r="DY20" i="24"/>
  <c r="DU20" i="24"/>
  <c r="DQ20" i="24"/>
  <c r="DM20" i="24"/>
  <c r="DI20" i="24"/>
  <c r="DE20" i="24"/>
  <c r="GN20" i="24"/>
  <c r="GJ20" i="24"/>
  <c r="GB20" i="24"/>
  <c r="FT20" i="24"/>
  <c r="FH20" i="24"/>
  <c r="FD20" i="24"/>
  <c r="EV20" i="24"/>
  <c r="EN20" i="24"/>
  <c r="EB20" i="24"/>
  <c r="DX20" i="24"/>
  <c r="DP20" i="24"/>
  <c r="GM20" i="24"/>
  <c r="GI20" i="24"/>
  <c r="GE20" i="24"/>
  <c r="GA20" i="24"/>
  <c r="FW20" i="24"/>
  <c r="FS20" i="24"/>
  <c r="FO20" i="24"/>
  <c r="FG20" i="24"/>
  <c r="FC20" i="24"/>
  <c r="EY20" i="24"/>
  <c r="EU20" i="24"/>
  <c r="EQ20" i="24"/>
  <c r="EM20" i="24"/>
  <c r="EI20" i="24"/>
  <c r="EA20" i="24"/>
  <c r="DW20" i="24"/>
  <c r="DS20" i="24"/>
  <c r="DO20" i="24"/>
  <c r="GP20" i="24"/>
  <c r="GL20" i="24"/>
  <c r="GH20" i="24"/>
  <c r="GD20" i="24"/>
  <c r="FZ20" i="24"/>
  <c r="FV20" i="24"/>
  <c r="FR20" i="24"/>
  <c r="FJ20" i="24"/>
  <c r="FF20" i="24"/>
  <c r="FB20" i="24"/>
  <c r="EX20" i="24"/>
  <c r="ET20" i="24"/>
  <c r="EP20" i="24"/>
  <c r="EL20" i="24"/>
  <c r="ED20" i="24"/>
  <c r="DZ20" i="24"/>
  <c r="GO24" i="24"/>
  <c r="GK24" i="24"/>
  <c r="GG24" i="24"/>
  <c r="FY24" i="24"/>
  <c r="FU24" i="24"/>
  <c r="FQ24" i="24"/>
  <c r="FM24" i="24"/>
  <c r="FI24" i="24"/>
  <c r="FE24" i="24"/>
  <c r="FA24" i="24"/>
  <c r="ES24" i="24"/>
  <c r="EO24" i="24"/>
  <c r="EK24" i="24"/>
  <c r="EG24" i="24"/>
  <c r="EC24" i="24"/>
  <c r="DY24" i="24"/>
  <c r="DU24" i="24"/>
  <c r="DM24" i="24"/>
  <c r="DI24" i="24"/>
  <c r="DE24" i="24"/>
  <c r="DA24" i="24"/>
  <c r="CW24" i="24"/>
  <c r="CS24" i="24"/>
  <c r="CO24" i="24"/>
  <c r="CG24" i="24"/>
  <c r="CC24" i="24"/>
  <c r="BY24" i="24"/>
  <c r="BU24" i="24"/>
  <c r="BQ24" i="24"/>
  <c r="BM24" i="24"/>
  <c r="BI24" i="24"/>
  <c r="BA24" i="24"/>
  <c r="AW24" i="24"/>
  <c r="AS24" i="24"/>
  <c r="AO24" i="24"/>
  <c r="AK24" i="24"/>
  <c r="AG24" i="24"/>
  <c r="AC24" i="24"/>
  <c r="U24" i="24"/>
  <c r="GN24" i="24"/>
  <c r="GJ24" i="24"/>
  <c r="GB24" i="24"/>
  <c r="FT24" i="24"/>
  <c r="FH24" i="24"/>
  <c r="FD24" i="24"/>
  <c r="EV24" i="24"/>
  <c r="EN24" i="24"/>
  <c r="EB24" i="24"/>
  <c r="DX24" i="24"/>
  <c r="DP24" i="24"/>
  <c r="DH24" i="24"/>
  <c r="CV24" i="24"/>
  <c r="CR24" i="24"/>
  <c r="CJ24" i="24"/>
  <c r="CB24" i="24"/>
  <c r="BP24" i="24"/>
  <c r="BL24" i="24"/>
  <c r="BD24" i="24"/>
  <c r="AV24" i="24"/>
  <c r="AJ24" i="24"/>
  <c r="AF24" i="24"/>
  <c r="X24" i="24"/>
  <c r="GM24" i="24"/>
  <c r="GI24" i="24"/>
  <c r="GE24" i="24"/>
  <c r="GA24" i="24"/>
  <c r="FW24" i="24"/>
  <c r="FS24" i="24"/>
  <c r="FO24" i="24"/>
  <c r="FK24" i="24"/>
  <c r="FG24" i="24"/>
  <c r="FC24" i="24"/>
  <c r="EY24" i="24"/>
  <c r="EU24" i="24"/>
  <c r="EQ24" i="24"/>
  <c r="EM24" i="24"/>
  <c r="EI24" i="24"/>
  <c r="EE24" i="24"/>
  <c r="EA24" i="24"/>
  <c r="DW24" i="24"/>
  <c r="DS24" i="24"/>
  <c r="DO24" i="24"/>
  <c r="DK24" i="24"/>
  <c r="DG24" i="24"/>
  <c r="DC24" i="24"/>
  <c r="CY24" i="24"/>
  <c r="CU24" i="24"/>
  <c r="CQ24" i="24"/>
  <c r="CM24" i="24"/>
  <c r="CI24" i="24"/>
  <c r="CE24" i="24"/>
  <c r="CA24" i="24"/>
  <c r="BW24" i="24"/>
  <c r="BS24" i="24"/>
  <c r="BO24" i="24"/>
  <c r="BK24" i="24"/>
  <c r="BG24" i="24"/>
  <c r="BC24" i="24"/>
  <c r="AY24" i="24"/>
  <c r="AU24" i="24"/>
  <c r="AQ24" i="24"/>
  <c r="AM24" i="24"/>
  <c r="AI24" i="24"/>
  <c r="AE24" i="24"/>
  <c r="AA24" i="24"/>
  <c r="W24" i="24"/>
  <c r="S24" i="24"/>
  <c r="GP24" i="24"/>
  <c r="GL24" i="24"/>
  <c r="GH24" i="24"/>
  <c r="FZ24" i="24"/>
  <c r="FV24" i="24"/>
  <c r="FR24" i="24"/>
  <c r="FN24" i="24"/>
  <c r="FJ24" i="24"/>
  <c r="FF24" i="24"/>
  <c r="FB24" i="24"/>
  <c r="ET24" i="24"/>
  <c r="EP24" i="24"/>
  <c r="EL24" i="24"/>
  <c r="EH24" i="24"/>
  <c r="ED24" i="24"/>
  <c r="DZ24" i="24"/>
  <c r="DV24" i="24"/>
  <c r="DN24" i="24"/>
  <c r="DJ24" i="24"/>
  <c r="DF24" i="24"/>
  <c r="DB24" i="24"/>
  <c r="CX24" i="24"/>
  <c r="CT24" i="24"/>
  <c r="CP24" i="24"/>
  <c r="CH24" i="24"/>
  <c r="CD24" i="24"/>
  <c r="BZ24" i="24"/>
  <c r="BV24" i="24"/>
  <c r="BR24" i="24"/>
  <c r="BN24" i="24"/>
  <c r="BJ24" i="24"/>
  <c r="BB24" i="24"/>
  <c r="AX24" i="24"/>
  <c r="AT24" i="24"/>
  <c r="AP24" i="24"/>
  <c r="AL24" i="24"/>
  <c r="AH24" i="24"/>
  <c r="AD24" i="24"/>
  <c r="V24" i="24"/>
  <c r="GN28" i="24"/>
  <c r="GJ28" i="24"/>
  <c r="FX28" i="24"/>
  <c r="FP28" i="24"/>
  <c r="FH28" i="24"/>
  <c r="FD28" i="24"/>
  <c r="ER28" i="24"/>
  <c r="EJ28" i="24"/>
  <c r="EB28" i="24"/>
  <c r="DX28" i="24"/>
  <c r="DL28" i="24"/>
  <c r="DD28" i="24"/>
  <c r="CV28" i="24"/>
  <c r="CR28" i="24"/>
  <c r="CF28" i="24"/>
  <c r="CB28" i="24"/>
  <c r="BX28" i="24"/>
  <c r="BP28" i="24"/>
  <c r="BL28" i="24"/>
  <c r="AZ28" i="24"/>
  <c r="AR28" i="24"/>
  <c r="AJ28" i="24"/>
  <c r="AF28" i="24"/>
  <c r="T28" i="24"/>
  <c r="GI28" i="24"/>
  <c r="GE28" i="24"/>
  <c r="GA28" i="24"/>
  <c r="FS28" i="24"/>
  <c r="FK28" i="24"/>
  <c r="FG28" i="24"/>
  <c r="FC28" i="24"/>
  <c r="EY28" i="24"/>
  <c r="EU28" i="24"/>
  <c r="EI28" i="24"/>
  <c r="EE28" i="24"/>
  <c r="DW28" i="24"/>
  <c r="DS28" i="24"/>
  <c r="DO28" i="24"/>
  <c r="DG28" i="24"/>
  <c r="CY28" i="24"/>
  <c r="CU28" i="24"/>
  <c r="CQ28" i="24"/>
  <c r="CM28" i="24"/>
  <c r="CI28" i="24"/>
  <c r="BW28" i="24"/>
  <c r="BS28" i="24"/>
  <c r="BO28" i="24"/>
  <c r="BK28" i="24"/>
  <c r="BG28" i="24"/>
  <c r="BC28" i="24"/>
  <c r="AU28" i="24"/>
  <c r="AM28" i="24"/>
  <c r="AI28" i="24"/>
  <c r="AE28" i="24"/>
  <c r="AA28" i="24"/>
  <c r="W28" i="24"/>
  <c r="S28" i="24"/>
  <c r="GP28" i="24"/>
  <c r="GL28" i="24"/>
  <c r="GH28" i="24"/>
  <c r="GD28" i="24"/>
  <c r="FZ28" i="24"/>
  <c r="FV28" i="24"/>
  <c r="FR28" i="24"/>
  <c r="FJ28" i="24"/>
  <c r="FF28" i="24"/>
  <c r="FB28" i="24"/>
  <c r="EX28" i="24"/>
  <c r="ET28" i="24"/>
  <c r="EP28" i="24"/>
  <c r="ED28" i="24"/>
  <c r="DV28" i="24"/>
  <c r="DR28" i="24"/>
  <c r="DN28" i="24"/>
  <c r="DJ28" i="24"/>
  <c r="DF28" i="24"/>
  <c r="CX28" i="24"/>
  <c r="CT28" i="24"/>
  <c r="CP28" i="24"/>
  <c r="CL28" i="24"/>
  <c r="CH28" i="24"/>
  <c r="CD28" i="24"/>
  <c r="BR28" i="24"/>
  <c r="BJ28" i="24"/>
  <c r="BF28" i="24"/>
  <c r="BB28" i="24"/>
  <c r="AX28" i="24"/>
  <c r="AT28" i="24"/>
  <c r="AL28" i="24"/>
  <c r="AH28" i="24"/>
  <c r="AD28" i="24"/>
  <c r="Z28" i="24"/>
  <c r="V28" i="24"/>
  <c r="FY28" i="24"/>
  <c r="DM28" i="24"/>
  <c r="BA28" i="24"/>
  <c r="GK28" i="24"/>
  <c r="FU28" i="24"/>
  <c r="FE28" i="24"/>
  <c r="EO28" i="24"/>
  <c r="DY28" i="24"/>
  <c r="DI28" i="24"/>
  <c r="CS28" i="24"/>
  <c r="CC28" i="24"/>
  <c r="BM28" i="24"/>
  <c r="AW28" i="24"/>
  <c r="AG28" i="24"/>
  <c r="FQ28" i="24"/>
  <c r="EK28" i="24"/>
  <c r="DE28" i="24"/>
  <c r="CO28" i="24"/>
  <c r="BY28" i="24"/>
  <c r="AS28" i="24"/>
  <c r="GC28" i="24"/>
  <c r="EW28" i="24"/>
  <c r="DQ28" i="24"/>
  <c r="CK28" i="24"/>
  <c r="BE28" i="24"/>
  <c r="Y28" i="24"/>
  <c r="GO32" i="24"/>
  <c r="GK32" i="24"/>
  <c r="GC32" i="24"/>
  <c r="FY32" i="24"/>
  <c r="FM32" i="24"/>
  <c r="FE32" i="24"/>
  <c r="EW32" i="24"/>
  <c r="ES32" i="24"/>
  <c r="EG32" i="24"/>
  <c r="DY32" i="24"/>
  <c r="DQ32" i="24"/>
  <c r="DM32" i="24"/>
  <c r="DA32" i="24"/>
  <c r="CS32" i="24"/>
  <c r="CK32" i="24"/>
  <c r="CG32" i="24"/>
  <c r="BU32" i="24"/>
  <c r="BQ32" i="24"/>
  <c r="BM32" i="24"/>
  <c r="BE32" i="24"/>
  <c r="BA32" i="24"/>
  <c r="AO32" i="24"/>
  <c r="AG32" i="24"/>
  <c r="Y32" i="24"/>
  <c r="U32" i="24"/>
  <c r="GF32" i="24"/>
  <c r="FX32" i="24"/>
  <c r="FP32" i="24"/>
  <c r="FL32" i="24"/>
  <c r="EZ32" i="24"/>
  <c r="ER32" i="24"/>
  <c r="EJ32" i="24"/>
  <c r="EF32" i="24"/>
  <c r="DT32" i="24"/>
  <c r="DP32" i="24"/>
  <c r="DL32" i="24"/>
  <c r="DD32" i="24"/>
  <c r="CZ32" i="24"/>
  <c r="CN32" i="24"/>
  <c r="CF32" i="24"/>
  <c r="BX32" i="24"/>
  <c r="BT32" i="24"/>
  <c r="BH32" i="24"/>
  <c r="AZ32" i="24"/>
  <c r="AR32" i="24"/>
  <c r="AN32" i="24"/>
  <c r="AB32" i="24"/>
  <c r="T32" i="24"/>
  <c r="GM32" i="24"/>
  <c r="GI32" i="24"/>
  <c r="FW32" i="24"/>
  <c r="FS32" i="24"/>
  <c r="FO32" i="24"/>
  <c r="FG32" i="24"/>
  <c r="FC32" i="24"/>
  <c r="EQ32" i="24"/>
  <c r="EI32" i="24"/>
  <c r="EA32" i="24"/>
  <c r="DW32" i="24"/>
  <c r="DK32" i="24"/>
  <c r="DC32" i="24"/>
  <c r="CU32" i="24"/>
  <c r="CQ32" i="24"/>
  <c r="CE32" i="24"/>
  <c r="BW32" i="24"/>
  <c r="BO32" i="24"/>
  <c r="BK32" i="24"/>
  <c r="AY32" i="24"/>
  <c r="AU32" i="24"/>
  <c r="AQ32" i="24"/>
  <c r="AI32" i="24"/>
  <c r="AE32" i="24"/>
  <c r="S32" i="24"/>
  <c r="FR32" i="24"/>
  <c r="EL32" i="24"/>
  <c r="DF32" i="24"/>
  <c r="BZ32" i="24"/>
  <c r="AT32" i="24"/>
  <c r="EX32" i="24"/>
  <c r="CL32" i="24"/>
  <c r="Z32" i="24"/>
  <c r="GP32" i="24"/>
  <c r="FZ32" i="24"/>
  <c r="FJ32" i="24"/>
  <c r="ET32" i="24"/>
  <c r="ED32" i="24"/>
  <c r="DN32" i="24"/>
  <c r="CX32" i="24"/>
  <c r="CH32" i="24"/>
  <c r="BR32" i="24"/>
  <c r="BB32" i="24"/>
  <c r="AL32" i="24"/>
  <c r="V32" i="24"/>
  <c r="GL32" i="24"/>
  <c r="FV32" i="24"/>
  <c r="FF32" i="24"/>
  <c r="EP32" i="24"/>
  <c r="DZ32" i="24"/>
  <c r="DJ32" i="24"/>
  <c r="CT32" i="24"/>
  <c r="BN32" i="24"/>
  <c r="AX32" i="24"/>
  <c r="AH32" i="24"/>
  <c r="GO36" i="24"/>
  <c r="GG36" i="24"/>
  <c r="FY36" i="24"/>
  <c r="FU36" i="24"/>
  <c r="FI36" i="24"/>
  <c r="FA36" i="24"/>
  <c r="ES36" i="24"/>
  <c r="EO36" i="24"/>
  <c r="EC36" i="24"/>
  <c r="DY36" i="24"/>
  <c r="DU36" i="24"/>
  <c r="DM36" i="24"/>
  <c r="DI36" i="24"/>
  <c r="CW36" i="24"/>
  <c r="CO36" i="24"/>
  <c r="CG36" i="24"/>
  <c r="CC36" i="24"/>
  <c r="BQ36" i="24"/>
  <c r="BI36" i="24"/>
  <c r="BA36" i="24"/>
  <c r="AW36" i="24"/>
  <c r="AK36" i="24"/>
  <c r="AC36" i="24"/>
  <c r="U36" i="24"/>
  <c r="GN36" i="24"/>
  <c r="GB36" i="24"/>
  <c r="FX36" i="24"/>
  <c r="FT36" i="24"/>
  <c r="FL36" i="24"/>
  <c r="FH36" i="24"/>
  <c r="EV36" i="24"/>
  <c r="EN36" i="24"/>
  <c r="EF36" i="24"/>
  <c r="EB36" i="24"/>
  <c r="DP36" i="24"/>
  <c r="DH36" i="24"/>
  <c r="CZ36" i="24"/>
  <c r="CV36" i="24"/>
  <c r="CR36" i="24"/>
  <c r="CJ36" i="24"/>
  <c r="CB36" i="24"/>
  <c r="BT36" i="24"/>
  <c r="BP36" i="24"/>
  <c r="BD36" i="24"/>
  <c r="AZ36" i="24"/>
  <c r="AV36" i="24"/>
  <c r="AN36" i="24"/>
  <c r="AJ36" i="24"/>
  <c r="X36" i="24"/>
  <c r="GI36" i="24"/>
  <c r="GE36" i="24"/>
  <c r="FS36" i="24"/>
  <c r="FO36" i="24"/>
  <c r="FK36" i="24"/>
  <c r="FC36" i="24"/>
  <c r="EY36" i="24"/>
  <c r="EM36" i="24"/>
  <c r="EI36" i="24"/>
  <c r="EE36" i="24"/>
  <c r="DW36" i="24"/>
  <c r="DS36" i="24"/>
  <c r="DG36" i="24"/>
  <c r="CY36" i="24"/>
  <c r="CQ36" i="24"/>
  <c r="CM36" i="24"/>
  <c r="CA36" i="24"/>
  <c r="BW36" i="24"/>
  <c r="BS36" i="24"/>
  <c r="BK36" i="24"/>
  <c r="BG36" i="24"/>
  <c r="AU36" i="24"/>
  <c r="AQ36" i="24"/>
  <c r="AM36" i="24"/>
  <c r="AE36" i="24"/>
  <c r="AA36" i="24"/>
  <c r="S36" i="24"/>
  <c r="GH36" i="24"/>
  <c r="FB36" i="24"/>
  <c r="DV36" i="24"/>
  <c r="CP36" i="24"/>
  <c r="BZ36" i="24"/>
  <c r="BJ36" i="24"/>
  <c r="ET36" i="24"/>
  <c r="CH36" i="24"/>
  <c r="FN36" i="24"/>
  <c r="EH36" i="24"/>
  <c r="DB36" i="24"/>
  <c r="BV36" i="24"/>
  <c r="AP36" i="24"/>
  <c r="GL36" i="24"/>
  <c r="FF36" i="24"/>
  <c r="DZ36" i="24"/>
  <c r="CT36" i="24"/>
  <c r="BN36" i="24"/>
  <c r="AH36" i="24"/>
  <c r="GD36" i="24"/>
  <c r="AD36" i="24"/>
  <c r="FV36" i="24"/>
  <c r="EP36" i="24"/>
  <c r="DJ36" i="24"/>
  <c r="CD36" i="24"/>
  <c r="AX36" i="24"/>
  <c r="Z36" i="24"/>
  <c r="S12" i="24"/>
  <c r="W12" i="24"/>
  <c r="AA12" i="24"/>
  <c r="AE12" i="24"/>
  <c r="AI12" i="24"/>
  <c r="AQ12" i="24"/>
  <c r="AU12" i="24"/>
  <c r="AY12" i="24"/>
  <c r="BC12" i="24"/>
  <c r="BG12" i="24"/>
  <c r="BK12" i="24"/>
  <c r="BO12" i="24"/>
  <c r="BW12" i="24"/>
  <c r="CA12" i="24"/>
  <c r="CE12" i="24"/>
  <c r="CI12" i="24"/>
  <c r="CM12" i="24"/>
  <c r="CQ12" i="24"/>
  <c r="CU12" i="24"/>
  <c r="DC12" i="24"/>
  <c r="DG12" i="24"/>
  <c r="DK12" i="24"/>
  <c r="DO12" i="24"/>
  <c r="DS12" i="24"/>
  <c r="DW12" i="24"/>
  <c r="EA12" i="24"/>
  <c r="EI12" i="24"/>
  <c r="EM12" i="24"/>
  <c r="EQ12" i="24"/>
  <c r="EU12" i="24"/>
  <c r="EY12" i="24"/>
  <c r="FC12" i="24"/>
  <c r="FG12" i="24"/>
  <c r="FO12" i="24"/>
  <c r="FS12" i="24"/>
  <c r="FW12" i="24"/>
  <c r="GA12" i="24"/>
  <c r="GE12" i="24"/>
  <c r="GI12" i="24"/>
  <c r="GM12" i="24"/>
  <c r="S13" i="24"/>
  <c r="W13" i="24"/>
  <c r="AA13" i="24"/>
  <c r="AE13" i="24"/>
  <c r="AI13" i="24"/>
  <c r="AM13" i="24"/>
  <c r="AQ13" i="24"/>
  <c r="AU13" i="24"/>
  <c r="BC13" i="24"/>
  <c r="BG13" i="24"/>
  <c r="BK13" i="24"/>
  <c r="BO13" i="24"/>
  <c r="BS13" i="24"/>
  <c r="BW13" i="24"/>
  <c r="CA13" i="24"/>
  <c r="CI13" i="24"/>
  <c r="CM13" i="24"/>
  <c r="CQ13" i="24"/>
  <c r="CU13" i="24"/>
  <c r="CY13" i="24"/>
  <c r="DC13" i="24"/>
  <c r="DG13" i="24"/>
  <c r="DO13" i="24"/>
  <c r="DS13" i="24"/>
  <c r="DW13" i="24"/>
  <c r="EA13" i="24"/>
  <c r="EE13" i="24"/>
  <c r="EI13" i="24"/>
  <c r="EM13" i="24"/>
  <c r="EU13" i="24"/>
  <c r="EY13" i="24"/>
  <c r="FC13" i="24"/>
  <c r="FG13" i="24"/>
  <c r="FK13" i="24"/>
  <c r="FO13" i="24"/>
  <c r="FS13" i="24"/>
  <c r="GA13" i="24"/>
  <c r="GE13" i="24"/>
  <c r="GI13" i="24"/>
  <c r="GM13" i="24"/>
  <c r="S14" i="24"/>
  <c r="W14" i="24"/>
  <c r="AA14" i="24"/>
  <c r="AI14" i="24"/>
  <c r="AM14" i="24"/>
  <c r="AQ14" i="24"/>
  <c r="AU14" i="24"/>
  <c r="AY14" i="24"/>
  <c r="BC14" i="24"/>
  <c r="BG14" i="24"/>
  <c r="BO14" i="24"/>
  <c r="BS14" i="24"/>
  <c r="BW14" i="24"/>
  <c r="CA14" i="24"/>
  <c r="CE14" i="24"/>
  <c r="CI14" i="24"/>
  <c r="CM14" i="24"/>
  <c r="CU14" i="24"/>
  <c r="CY14" i="24"/>
  <c r="DC14" i="24"/>
  <c r="DG14" i="24"/>
  <c r="DK14" i="24"/>
  <c r="DO14" i="24"/>
  <c r="DS14" i="24"/>
  <c r="EA14" i="24"/>
  <c r="EE14" i="24"/>
  <c r="EI14" i="24"/>
  <c r="EM14" i="24"/>
  <c r="EQ14" i="24"/>
  <c r="EU14" i="24"/>
  <c r="EY14" i="24"/>
  <c r="FG14" i="24"/>
  <c r="FK14" i="24"/>
  <c r="FO14" i="24"/>
  <c r="FS14" i="24"/>
  <c r="FW14" i="24"/>
  <c r="GA14" i="24"/>
  <c r="GE14" i="24"/>
  <c r="GM14" i="24"/>
  <c r="S15" i="24"/>
  <c r="W15" i="24"/>
  <c r="AA15" i="24"/>
  <c r="AE15" i="24"/>
  <c r="AI15" i="24"/>
  <c r="AM15" i="24"/>
  <c r="AU15" i="24"/>
  <c r="AY15" i="24"/>
  <c r="BC15" i="24"/>
  <c r="BG15" i="24"/>
  <c r="BK15" i="24"/>
  <c r="BO15" i="24"/>
  <c r="BS15" i="24"/>
  <c r="CA15" i="24"/>
  <c r="CE15" i="24"/>
  <c r="CI15" i="24"/>
  <c r="CM15" i="24"/>
  <c r="CQ15" i="24"/>
  <c r="CU15" i="24"/>
  <c r="CY15" i="24"/>
  <c r="DG15" i="24"/>
  <c r="DK15" i="24"/>
  <c r="DO15" i="24"/>
  <c r="DS15" i="24"/>
  <c r="DW15" i="24"/>
  <c r="EA15" i="24"/>
  <c r="EE15" i="24"/>
  <c r="EM15" i="24"/>
  <c r="EQ15" i="24"/>
  <c r="EU15" i="24"/>
  <c r="EY15" i="24"/>
  <c r="FC15" i="24"/>
  <c r="FG15" i="24"/>
  <c r="FK15" i="24"/>
  <c r="FS15" i="24"/>
  <c r="FW15" i="24"/>
  <c r="GA15" i="24"/>
  <c r="GE15" i="24"/>
  <c r="GI15" i="24"/>
  <c r="GM15" i="24"/>
  <c r="S16" i="24"/>
  <c r="AA16" i="24"/>
  <c r="AE16" i="24"/>
  <c r="AI16" i="24"/>
  <c r="AM16" i="24"/>
  <c r="AQ16" i="24"/>
  <c r="AU16" i="24"/>
  <c r="AY16" i="24"/>
  <c r="BG16" i="24"/>
  <c r="BK16" i="24"/>
  <c r="BO16" i="24"/>
  <c r="BS16" i="24"/>
  <c r="BW16" i="24"/>
  <c r="CA16" i="24"/>
  <c r="CE16" i="24"/>
  <c r="CM16" i="24"/>
  <c r="CQ16" i="24"/>
  <c r="CU16" i="24"/>
  <c r="CY16" i="24"/>
  <c r="DC16" i="24"/>
  <c r="DG16" i="24"/>
  <c r="DK16" i="24"/>
  <c r="DS16" i="24"/>
  <c r="DW16" i="24"/>
  <c r="EA16" i="24"/>
  <c r="EE16" i="24"/>
  <c r="EI16" i="24"/>
  <c r="EM16" i="24"/>
  <c r="EQ16" i="24"/>
  <c r="EY16" i="24"/>
  <c r="FC16" i="24"/>
  <c r="FG16" i="24"/>
  <c r="FK16" i="24"/>
  <c r="FO16" i="24"/>
  <c r="FS16" i="24"/>
  <c r="FW16" i="24"/>
  <c r="GE16" i="24"/>
  <c r="GI16" i="24"/>
  <c r="GM16" i="24"/>
  <c r="S17" i="24"/>
  <c r="W17" i="24"/>
  <c r="AA17" i="24"/>
  <c r="AE17" i="24"/>
  <c r="AM17" i="24"/>
  <c r="AQ17" i="24"/>
  <c r="AU17" i="24"/>
  <c r="AY17" i="24"/>
  <c r="BC17" i="24"/>
  <c r="BG17" i="24"/>
  <c r="BK17" i="24"/>
  <c r="BS17" i="24"/>
  <c r="BW17" i="24"/>
  <c r="CA17" i="24"/>
  <c r="CE17" i="24"/>
  <c r="CI17" i="24"/>
  <c r="CM17" i="24"/>
  <c r="CQ17" i="24"/>
  <c r="CY17" i="24"/>
  <c r="DC17" i="24"/>
  <c r="DG17" i="24"/>
  <c r="DK17" i="24"/>
  <c r="DO17" i="24"/>
  <c r="DS17" i="24"/>
  <c r="DW17" i="24"/>
  <c r="EE17" i="24"/>
  <c r="EI17" i="24"/>
  <c r="EM17" i="24"/>
  <c r="EQ17" i="24"/>
  <c r="EU17" i="24"/>
  <c r="EY17" i="24"/>
  <c r="FC17" i="24"/>
  <c r="FK17" i="24"/>
  <c r="FO17" i="24"/>
  <c r="FS17" i="24"/>
  <c r="FW17" i="24"/>
  <c r="GA17" i="24"/>
  <c r="GE17" i="24"/>
  <c r="GI17" i="24"/>
  <c r="S18" i="24"/>
  <c r="W18" i="24"/>
  <c r="AA18" i="24"/>
  <c r="AE18" i="24"/>
  <c r="AI18" i="24"/>
  <c r="AM18" i="24"/>
  <c r="AQ18" i="24"/>
  <c r="AY18" i="24"/>
  <c r="BC18" i="24"/>
  <c r="BG18" i="24"/>
  <c r="BK18" i="24"/>
  <c r="BO18" i="24"/>
  <c r="BS18" i="24"/>
  <c r="BW18" i="24"/>
  <c r="CE18" i="24"/>
  <c r="CI18" i="24"/>
  <c r="CM18" i="24"/>
  <c r="CQ18" i="24"/>
  <c r="CU18" i="24"/>
  <c r="CY18" i="24"/>
  <c r="DC18" i="24"/>
  <c r="DK18" i="24"/>
  <c r="DO18" i="24"/>
  <c r="DS18" i="24"/>
  <c r="DW18" i="24"/>
  <c r="EA18" i="24"/>
  <c r="EE18" i="24"/>
  <c r="EI18" i="24"/>
  <c r="EQ18" i="24"/>
  <c r="EU18" i="24"/>
  <c r="EY18" i="24"/>
  <c r="FC18" i="24"/>
  <c r="FG18" i="24"/>
  <c r="FK18" i="24"/>
  <c r="FO18" i="24"/>
  <c r="FW18" i="24"/>
  <c r="GA18" i="24"/>
  <c r="GE18" i="24"/>
  <c r="GI18" i="24"/>
  <c r="GM18" i="24"/>
  <c r="S19" i="24"/>
  <c r="W19" i="24"/>
  <c r="AE19" i="24"/>
  <c r="AI19" i="24"/>
  <c r="AM19" i="24"/>
  <c r="AQ19" i="24"/>
  <c r="AU19" i="24"/>
  <c r="AY19" i="24"/>
  <c r="BC19" i="24"/>
  <c r="BK19" i="24"/>
  <c r="BO19" i="24"/>
  <c r="BS19" i="24"/>
  <c r="BW19" i="24"/>
  <c r="CA19" i="24"/>
  <c r="CE19" i="24"/>
  <c r="CI19" i="24"/>
  <c r="CQ19" i="24"/>
  <c r="CU19" i="24"/>
  <c r="CY19" i="24"/>
  <c r="DC19" i="24"/>
  <c r="DG19" i="24"/>
  <c r="DK19" i="24"/>
  <c r="DO19" i="24"/>
  <c r="DW19" i="24"/>
  <c r="EA19" i="24"/>
  <c r="EE19" i="24"/>
  <c r="EI19" i="24"/>
  <c r="EM19" i="24"/>
  <c r="EQ19" i="24"/>
  <c r="EU19" i="24"/>
  <c r="FC19" i="24"/>
  <c r="FG19" i="24"/>
  <c r="FK19" i="24"/>
  <c r="FO19" i="24"/>
  <c r="FS19" i="24"/>
  <c r="FW19" i="24"/>
  <c r="GA19" i="24"/>
  <c r="GI19" i="24"/>
  <c r="GM19" i="24"/>
  <c r="S20" i="24"/>
  <c r="W20" i="24"/>
  <c r="AA20" i="24"/>
  <c r="AE20" i="24"/>
  <c r="AI20" i="24"/>
  <c r="AQ20" i="24"/>
  <c r="AU20" i="24"/>
  <c r="AY20" i="24"/>
  <c r="BC20" i="24"/>
  <c r="BG20" i="24"/>
  <c r="BK20" i="24"/>
  <c r="BO20" i="24"/>
  <c r="BW20" i="24"/>
  <c r="CA20" i="24"/>
  <c r="CE20" i="24"/>
  <c r="CI20" i="24"/>
  <c r="CM20" i="24"/>
  <c r="CQ20" i="24"/>
  <c r="CU20" i="24"/>
  <c r="DC20" i="24"/>
  <c r="DH20" i="24"/>
  <c r="DN20" i="24"/>
  <c r="GO23" i="24"/>
  <c r="GK23" i="24"/>
  <c r="GG23" i="24"/>
  <c r="GC23" i="24"/>
  <c r="FY23" i="24"/>
  <c r="FU23" i="24"/>
  <c r="FM23" i="24"/>
  <c r="FI23" i="24"/>
  <c r="FE23" i="24"/>
  <c r="FA23" i="24"/>
  <c r="EW23" i="24"/>
  <c r="ES23" i="24"/>
  <c r="EO23" i="24"/>
  <c r="EG23" i="24"/>
  <c r="EC23" i="24"/>
  <c r="DY23" i="24"/>
  <c r="DU23" i="24"/>
  <c r="DQ23" i="24"/>
  <c r="DM23" i="24"/>
  <c r="DI23" i="24"/>
  <c r="DA23" i="24"/>
  <c r="CW23" i="24"/>
  <c r="CS23" i="24"/>
  <c r="CO23" i="24"/>
  <c r="CK23" i="24"/>
  <c r="CG23" i="24"/>
  <c r="CC23" i="24"/>
  <c r="BU23" i="24"/>
  <c r="BQ23" i="24"/>
  <c r="BM23" i="24"/>
  <c r="BI23" i="24"/>
  <c r="BE23" i="24"/>
  <c r="BA23" i="24"/>
  <c r="AW23" i="24"/>
  <c r="AO23" i="24"/>
  <c r="AK23" i="24"/>
  <c r="AG23" i="24"/>
  <c r="AC23" i="24"/>
  <c r="Y23" i="24"/>
  <c r="U23" i="24"/>
  <c r="GN23" i="24"/>
  <c r="GJ23" i="24"/>
  <c r="FX23" i="24"/>
  <c r="FT23" i="24"/>
  <c r="FL23" i="24"/>
  <c r="FD23" i="24"/>
  <c r="ER23" i="24"/>
  <c r="EN23" i="24"/>
  <c r="EF23" i="24"/>
  <c r="DX23" i="24"/>
  <c r="DL23" i="24"/>
  <c r="DH23" i="24"/>
  <c r="CZ23" i="24"/>
  <c r="CV23" i="24"/>
  <c r="CR23" i="24"/>
  <c r="CF23" i="24"/>
  <c r="CB23" i="24"/>
  <c r="BT23" i="24"/>
  <c r="BL23" i="24"/>
  <c r="AZ23" i="24"/>
  <c r="AV23" i="24"/>
  <c r="AN23" i="24"/>
  <c r="AF23" i="24"/>
  <c r="T23" i="24"/>
  <c r="GM23" i="24"/>
  <c r="GI23" i="24"/>
  <c r="GE23" i="24"/>
  <c r="GA23" i="24"/>
  <c r="FW23" i="24"/>
  <c r="FS23" i="24"/>
  <c r="FK23" i="24"/>
  <c r="FG23" i="24"/>
  <c r="FC23" i="24"/>
  <c r="EY23" i="24"/>
  <c r="EU23" i="24"/>
  <c r="EQ23" i="24"/>
  <c r="EM23" i="24"/>
  <c r="EE23" i="24"/>
  <c r="EA23" i="24"/>
  <c r="DW23" i="24"/>
  <c r="DS23" i="24"/>
  <c r="DO23" i="24"/>
  <c r="DK23" i="24"/>
  <c r="DG23" i="24"/>
  <c r="CY23" i="24"/>
  <c r="CU23" i="24"/>
  <c r="CQ23" i="24"/>
  <c r="CM23" i="24"/>
  <c r="CI23" i="24"/>
  <c r="CE23" i="24"/>
  <c r="CA23" i="24"/>
  <c r="BS23" i="24"/>
  <c r="BO23" i="24"/>
  <c r="BK23" i="24"/>
  <c r="BG23" i="24"/>
  <c r="BC23" i="24"/>
  <c r="AY23" i="24"/>
  <c r="AU23" i="24"/>
  <c r="AM23" i="24"/>
  <c r="AI23" i="24"/>
  <c r="AE23" i="24"/>
  <c r="AA23" i="24"/>
  <c r="W23" i="24"/>
  <c r="S23" i="24"/>
  <c r="GP23" i="24"/>
  <c r="GL23" i="24"/>
  <c r="GH23" i="24"/>
  <c r="GD23" i="24"/>
  <c r="FZ23" i="24"/>
  <c r="FV23" i="24"/>
  <c r="FN23" i="24"/>
  <c r="FJ23" i="24"/>
  <c r="FF23" i="24"/>
  <c r="FB23" i="24"/>
  <c r="EX23" i="24"/>
  <c r="ET23" i="24"/>
  <c r="EP23" i="24"/>
  <c r="EH23" i="24"/>
  <c r="ED23" i="24"/>
  <c r="DZ23" i="24"/>
  <c r="DV23" i="24"/>
  <c r="DR23" i="24"/>
  <c r="DN23" i="24"/>
  <c r="DJ23" i="24"/>
  <c r="DB23" i="24"/>
  <c r="CX23" i="24"/>
  <c r="CT23" i="24"/>
  <c r="CP23" i="24"/>
  <c r="CL23" i="24"/>
  <c r="CH23" i="24"/>
  <c r="CD23" i="24"/>
  <c r="BV23" i="24"/>
  <c r="BR23" i="24"/>
  <c r="BN23" i="24"/>
  <c r="BJ23" i="24"/>
  <c r="BF23" i="24"/>
  <c r="BB23" i="24"/>
  <c r="AX23" i="24"/>
  <c r="AP23" i="24"/>
  <c r="AL23" i="24"/>
  <c r="AH23" i="24"/>
  <c r="AD23" i="24"/>
  <c r="Z23" i="24"/>
  <c r="V23" i="24"/>
  <c r="GN27" i="24"/>
  <c r="GJ27" i="24"/>
  <c r="GF27" i="24"/>
  <c r="GB27" i="24"/>
  <c r="FX27" i="24"/>
  <c r="FP27" i="24"/>
  <c r="FL27" i="24"/>
  <c r="FH27" i="24"/>
  <c r="FD27" i="24"/>
  <c r="GI27" i="24"/>
  <c r="GE27" i="24"/>
  <c r="FW27" i="24"/>
  <c r="FS27" i="24"/>
  <c r="FO27" i="24"/>
  <c r="GP27" i="24"/>
  <c r="GH27" i="24"/>
  <c r="GD27" i="24"/>
  <c r="FV27" i="24"/>
  <c r="FR27" i="24"/>
  <c r="FN27" i="24"/>
  <c r="GC27" i="24"/>
  <c r="FM27" i="24"/>
  <c r="FF27" i="24"/>
  <c r="EW27" i="24"/>
  <c r="ES27" i="24"/>
  <c r="EO27" i="24"/>
  <c r="EK27" i="24"/>
  <c r="EG27" i="24"/>
  <c r="EC27" i="24"/>
  <c r="DY27" i="24"/>
  <c r="DQ27" i="24"/>
  <c r="DM27" i="24"/>
  <c r="DI27" i="24"/>
  <c r="DE27" i="24"/>
  <c r="DA27" i="24"/>
  <c r="CW27" i="24"/>
  <c r="CS27" i="24"/>
  <c r="CK27" i="24"/>
  <c r="CG27" i="24"/>
  <c r="CC27" i="24"/>
  <c r="BY27" i="24"/>
  <c r="BU27" i="24"/>
  <c r="BQ27" i="24"/>
  <c r="BM27" i="24"/>
  <c r="BE27" i="24"/>
  <c r="BA27" i="24"/>
  <c r="AW27" i="24"/>
  <c r="AS27" i="24"/>
  <c r="AO27" i="24"/>
  <c r="AK27" i="24"/>
  <c r="AG27" i="24"/>
  <c r="Y27" i="24"/>
  <c r="U27" i="24"/>
  <c r="GO27" i="24"/>
  <c r="FY27" i="24"/>
  <c r="FJ27" i="24"/>
  <c r="FE27" i="24"/>
  <c r="EZ27" i="24"/>
  <c r="EV27" i="24"/>
  <c r="ER27" i="24"/>
  <c r="EJ27" i="24"/>
  <c r="EF27" i="24"/>
  <c r="EB27" i="24"/>
  <c r="DX27" i="24"/>
  <c r="DT27" i="24"/>
  <c r="DP27" i="24"/>
  <c r="DL27" i="24"/>
  <c r="DD27" i="24"/>
  <c r="CZ27" i="24"/>
  <c r="CV27" i="24"/>
  <c r="CR27" i="24"/>
  <c r="CN27" i="24"/>
  <c r="CJ27" i="24"/>
  <c r="CF27" i="24"/>
  <c r="BX27" i="24"/>
  <c r="BT27" i="24"/>
  <c r="BP27" i="24"/>
  <c r="BL27" i="24"/>
  <c r="BH27" i="24"/>
  <c r="BD27" i="24"/>
  <c r="AZ27" i="24"/>
  <c r="AR27" i="24"/>
  <c r="AN27" i="24"/>
  <c r="AJ27" i="24"/>
  <c r="AF27" i="24"/>
  <c r="AB27" i="24"/>
  <c r="X27" i="24"/>
  <c r="T27" i="24"/>
  <c r="GK27" i="24"/>
  <c r="FU27" i="24"/>
  <c r="FI27" i="24"/>
  <c r="EY27" i="24"/>
  <c r="EU27" i="24"/>
  <c r="EQ27" i="24"/>
  <c r="EM27" i="24"/>
  <c r="EI27" i="24"/>
  <c r="EA27" i="24"/>
  <c r="DW27" i="24"/>
  <c r="DS27" i="24"/>
  <c r="DK27" i="24"/>
  <c r="DG27" i="24"/>
  <c r="DC27" i="24"/>
  <c r="CU27" i="24"/>
  <c r="CM27" i="24"/>
  <c r="CI27" i="24"/>
  <c r="CE27" i="24"/>
  <c r="CA27" i="24"/>
  <c r="BW27" i="24"/>
  <c r="BK27" i="24"/>
  <c r="BG27" i="24"/>
  <c r="AY27" i="24"/>
  <c r="AU27" i="24"/>
  <c r="AQ27" i="24"/>
  <c r="AI27" i="24"/>
  <c r="AA27" i="24"/>
  <c r="W27" i="24"/>
  <c r="S27" i="24"/>
  <c r="GG27" i="24"/>
  <c r="FQ27" i="24"/>
  <c r="FG27" i="24"/>
  <c r="FB27" i="24"/>
  <c r="EX27" i="24"/>
  <c r="ET27" i="24"/>
  <c r="EP27" i="24"/>
  <c r="EL27" i="24"/>
  <c r="EH27" i="24"/>
  <c r="ED27" i="24"/>
  <c r="DZ27" i="24"/>
  <c r="DV27" i="24"/>
  <c r="DR27" i="24"/>
  <c r="DJ27" i="24"/>
  <c r="DF27" i="24"/>
  <c r="DB27" i="24"/>
  <c r="CX27" i="24"/>
  <c r="CT27" i="24"/>
  <c r="CP27" i="24"/>
  <c r="CL27" i="24"/>
  <c r="CH27" i="24"/>
  <c r="CD27" i="24"/>
  <c r="BZ27" i="24"/>
  <c r="BV27" i="24"/>
  <c r="BR27" i="24"/>
  <c r="BN27" i="24"/>
  <c r="BJ27" i="24"/>
  <c r="BF27" i="24"/>
  <c r="AX27" i="24"/>
  <c r="AT27" i="24"/>
  <c r="AP27" i="24"/>
  <c r="AL27" i="24"/>
  <c r="AH27" i="24"/>
  <c r="AD27" i="24"/>
  <c r="Z27" i="24"/>
  <c r="V27" i="24"/>
  <c r="GO31" i="24"/>
  <c r="GK31" i="24"/>
  <c r="GG31" i="24"/>
  <c r="FY31" i="24"/>
  <c r="FU31" i="24"/>
  <c r="FQ31" i="24"/>
  <c r="FM31" i="24"/>
  <c r="FI31" i="24"/>
  <c r="FE31" i="24"/>
  <c r="FA31" i="24"/>
  <c r="ES31" i="24"/>
  <c r="EO31" i="24"/>
  <c r="EK31" i="24"/>
  <c r="EG31" i="24"/>
  <c r="EC31" i="24"/>
  <c r="DY31" i="24"/>
  <c r="DU31" i="24"/>
  <c r="DM31" i="24"/>
  <c r="DI31" i="24"/>
  <c r="DE31" i="24"/>
  <c r="DA31" i="24"/>
  <c r="CW31" i="24"/>
  <c r="CS31" i="24"/>
  <c r="CO31" i="24"/>
  <c r="CG31" i="24"/>
  <c r="CC31" i="24"/>
  <c r="BY31" i="24"/>
  <c r="BU31" i="24"/>
  <c r="BQ31" i="24"/>
  <c r="BM31" i="24"/>
  <c r="BI31" i="24"/>
  <c r="BA31" i="24"/>
  <c r="AW31" i="24"/>
  <c r="AS31" i="24"/>
  <c r="AO31" i="24"/>
  <c r="AK31" i="24"/>
  <c r="AG31" i="24"/>
  <c r="AC31" i="24"/>
  <c r="U31" i="24"/>
  <c r="GN31" i="24"/>
  <c r="GJ31" i="24"/>
  <c r="GF31" i="24"/>
  <c r="GB31" i="24"/>
  <c r="FX31" i="24"/>
  <c r="FT31" i="24"/>
  <c r="FL31" i="24"/>
  <c r="FH31" i="24"/>
  <c r="FD31" i="24"/>
  <c r="EZ31" i="24"/>
  <c r="EV31" i="24"/>
  <c r="ER31" i="24"/>
  <c r="EN31" i="24"/>
  <c r="EF31" i="24"/>
  <c r="EB31" i="24"/>
  <c r="DX31" i="24"/>
  <c r="DT31" i="24"/>
  <c r="DP31" i="24"/>
  <c r="DL31" i="24"/>
  <c r="DH31" i="24"/>
  <c r="CZ31" i="24"/>
  <c r="CV31" i="24"/>
  <c r="CR31" i="24"/>
  <c r="CN31" i="24"/>
  <c r="CJ31" i="24"/>
  <c r="CF31" i="24"/>
  <c r="CB31" i="24"/>
  <c r="BT31" i="24"/>
  <c r="BP31" i="24"/>
  <c r="BL31" i="24"/>
  <c r="BH31" i="24"/>
  <c r="BD31" i="24"/>
  <c r="AZ31" i="24"/>
  <c r="AV31" i="24"/>
  <c r="AN31" i="24"/>
  <c r="AJ31" i="24"/>
  <c r="AF31" i="24"/>
  <c r="AB31" i="24"/>
  <c r="X31" i="24"/>
  <c r="T31" i="24"/>
  <c r="GI31" i="24"/>
  <c r="GE31" i="24"/>
  <c r="GA31" i="24"/>
  <c r="FW31" i="24"/>
  <c r="FS31" i="24"/>
  <c r="FO31" i="24"/>
  <c r="FK31" i="24"/>
  <c r="FC31" i="24"/>
  <c r="EY31" i="24"/>
  <c r="EU31" i="24"/>
  <c r="EQ31" i="24"/>
  <c r="EM31" i="24"/>
  <c r="EI31" i="24"/>
  <c r="EE31" i="24"/>
  <c r="DW31" i="24"/>
  <c r="DS31" i="24"/>
  <c r="DO31" i="24"/>
  <c r="DK31" i="24"/>
  <c r="DG31" i="24"/>
  <c r="DC31" i="24"/>
  <c r="CY31" i="24"/>
  <c r="CQ31" i="24"/>
  <c r="CM31" i="24"/>
  <c r="CI31" i="24"/>
  <c r="CE31" i="24"/>
  <c r="CA31" i="24"/>
  <c r="BW31" i="24"/>
  <c r="BS31" i="24"/>
  <c r="BK31" i="24"/>
  <c r="BG31" i="24"/>
  <c r="BC31" i="24"/>
  <c r="AY31" i="24"/>
  <c r="AU31" i="24"/>
  <c r="AQ31" i="24"/>
  <c r="AM31" i="24"/>
  <c r="AE31" i="24"/>
  <c r="AA31" i="24"/>
  <c r="W31" i="24"/>
  <c r="S31" i="24"/>
  <c r="GL31" i="24"/>
  <c r="FV31" i="24"/>
  <c r="FF31" i="24"/>
  <c r="EP31" i="24"/>
  <c r="DZ31" i="24"/>
  <c r="DJ31" i="24"/>
  <c r="CT31" i="24"/>
  <c r="CD31" i="24"/>
  <c r="BN31" i="24"/>
  <c r="AX31" i="24"/>
  <c r="AH31" i="24"/>
  <c r="GH31" i="24"/>
  <c r="FR31" i="24"/>
  <c r="FB31" i="24"/>
  <c r="EL31" i="24"/>
  <c r="DV31" i="24"/>
  <c r="DF31" i="24"/>
  <c r="CP31" i="24"/>
  <c r="BZ31" i="24"/>
  <c r="BJ31" i="24"/>
  <c r="AT31" i="24"/>
  <c r="AD31" i="24"/>
  <c r="GD31" i="24"/>
  <c r="FN31" i="24"/>
  <c r="EX31" i="24"/>
  <c r="EH31" i="24"/>
  <c r="DR31" i="24"/>
  <c r="DB31" i="24"/>
  <c r="CL31" i="24"/>
  <c r="BV31" i="24"/>
  <c r="BF31" i="24"/>
  <c r="AP31" i="24"/>
  <c r="Z31" i="24"/>
  <c r="GP31" i="24"/>
  <c r="FZ31" i="24"/>
  <c r="ET31" i="24"/>
  <c r="ED31" i="24"/>
  <c r="DN31" i="24"/>
  <c r="CH31" i="24"/>
  <c r="BR31" i="24"/>
  <c r="BB31" i="24"/>
  <c r="V31" i="24"/>
  <c r="GO35" i="24"/>
  <c r="GK35" i="24"/>
  <c r="GG35" i="24"/>
  <c r="GC35" i="24"/>
  <c r="FY35" i="24"/>
  <c r="FU35" i="24"/>
  <c r="FM35" i="24"/>
  <c r="FI35" i="24"/>
  <c r="FE35" i="24"/>
  <c r="FA35" i="24"/>
  <c r="EW35" i="24"/>
  <c r="ES35" i="24"/>
  <c r="EO35" i="24"/>
  <c r="EG35" i="24"/>
  <c r="EC35" i="24"/>
  <c r="DY35" i="24"/>
  <c r="DU35" i="24"/>
  <c r="DQ35" i="24"/>
  <c r="DM35" i="24"/>
  <c r="DI35" i="24"/>
  <c r="DA35" i="24"/>
  <c r="CW35" i="24"/>
  <c r="CS35" i="24"/>
  <c r="CO35" i="24"/>
  <c r="CK35" i="24"/>
  <c r="CG35" i="24"/>
  <c r="CC35" i="24"/>
  <c r="BU35" i="24"/>
  <c r="BQ35" i="24"/>
  <c r="BM35" i="24"/>
  <c r="BI35" i="24"/>
  <c r="BE35" i="24"/>
  <c r="BA35" i="24"/>
  <c r="AW35" i="24"/>
  <c r="AO35" i="24"/>
  <c r="AK35" i="24"/>
  <c r="AG35" i="24"/>
  <c r="AC35" i="24"/>
  <c r="Y35" i="24"/>
  <c r="U35" i="24"/>
  <c r="GN35" i="24"/>
  <c r="GF35" i="24"/>
  <c r="GB35" i="24"/>
  <c r="FX35" i="24"/>
  <c r="FT35" i="24"/>
  <c r="FP35" i="24"/>
  <c r="FL35" i="24"/>
  <c r="FH35" i="24"/>
  <c r="EZ35" i="24"/>
  <c r="EV35" i="24"/>
  <c r="ER35" i="24"/>
  <c r="EN35" i="24"/>
  <c r="EJ35" i="24"/>
  <c r="EF35" i="24"/>
  <c r="EB35" i="24"/>
  <c r="DT35" i="24"/>
  <c r="DP35" i="24"/>
  <c r="DL35" i="24"/>
  <c r="DH35" i="24"/>
  <c r="DD35" i="24"/>
  <c r="CZ35" i="24"/>
  <c r="CV35" i="24"/>
  <c r="CN35" i="24"/>
  <c r="CJ35" i="24"/>
  <c r="CF35" i="24"/>
  <c r="CB35" i="24"/>
  <c r="BX35" i="24"/>
  <c r="BT35" i="24"/>
  <c r="BP35" i="24"/>
  <c r="BH35" i="24"/>
  <c r="BD35" i="24"/>
  <c r="AZ35" i="24"/>
  <c r="AV35" i="24"/>
  <c r="AR35" i="24"/>
  <c r="AN35" i="24"/>
  <c r="AJ35" i="24"/>
  <c r="AB35" i="24"/>
  <c r="X35" i="24"/>
  <c r="T35" i="24"/>
  <c r="GM35" i="24"/>
  <c r="GI35" i="24"/>
  <c r="GE35" i="24"/>
  <c r="FW35" i="24"/>
  <c r="FS35" i="24"/>
  <c r="FO35" i="24"/>
  <c r="FK35" i="24"/>
  <c r="FG35" i="24"/>
  <c r="FC35" i="24"/>
  <c r="EY35" i="24"/>
  <c r="EQ35" i="24"/>
  <c r="EM35" i="24"/>
  <c r="EI35" i="24"/>
  <c r="EE35" i="24"/>
  <c r="EA35" i="24"/>
  <c r="DW35" i="24"/>
  <c r="DS35" i="24"/>
  <c r="DK35" i="24"/>
  <c r="DG35" i="24"/>
  <c r="DC35" i="24"/>
  <c r="CY35" i="24"/>
  <c r="CU35" i="24"/>
  <c r="CQ35" i="24"/>
  <c r="CM35" i="24"/>
  <c r="CE35" i="24"/>
  <c r="CA35" i="24"/>
  <c r="BW35" i="24"/>
  <c r="BS35" i="24"/>
  <c r="BO35" i="24"/>
  <c r="BK35" i="24"/>
  <c r="BG35" i="24"/>
  <c r="AY35" i="24"/>
  <c r="AU35" i="24"/>
  <c r="AQ35" i="24"/>
  <c r="AM35" i="24"/>
  <c r="AI35" i="24"/>
  <c r="AE35" i="24"/>
  <c r="AA35" i="24"/>
  <c r="S35" i="24"/>
  <c r="FN35" i="24"/>
  <c r="EH35" i="24"/>
  <c r="DB35" i="24"/>
  <c r="BV35" i="24"/>
  <c r="AP35" i="24"/>
  <c r="GP35" i="24"/>
  <c r="FV35" i="24"/>
  <c r="FB35" i="24"/>
  <c r="ED35" i="24"/>
  <c r="DJ35" i="24"/>
  <c r="CP35" i="24"/>
  <c r="BR35" i="24"/>
  <c r="AX35" i="24"/>
  <c r="AD35" i="24"/>
  <c r="GL35" i="24"/>
  <c r="FR35" i="24"/>
  <c r="ET35" i="24"/>
  <c r="DZ35" i="24"/>
  <c r="DF35" i="24"/>
  <c r="CH35" i="24"/>
  <c r="BN35" i="24"/>
  <c r="AT35" i="24"/>
  <c r="V35" i="24"/>
  <c r="GH35" i="24"/>
  <c r="FJ35" i="24"/>
  <c r="EP35" i="24"/>
  <c r="DV35" i="24"/>
  <c r="CX35" i="24"/>
  <c r="CD35" i="24"/>
  <c r="BJ35" i="24"/>
  <c r="AL35" i="24"/>
  <c r="FZ35" i="24"/>
  <c r="FF35" i="24"/>
  <c r="EL35" i="24"/>
  <c r="DN35" i="24"/>
  <c r="CT35" i="24"/>
  <c r="BZ35" i="24"/>
  <c r="BB35" i="24"/>
  <c r="AH35" i="24"/>
  <c r="T12" i="24"/>
  <c r="X12" i="24"/>
  <c r="AB12" i="24"/>
  <c r="AF12" i="24"/>
  <c r="AJ12" i="24"/>
  <c r="AR12" i="24"/>
  <c r="AV12" i="24"/>
  <c r="AZ12" i="24"/>
  <c r="BD12" i="24"/>
  <c r="BH12" i="24"/>
  <c r="BL12" i="24"/>
  <c r="BP12" i="24"/>
  <c r="BX12" i="24"/>
  <c r="CB12" i="24"/>
  <c r="CF12" i="24"/>
  <c r="CJ12" i="24"/>
  <c r="CN12" i="24"/>
  <c r="CR12" i="24"/>
  <c r="CV12" i="24"/>
  <c r="DD12" i="24"/>
  <c r="DH12" i="24"/>
  <c r="DL12" i="24"/>
  <c r="DP12" i="24"/>
  <c r="DT12" i="24"/>
  <c r="DX12" i="24"/>
  <c r="EB12" i="24"/>
  <c r="EJ12" i="24"/>
  <c r="EN12" i="24"/>
  <c r="ER12" i="24"/>
  <c r="EV12" i="24"/>
  <c r="EZ12" i="24"/>
  <c r="FD12" i="24"/>
  <c r="FH12" i="24"/>
  <c r="FP12" i="24"/>
  <c r="FT12" i="24"/>
  <c r="FX12" i="24"/>
  <c r="GB12" i="24"/>
  <c r="GF12" i="24"/>
  <c r="GJ12" i="24"/>
  <c r="GN12" i="24"/>
  <c r="T13" i="24"/>
  <c r="AB13" i="24"/>
  <c r="AF13" i="24"/>
  <c r="AJ13" i="24"/>
  <c r="AN13" i="24"/>
  <c r="AR13" i="24"/>
  <c r="AV13" i="24"/>
  <c r="AZ13" i="24"/>
  <c r="BH13" i="24"/>
  <c r="BL13" i="24"/>
  <c r="BP13" i="24"/>
  <c r="BT13" i="24"/>
  <c r="BX13" i="24"/>
  <c r="CB13" i="24"/>
  <c r="CF13" i="24"/>
  <c r="CN13" i="24"/>
  <c r="CR13" i="24"/>
  <c r="CV13" i="24"/>
  <c r="CZ13" i="24"/>
  <c r="DD13" i="24"/>
  <c r="DH13" i="24"/>
  <c r="DL13" i="24"/>
  <c r="DT13" i="24"/>
  <c r="DX13" i="24"/>
  <c r="EB13" i="24"/>
  <c r="EF13" i="24"/>
  <c r="EJ13" i="24"/>
  <c r="EN13" i="24"/>
  <c r="ER13" i="24"/>
  <c r="EZ13" i="24"/>
  <c r="FD13" i="24"/>
  <c r="FH13" i="24"/>
  <c r="FL13" i="24"/>
  <c r="FP13" i="24"/>
  <c r="FT13" i="24"/>
  <c r="FX13" i="24"/>
  <c r="GF13" i="24"/>
  <c r="GJ13" i="24"/>
  <c r="GN13" i="24"/>
  <c r="T14" i="24"/>
  <c r="X14" i="24"/>
  <c r="AB14" i="24"/>
  <c r="AF14" i="24"/>
  <c r="AJ14" i="24"/>
  <c r="AR14" i="24"/>
  <c r="AV14" i="24"/>
  <c r="AZ14" i="24"/>
  <c r="BD14" i="24"/>
  <c r="BH14" i="24"/>
  <c r="BL14" i="24"/>
  <c r="BP14" i="24"/>
  <c r="BX14" i="24"/>
  <c r="CB14" i="24"/>
  <c r="CF14" i="24"/>
  <c r="CJ14" i="24"/>
  <c r="CN14" i="24"/>
  <c r="CR14" i="24"/>
  <c r="CV14" i="24"/>
  <c r="DD14" i="24"/>
  <c r="DH14" i="24"/>
  <c r="DL14" i="24"/>
  <c r="DP14" i="24"/>
  <c r="DT14" i="24"/>
  <c r="DX14" i="24"/>
  <c r="EB14" i="24"/>
  <c r="EJ14" i="24"/>
  <c r="EN14" i="24"/>
  <c r="ER14" i="24"/>
  <c r="EV14" i="24"/>
  <c r="EZ14" i="24"/>
  <c r="FD14" i="24"/>
  <c r="FH14" i="24"/>
  <c r="FP14" i="24"/>
  <c r="FT14" i="24"/>
  <c r="FX14" i="24"/>
  <c r="GB14" i="24"/>
  <c r="GF14" i="24"/>
  <c r="GJ14" i="24"/>
  <c r="T15" i="24"/>
  <c r="AB15" i="24"/>
  <c r="AF15" i="24"/>
  <c r="AJ15" i="24"/>
  <c r="AN15" i="24"/>
  <c r="AR15" i="24"/>
  <c r="AV15" i="24"/>
  <c r="AZ15" i="24"/>
  <c r="BH15" i="24"/>
  <c r="BL15" i="24"/>
  <c r="BP15" i="24"/>
  <c r="BT15" i="24"/>
  <c r="BX15" i="24"/>
  <c r="CB15" i="24"/>
  <c r="CF15" i="24"/>
  <c r="CN15" i="24"/>
  <c r="CR15" i="24"/>
  <c r="CV15" i="24"/>
  <c r="CZ15" i="24"/>
  <c r="DD15" i="24"/>
  <c r="DH15" i="24"/>
  <c r="DL15" i="24"/>
  <c r="DT15" i="24"/>
  <c r="DX15" i="24"/>
  <c r="EB15" i="24"/>
  <c r="EF15" i="24"/>
  <c r="EJ15" i="24"/>
  <c r="EN15" i="24"/>
  <c r="ER15" i="24"/>
  <c r="EZ15" i="24"/>
  <c r="FD15" i="24"/>
  <c r="FH15" i="24"/>
  <c r="FL15" i="24"/>
  <c r="FP15" i="24"/>
  <c r="FT15" i="24"/>
  <c r="FX15" i="24"/>
  <c r="GF15" i="24"/>
  <c r="GJ15" i="24"/>
  <c r="GN15" i="24"/>
  <c r="T16" i="24"/>
  <c r="X16" i="24"/>
  <c r="AB16" i="24"/>
  <c r="AF16" i="24"/>
  <c r="AJ16" i="24"/>
  <c r="AR16" i="24"/>
  <c r="AV16" i="24"/>
  <c r="AZ16" i="24"/>
  <c r="BD16" i="24"/>
  <c r="BH16" i="24"/>
  <c r="BL16" i="24"/>
  <c r="BP16" i="24"/>
  <c r="BX16" i="24"/>
  <c r="CB16" i="24"/>
  <c r="CF16" i="24"/>
  <c r="CJ16" i="24"/>
  <c r="CN16" i="24"/>
  <c r="CR16" i="24"/>
  <c r="CV16" i="24"/>
  <c r="DD16" i="24"/>
  <c r="DH16" i="24"/>
  <c r="DL16" i="24"/>
  <c r="DP16" i="24"/>
  <c r="DT16" i="24"/>
  <c r="DX16" i="24"/>
  <c r="EB16" i="24"/>
  <c r="EJ16" i="24"/>
  <c r="EN16" i="24"/>
  <c r="ER16" i="24"/>
  <c r="EV16" i="24"/>
  <c r="EZ16" i="24"/>
  <c r="FD16" i="24"/>
  <c r="FH16" i="24"/>
  <c r="FP16" i="24"/>
  <c r="FT16" i="24"/>
  <c r="FX16" i="24"/>
  <c r="GB16" i="24"/>
  <c r="GF16" i="24"/>
  <c r="GJ16" i="24"/>
  <c r="GN16" i="24"/>
  <c r="T17" i="24"/>
  <c r="X17" i="24"/>
  <c r="AB17" i="24"/>
  <c r="AF17" i="24"/>
  <c r="AJ17" i="24"/>
  <c r="AN17" i="24"/>
  <c r="AR17" i="24"/>
  <c r="AV17" i="24"/>
  <c r="AZ17" i="24"/>
  <c r="BD17" i="24"/>
  <c r="BH17" i="24"/>
  <c r="BL17" i="24"/>
  <c r="BP17" i="24"/>
  <c r="BT17" i="24"/>
  <c r="BX17" i="24"/>
  <c r="CB17" i="24"/>
  <c r="CF17" i="24"/>
  <c r="CJ17" i="24"/>
  <c r="CN17" i="24"/>
  <c r="CR17" i="24"/>
  <c r="CV17" i="24"/>
  <c r="CZ17" i="24"/>
  <c r="DD17" i="24"/>
  <c r="DH17" i="24"/>
  <c r="DL17" i="24"/>
  <c r="DP17" i="24"/>
  <c r="DT17" i="24"/>
  <c r="DX17" i="24"/>
  <c r="EB17" i="24"/>
  <c r="EF17" i="24"/>
  <c r="EJ17" i="24"/>
  <c r="EN17" i="24"/>
  <c r="ER17" i="24"/>
  <c r="EV17" i="24"/>
  <c r="EZ17" i="24"/>
  <c r="FD17" i="24"/>
  <c r="FH17" i="24"/>
  <c r="FL17" i="24"/>
  <c r="FP17" i="24"/>
  <c r="FT17" i="24"/>
  <c r="FX17" i="24"/>
  <c r="GB17" i="24"/>
  <c r="GF17" i="24"/>
  <c r="GJ17" i="24"/>
  <c r="GN17" i="24"/>
  <c r="T18" i="24"/>
  <c r="X18" i="24"/>
  <c r="AB18" i="24"/>
  <c r="AF18" i="24"/>
  <c r="AJ18" i="24"/>
  <c r="AR18" i="24"/>
  <c r="AV18" i="24"/>
  <c r="AZ18" i="24"/>
  <c r="BD18" i="24"/>
  <c r="BH18" i="24"/>
  <c r="BL18" i="24"/>
  <c r="BP18" i="24"/>
  <c r="BT18" i="24"/>
  <c r="BX18" i="24"/>
  <c r="CB18" i="24"/>
  <c r="CF18" i="24"/>
  <c r="CJ18" i="24"/>
  <c r="CN18" i="24"/>
  <c r="CR18" i="24"/>
  <c r="CV18" i="24"/>
  <c r="CZ18" i="24"/>
  <c r="DD18" i="24"/>
  <c r="DH18" i="24"/>
  <c r="DL18" i="24"/>
  <c r="DP18" i="24"/>
  <c r="DT18" i="24"/>
  <c r="DX18" i="24"/>
  <c r="EB18" i="24"/>
  <c r="EF18" i="24"/>
  <c r="EJ18" i="24"/>
  <c r="EN18" i="24"/>
  <c r="ER18" i="24"/>
  <c r="EV18" i="24"/>
  <c r="EZ18" i="24"/>
  <c r="FD18" i="24"/>
  <c r="FH18" i="24"/>
  <c r="FL18" i="24"/>
  <c r="FP18" i="24"/>
  <c r="FT18" i="24"/>
  <c r="FX18" i="24"/>
  <c r="GB18" i="24"/>
  <c r="GF18" i="24"/>
  <c r="GJ18" i="24"/>
  <c r="GN18" i="24"/>
  <c r="T19" i="24"/>
  <c r="AB19" i="24"/>
  <c r="AF19" i="24"/>
  <c r="AJ19" i="24"/>
  <c r="AN19" i="24"/>
  <c r="AR19" i="24"/>
  <c r="AV19" i="24"/>
  <c r="AZ19" i="24"/>
  <c r="BH19" i="24"/>
  <c r="BL19" i="24"/>
  <c r="BP19" i="24"/>
  <c r="BT19" i="24"/>
  <c r="BX19" i="24"/>
  <c r="CB19" i="24"/>
  <c r="CF19" i="24"/>
  <c r="CN19" i="24"/>
  <c r="CR19" i="24"/>
  <c r="CV19" i="24"/>
  <c r="CZ19" i="24"/>
  <c r="DD19" i="24"/>
  <c r="DH19" i="24"/>
  <c r="DL19" i="24"/>
  <c r="DT19" i="24"/>
  <c r="DX19" i="24"/>
  <c r="EB19" i="24"/>
  <c r="EF19" i="24"/>
  <c r="EJ19" i="24"/>
  <c r="EN19" i="24"/>
  <c r="ER19" i="24"/>
  <c r="EZ19" i="24"/>
  <c r="FD19" i="24"/>
  <c r="FH19" i="24"/>
  <c r="FL19" i="24"/>
  <c r="FP19" i="24"/>
  <c r="FT19" i="24"/>
  <c r="FX19" i="24"/>
  <c r="GF19" i="24"/>
  <c r="GJ19" i="24"/>
  <c r="GN19" i="24"/>
  <c r="T20" i="24"/>
  <c r="X20" i="24"/>
  <c r="AB20" i="24"/>
  <c r="AF20" i="24"/>
  <c r="AJ20" i="24"/>
  <c r="AN20" i="24"/>
  <c r="AR20" i="24"/>
  <c r="AV20" i="24"/>
  <c r="AZ20" i="24"/>
  <c r="BD20" i="24"/>
  <c r="BH20" i="24"/>
  <c r="BL20" i="24"/>
  <c r="BP20" i="24"/>
  <c r="BT20" i="24"/>
  <c r="BX20" i="24"/>
  <c r="CB20" i="24"/>
  <c r="CF20" i="24"/>
  <c r="CJ20" i="24"/>
  <c r="CN20" i="24"/>
  <c r="CR20" i="24"/>
  <c r="CV20" i="24"/>
  <c r="CZ20" i="24"/>
  <c r="DD20" i="24"/>
  <c r="DJ20" i="24"/>
  <c r="DR20" i="24"/>
  <c r="GO22" i="24"/>
  <c r="GG22" i="24"/>
  <c r="GC22" i="24"/>
  <c r="FY22" i="24"/>
  <c r="FU22" i="24"/>
  <c r="FQ22" i="24"/>
  <c r="FM22" i="24"/>
  <c r="FI22" i="24"/>
  <c r="FA22" i="24"/>
  <c r="EW22" i="24"/>
  <c r="ES22" i="24"/>
  <c r="EO22" i="24"/>
  <c r="EK22" i="24"/>
  <c r="EG22" i="24"/>
  <c r="EC22" i="24"/>
  <c r="DU22" i="24"/>
  <c r="DQ22" i="24"/>
  <c r="DM22" i="24"/>
  <c r="DI22" i="24"/>
  <c r="DE22" i="24"/>
  <c r="DA22" i="24"/>
  <c r="CW22" i="24"/>
  <c r="CO22" i="24"/>
  <c r="CK22" i="24"/>
  <c r="CG22" i="24"/>
  <c r="CC22" i="24"/>
  <c r="BY22" i="24"/>
  <c r="BU22" i="24"/>
  <c r="BQ22" i="24"/>
  <c r="BI22" i="24"/>
  <c r="BE22" i="24"/>
  <c r="BA22" i="24"/>
  <c r="AW22" i="24"/>
  <c r="AS22" i="24"/>
  <c r="AO22" i="24"/>
  <c r="AK22" i="24"/>
  <c r="AC22" i="24"/>
  <c r="Y22" i="24"/>
  <c r="U22" i="24"/>
  <c r="GN22" i="24"/>
  <c r="GJ22" i="24"/>
  <c r="GF22" i="24"/>
  <c r="GB22" i="24"/>
  <c r="FX22" i="24"/>
  <c r="FT22" i="24"/>
  <c r="FP22" i="24"/>
  <c r="FL22" i="24"/>
  <c r="FH22" i="24"/>
  <c r="FD22" i="24"/>
  <c r="EZ22" i="24"/>
  <c r="EV22" i="24"/>
  <c r="ER22" i="24"/>
  <c r="EN22" i="24"/>
  <c r="EJ22" i="24"/>
  <c r="EF22" i="24"/>
  <c r="EB22" i="24"/>
  <c r="DX22" i="24"/>
  <c r="DT22" i="24"/>
  <c r="DP22" i="24"/>
  <c r="DL22" i="24"/>
  <c r="DH22" i="24"/>
  <c r="DD22" i="24"/>
  <c r="CZ22" i="24"/>
  <c r="CV22" i="24"/>
  <c r="CR22" i="24"/>
  <c r="CN22" i="24"/>
  <c r="CJ22" i="24"/>
  <c r="CF22" i="24"/>
  <c r="CB22" i="24"/>
  <c r="BX22" i="24"/>
  <c r="BT22" i="24"/>
  <c r="BP22" i="24"/>
  <c r="BL22" i="24"/>
  <c r="BH22" i="24"/>
  <c r="BD22" i="24"/>
  <c r="AZ22" i="24"/>
  <c r="AV22" i="24"/>
  <c r="AR22" i="24"/>
  <c r="AN22" i="24"/>
  <c r="AJ22" i="24"/>
  <c r="AF22" i="24"/>
  <c r="AB22" i="24"/>
  <c r="X22" i="24"/>
  <c r="T22" i="24"/>
  <c r="GM22" i="24"/>
  <c r="GE22" i="24"/>
  <c r="GA22" i="24"/>
  <c r="FW22" i="24"/>
  <c r="FS22" i="24"/>
  <c r="FO22" i="24"/>
  <c r="FK22" i="24"/>
  <c r="FG22" i="24"/>
  <c r="EY22" i="24"/>
  <c r="EU22" i="24"/>
  <c r="EQ22" i="24"/>
  <c r="EM22" i="24"/>
  <c r="EI22" i="24"/>
  <c r="EE22" i="24"/>
  <c r="EA22" i="24"/>
  <c r="DS22" i="24"/>
  <c r="DO22" i="24"/>
  <c r="DK22" i="24"/>
  <c r="DG22" i="24"/>
  <c r="DC22" i="24"/>
  <c r="CY22" i="24"/>
  <c r="CU22" i="24"/>
  <c r="CM22" i="24"/>
  <c r="CI22" i="24"/>
  <c r="CE22" i="24"/>
  <c r="CA22" i="24"/>
  <c r="BW22" i="24"/>
  <c r="BS22" i="24"/>
  <c r="BO22" i="24"/>
  <c r="BG22" i="24"/>
  <c r="BC22" i="24"/>
  <c r="AY22" i="24"/>
  <c r="AU22" i="24"/>
  <c r="AQ22" i="24"/>
  <c r="AM22" i="24"/>
  <c r="AI22" i="24"/>
  <c r="AA22" i="24"/>
  <c r="W22" i="24"/>
  <c r="S22" i="24"/>
  <c r="GP22" i="24"/>
  <c r="GH22" i="24"/>
  <c r="GD22" i="24"/>
  <c r="FZ22" i="24"/>
  <c r="FV22" i="24"/>
  <c r="FR22" i="24"/>
  <c r="FN22" i="24"/>
  <c r="FJ22" i="24"/>
  <c r="FB22" i="24"/>
  <c r="EX22" i="24"/>
  <c r="ET22" i="24"/>
  <c r="EP22" i="24"/>
  <c r="EL22" i="24"/>
  <c r="EH22" i="24"/>
  <c r="ED22" i="24"/>
  <c r="DV22" i="24"/>
  <c r="DR22" i="24"/>
  <c r="DN22" i="24"/>
  <c r="DJ22" i="24"/>
  <c r="DF22" i="24"/>
  <c r="DB22" i="24"/>
  <c r="CX22" i="24"/>
  <c r="CP22" i="24"/>
  <c r="CL22" i="24"/>
  <c r="CH22" i="24"/>
  <c r="CD22" i="24"/>
  <c r="BZ22" i="24"/>
  <c r="BV22" i="24"/>
  <c r="BR22" i="24"/>
  <c r="BJ22" i="24"/>
  <c r="BF22" i="24"/>
  <c r="BB22" i="24"/>
  <c r="AX22" i="24"/>
  <c r="AT22" i="24"/>
  <c r="AP22" i="24"/>
  <c r="AL22" i="24"/>
  <c r="AD22" i="24"/>
  <c r="Z22" i="24"/>
  <c r="V22" i="24"/>
  <c r="GO26" i="24"/>
  <c r="GK26" i="24"/>
  <c r="GG26" i="24"/>
  <c r="FY26" i="24"/>
  <c r="FU26" i="24"/>
  <c r="FQ26" i="24"/>
  <c r="FM26" i="24"/>
  <c r="FI26" i="24"/>
  <c r="FE26" i="24"/>
  <c r="FA26" i="24"/>
  <c r="ES26" i="24"/>
  <c r="EO26" i="24"/>
  <c r="EK26" i="24"/>
  <c r="EG26" i="24"/>
  <c r="EC26" i="24"/>
  <c r="DY26" i="24"/>
  <c r="DU26" i="24"/>
  <c r="DM26" i="24"/>
  <c r="DI26" i="24"/>
  <c r="DE26" i="24"/>
  <c r="DA26" i="24"/>
  <c r="CW26" i="24"/>
  <c r="CS26" i="24"/>
  <c r="CO26" i="24"/>
  <c r="CG26" i="24"/>
  <c r="CC26" i="24"/>
  <c r="BY26" i="24"/>
  <c r="BU26" i="24"/>
  <c r="BQ26" i="24"/>
  <c r="BM26" i="24"/>
  <c r="BI26" i="24"/>
  <c r="BA26" i="24"/>
  <c r="AW26" i="24"/>
  <c r="AS26" i="24"/>
  <c r="AO26" i="24"/>
  <c r="AK26" i="24"/>
  <c r="AG26" i="24"/>
  <c r="AC26" i="24"/>
  <c r="U26" i="24"/>
  <c r="GN26" i="24"/>
  <c r="GJ26" i="24"/>
  <c r="GF26" i="24"/>
  <c r="GB26" i="24"/>
  <c r="FX26" i="24"/>
  <c r="FT26" i="24"/>
  <c r="FL26" i="24"/>
  <c r="FH26" i="24"/>
  <c r="FD26" i="24"/>
  <c r="EZ26" i="24"/>
  <c r="EV26" i="24"/>
  <c r="ER26" i="24"/>
  <c r="EN26" i="24"/>
  <c r="EF26" i="24"/>
  <c r="EB26" i="24"/>
  <c r="DX26" i="24"/>
  <c r="DT26" i="24"/>
  <c r="DP26" i="24"/>
  <c r="DL26" i="24"/>
  <c r="DH26" i="24"/>
  <c r="CZ26" i="24"/>
  <c r="CV26" i="24"/>
  <c r="CR26" i="24"/>
  <c r="CN26" i="24"/>
  <c r="CJ26" i="24"/>
  <c r="CF26" i="24"/>
  <c r="CB26" i="24"/>
  <c r="BT26" i="24"/>
  <c r="BP26" i="24"/>
  <c r="BL26" i="24"/>
  <c r="BH26" i="24"/>
  <c r="BD26" i="24"/>
  <c r="AZ26" i="24"/>
  <c r="AV26" i="24"/>
  <c r="AN26" i="24"/>
  <c r="AJ26" i="24"/>
  <c r="AF26" i="24"/>
  <c r="AB26" i="24"/>
  <c r="X26" i="24"/>
  <c r="T26" i="24"/>
  <c r="GM26" i="24"/>
  <c r="GI26" i="24"/>
  <c r="GE26" i="24"/>
  <c r="FW26" i="24"/>
  <c r="FS26" i="24"/>
  <c r="FO26" i="24"/>
  <c r="FK26" i="24"/>
  <c r="FG26" i="24"/>
  <c r="FC26" i="24"/>
  <c r="EY26" i="24"/>
  <c r="EU26" i="24"/>
  <c r="EQ26" i="24"/>
  <c r="EM26" i="24"/>
  <c r="EI26" i="24"/>
  <c r="EE26" i="24"/>
  <c r="EA26" i="24"/>
  <c r="DW26" i="24"/>
  <c r="DS26" i="24"/>
  <c r="DK26" i="24"/>
  <c r="DG26" i="24"/>
  <c r="DC26" i="24"/>
  <c r="CY26" i="24"/>
  <c r="CU26" i="24"/>
  <c r="CQ26" i="24"/>
  <c r="CM26" i="24"/>
  <c r="CI26" i="24"/>
  <c r="CE26" i="24"/>
  <c r="CA26" i="24"/>
  <c r="BW26" i="24"/>
  <c r="BS26" i="24"/>
  <c r="BO26" i="24"/>
  <c r="BK26" i="24"/>
  <c r="BG26" i="24"/>
  <c r="AY26" i="24"/>
  <c r="AU26" i="24"/>
  <c r="AQ26" i="24"/>
  <c r="AM26" i="24"/>
  <c r="AI26" i="24"/>
  <c r="AE26" i="24"/>
  <c r="AA26" i="24"/>
  <c r="W26" i="24"/>
  <c r="S26" i="24"/>
  <c r="GP26" i="24"/>
  <c r="GL26" i="24"/>
  <c r="GH26" i="24"/>
  <c r="GD26" i="24"/>
  <c r="FZ26" i="24"/>
  <c r="FV26" i="24"/>
  <c r="FN26" i="24"/>
  <c r="FJ26" i="24"/>
  <c r="FF26" i="24"/>
  <c r="FB26" i="24"/>
  <c r="EX26" i="24"/>
  <c r="ET26" i="24"/>
  <c r="EP26" i="24"/>
  <c r="EL26" i="24"/>
  <c r="EH26" i="24"/>
  <c r="ED26" i="24"/>
  <c r="DZ26" i="24"/>
  <c r="DV26" i="24"/>
  <c r="DR26" i="24"/>
  <c r="DN26" i="24"/>
  <c r="DJ26" i="24"/>
  <c r="DB26" i="24"/>
  <c r="CX26" i="24"/>
  <c r="CT26" i="24"/>
  <c r="CP26" i="24"/>
  <c r="CL26" i="24"/>
  <c r="CH26" i="24"/>
  <c r="CD26" i="24"/>
  <c r="BZ26" i="24"/>
  <c r="BV26" i="24"/>
  <c r="BR26" i="24"/>
  <c r="BN26" i="24"/>
  <c r="BJ26" i="24"/>
  <c r="BF26" i="24"/>
  <c r="BB26" i="24"/>
  <c r="AX26" i="24"/>
  <c r="AP26" i="24"/>
  <c r="AL26" i="24"/>
  <c r="AH26" i="24"/>
  <c r="AD26" i="24"/>
  <c r="Z26" i="24"/>
  <c r="V26" i="24"/>
  <c r="GO30" i="24"/>
  <c r="GK30" i="24"/>
  <c r="GG30" i="24"/>
  <c r="FY30" i="24"/>
  <c r="FU30" i="24"/>
  <c r="FQ30" i="24"/>
  <c r="FM30" i="24"/>
  <c r="FI30" i="24"/>
  <c r="FE30" i="24"/>
  <c r="FA30" i="24"/>
  <c r="ES30" i="24"/>
  <c r="EO30" i="24"/>
  <c r="EK30" i="24"/>
  <c r="EG30" i="24"/>
  <c r="EC30" i="24"/>
  <c r="DY30" i="24"/>
  <c r="DU30" i="24"/>
  <c r="DM30" i="24"/>
  <c r="DI30" i="24"/>
  <c r="DE30" i="24"/>
  <c r="DA30" i="24"/>
  <c r="CW30" i="24"/>
  <c r="CS30" i="24"/>
  <c r="CO30" i="24"/>
  <c r="CG30" i="24"/>
  <c r="CC30" i="24"/>
  <c r="BY30" i="24"/>
  <c r="BU30" i="24"/>
  <c r="BQ30" i="24"/>
  <c r="BM30" i="24"/>
  <c r="BI30" i="24"/>
  <c r="BA30" i="24"/>
  <c r="AW30" i="24"/>
  <c r="AS30" i="24"/>
  <c r="AO30" i="24"/>
  <c r="AK30" i="24"/>
  <c r="AG30" i="24"/>
  <c r="AC30" i="24"/>
  <c r="U30" i="24"/>
  <c r="GN30" i="24"/>
  <c r="GJ30" i="24"/>
  <c r="GF30" i="24"/>
  <c r="GB30" i="24"/>
  <c r="FX30" i="24"/>
  <c r="FT30" i="24"/>
  <c r="FL30" i="24"/>
  <c r="FH30" i="24"/>
  <c r="FD30" i="24"/>
  <c r="EZ30" i="24"/>
  <c r="EV30" i="24"/>
  <c r="ER30" i="24"/>
  <c r="EN30" i="24"/>
  <c r="EF30" i="24"/>
  <c r="EB30" i="24"/>
  <c r="DX30" i="24"/>
  <c r="DT30" i="24"/>
  <c r="DP30" i="24"/>
  <c r="DL30" i="24"/>
  <c r="DH30" i="24"/>
  <c r="CZ30" i="24"/>
  <c r="CV30" i="24"/>
  <c r="CR30" i="24"/>
  <c r="CN30" i="24"/>
  <c r="CJ30" i="24"/>
  <c r="CF30" i="24"/>
  <c r="CB30" i="24"/>
  <c r="BT30" i="24"/>
  <c r="BP30" i="24"/>
  <c r="BL30" i="24"/>
  <c r="BH30" i="24"/>
  <c r="BD30" i="24"/>
  <c r="AZ30" i="24"/>
  <c r="AV30" i="24"/>
  <c r="AN30" i="24"/>
  <c r="AJ30" i="24"/>
  <c r="AF30" i="24"/>
  <c r="AB30" i="24"/>
  <c r="X30" i="24"/>
  <c r="T30" i="24"/>
  <c r="GM30" i="24"/>
  <c r="GI30" i="24"/>
  <c r="GE30" i="24"/>
  <c r="GA30" i="24"/>
  <c r="FW30" i="24"/>
  <c r="FS30" i="24"/>
  <c r="FO30" i="24"/>
  <c r="FK30" i="24"/>
  <c r="FG30" i="24"/>
  <c r="FC30" i="24"/>
  <c r="EY30" i="24"/>
  <c r="EU30" i="24"/>
  <c r="EQ30" i="24"/>
  <c r="EM30" i="24"/>
  <c r="EI30" i="24"/>
  <c r="EE30" i="24"/>
  <c r="EA30" i="24"/>
  <c r="DW30" i="24"/>
  <c r="DS30" i="24"/>
  <c r="DO30" i="24"/>
  <c r="DK30" i="24"/>
  <c r="DG30" i="24"/>
  <c r="DC30" i="24"/>
  <c r="CY30" i="24"/>
  <c r="CU30" i="24"/>
  <c r="CQ30" i="24"/>
  <c r="CM30" i="24"/>
  <c r="CI30" i="24"/>
  <c r="CE30" i="24"/>
  <c r="CA30" i="24"/>
  <c r="BW30" i="24"/>
  <c r="BS30" i="24"/>
  <c r="BO30" i="24"/>
  <c r="BK30" i="24"/>
  <c r="BG30" i="24"/>
  <c r="BC30" i="24"/>
  <c r="AY30" i="24"/>
  <c r="AU30" i="24"/>
  <c r="AQ30" i="24"/>
  <c r="AM30" i="24"/>
  <c r="AI30" i="24"/>
  <c r="AE30" i="24"/>
  <c r="AA30" i="24"/>
  <c r="W30" i="24"/>
  <c r="S30" i="24"/>
  <c r="FZ30" i="24"/>
  <c r="ET30" i="24"/>
  <c r="DN30" i="24"/>
  <c r="CH30" i="24"/>
  <c r="BB30" i="24"/>
  <c r="V30" i="24"/>
  <c r="GL30" i="24"/>
  <c r="FV30" i="24"/>
  <c r="FF30" i="24"/>
  <c r="EP30" i="24"/>
  <c r="DZ30" i="24"/>
  <c r="DJ30" i="24"/>
  <c r="CT30" i="24"/>
  <c r="CD30" i="24"/>
  <c r="BN30" i="24"/>
  <c r="AX30" i="24"/>
  <c r="AH30" i="24"/>
  <c r="GH30" i="24"/>
  <c r="FR30" i="24"/>
  <c r="FB30" i="24"/>
  <c r="EL30" i="24"/>
  <c r="DV30" i="24"/>
  <c r="DF30" i="24"/>
  <c r="CP30" i="24"/>
  <c r="BZ30" i="24"/>
  <c r="BJ30" i="24"/>
  <c r="AT30" i="24"/>
  <c r="AD30" i="24"/>
  <c r="GD30" i="24"/>
  <c r="FN30" i="24"/>
  <c r="EX30" i="24"/>
  <c r="EH30" i="24"/>
  <c r="DR30" i="24"/>
  <c r="DB30" i="24"/>
  <c r="CL30" i="24"/>
  <c r="BV30" i="24"/>
  <c r="BF30" i="24"/>
  <c r="AP30" i="24"/>
  <c r="Z30" i="24"/>
  <c r="GO34" i="24"/>
  <c r="GK34" i="24"/>
  <c r="GG34" i="24"/>
  <c r="GC34" i="24"/>
  <c r="FY34" i="24"/>
  <c r="FU34" i="24"/>
  <c r="FQ34" i="24"/>
  <c r="FM34" i="24"/>
  <c r="FI34" i="24"/>
  <c r="FE34" i="24"/>
  <c r="FA34" i="24"/>
  <c r="EW34" i="24"/>
  <c r="ES34" i="24"/>
  <c r="EO34" i="24"/>
  <c r="EK34" i="24"/>
  <c r="EG34" i="24"/>
  <c r="EC34" i="24"/>
  <c r="DY34" i="24"/>
  <c r="DU34" i="24"/>
  <c r="DQ34" i="24"/>
  <c r="DM34" i="24"/>
  <c r="DI34" i="24"/>
  <c r="DE34" i="24"/>
  <c r="DA34" i="24"/>
  <c r="CW34" i="24"/>
  <c r="CS34" i="24"/>
  <c r="CO34" i="24"/>
  <c r="CK34" i="24"/>
  <c r="CG34" i="24"/>
  <c r="CC34" i="24"/>
  <c r="BY34" i="24"/>
  <c r="BU34" i="24"/>
  <c r="BQ34" i="24"/>
  <c r="BM34" i="24"/>
  <c r="BI34" i="24"/>
  <c r="BE34" i="24"/>
  <c r="BA34" i="24"/>
  <c r="AW34" i="24"/>
  <c r="AS34" i="24"/>
  <c r="AO34" i="24"/>
  <c r="AK34" i="24"/>
  <c r="AG34" i="24"/>
  <c r="AC34" i="24"/>
  <c r="Y34" i="24"/>
  <c r="U34" i="24"/>
  <c r="GN34" i="24"/>
  <c r="GJ34" i="24"/>
  <c r="GF34" i="24"/>
  <c r="GB34" i="24"/>
  <c r="FX34" i="24"/>
  <c r="FT34" i="24"/>
  <c r="FP34" i="24"/>
  <c r="FL34" i="24"/>
  <c r="FH34" i="24"/>
  <c r="FD34" i="24"/>
  <c r="EZ34" i="24"/>
  <c r="EV34" i="24"/>
  <c r="ER34" i="24"/>
  <c r="EN34" i="24"/>
  <c r="EJ34" i="24"/>
  <c r="EF34" i="24"/>
  <c r="EB34" i="24"/>
  <c r="DX34" i="24"/>
  <c r="DT34" i="24"/>
  <c r="DP34" i="24"/>
  <c r="DL34" i="24"/>
  <c r="DH34" i="24"/>
  <c r="DD34" i="24"/>
  <c r="CZ34" i="24"/>
  <c r="CV34" i="24"/>
  <c r="CR34" i="24"/>
  <c r="CN34" i="24"/>
  <c r="CJ34" i="24"/>
  <c r="CF34" i="24"/>
  <c r="CB34" i="24"/>
  <c r="BX34" i="24"/>
  <c r="BT34" i="24"/>
  <c r="BP34" i="24"/>
  <c r="BL34" i="24"/>
  <c r="BH34" i="24"/>
  <c r="BD34" i="24"/>
  <c r="AZ34" i="24"/>
  <c r="AV34" i="24"/>
  <c r="AR34" i="24"/>
  <c r="AN34" i="24"/>
  <c r="AJ34" i="24"/>
  <c r="AF34" i="24"/>
  <c r="AB34" i="24"/>
  <c r="X34" i="24"/>
  <c r="T34" i="24"/>
  <c r="GM34" i="24"/>
  <c r="GI34" i="24"/>
  <c r="GE34" i="24"/>
  <c r="FW34" i="24"/>
  <c r="FS34" i="24"/>
  <c r="FO34" i="24"/>
  <c r="FK34" i="24"/>
  <c r="FG34" i="24"/>
  <c r="FC34" i="24"/>
  <c r="EY34" i="24"/>
  <c r="EQ34" i="24"/>
  <c r="EM34" i="24"/>
  <c r="EI34" i="24"/>
  <c r="EE34" i="24"/>
  <c r="EA34" i="24"/>
  <c r="DW34" i="24"/>
  <c r="DS34" i="24"/>
  <c r="DK34" i="24"/>
  <c r="DG34" i="24"/>
  <c r="DC34" i="24"/>
  <c r="CY34" i="24"/>
  <c r="CU34" i="24"/>
  <c r="CQ34" i="24"/>
  <c r="CM34" i="24"/>
  <c r="CE34" i="24"/>
  <c r="CA34" i="24"/>
  <c r="BW34" i="24"/>
  <c r="BS34" i="24"/>
  <c r="BO34" i="24"/>
  <c r="BK34" i="24"/>
  <c r="BG34" i="24"/>
  <c r="AY34" i="24"/>
  <c r="AU34" i="24"/>
  <c r="AQ34" i="24"/>
  <c r="AM34" i="24"/>
  <c r="AI34" i="24"/>
  <c r="AE34" i="24"/>
  <c r="AA34" i="24"/>
  <c r="S34" i="24"/>
  <c r="GH34" i="24"/>
  <c r="FR34" i="24"/>
  <c r="FB34" i="24"/>
  <c r="EL34" i="24"/>
  <c r="DV34" i="24"/>
  <c r="DF34" i="24"/>
  <c r="CP34" i="24"/>
  <c r="BZ34" i="24"/>
  <c r="BJ34" i="24"/>
  <c r="AT34" i="24"/>
  <c r="FJ34" i="24"/>
  <c r="EP34" i="24"/>
  <c r="CX34" i="24"/>
  <c r="CD34" i="24"/>
  <c r="AL34" i="24"/>
  <c r="V34" i="24"/>
  <c r="FZ34" i="24"/>
  <c r="FF34" i="24"/>
  <c r="EH34" i="24"/>
  <c r="DN34" i="24"/>
  <c r="CT34" i="24"/>
  <c r="BV34" i="24"/>
  <c r="BB34" i="24"/>
  <c r="AH34" i="24"/>
  <c r="GP34" i="24"/>
  <c r="FV34" i="24"/>
  <c r="ED34" i="24"/>
  <c r="DJ34" i="24"/>
  <c r="BR34" i="24"/>
  <c r="AX34" i="24"/>
  <c r="AD34" i="24"/>
  <c r="GL34" i="24"/>
  <c r="FN34" i="24"/>
  <c r="ET34" i="24"/>
  <c r="DZ34" i="24"/>
  <c r="DB34" i="24"/>
  <c r="CH34" i="24"/>
  <c r="BN34" i="24"/>
  <c r="AP34" i="24"/>
  <c r="U12" i="24"/>
  <c r="Y12" i="24"/>
  <c r="AC12" i="24"/>
  <c r="AG12" i="24"/>
  <c r="AK12" i="24"/>
  <c r="AO12" i="24"/>
  <c r="AS12" i="24"/>
  <c r="AW12" i="24"/>
  <c r="BA12" i="24"/>
  <c r="BE12" i="24"/>
  <c r="BI12" i="24"/>
  <c r="BM12" i="24"/>
  <c r="BQ12" i="24"/>
  <c r="BU12" i="24"/>
  <c r="BY12" i="24"/>
  <c r="CC12" i="24"/>
  <c r="CG12" i="24"/>
  <c r="CK12" i="24"/>
  <c r="CO12" i="24"/>
  <c r="CS12" i="24"/>
  <c r="CW12" i="24"/>
  <c r="DA12" i="24"/>
  <c r="DE12" i="24"/>
  <c r="DI12" i="24"/>
  <c r="DM12" i="24"/>
  <c r="DQ12" i="24"/>
  <c r="DU12" i="24"/>
  <c r="DY12" i="24"/>
  <c r="EC12" i="24"/>
  <c r="EG12" i="24"/>
  <c r="EK12" i="24"/>
  <c r="EO12" i="24"/>
  <c r="ES12" i="24"/>
  <c r="EW12" i="24"/>
  <c r="FA12" i="24"/>
  <c r="FE12" i="24"/>
  <c r="FI12" i="24"/>
  <c r="FM12" i="24"/>
  <c r="FQ12" i="24"/>
  <c r="FU12" i="24"/>
  <c r="FY12" i="24"/>
  <c r="GC12" i="24"/>
  <c r="GG12" i="24"/>
  <c r="GK12" i="24"/>
  <c r="U13" i="24"/>
  <c r="Y13" i="24"/>
  <c r="AC13" i="24"/>
  <c r="AG13" i="24"/>
  <c r="AK13" i="24"/>
  <c r="AO13" i="24"/>
  <c r="AS13" i="24"/>
  <c r="AW13" i="24"/>
  <c r="BA13" i="24"/>
  <c r="BE13" i="24"/>
  <c r="BI13" i="24"/>
  <c r="BM13" i="24"/>
  <c r="BQ13" i="24"/>
  <c r="BU13" i="24"/>
  <c r="BY13" i="24"/>
  <c r="CC13" i="24"/>
  <c r="CG13" i="24"/>
  <c r="CK13" i="24"/>
  <c r="CO13" i="24"/>
  <c r="CS13" i="24"/>
  <c r="CW13" i="24"/>
  <c r="DA13" i="24"/>
  <c r="DE13" i="24"/>
  <c r="DI13" i="24"/>
  <c r="DM13" i="24"/>
  <c r="DQ13" i="24"/>
  <c r="DU13" i="24"/>
  <c r="DY13" i="24"/>
  <c r="EC13" i="24"/>
  <c r="EG13" i="24"/>
  <c r="EK13" i="24"/>
  <c r="EO13" i="24"/>
  <c r="ES13" i="24"/>
  <c r="EW13" i="24"/>
  <c r="FA13" i="24"/>
  <c r="FE13" i="24"/>
  <c r="FI13" i="24"/>
  <c r="FM13" i="24"/>
  <c r="FQ13" i="24"/>
  <c r="FU13" i="24"/>
  <c r="FY13" i="24"/>
  <c r="GC13" i="24"/>
  <c r="GG13" i="24"/>
  <c r="GK13" i="24"/>
  <c r="U14" i="24"/>
  <c r="Y14" i="24"/>
  <c r="AC14" i="24"/>
  <c r="AG14" i="24"/>
  <c r="AK14" i="24"/>
  <c r="AO14" i="24"/>
  <c r="AS14" i="24"/>
  <c r="AW14" i="24"/>
  <c r="BA14" i="24"/>
  <c r="BE14" i="24"/>
  <c r="BI14" i="24"/>
  <c r="BM14" i="24"/>
  <c r="BQ14" i="24"/>
  <c r="BU14" i="24"/>
  <c r="BY14" i="24"/>
  <c r="CC14" i="24"/>
  <c r="CG14" i="24"/>
  <c r="CK14" i="24"/>
  <c r="CO14" i="24"/>
  <c r="CS14" i="24"/>
  <c r="CW14" i="24"/>
  <c r="DA14" i="24"/>
  <c r="DE14" i="24"/>
  <c r="DI14" i="24"/>
  <c r="DM14" i="24"/>
  <c r="DQ14" i="24"/>
  <c r="DU14" i="24"/>
  <c r="DY14" i="24"/>
  <c r="EC14" i="24"/>
  <c r="EG14" i="24"/>
  <c r="EK14" i="24"/>
  <c r="EO14" i="24"/>
  <c r="ES14" i="24"/>
  <c r="EW14" i="24"/>
  <c r="FA14" i="24"/>
  <c r="FE14" i="24"/>
  <c r="FI14" i="24"/>
  <c r="FM14" i="24"/>
  <c r="FQ14" i="24"/>
  <c r="FU14" i="24"/>
  <c r="FY14" i="24"/>
  <c r="GC14" i="24"/>
  <c r="GG14" i="24"/>
  <c r="GK14" i="24"/>
  <c r="U15" i="24"/>
  <c r="Y15" i="24"/>
  <c r="AC15" i="24"/>
  <c r="AG15" i="24"/>
  <c r="AK15" i="24"/>
  <c r="AO15" i="24"/>
  <c r="AS15" i="24"/>
  <c r="AW15" i="24"/>
  <c r="BA15" i="24"/>
  <c r="BE15" i="24"/>
  <c r="BI15" i="24"/>
  <c r="BM15" i="24"/>
  <c r="BQ15" i="24"/>
  <c r="BU15" i="24"/>
  <c r="BY15" i="24"/>
  <c r="CC15" i="24"/>
  <c r="CG15" i="24"/>
  <c r="CK15" i="24"/>
  <c r="CO15" i="24"/>
  <c r="CS15" i="24"/>
  <c r="CW15" i="24"/>
  <c r="DA15" i="24"/>
  <c r="DE15" i="24"/>
  <c r="DI15" i="24"/>
  <c r="DM15" i="24"/>
  <c r="DQ15" i="24"/>
  <c r="DU15" i="24"/>
  <c r="DY15" i="24"/>
  <c r="EC15" i="24"/>
  <c r="EG15" i="24"/>
  <c r="EK15" i="24"/>
  <c r="EO15" i="24"/>
  <c r="ES15" i="24"/>
  <c r="EW15" i="24"/>
  <c r="FA15" i="24"/>
  <c r="FE15" i="24"/>
  <c r="FI15" i="24"/>
  <c r="FM15" i="24"/>
  <c r="FQ15" i="24"/>
  <c r="FU15" i="24"/>
  <c r="FY15" i="24"/>
  <c r="GC15" i="24"/>
  <c r="GG15" i="24"/>
  <c r="GK15" i="24"/>
  <c r="U16" i="24"/>
  <c r="Y16" i="24"/>
  <c r="AC16" i="24"/>
  <c r="AG16" i="24"/>
  <c r="AK16" i="24"/>
  <c r="AO16" i="24"/>
  <c r="AS16" i="24"/>
  <c r="AW16" i="24"/>
  <c r="BA16" i="24"/>
  <c r="BE16" i="24"/>
  <c r="BI16" i="24"/>
  <c r="BM16" i="24"/>
  <c r="BQ16" i="24"/>
  <c r="BU16" i="24"/>
  <c r="BY16" i="24"/>
  <c r="CC16" i="24"/>
  <c r="CG16" i="24"/>
  <c r="CK16" i="24"/>
  <c r="CO16" i="24"/>
  <c r="CS16" i="24"/>
  <c r="CW16" i="24"/>
  <c r="DA16" i="24"/>
  <c r="DE16" i="24"/>
  <c r="DI16" i="24"/>
  <c r="DM16" i="24"/>
  <c r="DQ16" i="24"/>
  <c r="DU16" i="24"/>
  <c r="DY16" i="24"/>
  <c r="EC16" i="24"/>
  <c r="EG16" i="24"/>
  <c r="EK16" i="24"/>
  <c r="EO16" i="24"/>
  <c r="ES16" i="24"/>
  <c r="EW16" i="24"/>
  <c r="FA16" i="24"/>
  <c r="FE16" i="24"/>
  <c r="FI16" i="24"/>
  <c r="FM16" i="24"/>
  <c r="FQ16" i="24"/>
  <c r="FU16" i="24"/>
  <c r="FY16" i="24"/>
  <c r="GC16" i="24"/>
  <c r="GG16" i="24"/>
  <c r="GK16" i="24"/>
  <c r="U17" i="24"/>
  <c r="Y17" i="24"/>
  <c r="AC17" i="24"/>
  <c r="AG17" i="24"/>
  <c r="AK17" i="24"/>
  <c r="AO17" i="24"/>
  <c r="AS17" i="24"/>
  <c r="AW17" i="24"/>
  <c r="BA17" i="24"/>
  <c r="BE17" i="24"/>
  <c r="BI17" i="24"/>
  <c r="BM17" i="24"/>
  <c r="BQ17" i="24"/>
  <c r="BU17" i="24"/>
  <c r="BY17" i="24"/>
  <c r="CC17" i="24"/>
  <c r="CG17" i="24"/>
  <c r="CK17" i="24"/>
  <c r="CO17" i="24"/>
  <c r="CS17" i="24"/>
  <c r="CW17" i="24"/>
  <c r="DA17" i="24"/>
  <c r="DE17" i="24"/>
  <c r="DI17" i="24"/>
  <c r="DM17" i="24"/>
  <c r="DQ17" i="24"/>
  <c r="DU17" i="24"/>
  <c r="DY17" i="24"/>
  <c r="EC17" i="24"/>
  <c r="EG17" i="24"/>
  <c r="EK17" i="24"/>
  <c r="EO17" i="24"/>
  <c r="ES17" i="24"/>
  <c r="EW17" i="24"/>
  <c r="FA17" i="24"/>
  <c r="FE17" i="24"/>
  <c r="FI17" i="24"/>
  <c r="FM17" i="24"/>
  <c r="FQ17" i="24"/>
  <c r="FU17" i="24"/>
  <c r="FY17" i="24"/>
  <c r="GC17" i="24"/>
  <c r="GG17" i="24"/>
  <c r="GK17" i="24"/>
  <c r="U18" i="24"/>
  <c r="Y18" i="24"/>
  <c r="AC18" i="24"/>
  <c r="AG18" i="24"/>
  <c r="AK18" i="24"/>
  <c r="AO18" i="24"/>
  <c r="AS18" i="24"/>
  <c r="AW18" i="24"/>
  <c r="BA18" i="24"/>
  <c r="BE18" i="24"/>
  <c r="BI18" i="24"/>
  <c r="BM18" i="24"/>
  <c r="BQ18" i="24"/>
  <c r="BU18" i="24"/>
  <c r="BY18" i="24"/>
  <c r="CC18" i="24"/>
  <c r="CG18" i="24"/>
  <c r="CK18" i="24"/>
  <c r="CO18" i="24"/>
  <c r="CS18" i="24"/>
  <c r="CW18" i="24"/>
  <c r="DA18" i="24"/>
  <c r="DE18" i="24"/>
  <c r="DI18" i="24"/>
  <c r="DM18" i="24"/>
  <c r="DQ18" i="24"/>
  <c r="DU18" i="24"/>
  <c r="DY18" i="24"/>
  <c r="EC18" i="24"/>
  <c r="EG18" i="24"/>
  <c r="EK18" i="24"/>
  <c r="EO18" i="24"/>
  <c r="ES18" i="24"/>
  <c r="EW18" i="24"/>
  <c r="FA18" i="24"/>
  <c r="FE18" i="24"/>
  <c r="FI18" i="24"/>
  <c r="FM18" i="24"/>
  <c r="FQ18" i="24"/>
  <c r="FU18" i="24"/>
  <c r="FY18" i="24"/>
  <c r="GC18" i="24"/>
  <c r="GG18" i="24"/>
  <c r="GK18" i="24"/>
  <c r="U19" i="24"/>
  <c r="Y19" i="24"/>
  <c r="AC19" i="24"/>
  <c r="AG19" i="24"/>
  <c r="AK19" i="24"/>
  <c r="AO19" i="24"/>
  <c r="AS19" i="24"/>
  <c r="AW19" i="24"/>
  <c r="BA19" i="24"/>
  <c r="BE19" i="24"/>
  <c r="BI19" i="24"/>
  <c r="BM19" i="24"/>
  <c r="BQ19" i="24"/>
  <c r="BU19" i="24"/>
  <c r="BY19" i="24"/>
  <c r="CC19" i="24"/>
  <c r="CG19" i="24"/>
  <c r="CK19" i="24"/>
  <c r="CO19" i="24"/>
  <c r="CS19" i="24"/>
  <c r="CW19" i="24"/>
  <c r="DA19" i="24"/>
  <c r="DE19" i="24"/>
  <c r="DI19" i="24"/>
  <c r="DM19" i="24"/>
  <c r="DQ19" i="24"/>
  <c r="DU19" i="24"/>
  <c r="DY19" i="24"/>
  <c r="EC19" i="24"/>
  <c r="EG19" i="24"/>
  <c r="EK19" i="24"/>
  <c r="EO19" i="24"/>
  <c r="ES19" i="24"/>
  <c r="EW19" i="24"/>
  <c r="FA19" i="24"/>
  <c r="FE19" i="24"/>
  <c r="FI19" i="24"/>
  <c r="FM19" i="24"/>
  <c r="FQ19" i="24"/>
  <c r="FU19" i="24"/>
  <c r="FY19" i="24"/>
  <c r="GC19" i="24"/>
  <c r="GG19" i="24"/>
  <c r="GK19" i="24"/>
  <c r="U20" i="24"/>
  <c r="Y20" i="24"/>
  <c r="AC20" i="24"/>
  <c r="AG20" i="24"/>
  <c r="AK20" i="24"/>
  <c r="AO20" i="24"/>
  <c r="AS20" i="24"/>
  <c r="AW20" i="24"/>
  <c r="BA20" i="24"/>
  <c r="BE20" i="24"/>
  <c r="BI20" i="24"/>
  <c r="BM20" i="24"/>
  <c r="BQ20" i="24"/>
  <c r="BU20" i="24"/>
  <c r="BY20" i="24"/>
  <c r="CC20" i="24"/>
  <c r="CG20" i="24"/>
  <c r="CK20" i="24"/>
  <c r="CO20" i="24"/>
  <c r="CS20" i="24"/>
  <c r="CW20" i="24"/>
  <c r="DA20" i="24"/>
  <c r="DF20" i="24"/>
  <c r="DK20" i="24"/>
  <c r="DV20" i="24"/>
  <c r="GN23" i="25"/>
  <c r="GJ23" i="25"/>
  <c r="GF23" i="25"/>
  <c r="GB23" i="25"/>
  <c r="FX23" i="25"/>
  <c r="FT23" i="25"/>
  <c r="FP23" i="25"/>
  <c r="FL23" i="25"/>
  <c r="FH23" i="25"/>
  <c r="FD23" i="25"/>
  <c r="EZ23" i="25"/>
  <c r="EV23" i="25"/>
  <c r="ER23" i="25"/>
  <c r="EN23" i="25"/>
  <c r="EJ23" i="25"/>
  <c r="EF23" i="25"/>
  <c r="EB23" i="25"/>
  <c r="DX23" i="25"/>
  <c r="DT23" i="25"/>
  <c r="DP23" i="25"/>
  <c r="DL23" i="25"/>
  <c r="DH23" i="25"/>
  <c r="DD23" i="25"/>
  <c r="CZ23" i="25"/>
  <c r="CV23" i="25"/>
  <c r="CR23" i="25"/>
  <c r="CN23" i="25"/>
  <c r="CJ23" i="25"/>
  <c r="CF23" i="25"/>
  <c r="CB23" i="25"/>
  <c r="BX23" i="25"/>
  <c r="BT23" i="25"/>
  <c r="BP23" i="25"/>
  <c r="BL23" i="25"/>
  <c r="BH23" i="25"/>
  <c r="BD23" i="25"/>
  <c r="AZ23" i="25"/>
  <c r="AV23" i="25"/>
  <c r="AR23" i="25"/>
  <c r="AN23" i="25"/>
  <c r="AJ23" i="25"/>
  <c r="AF23" i="25"/>
  <c r="AB23" i="25"/>
  <c r="X23" i="25"/>
  <c r="T23" i="25"/>
  <c r="GP23" i="25"/>
  <c r="GL23" i="25"/>
  <c r="GH23" i="25"/>
  <c r="GD23" i="25"/>
  <c r="FZ23" i="25"/>
  <c r="FV23" i="25"/>
  <c r="FR23" i="25"/>
  <c r="FN23" i="25"/>
  <c r="FJ23" i="25"/>
  <c r="FF23" i="25"/>
  <c r="FB23" i="25"/>
  <c r="EX23" i="25"/>
  <c r="ET23" i="25"/>
  <c r="EP23" i="25"/>
  <c r="EL23" i="25"/>
  <c r="EH23" i="25"/>
  <c r="ED23" i="25"/>
  <c r="DZ23" i="25"/>
  <c r="DV23" i="25"/>
  <c r="DR23" i="25"/>
  <c r="DN23" i="25"/>
  <c r="DJ23" i="25"/>
  <c r="DF23" i="25"/>
  <c r="DB23" i="25"/>
  <c r="CX23" i="25"/>
  <c r="CT23" i="25"/>
  <c r="CP23" i="25"/>
  <c r="CL23" i="25"/>
  <c r="CH23" i="25"/>
  <c r="CD23" i="25"/>
  <c r="BZ23" i="25"/>
  <c r="BV23" i="25"/>
  <c r="BR23" i="25"/>
  <c r="BN23" i="25"/>
  <c r="BJ23" i="25"/>
  <c r="BF23" i="25"/>
  <c r="BB23" i="25"/>
  <c r="AX23" i="25"/>
  <c r="AT23" i="25"/>
  <c r="AP23" i="25"/>
  <c r="AL23" i="25"/>
  <c r="AH23" i="25"/>
  <c r="AD23" i="25"/>
  <c r="Z23" i="25"/>
  <c r="V23" i="25"/>
  <c r="GI23" i="25"/>
  <c r="GA23" i="25"/>
  <c r="FS23" i="25"/>
  <c r="FK23" i="25"/>
  <c r="FC23" i="25"/>
  <c r="EU23" i="25"/>
  <c r="EM23" i="25"/>
  <c r="EE23" i="25"/>
  <c r="DW23" i="25"/>
  <c r="DO23" i="25"/>
  <c r="DG23" i="25"/>
  <c r="CY23" i="25"/>
  <c r="CQ23" i="25"/>
  <c r="CI23" i="25"/>
  <c r="CA23" i="25"/>
  <c r="BS23" i="25"/>
  <c r="BK23" i="25"/>
  <c r="BC23" i="25"/>
  <c r="AU23" i="25"/>
  <c r="AM23" i="25"/>
  <c r="AE23" i="25"/>
  <c r="W23" i="25"/>
  <c r="GO23" i="25"/>
  <c r="GG23" i="25"/>
  <c r="FY23" i="25"/>
  <c r="FQ23" i="25"/>
  <c r="FI23" i="25"/>
  <c r="FA23" i="25"/>
  <c r="ES23" i="25"/>
  <c r="EK23" i="25"/>
  <c r="EC23" i="25"/>
  <c r="DU23" i="25"/>
  <c r="DM23" i="25"/>
  <c r="DE23" i="25"/>
  <c r="CW23" i="25"/>
  <c r="CO23" i="25"/>
  <c r="CG23" i="25"/>
  <c r="BY23" i="25"/>
  <c r="BQ23" i="25"/>
  <c r="BI23" i="25"/>
  <c r="BA23" i="25"/>
  <c r="AS23" i="25"/>
  <c r="AK23" i="25"/>
  <c r="AC23" i="25"/>
  <c r="U23" i="25"/>
  <c r="GM23" i="25"/>
  <c r="GE23" i="25"/>
  <c r="FW23" i="25"/>
  <c r="FO23" i="25"/>
  <c r="FG23" i="25"/>
  <c r="EY23" i="25"/>
  <c r="EQ23" i="25"/>
  <c r="EI23" i="25"/>
  <c r="EA23" i="25"/>
  <c r="DS23" i="25"/>
  <c r="DK23" i="25"/>
  <c r="DC23" i="25"/>
  <c r="CU23" i="25"/>
  <c r="CM23" i="25"/>
  <c r="CE23" i="25"/>
  <c r="BW23" i="25"/>
  <c r="BO23" i="25"/>
  <c r="BG23" i="25"/>
  <c r="AY23" i="25"/>
  <c r="AQ23" i="25"/>
  <c r="AI23" i="25"/>
  <c r="AA23" i="25"/>
  <c r="S23" i="25"/>
  <c r="FU23" i="25"/>
  <c r="EO23" i="25"/>
  <c r="DI23" i="25"/>
  <c r="CC23" i="25"/>
  <c r="AW23" i="25"/>
  <c r="FM23" i="25"/>
  <c r="EG23" i="25"/>
  <c r="DA23" i="25"/>
  <c r="BU23" i="25"/>
  <c r="AO23" i="25"/>
  <c r="GK23" i="25"/>
  <c r="FE23" i="25"/>
  <c r="DY23" i="25"/>
  <c r="CS23" i="25"/>
  <c r="BM23" i="25"/>
  <c r="AG23" i="25"/>
  <c r="DQ23" i="25"/>
  <c r="CK23" i="25"/>
  <c r="GC23" i="25"/>
  <c r="BE23" i="25"/>
  <c r="EW23" i="25"/>
  <c r="Y23" i="25"/>
  <c r="GO19" i="25"/>
  <c r="GK19" i="25"/>
  <c r="GG19" i="25"/>
  <c r="GC19" i="25"/>
  <c r="FY19" i="25"/>
  <c r="FU19" i="25"/>
  <c r="FQ19" i="25"/>
  <c r="FM19" i="25"/>
  <c r="FI19" i="25"/>
  <c r="FE19" i="25"/>
  <c r="FA19" i="25"/>
  <c r="EW19" i="25"/>
  <c r="ES19" i="25"/>
  <c r="EO19" i="25"/>
  <c r="EK19" i="25"/>
  <c r="EG19" i="25"/>
  <c r="EC19" i="25"/>
  <c r="DY19" i="25"/>
  <c r="DU19" i="25"/>
  <c r="DQ19" i="25"/>
  <c r="DM19" i="25"/>
  <c r="DI19" i="25"/>
  <c r="DE19" i="25"/>
  <c r="DA19" i="25"/>
  <c r="CW19" i="25"/>
  <c r="CS19" i="25"/>
  <c r="CO19" i="25"/>
  <c r="CK19" i="25"/>
  <c r="CG19" i="25"/>
  <c r="CC19" i="25"/>
  <c r="BY19" i="25"/>
  <c r="BU19" i="25"/>
  <c r="BQ19" i="25"/>
  <c r="BM19" i="25"/>
  <c r="BI19" i="25"/>
  <c r="BE19" i="25"/>
  <c r="BA19" i="25"/>
  <c r="AW19" i="25"/>
  <c r="AS19" i="25"/>
  <c r="AO19" i="25"/>
  <c r="AK19" i="25"/>
  <c r="AG19" i="25"/>
  <c r="AC19" i="25"/>
  <c r="Y19" i="25"/>
  <c r="U19" i="25"/>
  <c r="GN19" i="25"/>
  <c r="GJ19" i="25"/>
  <c r="GF19" i="25"/>
  <c r="GB19" i="25"/>
  <c r="FX19" i="25"/>
  <c r="FT19" i="25"/>
  <c r="FP19" i="25"/>
  <c r="FL19" i="25"/>
  <c r="FH19" i="25"/>
  <c r="FD19" i="25"/>
  <c r="EZ19" i="25"/>
  <c r="EV19" i="25"/>
  <c r="ER19" i="25"/>
  <c r="EN19" i="25"/>
  <c r="EJ19" i="25"/>
  <c r="EF19" i="25"/>
  <c r="EB19" i="25"/>
  <c r="DX19" i="25"/>
  <c r="DT19" i="25"/>
  <c r="DP19" i="25"/>
  <c r="DL19" i="25"/>
  <c r="DH19" i="25"/>
  <c r="DD19" i="25"/>
  <c r="CZ19" i="25"/>
  <c r="CV19" i="25"/>
  <c r="CR19" i="25"/>
  <c r="CN19" i="25"/>
  <c r="CJ19" i="25"/>
  <c r="CF19" i="25"/>
  <c r="CB19" i="25"/>
  <c r="BX19" i="25"/>
  <c r="BT19" i="25"/>
  <c r="BP19" i="25"/>
  <c r="BL19" i="25"/>
  <c r="BH19" i="25"/>
  <c r="BD19" i="25"/>
  <c r="AZ19" i="25"/>
  <c r="AV19" i="25"/>
  <c r="AR19" i="25"/>
  <c r="AN19" i="25"/>
  <c r="AJ19" i="25"/>
  <c r="AF19" i="25"/>
  <c r="AB19" i="25"/>
  <c r="X19" i="25"/>
  <c r="T19" i="25"/>
  <c r="GP19" i="25"/>
  <c r="GH19" i="25"/>
  <c r="FZ19" i="25"/>
  <c r="FR19" i="25"/>
  <c r="FJ19" i="25"/>
  <c r="FB19" i="25"/>
  <c r="ET19" i="25"/>
  <c r="EL19" i="25"/>
  <c r="ED19" i="25"/>
  <c r="DV19" i="25"/>
  <c r="DN19" i="25"/>
  <c r="DF19" i="25"/>
  <c r="CX19" i="25"/>
  <c r="CP19" i="25"/>
  <c r="CH19" i="25"/>
  <c r="BZ19" i="25"/>
  <c r="BR19" i="25"/>
  <c r="BJ19" i="25"/>
  <c r="BB19" i="25"/>
  <c r="AT19" i="25"/>
  <c r="AL19" i="25"/>
  <c r="AD19" i="25"/>
  <c r="V19" i="25"/>
  <c r="GM19" i="25"/>
  <c r="GE19" i="25"/>
  <c r="FW19" i="25"/>
  <c r="FO19" i="25"/>
  <c r="FG19" i="25"/>
  <c r="EY19" i="25"/>
  <c r="EQ19" i="25"/>
  <c r="EI19" i="25"/>
  <c r="EA19" i="25"/>
  <c r="DS19" i="25"/>
  <c r="DK19" i="25"/>
  <c r="DC19" i="25"/>
  <c r="CU19" i="25"/>
  <c r="CM19" i="25"/>
  <c r="CE19" i="25"/>
  <c r="BW19" i="25"/>
  <c r="BO19" i="25"/>
  <c r="BG19" i="25"/>
  <c r="AY19" i="25"/>
  <c r="AQ19" i="25"/>
  <c r="AI19" i="25"/>
  <c r="AA19" i="25"/>
  <c r="S19" i="25"/>
  <c r="GL19" i="25"/>
  <c r="GD19" i="25"/>
  <c r="FV19" i="25"/>
  <c r="FN19" i="25"/>
  <c r="FF19" i="25"/>
  <c r="EX19" i="25"/>
  <c r="EP19" i="25"/>
  <c r="EH19" i="25"/>
  <c r="DZ19" i="25"/>
  <c r="DR19" i="25"/>
  <c r="DJ19" i="25"/>
  <c r="DB19" i="25"/>
  <c r="CT19" i="25"/>
  <c r="CL19" i="25"/>
  <c r="CD19" i="25"/>
  <c r="BV19" i="25"/>
  <c r="BN19" i="25"/>
  <c r="BF19" i="25"/>
  <c r="AX19" i="25"/>
  <c r="AP19" i="25"/>
  <c r="AH19" i="25"/>
  <c r="Z19" i="25"/>
  <c r="FS19" i="25"/>
  <c r="EM19" i="25"/>
  <c r="DG19" i="25"/>
  <c r="CA19" i="25"/>
  <c r="AU19" i="25"/>
  <c r="FK19" i="25"/>
  <c r="EE19" i="25"/>
  <c r="CY19" i="25"/>
  <c r="BS19" i="25"/>
  <c r="AM19" i="25"/>
  <c r="GI19" i="25"/>
  <c r="FC19" i="25"/>
  <c r="DW19" i="25"/>
  <c r="CQ19" i="25"/>
  <c r="BK19" i="25"/>
  <c r="AE19" i="25"/>
  <c r="GA19" i="25"/>
  <c r="EU19" i="25"/>
  <c r="DO19" i="25"/>
  <c r="CI19" i="25"/>
  <c r="BC19" i="25"/>
  <c r="W19" i="25"/>
  <c r="GO35" i="25"/>
  <c r="GK35" i="25"/>
  <c r="GG35" i="25"/>
  <c r="GC35" i="25"/>
  <c r="FY35" i="25"/>
  <c r="FU35" i="25"/>
  <c r="FQ35" i="25"/>
  <c r="FM35" i="25"/>
  <c r="FI35" i="25"/>
  <c r="FE35" i="25"/>
  <c r="FA35" i="25"/>
  <c r="EW35" i="25"/>
  <c r="ES35" i="25"/>
  <c r="EO35" i="25"/>
  <c r="EK35" i="25"/>
  <c r="EG35" i="25"/>
  <c r="EC35" i="25"/>
  <c r="DY35" i="25"/>
  <c r="DU35" i="25"/>
  <c r="DQ35" i="25"/>
  <c r="DM35" i="25"/>
  <c r="DI35" i="25"/>
  <c r="DE35" i="25"/>
  <c r="DA35" i="25"/>
  <c r="CW35" i="25"/>
  <c r="CS35" i="25"/>
  <c r="CO35" i="25"/>
  <c r="CK35" i="25"/>
  <c r="CG35" i="25"/>
  <c r="CC35" i="25"/>
  <c r="BY35" i="25"/>
  <c r="BU35" i="25"/>
  <c r="BQ35" i="25"/>
  <c r="BM35" i="25"/>
  <c r="BI35" i="25"/>
  <c r="BE35" i="25"/>
  <c r="BA35" i="25"/>
  <c r="AW35" i="25"/>
  <c r="AS35" i="25"/>
  <c r="AO35" i="25"/>
  <c r="AK35" i="25"/>
  <c r="AG35" i="25"/>
  <c r="AC35" i="25"/>
  <c r="Y35" i="25"/>
  <c r="U35" i="25"/>
  <c r="GN35" i="25"/>
  <c r="GJ35" i="25"/>
  <c r="GF35" i="25"/>
  <c r="GB35" i="25"/>
  <c r="FX35" i="25"/>
  <c r="FT35" i="25"/>
  <c r="FP35" i="25"/>
  <c r="FL35" i="25"/>
  <c r="FH35" i="25"/>
  <c r="FD35" i="25"/>
  <c r="EZ35" i="25"/>
  <c r="EV35" i="25"/>
  <c r="ER35" i="25"/>
  <c r="EN35" i="25"/>
  <c r="EJ35" i="25"/>
  <c r="EF35" i="25"/>
  <c r="EB35" i="25"/>
  <c r="DX35" i="25"/>
  <c r="DT35" i="25"/>
  <c r="DP35" i="25"/>
  <c r="DL35" i="25"/>
  <c r="DH35" i="25"/>
  <c r="DD35" i="25"/>
  <c r="CZ35" i="25"/>
  <c r="CV35" i="25"/>
  <c r="CR35" i="25"/>
  <c r="CN35" i="25"/>
  <c r="CJ35" i="25"/>
  <c r="CF35" i="25"/>
  <c r="CB35" i="25"/>
  <c r="BX35" i="25"/>
  <c r="BT35" i="25"/>
  <c r="BP35" i="25"/>
  <c r="BL35" i="25"/>
  <c r="BH35" i="25"/>
  <c r="BD35" i="25"/>
  <c r="AZ35" i="25"/>
  <c r="AV35" i="25"/>
  <c r="AR35" i="25"/>
  <c r="AN35" i="25"/>
  <c r="AJ35" i="25"/>
  <c r="AF35" i="25"/>
  <c r="AB35" i="25"/>
  <c r="X35" i="25"/>
  <c r="T35" i="25"/>
  <c r="GM35" i="25"/>
  <c r="GI35" i="25"/>
  <c r="GE35" i="25"/>
  <c r="GA35" i="25"/>
  <c r="FW35" i="25"/>
  <c r="FS35" i="25"/>
  <c r="FO35" i="25"/>
  <c r="FK35" i="25"/>
  <c r="FG35" i="25"/>
  <c r="FC35" i="25"/>
  <c r="EY35" i="25"/>
  <c r="EU35" i="25"/>
  <c r="EQ35" i="25"/>
  <c r="EM35" i="25"/>
  <c r="EI35" i="25"/>
  <c r="EE35" i="25"/>
  <c r="EA35" i="25"/>
  <c r="DW35" i="25"/>
  <c r="DS35" i="25"/>
  <c r="DO35" i="25"/>
  <c r="DK35" i="25"/>
  <c r="DG35" i="25"/>
  <c r="DC35" i="25"/>
  <c r="CY35" i="25"/>
  <c r="CU35" i="25"/>
  <c r="CQ35" i="25"/>
  <c r="CM35" i="25"/>
  <c r="CI35" i="25"/>
  <c r="CE35" i="25"/>
  <c r="CA35" i="25"/>
  <c r="BW35" i="25"/>
  <c r="BS35" i="25"/>
  <c r="BO35" i="25"/>
  <c r="BK35" i="25"/>
  <c r="BG35" i="25"/>
  <c r="BC35" i="25"/>
  <c r="AY35" i="25"/>
  <c r="AU35" i="25"/>
  <c r="AQ35" i="25"/>
  <c r="AM35" i="25"/>
  <c r="AI35" i="25"/>
  <c r="AE35" i="25"/>
  <c r="AA35" i="25"/>
  <c r="W35" i="25"/>
  <c r="S35" i="25"/>
  <c r="GH35" i="25"/>
  <c r="FR35" i="25"/>
  <c r="FB35" i="25"/>
  <c r="EL35" i="25"/>
  <c r="DV35" i="25"/>
  <c r="DF35" i="25"/>
  <c r="CP35" i="25"/>
  <c r="BZ35" i="25"/>
  <c r="BJ35" i="25"/>
  <c r="AT35" i="25"/>
  <c r="AD35" i="25"/>
  <c r="GD35" i="25"/>
  <c r="FN35" i="25"/>
  <c r="EX35" i="25"/>
  <c r="EH35" i="25"/>
  <c r="DR35" i="25"/>
  <c r="DB35" i="25"/>
  <c r="CL35" i="25"/>
  <c r="BV35" i="25"/>
  <c r="BF35" i="25"/>
  <c r="AP35" i="25"/>
  <c r="Z35" i="25"/>
  <c r="GP35" i="25"/>
  <c r="FZ35" i="25"/>
  <c r="FJ35" i="25"/>
  <c r="ET35" i="25"/>
  <c r="ED35" i="25"/>
  <c r="DN35" i="25"/>
  <c r="CX35" i="25"/>
  <c r="CH35" i="25"/>
  <c r="BR35" i="25"/>
  <c r="BB35" i="25"/>
  <c r="AL35" i="25"/>
  <c r="V35" i="25"/>
  <c r="FV35" i="25"/>
  <c r="DJ35" i="25"/>
  <c r="AX35" i="25"/>
  <c r="FF35" i="25"/>
  <c r="CT35" i="25"/>
  <c r="AH35" i="25"/>
  <c r="EP35" i="25"/>
  <c r="CD35" i="25"/>
  <c r="GL35" i="25"/>
  <c r="DZ35" i="25"/>
  <c r="BN35" i="25"/>
  <c r="GM15" i="25"/>
  <c r="GI15" i="25"/>
  <c r="GE15" i="25"/>
  <c r="GA15" i="25"/>
  <c r="FW15" i="25"/>
  <c r="FS15" i="25"/>
  <c r="FO15" i="25"/>
  <c r="FK15" i="25"/>
  <c r="FG15" i="25"/>
  <c r="FC15" i="25"/>
  <c r="EY15" i="25"/>
  <c r="EU15" i="25"/>
  <c r="EQ15" i="25"/>
  <c r="EM15" i="25"/>
  <c r="EI15" i="25"/>
  <c r="EE15" i="25"/>
  <c r="EA15" i="25"/>
  <c r="DW15" i="25"/>
  <c r="DS15" i="25"/>
  <c r="DO15" i="25"/>
  <c r="DK15" i="25"/>
  <c r="DG15" i="25"/>
  <c r="DC15" i="25"/>
  <c r="CY15" i="25"/>
  <c r="CU15" i="25"/>
  <c r="CQ15" i="25"/>
  <c r="CM15" i="25"/>
  <c r="CI15" i="25"/>
  <c r="CE15" i="25"/>
  <c r="CA15" i="25"/>
  <c r="BW15" i="25"/>
  <c r="BS15" i="25"/>
  <c r="BO15" i="25"/>
  <c r="BK15" i="25"/>
  <c r="BG15" i="25"/>
  <c r="BC15" i="25"/>
  <c r="AY15" i="25"/>
  <c r="AU15" i="25"/>
  <c r="AQ15" i="25"/>
  <c r="AM15" i="25"/>
  <c r="AI15" i="25"/>
  <c r="AE15" i="25"/>
  <c r="AA15" i="25"/>
  <c r="W15" i="25"/>
  <c r="S15" i="25"/>
  <c r="GP15" i="25"/>
  <c r="GL15" i="25"/>
  <c r="GH15" i="25"/>
  <c r="GD15" i="25"/>
  <c r="FZ15" i="25"/>
  <c r="FV15" i="25"/>
  <c r="FR15" i="25"/>
  <c r="FN15" i="25"/>
  <c r="FJ15" i="25"/>
  <c r="FF15" i="25"/>
  <c r="FB15" i="25"/>
  <c r="EX15" i="25"/>
  <c r="ET15" i="25"/>
  <c r="EP15" i="25"/>
  <c r="EL15" i="25"/>
  <c r="EH15" i="25"/>
  <c r="ED15" i="25"/>
  <c r="DZ15" i="25"/>
  <c r="DV15" i="25"/>
  <c r="DR15" i="25"/>
  <c r="DN15" i="25"/>
  <c r="DJ15" i="25"/>
  <c r="DF15" i="25"/>
  <c r="DB15" i="25"/>
  <c r="CX15" i="25"/>
  <c r="CT15" i="25"/>
  <c r="CP15" i="25"/>
  <c r="CL15" i="25"/>
  <c r="CH15" i="25"/>
  <c r="CD15" i="25"/>
  <c r="BZ15" i="25"/>
  <c r="BV15" i="25"/>
  <c r="BR15" i="25"/>
  <c r="BN15" i="25"/>
  <c r="BJ15" i="25"/>
  <c r="BF15" i="25"/>
  <c r="BB15" i="25"/>
  <c r="AX15" i="25"/>
  <c r="AT15" i="25"/>
  <c r="AP15" i="25"/>
  <c r="AL15" i="25"/>
  <c r="AH15" i="25"/>
  <c r="AD15" i="25"/>
  <c r="Z15" i="25"/>
  <c r="V15" i="25"/>
  <c r="GO15" i="25"/>
  <c r="GK15" i="25"/>
  <c r="GG15" i="25"/>
  <c r="GC15" i="25"/>
  <c r="FY15" i="25"/>
  <c r="FU15" i="25"/>
  <c r="FQ15" i="25"/>
  <c r="FM15" i="25"/>
  <c r="FI15" i="25"/>
  <c r="FE15" i="25"/>
  <c r="FA15" i="25"/>
  <c r="EW15" i="25"/>
  <c r="ES15" i="25"/>
  <c r="EO15" i="25"/>
  <c r="EK15" i="25"/>
  <c r="EG15" i="25"/>
  <c r="EC15" i="25"/>
  <c r="DY15" i="25"/>
  <c r="DU15" i="25"/>
  <c r="DQ15" i="25"/>
  <c r="DM15" i="25"/>
  <c r="DI15" i="25"/>
  <c r="DE15" i="25"/>
  <c r="DA15" i="25"/>
  <c r="CW15" i="25"/>
  <c r="CS15" i="25"/>
  <c r="CO15" i="25"/>
  <c r="CK15" i="25"/>
  <c r="CG15" i="25"/>
  <c r="CC15" i="25"/>
  <c r="BY15" i="25"/>
  <c r="BU15" i="25"/>
  <c r="BQ15" i="25"/>
  <c r="BM15" i="25"/>
  <c r="BI15" i="25"/>
  <c r="BE15" i="25"/>
  <c r="BA15" i="25"/>
  <c r="AW15" i="25"/>
  <c r="AS15" i="25"/>
  <c r="AO15" i="25"/>
  <c r="AK15" i="25"/>
  <c r="AG15" i="25"/>
  <c r="AC15" i="25"/>
  <c r="Y15" i="25"/>
  <c r="U15" i="25"/>
  <c r="GJ15" i="25"/>
  <c r="FT15" i="25"/>
  <c r="FD15" i="25"/>
  <c r="EN15" i="25"/>
  <c r="DX15" i="25"/>
  <c r="DH15" i="25"/>
  <c r="CR15" i="25"/>
  <c r="CB15" i="25"/>
  <c r="BL15" i="25"/>
  <c r="AV15" i="25"/>
  <c r="AF15" i="25"/>
  <c r="GF15" i="25"/>
  <c r="FP15" i="25"/>
  <c r="EZ15" i="25"/>
  <c r="EJ15" i="25"/>
  <c r="DT15" i="25"/>
  <c r="DD15" i="25"/>
  <c r="CN15" i="25"/>
  <c r="BX15" i="25"/>
  <c r="BH15" i="25"/>
  <c r="AR15" i="25"/>
  <c r="AB15" i="25"/>
  <c r="GB15" i="25"/>
  <c r="FL15" i="25"/>
  <c r="EV15" i="25"/>
  <c r="EF15" i="25"/>
  <c r="DP15" i="25"/>
  <c r="CZ15" i="25"/>
  <c r="CJ15" i="25"/>
  <c r="BT15" i="25"/>
  <c r="BD15" i="25"/>
  <c r="AN15" i="25"/>
  <c r="X15" i="25"/>
  <c r="GN15" i="25"/>
  <c r="FX15" i="25"/>
  <c r="FH15" i="25"/>
  <c r="ER15" i="25"/>
  <c r="EB15" i="25"/>
  <c r="DL15" i="25"/>
  <c r="CV15" i="25"/>
  <c r="CF15" i="25"/>
  <c r="BP15" i="25"/>
  <c r="AZ15" i="25"/>
  <c r="AJ15" i="25"/>
  <c r="T15" i="25"/>
  <c r="GN31" i="25"/>
  <c r="GJ31" i="25"/>
  <c r="GF31" i="25"/>
  <c r="GB31" i="25"/>
  <c r="FX31" i="25"/>
  <c r="FT31" i="25"/>
  <c r="FP31" i="25"/>
  <c r="FL31" i="25"/>
  <c r="FH31" i="25"/>
  <c r="FD31" i="25"/>
  <c r="EZ31" i="25"/>
  <c r="EV31" i="25"/>
  <c r="ER31" i="25"/>
  <c r="EN31" i="25"/>
  <c r="EJ31" i="25"/>
  <c r="GM31" i="25"/>
  <c r="GI31" i="25"/>
  <c r="GE31" i="25"/>
  <c r="GA31" i="25"/>
  <c r="FW31" i="25"/>
  <c r="FS31" i="25"/>
  <c r="FO31" i="25"/>
  <c r="FK31" i="25"/>
  <c r="FG31" i="25"/>
  <c r="FC31" i="25"/>
  <c r="EY31" i="25"/>
  <c r="EU31" i="25"/>
  <c r="EQ31" i="25"/>
  <c r="EM31" i="25"/>
  <c r="EI31" i="25"/>
  <c r="EE31" i="25"/>
  <c r="GP31" i="25"/>
  <c r="GL31" i="25"/>
  <c r="GH31" i="25"/>
  <c r="GD31" i="25"/>
  <c r="FZ31" i="25"/>
  <c r="FV31" i="25"/>
  <c r="FR31" i="25"/>
  <c r="FN31" i="25"/>
  <c r="FJ31" i="25"/>
  <c r="FF31" i="25"/>
  <c r="FB31" i="25"/>
  <c r="EX31" i="25"/>
  <c r="ET31" i="25"/>
  <c r="EP31" i="25"/>
  <c r="EL31" i="25"/>
  <c r="EH31" i="25"/>
  <c r="GO31" i="25"/>
  <c r="FY31" i="25"/>
  <c r="FI31" i="25"/>
  <c r="ES31" i="25"/>
  <c r="EF31" i="25"/>
  <c r="EA31" i="25"/>
  <c r="DW31" i="25"/>
  <c r="DS31" i="25"/>
  <c r="DO31" i="25"/>
  <c r="DK31" i="25"/>
  <c r="DG31" i="25"/>
  <c r="DC31" i="25"/>
  <c r="CY31" i="25"/>
  <c r="CU31" i="25"/>
  <c r="CQ31" i="25"/>
  <c r="CM31" i="25"/>
  <c r="CI31" i="25"/>
  <c r="CE31" i="25"/>
  <c r="CA31" i="25"/>
  <c r="BW31" i="25"/>
  <c r="BS31" i="25"/>
  <c r="BO31" i="25"/>
  <c r="BK31" i="25"/>
  <c r="BG31" i="25"/>
  <c r="BC31" i="25"/>
  <c r="AY31" i="25"/>
  <c r="AU31" i="25"/>
  <c r="AQ31" i="25"/>
  <c r="AM31" i="25"/>
  <c r="AI31" i="25"/>
  <c r="AE31" i="25"/>
  <c r="AA31" i="25"/>
  <c r="W31" i="25"/>
  <c r="S31" i="25"/>
  <c r="GK31" i="25"/>
  <c r="FU31" i="25"/>
  <c r="FE31" i="25"/>
  <c r="EO31" i="25"/>
  <c r="ED31" i="25"/>
  <c r="DZ31" i="25"/>
  <c r="DV31" i="25"/>
  <c r="DR31" i="25"/>
  <c r="DN31" i="25"/>
  <c r="DJ31" i="25"/>
  <c r="DF31" i="25"/>
  <c r="DB31" i="25"/>
  <c r="CX31" i="25"/>
  <c r="CT31" i="25"/>
  <c r="CP31" i="25"/>
  <c r="CL31" i="25"/>
  <c r="CH31" i="25"/>
  <c r="CD31" i="25"/>
  <c r="BZ31" i="25"/>
  <c r="BV31" i="25"/>
  <c r="BR31" i="25"/>
  <c r="BN31" i="25"/>
  <c r="BJ31" i="25"/>
  <c r="BF31" i="25"/>
  <c r="BB31" i="25"/>
  <c r="AX31" i="25"/>
  <c r="AT31" i="25"/>
  <c r="AP31" i="25"/>
  <c r="AL31" i="25"/>
  <c r="AH31" i="25"/>
  <c r="AD31" i="25"/>
  <c r="Z31" i="25"/>
  <c r="V31" i="25"/>
  <c r="GG31" i="25"/>
  <c r="FQ31" i="25"/>
  <c r="FA31" i="25"/>
  <c r="EK31" i="25"/>
  <c r="EC31" i="25"/>
  <c r="DY31" i="25"/>
  <c r="DU31" i="25"/>
  <c r="DQ31" i="25"/>
  <c r="DM31" i="25"/>
  <c r="DI31" i="25"/>
  <c r="DE31" i="25"/>
  <c r="DA31" i="25"/>
  <c r="CW31" i="25"/>
  <c r="CS31" i="25"/>
  <c r="CO31" i="25"/>
  <c r="CK31" i="25"/>
  <c r="CG31" i="25"/>
  <c r="CC31" i="25"/>
  <c r="BY31" i="25"/>
  <c r="BU31" i="25"/>
  <c r="BQ31" i="25"/>
  <c r="BM31" i="25"/>
  <c r="BI31" i="25"/>
  <c r="BE31" i="25"/>
  <c r="BA31" i="25"/>
  <c r="AW31" i="25"/>
  <c r="AS31" i="25"/>
  <c r="AO31" i="25"/>
  <c r="AK31" i="25"/>
  <c r="AG31" i="25"/>
  <c r="AC31" i="25"/>
  <c r="Y31" i="25"/>
  <c r="U31" i="25"/>
  <c r="EG31" i="25"/>
  <c r="DP31" i="25"/>
  <c r="CZ31" i="25"/>
  <c r="CJ31" i="25"/>
  <c r="BT31" i="25"/>
  <c r="BD31" i="25"/>
  <c r="AN31" i="25"/>
  <c r="X31" i="25"/>
  <c r="GC31" i="25"/>
  <c r="EB31" i="25"/>
  <c r="DL31" i="25"/>
  <c r="CV31" i="25"/>
  <c r="CF31" i="25"/>
  <c r="BP31" i="25"/>
  <c r="AZ31" i="25"/>
  <c r="AJ31" i="25"/>
  <c r="T31" i="25"/>
  <c r="FM31" i="25"/>
  <c r="DX31" i="25"/>
  <c r="DH31" i="25"/>
  <c r="CR31" i="25"/>
  <c r="CB31" i="25"/>
  <c r="BL31" i="25"/>
  <c r="AV31" i="25"/>
  <c r="AF31" i="25"/>
  <c r="EW31" i="25"/>
  <c r="BX31" i="25"/>
  <c r="DT31" i="25"/>
  <c r="BH31" i="25"/>
  <c r="DD31" i="25"/>
  <c r="AR31" i="25"/>
  <c r="CN31" i="25"/>
  <c r="AB31" i="25"/>
  <c r="GN27" i="25"/>
  <c r="GJ27" i="25"/>
  <c r="GF27" i="25"/>
  <c r="GB27" i="25"/>
  <c r="FX27" i="25"/>
  <c r="FT27" i="25"/>
  <c r="FP27" i="25"/>
  <c r="FL27" i="25"/>
  <c r="FH27" i="25"/>
  <c r="FD27" i="25"/>
  <c r="EZ27" i="25"/>
  <c r="EV27" i="25"/>
  <c r="ER27" i="25"/>
  <c r="EN27" i="25"/>
  <c r="EJ27" i="25"/>
  <c r="EF27" i="25"/>
  <c r="EB27" i="25"/>
  <c r="DX27" i="25"/>
  <c r="DT27" i="25"/>
  <c r="DP27" i="25"/>
  <c r="DL27" i="25"/>
  <c r="DH27" i="25"/>
  <c r="DD27" i="25"/>
  <c r="CZ27" i="25"/>
  <c r="CV27" i="25"/>
  <c r="CR27" i="25"/>
  <c r="CN27" i="25"/>
  <c r="CJ27" i="25"/>
  <c r="CF27" i="25"/>
  <c r="CB27" i="25"/>
  <c r="BX27" i="25"/>
  <c r="BT27" i="25"/>
  <c r="BP27" i="25"/>
  <c r="BL27" i="25"/>
  <c r="BH27" i="25"/>
  <c r="BD27" i="25"/>
  <c r="AZ27" i="25"/>
  <c r="AV27" i="25"/>
  <c r="AR27" i="25"/>
  <c r="AN27" i="25"/>
  <c r="AJ27" i="25"/>
  <c r="AF27" i="25"/>
  <c r="AB27" i="25"/>
  <c r="X27" i="25"/>
  <c r="T27" i="25"/>
  <c r="GP27" i="25"/>
  <c r="GL27" i="25"/>
  <c r="GH27" i="25"/>
  <c r="GD27" i="25"/>
  <c r="FZ27" i="25"/>
  <c r="FV27" i="25"/>
  <c r="FR27" i="25"/>
  <c r="FN27" i="25"/>
  <c r="FJ27" i="25"/>
  <c r="FF27" i="25"/>
  <c r="FB27" i="25"/>
  <c r="EX27" i="25"/>
  <c r="ET27" i="25"/>
  <c r="EP27" i="25"/>
  <c r="EL27" i="25"/>
  <c r="EH27" i="25"/>
  <c r="ED27" i="25"/>
  <c r="DZ27" i="25"/>
  <c r="DV27" i="25"/>
  <c r="DR27" i="25"/>
  <c r="DN27" i="25"/>
  <c r="DJ27" i="25"/>
  <c r="DF27" i="25"/>
  <c r="DB27" i="25"/>
  <c r="CX27" i="25"/>
  <c r="CT27" i="25"/>
  <c r="CP27" i="25"/>
  <c r="CL27" i="25"/>
  <c r="CH27" i="25"/>
  <c r="CD27" i="25"/>
  <c r="BZ27" i="25"/>
  <c r="BV27" i="25"/>
  <c r="BR27" i="25"/>
  <c r="BN27" i="25"/>
  <c r="BJ27" i="25"/>
  <c r="BF27" i="25"/>
  <c r="BB27" i="25"/>
  <c r="AX27" i="25"/>
  <c r="AT27" i="25"/>
  <c r="AP27" i="25"/>
  <c r="AL27" i="25"/>
  <c r="AH27" i="25"/>
  <c r="AD27" i="25"/>
  <c r="Z27" i="25"/>
  <c r="V27" i="25"/>
  <c r="GI27" i="25"/>
  <c r="GA27" i="25"/>
  <c r="FS27" i="25"/>
  <c r="FK27" i="25"/>
  <c r="FC27" i="25"/>
  <c r="EU27" i="25"/>
  <c r="EM27" i="25"/>
  <c r="EE27" i="25"/>
  <c r="DW27" i="25"/>
  <c r="DO27" i="25"/>
  <c r="DG27" i="25"/>
  <c r="CY27" i="25"/>
  <c r="CQ27" i="25"/>
  <c r="CI27" i="25"/>
  <c r="CA27" i="25"/>
  <c r="BS27" i="25"/>
  <c r="BK27" i="25"/>
  <c r="BC27" i="25"/>
  <c r="AU27" i="25"/>
  <c r="AM27" i="25"/>
  <c r="AE27" i="25"/>
  <c r="W27" i="25"/>
  <c r="GO27" i="25"/>
  <c r="GG27" i="25"/>
  <c r="FY27" i="25"/>
  <c r="FQ27" i="25"/>
  <c r="FI27" i="25"/>
  <c r="FA27" i="25"/>
  <c r="ES27" i="25"/>
  <c r="EK27" i="25"/>
  <c r="EC27" i="25"/>
  <c r="DU27" i="25"/>
  <c r="DM27" i="25"/>
  <c r="DE27" i="25"/>
  <c r="CW27" i="25"/>
  <c r="CO27" i="25"/>
  <c r="CG27" i="25"/>
  <c r="BY27" i="25"/>
  <c r="BQ27" i="25"/>
  <c r="BI27" i="25"/>
  <c r="BA27" i="25"/>
  <c r="AS27" i="25"/>
  <c r="AK27" i="25"/>
  <c r="AC27" i="25"/>
  <c r="U27" i="25"/>
  <c r="GM27" i="25"/>
  <c r="GE27" i="25"/>
  <c r="FW27" i="25"/>
  <c r="FO27" i="25"/>
  <c r="FG27" i="25"/>
  <c r="EY27" i="25"/>
  <c r="EQ27" i="25"/>
  <c r="EI27" i="25"/>
  <c r="EA27" i="25"/>
  <c r="DS27" i="25"/>
  <c r="DK27" i="25"/>
  <c r="DC27" i="25"/>
  <c r="CU27" i="25"/>
  <c r="CM27" i="25"/>
  <c r="CE27" i="25"/>
  <c r="BW27" i="25"/>
  <c r="BO27" i="25"/>
  <c r="BG27" i="25"/>
  <c r="AY27" i="25"/>
  <c r="AQ27" i="25"/>
  <c r="AI27" i="25"/>
  <c r="AA27" i="25"/>
  <c r="S27" i="25"/>
  <c r="GK27" i="25"/>
  <c r="FE27" i="25"/>
  <c r="DY27" i="25"/>
  <c r="CS27" i="25"/>
  <c r="BM27" i="25"/>
  <c r="AG27" i="25"/>
  <c r="GC27" i="25"/>
  <c r="EW27" i="25"/>
  <c r="DQ27" i="25"/>
  <c r="CK27" i="25"/>
  <c r="BE27" i="25"/>
  <c r="Y27" i="25"/>
  <c r="FU27" i="25"/>
  <c r="EO27" i="25"/>
  <c r="DI27" i="25"/>
  <c r="CC27" i="25"/>
  <c r="AW27" i="25"/>
  <c r="FM27" i="25"/>
  <c r="AO27" i="25"/>
  <c r="EG27" i="25"/>
  <c r="DA27" i="25"/>
  <c r="BU27" i="25"/>
  <c r="GM14" i="25"/>
  <c r="GI14" i="25"/>
  <c r="GE14" i="25"/>
  <c r="GA14" i="25"/>
  <c r="FW14" i="25"/>
  <c r="FS14" i="25"/>
  <c r="FO14" i="25"/>
  <c r="FK14" i="25"/>
  <c r="FG14" i="25"/>
  <c r="FC14" i="25"/>
  <c r="EY14" i="25"/>
  <c r="EU14" i="25"/>
  <c r="EQ14" i="25"/>
  <c r="EM14" i="25"/>
  <c r="EI14" i="25"/>
  <c r="EE14" i="25"/>
  <c r="EA14" i="25"/>
  <c r="DW14" i="25"/>
  <c r="DS14" i="25"/>
  <c r="DO14" i="25"/>
  <c r="DK14" i="25"/>
  <c r="DG14" i="25"/>
  <c r="DC14" i="25"/>
  <c r="CY14" i="25"/>
  <c r="CU14" i="25"/>
  <c r="CQ14" i="25"/>
  <c r="CM14" i="25"/>
  <c r="CI14" i="25"/>
  <c r="CE14" i="25"/>
  <c r="CA14" i="25"/>
  <c r="BW14" i="25"/>
  <c r="BS14" i="25"/>
  <c r="BO14" i="25"/>
  <c r="BK14" i="25"/>
  <c r="BG14" i="25"/>
  <c r="BC14" i="25"/>
  <c r="AY14" i="25"/>
  <c r="AU14" i="25"/>
  <c r="AQ14" i="25"/>
  <c r="AM14" i="25"/>
  <c r="AI14" i="25"/>
  <c r="AE14" i="25"/>
  <c r="AA14" i="25"/>
  <c r="W14" i="25"/>
  <c r="S14" i="25"/>
  <c r="GP14" i="25"/>
  <c r="GL14" i="25"/>
  <c r="GH14" i="25"/>
  <c r="GD14" i="25"/>
  <c r="FZ14" i="25"/>
  <c r="FV14" i="25"/>
  <c r="FR14" i="25"/>
  <c r="FN14" i="25"/>
  <c r="FJ14" i="25"/>
  <c r="FF14" i="25"/>
  <c r="FB14" i="25"/>
  <c r="EX14" i="25"/>
  <c r="ET14" i="25"/>
  <c r="EP14" i="25"/>
  <c r="EL14" i="25"/>
  <c r="EH14" i="25"/>
  <c r="ED14" i="25"/>
  <c r="DZ14" i="25"/>
  <c r="DV14" i="25"/>
  <c r="DR14" i="25"/>
  <c r="DN14" i="25"/>
  <c r="DJ14" i="25"/>
  <c r="DF14" i="25"/>
  <c r="DB14" i="25"/>
  <c r="CX14" i="25"/>
  <c r="CT14" i="25"/>
  <c r="CP14" i="25"/>
  <c r="CL14" i="25"/>
  <c r="CH14" i="25"/>
  <c r="CD14" i="25"/>
  <c r="BZ14" i="25"/>
  <c r="BV14" i="25"/>
  <c r="BR14" i="25"/>
  <c r="BN14" i="25"/>
  <c r="BJ14" i="25"/>
  <c r="BF14" i="25"/>
  <c r="BB14" i="25"/>
  <c r="AX14" i="25"/>
  <c r="AT14" i="25"/>
  <c r="AP14" i="25"/>
  <c r="AL14" i="25"/>
  <c r="AH14" i="25"/>
  <c r="AD14" i="25"/>
  <c r="Z14" i="25"/>
  <c r="V14" i="25"/>
  <c r="GO14" i="25"/>
  <c r="GK14" i="25"/>
  <c r="GG14" i="25"/>
  <c r="GC14" i="25"/>
  <c r="FY14" i="25"/>
  <c r="FU14" i="25"/>
  <c r="FQ14" i="25"/>
  <c r="FM14" i="25"/>
  <c r="FI14" i="25"/>
  <c r="FE14" i="25"/>
  <c r="FA14" i="25"/>
  <c r="EW14" i="25"/>
  <c r="ES14" i="25"/>
  <c r="EO14" i="25"/>
  <c r="EK14" i="25"/>
  <c r="EG14" i="25"/>
  <c r="EC14" i="25"/>
  <c r="DY14" i="25"/>
  <c r="DU14" i="25"/>
  <c r="DQ14" i="25"/>
  <c r="DM14" i="25"/>
  <c r="DI14" i="25"/>
  <c r="DE14" i="25"/>
  <c r="DA14" i="25"/>
  <c r="CW14" i="25"/>
  <c r="CS14" i="25"/>
  <c r="CO14" i="25"/>
  <c r="CK14" i="25"/>
  <c r="CG14" i="25"/>
  <c r="CC14" i="25"/>
  <c r="BY14" i="25"/>
  <c r="BU14" i="25"/>
  <c r="BQ14" i="25"/>
  <c r="BM14" i="25"/>
  <c r="BI14" i="25"/>
  <c r="BE14" i="25"/>
  <c r="BA14" i="25"/>
  <c r="AW14" i="25"/>
  <c r="AS14" i="25"/>
  <c r="AO14" i="25"/>
  <c r="AK14" i="25"/>
  <c r="AG14" i="25"/>
  <c r="AC14" i="25"/>
  <c r="Y14" i="25"/>
  <c r="U14" i="25"/>
  <c r="GO18" i="25"/>
  <c r="GK18" i="25"/>
  <c r="GG18" i="25"/>
  <c r="GC18" i="25"/>
  <c r="FY18" i="25"/>
  <c r="FU18" i="25"/>
  <c r="FQ18" i="25"/>
  <c r="FM18" i="25"/>
  <c r="FI18" i="25"/>
  <c r="FE18" i="25"/>
  <c r="FA18" i="25"/>
  <c r="EW18" i="25"/>
  <c r="ES18" i="25"/>
  <c r="EO18" i="25"/>
  <c r="EK18" i="25"/>
  <c r="EG18" i="25"/>
  <c r="EC18" i="25"/>
  <c r="DY18" i="25"/>
  <c r="DU18" i="25"/>
  <c r="DQ18" i="25"/>
  <c r="DM18" i="25"/>
  <c r="DI18" i="25"/>
  <c r="DE18" i="25"/>
  <c r="DA18" i="25"/>
  <c r="CW18" i="25"/>
  <c r="CS18" i="25"/>
  <c r="CO18" i="25"/>
  <c r="CK18" i="25"/>
  <c r="CG18" i="25"/>
  <c r="CC18" i="25"/>
  <c r="BY18" i="25"/>
  <c r="BU18" i="25"/>
  <c r="BQ18" i="25"/>
  <c r="BM18" i="25"/>
  <c r="BI18" i="25"/>
  <c r="BE18" i="25"/>
  <c r="BA18" i="25"/>
  <c r="AW18" i="25"/>
  <c r="AS18" i="25"/>
  <c r="AO18" i="25"/>
  <c r="AK18" i="25"/>
  <c r="AG18" i="25"/>
  <c r="AC18" i="25"/>
  <c r="Y18" i="25"/>
  <c r="U18" i="25"/>
  <c r="GN18" i="25"/>
  <c r="GJ18" i="25"/>
  <c r="GF18" i="25"/>
  <c r="GB18" i="25"/>
  <c r="FX18" i="25"/>
  <c r="FT18" i="25"/>
  <c r="FP18" i="25"/>
  <c r="FL18" i="25"/>
  <c r="FH18" i="25"/>
  <c r="FD18" i="25"/>
  <c r="EZ18" i="25"/>
  <c r="EV18" i="25"/>
  <c r="ER18" i="25"/>
  <c r="EN18" i="25"/>
  <c r="EJ18" i="25"/>
  <c r="EF18" i="25"/>
  <c r="EB18" i="25"/>
  <c r="DX18" i="25"/>
  <c r="DT18" i="25"/>
  <c r="DP18" i="25"/>
  <c r="DL18" i="25"/>
  <c r="DH18" i="25"/>
  <c r="DD18" i="25"/>
  <c r="CZ18" i="25"/>
  <c r="CV18" i="25"/>
  <c r="CR18" i="25"/>
  <c r="CN18" i="25"/>
  <c r="CJ18" i="25"/>
  <c r="CF18" i="25"/>
  <c r="CB18" i="25"/>
  <c r="BX18" i="25"/>
  <c r="BT18" i="25"/>
  <c r="BP18" i="25"/>
  <c r="BL18" i="25"/>
  <c r="BH18" i="25"/>
  <c r="BD18" i="25"/>
  <c r="AZ18" i="25"/>
  <c r="AV18" i="25"/>
  <c r="AR18" i="25"/>
  <c r="AN18" i="25"/>
  <c r="AJ18" i="25"/>
  <c r="AF18" i="25"/>
  <c r="AB18" i="25"/>
  <c r="X18" i="25"/>
  <c r="T18" i="25"/>
  <c r="GL18" i="25"/>
  <c r="GD18" i="25"/>
  <c r="FV18" i="25"/>
  <c r="FN18" i="25"/>
  <c r="FF18" i="25"/>
  <c r="EX18" i="25"/>
  <c r="EP18" i="25"/>
  <c r="EH18" i="25"/>
  <c r="DZ18" i="25"/>
  <c r="DR18" i="25"/>
  <c r="DJ18" i="25"/>
  <c r="DB18" i="25"/>
  <c r="CT18" i="25"/>
  <c r="CL18" i="25"/>
  <c r="CD18" i="25"/>
  <c r="BV18" i="25"/>
  <c r="BN18" i="25"/>
  <c r="BF18" i="25"/>
  <c r="AX18" i="25"/>
  <c r="AP18" i="25"/>
  <c r="AH18" i="25"/>
  <c r="Z18" i="25"/>
  <c r="GI18" i="25"/>
  <c r="GA18" i="25"/>
  <c r="FS18" i="25"/>
  <c r="FK18" i="25"/>
  <c r="FC18" i="25"/>
  <c r="EU18" i="25"/>
  <c r="EM18" i="25"/>
  <c r="EE18" i="25"/>
  <c r="DW18" i="25"/>
  <c r="DO18" i="25"/>
  <c r="DG18" i="25"/>
  <c r="CY18" i="25"/>
  <c r="CQ18" i="25"/>
  <c r="CI18" i="25"/>
  <c r="CA18" i="25"/>
  <c r="BS18" i="25"/>
  <c r="BK18" i="25"/>
  <c r="BC18" i="25"/>
  <c r="AU18" i="25"/>
  <c r="AM18" i="25"/>
  <c r="AE18" i="25"/>
  <c r="W18" i="25"/>
  <c r="GP18" i="25"/>
  <c r="GH18" i="25"/>
  <c r="FZ18" i="25"/>
  <c r="FR18" i="25"/>
  <c r="FJ18" i="25"/>
  <c r="FB18" i="25"/>
  <c r="ET18" i="25"/>
  <c r="EL18" i="25"/>
  <c r="ED18" i="25"/>
  <c r="DV18" i="25"/>
  <c r="DN18" i="25"/>
  <c r="DF18" i="25"/>
  <c r="CX18" i="25"/>
  <c r="CP18" i="25"/>
  <c r="CH18" i="25"/>
  <c r="BZ18" i="25"/>
  <c r="BR18" i="25"/>
  <c r="BJ18" i="25"/>
  <c r="BB18" i="25"/>
  <c r="AT18" i="25"/>
  <c r="AL18" i="25"/>
  <c r="AD18" i="25"/>
  <c r="V18" i="25"/>
  <c r="GN22" i="25"/>
  <c r="GJ22" i="25"/>
  <c r="GF22" i="25"/>
  <c r="GB22" i="25"/>
  <c r="FX22" i="25"/>
  <c r="FT22" i="25"/>
  <c r="FP22" i="25"/>
  <c r="FL22" i="25"/>
  <c r="FH22" i="25"/>
  <c r="FD22" i="25"/>
  <c r="EZ22" i="25"/>
  <c r="EV22" i="25"/>
  <c r="ER22" i="25"/>
  <c r="EN22" i="25"/>
  <c r="EJ22" i="25"/>
  <c r="EF22" i="25"/>
  <c r="EB22" i="25"/>
  <c r="DX22" i="25"/>
  <c r="DT22" i="25"/>
  <c r="DP22" i="25"/>
  <c r="DL22" i="25"/>
  <c r="DH22" i="25"/>
  <c r="DD22" i="25"/>
  <c r="CZ22" i="25"/>
  <c r="CV22" i="25"/>
  <c r="CR22" i="25"/>
  <c r="CN22" i="25"/>
  <c r="CJ22" i="25"/>
  <c r="CF22" i="25"/>
  <c r="CB22" i="25"/>
  <c r="BX22" i="25"/>
  <c r="BT22" i="25"/>
  <c r="BP22" i="25"/>
  <c r="BL22" i="25"/>
  <c r="BH22" i="25"/>
  <c r="BD22" i="25"/>
  <c r="AZ22" i="25"/>
  <c r="AV22" i="25"/>
  <c r="GP22" i="25"/>
  <c r="GL22" i="25"/>
  <c r="GH22" i="25"/>
  <c r="GD22" i="25"/>
  <c r="FZ22" i="25"/>
  <c r="FV22" i="25"/>
  <c r="FR22" i="25"/>
  <c r="FN22" i="25"/>
  <c r="FJ22" i="25"/>
  <c r="FF22" i="25"/>
  <c r="FB22" i="25"/>
  <c r="EX22" i="25"/>
  <c r="ET22" i="25"/>
  <c r="EP22" i="25"/>
  <c r="EL22" i="25"/>
  <c r="EH22" i="25"/>
  <c r="ED22" i="25"/>
  <c r="DZ22" i="25"/>
  <c r="DV22" i="25"/>
  <c r="DR22" i="25"/>
  <c r="DN22" i="25"/>
  <c r="DJ22" i="25"/>
  <c r="DF22" i="25"/>
  <c r="DB22" i="25"/>
  <c r="CX22" i="25"/>
  <c r="CT22" i="25"/>
  <c r="CP22" i="25"/>
  <c r="CL22" i="25"/>
  <c r="CH22" i="25"/>
  <c r="CD22" i="25"/>
  <c r="BZ22" i="25"/>
  <c r="BV22" i="25"/>
  <c r="BR22" i="25"/>
  <c r="BN22" i="25"/>
  <c r="BJ22" i="25"/>
  <c r="BF22" i="25"/>
  <c r="BB22" i="25"/>
  <c r="AX22" i="25"/>
  <c r="GM22" i="25"/>
  <c r="GE22" i="25"/>
  <c r="FW22" i="25"/>
  <c r="FO22" i="25"/>
  <c r="FG22" i="25"/>
  <c r="EY22" i="25"/>
  <c r="EQ22" i="25"/>
  <c r="EI22" i="25"/>
  <c r="EA22" i="25"/>
  <c r="DS22" i="25"/>
  <c r="DK22" i="25"/>
  <c r="DC22" i="25"/>
  <c r="CU22" i="25"/>
  <c r="CM22" i="25"/>
  <c r="CE22" i="25"/>
  <c r="BW22" i="25"/>
  <c r="BO22" i="25"/>
  <c r="BG22" i="25"/>
  <c r="AY22" i="25"/>
  <c r="AS22" i="25"/>
  <c r="AO22" i="25"/>
  <c r="AK22" i="25"/>
  <c r="AG22" i="25"/>
  <c r="AC22" i="25"/>
  <c r="Y22" i="25"/>
  <c r="U22" i="25"/>
  <c r="GK22" i="25"/>
  <c r="GC22" i="25"/>
  <c r="FU22" i="25"/>
  <c r="FM22" i="25"/>
  <c r="FE22" i="25"/>
  <c r="EW22" i="25"/>
  <c r="EO22" i="25"/>
  <c r="EG22" i="25"/>
  <c r="DY22" i="25"/>
  <c r="DQ22" i="25"/>
  <c r="DI22" i="25"/>
  <c r="DA22" i="25"/>
  <c r="CS22" i="25"/>
  <c r="CK22" i="25"/>
  <c r="CC22" i="25"/>
  <c r="BU22" i="25"/>
  <c r="BM22" i="25"/>
  <c r="BE22" i="25"/>
  <c r="AW22" i="25"/>
  <c r="AR22" i="25"/>
  <c r="AN22" i="25"/>
  <c r="AJ22" i="25"/>
  <c r="AF22" i="25"/>
  <c r="AB22" i="25"/>
  <c r="X22" i="25"/>
  <c r="T22" i="25"/>
  <c r="GO22" i="25"/>
  <c r="FY22" i="25"/>
  <c r="FI22" i="25"/>
  <c r="ES22" i="25"/>
  <c r="EC22" i="25"/>
  <c r="DM22" i="25"/>
  <c r="CW22" i="25"/>
  <c r="CG22" i="25"/>
  <c r="BQ22" i="25"/>
  <c r="BA22" i="25"/>
  <c r="AP22" i="25"/>
  <c r="AH22" i="25"/>
  <c r="Z22" i="25"/>
  <c r="GI22" i="25"/>
  <c r="FS22" i="25"/>
  <c r="FC22" i="25"/>
  <c r="EM22" i="25"/>
  <c r="DW22" i="25"/>
  <c r="DG22" i="25"/>
  <c r="CQ22" i="25"/>
  <c r="CA22" i="25"/>
  <c r="BK22" i="25"/>
  <c r="AU22" i="25"/>
  <c r="AM22" i="25"/>
  <c r="AE22" i="25"/>
  <c r="W22" i="25"/>
  <c r="GG22" i="25"/>
  <c r="FQ22" i="25"/>
  <c r="FA22" i="25"/>
  <c r="EK22" i="25"/>
  <c r="DU22" i="25"/>
  <c r="DE22" i="25"/>
  <c r="CO22" i="25"/>
  <c r="BY22" i="25"/>
  <c r="BI22" i="25"/>
  <c r="AT22" i="25"/>
  <c r="AL22" i="25"/>
  <c r="AD22" i="25"/>
  <c r="V22" i="25"/>
  <c r="GN26" i="25"/>
  <c r="GJ26" i="25"/>
  <c r="GF26" i="25"/>
  <c r="GB26" i="25"/>
  <c r="FX26" i="25"/>
  <c r="FT26" i="25"/>
  <c r="FP26" i="25"/>
  <c r="FL26" i="25"/>
  <c r="FH26" i="25"/>
  <c r="FD26" i="25"/>
  <c r="EZ26" i="25"/>
  <c r="EV26" i="25"/>
  <c r="ER26" i="25"/>
  <c r="EN26" i="25"/>
  <c r="EJ26" i="25"/>
  <c r="EF26" i="25"/>
  <c r="EB26" i="25"/>
  <c r="DX26" i="25"/>
  <c r="DT26" i="25"/>
  <c r="DP26" i="25"/>
  <c r="DL26" i="25"/>
  <c r="DH26" i="25"/>
  <c r="DD26" i="25"/>
  <c r="CZ26" i="25"/>
  <c r="CV26" i="25"/>
  <c r="CR26" i="25"/>
  <c r="CN26" i="25"/>
  <c r="CJ26" i="25"/>
  <c r="CF26" i="25"/>
  <c r="CB26" i="25"/>
  <c r="BX26" i="25"/>
  <c r="BT26" i="25"/>
  <c r="BP26" i="25"/>
  <c r="BL26" i="25"/>
  <c r="BH26" i="25"/>
  <c r="BD26" i="25"/>
  <c r="AZ26" i="25"/>
  <c r="AV26" i="25"/>
  <c r="AR26" i="25"/>
  <c r="AN26" i="25"/>
  <c r="AJ26" i="25"/>
  <c r="AF26" i="25"/>
  <c r="AB26" i="25"/>
  <c r="X26" i="25"/>
  <c r="T26" i="25"/>
  <c r="GP26" i="25"/>
  <c r="GL26" i="25"/>
  <c r="GH26" i="25"/>
  <c r="GD26" i="25"/>
  <c r="FZ26" i="25"/>
  <c r="FV26" i="25"/>
  <c r="FR26" i="25"/>
  <c r="FN26" i="25"/>
  <c r="FJ26" i="25"/>
  <c r="FF26" i="25"/>
  <c r="FB26" i="25"/>
  <c r="EX26" i="25"/>
  <c r="ET26" i="25"/>
  <c r="EP26" i="25"/>
  <c r="EL26" i="25"/>
  <c r="EH26" i="25"/>
  <c r="ED26" i="25"/>
  <c r="DZ26" i="25"/>
  <c r="DV26" i="25"/>
  <c r="DR26" i="25"/>
  <c r="DN26" i="25"/>
  <c r="DJ26" i="25"/>
  <c r="DF26" i="25"/>
  <c r="DB26" i="25"/>
  <c r="CX26" i="25"/>
  <c r="CT26" i="25"/>
  <c r="CP26" i="25"/>
  <c r="CL26" i="25"/>
  <c r="CH26" i="25"/>
  <c r="CD26" i="25"/>
  <c r="BZ26" i="25"/>
  <c r="BV26" i="25"/>
  <c r="BR26" i="25"/>
  <c r="BN26" i="25"/>
  <c r="BJ26" i="25"/>
  <c r="BF26" i="25"/>
  <c r="BB26" i="25"/>
  <c r="AX26" i="25"/>
  <c r="AT26" i="25"/>
  <c r="AP26" i="25"/>
  <c r="AL26" i="25"/>
  <c r="AH26" i="25"/>
  <c r="AD26" i="25"/>
  <c r="Z26" i="25"/>
  <c r="V26" i="25"/>
  <c r="GM26" i="25"/>
  <c r="GE26" i="25"/>
  <c r="FW26" i="25"/>
  <c r="FO26" i="25"/>
  <c r="FG26" i="25"/>
  <c r="EY26" i="25"/>
  <c r="EQ26" i="25"/>
  <c r="EI26" i="25"/>
  <c r="EA26" i="25"/>
  <c r="DS26" i="25"/>
  <c r="DK26" i="25"/>
  <c r="DC26" i="25"/>
  <c r="CU26" i="25"/>
  <c r="CM26" i="25"/>
  <c r="CE26" i="25"/>
  <c r="BW26" i="25"/>
  <c r="BO26" i="25"/>
  <c r="BG26" i="25"/>
  <c r="AY26" i="25"/>
  <c r="AQ26" i="25"/>
  <c r="AI26" i="25"/>
  <c r="AA26" i="25"/>
  <c r="S26" i="25"/>
  <c r="GK26" i="25"/>
  <c r="GC26" i="25"/>
  <c r="FU26" i="25"/>
  <c r="FM26" i="25"/>
  <c r="FE26" i="25"/>
  <c r="EW26" i="25"/>
  <c r="EO26" i="25"/>
  <c r="EG26" i="25"/>
  <c r="DY26" i="25"/>
  <c r="DQ26" i="25"/>
  <c r="DI26" i="25"/>
  <c r="DA26" i="25"/>
  <c r="CS26" i="25"/>
  <c r="CK26" i="25"/>
  <c r="CC26" i="25"/>
  <c r="BU26" i="25"/>
  <c r="BM26" i="25"/>
  <c r="BE26" i="25"/>
  <c r="AW26" i="25"/>
  <c r="AO26" i="25"/>
  <c r="AG26" i="25"/>
  <c r="Y26" i="25"/>
  <c r="GI26" i="25"/>
  <c r="GA26" i="25"/>
  <c r="FS26" i="25"/>
  <c r="FK26" i="25"/>
  <c r="FC26" i="25"/>
  <c r="EU26" i="25"/>
  <c r="EM26" i="25"/>
  <c r="EE26" i="25"/>
  <c r="DW26" i="25"/>
  <c r="DO26" i="25"/>
  <c r="DG26" i="25"/>
  <c r="CY26" i="25"/>
  <c r="CQ26" i="25"/>
  <c r="CI26" i="25"/>
  <c r="CA26" i="25"/>
  <c r="BS26" i="25"/>
  <c r="BK26" i="25"/>
  <c r="BC26" i="25"/>
  <c r="AU26" i="25"/>
  <c r="AM26" i="25"/>
  <c r="AE26" i="25"/>
  <c r="W26" i="25"/>
  <c r="FY26" i="25"/>
  <c r="ES26" i="25"/>
  <c r="DM26" i="25"/>
  <c r="CG26" i="25"/>
  <c r="BA26" i="25"/>
  <c r="U26" i="25"/>
  <c r="FQ26" i="25"/>
  <c r="EK26" i="25"/>
  <c r="DE26" i="25"/>
  <c r="BY26" i="25"/>
  <c r="AS26" i="25"/>
  <c r="GO26" i="25"/>
  <c r="FI26" i="25"/>
  <c r="EC26" i="25"/>
  <c r="CW26" i="25"/>
  <c r="BQ26" i="25"/>
  <c r="AK26" i="25"/>
  <c r="GM30" i="25"/>
  <c r="GI30" i="25"/>
  <c r="GE30" i="25"/>
  <c r="GA30" i="25"/>
  <c r="FW30" i="25"/>
  <c r="FS30" i="25"/>
  <c r="FO30" i="25"/>
  <c r="FK30" i="25"/>
  <c r="FG30" i="25"/>
  <c r="FC30" i="25"/>
  <c r="EY30" i="25"/>
  <c r="EU30" i="25"/>
  <c r="EQ30" i="25"/>
  <c r="EM30" i="25"/>
  <c r="EI30" i="25"/>
  <c r="EE30" i="25"/>
  <c r="EA30" i="25"/>
  <c r="DW30" i="25"/>
  <c r="DS30" i="25"/>
  <c r="DO30" i="25"/>
  <c r="DK30" i="25"/>
  <c r="DG30" i="25"/>
  <c r="DC30" i="25"/>
  <c r="CY30" i="25"/>
  <c r="CU30" i="25"/>
  <c r="CQ30" i="25"/>
  <c r="CM30" i="25"/>
  <c r="CI30" i="25"/>
  <c r="CE30" i="25"/>
  <c r="CA30" i="25"/>
  <c r="BW30" i="25"/>
  <c r="BS30" i="25"/>
  <c r="BO30" i="25"/>
  <c r="BK30" i="25"/>
  <c r="BG30" i="25"/>
  <c r="BC30" i="25"/>
  <c r="AY30" i="25"/>
  <c r="AU30" i="25"/>
  <c r="AQ30" i="25"/>
  <c r="AM30" i="25"/>
  <c r="AI30" i="25"/>
  <c r="AE30" i="25"/>
  <c r="AA30" i="25"/>
  <c r="W30" i="25"/>
  <c r="S30" i="25"/>
  <c r="GP30" i="25"/>
  <c r="GL30" i="25"/>
  <c r="GH30" i="25"/>
  <c r="GD30" i="25"/>
  <c r="FZ30" i="25"/>
  <c r="FV30" i="25"/>
  <c r="FR30" i="25"/>
  <c r="FN30" i="25"/>
  <c r="FJ30" i="25"/>
  <c r="FF30" i="25"/>
  <c r="FB30" i="25"/>
  <c r="EX30" i="25"/>
  <c r="ET30" i="25"/>
  <c r="EP30" i="25"/>
  <c r="EL30" i="25"/>
  <c r="EH30" i="25"/>
  <c r="ED30" i="25"/>
  <c r="DZ30" i="25"/>
  <c r="DV30" i="25"/>
  <c r="DR30" i="25"/>
  <c r="DN30" i="25"/>
  <c r="DJ30" i="25"/>
  <c r="DF30" i="25"/>
  <c r="DB30" i="25"/>
  <c r="CX30" i="25"/>
  <c r="CT30" i="25"/>
  <c r="CP30" i="25"/>
  <c r="CL30" i="25"/>
  <c r="CH30" i="25"/>
  <c r="CD30" i="25"/>
  <c r="BZ30" i="25"/>
  <c r="BV30" i="25"/>
  <c r="BR30" i="25"/>
  <c r="BN30" i="25"/>
  <c r="BJ30" i="25"/>
  <c r="BF30" i="25"/>
  <c r="BB30" i="25"/>
  <c r="AX30" i="25"/>
  <c r="AT30" i="25"/>
  <c r="AP30" i="25"/>
  <c r="AL30" i="25"/>
  <c r="AH30" i="25"/>
  <c r="AD30" i="25"/>
  <c r="Z30" i="25"/>
  <c r="V30" i="25"/>
  <c r="GO30" i="25"/>
  <c r="GK30" i="25"/>
  <c r="GG30" i="25"/>
  <c r="GC30" i="25"/>
  <c r="FY30" i="25"/>
  <c r="FU30" i="25"/>
  <c r="FQ30" i="25"/>
  <c r="FM30" i="25"/>
  <c r="FI30" i="25"/>
  <c r="FE30" i="25"/>
  <c r="FA30" i="25"/>
  <c r="EW30" i="25"/>
  <c r="ES30" i="25"/>
  <c r="EO30" i="25"/>
  <c r="EK30" i="25"/>
  <c r="EG30" i="25"/>
  <c r="EC30" i="25"/>
  <c r="DY30" i="25"/>
  <c r="DU30" i="25"/>
  <c r="DQ30" i="25"/>
  <c r="DM30" i="25"/>
  <c r="DI30" i="25"/>
  <c r="DE30" i="25"/>
  <c r="DA30" i="25"/>
  <c r="CW30" i="25"/>
  <c r="CS30" i="25"/>
  <c r="CO30" i="25"/>
  <c r="CK30" i="25"/>
  <c r="CG30" i="25"/>
  <c r="CC30" i="25"/>
  <c r="BY30" i="25"/>
  <c r="BU30" i="25"/>
  <c r="BQ30" i="25"/>
  <c r="BM30" i="25"/>
  <c r="BI30" i="25"/>
  <c r="BE30" i="25"/>
  <c r="BA30" i="25"/>
  <c r="AW30" i="25"/>
  <c r="AS30" i="25"/>
  <c r="AO30" i="25"/>
  <c r="AK30" i="25"/>
  <c r="AG30" i="25"/>
  <c r="AC30" i="25"/>
  <c r="Y30" i="25"/>
  <c r="U30" i="25"/>
  <c r="GF30" i="25"/>
  <c r="FP30" i="25"/>
  <c r="EZ30" i="25"/>
  <c r="EJ30" i="25"/>
  <c r="DT30" i="25"/>
  <c r="DD30" i="25"/>
  <c r="CN30" i="25"/>
  <c r="BX30" i="25"/>
  <c r="BH30" i="25"/>
  <c r="AR30" i="25"/>
  <c r="AB30" i="25"/>
  <c r="GB30" i="25"/>
  <c r="FL30" i="25"/>
  <c r="EV30" i="25"/>
  <c r="EF30" i="25"/>
  <c r="DP30" i="25"/>
  <c r="CZ30" i="25"/>
  <c r="CJ30" i="25"/>
  <c r="BT30" i="25"/>
  <c r="BD30" i="25"/>
  <c r="AN30" i="25"/>
  <c r="X30" i="25"/>
  <c r="GN30" i="25"/>
  <c r="FX30" i="25"/>
  <c r="FH30" i="25"/>
  <c r="ER30" i="25"/>
  <c r="EB30" i="25"/>
  <c r="DL30" i="25"/>
  <c r="CV30" i="25"/>
  <c r="CF30" i="25"/>
  <c r="BP30" i="25"/>
  <c r="AZ30" i="25"/>
  <c r="AJ30" i="25"/>
  <c r="T30" i="25"/>
  <c r="GJ30" i="25"/>
  <c r="DX30" i="25"/>
  <c r="BL30" i="25"/>
  <c r="FT30" i="25"/>
  <c r="DH30" i="25"/>
  <c r="AV30" i="25"/>
  <c r="FD30" i="25"/>
  <c r="CR30" i="25"/>
  <c r="AF30" i="25"/>
  <c r="CB30" i="25"/>
  <c r="GO34" i="25"/>
  <c r="GK34" i="25"/>
  <c r="GN34" i="25"/>
  <c r="GM34" i="25"/>
  <c r="GI34" i="25"/>
  <c r="GL34" i="25"/>
  <c r="GF34" i="25"/>
  <c r="GB34" i="25"/>
  <c r="FX34" i="25"/>
  <c r="FT34" i="25"/>
  <c r="FP34" i="25"/>
  <c r="FL34" i="25"/>
  <c r="FH34" i="25"/>
  <c r="FD34" i="25"/>
  <c r="EZ34" i="25"/>
  <c r="EV34" i="25"/>
  <c r="ER34" i="25"/>
  <c r="EN34" i="25"/>
  <c r="EJ34" i="25"/>
  <c r="EF34" i="25"/>
  <c r="EB34" i="25"/>
  <c r="DX34" i="25"/>
  <c r="DT34" i="25"/>
  <c r="DP34" i="25"/>
  <c r="DL34" i="25"/>
  <c r="DH34" i="25"/>
  <c r="DD34" i="25"/>
  <c r="CZ34" i="25"/>
  <c r="CV34" i="25"/>
  <c r="CR34" i="25"/>
  <c r="CN34" i="25"/>
  <c r="CJ34" i="25"/>
  <c r="CF34" i="25"/>
  <c r="CB34" i="25"/>
  <c r="BX34" i="25"/>
  <c r="BT34" i="25"/>
  <c r="BP34" i="25"/>
  <c r="BL34" i="25"/>
  <c r="BH34" i="25"/>
  <c r="BD34" i="25"/>
  <c r="AZ34" i="25"/>
  <c r="AV34" i="25"/>
  <c r="AR34" i="25"/>
  <c r="AN34" i="25"/>
  <c r="AJ34" i="25"/>
  <c r="AF34" i="25"/>
  <c r="AB34" i="25"/>
  <c r="X34" i="25"/>
  <c r="T34" i="25"/>
  <c r="GJ34" i="25"/>
  <c r="GE34" i="25"/>
  <c r="GA34" i="25"/>
  <c r="FW34" i="25"/>
  <c r="FS34" i="25"/>
  <c r="FO34" i="25"/>
  <c r="FK34" i="25"/>
  <c r="FG34" i="25"/>
  <c r="FC34" i="25"/>
  <c r="EY34" i="25"/>
  <c r="EU34" i="25"/>
  <c r="EQ34" i="25"/>
  <c r="EM34" i="25"/>
  <c r="EI34" i="25"/>
  <c r="EE34" i="25"/>
  <c r="EA34" i="25"/>
  <c r="DW34" i="25"/>
  <c r="DS34" i="25"/>
  <c r="DO34" i="25"/>
  <c r="DK34" i="25"/>
  <c r="DG34" i="25"/>
  <c r="DC34" i="25"/>
  <c r="CY34" i="25"/>
  <c r="CU34" i="25"/>
  <c r="CQ34" i="25"/>
  <c r="CM34" i="25"/>
  <c r="CI34" i="25"/>
  <c r="CE34" i="25"/>
  <c r="CA34" i="25"/>
  <c r="BW34" i="25"/>
  <c r="BS34" i="25"/>
  <c r="BO34" i="25"/>
  <c r="BK34" i="25"/>
  <c r="BG34" i="25"/>
  <c r="BC34" i="25"/>
  <c r="AY34" i="25"/>
  <c r="AU34" i="25"/>
  <c r="AQ34" i="25"/>
  <c r="AM34" i="25"/>
  <c r="AI34" i="25"/>
  <c r="AE34" i="25"/>
  <c r="AA34" i="25"/>
  <c r="W34" i="25"/>
  <c r="S34" i="25"/>
  <c r="GH34" i="25"/>
  <c r="GD34" i="25"/>
  <c r="FZ34" i="25"/>
  <c r="FV34" i="25"/>
  <c r="FR34" i="25"/>
  <c r="FN34" i="25"/>
  <c r="FJ34" i="25"/>
  <c r="FF34" i="25"/>
  <c r="FB34" i="25"/>
  <c r="EX34" i="25"/>
  <c r="ET34" i="25"/>
  <c r="EP34" i="25"/>
  <c r="EL34" i="25"/>
  <c r="EH34" i="25"/>
  <c r="ED34" i="25"/>
  <c r="DZ34" i="25"/>
  <c r="DV34" i="25"/>
  <c r="DR34" i="25"/>
  <c r="DN34" i="25"/>
  <c r="DJ34" i="25"/>
  <c r="DF34" i="25"/>
  <c r="DB34" i="25"/>
  <c r="CX34" i="25"/>
  <c r="CT34" i="25"/>
  <c r="CP34" i="25"/>
  <c r="CL34" i="25"/>
  <c r="CH34" i="25"/>
  <c r="CD34" i="25"/>
  <c r="BZ34" i="25"/>
  <c r="BV34" i="25"/>
  <c r="BR34" i="25"/>
  <c r="BN34" i="25"/>
  <c r="BJ34" i="25"/>
  <c r="BF34" i="25"/>
  <c r="BB34" i="25"/>
  <c r="AX34" i="25"/>
  <c r="AT34" i="25"/>
  <c r="AP34" i="25"/>
  <c r="AL34" i="25"/>
  <c r="AH34" i="25"/>
  <c r="AD34" i="25"/>
  <c r="Z34" i="25"/>
  <c r="V34" i="25"/>
  <c r="GC34" i="25"/>
  <c r="FM34" i="25"/>
  <c r="EW34" i="25"/>
  <c r="EG34" i="25"/>
  <c r="DQ34" i="25"/>
  <c r="DA34" i="25"/>
  <c r="CK34" i="25"/>
  <c r="BU34" i="25"/>
  <c r="BE34" i="25"/>
  <c r="AO34" i="25"/>
  <c r="Y34" i="25"/>
  <c r="FY34" i="25"/>
  <c r="FI34" i="25"/>
  <c r="ES34" i="25"/>
  <c r="EC34" i="25"/>
  <c r="DM34" i="25"/>
  <c r="CW34" i="25"/>
  <c r="CG34" i="25"/>
  <c r="BQ34" i="25"/>
  <c r="BA34" i="25"/>
  <c r="AK34" i="25"/>
  <c r="U34" i="25"/>
  <c r="GP34" i="25"/>
  <c r="FU34" i="25"/>
  <c r="FE34" i="25"/>
  <c r="EO34" i="25"/>
  <c r="DY34" i="25"/>
  <c r="DI34" i="25"/>
  <c r="CS34" i="25"/>
  <c r="CC34" i="25"/>
  <c r="BM34" i="25"/>
  <c r="AW34" i="25"/>
  <c r="AG34" i="25"/>
  <c r="FQ34" i="25"/>
  <c r="DE34" i="25"/>
  <c r="AS34" i="25"/>
  <c r="FA34" i="25"/>
  <c r="CO34" i="25"/>
  <c r="AC34" i="25"/>
  <c r="EK34" i="25"/>
  <c r="BY34" i="25"/>
  <c r="DU34" i="25"/>
  <c r="BI34" i="25"/>
  <c r="GG34" i="25"/>
  <c r="U12" i="25"/>
  <c r="Y12" i="25"/>
  <c r="AC12" i="25"/>
  <c r="AG12" i="25"/>
  <c r="AK12" i="25"/>
  <c r="AO12" i="25"/>
  <c r="AS12" i="25"/>
  <c r="AW12" i="25"/>
  <c r="BA12" i="25"/>
  <c r="BE12" i="25"/>
  <c r="BI12" i="25"/>
  <c r="BM12" i="25"/>
  <c r="BQ12" i="25"/>
  <c r="BU12" i="25"/>
  <c r="BY12" i="25"/>
  <c r="CC12" i="25"/>
  <c r="CG12" i="25"/>
  <c r="CK12" i="25"/>
  <c r="CO12" i="25"/>
  <c r="CS12" i="25"/>
  <c r="CW12" i="25"/>
  <c r="DA12" i="25"/>
  <c r="DE12" i="25"/>
  <c r="DI12" i="25"/>
  <c r="DM12" i="25"/>
  <c r="DQ12" i="25"/>
  <c r="DU12" i="25"/>
  <c r="DY12" i="25"/>
  <c r="EC12" i="25"/>
  <c r="EG12" i="25"/>
  <c r="EK12" i="25"/>
  <c r="EO12" i="25"/>
  <c r="ES12" i="25"/>
  <c r="EW12" i="25"/>
  <c r="FA12" i="25"/>
  <c r="FE12" i="25"/>
  <c r="FI12" i="25"/>
  <c r="FM12" i="25"/>
  <c r="FQ12" i="25"/>
  <c r="FU12" i="25"/>
  <c r="FY12" i="25"/>
  <c r="GC12" i="25"/>
  <c r="GG12" i="25"/>
  <c r="GK12" i="25"/>
  <c r="GO12" i="25"/>
  <c r="U13" i="25"/>
  <c r="Y13" i="25"/>
  <c r="AC13" i="25"/>
  <c r="AG13" i="25"/>
  <c r="AK13" i="25"/>
  <c r="AO13" i="25"/>
  <c r="AS13" i="25"/>
  <c r="AW13" i="25"/>
  <c r="BA13" i="25"/>
  <c r="BE13" i="25"/>
  <c r="BL13" i="25"/>
  <c r="CB13" i="25"/>
  <c r="CR13" i="25"/>
  <c r="DH13" i="25"/>
  <c r="DX13" i="25"/>
  <c r="EN13" i="25"/>
  <c r="FD13" i="25"/>
  <c r="FT13" i="25"/>
  <c r="AB14" i="25"/>
  <c r="AR14" i="25"/>
  <c r="BH14" i="25"/>
  <c r="BX14" i="25"/>
  <c r="CN14" i="25"/>
  <c r="DD14" i="25"/>
  <c r="DT14" i="25"/>
  <c r="EJ14" i="25"/>
  <c r="EZ14" i="25"/>
  <c r="FP14" i="25"/>
  <c r="GF14" i="25"/>
  <c r="T16" i="25"/>
  <c r="AJ16" i="25"/>
  <c r="AZ16" i="25"/>
  <c r="BP16" i="25"/>
  <c r="CF16" i="25"/>
  <c r="CV16" i="25"/>
  <c r="DL16" i="25"/>
  <c r="EB16" i="25"/>
  <c r="ER16" i="25"/>
  <c r="FH16" i="25"/>
  <c r="FX16" i="25"/>
  <c r="GN16" i="25"/>
  <c r="AF17" i="25"/>
  <c r="AV17" i="25"/>
  <c r="BR17" i="25"/>
  <c r="CM17" i="25"/>
  <c r="DH17" i="25"/>
  <c r="ED17" i="25"/>
  <c r="EY17" i="25"/>
  <c r="S18" i="25"/>
  <c r="AY18" i="25"/>
  <c r="CE18" i="25"/>
  <c r="DK18" i="25"/>
  <c r="EQ18" i="25"/>
  <c r="FW18" i="25"/>
  <c r="AQ20" i="25"/>
  <c r="BW20" i="25"/>
  <c r="DC20" i="25"/>
  <c r="EI20" i="25"/>
  <c r="FO20" i="25"/>
  <c r="W21" i="25"/>
  <c r="BC21" i="25"/>
  <c r="CI21" i="25"/>
  <c r="DO21" i="25"/>
  <c r="EU21" i="25"/>
  <c r="AI22" i="25"/>
  <c r="CI22" i="25"/>
  <c r="EU22" i="25"/>
  <c r="EC24" i="25"/>
  <c r="AC26" i="25"/>
  <c r="FA26" i="25"/>
  <c r="BA28" i="25"/>
  <c r="GM13" i="25"/>
  <c r="GI13" i="25"/>
  <c r="GE13" i="25"/>
  <c r="GA13" i="25"/>
  <c r="FW13" i="25"/>
  <c r="FS13" i="25"/>
  <c r="FO13" i="25"/>
  <c r="FK13" i="25"/>
  <c r="FG13" i="25"/>
  <c r="FC13" i="25"/>
  <c r="EY13" i="25"/>
  <c r="EU13" i="25"/>
  <c r="EQ13" i="25"/>
  <c r="EM13" i="25"/>
  <c r="EI13" i="25"/>
  <c r="EE13" i="25"/>
  <c r="EA13" i="25"/>
  <c r="DW13" i="25"/>
  <c r="DS13" i="25"/>
  <c r="DO13" i="25"/>
  <c r="DK13" i="25"/>
  <c r="DG13" i="25"/>
  <c r="DC13" i="25"/>
  <c r="CY13" i="25"/>
  <c r="CU13" i="25"/>
  <c r="CQ13" i="25"/>
  <c r="CM13" i="25"/>
  <c r="CI13" i="25"/>
  <c r="CE13" i="25"/>
  <c r="CA13" i="25"/>
  <c r="BW13" i="25"/>
  <c r="BS13" i="25"/>
  <c r="BO13" i="25"/>
  <c r="BK13" i="25"/>
  <c r="GP13" i="25"/>
  <c r="GL13" i="25"/>
  <c r="GH13" i="25"/>
  <c r="GD13" i="25"/>
  <c r="FZ13" i="25"/>
  <c r="FV13" i="25"/>
  <c r="FR13" i="25"/>
  <c r="FN13" i="25"/>
  <c r="FJ13" i="25"/>
  <c r="FF13" i="25"/>
  <c r="FB13" i="25"/>
  <c r="EX13" i="25"/>
  <c r="ET13" i="25"/>
  <c r="EP13" i="25"/>
  <c r="EL13" i="25"/>
  <c r="EH13" i="25"/>
  <c r="ED13" i="25"/>
  <c r="DZ13" i="25"/>
  <c r="DV13" i="25"/>
  <c r="DR13" i="25"/>
  <c r="DN13" i="25"/>
  <c r="DJ13" i="25"/>
  <c r="DF13" i="25"/>
  <c r="DB13" i="25"/>
  <c r="CX13" i="25"/>
  <c r="CT13" i="25"/>
  <c r="CP13" i="25"/>
  <c r="CL13" i="25"/>
  <c r="CH13" i="25"/>
  <c r="CD13" i="25"/>
  <c r="BZ13" i="25"/>
  <c r="BV13" i="25"/>
  <c r="BR13" i="25"/>
  <c r="BN13" i="25"/>
  <c r="BJ13" i="25"/>
  <c r="BF13" i="25"/>
  <c r="GO13" i="25"/>
  <c r="GK13" i="25"/>
  <c r="GG13" i="25"/>
  <c r="GC13" i="25"/>
  <c r="FY13" i="25"/>
  <c r="FU13" i="25"/>
  <c r="FQ13" i="25"/>
  <c r="FM13" i="25"/>
  <c r="FI13" i="25"/>
  <c r="FE13" i="25"/>
  <c r="FA13" i="25"/>
  <c r="EW13" i="25"/>
  <c r="ES13" i="25"/>
  <c r="EO13" i="25"/>
  <c r="EK13" i="25"/>
  <c r="EG13" i="25"/>
  <c r="EC13" i="25"/>
  <c r="DY13" i="25"/>
  <c r="DU13" i="25"/>
  <c r="DQ13" i="25"/>
  <c r="DM13" i="25"/>
  <c r="DI13" i="25"/>
  <c r="DE13" i="25"/>
  <c r="DA13" i="25"/>
  <c r="CW13" i="25"/>
  <c r="CS13" i="25"/>
  <c r="CO13" i="25"/>
  <c r="CK13" i="25"/>
  <c r="CG13" i="25"/>
  <c r="CC13" i="25"/>
  <c r="BY13" i="25"/>
  <c r="BU13" i="25"/>
  <c r="BQ13" i="25"/>
  <c r="BM13" i="25"/>
  <c r="GO17" i="25"/>
  <c r="GK17" i="25"/>
  <c r="GG17" i="25"/>
  <c r="GC17" i="25"/>
  <c r="FY17" i="25"/>
  <c r="FU17" i="25"/>
  <c r="FQ17" i="25"/>
  <c r="FM17" i="25"/>
  <c r="FI17" i="25"/>
  <c r="FE17" i="25"/>
  <c r="FA17" i="25"/>
  <c r="EW17" i="25"/>
  <c r="ES17" i="25"/>
  <c r="EO17" i="25"/>
  <c r="EK17" i="25"/>
  <c r="EG17" i="25"/>
  <c r="EC17" i="25"/>
  <c r="DY17" i="25"/>
  <c r="DU17" i="25"/>
  <c r="DQ17" i="25"/>
  <c r="DM17" i="25"/>
  <c r="DI17" i="25"/>
  <c r="DE17" i="25"/>
  <c r="DA17" i="25"/>
  <c r="CW17" i="25"/>
  <c r="CS17" i="25"/>
  <c r="CO17" i="25"/>
  <c r="CK17" i="25"/>
  <c r="CG17" i="25"/>
  <c r="CC17" i="25"/>
  <c r="BY17" i="25"/>
  <c r="BU17" i="25"/>
  <c r="BQ17" i="25"/>
  <c r="BM17" i="25"/>
  <c r="BI17" i="25"/>
  <c r="BE17" i="25"/>
  <c r="BA17" i="25"/>
  <c r="AW17" i="25"/>
  <c r="GN17" i="25"/>
  <c r="GP17" i="25"/>
  <c r="GI17" i="25"/>
  <c r="GD17" i="25"/>
  <c r="FX17" i="25"/>
  <c r="FS17" i="25"/>
  <c r="FN17" i="25"/>
  <c r="FH17" i="25"/>
  <c r="FC17" i="25"/>
  <c r="EX17" i="25"/>
  <c r="ER17" i="25"/>
  <c r="EM17" i="25"/>
  <c r="EH17" i="25"/>
  <c r="EB17" i="25"/>
  <c r="DW17" i="25"/>
  <c r="DR17" i="25"/>
  <c r="DL17" i="25"/>
  <c r="DG17" i="25"/>
  <c r="DB17" i="25"/>
  <c r="CV17" i="25"/>
  <c r="CQ17" i="25"/>
  <c r="CL17" i="25"/>
  <c r="CF17" i="25"/>
  <c r="CA17" i="25"/>
  <c r="BV17" i="25"/>
  <c r="BP17" i="25"/>
  <c r="BK17" i="25"/>
  <c r="BF17" i="25"/>
  <c r="AZ17" i="25"/>
  <c r="AU17" i="25"/>
  <c r="AQ17" i="25"/>
  <c r="AM17" i="25"/>
  <c r="AI17" i="25"/>
  <c r="AE17" i="25"/>
  <c r="AA17" i="25"/>
  <c r="W17" i="25"/>
  <c r="S17" i="25"/>
  <c r="GM17" i="25"/>
  <c r="GH17" i="25"/>
  <c r="GB17" i="25"/>
  <c r="FW17" i="25"/>
  <c r="FR17" i="25"/>
  <c r="FL17" i="25"/>
  <c r="FG17" i="25"/>
  <c r="FB17" i="25"/>
  <c r="EV17" i="25"/>
  <c r="EQ17" i="25"/>
  <c r="EL17" i="25"/>
  <c r="EF17" i="25"/>
  <c r="EA17" i="25"/>
  <c r="DV17" i="25"/>
  <c r="DP17" i="25"/>
  <c r="DK17" i="25"/>
  <c r="DF17" i="25"/>
  <c r="CZ17" i="25"/>
  <c r="CU17" i="25"/>
  <c r="CP17" i="25"/>
  <c r="CJ17" i="25"/>
  <c r="CE17" i="25"/>
  <c r="BZ17" i="25"/>
  <c r="BT17" i="25"/>
  <c r="BO17" i="25"/>
  <c r="BJ17" i="25"/>
  <c r="BD17" i="25"/>
  <c r="AY17" i="25"/>
  <c r="AT17" i="25"/>
  <c r="AP17" i="25"/>
  <c r="AL17" i="25"/>
  <c r="AH17" i="25"/>
  <c r="AD17" i="25"/>
  <c r="Z17" i="25"/>
  <c r="V17" i="25"/>
  <c r="GL17" i="25"/>
  <c r="GF17" i="25"/>
  <c r="GA17" i="25"/>
  <c r="FV17" i="25"/>
  <c r="FP17" i="25"/>
  <c r="FK17" i="25"/>
  <c r="FF17" i="25"/>
  <c r="EZ17" i="25"/>
  <c r="EU17" i="25"/>
  <c r="EP17" i="25"/>
  <c r="EJ17" i="25"/>
  <c r="EE17" i="25"/>
  <c r="DZ17" i="25"/>
  <c r="DT17" i="25"/>
  <c r="DO17" i="25"/>
  <c r="DJ17" i="25"/>
  <c r="DD17" i="25"/>
  <c r="CY17" i="25"/>
  <c r="CT17" i="25"/>
  <c r="CN17" i="25"/>
  <c r="CI17" i="25"/>
  <c r="CD17" i="25"/>
  <c r="BX17" i="25"/>
  <c r="BS17" i="25"/>
  <c r="BN17" i="25"/>
  <c r="BH17" i="25"/>
  <c r="BC17" i="25"/>
  <c r="AX17" i="25"/>
  <c r="AS17" i="25"/>
  <c r="AO17" i="25"/>
  <c r="AK17" i="25"/>
  <c r="AG17" i="25"/>
  <c r="AC17" i="25"/>
  <c r="Y17" i="25"/>
  <c r="U17" i="25"/>
  <c r="GO21" i="25"/>
  <c r="GK21" i="25"/>
  <c r="GG21" i="25"/>
  <c r="GC21" i="25"/>
  <c r="FY21" i="25"/>
  <c r="FU21" i="25"/>
  <c r="FQ21" i="25"/>
  <c r="FM21" i="25"/>
  <c r="FI21" i="25"/>
  <c r="FE21" i="25"/>
  <c r="FA21" i="25"/>
  <c r="EW21" i="25"/>
  <c r="ES21" i="25"/>
  <c r="EO21" i="25"/>
  <c r="EK21" i="25"/>
  <c r="EG21" i="25"/>
  <c r="EC21" i="25"/>
  <c r="DY21" i="25"/>
  <c r="DU21" i="25"/>
  <c r="DQ21" i="25"/>
  <c r="DM21" i="25"/>
  <c r="DI21" i="25"/>
  <c r="DE21" i="25"/>
  <c r="DA21" i="25"/>
  <c r="CW21" i="25"/>
  <c r="CS21" i="25"/>
  <c r="CO21" i="25"/>
  <c r="CK21" i="25"/>
  <c r="CG21" i="25"/>
  <c r="CC21" i="25"/>
  <c r="BY21" i="25"/>
  <c r="BU21" i="25"/>
  <c r="BQ21" i="25"/>
  <c r="BM21" i="25"/>
  <c r="BI21" i="25"/>
  <c r="BE21" i="25"/>
  <c r="BA21" i="25"/>
  <c r="AW21" i="25"/>
  <c r="AS21" i="25"/>
  <c r="AO21" i="25"/>
  <c r="AK21" i="25"/>
  <c r="AG21" i="25"/>
  <c r="AC21" i="25"/>
  <c r="Y21" i="25"/>
  <c r="U21" i="25"/>
  <c r="GN21" i="25"/>
  <c r="GJ21" i="25"/>
  <c r="GF21" i="25"/>
  <c r="GB21" i="25"/>
  <c r="FX21" i="25"/>
  <c r="FT21" i="25"/>
  <c r="FP21" i="25"/>
  <c r="FL21" i="25"/>
  <c r="FH21" i="25"/>
  <c r="FD21" i="25"/>
  <c r="EZ21" i="25"/>
  <c r="EV21" i="25"/>
  <c r="ER21" i="25"/>
  <c r="EN21" i="25"/>
  <c r="EJ21" i="25"/>
  <c r="EF21" i="25"/>
  <c r="EB21" i="25"/>
  <c r="DX21" i="25"/>
  <c r="DT21" i="25"/>
  <c r="DP21" i="25"/>
  <c r="DL21" i="25"/>
  <c r="DH21" i="25"/>
  <c r="DD21" i="25"/>
  <c r="CZ21" i="25"/>
  <c r="CV21" i="25"/>
  <c r="CR21" i="25"/>
  <c r="CN21" i="25"/>
  <c r="CJ21" i="25"/>
  <c r="CF21" i="25"/>
  <c r="CB21" i="25"/>
  <c r="BX21" i="25"/>
  <c r="BT21" i="25"/>
  <c r="BP21" i="25"/>
  <c r="BL21" i="25"/>
  <c r="BH21" i="25"/>
  <c r="BD21" i="25"/>
  <c r="AZ21" i="25"/>
  <c r="AV21" i="25"/>
  <c r="AR21" i="25"/>
  <c r="AN21" i="25"/>
  <c r="AJ21" i="25"/>
  <c r="AF21" i="25"/>
  <c r="AB21" i="25"/>
  <c r="X21" i="25"/>
  <c r="T21" i="25"/>
  <c r="GP21" i="25"/>
  <c r="GH21" i="25"/>
  <c r="FZ21" i="25"/>
  <c r="FR21" i="25"/>
  <c r="FJ21" i="25"/>
  <c r="FB21" i="25"/>
  <c r="ET21" i="25"/>
  <c r="EL21" i="25"/>
  <c r="ED21" i="25"/>
  <c r="DV21" i="25"/>
  <c r="DN21" i="25"/>
  <c r="DF21" i="25"/>
  <c r="CX21" i="25"/>
  <c r="CP21" i="25"/>
  <c r="CH21" i="25"/>
  <c r="BZ21" i="25"/>
  <c r="BR21" i="25"/>
  <c r="BJ21" i="25"/>
  <c r="BB21" i="25"/>
  <c r="AT21" i="25"/>
  <c r="AL21" i="25"/>
  <c r="AD21" i="25"/>
  <c r="V21" i="25"/>
  <c r="GM21" i="25"/>
  <c r="GE21" i="25"/>
  <c r="FW21" i="25"/>
  <c r="FO21" i="25"/>
  <c r="FG21" i="25"/>
  <c r="EY21" i="25"/>
  <c r="EQ21" i="25"/>
  <c r="EI21" i="25"/>
  <c r="EA21" i="25"/>
  <c r="DS21" i="25"/>
  <c r="DK21" i="25"/>
  <c r="DC21" i="25"/>
  <c r="CU21" i="25"/>
  <c r="CM21" i="25"/>
  <c r="CE21" i="25"/>
  <c r="BW21" i="25"/>
  <c r="BO21" i="25"/>
  <c r="BG21" i="25"/>
  <c r="AY21" i="25"/>
  <c r="AQ21" i="25"/>
  <c r="AI21" i="25"/>
  <c r="AA21" i="25"/>
  <c r="S21" i="25"/>
  <c r="GL21" i="25"/>
  <c r="GD21" i="25"/>
  <c r="FV21" i="25"/>
  <c r="FN21" i="25"/>
  <c r="FF21" i="25"/>
  <c r="EX21" i="25"/>
  <c r="EP21" i="25"/>
  <c r="EH21" i="25"/>
  <c r="DZ21" i="25"/>
  <c r="DR21" i="25"/>
  <c r="DJ21" i="25"/>
  <c r="DB21" i="25"/>
  <c r="CT21" i="25"/>
  <c r="CL21" i="25"/>
  <c r="CD21" i="25"/>
  <c r="BV21" i="25"/>
  <c r="BN21" i="25"/>
  <c r="BF21" i="25"/>
  <c r="AX21" i="25"/>
  <c r="AP21" i="25"/>
  <c r="AH21" i="25"/>
  <c r="Z21" i="25"/>
  <c r="GN25" i="25"/>
  <c r="GJ25" i="25"/>
  <c r="GF25" i="25"/>
  <c r="GB25" i="25"/>
  <c r="FX25" i="25"/>
  <c r="FT25" i="25"/>
  <c r="FP25" i="25"/>
  <c r="FL25" i="25"/>
  <c r="FH25" i="25"/>
  <c r="FD25" i="25"/>
  <c r="EZ25" i="25"/>
  <c r="EV25" i="25"/>
  <c r="ER25" i="25"/>
  <c r="EN25" i="25"/>
  <c r="EJ25" i="25"/>
  <c r="EF25" i="25"/>
  <c r="EB25" i="25"/>
  <c r="DX25" i="25"/>
  <c r="DT25" i="25"/>
  <c r="DP25" i="25"/>
  <c r="DL25" i="25"/>
  <c r="DH25" i="25"/>
  <c r="DD25" i="25"/>
  <c r="CZ25" i="25"/>
  <c r="CV25" i="25"/>
  <c r="CR25" i="25"/>
  <c r="CN25" i="25"/>
  <c r="CJ25" i="25"/>
  <c r="CF25" i="25"/>
  <c r="CB25" i="25"/>
  <c r="BX25" i="25"/>
  <c r="BT25" i="25"/>
  <c r="BP25" i="25"/>
  <c r="BL25" i="25"/>
  <c r="BH25" i="25"/>
  <c r="BD25" i="25"/>
  <c r="AZ25" i="25"/>
  <c r="AV25" i="25"/>
  <c r="AR25" i="25"/>
  <c r="AN25" i="25"/>
  <c r="AJ25" i="25"/>
  <c r="AF25" i="25"/>
  <c r="AB25" i="25"/>
  <c r="X25" i="25"/>
  <c r="T25" i="25"/>
  <c r="GP25" i="25"/>
  <c r="GL25" i="25"/>
  <c r="GH25" i="25"/>
  <c r="GD25" i="25"/>
  <c r="FZ25" i="25"/>
  <c r="FV25" i="25"/>
  <c r="FR25" i="25"/>
  <c r="FN25" i="25"/>
  <c r="FJ25" i="25"/>
  <c r="FF25" i="25"/>
  <c r="FB25" i="25"/>
  <c r="EX25" i="25"/>
  <c r="ET25" i="25"/>
  <c r="EP25" i="25"/>
  <c r="EL25" i="25"/>
  <c r="EH25" i="25"/>
  <c r="ED25" i="25"/>
  <c r="DZ25" i="25"/>
  <c r="DV25" i="25"/>
  <c r="DR25" i="25"/>
  <c r="DN25" i="25"/>
  <c r="DJ25" i="25"/>
  <c r="DF25" i="25"/>
  <c r="DB25" i="25"/>
  <c r="CX25" i="25"/>
  <c r="CT25" i="25"/>
  <c r="CP25" i="25"/>
  <c r="CL25" i="25"/>
  <c r="CH25" i="25"/>
  <c r="CD25" i="25"/>
  <c r="BZ25" i="25"/>
  <c r="BV25" i="25"/>
  <c r="BR25" i="25"/>
  <c r="BN25" i="25"/>
  <c r="BJ25" i="25"/>
  <c r="BF25" i="25"/>
  <c r="BB25" i="25"/>
  <c r="AX25" i="25"/>
  <c r="AT25" i="25"/>
  <c r="AP25" i="25"/>
  <c r="AL25" i="25"/>
  <c r="AH25" i="25"/>
  <c r="AD25" i="25"/>
  <c r="Z25" i="25"/>
  <c r="V25" i="25"/>
  <c r="GI25" i="25"/>
  <c r="GA25" i="25"/>
  <c r="FS25" i="25"/>
  <c r="FK25" i="25"/>
  <c r="FC25" i="25"/>
  <c r="EU25" i="25"/>
  <c r="EM25" i="25"/>
  <c r="EE25" i="25"/>
  <c r="DW25" i="25"/>
  <c r="DO25" i="25"/>
  <c r="DG25" i="25"/>
  <c r="CY25" i="25"/>
  <c r="CQ25" i="25"/>
  <c r="CI25" i="25"/>
  <c r="CA25" i="25"/>
  <c r="BS25" i="25"/>
  <c r="BK25" i="25"/>
  <c r="BC25" i="25"/>
  <c r="AU25" i="25"/>
  <c r="AM25" i="25"/>
  <c r="AE25" i="25"/>
  <c r="W25" i="25"/>
  <c r="GO25" i="25"/>
  <c r="GG25" i="25"/>
  <c r="FY25" i="25"/>
  <c r="FQ25" i="25"/>
  <c r="FI25" i="25"/>
  <c r="FA25" i="25"/>
  <c r="ES25" i="25"/>
  <c r="EK25" i="25"/>
  <c r="EC25" i="25"/>
  <c r="DU25" i="25"/>
  <c r="DM25" i="25"/>
  <c r="DE25" i="25"/>
  <c r="CW25" i="25"/>
  <c r="CO25" i="25"/>
  <c r="CG25" i="25"/>
  <c r="BY25" i="25"/>
  <c r="BQ25" i="25"/>
  <c r="BI25" i="25"/>
  <c r="BA25" i="25"/>
  <c r="AS25" i="25"/>
  <c r="AK25" i="25"/>
  <c r="AC25" i="25"/>
  <c r="U25" i="25"/>
  <c r="GM25" i="25"/>
  <c r="GE25" i="25"/>
  <c r="FW25" i="25"/>
  <c r="FO25" i="25"/>
  <c r="FG25" i="25"/>
  <c r="EY25" i="25"/>
  <c r="EQ25" i="25"/>
  <c r="EI25" i="25"/>
  <c r="EA25" i="25"/>
  <c r="DS25" i="25"/>
  <c r="DK25" i="25"/>
  <c r="DC25" i="25"/>
  <c r="CU25" i="25"/>
  <c r="CM25" i="25"/>
  <c r="CE25" i="25"/>
  <c r="BW25" i="25"/>
  <c r="BO25" i="25"/>
  <c r="BG25" i="25"/>
  <c r="AY25" i="25"/>
  <c r="AQ25" i="25"/>
  <c r="AI25" i="25"/>
  <c r="AA25" i="25"/>
  <c r="S25" i="25"/>
  <c r="FM25" i="25"/>
  <c r="EG25" i="25"/>
  <c r="DA25" i="25"/>
  <c r="BU25" i="25"/>
  <c r="AO25" i="25"/>
  <c r="GK25" i="25"/>
  <c r="FE25" i="25"/>
  <c r="DY25" i="25"/>
  <c r="CS25" i="25"/>
  <c r="BM25" i="25"/>
  <c r="AG25" i="25"/>
  <c r="GC25" i="25"/>
  <c r="EW25" i="25"/>
  <c r="DQ25" i="25"/>
  <c r="CK25" i="25"/>
  <c r="BE25" i="25"/>
  <c r="Y25" i="25"/>
  <c r="GM29" i="25"/>
  <c r="GI29" i="25"/>
  <c r="GE29" i="25"/>
  <c r="GA29" i="25"/>
  <c r="FW29" i="25"/>
  <c r="FS29" i="25"/>
  <c r="FO29" i="25"/>
  <c r="FK29" i="25"/>
  <c r="FG29" i="25"/>
  <c r="FC29" i="25"/>
  <c r="EY29" i="25"/>
  <c r="EU29" i="25"/>
  <c r="EQ29" i="25"/>
  <c r="EM29" i="25"/>
  <c r="EI29" i="25"/>
  <c r="EE29" i="25"/>
  <c r="EA29" i="25"/>
  <c r="DW29" i="25"/>
  <c r="DS29" i="25"/>
  <c r="DO29" i="25"/>
  <c r="DK29" i="25"/>
  <c r="DG29" i="25"/>
  <c r="DC29" i="25"/>
  <c r="CY29" i="25"/>
  <c r="CU29" i="25"/>
  <c r="CQ29" i="25"/>
  <c r="CM29" i="25"/>
  <c r="CI29" i="25"/>
  <c r="CE29" i="25"/>
  <c r="CA29" i="25"/>
  <c r="BW29" i="25"/>
  <c r="BS29" i="25"/>
  <c r="BO29" i="25"/>
  <c r="BK29" i="25"/>
  <c r="BG29" i="25"/>
  <c r="BC29" i="25"/>
  <c r="AY29" i="25"/>
  <c r="AU29" i="25"/>
  <c r="AQ29" i="25"/>
  <c r="AM29" i="25"/>
  <c r="AI29" i="25"/>
  <c r="AE29" i="25"/>
  <c r="AA29" i="25"/>
  <c r="W29" i="25"/>
  <c r="S29" i="25"/>
  <c r="GP29" i="25"/>
  <c r="GL29" i="25"/>
  <c r="GH29" i="25"/>
  <c r="GD29" i="25"/>
  <c r="FZ29" i="25"/>
  <c r="FV29" i="25"/>
  <c r="FR29" i="25"/>
  <c r="FN29" i="25"/>
  <c r="FJ29" i="25"/>
  <c r="FF29" i="25"/>
  <c r="FB29" i="25"/>
  <c r="EX29" i="25"/>
  <c r="ET29" i="25"/>
  <c r="EP29" i="25"/>
  <c r="EL29" i="25"/>
  <c r="EH29" i="25"/>
  <c r="ED29" i="25"/>
  <c r="DZ29" i="25"/>
  <c r="DV29" i="25"/>
  <c r="DR29" i="25"/>
  <c r="DN29" i="25"/>
  <c r="DJ29" i="25"/>
  <c r="DF29" i="25"/>
  <c r="DB29" i="25"/>
  <c r="CX29" i="25"/>
  <c r="CT29" i="25"/>
  <c r="CP29" i="25"/>
  <c r="CL29" i="25"/>
  <c r="CH29" i="25"/>
  <c r="CD29" i="25"/>
  <c r="BZ29" i="25"/>
  <c r="BV29" i="25"/>
  <c r="BR29" i="25"/>
  <c r="BN29" i="25"/>
  <c r="BJ29" i="25"/>
  <c r="BF29" i="25"/>
  <c r="BB29" i="25"/>
  <c r="AX29" i="25"/>
  <c r="AT29" i="25"/>
  <c r="AP29" i="25"/>
  <c r="AL29" i="25"/>
  <c r="AH29" i="25"/>
  <c r="AD29" i="25"/>
  <c r="Z29" i="25"/>
  <c r="V29" i="25"/>
  <c r="GO29" i="25"/>
  <c r="GK29" i="25"/>
  <c r="GG29" i="25"/>
  <c r="GC29" i="25"/>
  <c r="FY29" i="25"/>
  <c r="FU29" i="25"/>
  <c r="FQ29" i="25"/>
  <c r="FM29" i="25"/>
  <c r="FI29" i="25"/>
  <c r="FE29" i="25"/>
  <c r="FA29" i="25"/>
  <c r="EW29" i="25"/>
  <c r="ES29" i="25"/>
  <c r="EO29" i="25"/>
  <c r="EK29" i="25"/>
  <c r="EG29" i="25"/>
  <c r="EC29" i="25"/>
  <c r="DY29" i="25"/>
  <c r="DU29" i="25"/>
  <c r="DQ29" i="25"/>
  <c r="DM29" i="25"/>
  <c r="DI29" i="25"/>
  <c r="DE29" i="25"/>
  <c r="DA29" i="25"/>
  <c r="CW29" i="25"/>
  <c r="CS29" i="25"/>
  <c r="CO29" i="25"/>
  <c r="CK29" i="25"/>
  <c r="CG29" i="25"/>
  <c r="CC29" i="25"/>
  <c r="BY29" i="25"/>
  <c r="BU29" i="25"/>
  <c r="BQ29" i="25"/>
  <c r="BM29" i="25"/>
  <c r="BI29" i="25"/>
  <c r="BE29" i="25"/>
  <c r="BA29" i="25"/>
  <c r="AW29" i="25"/>
  <c r="AS29" i="25"/>
  <c r="AO29" i="25"/>
  <c r="AK29" i="25"/>
  <c r="AG29" i="25"/>
  <c r="AC29" i="25"/>
  <c r="Y29" i="25"/>
  <c r="U29" i="25"/>
  <c r="GJ29" i="25"/>
  <c r="FT29" i="25"/>
  <c r="FD29" i="25"/>
  <c r="EN29" i="25"/>
  <c r="DX29" i="25"/>
  <c r="DH29" i="25"/>
  <c r="CR29" i="25"/>
  <c r="CB29" i="25"/>
  <c r="BL29" i="25"/>
  <c r="AV29" i="25"/>
  <c r="AF29" i="25"/>
  <c r="GF29" i="25"/>
  <c r="FP29" i="25"/>
  <c r="EZ29" i="25"/>
  <c r="EJ29" i="25"/>
  <c r="DT29" i="25"/>
  <c r="DD29" i="25"/>
  <c r="CN29" i="25"/>
  <c r="BX29" i="25"/>
  <c r="BH29" i="25"/>
  <c r="AR29" i="25"/>
  <c r="AB29" i="25"/>
  <c r="GB29" i="25"/>
  <c r="FL29" i="25"/>
  <c r="EV29" i="25"/>
  <c r="EF29" i="25"/>
  <c r="DP29" i="25"/>
  <c r="CZ29" i="25"/>
  <c r="CJ29" i="25"/>
  <c r="BT29" i="25"/>
  <c r="BD29" i="25"/>
  <c r="AN29" i="25"/>
  <c r="X29" i="25"/>
  <c r="FX29" i="25"/>
  <c r="DL29" i="25"/>
  <c r="AZ29" i="25"/>
  <c r="FH29" i="25"/>
  <c r="CV29" i="25"/>
  <c r="AJ29" i="25"/>
  <c r="ER29" i="25"/>
  <c r="CF29" i="25"/>
  <c r="T29" i="25"/>
  <c r="GN29" i="25"/>
  <c r="EB29" i="25"/>
  <c r="GN33" i="25"/>
  <c r="GJ33" i="25"/>
  <c r="GF33" i="25"/>
  <c r="GB33" i="25"/>
  <c r="FX33" i="25"/>
  <c r="FT33" i="25"/>
  <c r="FP33" i="25"/>
  <c r="FL33" i="25"/>
  <c r="FH33" i="25"/>
  <c r="FD33" i="25"/>
  <c r="EZ33" i="25"/>
  <c r="EV33" i="25"/>
  <c r="ER33" i="25"/>
  <c r="EN33" i="25"/>
  <c r="EJ33" i="25"/>
  <c r="EF33" i="25"/>
  <c r="EB33" i="25"/>
  <c r="DX33" i="25"/>
  <c r="DT33" i="25"/>
  <c r="DP33" i="25"/>
  <c r="DL33" i="25"/>
  <c r="DH33" i="25"/>
  <c r="DD33" i="25"/>
  <c r="CZ33" i="25"/>
  <c r="CV33" i="25"/>
  <c r="CR33" i="25"/>
  <c r="CN33" i="25"/>
  <c r="CJ33" i="25"/>
  <c r="CF33" i="25"/>
  <c r="CB33" i="25"/>
  <c r="BX33" i="25"/>
  <c r="BT33" i="25"/>
  <c r="BP33" i="25"/>
  <c r="BL33" i="25"/>
  <c r="BH33" i="25"/>
  <c r="BD33" i="25"/>
  <c r="AZ33" i="25"/>
  <c r="AV33" i="25"/>
  <c r="AR33" i="25"/>
  <c r="AN33" i="25"/>
  <c r="AJ33" i="25"/>
  <c r="AF33" i="25"/>
  <c r="AB33" i="25"/>
  <c r="X33" i="25"/>
  <c r="T33" i="25"/>
  <c r="GM33" i="25"/>
  <c r="GI33" i="25"/>
  <c r="GE33" i="25"/>
  <c r="GA33" i="25"/>
  <c r="FW33" i="25"/>
  <c r="FS33" i="25"/>
  <c r="FO33" i="25"/>
  <c r="FK33" i="25"/>
  <c r="FG33" i="25"/>
  <c r="FC33" i="25"/>
  <c r="EY33" i="25"/>
  <c r="EU33" i="25"/>
  <c r="EQ33" i="25"/>
  <c r="EM33" i="25"/>
  <c r="EI33" i="25"/>
  <c r="EE33" i="25"/>
  <c r="EA33" i="25"/>
  <c r="DW33" i="25"/>
  <c r="DS33" i="25"/>
  <c r="DO33" i="25"/>
  <c r="DK33" i="25"/>
  <c r="DG33" i="25"/>
  <c r="DC33" i="25"/>
  <c r="CY33" i="25"/>
  <c r="CU33" i="25"/>
  <c r="CQ33" i="25"/>
  <c r="CM33" i="25"/>
  <c r="CI33" i="25"/>
  <c r="CE33" i="25"/>
  <c r="CA33" i="25"/>
  <c r="BW33" i="25"/>
  <c r="BS33" i="25"/>
  <c r="BO33" i="25"/>
  <c r="BK33" i="25"/>
  <c r="BG33" i="25"/>
  <c r="BC33" i="25"/>
  <c r="AY33" i="25"/>
  <c r="AU33" i="25"/>
  <c r="AQ33" i="25"/>
  <c r="AM33" i="25"/>
  <c r="AI33" i="25"/>
  <c r="AE33" i="25"/>
  <c r="AA33" i="25"/>
  <c r="W33" i="25"/>
  <c r="S33" i="25"/>
  <c r="GP33" i="25"/>
  <c r="GL33" i="25"/>
  <c r="GH33" i="25"/>
  <c r="GD33" i="25"/>
  <c r="FZ33" i="25"/>
  <c r="FV33" i="25"/>
  <c r="FR33" i="25"/>
  <c r="FN33" i="25"/>
  <c r="FJ33" i="25"/>
  <c r="FF33" i="25"/>
  <c r="FB33" i="25"/>
  <c r="EX33" i="25"/>
  <c r="ET33" i="25"/>
  <c r="EP33" i="25"/>
  <c r="EL33" i="25"/>
  <c r="EH33" i="25"/>
  <c r="ED33" i="25"/>
  <c r="DZ33" i="25"/>
  <c r="DV33" i="25"/>
  <c r="DR33" i="25"/>
  <c r="DN33" i="25"/>
  <c r="DJ33" i="25"/>
  <c r="DF33" i="25"/>
  <c r="DB33" i="25"/>
  <c r="CX33" i="25"/>
  <c r="CT33" i="25"/>
  <c r="CP33" i="25"/>
  <c r="CL33" i="25"/>
  <c r="CH33" i="25"/>
  <c r="CD33" i="25"/>
  <c r="BZ33" i="25"/>
  <c r="BV33" i="25"/>
  <c r="BR33" i="25"/>
  <c r="BN33" i="25"/>
  <c r="BJ33" i="25"/>
  <c r="BF33" i="25"/>
  <c r="BB33" i="25"/>
  <c r="AX33" i="25"/>
  <c r="AT33" i="25"/>
  <c r="AP33" i="25"/>
  <c r="AL33" i="25"/>
  <c r="AH33" i="25"/>
  <c r="AD33" i="25"/>
  <c r="Z33" i="25"/>
  <c r="V33" i="25"/>
  <c r="GG33" i="25"/>
  <c r="FQ33" i="25"/>
  <c r="FA33" i="25"/>
  <c r="EK33" i="25"/>
  <c r="DU33" i="25"/>
  <c r="DE33" i="25"/>
  <c r="CO33" i="25"/>
  <c r="BY33" i="25"/>
  <c r="BI33" i="25"/>
  <c r="AS33" i="25"/>
  <c r="AC33" i="25"/>
  <c r="GC33" i="25"/>
  <c r="FM33" i="25"/>
  <c r="EW33" i="25"/>
  <c r="EG33" i="25"/>
  <c r="DQ33" i="25"/>
  <c r="DA33" i="25"/>
  <c r="CK33" i="25"/>
  <c r="BU33" i="25"/>
  <c r="BE33" i="25"/>
  <c r="AO33" i="25"/>
  <c r="Y33" i="25"/>
  <c r="GO33" i="25"/>
  <c r="FY33" i="25"/>
  <c r="FI33" i="25"/>
  <c r="ES33" i="25"/>
  <c r="EC33" i="25"/>
  <c r="DM33" i="25"/>
  <c r="CW33" i="25"/>
  <c r="CG33" i="25"/>
  <c r="BQ33" i="25"/>
  <c r="BA33" i="25"/>
  <c r="AK33" i="25"/>
  <c r="U33" i="25"/>
  <c r="FE33" i="25"/>
  <c r="CS33" i="25"/>
  <c r="AG33" i="25"/>
  <c r="EO33" i="25"/>
  <c r="CC33" i="25"/>
  <c r="GK33" i="25"/>
  <c r="DY33" i="25"/>
  <c r="BM33" i="25"/>
  <c r="AW33" i="25"/>
  <c r="FU33" i="25"/>
  <c r="GO37" i="25"/>
  <c r="GK37" i="25"/>
  <c r="GG37" i="25"/>
  <c r="GC37" i="25"/>
  <c r="FY37" i="25"/>
  <c r="FU37" i="25"/>
  <c r="FQ37" i="25"/>
  <c r="FM37" i="25"/>
  <c r="FI37" i="25"/>
  <c r="FE37" i="25"/>
  <c r="FA37" i="25"/>
  <c r="EW37" i="25"/>
  <c r="ES37" i="25"/>
  <c r="EO37" i="25"/>
  <c r="EK37" i="25"/>
  <c r="EG37" i="25"/>
  <c r="EC37" i="25"/>
  <c r="DY37" i="25"/>
  <c r="DU37" i="25"/>
  <c r="DQ37" i="25"/>
  <c r="DM37" i="25"/>
  <c r="DI37" i="25"/>
  <c r="DE37" i="25"/>
  <c r="DA37" i="25"/>
  <c r="CW37" i="25"/>
  <c r="CS37" i="25"/>
  <c r="CO37" i="25"/>
  <c r="CK37" i="25"/>
  <c r="CG37" i="25"/>
  <c r="CC37" i="25"/>
  <c r="BY37" i="25"/>
  <c r="BU37" i="25"/>
  <c r="BQ37" i="25"/>
  <c r="BM37" i="25"/>
  <c r="BI37" i="25"/>
  <c r="BE37" i="25"/>
  <c r="BA37" i="25"/>
  <c r="AW37" i="25"/>
  <c r="AS37" i="25"/>
  <c r="AO37" i="25"/>
  <c r="AK37" i="25"/>
  <c r="AG37" i="25"/>
  <c r="AC37" i="25"/>
  <c r="Y37" i="25"/>
  <c r="U37" i="25"/>
  <c r="GN37" i="25"/>
  <c r="GJ37" i="25"/>
  <c r="GF37" i="25"/>
  <c r="GB37" i="25"/>
  <c r="FX37" i="25"/>
  <c r="FT37" i="25"/>
  <c r="FP37" i="25"/>
  <c r="FL37" i="25"/>
  <c r="FH37" i="25"/>
  <c r="FD37" i="25"/>
  <c r="EZ37" i="25"/>
  <c r="EV37" i="25"/>
  <c r="ER37" i="25"/>
  <c r="EN37" i="25"/>
  <c r="EJ37" i="25"/>
  <c r="EF37" i="25"/>
  <c r="EB37" i="25"/>
  <c r="DX37" i="25"/>
  <c r="DT37" i="25"/>
  <c r="DP37" i="25"/>
  <c r="DL37" i="25"/>
  <c r="DH37" i="25"/>
  <c r="DD37" i="25"/>
  <c r="CZ37" i="25"/>
  <c r="CV37" i="25"/>
  <c r="CR37" i="25"/>
  <c r="CN37" i="25"/>
  <c r="CJ37" i="25"/>
  <c r="CF37" i="25"/>
  <c r="CB37" i="25"/>
  <c r="BX37" i="25"/>
  <c r="BT37" i="25"/>
  <c r="BP37" i="25"/>
  <c r="BL37" i="25"/>
  <c r="BH37" i="25"/>
  <c r="BD37" i="25"/>
  <c r="AZ37" i="25"/>
  <c r="AV37" i="25"/>
  <c r="AR37" i="25"/>
  <c r="AN37" i="25"/>
  <c r="AJ37" i="25"/>
  <c r="AF37" i="25"/>
  <c r="AB37" i="25"/>
  <c r="X37" i="25"/>
  <c r="T37" i="25"/>
  <c r="GM37" i="25"/>
  <c r="GI37" i="25"/>
  <c r="GE37" i="25"/>
  <c r="GA37" i="25"/>
  <c r="FW37" i="25"/>
  <c r="FS37" i="25"/>
  <c r="FO37" i="25"/>
  <c r="FK37" i="25"/>
  <c r="FG37" i="25"/>
  <c r="FC37" i="25"/>
  <c r="EY37" i="25"/>
  <c r="EU37" i="25"/>
  <c r="EQ37" i="25"/>
  <c r="EM37" i="25"/>
  <c r="EI37" i="25"/>
  <c r="EE37" i="25"/>
  <c r="EA37" i="25"/>
  <c r="DW37" i="25"/>
  <c r="DS37" i="25"/>
  <c r="DO37" i="25"/>
  <c r="DK37" i="25"/>
  <c r="DG37" i="25"/>
  <c r="DC37" i="25"/>
  <c r="CY37" i="25"/>
  <c r="CU37" i="25"/>
  <c r="CQ37" i="25"/>
  <c r="CM37" i="25"/>
  <c r="CI37" i="25"/>
  <c r="CE37" i="25"/>
  <c r="CA37" i="25"/>
  <c r="BW37" i="25"/>
  <c r="BS37" i="25"/>
  <c r="BO37" i="25"/>
  <c r="BK37" i="25"/>
  <c r="BG37" i="25"/>
  <c r="BC37" i="25"/>
  <c r="AY37" i="25"/>
  <c r="AU37" i="25"/>
  <c r="AQ37" i="25"/>
  <c r="AM37" i="25"/>
  <c r="AI37" i="25"/>
  <c r="AE37" i="25"/>
  <c r="AA37" i="25"/>
  <c r="W37" i="25"/>
  <c r="S37" i="25"/>
  <c r="GL37" i="25"/>
  <c r="FV37" i="25"/>
  <c r="FF37" i="25"/>
  <c r="EP37" i="25"/>
  <c r="DZ37" i="25"/>
  <c r="DJ37" i="25"/>
  <c r="CT37" i="25"/>
  <c r="CD37" i="25"/>
  <c r="BN37" i="25"/>
  <c r="AX37" i="25"/>
  <c r="AH37" i="25"/>
  <c r="GH37" i="25"/>
  <c r="FR37" i="25"/>
  <c r="FB37" i="25"/>
  <c r="EL37" i="25"/>
  <c r="DV37" i="25"/>
  <c r="DF37" i="25"/>
  <c r="CP37" i="25"/>
  <c r="BZ37" i="25"/>
  <c r="BJ37" i="25"/>
  <c r="AT37" i="25"/>
  <c r="AD37" i="25"/>
  <c r="GD37" i="25"/>
  <c r="FN37" i="25"/>
  <c r="EX37" i="25"/>
  <c r="EH37" i="25"/>
  <c r="DR37" i="25"/>
  <c r="DB37" i="25"/>
  <c r="CL37" i="25"/>
  <c r="BV37" i="25"/>
  <c r="BF37" i="25"/>
  <c r="AP37" i="25"/>
  <c r="Z37" i="25"/>
  <c r="FJ37" i="25"/>
  <c r="CX37" i="25"/>
  <c r="AL37" i="25"/>
  <c r="ET37" i="25"/>
  <c r="CH37" i="25"/>
  <c r="V37" i="25"/>
  <c r="GP37" i="25"/>
  <c r="ED37" i="25"/>
  <c r="BR37" i="25"/>
  <c r="BB37" i="25"/>
  <c r="FZ37" i="25"/>
  <c r="DN37" i="25"/>
  <c r="V12" i="25"/>
  <c r="Z12" i="25"/>
  <c r="AD12" i="25"/>
  <c r="AH12" i="25"/>
  <c r="AL12" i="25"/>
  <c r="AP12" i="25"/>
  <c r="AT12" i="25"/>
  <c r="AX12" i="25"/>
  <c r="BB12" i="25"/>
  <c r="BF12" i="25"/>
  <c r="BJ12" i="25"/>
  <c r="BN12" i="25"/>
  <c r="BR12" i="25"/>
  <c r="BV12" i="25"/>
  <c r="BZ12" i="25"/>
  <c r="CD12" i="25"/>
  <c r="CH12" i="25"/>
  <c r="CL12" i="25"/>
  <c r="CP12" i="25"/>
  <c r="CT12" i="25"/>
  <c r="CX12" i="25"/>
  <c r="DB12" i="25"/>
  <c r="DF12" i="25"/>
  <c r="DJ12" i="25"/>
  <c r="DN12" i="25"/>
  <c r="DR12" i="25"/>
  <c r="DV12" i="25"/>
  <c r="DZ12" i="25"/>
  <c r="ED12" i="25"/>
  <c r="EH12" i="25"/>
  <c r="EL12" i="25"/>
  <c r="EP12" i="25"/>
  <c r="ET12" i="25"/>
  <c r="EX12" i="25"/>
  <c r="FB12" i="25"/>
  <c r="FF12" i="25"/>
  <c r="FJ12" i="25"/>
  <c r="FN12" i="25"/>
  <c r="FR12" i="25"/>
  <c r="FV12" i="25"/>
  <c r="FZ12" i="25"/>
  <c r="GD12" i="25"/>
  <c r="GH12" i="25"/>
  <c r="GL12" i="25"/>
  <c r="GP12" i="25"/>
  <c r="V13" i="25"/>
  <c r="Z13" i="25"/>
  <c r="AD13" i="25"/>
  <c r="AH13" i="25"/>
  <c r="AL13" i="25"/>
  <c r="AP13" i="25"/>
  <c r="AT13" i="25"/>
  <c r="AX13" i="25"/>
  <c r="BB13" i="25"/>
  <c r="BG13" i="25"/>
  <c r="BP13" i="25"/>
  <c r="CF13" i="25"/>
  <c r="CV13" i="25"/>
  <c r="DL13" i="25"/>
  <c r="EB13" i="25"/>
  <c r="ER13" i="25"/>
  <c r="FH13" i="25"/>
  <c r="FX13" i="25"/>
  <c r="GN13" i="25"/>
  <c r="AF14" i="25"/>
  <c r="AV14" i="25"/>
  <c r="BL14" i="25"/>
  <c r="CB14" i="25"/>
  <c r="CR14" i="25"/>
  <c r="DH14" i="25"/>
  <c r="DX14" i="25"/>
  <c r="EN14" i="25"/>
  <c r="FD14" i="25"/>
  <c r="FT14" i="25"/>
  <c r="GJ14" i="25"/>
  <c r="X16" i="25"/>
  <c r="AN16" i="25"/>
  <c r="BD16" i="25"/>
  <c r="BT16" i="25"/>
  <c r="CJ16" i="25"/>
  <c r="CZ16" i="25"/>
  <c r="DP16" i="25"/>
  <c r="EF16" i="25"/>
  <c r="EV16" i="25"/>
  <c r="FL16" i="25"/>
  <c r="T17" i="25"/>
  <c r="AJ17" i="25"/>
  <c r="BB17" i="25"/>
  <c r="BW17" i="25"/>
  <c r="CR17" i="25"/>
  <c r="DN17" i="25"/>
  <c r="EI17" i="25"/>
  <c r="FD17" i="25"/>
  <c r="FZ17" i="25"/>
  <c r="AA18" i="25"/>
  <c r="BG18" i="25"/>
  <c r="CM18" i="25"/>
  <c r="DS18" i="25"/>
  <c r="EY18" i="25"/>
  <c r="GE18" i="25"/>
  <c r="S20" i="25"/>
  <c r="AY20" i="25"/>
  <c r="CE20" i="25"/>
  <c r="DK20" i="25"/>
  <c r="EQ20" i="25"/>
  <c r="AE21" i="25"/>
  <c r="BK21" i="25"/>
  <c r="CQ21" i="25"/>
  <c r="DW21" i="25"/>
  <c r="FC21" i="25"/>
  <c r="GI21" i="25"/>
  <c r="AQ22" i="25"/>
  <c r="CY22" i="25"/>
  <c r="FK22" i="25"/>
  <c r="AK24" i="25"/>
  <c r="DI25" i="25"/>
  <c r="BI26" i="25"/>
  <c r="GG26" i="25"/>
  <c r="GM16" i="25"/>
  <c r="GI16" i="25"/>
  <c r="GE16" i="25"/>
  <c r="GA16" i="25"/>
  <c r="FW16" i="25"/>
  <c r="FS16" i="25"/>
  <c r="FO16" i="25"/>
  <c r="FK16" i="25"/>
  <c r="FG16" i="25"/>
  <c r="FC16" i="25"/>
  <c r="EY16" i="25"/>
  <c r="EU16" i="25"/>
  <c r="EQ16" i="25"/>
  <c r="EM16" i="25"/>
  <c r="EI16" i="25"/>
  <c r="EE16" i="25"/>
  <c r="EA16" i="25"/>
  <c r="DW16" i="25"/>
  <c r="DS16" i="25"/>
  <c r="DO16" i="25"/>
  <c r="DK16" i="25"/>
  <c r="DG16" i="25"/>
  <c r="DC16" i="25"/>
  <c r="CY16" i="25"/>
  <c r="CU16" i="25"/>
  <c r="CQ16" i="25"/>
  <c r="CM16" i="25"/>
  <c r="CI16" i="25"/>
  <c r="CE16" i="25"/>
  <c r="CA16" i="25"/>
  <c r="BW16" i="25"/>
  <c r="BS16" i="25"/>
  <c r="BO16" i="25"/>
  <c r="BK16" i="25"/>
  <c r="BG16" i="25"/>
  <c r="BC16" i="25"/>
  <c r="AY16" i="25"/>
  <c r="AU16" i="25"/>
  <c r="AQ16" i="25"/>
  <c r="AM16" i="25"/>
  <c r="AI16" i="25"/>
  <c r="AE16" i="25"/>
  <c r="AA16" i="25"/>
  <c r="W16" i="25"/>
  <c r="S16" i="25"/>
  <c r="GP16" i="25"/>
  <c r="GL16" i="25"/>
  <c r="GH16" i="25"/>
  <c r="GD16" i="25"/>
  <c r="FZ16" i="25"/>
  <c r="FV16" i="25"/>
  <c r="FR16" i="25"/>
  <c r="FN16" i="25"/>
  <c r="FJ16" i="25"/>
  <c r="FF16" i="25"/>
  <c r="FB16" i="25"/>
  <c r="EX16" i="25"/>
  <c r="ET16" i="25"/>
  <c r="EP16" i="25"/>
  <c r="EL16" i="25"/>
  <c r="EH16" i="25"/>
  <c r="ED16" i="25"/>
  <c r="DZ16" i="25"/>
  <c r="DV16" i="25"/>
  <c r="DR16" i="25"/>
  <c r="DN16" i="25"/>
  <c r="DJ16" i="25"/>
  <c r="DF16" i="25"/>
  <c r="DB16" i="25"/>
  <c r="CX16" i="25"/>
  <c r="CT16" i="25"/>
  <c r="CP16" i="25"/>
  <c r="CL16" i="25"/>
  <c r="CH16" i="25"/>
  <c r="CD16" i="25"/>
  <c r="BZ16" i="25"/>
  <c r="BV16" i="25"/>
  <c r="BR16" i="25"/>
  <c r="BN16" i="25"/>
  <c r="BJ16" i="25"/>
  <c r="BF16" i="25"/>
  <c r="BB16" i="25"/>
  <c r="AX16" i="25"/>
  <c r="AT16" i="25"/>
  <c r="AP16" i="25"/>
  <c r="AL16" i="25"/>
  <c r="AH16" i="25"/>
  <c r="AD16" i="25"/>
  <c r="Z16" i="25"/>
  <c r="V16" i="25"/>
  <c r="GO16" i="25"/>
  <c r="GK16" i="25"/>
  <c r="GG16" i="25"/>
  <c r="GC16" i="25"/>
  <c r="FY16" i="25"/>
  <c r="FU16" i="25"/>
  <c r="FQ16" i="25"/>
  <c r="FM16" i="25"/>
  <c r="FI16" i="25"/>
  <c r="FE16" i="25"/>
  <c r="FA16" i="25"/>
  <c r="EW16" i="25"/>
  <c r="ES16" i="25"/>
  <c r="EO16" i="25"/>
  <c r="EK16" i="25"/>
  <c r="EG16" i="25"/>
  <c r="EC16" i="25"/>
  <c r="DY16" i="25"/>
  <c r="DU16" i="25"/>
  <c r="DQ16" i="25"/>
  <c r="DM16" i="25"/>
  <c r="DI16" i="25"/>
  <c r="DE16" i="25"/>
  <c r="DA16" i="25"/>
  <c r="CW16" i="25"/>
  <c r="CS16" i="25"/>
  <c r="CO16" i="25"/>
  <c r="CK16" i="25"/>
  <c r="CG16" i="25"/>
  <c r="CC16" i="25"/>
  <c r="BY16" i="25"/>
  <c r="BU16" i="25"/>
  <c r="BQ16" i="25"/>
  <c r="BM16" i="25"/>
  <c r="BI16" i="25"/>
  <c r="BE16" i="25"/>
  <c r="BA16" i="25"/>
  <c r="AW16" i="25"/>
  <c r="AS16" i="25"/>
  <c r="AO16" i="25"/>
  <c r="AK16" i="25"/>
  <c r="AG16" i="25"/>
  <c r="AC16" i="25"/>
  <c r="Y16" i="25"/>
  <c r="U16" i="25"/>
  <c r="GO20" i="25"/>
  <c r="GK20" i="25"/>
  <c r="GG20" i="25"/>
  <c r="GC20" i="25"/>
  <c r="FY20" i="25"/>
  <c r="FU20" i="25"/>
  <c r="FQ20" i="25"/>
  <c r="FM20" i="25"/>
  <c r="FI20" i="25"/>
  <c r="FE20" i="25"/>
  <c r="FA20" i="25"/>
  <c r="EW20" i="25"/>
  <c r="ES20" i="25"/>
  <c r="EO20" i="25"/>
  <c r="EK20" i="25"/>
  <c r="EG20" i="25"/>
  <c r="EC20" i="25"/>
  <c r="DY20" i="25"/>
  <c r="DU20" i="25"/>
  <c r="DQ20" i="25"/>
  <c r="DM20" i="25"/>
  <c r="DI20" i="25"/>
  <c r="DE20" i="25"/>
  <c r="DA20" i="25"/>
  <c r="CW20" i="25"/>
  <c r="CS20" i="25"/>
  <c r="CO20" i="25"/>
  <c r="CK20" i="25"/>
  <c r="CG20" i="25"/>
  <c r="CC20" i="25"/>
  <c r="BY20" i="25"/>
  <c r="BU20" i="25"/>
  <c r="BQ20" i="25"/>
  <c r="BM20" i="25"/>
  <c r="BI20" i="25"/>
  <c r="BE20" i="25"/>
  <c r="BA20" i="25"/>
  <c r="AW20" i="25"/>
  <c r="AS20" i="25"/>
  <c r="AO20" i="25"/>
  <c r="AK20" i="25"/>
  <c r="AG20" i="25"/>
  <c r="AC20" i="25"/>
  <c r="Y20" i="25"/>
  <c r="U20" i="25"/>
  <c r="GN20" i="25"/>
  <c r="GJ20" i="25"/>
  <c r="GF20" i="25"/>
  <c r="GB20" i="25"/>
  <c r="FX20" i="25"/>
  <c r="FT20" i="25"/>
  <c r="FP20" i="25"/>
  <c r="FL20" i="25"/>
  <c r="FH20" i="25"/>
  <c r="FD20" i="25"/>
  <c r="EZ20" i="25"/>
  <c r="EV20" i="25"/>
  <c r="ER20" i="25"/>
  <c r="EN20" i="25"/>
  <c r="EJ20" i="25"/>
  <c r="EF20" i="25"/>
  <c r="EB20" i="25"/>
  <c r="DX20" i="25"/>
  <c r="DT20" i="25"/>
  <c r="DP20" i="25"/>
  <c r="DL20" i="25"/>
  <c r="DH20" i="25"/>
  <c r="DD20" i="25"/>
  <c r="CZ20" i="25"/>
  <c r="CV20" i="25"/>
  <c r="CR20" i="25"/>
  <c r="CN20" i="25"/>
  <c r="CJ20" i="25"/>
  <c r="CF20" i="25"/>
  <c r="CB20" i="25"/>
  <c r="BX20" i="25"/>
  <c r="BT20" i="25"/>
  <c r="BP20" i="25"/>
  <c r="BL20" i="25"/>
  <c r="BH20" i="25"/>
  <c r="BD20" i="25"/>
  <c r="AZ20" i="25"/>
  <c r="AV20" i="25"/>
  <c r="AR20" i="25"/>
  <c r="AN20" i="25"/>
  <c r="AJ20" i="25"/>
  <c r="AF20" i="25"/>
  <c r="AB20" i="25"/>
  <c r="X20" i="25"/>
  <c r="T20" i="25"/>
  <c r="GL20" i="25"/>
  <c r="GD20" i="25"/>
  <c r="FV20" i="25"/>
  <c r="FN20" i="25"/>
  <c r="FF20" i="25"/>
  <c r="EX20" i="25"/>
  <c r="EP20" i="25"/>
  <c r="EH20" i="25"/>
  <c r="DZ20" i="25"/>
  <c r="DR20" i="25"/>
  <c r="DJ20" i="25"/>
  <c r="DB20" i="25"/>
  <c r="CT20" i="25"/>
  <c r="CL20" i="25"/>
  <c r="CD20" i="25"/>
  <c r="BV20" i="25"/>
  <c r="BN20" i="25"/>
  <c r="BF20" i="25"/>
  <c r="AX20" i="25"/>
  <c r="AP20" i="25"/>
  <c r="AH20" i="25"/>
  <c r="Z20" i="25"/>
  <c r="GI20" i="25"/>
  <c r="GA20" i="25"/>
  <c r="FS20" i="25"/>
  <c r="FK20" i="25"/>
  <c r="FC20" i="25"/>
  <c r="EU20" i="25"/>
  <c r="EM20" i="25"/>
  <c r="EE20" i="25"/>
  <c r="DW20" i="25"/>
  <c r="DO20" i="25"/>
  <c r="DG20" i="25"/>
  <c r="CY20" i="25"/>
  <c r="CQ20" i="25"/>
  <c r="CI20" i="25"/>
  <c r="CA20" i="25"/>
  <c r="BS20" i="25"/>
  <c r="BK20" i="25"/>
  <c r="BC20" i="25"/>
  <c r="AU20" i="25"/>
  <c r="AM20" i="25"/>
  <c r="AE20" i="25"/>
  <c r="W20" i="25"/>
  <c r="GP20" i="25"/>
  <c r="GH20" i="25"/>
  <c r="FZ20" i="25"/>
  <c r="FR20" i="25"/>
  <c r="FJ20" i="25"/>
  <c r="FB20" i="25"/>
  <c r="ET20" i="25"/>
  <c r="EL20" i="25"/>
  <c r="ED20" i="25"/>
  <c r="DV20" i="25"/>
  <c r="DN20" i="25"/>
  <c r="DF20" i="25"/>
  <c r="CX20" i="25"/>
  <c r="CP20" i="25"/>
  <c r="CH20" i="25"/>
  <c r="BZ20" i="25"/>
  <c r="BR20" i="25"/>
  <c r="BJ20" i="25"/>
  <c r="BB20" i="25"/>
  <c r="AT20" i="25"/>
  <c r="AL20" i="25"/>
  <c r="AD20" i="25"/>
  <c r="V20" i="25"/>
  <c r="GN24" i="25"/>
  <c r="GJ24" i="25"/>
  <c r="GF24" i="25"/>
  <c r="GB24" i="25"/>
  <c r="FX24" i="25"/>
  <c r="FT24" i="25"/>
  <c r="FP24" i="25"/>
  <c r="FL24" i="25"/>
  <c r="FH24" i="25"/>
  <c r="FD24" i="25"/>
  <c r="EZ24" i="25"/>
  <c r="EV24" i="25"/>
  <c r="ER24" i="25"/>
  <c r="EN24" i="25"/>
  <c r="EJ24" i="25"/>
  <c r="EF24" i="25"/>
  <c r="EB24" i="25"/>
  <c r="DX24" i="25"/>
  <c r="DT24" i="25"/>
  <c r="DP24" i="25"/>
  <c r="DL24" i="25"/>
  <c r="DH24" i="25"/>
  <c r="DD24" i="25"/>
  <c r="CZ24" i="25"/>
  <c r="CV24" i="25"/>
  <c r="CR24" i="25"/>
  <c r="CN24" i="25"/>
  <c r="CJ24" i="25"/>
  <c r="CF24" i="25"/>
  <c r="CB24" i="25"/>
  <c r="BX24" i="25"/>
  <c r="BT24" i="25"/>
  <c r="BP24" i="25"/>
  <c r="BL24" i="25"/>
  <c r="BH24" i="25"/>
  <c r="BD24" i="25"/>
  <c r="AZ24" i="25"/>
  <c r="AV24" i="25"/>
  <c r="AR24" i="25"/>
  <c r="AN24" i="25"/>
  <c r="AJ24" i="25"/>
  <c r="AF24" i="25"/>
  <c r="AB24" i="25"/>
  <c r="X24" i="25"/>
  <c r="T24" i="25"/>
  <c r="GP24" i="25"/>
  <c r="GL24" i="25"/>
  <c r="GH24" i="25"/>
  <c r="GD24" i="25"/>
  <c r="FZ24" i="25"/>
  <c r="FV24" i="25"/>
  <c r="FR24" i="25"/>
  <c r="FN24" i="25"/>
  <c r="FJ24" i="25"/>
  <c r="FF24" i="25"/>
  <c r="FB24" i="25"/>
  <c r="EX24" i="25"/>
  <c r="ET24" i="25"/>
  <c r="EP24" i="25"/>
  <c r="EL24" i="25"/>
  <c r="EH24" i="25"/>
  <c r="ED24" i="25"/>
  <c r="DZ24" i="25"/>
  <c r="DV24" i="25"/>
  <c r="DR24" i="25"/>
  <c r="DN24" i="25"/>
  <c r="DJ24" i="25"/>
  <c r="DF24" i="25"/>
  <c r="DB24" i="25"/>
  <c r="CX24" i="25"/>
  <c r="CT24" i="25"/>
  <c r="CP24" i="25"/>
  <c r="CL24" i="25"/>
  <c r="CH24" i="25"/>
  <c r="CD24" i="25"/>
  <c r="BZ24" i="25"/>
  <c r="BV24" i="25"/>
  <c r="BR24" i="25"/>
  <c r="BN24" i="25"/>
  <c r="BJ24" i="25"/>
  <c r="BF24" i="25"/>
  <c r="BB24" i="25"/>
  <c r="AX24" i="25"/>
  <c r="AT24" i="25"/>
  <c r="AP24" i="25"/>
  <c r="AL24" i="25"/>
  <c r="AH24" i="25"/>
  <c r="AD24" i="25"/>
  <c r="Z24" i="25"/>
  <c r="V24" i="25"/>
  <c r="GM24" i="25"/>
  <c r="GE24" i="25"/>
  <c r="FW24" i="25"/>
  <c r="FO24" i="25"/>
  <c r="FG24" i="25"/>
  <c r="EY24" i="25"/>
  <c r="EQ24" i="25"/>
  <c r="EI24" i="25"/>
  <c r="EA24" i="25"/>
  <c r="DS24" i="25"/>
  <c r="DK24" i="25"/>
  <c r="DC24" i="25"/>
  <c r="CU24" i="25"/>
  <c r="CM24" i="25"/>
  <c r="CE24" i="25"/>
  <c r="BW24" i="25"/>
  <c r="BO24" i="25"/>
  <c r="BG24" i="25"/>
  <c r="AY24" i="25"/>
  <c r="AQ24" i="25"/>
  <c r="AI24" i="25"/>
  <c r="AA24" i="25"/>
  <c r="S24" i="25"/>
  <c r="GK24" i="25"/>
  <c r="GC24" i="25"/>
  <c r="FU24" i="25"/>
  <c r="FM24" i="25"/>
  <c r="FE24" i="25"/>
  <c r="EW24" i="25"/>
  <c r="EO24" i="25"/>
  <c r="EG24" i="25"/>
  <c r="DY24" i="25"/>
  <c r="DQ24" i="25"/>
  <c r="DI24" i="25"/>
  <c r="DA24" i="25"/>
  <c r="CS24" i="25"/>
  <c r="CK24" i="25"/>
  <c r="CC24" i="25"/>
  <c r="BU24" i="25"/>
  <c r="BM24" i="25"/>
  <c r="BE24" i="25"/>
  <c r="AW24" i="25"/>
  <c r="AO24" i="25"/>
  <c r="AG24" i="25"/>
  <c r="Y24" i="25"/>
  <c r="GI24" i="25"/>
  <c r="GA24" i="25"/>
  <c r="FS24" i="25"/>
  <c r="FK24" i="25"/>
  <c r="FC24" i="25"/>
  <c r="EU24" i="25"/>
  <c r="EM24" i="25"/>
  <c r="EE24" i="25"/>
  <c r="DW24" i="25"/>
  <c r="DO24" i="25"/>
  <c r="DG24" i="25"/>
  <c r="CY24" i="25"/>
  <c r="CQ24" i="25"/>
  <c r="CI24" i="25"/>
  <c r="CA24" i="25"/>
  <c r="BS24" i="25"/>
  <c r="BK24" i="25"/>
  <c r="BC24" i="25"/>
  <c r="AU24" i="25"/>
  <c r="AM24" i="25"/>
  <c r="AE24" i="25"/>
  <c r="W24" i="25"/>
  <c r="GG24" i="25"/>
  <c r="FA24" i="25"/>
  <c r="DU24" i="25"/>
  <c r="CO24" i="25"/>
  <c r="BI24" i="25"/>
  <c r="AC24" i="25"/>
  <c r="FY24" i="25"/>
  <c r="ES24" i="25"/>
  <c r="DM24" i="25"/>
  <c r="CG24" i="25"/>
  <c r="BA24" i="25"/>
  <c r="U24" i="25"/>
  <c r="FQ24" i="25"/>
  <c r="EK24" i="25"/>
  <c r="DE24" i="25"/>
  <c r="BY24" i="25"/>
  <c r="AS24" i="25"/>
  <c r="GM28" i="25"/>
  <c r="GI28" i="25"/>
  <c r="GE28" i="25"/>
  <c r="GA28" i="25"/>
  <c r="FW28" i="25"/>
  <c r="FS28" i="25"/>
  <c r="FO28" i="25"/>
  <c r="FK28" i="25"/>
  <c r="GP28" i="25"/>
  <c r="GL28" i="25"/>
  <c r="GH28" i="25"/>
  <c r="GD28" i="25"/>
  <c r="FZ28" i="25"/>
  <c r="FV28" i="25"/>
  <c r="FR28" i="25"/>
  <c r="FN28" i="25"/>
  <c r="FJ28" i="25"/>
  <c r="FF28" i="25"/>
  <c r="FB28" i="25"/>
  <c r="GO28" i="25"/>
  <c r="GK28" i="25"/>
  <c r="GG28" i="25"/>
  <c r="GC28" i="25"/>
  <c r="FY28" i="25"/>
  <c r="FU28" i="25"/>
  <c r="FQ28" i="25"/>
  <c r="FM28" i="25"/>
  <c r="FI28" i="25"/>
  <c r="FE28" i="25"/>
  <c r="FA28" i="25"/>
  <c r="GN28" i="25"/>
  <c r="FX28" i="25"/>
  <c r="FH28" i="25"/>
  <c r="EZ28" i="25"/>
  <c r="EV28" i="25"/>
  <c r="ER28" i="25"/>
  <c r="EN28" i="25"/>
  <c r="EJ28" i="25"/>
  <c r="EF28" i="25"/>
  <c r="EB28" i="25"/>
  <c r="DX28" i="25"/>
  <c r="DT28" i="25"/>
  <c r="DP28" i="25"/>
  <c r="DL28" i="25"/>
  <c r="DH28" i="25"/>
  <c r="DD28" i="25"/>
  <c r="CZ28" i="25"/>
  <c r="CV28" i="25"/>
  <c r="CR28" i="25"/>
  <c r="CN28" i="25"/>
  <c r="CJ28" i="25"/>
  <c r="CF28" i="25"/>
  <c r="CB28" i="25"/>
  <c r="BX28" i="25"/>
  <c r="BT28" i="25"/>
  <c r="BP28" i="25"/>
  <c r="BL28" i="25"/>
  <c r="BH28" i="25"/>
  <c r="BD28" i="25"/>
  <c r="AZ28" i="25"/>
  <c r="AV28" i="25"/>
  <c r="AR28" i="25"/>
  <c r="AN28" i="25"/>
  <c r="AJ28" i="25"/>
  <c r="AF28" i="25"/>
  <c r="AB28" i="25"/>
  <c r="X28" i="25"/>
  <c r="T28" i="25"/>
  <c r="GJ28" i="25"/>
  <c r="FT28" i="25"/>
  <c r="FG28" i="25"/>
  <c r="EY28" i="25"/>
  <c r="EU28" i="25"/>
  <c r="EQ28" i="25"/>
  <c r="EM28" i="25"/>
  <c r="EI28" i="25"/>
  <c r="EE28" i="25"/>
  <c r="EA28" i="25"/>
  <c r="DW28" i="25"/>
  <c r="DS28" i="25"/>
  <c r="DO28" i="25"/>
  <c r="DK28" i="25"/>
  <c r="DG28" i="25"/>
  <c r="DC28" i="25"/>
  <c r="CY28" i="25"/>
  <c r="CU28" i="25"/>
  <c r="CQ28" i="25"/>
  <c r="CM28" i="25"/>
  <c r="CI28" i="25"/>
  <c r="CE28" i="25"/>
  <c r="CA28" i="25"/>
  <c r="BW28" i="25"/>
  <c r="BS28" i="25"/>
  <c r="BO28" i="25"/>
  <c r="BK28" i="25"/>
  <c r="BG28" i="25"/>
  <c r="BC28" i="25"/>
  <c r="GF28" i="25"/>
  <c r="FP28" i="25"/>
  <c r="FD28" i="25"/>
  <c r="EX28" i="25"/>
  <c r="ET28" i="25"/>
  <c r="EP28" i="25"/>
  <c r="EL28" i="25"/>
  <c r="EH28" i="25"/>
  <c r="ED28" i="25"/>
  <c r="DZ28" i="25"/>
  <c r="DV28" i="25"/>
  <c r="DR28" i="25"/>
  <c r="DN28" i="25"/>
  <c r="DJ28" i="25"/>
  <c r="DF28" i="25"/>
  <c r="DB28" i="25"/>
  <c r="CX28" i="25"/>
  <c r="CT28" i="25"/>
  <c r="CP28" i="25"/>
  <c r="CL28" i="25"/>
  <c r="CH28" i="25"/>
  <c r="CD28" i="25"/>
  <c r="BZ28" i="25"/>
  <c r="BV28" i="25"/>
  <c r="BR28" i="25"/>
  <c r="BN28" i="25"/>
  <c r="BJ28" i="25"/>
  <c r="BF28" i="25"/>
  <c r="BB28" i="25"/>
  <c r="AX28" i="25"/>
  <c r="AT28" i="25"/>
  <c r="AP28" i="25"/>
  <c r="AL28" i="25"/>
  <c r="AH28" i="25"/>
  <c r="AD28" i="25"/>
  <c r="Z28" i="25"/>
  <c r="V28" i="25"/>
  <c r="FL28" i="25"/>
  <c r="EO28" i="25"/>
  <c r="DY28" i="25"/>
  <c r="DI28" i="25"/>
  <c r="CS28" i="25"/>
  <c r="CC28" i="25"/>
  <c r="BM28" i="25"/>
  <c r="AY28" i="25"/>
  <c r="AQ28" i="25"/>
  <c r="AI28" i="25"/>
  <c r="AA28" i="25"/>
  <c r="S28" i="25"/>
  <c r="FC28" i="25"/>
  <c r="EK28" i="25"/>
  <c r="DU28" i="25"/>
  <c r="DE28" i="25"/>
  <c r="CO28" i="25"/>
  <c r="BY28" i="25"/>
  <c r="BI28" i="25"/>
  <c r="AW28" i="25"/>
  <c r="AO28" i="25"/>
  <c r="AG28" i="25"/>
  <c r="Y28" i="25"/>
  <c r="EW28" i="25"/>
  <c r="EG28" i="25"/>
  <c r="DQ28" i="25"/>
  <c r="DA28" i="25"/>
  <c r="CK28" i="25"/>
  <c r="BU28" i="25"/>
  <c r="BE28" i="25"/>
  <c r="AU28" i="25"/>
  <c r="AM28" i="25"/>
  <c r="AE28" i="25"/>
  <c r="W28" i="25"/>
  <c r="GB28" i="25"/>
  <c r="CW28" i="25"/>
  <c r="AS28" i="25"/>
  <c r="ES28" i="25"/>
  <c r="CG28" i="25"/>
  <c r="AK28" i="25"/>
  <c r="EC28" i="25"/>
  <c r="BQ28" i="25"/>
  <c r="AC28" i="25"/>
  <c r="GN32" i="25"/>
  <c r="GJ32" i="25"/>
  <c r="GF32" i="25"/>
  <c r="GB32" i="25"/>
  <c r="FX32" i="25"/>
  <c r="FT32" i="25"/>
  <c r="FP32" i="25"/>
  <c r="FL32" i="25"/>
  <c r="FH32" i="25"/>
  <c r="FD32" i="25"/>
  <c r="EZ32" i="25"/>
  <c r="EV32" i="25"/>
  <c r="ER32" i="25"/>
  <c r="EN32" i="25"/>
  <c r="EJ32" i="25"/>
  <c r="EF32" i="25"/>
  <c r="EB32" i="25"/>
  <c r="DX32" i="25"/>
  <c r="DT32" i="25"/>
  <c r="DP32" i="25"/>
  <c r="DL32" i="25"/>
  <c r="DH32" i="25"/>
  <c r="DD32" i="25"/>
  <c r="CZ32" i="25"/>
  <c r="CV32" i="25"/>
  <c r="CR32" i="25"/>
  <c r="CN32" i="25"/>
  <c r="CJ32" i="25"/>
  <c r="CF32" i="25"/>
  <c r="CB32" i="25"/>
  <c r="BX32" i="25"/>
  <c r="BT32" i="25"/>
  <c r="BP32" i="25"/>
  <c r="BL32" i="25"/>
  <c r="BH32" i="25"/>
  <c r="BD32" i="25"/>
  <c r="AZ32" i="25"/>
  <c r="AV32" i="25"/>
  <c r="AR32" i="25"/>
  <c r="AN32" i="25"/>
  <c r="AJ32" i="25"/>
  <c r="AF32" i="25"/>
  <c r="AB32" i="25"/>
  <c r="X32" i="25"/>
  <c r="T32" i="25"/>
  <c r="GM32" i="25"/>
  <c r="GI32" i="25"/>
  <c r="GE32" i="25"/>
  <c r="GA32" i="25"/>
  <c r="FW32" i="25"/>
  <c r="FS32" i="25"/>
  <c r="FO32" i="25"/>
  <c r="FK32" i="25"/>
  <c r="FG32" i="25"/>
  <c r="FC32" i="25"/>
  <c r="EY32" i="25"/>
  <c r="EU32" i="25"/>
  <c r="EQ32" i="25"/>
  <c r="EM32" i="25"/>
  <c r="EI32" i="25"/>
  <c r="EE32" i="25"/>
  <c r="EA32" i="25"/>
  <c r="DW32" i="25"/>
  <c r="DS32" i="25"/>
  <c r="DO32" i="25"/>
  <c r="DK32" i="25"/>
  <c r="DG32" i="25"/>
  <c r="DC32" i="25"/>
  <c r="CY32" i="25"/>
  <c r="CU32" i="25"/>
  <c r="CQ32" i="25"/>
  <c r="CM32" i="25"/>
  <c r="CI32" i="25"/>
  <c r="CE32" i="25"/>
  <c r="CA32" i="25"/>
  <c r="BW32" i="25"/>
  <c r="BS32" i="25"/>
  <c r="BO32" i="25"/>
  <c r="BK32" i="25"/>
  <c r="BG32" i="25"/>
  <c r="BC32" i="25"/>
  <c r="AY32" i="25"/>
  <c r="AU32" i="25"/>
  <c r="AQ32" i="25"/>
  <c r="AM32" i="25"/>
  <c r="AI32" i="25"/>
  <c r="AE32" i="25"/>
  <c r="AA32" i="25"/>
  <c r="W32" i="25"/>
  <c r="S32" i="25"/>
  <c r="GP32" i="25"/>
  <c r="GL32" i="25"/>
  <c r="GH32" i="25"/>
  <c r="GD32" i="25"/>
  <c r="FZ32" i="25"/>
  <c r="FV32" i="25"/>
  <c r="FR32" i="25"/>
  <c r="FN32" i="25"/>
  <c r="FJ32" i="25"/>
  <c r="FF32" i="25"/>
  <c r="FB32" i="25"/>
  <c r="EX32" i="25"/>
  <c r="ET32" i="25"/>
  <c r="EP32" i="25"/>
  <c r="EL32" i="25"/>
  <c r="EH32" i="25"/>
  <c r="ED32" i="25"/>
  <c r="DZ32" i="25"/>
  <c r="DV32" i="25"/>
  <c r="DR32" i="25"/>
  <c r="DN32" i="25"/>
  <c r="DJ32" i="25"/>
  <c r="DF32" i="25"/>
  <c r="DB32" i="25"/>
  <c r="CX32" i="25"/>
  <c r="CT32" i="25"/>
  <c r="CP32" i="25"/>
  <c r="CL32" i="25"/>
  <c r="CH32" i="25"/>
  <c r="CD32" i="25"/>
  <c r="BZ32" i="25"/>
  <c r="BV32" i="25"/>
  <c r="BR32" i="25"/>
  <c r="BN32" i="25"/>
  <c r="BJ32" i="25"/>
  <c r="BF32" i="25"/>
  <c r="BB32" i="25"/>
  <c r="AX32" i="25"/>
  <c r="AT32" i="25"/>
  <c r="AP32" i="25"/>
  <c r="AL32" i="25"/>
  <c r="AH32" i="25"/>
  <c r="AD32" i="25"/>
  <c r="Z32" i="25"/>
  <c r="V32" i="25"/>
  <c r="GK32" i="25"/>
  <c r="FU32" i="25"/>
  <c r="FE32" i="25"/>
  <c r="EO32" i="25"/>
  <c r="DY32" i="25"/>
  <c r="DI32" i="25"/>
  <c r="CS32" i="25"/>
  <c r="CC32" i="25"/>
  <c r="BM32" i="25"/>
  <c r="AW32" i="25"/>
  <c r="AG32" i="25"/>
  <c r="GG32" i="25"/>
  <c r="FQ32" i="25"/>
  <c r="FA32" i="25"/>
  <c r="EK32" i="25"/>
  <c r="DU32" i="25"/>
  <c r="DE32" i="25"/>
  <c r="CO32" i="25"/>
  <c r="BY32" i="25"/>
  <c r="BI32" i="25"/>
  <c r="AS32" i="25"/>
  <c r="AC32" i="25"/>
  <c r="GC32" i="25"/>
  <c r="FM32" i="25"/>
  <c r="EW32" i="25"/>
  <c r="EG32" i="25"/>
  <c r="DQ32" i="25"/>
  <c r="DA32" i="25"/>
  <c r="CK32" i="25"/>
  <c r="BU32" i="25"/>
  <c r="BE32" i="25"/>
  <c r="AO32" i="25"/>
  <c r="Y32" i="25"/>
  <c r="ES32" i="25"/>
  <c r="CG32" i="25"/>
  <c r="U32" i="25"/>
  <c r="GO32" i="25"/>
  <c r="EC32" i="25"/>
  <c r="BQ32" i="25"/>
  <c r="FY32" i="25"/>
  <c r="DM32" i="25"/>
  <c r="BA32" i="25"/>
  <c r="FI32" i="25"/>
  <c r="CW32" i="25"/>
  <c r="AK32" i="25"/>
  <c r="GO36" i="25"/>
  <c r="GK36" i="25"/>
  <c r="GG36" i="25"/>
  <c r="GC36" i="25"/>
  <c r="FY36" i="25"/>
  <c r="FU36" i="25"/>
  <c r="FQ36" i="25"/>
  <c r="FM36" i="25"/>
  <c r="FI36" i="25"/>
  <c r="FE36" i="25"/>
  <c r="FA36" i="25"/>
  <c r="EW36" i="25"/>
  <c r="ES36" i="25"/>
  <c r="EO36" i="25"/>
  <c r="EK36" i="25"/>
  <c r="EG36" i="25"/>
  <c r="EC36" i="25"/>
  <c r="DY36" i="25"/>
  <c r="DU36" i="25"/>
  <c r="DQ36" i="25"/>
  <c r="DM36" i="25"/>
  <c r="DI36" i="25"/>
  <c r="DE36" i="25"/>
  <c r="DA36" i="25"/>
  <c r="CW36" i="25"/>
  <c r="CS36" i="25"/>
  <c r="CO36" i="25"/>
  <c r="CK36" i="25"/>
  <c r="CG36" i="25"/>
  <c r="CC36" i="25"/>
  <c r="GN36" i="25"/>
  <c r="GJ36" i="25"/>
  <c r="GF36" i="25"/>
  <c r="GB36" i="25"/>
  <c r="FX36" i="25"/>
  <c r="FT36" i="25"/>
  <c r="FP36" i="25"/>
  <c r="FL36" i="25"/>
  <c r="FH36" i="25"/>
  <c r="FD36" i="25"/>
  <c r="EZ36" i="25"/>
  <c r="EV36" i="25"/>
  <c r="ER36" i="25"/>
  <c r="EN36" i="25"/>
  <c r="EJ36" i="25"/>
  <c r="EF36" i="25"/>
  <c r="EB36" i="25"/>
  <c r="DX36" i="25"/>
  <c r="DT36" i="25"/>
  <c r="DP36" i="25"/>
  <c r="DL36" i="25"/>
  <c r="GM36" i="25"/>
  <c r="GI36" i="25"/>
  <c r="GE36" i="25"/>
  <c r="GA36" i="25"/>
  <c r="FW36" i="25"/>
  <c r="FS36" i="25"/>
  <c r="FO36" i="25"/>
  <c r="FK36" i="25"/>
  <c r="FG36" i="25"/>
  <c r="FC36" i="25"/>
  <c r="EY36" i="25"/>
  <c r="EU36" i="25"/>
  <c r="EQ36" i="25"/>
  <c r="EM36" i="25"/>
  <c r="EI36" i="25"/>
  <c r="EE36" i="25"/>
  <c r="EA36" i="25"/>
  <c r="DW36" i="25"/>
  <c r="DS36" i="25"/>
  <c r="DO36" i="25"/>
  <c r="DK36" i="25"/>
  <c r="DG36" i="25"/>
  <c r="DC36" i="25"/>
  <c r="CY36" i="25"/>
  <c r="CU36" i="25"/>
  <c r="CQ36" i="25"/>
  <c r="CM36" i="25"/>
  <c r="CI36" i="25"/>
  <c r="CE36" i="25"/>
  <c r="CA36" i="25"/>
  <c r="GP36" i="25"/>
  <c r="FZ36" i="25"/>
  <c r="FJ36" i="25"/>
  <c r="ET36" i="25"/>
  <c r="ED36" i="25"/>
  <c r="DN36" i="25"/>
  <c r="DD36" i="25"/>
  <c r="CV36" i="25"/>
  <c r="CN36" i="25"/>
  <c r="CF36" i="25"/>
  <c r="BY36" i="25"/>
  <c r="BU36" i="25"/>
  <c r="BQ36" i="25"/>
  <c r="BM36" i="25"/>
  <c r="BI36" i="25"/>
  <c r="BE36" i="25"/>
  <c r="BA36" i="25"/>
  <c r="AW36" i="25"/>
  <c r="AS36" i="25"/>
  <c r="AO36" i="25"/>
  <c r="AK36" i="25"/>
  <c r="AG36" i="25"/>
  <c r="AC36" i="25"/>
  <c r="Y36" i="25"/>
  <c r="U36" i="25"/>
  <c r="GL36" i="25"/>
  <c r="FV36" i="25"/>
  <c r="FF36" i="25"/>
  <c r="EP36" i="25"/>
  <c r="DZ36" i="25"/>
  <c r="DJ36" i="25"/>
  <c r="DB36" i="25"/>
  <c r="CT36" i="25"/>
  <c r="CL36" i="25"/>
  <c r="CD36" i="25"/>
  <c r="BX36" i="25"/>
  <c r="BT36" i="25"/>
  <c r="BP36" i="25"/>
  <c r="BL36" i="25"/>
  <c r="BH36" i="25"/>
  <c r="BD36" i="25"/>
  <c r="AZ36" i="25"/>
  <c r="AV36" i="25"/>
  <c r="AR36" i="25"/>
  <c r="AN36" i="25"/>
  <c r="AJ36" i="25"/>
  <c r="AF36" i="25"/>
  <c r="AB36" i="25"/>
  <c r="X36" i="25"/>
  <c r="T36" i="25"/>
  <c r="GH36" i="25"/>
  <c r="FR36" i="25"/>
  <c r="FB36" i="25"/>
  <c r="EL36" i="25"/>
  <c r="DV36" i="25"/>
  <c r="DH36" i="25"/>
  <c r="CZ36" i="25"/>
  <c r="CR36" i="25"/>
  <c r="CJ36" i="25"/>
  <c r="CB36" i="25"/>
  <c r="BW36" i="25"/>
  <c r="BS36" i="25"/>
  <c r="BO36" i="25"/>
  <c r="BK36" i="25"/>
  <c r="BG36" i="25"/>
  <c r="BC36" i="25"/>
  <c r="AY36" i="25"/>
  <c r="AU36" i="25"/>
  <c r="AQ36" i="25"/>
  <c r="AM36" i="25"/>
  <c r="AI36" i="25"/>
  <c r="AE36" i="25"/>
  <c r="AA36" i="25"/>
  <c r="W36" i="25"/>
  <c r="S36" i="25"/>
  <c r="EX36" i="25"/>
  <c r="CX36" i="25"/>
  <c r="BV36" i="25"/>
  <c r="BF36" i="25"/>
  <c r="AP36" i="25"/>
  <c r="Z36" i="25"/>
  <c r="EH36" i="25"/>
  <c r="CP36" i="25"/>
  <c r="BR36" i="25"/>
  <c r="BB36" i="25"/>
  <c r="AL36" i="25"/>
  <c r="V36" i="25"/>
  <c r="GD36" i="25"/>
  <c r="DR36" i="25"/>
  <c r="CH36" i="25"/>
  <c r="BN36" i="25"/>
  <c r="AX36" i="25"/>
  <c r="AH36" i="25"/>
  <c r="BJ36" i="25"/>
  <c r="FN36" i="25"/>
  <c r="AT36" i="25"/>
  <c r="DF36" i="25"/>
  <c r="AD36" i="25"/>
  <c r="BZ36" i="25"/>
  <c r="S12" i="25"/>
  <c r="W12" i="25"/>
  <c r="AA12" i="25"/>
  <c r="AE12" i="25"/>
  <c r="AI12" i="25"/>
  <c r="AM12" i="25"/>
  <c r="AQ12" i="25"/>
  <c r="AU12" i="25"/>
  <c r="AY12" i="25"/>
  <c r="BC12" i="25"/>
  <c r="BG12" i="25"/>
  <c r="BK12" i="25"/>
  <c r="BO12" i="25"/>
  <c r="BS12" i="25"/>
  <c r="BW12" i="25"/>
  <c r="CA12" i="25"/>
  <c r="CE12" i="25"/>
  <c r="CI12" i="25"/>
  <c r="CM12" i="25"/>
  <c r="CQ12" i="25"/>
  <c r="CU12" i="25"/>
  <c r="CY12" i="25"/>
  <c r="DC12" i="25"/>
  <c r="DG12" i="25"/>
  <c r="DK12" i="25"/>
  <c r="DO12" i="25"/>
  <c r="DS12" i="25"/>
  <c r="DW12" i="25"/>
  <c r="EA12" i="25"/>
  <c r="EE12" i="25"/>
  <c r="EI12" i="25"/>
  <c r="EM12" i="25"/>
  <c r="EQ12" i="25"/>
  <c r="EU12" i="25"/>
  <c r="EY12" i="25"/>
  <c r="FC12" i="25"/>
  <c r="FG12" i="25"/>
  <c r="FK12" i="25"/>
  <c r="FO12" i="25"/>
  <c r="FS12" i="25"/>
  <c r="FW12" i="25"/>
  <c r="GA12" i="25"/>
  <c r="GE12" i="25"/>
  <c r="GI12" i="25"/>
  <c r="S13" i="25"/>
  <c r="W13" i="25"/>
  <c r="AA13" i="25"/>
  <c r="AE13" i="25"/>
  <c r="AI13" i="25"/>
  <c r="AM13" i="25"/>
  <c r="AQ13" i="25"/>
  <c r="AU13" i="25"/>
  <c r="AY13" i="25"/>
  <c r="BC13" i="25"/>
  <c r="BH13" i="25"/>
  <c r="BT13" i="25"/>
  <c r="CJ13" i="25"/>
  <c r="CZ13" i="25"/>
  <c r="DP13" i="25"/>
  <c r="EF13" i="25"/>
  <c r="EV13" i="25"/>
  <c r="FL13" i="25"/>
  <c r="GB13" i="25"/>
  <c r="T14" i="25"/>
  <c r="AJ14" i="25"/>
  <c r="AZ14" i="25"/>
  <c r="BP14" i="25"/>
  <c r="CF14" i="25"/>
  <c r="CV14" i="25"/>
  <c r="DL14" i="25"/>
  <c r="EB14" i="25"/>
  <c r="ER14" i="25"/>
  <c r="FH14" i="25"/>
  <c r="FX14" i="25"/>
  <c r="GN14" i="25"/>
  <c r="AB16" i="25"/>
  <c r="AR16" i="25"/>
  <c r="BH16" i="25"/>
  <c r="BX16" i="25"/>
  <c r="CN16" i="25"/>
  <c r="DD16" i="25"/>
  <c r="DT16" i="25"/>
  <c r="EJ16" i="25"/>
  <c r="EZ16" i="25"/>
  <c r="FP16" i="25"/>
  <c r="GF16" i="25"/>
  <c r="X17" i="25"/>
  <c r="AN17" i="25"/>
  <c r="BG17" i="25"/>
  <c r="CB17" i="25"/>
  <c r="CX17" i="25"/>
  <c r="DS17" i="25"/>
  <c r="EN17" i="25"/>
  <c r="FJ17" i="25"/>
  <c r="GE17" i="25"/>
  <c r="AI18" i="25"/>
  <c r="BO18" i="25"/>
  <c r="CU18" i="25"/>
  <c r="EA18" i="25"/>
  <c r="FG18" i="25"/>
  <c r="GM18" i="25"/>
  <c r="AA20" i="25"/>
  <c r="BG20" i="25"/>
  <c r="CM20" i="25"/>
  <c r="DS20" i="25"/>
  <c r="EY20" i="25"/>
  <c r="GE20" i="25"/>
  <c r="AM21" i="25"/>
  <c r="BS21" i="25"/>
  <c r="CY21" i="25"/>
  <c r="EE21" i="25"/>
  <c r="FK21" i="25"/>
  <c r="S22" i="25"/>
  <c r="BC22" i="25"/>
  <c r="DO22" i="25"/>
  <c r="GA22" i="25"/>
  <c r="BQ24" i="25"/>
  <c r="GO24" i="25"/>
  <c r="EO25" i="25"/>
  <c r="CO26" i="25"/>
  <c r="BP29" i="25"/>
  <c r="V4" i="25"/>
  <c r="U3" i="25"/>
  <c r="U6" i="25" s="1"/>
  <c r="T3" i="25"/>
  <c r="U11" i="23"/>
  <c r="U11" i="22"/>
  <c r="Y11" i="23"/>
  <c r="Y11" i="22"/>
  <c r="AC11" i="23"/>
  <c r="AC11" i="22"/>
  <c r="AG11" i="23"/>
  <c r="AG11" i="22"/>
  <c r="AK11" i="23"/>
  <c r="AK11" i="22"/>
  <c r="AO11" i="23"/>
  <c r="AO11" i="22"/>
  <c r="AS11" i="23"/>
  <c r="AS11" i="22"/>
  <c r="BA11" i="23"/>
  <c r="BA11" i="22"/>
  <c r="BE11" i="23"/>
  <c r="BE11" i="22"/>
  <c r="BI11" i="23"/>
  <c r="BI11" i="22"/>
  <c r="BM11" i="23"/>
  <c r="BM11" i="22"/>
  <c r="BY11" i="23"/>
  <c r="BY11" i="22"/>
  <c r="CG11" i="23"/>
  <c r="CG11" i="22"/>
  <c r="CK11" i="23"/>
  <c r="CK11" i="22"/>
  <c r="CO11" i="23"/>
  <c r="CO11" i="22"/>
  <c r="CS11" i="23"/>
  <c r="CS11" i="22"/>
  <c r="CW11" i="23"/>
  <c r="CW11" i="22"/>
  <c r="DA11" i="23"/>
  <c r="DA11" i="22"/>
  <c r="DE11" i="23"/>
  <c r="DE11" i="22"/>
  <c r="DM11" i="23"/>
  <c r="DM11" i="22"/>
  <c r="DQ11" i="23"/>
  <c r="DQ11" i="22"/>
  <c r="DU11" i="23"/>
  <c r="DU11" i="22"/>
  <c r="DY11" i="23"/>
  <c r="DY11" i="22"/>
  <c r="EK11" i="23"/>
  <c r="EK11" i="22"/>
  <c r="ES11" i="23"/>
  <c r="ES11" i="22"/>
  <c r="EW11" i="23"/>
  <c r="EW11" i="22"/>
  <c r="FA11" i="23"/>
  <c r="FA11" i="22"/>
  <c r="FE11" i="23"/>
  <c r="FE11" i="22"/>
  <c r="FI11" i="23"/>
  <c r="FI11" i="22"/>
  <c r="FM11" i="23"/>
  <c r="FM11" i="22"/>
  <c r="FQ11" i="23"/>
  <c r="FQ11" i="22"/>
  <c r="GC11" i="23"/>
  <c r="GC11" i="22"/>
  <c r="GG11" i="23"/>
  <c r="GG11" i="22"/>
  <c r="GK11" i="23"/>
  <c r="GK11" i="22"/>
  <c r="GO11" i="23"/>
  <c r="GO11" i="22"/>
  <c r="U12" i="23"/>
  <c r="U12" i="22"/>
  <c r="Y12" i="23"/>
  <c r="Y12" i="22"/>
  <c r="AC12" i="23"/>
  <c r="AC12" i="22"/>
  <c r="AG12" i="23"/>
  <c r="AG12" i="22"/>
  <c r="AK12" i="23"/>
  <c r="AK12" i="22"/>
  <c r="AO12" i="23"/>
  <c r="AO12" i="22"/>
  <c r="AS12" i="23"/>
  <c r="AS12" i="22"/>
  <c r="AW12" i="23"/>
  <c r="AW12" i="22"/>
  <c r="BA12" i="23"/>
  <c r="BA12" i="22"/>
  <c r="BE12" i="23"/>
  <c r="BE12" i="22"/>
  <c r="BI12" i="23"/>
  <c r="BI12" i="22"/>
  <c r="BM12" i="23"/>
  <c r="BM12" i="22"/>
  <c r="BQ12" i="23"/>
  <c r="BQ12" i="22"/>
  <c r="BU12" i="23"/>
  <c r="BU12" i="22"/>
  <c r="BY12" i="23"/>
  <c r="BY12" i="22"/>
  <c r="CC12" i="23"/>
  <c r="CC12" i="22"/>
  <c r="CG12" i="23"/>
  <c r="CG12" i="22"/>
  <c r="CK12" i="23"/>
  <c r="CK12" i="22"/>
  <c r="CO12" i="23"/>
  <c r="CO12" i="22"/>
  <c r="CS12" i="23"/>
  <c r="CS12" i="22"/>
  <c r="CW12" i="23"/>
  <c r="CW12" i="22"/>
  <c r="DA12" i="23"/>
  <c r="DA12" i="22"/>
  <c r="DE12" i="23"/>
  <c r="DE12" i="22"/>
  <c r="DI12" i="23"/>
  <c r="DI12" i="22"/>
  <c r="DM12" i="23"/>
  <c r="DM12" i="22"/>
  <c r="DQ12" i="23"/>
  <c r="DQ12" i="22"/>
  <c r="DU12" i="23"/>
  <c r="DU12" i="22"/>
  <c r="DY12" i="23"/>
  <c r="DY12" i="22"/>
  <c r="EC12" i="23"/>
  <c r="EC12" i="22"/>
  <c r="EG12" i="23"/>
  <c r="EG12" i="22"/>
  <c r="EK12" i="23"/>
  <c r="EK12" i="22"/>
  <c r="EO12" i="23"/>
  <c r="EO12" i="22"/>
  <c r="ES12" i="23"/>
  <c r="ES12" i="22"/>
  <c r="EW12" i="23"/>
  <c r="EW12" i="22"/>
  <c r="FA12" i="23"/>
  <c r="FA12" i="22"/>
  <c r="FE12" i="23"/>
  <c r="FE12" i="22"/>
  <c r="FI12" i="23"/>
  <c r="FI12" i="22"/>
  <c r="FM12" i="23"/>
  <c r="FM12" i="22"/>
  <c r="FQ12" i="23"/>
  <c r="FQ12" i="22"/>
  <c r="FU12" i="23"/>
  <c r="FU12" i="22"/>
  <c r="FY12" i="23"/>
  <c r="FY12" i="22"/>
  <c r="GC12" i="23"/>
  <c r="GC12" i="22"/>
  <c r="GG12" i="23"/>
  <c r="GG12" i="22"/>
  <c r="GK12" i="23"/>
  <c r="GK12" i="22"/>
  <c r="GO12" i="23"/>
  <c r="GO12" i="22"/>
  <c r="U13" i="23"/>
  <c r="U13" i="22"/>
  <c r="Y13" i="23"/>
  <c r="Y13" i="22"/>
  <c r="AC13" i="23"/>
  <c r="AC13" i="22"/>
  <c r="AG13" i="23"/>
  <c r="AG13" i="22"/>
  <c r="AK13" i="23"/>
  <c r="AK13" i="22"/>
  <c r="AO13" i="23"/>
  <c r="AO13" i="22"/>
  <c r="AS13" i="23"/>
  <c r="AS13" i="22"/>
  <c r="AW13" i="23"/>
  <c r="AW13" i="22"/>
  <c r="BA13" i="23"/>
  <c r="BA13" i="22"/>
  <c r="BE13" i="23"/>
  <c r="BE13" i="22"/>
  <c r="BI13" i="23"/>
  <c r="BI13" i="22"/>
  <c r="BM13" i="23"/>
  <c r="BM13" i="22"/>
  <c r="BQ13" i="23"/>
  <c r="BQ13" i="22"/>
  <c r="BU13" i="23"/>
  <c r="BU13" i="22"/>
  <c r="BY13" i="23"/>
  <c r="BY13" i="22"/>
  <c r="CC13" i="23"/>
  <c r="CC13" i="22"/>
  <c r="CG13" i="23"/>
  <c r="CG13" i="22"/>
  <c r="CK13" i="23"/>
  <c r="CK13" i="22"/>
  <c r="CO13" i="23"/>
  <c r="CO13" i="22"/>
  <c r="CS13" i="23"/>
  <c r="CS13" i="22"/>
  <c r="CW13" i="23"/>
  <c r="CW13" i="22"/>
  <c r="DA13" i="23"/>
  <c r="DA13" i="22"/>
  <c r="DE13" i="23"/>
  <c r="DE13" i="22"/>
  <c r="DI13" i="23"/>
  <c r="DI13" i="22"/>
  <c r="DM13" i="23"/>
  <c r="DM13" i="22"/>
  <c r="DQ13" i="23"/>
  <c r="DQ13" i="22"/>
  <c r="DU13" i="23"/>
  <c r="DU13" i="22"/>
  <c r="DY13" i="23"/>
  <c r="DY13" i="22"/>
  <c r="EC13" i="23"/>
  <c r="EC13" i="22"/>
  <c r="EG13" i="23"/>
  <c r="EG13" i="22"/>
  <c r="EK13" i="23"/>
  <c r="EK13" i="22"/>
  <c r="EO13" i="23"/>
  <c r="EO13" i="22"/>
  <c r="ES13" i="23"/>
  <c r="ES13" i="22"/>
  <c r="EW13" i="23"/>
  <c r="EW13" i="22"/>
  <c r="FA13" i="23"/>
  <c r="FA13" i="22"/>
  <c r="FE13" i="23"/>
  <c r="FE13" i="22"/>
  <c r="FI13" i="23"/>
  <c r="FI13" i="22"/>
  <c r="FM13" i="23"/>
  <c r="FM13" i="22"/>
  <c r="FQ13" i="23"/>
  <c r="FQ13" i="22"/>
  <c r="FU13" i="23"/>
  <c r="FU13" i="22"/>
  <c r="FY13" i="23"/>
  <c r="FY13" i="22"/>
  <c r="GC13" i="23"/>
  <c r="GC13" i="22"/>
  <c r="GG13" i="23"/>
  <c r="GG13" i="22"/>
  <c r="GK13" i="23"/>
  <c r="GK13" i="22"/>
  <c r="GO13" i="23"/>
  <c r="GO13" i="22"/>
  <c r="U14" i="23"/>
  <c r="U14" i="22"/>
  <c r="Y14" i="23"/>
  <c r="Y14" i="22"/>
  <c r="AC14" i="23"/>
  <c r="AC14" i="22"/>
  <c r="AG14" i="23"/>
  <c r="AG14" i="22"/>
  <c r="AK14" i="23"/>
  <c r="AO14" i="23"/>
  <c r="AO14" i="22"/>
  <c r="AS14" i="23"/>
  <c r="AS14" i="22"/>
  <c r="AW14" i="23"/>
  <c r="AW14" i="22"/>
  <c r="BA14" i="23"/>
  <c r="BA14" i="22"/>
  <c r="BE14" i="23"/>
  <c r="BE14" i="22"/>
  <c r="BI14" i="23"/>
  <c r="BI14" i="22"/>
  <c r="BM14" i="23"/>
  <c r="BM14" i="22"/>
  <c r="BQ14" i="23"/>
  <c r="BU14" i="23"/>
  <c r="BU14" i="22"/>
  <c r="BY14" i="23"/>
  <c r="BY14" i="22"/>
  <c r="CC14" i="23"/>
  <c r="CC14" i="22"/>
  <c r="CG14" i="23"/>
  <c r="CG14" i="22"/>
  <c r="CK14" i="23"/>
  <c r="CK14" i="22"/>
  <c r="CO14" i="23"/>
  <c r="CO14" i="22"/>
  <c r="CS14" i="23"/>
  <c r="CS14" i="22"/>
  <c r="CW14" i="23"/>
  <c r="DA14" i="23"/>
  <c r="DA14" i="22"/>
  <c r="DE14" i="23"/>
  <c r="DE14" i="22"/>
  <c r="DI14" i="23"/>
  <c r="DI14" i="22"/>
  <c r="DM14" i="23"/>
  <c r="DM14" i="22"/>
  <c r="DQ14" i="23"/>
  <c r="DQ14" i="22"/>
  <c r="DU14" i="23"/>
  <c r="DU14" i="22"/>
  <c r="DY14" i="23"/>
  <c r="DY14" i="22"/>
  <c r="EC14" i="23"/>
  <c r="EG14" i="23"/>
  <c r="EG14" i="22"/>
  <c r="EK14" i="23"/>
  <c r="EK14" i="22"/>
  <c r="EO14" i="23"/>
  <c r="EO14" i="22"/>
  <c r="ES14" i="23"/>
  <c r="ES14" i="22"/>
  <c r="EW14" i="23"/>
  <c r="EW14" i="22"/>
  <c r="FA14" i="23"/>
  <c r="FA14" i="22"/>
  <c r="FE14" i="23"/>
  <c r="FE14" i="22"/>
  <c r="FI14" i="23"/>
  <c r="FM14" i="23"/>
  <c r="FM14" i="22"/>
  <c r="FQ14" i="23"/>
  <c r="FQ14" i="22"/>
  <c r="FU14" i="23"/>
  <c r="FU14" i="22"/>
  <c r="FY14" i="23"/>
  <c r="FY14" i="22"/>
  <c r="GC14" i="23"/>
  <c r="GC14" i="22"/>
  <c r="GG14" i="23"/>
  <c r="GG14" i="22"/>
  <c r="GK14" i="23"/>
  <c r="GK14" i="22"/>
  <c r="GO14" i="23"/>
  <c r="U15" i="23"/>
  <c r="U15" i="22"/>
  <c r="Y15" i="23"/>
  <c r="Y15" i="22"/>
  <c r="AC15" i="23"/>
  <c r="AC15" i="22"/>
  <c r="AG15" i="23"/>
  <c r="AG15" i="22"/>
  <c r="AK15" i="23"/>
  <c r="AK15" i="22"/>
  <c r="AO15" i="23"/>
  <c r="AO15" i="22"/>
  <c r="AS15" i="23"/>
  <c r="AS15" i="22"/>
  <c r="AW15" i="23"/>
  <c r="AW15" i="22"/>
  <c r="BA15" i="23"/>
  <c r="BA15" i="22"/>
  <c r="BE15" i="23"/>
  <c r="BE15" i="22"/>
  <c r="BI15" i="23"/>
  <c r="BI15" i="22"/>
  <c r="BM15" i="23"/>
  <c r="BM15" i="22"/>
  <c r="BQ15" i="23"/>
  <c r="BQ15" i="22"/>
  <c r="BU15" i="23"/>
  <c r="BU15" i="22"/>
  <c r="BY15" i="23"/>
  <c r="BY15" i="22"/>
  <c r="CC15" i="23"/>
  <c r="CC15" i="22"/>
  <c r="CG15" i="23"/>
  <c r="CG15" i="22"/>
  <c r="CK15" i="23"/>
  <c r="CK15" i="22"/>
  <c r="CO15" i="23"/>
  <c r="CO15" i="22"/>
  <c r="CS15" i="23"/>
  <c r="CS15" i="22"/>
  <c r="CW15" i="23"/>
  <c r="CW15" i="22"/>
  <c r="DA15" i="23"/>
  <c r="DA15" i="22"/>
  <c r="DE15" i="23"/>
  <c r="DE15" i="22"/>
  <c r="DI15" i="23"/>
  <c r="DI15" i="22"/>
  <c r="DM15" i="23"/>
  <c r="DM15" i="22"/>
  <c r="DQ15" i="23"/>
  <c r="DQ15" i="22"/>
  <c r="DU15" i="23"/>
  <c r="DU15" i="22"/>
  <c r="DY15" i="23"/>
  <c r="DY15" i="22"/>
  <c r="EC15" i="23"/>
  <c r="EC15" i="22"/>
  <c r="EG15" i="23"/>
  <c r="EG15" i="22"/>
  <c r="EK15" i="23"/>
  <c r="EK15" i="22"/>
  <c r="EO15" i="23"/>
  <c r="EO15" i="22"/>
  <c r="ES15" i="23"/>
  <c r="ES15" i="22"/>
  <c r="EW15" i="23"/>
  <c r="EW15" i="22"/>
  <c r="FA15" i="23"/>
  <c r="FA15" i="22"/>
  <c r="FE15" i="23"/>
  <c r="FE15" i="22"/>
  <c r="FI15" i="23"/>
  <c r="FI15" i="22"/>
  <c r="FM15" i="23"/>
  <c r="FM15" i="22"/>
  <c r="FQ15" i="23"/>
  <c r="FQ15" i="22"/>
  <c r="FU15" i="23"/>
  <c r="FU15" i="22"/>
  <c r="FY15" i="23"/>
  <c r="FY15" i="22"/>
  <c r="GC15" i="23"/>
  <c r="GC15" i="22"/>
  <c r="GG15" i="23"/>
  <c r="GG15" i="22"/>
  <c r="GK15" i="23"/>
  <c r="GK15" i="22"/>
  <c r="GO15" i="23"/>
  <c r="GO15" i="22"/>
  <c r="U16" i="23"/>
  <c r="U16" i="22"/>
  <c r="Y16" i="23"/>
  <c r="Y16" i="22"/>
  <c r="AC16" i="23"/>
  <c r="AC16" i="22"/>
  <c r="AG16" i="23"/>
  <c r="AG16" i="22"/>
  <c r="AK16" i="23"/>
  <c r="AK16" i="22"/>
  <c r="AO16" i="23"/>
  <c r="AO16" i="22"/>
  <c r="AS16" i="23"/>
  <c r="AS16" i="22"/>
  <c r="AW16" i="23"/>
  <c r="AW16" i="22"/>
  <c r="BA16" i="23"/>
  <c r="BA16" i="22"/>
  <c r="BE16" i="23"/>
  <c r="BE16" i="22"/>
  <c r="BI16" i="23"/>
  <c r="BI16" i="22"/>
  <c r="BM16" i="23"/>
  <c r="BM16" i="22"/>
  <c r="BQ16" i="23"/>
  <c r="BQ16" i="22"/>
  <c r="BU16" i="23"/>
  <c r="BU16" i="22"/>
  <c r="BY16" i="23"/>
  <c r="BY16" i="22"/>
  <c r="CC16" i="23"/>
  <c r="CC16" i="22"/>
  <c r="CG16" i="23"/>
  <c r="CG16" i="22"/>
  <c r="CK16" i="23"/>
  <c r="CK16" i="22"/>
  <c r="CO16" i="23"/>
  <c r="CO16" i="22"/>
  <c r="CS16" i="23"/>
  <c r="CS16" i="22"/>
  <c r="CW16" i="23"/>
  <c r="CW16" i="22"/>
  <c r="DA16" i="23"/>
  <c r="DA16" i="22"/>
  <c r="DE16" i="23"/>
  <c r="DE16" i="22"/>
  <c r="DI16" i="23"/>
  <c r="DI16" i="22"/>
  <c r="DM16" i="23"/>
  <c r="DM16" i="22"/>
  <c r="DQ16" i="23"/>
  <c r="DQ16" i="22"/>
  <c r="DU16" i="23"/>
  <c r="DU16" i="22"/>
  <c r="DY16" i="23"/>
  <c r="DY16" i="22"/>
  <c r="EC16" i="23"/>
  <c r="EC16" i="22"/>
  <c r="EG16" i="23"/>
  <c r="EG16" i="22"/>
  <c r="EK16" i="23"/>
  <c r="EK16" i="22"/>
  <c r="EO16" i="23"/>
  <c r="EO16" i="22"/>
  <c r="ES16" i="23"/>
  <c r="ES16" i="22"/>
  <c r="EW16" i="23"/>
  <c r="EW16" i="22"/>
  <c r="FA16" i="23"/>
  <c r="FA16" i="22"/>
  <c r="FE16" i="23"/>
  <c r="FE16" i="22"/>
  <c r="FI16" i="23"/>
  <c r="FI16" i="22"/>
  <c r="FM16" i="23"/>
  <c r="FM16" i="22"/>
  <c r="FQ16" i="23"/>
  <c r="FQ16" i="22"/>
  <c r="FU16" i="23"/>
  <c r="FU16" i="22"/>
  <c r="FY16" i="23"/>
  <c r="FY16" i="22"/>
  <c r="GC16" i="23"/>
  <c r="GC16" i="22"/>
  <c r="GG16" i="23"/>
  <c r="GG16" i="22"/>
  <c r="GK16" i="23"/>
  <c r="GK16" i="22"/>
  <c r="GO16" i="23"/>
  <c r="GO16" i="22"/>
  <c r="U17" i="23"/>
  <c r="U17" i="22"/>
  <c r="Y17" i="23"/>
  <c r="Y17" i="22"/>
  <c r="AC17" i="23"/>
  <c r="AC17" i="22"/>
  <c r="AG17" i="23"/>
  <c r="AG17" i="22"/>
  <c r="AK17" i="23"/>
  <c r="AK17" i="22"/>
  <c r="AO17" i="23"/>
  <c r="AO17" i="22"/>
  <c r="AS17" i="23"/>
  <c r="AS17" i="22"/>
  <c r="AW17" i="23"/>
  <c r="AW17" i="22"/>
  <c r="BA17" i="23"/>
  <c r="BA17" i="22"/>
  <c r="BE17" i="23"/>
  <c r="BE17" i="22"/>
  <c r="BI17" i="23"/>
  <c r="BI17" i="22"/>
  <c r="BM17" i="23"/>
  <c r="BM17" i="22"/>
  <c r="BQ17" i="23"/>
  <c r="BQ17" i="22"/>
  <c r="BU17" i="23"/>
  <c r="BU17" i="22"/>
  <c r="BY17" i="23"/>
  <c r="BY17" i="22"/>
  <c r="CC17" i="23"/>
  <c r="CC17" i="22"/>
  <c r="CG17" i="23"/>
  <c r="CG17" i="22"/>
  <c r="CK17" i="23"/>
  <c r="CK17" i="22"/>
  <c r="CO17" i="23"/>
  <c r="CO17" i="22"/>
  <c r="CS17" i="23"/>
  <c r="CS17" i="22"/>
  <c r="CW17" i="23"/>
  <c r="CW17" i="22"/>
  <c r="DA17" i="23"/>
  <c r="DA17" i="22"/>
  <c r="DE17" i="23"/>
  <c r="DE17" i="22"/>
  <c r="DI17" i="23"/>
  <c r="DI17" i="22"/>
  <c r="DM17" i="23"/>
  <c r="DM17" i="22"/>
  <c r="DQ17" i="23"/>
  <c r="DQ17" i="22"/>
  <c r="DU17" i="23"/>
  <c r="DU17" i="22"/>
  <c r="DY17" i="23"/>
  <c r="DY17" i="22"/>
  <c r="EC17" i="23"/>
  <c r="EC17" i="22"/>
  <c r="EG17" i="23"/>
  <c r="EG17" i="22"/>
  <c r="EK17" i="23"/>
  <c r="EK17" i="22"/>
  <c r="EO17" i="23"/>
  <c r="EO17" i="22"/>
  <c r="ES17" i="23"/>
  <c r="ES17" i="22"/>
  <c r="EW17" i="23"/>
  <c r="EW17" i="22"/>
  <c r="FA17" i="23"/>
  <c r="FA17" i="22"/>
  <c r="FE17" i="23"/>
  <c r="FE17" i="22"/>
  <c r="FI17" i="23"/>
  <c r="FI17" i="22"/>
  <c r="FM17" i="23"/>
  <c r="FM17" i="22"/>
  <c r="FQ17" i="23"/>
  <c r="FQ17" i="22"/>
  <c r="FU17" i="23"/>
  <c r="FU17" i="22"/>
  <c r="FY17" i="23"/>
  <c r="FY17" i="22"/>
  <c r="GC17" i="23"/>
  <c r="GC17" i="22"/>
  <c r="GG17" i="23"/>
  <c r="GG17" i="22"/>
  <c r="GK17" i="23"/>
  <c r="GK17" i="22"/>
  <c r="GO17" i="23"/>
  <c r="GO17" i="22"/>
  <c r="U18" i="23"/>
  <c r="U18" i="22"/>
  <c r="Y18" i="23"/>
  <c r="Y18" i="22"/>
  <c r="AC18" i="23"/>
  <c r="AC18" i="22"/>
  <c r="AG18" i="23"/>
  <c r="AK18" i="23"/>
  <c r="AK18" i="22"/>
  <c r="AO18" i="23"/>
  <c r="AO18" i="22"/>
  <c r="AS18" i="23"/>
  <c r="AS18" i="22"/>
  <c r="AW18" i="23"/>
  <c r="AW18" i="22"/>
  <c r="BA18" i="23"/>
  <c r="BA18" i="22"/>
  <c r="BE18" i="23"/>
  <c r="BE18" i="22"/>
  <c r="BI18" i="23"/>
  <c r="BI18" i="22"/>
  <c r="BM18" i="23"/>
  <c r="BQ18" i="23"/>
  <c r="BQ18" i="22"/>
  <c r="BU18" i="23"/>
  <c r="BU18" i="22"/>
  <c r="BY18" i="23"/>
  <c r="BY18" i="22"/>
  <c r="CC18" i="23"/>
  <c r="CC18" i="22"/>
  <c r="CG18" i="23"/>
  <c r="CK18" i="23"/>
  <c r="CK18" i="22"/>
  <c r="CO18" i="23"/>
  <c r="CO18" i="22"/>
  <c r="CS18" i="23"/>
  <c r="CS18" i="22"/>
  <c r="CW18" i="23"/>
  <c r="CW18" i="22"/>
  <c r="DA18" i="23"/>
  <c r="DA18" i="22"/>
  <c r="DE18" i="23"/>
  <c r="DI18" i="23"/>
  <c r="DI18" i="22"/>
  <c r="DM18" i="23"/>
  <c r="DM18" i="22"/>
  <c r="DQ18" i="23"/>
  <c r="DQ18" i="22"/>
  <c r="DU18" i="23"/>
  <c r="DU18" i="22"/>
  <c r="DY18" i="23"/>
  <c r="DY18" i="22"/>
  <c r="EC18" i="23"/>
  <c r="EC18" i="22"/>
  <c r="EG18" i="23"/>
  <c r="EG18" i="22"/>
  <c r="EK18" i="23"/>
  <c r="EO18" i="23"/>
  <c r="EO18" i="22"/>
  <c r="ES18" i="23"/>
  <c r="ES18" i="22"/>
  <c r="EW18" i="23"/>
  <c r="EW18" i="22"/>
  <c r="FA18" i="23"/>
  <c r="FA18" i="22"/>
  <c r="FE18" i="23"/>
  <c r="FE18" i="22"/>
  <c r="FI18" i="23"/>
  <c r="FI18" i="22"/>
  <c r="FM18" i="23"/>
  <c r="FM18" i="22"/>
  <c r="FQ18" i="23"/>
  <c r="FU18" i="23"/>
  <c r="FU18" i="22"/>
  <c r="FY18" i="23"/>
  <c r="FY18" i="22"/>
  <c r="GC18" i="23"/>
  <c r="GC18" i="22"/>
  <c r="GG18" i="23"/>
  <c r="GG18" i="22"/>
  <c r="GK18" i="23"/>
  <c r="GK18" i="22"/>
  <c r="GO18" i="23"/>
  <c r="GO18" i="22"/>
  <c r="U19" i="23"/>
  <c r="U19" i="22"/>
  <c r="Y19" i="23"/>
  <c r="Y19" i="22"/>
  <c r="AC19" i="23"/>
  <c r="AC19" i="22"/>
  <c r="AG19" i="23"/>
  <c r="AG19" i="22"/>
  <c r="AK19" i="23"/>
  <c r="AK19" i="22"/>
  <c r="AO19" i="23"/>
  <c r="AO19" i="22"/>
  <c r="AS19" i="23"/>
  <c r="AS19" i="22"/>
  <c r="AW19" i="23"/>
  <c r="AW19" i="22"/>
  <c r="BA19" i="23"/>
  <c r="BA19" i="22"/>
  <c r="BE19" i="23"/>
  <c r="BE19" i="22"/>
  <c r="BI19" i="23"/>
  <c r="BI19" i="22"/>
  <c r="BM19" i="23"/>
  <c r="BM19" i="22"/>
  <c r="BQ19" i="23"/>
  <c r="BQ19" i="22"/>
  <c r="BU19" i="23"/>
  <c r="BU19" i="22"/>
  <c r="BY19" i="23"/>
  <c r="BY19" i="22"/>
  <c r="CC19" i="23"/>
  <c r="CC19" i="22"/>
  <c r="CG19" i="23"/>
  <c r="CG19" i="22"/>
  <c r="CK19" i="23"/>
  <c r="CK19" i="22"/>
  <c r="CO19" i="23"/>
  <c r="CO19" i="22"/>
  <c r="CS19" i="23"/>
  <c r="CS19" i="22"/>
  <c r="CW19" i="23"/>
  <c r="CW19" i="22"/>
  <c r="DA19" i="23"/>
  <c r="DA19" i="22"/>
  <c r="DE19" i="23"/>
  <c r="DE19" i="22"/>
  <c r="DI19" i="23"/>
  <c r="DI19" i="22"/>
  <c r="DM19" i="23"/>
  <c r="DM19" i="22"/>
  <c r="DQ19" i="23"/>
  <c r="DQ19" i="22"/>
  <c r="DU19" i="23"/>
  <c r="DU19" i="22"/>
  <c r="DY19" i="23"/>
  <c r="DY19" i="22"/>
  <c r="EC19" i="23"/>
  <c r="EC19" i="22"/>
  <c r="EG19" i="23"/>
  <c r="EG19" i="22"/>
  <c r="EK19" i="23"/>
  <c r="EK19" i="22"/>
  <c r="EO19" i="23"/>
  <c r="EO19" i="22"/>
  <c r="ES19" i="23"/>
  <c r="ES19" i="22"/>
  <c r="EW19" i="23"/>
  <c r="EW19" i="22"/>
  <c r="FA19" i="23"/>
  <c r="FA19" i="22"/>
  <c r="FE19" i="23"/>
  <c r="FE19" i="22"/>
  <c r="FI19" i="23"/>
  <c r="FI19" i="22"/>
  <c r="FM19" i="23"/>
  <c r="FM19" i="22"/>
  <c r="FQ19" i="23"/>
  <c r="FQ19" i="22"/>
  <c r="FU19" i="23"/>
  <c r="FU19" i="22"/>
  <c r="FY19" i="23"/>
  <c r="FY19" i="22"/>
  <c r="GC19" i="23"/>
  <c r="GC19" i="22"/>
  <c r="GG19" i="23"/>
  <c r="GG19" i="22"/>
  <c r="GK19" i="23"/>
  <c r="GK19" i="22"/>
  <c r="GO19" i="23"/>
  <c r="GO19" i="22"/>
  <c r="U20" i="23"/>
  <c r="U20" i="22"/>
  <c r="Y20" i="23"/>
  <c r="Y20" i="22"/>
  <c r="AC20" i="23"/>
  <c r="AC20" i="22"/>
  <c r="AG20" i="23"/>
  <c r="AG20" i="22"/>
  <c r="AK20" i="23"/>
  <c r="AK20" i="22"/>
  <c r="AO20" i="23"/>
  <c r="AO20" i="22"/>
  <c r="AS20" i="23"/>
  <c r="AS20" i="22"/>
  <c r="AW20" i="23"/>
  <c r="AW20" i="22"/>
  <c r="BA20" i="23"/>
  <c r="BA20" i="22"/>
  <c r="BE20" i="23"/>
  <c r="BE20" i="22"/>
  <c r="BI20" i="23"/>
  <c r="BI20" i="22"/>
  <c r="BM20" i="23"/>
  <c r="BM20" i="22"/>
  <c r="BQ20" i="23"/>
  <c r="BQ20" i="22"/>
  <c r="BU20" i="23"/>
  <c r="BU20" i="22"/>
  <c r="BY20" i="23"/>
  <c r="BY20" i="22"/>
  <c r="CC20" i="23"/>
  <c r="CC20" i="22"/>
  <c r="CG20" i="23"/>
  <c r="CG20" i="22"/>
  <c r="CK20" i="23"/>
  <c r="CK20" i="22"/>
  <c r="CO20" i="23"/>
  <c r="CO20" i="22"/>
  <c r="CS20" i="23"/>
  <c r="CS20" i="22"/>
  <c r="CW20" i="23"/>
  <c r="CW20" i="22"/>
  <c r="DA20" i="23"/>
  <c r="DA20" i="22"/>
  <c r="DE20" i="23"/>
  <c r="DE20" i="22"/>
  <c r="DI20" i="23"/>
  <c r="DI20" i="22"/>
  <c r="DM20" i="23"/>
  <c r="DM20" i="22"/>
  <c r="DQ20" i="23"/>
  <c r="DQ20" i="22"/>
  <c r="DU20" i="23"/>
  <c r="DU20" i="22"/>
  <c r="DY20" i="23"/>
  <c r="DY20" i="22"/>
  <c r="EC20" i="23"/>
  <c r="EC20" i="22"/>
  <c r="EG20" i="23"/>
  <c r="EG20" i="22"/>
  <c r="EK20" i="23"/>
  <c r="EK20" i="22"/>
  <c r="EO20" i="23"/>
  <c r="EO20" i="22"/>
  <c r="ES20" i="23"/>
  <c r="ES20" i="22"/>
  <c r="EW20" i="23"/>
  <c r="EW20" i="22"/>
  <c r="FA20" i="23"/>
  <c r="FA20" i="22"/>
  <c r="FE20" i="23"/>
  <c r="FE20" i="22"/>
  <c r="FI20" i="23"/>
  <c r="FI20" i="22"/>
  <c r="FM20" i="23"/>
  <c r="FM20" i="22"/>
  <c r="FQ20" i="23"/>
  <c r="FQ20" i="22"/>
  <c r="FU20" i="23"/>
  <c r="FU20" i="22"/>
  <c r="FY20" i="23"/>
  <c r="FY20" i="22"/>
  <c r="GC20" i="23"/>
  <c r="GC20" i="22"/>
  <c r="GG20" i="23"/>
  <c r="GG20" i="22"/>
  <c r="GK20" i="23"/>
  <c r="GK20" i="22"/>
  <c r="GO20" i="23"/>
  <c r="GO20" i="22"/>
  <c r="U21" i="23"/>
  <c r="U21" i="22"/>
  <c r="Y21" i="23"/>
  <c r="Y21" i="22"/>
  <c r="AC21" i="23"/>
  <c r="AC21" i="22"/>
  <c r="AG21" i="23"/>
  <c r="AG21" i="22"/>
  <c r="AK21" i="23"/>
  <c r="AK21" i="22"/>
  <c r="AO21" i="23"/>
  <c r="AO21" i="22"/>
  <c r="AS21" i="23"/>
  <c r="AS21" i="22"/>
  <c r="AW21" i="23"/>
  <c r="AW21" i="22"/>
  <c r="BA21" i="23"/>
  <c r="BA21" i="22"/>
  <c r="BE21" i="23"/>
  <c r="BE21" i="22"/>
  <c r="BI21" i="23"/>
  <c r="BI21" i="22"/>
  <c r="BM21" i="23"/>
  <c r="BM21" i="22"/>
  <c r="BQ21" i="23"/>
  <c r="BQ21" i="22"/>
  <c r="BU21" i="23"/>
  <c r="BU21" i="22"/>
  <c r="BY21" i="23"/>
  <c r="BY21" i="22"/>
  <c r="CC21" i="23"/>
  <c r="CC21" i="22"/>
  <c r="CG21" i="23"/>
  <c r="CG21" i="22"/>
  <c r="CK21" i="23"/>
  <c r="CK21" i="22"/>
  <c r="CO21" i="23"/>
  <c r="CO21" i="22"/>
  <c r="CS21" i="23"/>
  <c r="CS21" i="22"/>
  <c r="CW21" i="23"/>
  <c r="CW21" i="22"/>
  <c r="DA21" i="23"/>
  <c r="DA21" i="22"/>
  <c r="DE21" i="23"/>
  <c r="DE21" i="22"/>
  <c r="DI21" i="23"/>
  <c r="DI21" i="22"/>
  <c r="DM21" i="23"/>
  <c r="DM21" i="22"/>
  <c r="DQ21" i="23"/>
  <c r="DQ21" i="22"/>
  <c r="DU21" i="23"/>
  <c r="DU21" i="22"/>
  <c r="DY21" i="23"/>
  <c r="DY21" i="22"/>
  <c r="EC21" i="23"/>
  <c r="EC21" i="22"/>
  <c r="EG21" i="23"/>
  <c r="EG21" i="22"/>
  <c r="EK21" i="23"/>
  <c r="EK21" i="22"/>
  <c r="EO21" i="23"/>
  <c r="EO21" i="22"/>
  <c r="ES21" i="23"/>
  <c r="ES21" i="22"/>
  <c r="EW21" i="23"/>
  <c r="EW21" i="22"/>
  <c r="FA21" i="23"/>
  <c r="FA21" i="22"/>
  <c r="FE21" i="23"/>
  <c r="FE21" i="22"/>
  <c r="FI21" i="23"/>
  <c r="FI21" i="22"/>
  <c r="FM21" i="23"/>
  <c r="FM21" i="22"/>
  <c r="FQ21" i="23"/>
  <c r="FQ21" i="22"/>
  <c r="FU21" i="23"/>
  <c r="FU21" i="22"/>
  <c r="FY21" i="23"/>
  <c r="FY21" i="22"/>
  <c r="GC21" i="23"/>
  <c r="GC21" i="22"/>
  <c r="GG21" i="23"/>
  <c r="GG21" i="22"/>
  <c r="GK21" i="23"/>
  <c r="GK21" i="22"/>
  <c r="GO21" i="23"/>
  <c r="GO21" i="22"/>
  <c r="U22" i="23"/>
  <c r="U22" i="22"/>
  <c r="Y22" i="23"/>
  <c r="Y22" i="22"/>
  <c r="AC22" i="23"/>
  <c r="AC22" i="22"/>
  <c r="AG22" i="23"/>
  <c r="AG22" i="22"/>
  <c r="AK22" i="23"/>
  <c r="AK22" i="22"/>
  <c r="AO22" i="23"/>
  <c r="AO22" i="22"/>
  <c r="AS22" i="23"/>
  <c r="AS22" i="22"/>
  <c r="AW22" i="23"/>
  <c r="AW22" i="22"/>
  <c r="BA22" i="23"/>
  <c r="BA22" i="22"/>
  <c r="BE22" i="23"/>
  <c r="BE22" i="22"/>
  <c r="BI22" i="23"/>
  <c r="BI22" i="22"/>
  <c r="BM22" i="23"/>
  <c r="BM22" i="22"/>
  <c r="BQ22" i="23"/>
  <c r="BQ22" i="22"/>
  <c r="BU22" i="23"/>
  <c r="BU22" i="22"/>
  <c r="BY22" i="23"/>
  <c r="BY22" i="22"/>
  <c r="CC22" i="23"/>
  <c r="CC22" i="22"/>
  <c r="CG22" i="23"/>
  <c r="CG22" i="22"/>
  <c r="CK22" i="23"/>
  <c r="CK22" i="22"/>
  <c r="CO22" i="23"/>
  <c r="CO22" i="22"/>
  <c r="CS22" i="23"/>
  <c r="CS22" i="22"/>
  <c r="CW22" i="23"/>
  <c r="CW22" i="22"/>
  <c r="DA22" i="23"/>
  <c r="DA22" i="22"/>
  <c r="DE22" i="23"/>
  <c r="DE22" i="22"/>
  <c r="DI22" i="23"/>
  <c r="DI22" i="22"/>
  <c r="DM22" i="23"/>
  <c r="DM22" i="22"/>
  <c r="DQ22" i="23"/>
  <c r="DQ22" i="22"/>
  <c r="DU22" i="23"/>
  <c r="DU22" i="22"/>
  <c r="DY22" i="23"/>
  <c r="DY22" i="22"/>
  <c r="EC22" i="23"/>
  <c r="EC22" i="22"/>
  <c r="EG22" i="23"/>
  <c r="EG22" i="22"/>
  <c r="EK22" i="23"/>
  <c r="EK22" i="22"/>
  <c r="EO22" i="23"/>
  <c r="EO22" i="22"/>
  <c r="ES22" i="23"/>
  <c r="ES22" i="22"/>
  <c r="EW22" i="23"/>
  <c r="EW22" i="22"/>
  <c r="FA22" i="23"/>
  <c r="FA22" i="22"/>
  <c r="FE22" i="23"/>
  <c r="FE22" i="22"/>
  <c r="FI22" i="23"/>
  <c r="FI22" i="22"/>
  <c r="FM22" i="23"/>
  <c r="FM22" i="22"/>
  <c r="FQ22" i="23"/>
  <c r="FQ22" i="22"/>
  <c r="FU22" i="23"/>
  <c r="FU22" i="22"/>
  <c r="FY22" i="23"/>
  <c r="FY22" i="22"/>
  <c r="GC22" i="23"/>
  <c r="GC22" i="22"/>
  <c r="GG22" i="23"/>
  <c r="GG22" i="22"/>
  <c r="GK22" i="23"/>
  <c r="GK22" i="22"/>
  <c r="GO22" i="23"/>
  <c r="GO22" i="22"/>
  <c r="U23" i="23"/>
  <c r="U23" i="22"/>
  <c r="Y23" i="23"/>
  <c r="Y23" i="22"/>
  <c r="AC23" i="23"/>
  <c r="AG23" i="23"/>
  <c r="AG23" i="22"/>
  <c r="AK23" i="23"/>
  <c r="AK23" i="22"/>
  <c r="AO23" i="23"/>
  <c r="AO23" i="22"/>
  <c r="AS23" i="23"/>
  <c r="AW23" i="23"/>
  <c r="AW23" i="22"/>
  <c r="BA23" i="23"/>
  <c r="BA23" i="22"/>
  <c r="BE23" i="23"/>
  <c r="BE23" i="22"/>
  <c r="BI23" i="23"/>
  <c r="BM23" i="23"/>
  <c r="BM23" i="22"/>
  <c r="BQ23" i="23"/>
  <c r="BQ23" i="22"/>
  <c r="BU23" i="23"/>
  <c r="BU23" i="22"/>
  <c r="BY23" i="23"/>
  <c r="CC23" i="23"/>
  <c r="CC23" i="22"/>
  <c r="CG23" i="23"/>
  <c r="CG23" i="22"/>
  <c r="CK23" i="23"/>
  <c r="CK23" i="22"/>
  <c r="CO23" i="23"/>
  <c r="CS23" i="23"/>
  <c r="CS23" i="22"/>
  <c r="CW23" i="23"/>
  <c r="CW23" i="22"/>
  <c r="DA23" i="23"/>
  <c r="DA23" i="22"/>
  <c r="DE23" i="23"/>
  <c r="DI23" i="23"/>
  <c r="DI23" i="22"/>
  <c r="DM23" i="23"/>
  <c r="DM23" i="22"/>
  <c r="DQ23" i="23"/>
  <c r="DQ23" i="22"/>
  <c r="DU23" i="23"/>
  <c r="DY23" i="23"/>
  <c r="DY23" i="22"/>
  <c r="EC23" i="23"/>
  <c r="EC23" i="22"/>
  <c r="EG23" i="23"/>
  <c r="EG23" i="22"/>
  <c r="EK23" i="23"/>
  <c r="EO23" i="23"/>
  <c r="EO23" i="22"/>
  <c r="ES23" i="23"/>
  <c r="ES23" i="22"/>
  <c r="EW23" i="23"/>
  <c r="EW23" i="22"/>
  <c r="FA23" i="23"/>
  <c r="FE23" i="23"/>
  <c r="FE23" i="22"/>
  <c r="FI23" i="23"/>
  <c r="FI23" i="22"/>
  <c r="FM23" i="23"/>
  <c r="FM23" i="22"/>
  <c r="FQ23" i="23"/>
  <c r="FU23" i="23"/>
  <c r="FU23" i="22"/>
  <c r="FY23" i="23"/>
  <c r="FY23" i="22"/>
  <c r="GC23" i="23"/>
  <c r="GC23" i="22"/>
  <c r="GG23" i="23"/>
  <c r="GK23" i="23"/>
  <c r="GK23" i="22"/>
  <c r="GO23" i="23"/>
  <c r="GO23" i="22"/>
  <c r="U24" i="23"/>
  <c r="U24" i="22"/>
  <c r="Y24" i="23"/>
  <c r="Y24" i="22"/>
  <c r="AC24" i="23"/>
  <c r="AC24" i="22"/>
  <c r="AG24" i="23"/>
  <c r="AG24" i="22"/>
  <c r="AK24" i="23"/>
  <c r="AK24" i="22"/>
  <c r="AO24" i="23"/>
  <c r="AO24" i="22"/>
  <c r="AS24" i="23"/>
  <c r="AS24" i="22"/>
  <c r="AW24" i="23"/>
  <c r="AW24" i="22"/>
  <c r="BA24" i="23"/>
  <c r="BA24" i="22"/>
  <c r="BE24" i="23"/>
  <c r="BE24" i="22"/>
  <c r="BI24" i="23"/>
  <c r="BI24" i="22"/>
  <c r="BM24" i="23"/>
  <c r="BM24" i="22"/>
  <c r="BQ24" i="23"/>
  <c r="BQ24" i="22"/>
  <c r="BU24" i="23"/>
  <c r="BU24" i="22"/>
  <c r="BY24" i="23"/>
  <c r="BY24" i="22"/>
  <c r="CC24" i="23"/>
  <c r="CC24" i="22"/>
  <c r="CG24" i="23"/>
  <c r="CG24" i="22"/>
  <c r="CK24" i="23"/>
  <c r="CK24" i="22"/>
  <c r="CO24" i="23"/>
  <c r="CO24" i="22"/>
  <c r="CS24" i="23"/>
  <c r="CS24" i="22"/>
  <c r="CW24" i="23"/>
  <c r="CW24" i="22"/>
  <c r="DA24" i="23"/>
  <c r="DA24" i="22"/>
  <c r="DE24" i="23"/>
  <c r="DE24" i="22"/>
  <c r="DI24" i="23"/>
  <c r="DI24" i="22"/>
  <c r="DM24" i="23"/>
  <c r="DM24" i="22"/>
  <c r="DQ24" i="23"/>
  <c r="DQ24" i="22"/>
  <c r="DU24" i="23"/>
  <c r="DU24" i="22"/>
  <c r="DY24" i="23"/>
  <c r="DY24" i="22"/>
  <c r="EC24" i="23"/>
  <c r="EC24" i="22"/>
  <c r="EG24" i="23"/>
  <c r="EG24" i="22"/>
  <c r="EK24" i="23"/>
  <c r="EK24" i="22"/>
  <c r="EO24" i="23"/>
  <c r="EO24" i="22"/>
  <c r="ES24" i="23"/>
  <c r="ES24" i="22"/>
  <c r="EW24" i="23"/>
  <c r="EW24" i="22"/>
  <c r="FA24" i="23"/>
  <c r="FA24" i="22"/>
  <c r="FE24" i="23"/>
  <c r="FE24" i="22"/>
  <c r="FI24" i="23"/>
  <c r="FI24" i="22"/>
  <c r="FM24" i="23"/>
  <c r="FM24" i="22"/>
  <c r="FQ24" i="23"/>
  <c r="FQ24" i="22"/>
  <c r="FU24" i="23"/>
  <c r="FU24" i="22"/>
  <c r="FY24" i="23"/>
  <c r="FY24" i="22"/>
  <c r="GC24" i="23"/>
  <c r="GC24" i="22"/>
  <c r="GG24" i="23"/>
  <c r="GG24" i="22"/>
  <c r="GK24" i="23"/>
  <c r="GK24" i="22"/>
  <c r="GO24" i="23"/>
  <c r="GO24" i="22"/>
  <c r="U25" i="23"/>
  <c r="U25" i="22"/>
  <c r="Y25" i="23"/>
  <c r="Y25" i="22"/>
  <c r="AC25" i="23"/>
  <c r="AC25" i="22"/>
  <c r="AG25" i="23"/>
  <c r="AG25" i="22"/>
  <c r="AK25" i="23"/>
  <c r="AK25" i="22"/>
  <c r="AO25" i="23"/>
  <c r="AO25" i="22"/>
  <c r="AS25" i="23"/>
  <c r="AS25" i="22"/>
  <c r="AW25" i="23"/>
  <c r="AW25" i="22"/>
  <c r="BA25" i="23"/>
  <c r="BA25" i="22"/>
  <c r="BE25" i="23"/>
  <c r="BE25" i="22"/>
  <c r="BI25" i="23"/>
  <c r="BI25" i="22"/>
  <c r="BM25" i="23"/>
  <c r="BM25" i="22"/>
  <c r="BQ25" i="23"/>
  <c r="BQ25" i="22"/>
  <c r="BU25" i="23"/>
  <c r="BU25" i="22"/>
  <c r="BY25" i="23"/>
  <c r="BY25" i="22"/>
  <c r="CC25" i="23"/>
  <c r="CC25" i="22"/>
  <c r="CG25" i="23"/>
  <c r="CG25" i="22"/>
  <c r="CK25" i="23"/>
  <c r="CK25" i="22"/>
  <c r="CO25" i="23"/>
  <c r="CO25" i="22"/>
  <c r="CS25" i="23"/>
  <c r="CS25" i="22"/>
  <c r="CW25" i="23"/>
  <c r="CW25" i="22"/>
  <c r="DA25" i="23"/>
  <c r="DA25" i="22"/>
  <c r="DE25" i="23"/>
  <c r="DE25" i="22"/>
  <c r="DI25" i="23"/>
  <c r="DI25" i="22"/>
  <c r="DM25" i="23"/>
  <c r="DM25" i="22"/>
  <c r="DQ25" i="23"/>
  <c r="DQ25" i="22"/>
  <c r="DU25" i="23"/>
  <c r="DU25" i="22"/>
  <c r="DY25" i="23"/>
  <c r="DY25" i="22"/>
  <c r="EC25" i="23"/>
  <c r="EC25" i="22"/>
  <c r="EG25" i="23"/>
  <c r="EG25" i="22"/>
  <c r="EK25" i="23"/>
  <c r="EK25" i="22"/>
  <c r="EO25" i="23"/>
  <c r="EO25" i="22"/>
  <c r="ES25" i="23"/>
  <c r="ES25" i="22"/>
  <c r="EW25" i="23"/>
  <c r="EW25" i="22"/>
  <c r="FA25" i="23"/>
  <c r="FA25" i="22"/>
  <c r="FE25" i="23"/>
  <c r="FE25" i="22"/>
  <c r="FI25" i="23"/>
  <c r="FI25" i="22"/>
  <c r="FM25" i="23"/>
  <c r="FM25" i="22"/>
  <c r="FQ25" i="23"/>
  <c r="FQ25" i="22"/>
  <c r="FU25" i="23"/>
  <c r="FU25" i="22"/>
  <c r="FY25" i="23"/>
  <c r="FY25" i="22"/>
  <c r="GC25" i="23"/>
  <c r="GC25" i="22"/>
  <c r="GG25" i="23"/>
  <c r="GG25" i="22"/>
  <c r="GK25" i="23"/>
  <c r="GK25" i="22"/>
  <c r="GO25" i="23"/>
  <c r="GO25" i="22"/>
  <c r="U26" i="23"/>
  <c r="U26" i="22"/>
  <c r="Y26" i="23"/>
  <c r="Y26" i="22"/>
  <c r="AC26" i="23"/>
  <c r="AC26" i="22"/>
  <c r="AG26" i="23"/>
  <c r="AG26" i="22"/>
  <c r="AK26" i="23"/>
  <c r="AK26" i="22"/>
  <c r="AO26" i="23"/>
  <c r="AO26" i="22"/>
  <c r="AS26" i="23"/>
  <c r="AS26" i="22"/>
  <c r="AW26" i="23"/>
  <c r="AW26" i="22"/>
  <c r="BA26" i="23"/>
  <c r="BA26" i="22"/>
  <c r="BE26" i="23"/>
  <c r="BE26" i="22"/>
  <c r="BI26" i="23"/>
  <c r="BI26" i="22"/>
  <c r="BM26" i="23"/>
  <c r="BM26" i="22"/>
  <c r="BQ26" i="23"/>
  <c r="BQ26" i="22"/>
  <c r="BU26" i="23"/>
  <c r="BU26" i="22"/>
  <c r="BY26" i="23"/>
  <c r="BY26" i="22"/>
  <c r="CC26" i="23"/>
  <c r="CC26" i="22"/>
  <c r="CG26" i="23"/>
  <c r="CG26" i="22"/>
  <c r="CK26" i="23"/>
  <c r="CK26" i="22"/>
  <c r="CO26" i="23"/>
  <c r="CO26" i="22"/>
  <c r="CS26" i="23"/>
  <c r="CS26" i="22"/>
  <c r="CW26" i="23"/>
  <c r="CW26" i="22"/>
  <c r="DA26" i="23"/>
  <c r="DA26" i="22"/>
  <c r="DE26" i="23"/>
  <c r="DE26" i="22"/>
  <c r="DI26" i="23"/>
  <c r="DI26" i="22"/>
  <c r="DM26" i="23"/>
  <c r="DM26" i="22"/>
  <c r="DQ26" i="23"/>
  <c r="DQ26" i="22"/>
  <c r="DU26" i="23"/>
  <c r="DU26" i="22"/>
  <c r="DY26" i="23"/>
  <c r="DY26" i="22"/>
  <c r="EC26" i="23"/>
  <c r="EC26" i="22"/>
  <c r="EG26" i="23"/>
  <c r="EG26" i="22"/>
  <c r="EK26" i="23"/>
  <c r="EK26" i="22"/>
  <c r="EO26" i="23"/>
  <c r="EO26" i="22"/>
  <c r="ES26" i="23"/>
  <c r="ES26" i="22"/>
  <c r="EW26" i="23"/>
  <c r="EW26" i="22"/>
  <c r="FA26" i="23"/>
  <c r="FA26" i="22"/>
  <c r="FE26" i="23"/>
  <c r="FE26" i="22"/>
  <c r="FI26" i="23"/>
  <c r="FI26" i="22"/>
  <c r="FM26" i="23"/>
  <c r="FM26" i="22"/>
  <c r="FQ26" i="23"/>
  <c r="FQ26" i="22"/>
  <c r="FU26" i="23"/>
  <c r="FU26" i="22"/>
  <c r="FY26" i="23"/>
  <c r="FY26" i="22"/>
  <c r="GC26" i="23"/>
  <c r="GC26" i="22"/>
  <c r="GG26" i="23"/>
  <c r="GG26" i="22"/>
  <c r="GK26" i="23"/>
  <c r="GK26" i="22"/>
  <c r="GO26" i="23"/>
  <c r="GO26" i="22"/>
  <c r="U27" i="23"/>
  <c r="U27" i="22"/>
  <c r="Y27" i="23"/>
  <c r="Y27" i="22"/>
  <c r="AC27" i="23"/>
  <c r="AC27" i="22"/>
  <c r="AG27" i="23"/>
  <c r="AG27" i="22"/>
  <c r="AK27" i="23"/>
  <c r="AK27" i="22"/>
  <c r="AO27" i="23"/>
  <c r="AO27" i="22"/>
  <c r="AS27" i="23"/>
  <c r="AS27" i="22"/>
  <c r="AW27" i="23"/>
  <c r="AW27" i="22"/>
  <c r="BA27" i="23"/>
  <c r="BA27" i="22"/>
  <c r="BE27" i="23"/>
  <c r="BE27" i="22"/>
  <c r="BI27" i="23"/>
  <c r="BI27" i="22"/>
  <c r="BM27" i="23"/>
  <c r="BM27" i="22"/>
  <c r="BQ27" i="23"/>
  <c r="BQ27" i="22"/>
  <c r="BU27" i="23"/>
  <c r="BU27" i="22"/>
  <c r="BY27" i="23"/>
  <c r="BY27" i="22"/>
  <c r="CC27" i="23"/>
  <c r="CC27" i="22"/>
  <c r="CG27" i="23"/>
  <c r="CG27" i="22"/>
  <c r="CK27" i="23"/>
  <c r="CK27" i="22"/>
  <c r="CO27" i="23"/>
  <c r="CO27" i="22"/>
  <c r="CS27" i="23"/>
  <c r="CS27" i="22"/>
  <c r="CW27" i="23"/>
  <c r="CW27" i="22"/>
  <c r="DA27" i="23"/>
  <c r="DA27" i="22"/>
  <c r="DE27" i="23"/>
  <c r="DE27" i="22"/>
  <c r="DI27" i="23"/>
  <c r="DI27" i="22"/>
  <c r="DM27" i="23"/>
  <c r="DM27" i="22"/>
  <c r="DQ27" i="23"/>
  <c r="DQ27" i="22"/>
  <c r="DU27" i="23"/>
  <c r="DU27" i="22"/>
  <c r="DY27" i="23"/>
  <c r="DY27" i="22"/>
  <c r="EC27" i="23"/>
  <c r="EC27" i="22"/>
  <c r="EG27" i="23"/>
  <c r="EG27" i="22"/>
  <c r="EK27" i="23"/>
  <c r="EK27" i="22"/>
  <c r="EO27" i="23"/>
  <c r="EO27" i="22"/>
  <c r="ES27" i="23"/>
  <c r="ES27" i="22"/>
  <c r="EW27" i="23"/>
  <c r="EW27" i="22"/>
  <c r="FA27" i="23"/>
  <c r="FA27" i="22"/>
  <c r="FE27" i="23"/>
  <c r="FE27" i="22"/>
  <c r="FI27" i="23"/>
  <c r="FI27" i="22"/>
  <c r="FM27" i="23"/>
  <c r="FM27" i="22"/>
  <c r="FQ27" i="23"/>
  <c r="FQ27" i="22"/>
  <c r="FU27" i="23"/>
  <c r="FU27" i="22"/>
  <c r="FY27" i="23"/>
  <c r="FY27" i="22"/>
  <c r="GC27" i="23"/>
  <c r="GC27" i="22"/>
  <c r="GG27" i="23"/>
  <c r="GG27" i="22"/>
  <c r="GK27" i="23"/>
  <c r="GK27" i="22"/>
  <c r="GO27" i="23"/>
  <c r="GO27" i="22"/>
  <c r="U28" i="23"/>
  <c r="U28" i="22"/>
  <c r="Y28" i="23"/>
  <c r="Y28" i="22"/>
  <c r="AC28" i="23"/>
  <c r="AC28" i="22"/>
  <c r="AG28" i="23"/>
  <c r="AG28" i="22"/>
  <c r="AK28" i="23"/>
  <c r="AK28" i="22"/>
  <c r="AO28" i="22"/>
  <c r="AS28" i="23"/>
  <c r="AS28" i="22"/>
  <c r="AW28" i="23"/>
  <c r="AW28" i="22"/>
  <c r="BA28" i="23"/>
  <c r="BA28" i="22"/>
  <c r="BE28" i="23"/>
  <c r="BE28" i="22"/>
  <c r="BI28" i="23"/>
  <c r="BI28" i="22"/>
  <c r="BM28" i="23"/>
  <c r="BM28" i="22"/>
  <c r="BQ28" i="23"/>
  <c r="BQ28" i="22"/>
  <c r="BU28" i="22"/>
  <c r="BY28" i="23"/>
  <c r="BY28" i="22"/>
  <c r="CC28" i="23"/>
  <c r="CC28" i="22"/>
  <c r="CG28" i="23"/>
  <c r="CG28" i="22"/>
  <c r="CK28" i="23"/>
  <c r="CK28" i="22"/>
  <c r="CO28" i="23"/>
  <c r="CO28" i="22"/>
  <c r="CS28" i="23"/>
  <c r="CS28" i="22"/>
  <c r="CW28" i="23"/>
  <c r="CW28" i="22"/>
  <c r="DA28" i="22"/>
  <c r="DE28" i="23"/>
  <c r="DE28" i="22"/>
  <c r="DI28" i="23"/>
  <c r="DI28" i="22"/>
  <c r="DM28" i="23"/>
  <c r="DM28" i="22"/>
  <c r="DQ28" i="23"/>
  <c r="DQ28" i="22"/>
  <c r="DU28" i="23"/>
  <c r="DU28" i="22"/>
  <c r="DY28" i="23"/>
  <c r="DY28" i="22"/>
  <c r="EC28" i="23"/>
  <c r="EC28" i="22"/>
  <c r="EG28" i="22"/>
  <c r="EK28" i="23"/>
  <c r="EK28" i="22"/>
  <c r="EO28" i="23"/>
  <c r="EO28" i="22"/>
  <c r="ES28" i="23"/>
  <c r="ES28" i="22"/>
  <c r="EW28" i="23"/>
  <c r="EW28" i="22"/>
  <c r="FA28" i="23"/>
  <c r="FA28" i="22"/>
  <c r="FE28" i="23"/>
  <c r="FE28" i="22"/>
  <c r="FI28" i="23"/>
  <c r="FI28" i="22"/>
  <c r="FM28" i="22"/>
  <c r="FQ28" i="23"/>
  <c r="FQ28" i="22"/>
  <c r="FU28" i="23"/>
  <c r="FU28" i="22"/>
  <c r="FY28" i="23"/>
  <c r="FY28" i="22"/>
  <c r="GC28" i="23"/>
  <c r="GC28" i="22"/>
  <c r="GG28" i="23"/>
  <c r="GG28" i="22"/>
  <c r="GK28" i="23"/>
  <c r="GK28" i="22"/>
  <c r="GO28" i="23"/>
  <c r="GO28" i="22"/>
  <c r="U29" i="23"/>
  <c r="U29" i="22"/>
  <c r="Y29" i="23"/>
  <c r="Y29" i="22"/>
  <c r="AC29" i="23"/>
  <c r="AC29" i="22"/>
  <c r="AG29" i="23"/>
  <c r="AG29" i="22"/>
  <c r="AK29" i="23"/>
  <c r="AK29" i="22"/>
  <c r="AO29" i="23"/>
  <c r="AO29" i="22"/>
  <c r="AS29" i="23"/>
  <c r="AS29" i="22"/>
  <c r="AW29" i="23"/>
  <c r="AW29" i="22"/>
  <c r="BA29" i="23"/>
  <c r="BA29" i="22"/>
  <c r="BE29" i="23"/>
  <c r="BE29" i="22"/>
  <c r="BI29" i="23"/>
  <c r="BI29" i="22"/>
  <c r="BM29" i="23"/>
  <c r="BM29" i="22"/>
  <c r="BQ29" i="23"/>
  <c r="BQ29" i="22"/>
  <c r="BU29" i="23"/>
  <c r="BU29" i="22"/>
  <c r="BY29" i="23"/>
  <c r="BY29" i="22"/>
  <c r="CC29" i="23"/>
  <c r="CC29" i="22"/>
  <c r="CG29" i="23"/>
  <c r="CG29" i="22"/>
  <c r="CK29" i="23"/>
  <c r="CK29" i="22"/>
  <c r="CO29" i="23"/>
  <c r="CO29" i="22"/>
  <c r="CS29" i="23"/>
  <c r="CS29" i="22"/>
  <c r="CW29" i="23"/>
  <c r="CW29" i="22"/>
  <c r="DA29" i="23"/>
  <c r="DA29" i="22"/>
  <c r="DE29" i="23"/>
  <c r="DE29" i="22"/>
  <c r="DI29" i="23"/>
  <c r="DI29" i="22"/>
  <c r="DM29" i="23"/>
  <c r="DM29" i="22"/>
  <c r="DQ29" i="23"/>
  <c r="DQ29" i="22"/>
  <c r="DU29" i="23"/>
  <c r="DU29" i="22"/>
  <c r="DY29" i="23"/>
  <c r="DY29" i="22"/>
  <c r="EC29" i="23"/>
  <c r="EC29" i="22"/>
  <c r="EG29" i="23"/>
  <c r="EG29" i="22"/>
  <c r="EK29" i="23"/>
  <c r="EK29" i="22"/>
  <c r="EO29" i="23"/>
  <c r="EO29" i="22"/>
  <c r="ES29" i="23"/>
  <c r="ES29" i="22"/>
  <c r="EW29" i="23"/>
  <c r="EW29" i="22"/>
  <c r="FA29" i="23"/>
  <c r="FA29" i="22"/>
  <c r="FE29" i="23"/>
  <c r="FE29" i="22"/>
  <c r="FI29" i="23"/>
  <c r="FI29" i="22"/>
  <c r="FM29" i="23"/>
  <c r="FM29" i="22"/>
  <c r="FQ29" i="23"/>
  <c r="FQ29" i="22"/>
  <c r="FU29" i="23"/>
  <c r="FU29" i="22"/>
  <c r="FY29" i="23"/>
  <c r="FY29" i="22"/>
  <c r="GC29" i="23"/>
  <c r="GC29" i="22"/>
  <c r="GG29" i="23"/>
  <c r="GG29" i="22"/>
  <c r="GK29" i="23"/>
  <c r="GK29" i="22"/>
  <c r="GO29" i="23"/>
  <c r="GO29" i="22"/>
  <c r="U30" i="23"/>
  <c r="U30" i="22"/>
  <c r="Y30" i="23"/>
  <c r="Y30" i="22"/>
  <c r="AC30" i="23"/>
  <c r="AC30" i="22"/>
  <c r="AG30" i="23"/>
  <c r="AG30" i="22"/>
  <c r="AK30" i="23"/>
  <c r="AK30" i="22"/>
  <c r="AO30" i="23"/>
  <c r="AO30" i="22"/>
  <c r="AS30" i="23"/>
  <c r="AS30" i="22"/>
  <c r="AW30" i="23"/>
  <c r="AW30" i="22"/>
  <c r="BA30" i="23"/>
  <c r="BA30" i="22"/>
  <c r="BE30" i="23"/>
  <c r="BE30" i="22"/>
  <c r="BI30" i="23"/>
  <c r="BI30" i="22"/>
  <c r="BM30" i="23"/>
  <c r="BM30" i="22"/>
  <c r="BQ30" i="23"/>
  <c r="BQ30" i="22"/>
  <c r="BU30" i="23"/>
  <c r="BU30" i="22"/>
  <c r="BY30" i="23"/>
  <c r="BY30" i="22"/>
  <c r="CC30" i="23"/>
  <c r="CC30" i="22"/>
  <c r="CG30" i="23"/>
  <c r="CG30" i="22"/>
  <c r="CK30" i="23"/>
  <c r="CK30" i="22"/>
  <c r="CO30" i="23"/>
  <c r="CO30" i="22"/>
  <c r="CS30" i="23"/>
  <c r="CS30" i="22"/>
  <c r="CW30" i="23"/>
  <c r="CW30" i="22"/>
  <c r="DA30" i="23"/>
  <c r="DA30" i="22"/>
  <c r="DE30" i="23"/>
  <c r="DE30" i="22"/>
  <c r="DI30" i="23"/>
  <c r="DI30" i="22"/>
  <c r="DM30" i="23"/>
  <c r="DM30" i="22"/>
  <c r="DQ30" i="23"/>
  <c r="DQ30" i="22"/>
  <c r="DU30" i="23"/>
  <c r="DU30" i="22"/>
  <c r="DY30" i="23"/>
  <c r="DY30" i="22"/>
  <c r="EC30" i="23"/>
  <c r="EC30" i="22"/>
  <c r="EG30" i="23"/>
  <c r="EG30" i="22"/>
  <c r="EK30" i="23"/>
  <c r="EK30" i="22"/>
  <c r="EO30" i="23"/>
  <c r="EO30" i="22"/>
  <c r="ES30" i="23"/>
  <c r="ES30" i="22"/>
  <c r="EW30" i="23"/>
  <c r="EW30" i="22"/>
  <c r="FA30" i="23"/>
  <c r="FA30" i="22"/>
  <c r="FE30" i="23"/>
  <c r="FE30" i="22"/>
  <c r="FI30" i="23"/>
  <c r="FI30" i="22"/>
  <c r="FM30" i="23"/>
  <c r="FM30" i="22"/>
  <c r="FQ30" i="23"/>
  <c r="FQ30" i="22"/>
  <c r="FU30" i="23"/>
  <c r="FU30" i="22"/>
  <c r="FY30" i="23"/>
  <c r="FY30" i="22"/>
  <c r="GC30" i="23"/>
  <c r="GC30" i="22"/>
  <c r="GG30" i="23"/>
  <c r="GG30" i="22"/>
  <c r="GK30" i="23"/>
  <c r="GK30" i="22"/>
  <c r="GO30" i="23"/>
  <c r="GO30" i="22"/>
  <c r="U31" i="23"/>
  <c r="U31" i="22"/>
  <c r="Y31" i="23"/>
  <c r="Y31" i="22"/>
  <c r="AC31" i="23"/>
  <c r="AC31" i="22"/>
  <c r="AG31" i="23"/>
  <c r="AG31" i="22"/>
  <c r="AK31" i="23"/>
  <c r="AK31" i="22"/>
  <c r="AO31" i="23"/>
  <c r="AO31" i="22"/>
  <c r="AS31" i="23"/>
  <c r="AS31" i="22"/>
  <c r="AW31" i="23"/>
  <c r="AW31" i="22"/>
  <c r="BA31" i="23"/>
  <c r="BA31" i="22"/>
  <c r="BE31" i="23"/>
  <c r="BE31" i="22"/>
  <c r="BI31" i="23"/>
  <c r="BI31" i="22"/>
  <c r="BM31" i="23"/>
  <c r="BM31" i="22"/>
  <c r="BQ31" i="23"/>
  <c r="BQ31" i="22"/>
  <c r="BU31" i="23"/>
  <c r="BU31" i="22"/>
  <c r="BY31" i="23"/>
  <c r="BY31" i="22"/>
  <c r="CC31" i="23"/>
  <c r="CC31" i="22"/>
  <c r="CG31" i="23"/>
  <c r="CG31" i="22"/>
  <c r="CK31" i="23"/>
  <c r="CK31" i="22"/>
  <c r="CO31" i="23"/>
  <c r="CO31" i="22"/>
  <c r="CS31" i="23"/>
  <c r="CS31" i="22"/>
  <c r="CW31" i="23"/>
  <c r="CW31" i="22"/>
  <c r="DA31" i="23"/>
  <c r="DA31" i="22"/>
  <c r="DE31" i="23"/>
  <c r="DE31" i="22"/>
  <c r="DI31" i="23"/>
  <c r="DI31" i="22"/>
  <c r="DM31" i="23"/>
  <c r="DM31" i="22"/>
  <c r="DQ31" i="23"/>
  <c r="DQ31" i="22"/>
  <c r="DU31" i="23"/>
  <c r="DU31" i="22"/>
  <c r="DY31" i="23"/>
  <c r="DY31" i="22"/>
  <c r="EC31" i="23"/>
  <c r="EC31" i="22"/>
  <c r="EG31" i="23"/>
  <c r="EG31" i="22"/>
  <c r="EK31" i="23"/>
  <c r="EK31" i="22"/>
  <c r="EO31" i="23"/>
  <c r="EO31" i="22"/>
  <c r="ES31" i="23"/>
  <c r="ES31" i="22"/>
  <c r="EW31" i="23"/>
  <c r="EW31" i="22"/>
  <c r="FA31" i="23"/>
  <c r="FA31" i="22"/>
  <c r="FE31" i="23"/>
  <c r="FE31" i="22"/>
  <c r="FI31" i="23"/>
  <c r="FI31" i="22"/>
  <c r="FM31" i="23"/>
  <c r="FM31" i="22"/>
  <c r="FQ31" i="23"/>
  <c r="FQ31" i="22"/>
  <c r="FU31" i="23"/>
  <c r="FU31" i="22"/>
  <c r="FY31" i="23"/>
  <c r="FY31" i="22"/>
  <c r="GC31" i="23"/>
  <c r="GC31" i="22"/>
  <c r="GG31" i="23"/>
  <c r="GG31" i="22"/>
  <c r="GK31" i="23"/>
  <c r="GK31" i="22"/>
  <c r="GO31" i="23"/>
  <c r="GO31" i="22"/>
  <c r="U32" i="23"/>
  <c r="U32" i="22"/>
  <c r="Y32" i="23"/>
  <c r="Y32" i="22"/>
  <c r="AC32" i="23"/>
  <c r="AC32" i="22"/>
  <c r="AG32" i="23"/>
  <c r="AG32" i="22"/>
  <c r="AK32" i="23"/>
  <c r="AK32" i="22"/>
  <c r="AO32" i="23"/>
  <c r="AO32" i="22"/>
  <c r="AS32" i="23"/>
  <c r="AS32" i="22"/>
  <c r="AW32" i="22"/>
  <c r="BA32" i="23"/>
  <c r="BA32" i="22"/>
  <c r="BE32" i="23"/>
  <c r="BE32" i="22"/>
  <c r="BI32" i="23"/>
  <c r="BI32" i="22"/>
  <c r="BM32" i="23"/>
  <c r="BM32" i="22"/>
  <c r="BQ32" i="23"/>
  <c r="BQ32" i="22"/>
  <c r="BU32" i="23"/>
  <c r="BU32" i="22"/>
  <c r="BY32" i="23"/>
  <c r="BY32" i="22"/>
  <c r="CC32" i="22"/>
  <c r="CG32" i="23"/>
  <c r="CG32" i="22"/>
  <c r="CK32" i="23"/>
  <c r="CK32" i="22"/>
  <c r="CO32" i="23"/>
  <c r="CO32" i="22"/>
  <c r="CS32" i="23"/>
  <c r="CS32" i="22"/>
  <c r="CW32" i="23"/>
  <c r="CW32" i="22"/>
  <c r="DA32" i="23"/>
  <c r="DA32" i="22"/>
  <c r="DE32" i="23"/>
  <c r="DE32" i="22"/>
  <c r="DI32" i="22"/>
  <c r="DM32" i="23"/>
  <c r="DM32" i="22"/>
  <c r="DQ32" i="23"/>
  <c r="DQ32" i="22"/>
  <c r="DU32" i="23"/>
  <c r="DU32" i="22"/>
  <c r="DY32" i="23"/>
  <c r="DY32" i="22"/>
  <c r="EC32" i="23"/>
  <c r="EC32" i="22"/>
  <c r="EG32" i="23"/>
  <c r="EG32" i="22"/>
  <c r="EK32" i="23"/>
  <c r="EK32" i="22"/>
  <c r="EO32" i="22"/>
  <c r="ES32" i="23"/>
  <c r="ES32" i="22"/>
  <c r="EW32" i="23"/>
  <c r="EW32" i="22"/>
  <c r="FA32" i="23"/>
  <c r="FA32" i="22"/>
  <c r="FE32" i="23"/>
  <c r="FE32" i="22"/>
  <c r="FI32" i="23"/>
  <c r="FI32" i="22"/>
  <c r="FM32" i="23"/>
  <c r="FM32" i="22"/>
  <c r="FQ32" i="23"/>
  <c r="FQ32" i="22"/>
  <c r="FU32" i="22"/>
  <c r="FY32" i="23"/>
  <c r="FY32" i="22"/>
  <c r="GC32" i="23"/>
  <c r="GC32" i="22"/>
  <c r="GG32" i="23"/>
  <c r="GG32" i="22"/>
  <c r="GK32" i="23"/>
  <c r="GK32" i="22"/>
  <c r="GO32" i="23"/>
  <c r="GO32" i="22"/>
  <c r="U33" i="23"/>
  <c r="U33" i="22"/>
  <c r="Y33" i="23"/>
  <c r="Y33" i="22"/>
  <c r="AC33" i="23"/>
  <c r="AC33" i="22"/>
  <c r="AG33" i="23"/>
  <c r="AG33" i="22"/>
  <c r="AK33" i="23"/>
  <c r="AK33" i="22"/>
  <c r="AO33" i="23"/>
  <c r="AO33" i="22"/>
  <c r="AS33" i="23"/>
  <c r="AS33" i="22"/>
  <c r="AW33" i="23"/>
  <c r="AW33" i="22"/>
  <c r="BA33" i="23"/>
  <c r="BA33" i="22"/>
  <c r="BE33" i="23"/>
  <c r="BE33" i="22"/>
  <c r="BI33" i="23"/>
  <c r="BI33" i="22"/>
  <c r="BM33" i="23"/>
  <c r="BM33" i="22"/>
  <c r="BQ33" i="23"/>
  <c r="BQ33" i="22"/>
  <c r="BU33" i="23"/>
  <c r="BU33" i="22"/>
  <c r="BY33" i="23"/>
  <c r="BY33" i="22"/>
  <c r="CC33" i="23"/>
  <c r="CC33" i="22"/>
  <c r="CG33" i="23"/>
  <c r="CG33" i="22"/>
  <c r="CK33" i="23"/>
  <c r="CK33" i="22"/>
  <c r="CO33" i="23"/>
  <c r="CO33" i="22"/>
  <c r="CS33" i="23"/>
  <c r="CS33" i="22"/>
  <c r="CW33" i="23"/>
  <c r="CW33" i="22"/>
  <c r="DA33" i="23"/>
  <c r="DA33" i="22"/>
  <c r="DE33" i="23"/>
  <c r="DE33" i="22"/>
  <c r="DI33" i="23"/>
  <c r="DI33" i="22"/>
  <c r="DM33" i="23"/>
  <c r="DM33" i="22"/>
  <c r="DQ33" i="23"/>
  <c r="DQ33" i="22"/>
  <c r="DU33" i="23"/>
  <c r="DU33" i="22"/>
  <c r="DY33" i="23"/>
  <c r="DY33" i="22"/>
  <c r="EC33" i="23"/>
  <c r="EC33" i="22"/>
  <c r="EG33" i="23"/>
  <c r="EG33" i="22"/>
  <c r="EK33" i="23"/>
  <c r="EK33" i="22"/>
  <c r="EO33" i="23"/>
  <c r="EO33" i="22"/>
  <c r="ES33" i="23"/>
  <c r="ES33" i="22"/>
  <c r="EW33" i="23"/>
  <c r="EW33" i="22"/>
  <c r="FA33" i="23"/>
  <c r="FA33" i="22"/>
  <c r="FE33" i="23"/>
  <c r="FE33" i="22"/>
  <c r="FI33" i="23"/>
  <c r="FI33" i="22"/>
  <c r="FM33" i="23"/>
  <c r="FM33" i="22"/>
  <c r="FQ33" i="23"/>
  <c r="FQ33" i="22"/>
  <c r="FU33" i="23"/>
  <c r="FU33" i="22"/>
  <c r="FY33" i="23"/>
  <c r="FY33" i="22"/>
  <c r="GC33" i="23"/>
  <c r="GC33" i="22"/>
  <c r="GG33" i="23"/>
  <c r="GG33" i="22"/>
  <c r="GK33" i="23"/>
  <c r="GK33" i="22"/>
  <c r="GO33" i="23"/>
  <c r="GO33" i="22"/>
  <c r="U34" i="22"/>
  <c r="Y34" i="23"/>
  <c r="Y34" i="22"/>
  <c r="AC34" i="23"/>
  <c r="AC34" i="22"/>
  <c r="AG34" i="23"/>
  <c r="AG34" i="22"/>
  <c r="AK34" i="23"/>
  <c r="AK34" i="22"/>
  <c r="AO34" i="23"/>
  <c r="AO34" i="22"/>
  <c r="AS34" i="23"/>
  <c r="AS34" i="22"/>
  <c r="AW34" i="23"/>
  <c r="AW34" i="22"/>
  <c r="BA34" i="22"/>
  <c r="BE34" i="23"/>
  <c r="BE34" i="22"/>
  <c r="BI34" i="23"/>
  <c r="BI34" i="22"/>
  <c r="BM34" i="23"/>
  <c r="BM34" i="22"/>
  <c r="BQ34" i="23"/>
  <c r="BQ34" i="22"/>
  <c r="BU34" i="23"/>
  <c r="BU34" i="22"/>
  <c r="BY34" i="23"/>
  <c r="BY34" i="22"/>
  <c r="CC34" i="23"/>
  <c r="CC34" i="22"/>
  <c r="CG34" i="22"/>
  <c r="CK34" i="23"/>
  <c r="CK34" i="22"/>
  <c r="CO34" i="23"/>
  <c r="CO34" i="22"/>
  <c r="CS34" i="23"/>
  <c r="CS34" i="22"/>
  <c r="CW34" i="23"/>
  <c r="CW34" i="22"/>
  <c r="DA34" i="23"/>
  <c r="DA34" i="22"/>
  <c r="DE34" i="23"/>
  <c r="DE34" i="22"/>
  <c r="DI34" i="23"/>
  <c r="DI34" i="22"/>
  <c r="DM34" i="22"/>
  <c r="DQ34" i="23"/>
  <c r="DQ34" i="22"/>
  <c r="DU34" i="23"/>
  <c r="DU34" i="22"/>
  <c r="DY34" i="23"/>
  <c r="DY34" i="22"/>
  <c r="EC34" i="23"/>
  <c r="EC34" i="22"/>
  <c r="EG34" i="23"/>
  <c r="EG34" i="22"/>
  <c r="EK34" i="23"/>
  <c r="EK34" i="22"/>
  <c r="EO34" i="23"/>
  <c r="EO34" i="22"/>
  <c r="ES34" i="22"/>
  <c r="EW34" i="23"/>
  <c r="EW34" i="22"/>
  <c r="FA34" i="23"/>
  <c r="FA34" i="22"/>
  <c r="FE34" i="23"/>
  <c r="FE34" i="22"/>
  <c r="FI34" i="23"/>
  <c r="FI34" i="22"/>
  <c r="FM34" i="23"/>
  <c r="FM34" i="22"/>
  <c r="FQ34" i="23"/>
  <c r="FQ34" i="22"/>
  <c r="FU34" i="23"/>
  <c r="FU34" i="22"/>
  <c r="FY34" i="22"/>
  <c r="GC34" i="23"/>
  <c r="GC34" i="22"/>
  <c r="GG34" i="23"/>
  <c r="GG34" i="22"/>
  <c r="GK34" i="23"/>
  <c r="GK34" i="22"/>
  <c r="GO34" i="23"/>
  <c r="GO34" i="22"/>
  <c r="U35" i="23"/>
  <c r="U35" i="22"/>
  <c r="Y35" i="23"/>
  <c r="Y35" i="22"/>
  <c r="AC35" i="23"/>
  <c r="AC35" i="22"/>
  <c r="AG35" i="23"/>
  <c r="AG35" i="22"/>
  <c r="AK35" i="23"/>
  <c r="AK35" i="22"/>
  <c r="AO35" i="23"/>
  <c r="AO35" i="22"/>
  <c r="AS35" i="23"/>
  <c r="AS35" i="22"/>
  <c r="AW35" i="23"/>
  <c r="AW35" i="22"/>
  <c r="BA35" i="23"/>
  <c r="BA35" i="22"/>
  <c r="BE35" i="23"/>
  <c r="BE35" i="22"/>
  <c r="BI35" i="23"/>
  <c r="BI35" i="22"/>
  <c r="BM35" i="23"/>
  <c r="BM35" i="22"/>
  <c r="BQ35" i="23"/>
  <c r="BQ35" i="22"/>
  <c r="BU35" i="23"/>
  <c r="BU35" i="22"/>
  <c r="BY35" i="23"/>
  <c r="BY35" i="22"/>
  <c r="CC35" i="23"/>
  <c r="CC35" i="22"/>
  <c r="CG35" i="23"/>
  <c r="CG35" i="22"/>
  <c r="CK35" i="23"/>
  <c r="CK35" i="22"/>
  <c r="CO35" i="23"/>
  <c r="CO35" i="22"/>
  <c r="CS35" i="23"/>
  <c r="CS35" i="22"/>
  <c r="CW35" i="23"/>
  <c r="CW35" i="22"/>
  <c r="DA35" i="23"/>
  <c r="DA35" i="22"/>
  <c r="DE35" i="23"/>
  <c r="DE35" i="22"/>
  <c r="DI35" i="23"/>
  <c r="DI35" i="22"/>
  <c r="DM35" i="23"/>
  <c r="DM35" i="22"/>
  <c r="DQ35" i="23"/>
  <c r="DQ35" i="22"/>
  <c r="DU35" i="23"/>
  <c r="DU35" i="22"/>
  <c r="DY35" i="23"/>
  <c r="DY35" i="22"/>
  <c r="EC35" i="23"/>
  <c r="EC35" i="22"/>
  <c r="EG35" i="23"/>
  <c r="EG35" i="22"/>
  <c r="EK35" i="23"/>
  <c r="EK35" i="22"/>
  <c r="EO35" i="23"/>
  <c r="EO35" i="22"/>
  <c r="ES35" i="23"/>
  <c r="ES35" i="22"/>
  <c r="EW35" i="23"/>
  <c r="EW35" i="22"/>
  <c r="FA35" i="23"/>
  <c r="FA35" i="22"/>
  <c r="FE35" i="23"/>
  <c r="FE35" i="22"/>
  <c r="FI35" i="23"/>
  <c r="FI35" i="22"/>
  <c r="FM35" i="23"/>
  <c r="FM35" i="22"/>
  <c r="FQ35" i="23"/>
  <c r="FQ35" i="22"/>
  <c r="FU35" i="23"/>
  <c r="FU35" i="22"/>
  <c r="FY35" i="23"/>
  <c r="FY35" i="22"/>
  <c r="GC35" i="23"/>
  <c r="GC35" i="22"/>
  <c r="GG35" i="23"/>
  <c r="GG35" i="22"/>
  <c r="GK35" i="23"/>
  <c r="GK35" i="22"/>
  <c r="GO35" i="23"/>
  <c r="GO35" i="22"/>
  <c r="U36" i="23"/>
  <c r="U36" i="22"/>
  <c r="Y36" i="23"/>
  <c r="Y36" i="22"/>
  <c r="AC36" i="23"/>
  <c r="AC36" i="22"/>
  <c r="AG36" i="23"/>
  <c r="AG36" i="22"/>
  <c r="AK36" i="23"/>
  <c r="AK36" i="22"/>
  <c r="AO36" i="23"/>
  <c r="AO36" i="22"/>
  <c r="AS36" i="22"/>
  <c r="AW36" i="23"/>
  <c r="AW36" i="22"/>
  <c r="BA36" i="23"/>
  <c r="BA36" i="22"/>
  <c r="BE36" i="23"/>
  <c r="BE36" i="22"/>
  <c r="BI36" i="23"/>
  <c r="BI36" i="22"/>
  <c r="BM36" i="23"/>
  <c r="BM36" i="22"/>
  <c r="BQ36" i="23"/>
  <c r="BQ36" i="22"/>
  <c r="BU36" i="23"/>
  <c r="BU36" i="22"/>
  <c r="BY36" i="22"/>
  <c r="CC36" i="23"/>
  <c r="CC36" i="22"/>
  <c r="CG36" i="23"/>
  <c r="CG36" i="22"/>
  <c r="CK36" i="23"/>
  <c r="CK36" i="22"/>
  <c r="CO36" i="23"/>
  <c r="CO36" i="22"/>
  <c r="CS36" i="23"/>
  <c r="CS36" i="22"/>
  <c r="CW36" i="23"/>
  <c r="CW36" i="22"/>
  <c r="DA36" i="23"/>
  <c r="DA36" i="22"/>
  <c r="DE36" i="22"/>
  <c r="DI36" i="23"/>
  <c r="DI36" i="22"/>
  <c r="DM36" i="23"/>
  <c r="DM36" i="22"/>
  <c r="DQ36" i="23"/>
  <c r="DQ36" i="22"/>
  <c r="DU36" i="23"/>
  <c r="DU36" i="22"/>
  <c r="DY36" i="23"/>
  <c r="DY36" i="22"/>
  <c r="EC36" i="23"/>
  <c r="EC36" i="22"/>
  <c r="EG36" i="23"/>
  <c r="EG36" i="22"/>
  <c r="EK36" i="22"/>
  <c r="EO36" i="23"/>
  <c r="EO36" i="22"/>
  <c r="ES36" i="23"/>
  <c r="ES36" i="22"/>
  <c r="EW36" i="23"/>
  <c r="EW36" i="22"/>
  <c r="FA36" i="23"/>
  <c r="FA36" i="22"/>
  <c r="FE36" i="23"/>
  <c r="FE36" i="22"/>
  <c r="FI36" i="23"/>
  <c r="FI36" i="22"/>
  <c r="FM36" i="23"/>
  <c r="FM36" i="22"/>
  <c r="FQ36" i="22"/>
  <c r="FU36" i="23"/>
  <c r="FU36" i="22"/>
  <c r="FY36" i="23"/>
  <c r="FY36" i="22"/>
  <c r="GC36" i="23"/>
  <c r="GC36" i="22"/>
  <c r="GG36" i="23"/>
  <c r="GG36" i="22"/>
  <c r="GK36" i="23"/>
  <c r="GK36" i="22"/>
  <c r="GO36" i="23"/>
  <c r="GO36" i="22"/>
  <c r="U37" i="23"/>
  <c r="U37" i="22"/>
  <c r="Y37" i="23"/>
  <c r="Y37" i="22"/>
  <c r="AC37" i="23"/>
  <c r="AC37" i="22"/>
  <c r="AG37" i="23"/>
  <c r="AG37" i="22"/>
  <c r="AK37" i="23"/>
  <c r="AK37" i="22"/>
  <c r="AO37" i="23"/>
  <c r="AO37" i="22"/>
  <c r="AS37" i="23"/>
  <c r="AS37" i="22"/>
  <c r="AW37" i="23"/>
  <c r="AW37" i="22"/>
  <c r="BA37" i="23"/>
  <c r="BA37" i="22"/>
  <c r="BE37" i="23"/>
  <c r="BE37" i="22"/>
  <c r="BI37" i="23"/>
  <c r="BI37" i="22"/>
  <c r="BM37" i="23"/>
  <c r="BM37" i="22"/>
  <c r="BQ37" i="23"/>
  <c r="BQ37" i="22"/>
  <c r="BU37" i="23"/>
  <c r="BU37" i="22"/>
  <c r="BY37" i="23"/>
  <c r="BY37" i="22"/>
  <c r="CC37" i="23"/>
  <c r="CC37" i="22"/>
  <c r="CG37" i="23"/>
  <c r="CG37" i="22"/>
  <c r="CK37" i="23"/>
  <c r="CK37" i="22"/>
  <c r="CO37" i="23"/>
  <c r="CO37" i="22"/>
  <c r="CS37" i="23"/>
  <c r="CS37" i="22"/>
  <c r="CW37" i="23"/>
  <c r="CW37" i="22"/>
  <c r="DA37" i="23"/>
  <c r="DA37" i="22"/>
  <c r="DE37" i="23"/>
  <c r="DE37" i="22"/>
  <c r="DI37" i="23"/>
  <c r="DI37" i="22"/>
  <c r="DM37" i="23"/>
  <c r="DM37" i="22"/>
  <c r="DQ37" i="23"/>
  <c r="DQ37" i="22"/>
  <c r="DU37" i="23"/>
  <c r="DU37" i="22"/>
  <c r="DY37" i="23"/>
  <c r="DY37" i="22"/>
  <c r="EC37" i="23"/>
  <c r="EC37" i="22"/>
  <c r="EG37" i="23"/>
  <c r="EG37" i="22"/>
  <c r="EK37" i="23"/>
  <c r="EK37" i="22"/>
  <c r="EO37" i="23"/>
  <c r="EO37" i="22"/>
  <c r="ES37" i="23"/>
  <c r="ES37" i="22"/>
  <c r="EW37" i="23"/>
  <c r="EW37" i="22"/>
  <c r="FA37" i="23"/>
  <c r="FA37" i="22"/>
  <c r="FE37" i="23"/>
  <c r="FE37" i="22"/>
  <c r="FI37" i="23"/>
  <c r="FI37" i="22"/>
  <c r="FM37" i="23"/>
  <c r="FM37" i="22"/>
  <c r="FQ37" i="23"/>
  <c r="FQ37" i="22"/>
  <c r="FU37" i="23"/>
  <c r="FU37" i="22"/>
  <c r="FY37" i="23"/>
  <c r="FY37" i="22"/>
  <c r="GC37" i="23"/>
  <c r="GC37" i="22"/>
  <c r="GG37" i="23"/>
  <c r="GG37" i="22"/>
  <c r="GK37" i="23"/>
  <c r="GK37" i="22"/>
  <c r="GO37" i="23"/>
  <c r="GO37" i="22"/>
  <c r="V11" i="23"/>
  <c r="V11" i="22"/>
  <c r="Z11" i="23"/>
  <c r="Z11" i="22"/>
  <c r="AH11" i="23"/>
  <c r="AH11" i="22"/>
  <c r="AP11" i="23"/>
  <c r="AP11" i="22"/>
  <c r="AT11" i="23"/>
  <c r="AT11" i="22"/>
  <c r="AX11" i="23"/>
  <c r="AX11" i="22"/>
  <c r="BB11" i="23"/>
  <c r="BB11" i="22"/>
  <c r="BF11" i="23"/>
  <c r="BF11" i="22"/>
  <c r="BN11" i="23"/>
  <c r="BN11" i="22"/>
  <c r="BV11" i="23"/>
  <c r="BV11" i="22"/>
  <c r="BZ11" i="23"/>
  <c r="BZ11" i="22"/>
  <c r="CD11" i="23"/>
  <c r="CD11" i="22"/>
  <c r="CH11" i="23"/>
  <c r="CH11" i="22"/>
  <c r="CL11" i="23"/>
  <c r="CL11" i="22"/>
  <c r="CT11" i="23"/>
  <c r="CT11" i="22"/>
  <c r="DB11" i="23"/>
  <c r="DB11" i="22"/>
  <c r="DF11" i="23"/>
  <c r="DF11" i="22"/>
  <c r="DJ11" i="23"/>
  <c r="DJ11" i="22"/>
  <c r="DN11" i="23"/>
  <c r="DN11" i="22"/>
  <c r="DR11" i="23"/>
  <c r="DR11" i="22"/>
  <c r="DZ11" i="23"/>
  <c r="DZ11" i="22"/>
  <c r="EH11" i="23"/>
  <c r="EH11" i="22"/>
  <c r="EL11" i="23"/>
  <c r="EL11" i="22"/>
  <c r="EP11" i="23"/>
  <c r="EP11" i="22"/>
  <c r="ET11" i="23"/>
  <c r="ET11" i="22"/>
  <c r="EX11" i="23"/>
  <c r="EX11" i="22"/>
  <c r="FF11" i="23"/>
  <c r="FF11" i="22"/>
  <c r="FN11" i="23"/>
  <c r="FN11" i="22"/>
  <c r="FR11" i="23"/>
  <c r="FR11" i="22"/>
  <c r="FV11" i="23"/>
  <c r="FV11" i="22"/>
  <c r="FZ11" i="23"/>
  <c r="FZ11" i="22"/>
  <c r="GD11" i="23"/>
  <c r="GD11" i="22"/>
  <c r="GL11" i="23"/>
  <c r="GL11" i="22"/>
  <c r="V12" i="23"/>
  <c r="V12" i="22"/>
  <c r="Z12" i="23"/>
  <c r="Z12" i="22"/>
  <c r="AD12" i="23"/>
  <c r="AD12" i="22"/>
  <c r="AH12" i="23"/>
  <c r="AH12" i="22"/>
  <c r="AL12" i="23"/>
  <c r="AL12" i="22"/>
  <c r="AP12" i="23"/>
  <c r="AP12" i="22"/>
  <c r="AT12" i="23"/>
  <c r="AT12" i="22"/>
  <c r="AX12" i="23"/>
  <c r="AX12" i="22"/>
  <c r="BB12" i="23"/>
  <c r="BB12" i="22"/>
  <c r="BF12" i="23"/>
  <c r="BF12" i="22"/>
  <c r="BJ12" i="23"/>
  <c r="BJ12" i="22"/>
  <c r="BN12" i="23"/>
  <c r="BN12" i="22"/>
  <c r="BR12" i="23"/>
  <c r="BR12" i="22"/>
  <c r="BV12" i="23"/>
  <c r="BV12" i="22"/>
  <c r="BZ12" i="23"/>
  <c r="BZ12" i="22"/>
  <c r="CD12" i="23"/>
  <c r="CD12" i="22"/>
  <c r="CH12" i="23"/>
  <c r="CH12" i="22"/>
  <c r="CL12" i="23"/>
  <c r="CL12" i="22"/>
  <c r="CP12" i="23"/>
  <c r="CP12" i="22"/>
  <c r="CT12" i="23"/>
  <c r="CT12" i="22"/>
  <c r="CX12" i="23"/>
  <c r="CX12" i="22"/>
  <c r="DB12" i="23"/>
  <c r="DB12" i="22"/>
  <c r="DF12" i="23"/>
  <c r="DF12" i="22"/>
  <c r="DJ12" i="23"/>
  <c r="DJ12" i="22"/>
  <c r="DN12" i="23"/>
  <c r="DN12" i="22"/>
  <c r="DR12" i="23"/>
  <c r="DR12" i="22"/>
  <c r="DV12" i="23"/>
  <c r="DV12" i="22"/>
  <c r="DZ12" i="23"/>
  <c r="DZ12" i="22"/>
  <c r="ED12" i="23"/>
  <c r="ED12" i="22"/>
  <c r="EH12" i="23"/>
  <c r="EH12" i="22"/>
  <c r="EL12" i="23"/>
  <c r="EL12" i="22"/>
  <c r="EP12" i="23"/>
  <c r="EP12" i="22"/>
  <c r="ET12" i="23"/>
  <c r="ET12" i="22"/>
  <c r="EX12" i="23"/>
  <c r="EX12" i="22"/>
  <c r="FB12" i="23"/>
  <c r="FB12" i="22"/>
  <c r="FF12" i="23"/>
  <c r="FF12" i="22"/>
  <c r="FJ12" i="23"/>
  <c r="FJ12" i="22"/>
  <c r="FN12" i="23"/>
  <c r="FN12" i="22"/>
  <c r="FR12" i="23"/>
  <c r="FR12" i="22"/>
  <c r="FV12" i="23"/>
  <c r="FV12" i="22"/>
  <c r="FZ12" i="23"/>
  <c r="FZ12" i="22"/>
  <c r="GD12" i="23"/>
  <c r="GD12" i="22"/>
  <c r="GH12" i="23"/>
  <c r="GH12" i="22"/>
  <c r="GL12" i="23"/>
  <c r="GL12" i="22"/>
  <c r="GP12" i="23"/>
  <c r="GP12" i="22"/>
  <c r="V13" i="23"/>
  <c r="V13" i="22"/>
  <c r="Z13" i="23"/>
  <c r="Z13" i="22"/>
  <c r="AD13" i="23"/>
  <c r="AD13" i="22"/>
  <c r="AH13" i="23"/>
  <c r="AH13" i="22"/>
  <c r="AL13" i="23"/>
  <c r="AL13" i="22"/>
  <c r="AP13" i="23"/>
  <c r="AP13" i="22"/>
  <c r="AT13" i="23"/>
  <c r="AT13" i="22"/>
  <c r="AX13" i="23"/>
  <c r="AX13" i="22"/>
  <c r="BB13" i="23"/>
  <c r="BB13" i="22"/>
  <c r="BF13" i="23"/>
  <c r="BF13" i="22"/>
  <c r="BJ13" i="23"/>
  <c r="BJ13" i="22"/>
  <c r="BN13" i="23"/>
  <c r="BN13" i="22"/>
  <c r="BR13" i="23"/>
  <c r="BR13" i="22"/>
  <c r="BV13" i="23"/>
  <c r="BV13" i="22"/>
  <c r="BZ13" i="23"/>
  <c r="BZ13" i="22"/>
  <c r="CD13" i="23"/>
  <c r="CD13" i="22"/>
  <c r="CH13" i="23"/>
  <c r="CH13" i="22"/>
  <c r="CL13" i="23"/>
  <c r="CL13" i="22"/>
  <c r="CP13" i="23"/>
  <c r="CP13" i="22"/>
  <c r="CT13" i="23"/>
  <c r="CT13" i="22"/>
  <c r="CX13" i="23"/>
  <c r="CX13" i="22"/>
  <c r="DB13" i="23"/>
  <c r="DB13" i="22"/>
  <c r="DF13" i="23"/>
  <c r="DF13" i="22"/>
  <c r="DJ13" i="23"/>
  <c r="DJ13" i="22"/>
  <c r="DN13" i="23"/>
  <c r="DN13" i="22"/>
  <c r="DR13" i="23"/>
  <c r="DR13" i="22"/>
  <c r="DV13" i="23"/>
  <c r="DV13" i="22"/>
  <c r="DZ13" i="23"/>
  <c r="DZ13" i="22"/>
  <c r="ED13" i="23"/>
  <c r="ED13" i="22"/>
  <c r="EH13" i="23"/>
  <c r="EH13" i="22"/>
  <c r="EL13" i="23"/>
  <c r="EL13" i="22"/>
  <c r="EP13" i="23"/>
  <c r="EP13" i="22"/>
  <c r="ET13" i="23"/>
  <c r="ET13" i="22"/>
  <c r="EX13" i="23"/>
  <c r="EX13" i="22"/>
  <c r="FB13" i="23"/>
  <c r="FB13" i="22"/>
  <c r="FF13" i="23"/>
  <c r="FF13" i="22"/>
  <c r="FJ13" i="23"/>
  <c r="FJ13" i="22"/>
  <c r="FN13" i="23"/>
  <c r="FN13" i="22"/>
  <c r="FR13" i="23"/>
  <c r="FR13" i="22"/>
  <c r="FV13" i="23"/>
  <c r="FV13" i="22"/>
  <c r="FZ13" i="23"/>
  <c r="FZ13" i="22"/>
  <c r="GD13" i="23"/>
  <c r="GD13" i="22"/>
  <c r="GH13" i="23"/>
  <c r="GH13" i="22"/>
  <c r="GL13" i="23"/>
  <c r="GL13" i="22"/>
  <c r="GP13" i="23"/>
  <c r="GP13" i="22"/>
  <c r="V14" i="23"/>
  <c r="V14" i="22"/>
  <c r="Z14" i="23"/>
  <c r="Z14" i="22"/>
  <c r="AD14" i="23"/>
  <c r="AD14" i="22"/>
  <c r="AH14" i="23"/>
  <c r="AH14" i="22"/>
  <c r="AL14" i="23"/>
  <c r="AL14" i="22"/>
  <c r="AP14" i="23"/>
  <c r="AP14" i="22"/>
  <c r="AT14" i="23"/>
  <c r="AT14" i="22"/>
  <c r="AX14" i="23"/>
  <c r="AX14" i="22"/>
  <c r="BB14" i="23"/>
  <c r="BB14" i="22"/>
  <c r="BF14" i="23"/>
  <c r="BF14" i="22"/>
  <c r="BJ14" i="23"/>
  <c r="BJ14" i="22"/>
  <c r="BN14" i="23"/>
  <c r="BN14" i="22"/>
  <c r="BR14" i="23"/>
  <c r="BR14" i="22"/>
  <c r="BV14" i="23"/>
  <c r="BV14" i="22"/>
  <c r="BZ14" i="23"/>
  <c r="BZ14" i="22"/>
  <c r="CD14" i="23"/>
  <c r="CD14" i="22"/>
  <c r="CH14" i="23"/>
  <c r="CH14" i="22"/>
  <c r="CL14" i="23"/>
  <c r="CL14" i="22"/>
  <c r="CP14" i="23"/>
  <c r="CP14" i="22"/>
  <c r="CT14" i="23"/>
  <c r="CT14" i="22"/>
  <c r="CX14" i="23"/>
  <c r="CX14" i="22"/>
  <c r="DB14" i="23"/>
  <c r="DB14" i="22"/>
  <c r="DF14" i="23"/>
  <c r="DF14" i="22"/>
  <c r="DJ14" i="23"/>
  <c r="DJ14" i="22"/>
  <c r="DN14" i="23"/>
  <c r="DN14" i="22"/>
  <c r="DR14" i="23"/>
  <c r="DR14" i="22"/>
  <c r="DV14" i="23"/>
  <c r="DV14" i="22"/>
  <c r="DZ14" i="23"/>
  <c r="DZ14" i="22"/>
  <c r="ED14" i="23"/>
  <c r="ED14" i="22"/>
  <c r="EH14" i="23"/>
  <c r="EH14" i="22"/>
  <c r="EL14" i="23"/>
  <c r="EL14" i="22"/>
  <c r="EP14" i="23"/>
  <c r="EP14" i="22"/>
  <c r="ET14" i="23"/>
  <c r="ET14" i="22"/>
  <c r="EX14" i="23"/>
  <c r="EX14" i="22"/>
  <c r="FB14" i="23"/>
  <c r="FB14" i="22"/>
  <c r="FF14" i="23"/>
  <c r="FF14" i="22"/>
  <c r="FJ14" i="23"/>
  <c r="FJ14" i="22"/>
  <c r="FN14" i="23"/>
  <c r="FN14" i="22"/>
  <c r="FR14" i="23"/>
  <c r="FR14" i="22"/>
  <c r="FV14" i="23"/>
  <c r="FV14" i="22"/>
  <c r="FZ14" i="23"/>
  <c r="FZ14" i="22"/>
  <c r="GD14" i="23"/>
  <c r="GD14" i="22"/>
  <c r="GH14" i="23"/>
  <c r="GH14" i="22"/>
  <c r="GL14" i="23"/>
  <c r="GL14" i="22"/>
  <c r="GP14" i="23"/>
  <c r="GP14" i="22"/>
  <c r="V15" i="23"/>
  <c r="V15" i="22"/>
  <c r="Z15" i="23"/>
  <c r="Z15" i="22"/>
  <c r="AD15" i="23"/>
  <c r="AD15" i="22"/>
  <c r="AH15" i="23"/>
  <c r="AH15" i="22"/>
  <c r="AL15" i="23"/>
  <c r="AL15" i="22"/>
  <c r="AP15" i="23"/>
  <c r="AP15" i="22"/>
  <c r="AT15" i="23"/>
  <c r="AT15" i="22"/>
  <c r="AX15" i="23"/>
  <c r="AX15" i="22"/>
  <c r="BB15" i="23"/>
  <c r="BB15" i="22"/>
  <c r="BF15" i="23"/>
  <c r="BF15" i="22"/>
  <c r="BJ15" i="23"/>
  <c r="BJ15" i="22"/>
  <c r="BN15" i="23"/>
  <c r="BN15" i="22"/>
  <c r="BR15" i="23"/>
  <c r="BR15" i="22"/>
  <c r="BV15" i="23"/>
  <c r="BV15" i="22"/>
  <c r="BZ15" i="23"/>
  <c r="BZ15" i="22"/>
  <c r="CD15" i="23"/>
  <c r="CD15" i="22"/>
  <c r="CH15" i="23"/>
  <c r="CH15" i="22"/>
  <c r="CL15" i="23"/>
  <c r="CL15" i="22"/>
  <c r="CP15" i="23"/>
  <c r="CP15" i="22"/>
  <c r="CT15" i="23"/>
  <c r="CT15" i="22"/>
  <c r="CX15" i="23"/>
  <c r="CX15" i="22"/>
  <c r="DB15" i="23"/>
  <c r="DB15" i="22"/>
  <c r="DF15" i="23"/>
  <c r="DF15" i="22"/>
  <c r="DJ15" i="23"/>
  <c r="DJ15" i="22"/>
  <c r="DN15" i="23"/>
  <c r="DN15" i="22"/>
  <c r="DR15" i="23"/>
  <c r="DR15" i="22"/>
  <c r="DV15" i="23"/>
  <c r="DV15" i="22"/>
  <c r="DZ15" i="23"/>
  <c r="DZ15" i="22"/>
  <c r="ED15" i="23"/>
  <c r="ED15" i="22"/>
  <c r="EH15" i="23"/>
  <c r="EH15" i="22"/>
  <c r="EL15" i="23"/>
  <c r="EL15" i="22"/>
  <c r="EP15" i="23"/>
  <c r="EP15" i="22"/>
  <c r="ET15" i="23"/>
  <c r="ET15" i="22"/>
  <c r="EX15" i="23"/>
  <c r="EX15" i="22"/>
  <c r="FB15" i="23"/>
  <c r="FB15" i="22"/>
  <c r="FF15" i="23"/>
  <c r="FF15" i="22"/>
  <c r="FJ15" i="23"/>
  <c r="FJ15" i="22"/>
  <c r="FN15" i="23"/>
  <c r="FN15" i="22"/>
  <c r="FR15" i="23"/>
  <c r="FR15" i="22"/>
  <c r="FV15" i="23"/>
  <c r="FV15" i="22"/>
  <c r="FZ15" i="23"/>
  <c r="FZ15" i="22"/>
  <c r="GD15" i="23"/>
  <c r="GD15" i="22"/>
  <c r="GH15" i="23"/>
  <c r="GH15" i="22"/>
  <c r="GL15" i="23"/>
  <c r="GL15" i="22"/>
  <c r="GP15" i="23"/>
  <c r="GP15" i="22"/>
  <c r="V16" i="23"/>
  <c r="V16" i="22"/>
  <c r="Z16" i="23"/>
  <c r="Z16" i="22"/>
  <c r="AD16" i="23"/>
  <c r="AD16" i="22"/>
  <c r="AH16" i="23"/>
  <c r="AH16" i="22"/>
  <c r="AL16" i="23"/>
  <c r="AL16" i="22"/>
  <c r="AP16" i="23"/>
  <c r="AP16" i="22"/>
  <c r="AT16" i="23"/>
  <c r="AT16" i="22"/>
  <c r="AX16" i="23"/>
  <c r="AX16" i="22"/>
  <c r="BB16" i="23"/>
  <c r="BB16" i="22"/>
  <c r="BF16" i="23"/>
  <c r="BF16" i="22"/>
  <c r="BJ16" i="23"/>
  <c r="BJ16" i="22"/>
  <c r="BN16" i="23"/>
  <c r="BN16" i="22"/>
  <c r="BR16" i="23"/>
  <c r="BR16" i="22"/>
  <c r="BV16" i="23"/>
  <c r="BV16" i="22"/>
  <c r="BZ16" i="23"/>
  <c r="BZ16" i="22"/>
  <c r="CD16" i="23"/>
  <c r="CD16" i="22"/>
  <c r="CH16" i="23"/>
  <c r="CH16" i="22"/>
  <c r="CL16" i="23"/>
  <c r="CL16" i="22"/>
  <c r="CP16" i="23"/>
  <c r="CP16" i="22"/>
  <c r="CT16" i="23"/>
  <c r="CT16" i="22"/>
  <c r="CX16" i="23"/>
  <c r="CX16" i="22"/>
  <c r="DB16" i="23"/>
  <c r="DB16" i="22"/>
  <c r="DF16" i="23"/>
  <c r="DF16" i="22"/>
  <c r="DJ16" i="23"/>
  <c r="DJ16" i="22"/>
  <c r="DN16" i="23"/>
  <c r="DN16" i="22"/>
  <c r="DR16" i="23"/>
  <c r="DR16" i="22"/>
  <c r="DV16" i="23"/>
  <c r="DV16" i="22"/>
  <c r="DZ16" i="23"/>
  <c r="DZ16" i="22"/>
  <c r="ED16" i="23"/>
  <c r="ED16" i="22"/>
  <c r="EH16" i="23"/>
  <c r="EH16" i="22"/>
  <c r="EL16" i="23"/>
  <c r="EL16" i="22"/>
  <c r="EP16" i="23"/>
  <c r="EP16" i="22"/>
  <c r="ET16" i="23"/>
  <c r="ET16" i="22"/>
  <c r="EX16" i="23"/>
  <c r="EX16" i="22"/>
  <c r="FB16" i="23"/>
  <c r="FB16" i="22"/>
  <c r="FF16" i="23"/>
  <c r="FF16" i="22"/>
  <c r="FJ16" i="23"/>
  <c r="FJ16" i="22"/>
  <c r="FN16" i="23"/>
  <c r="FN16" i="22"/>
  <c r="FR16" i="23"/>
  <c r="FR16" i="22"/>
  <c r="FV16" i="23"/>
  <c r="FV16" i="22"/>
  <c r="FZ16" i="23"/>
  <c r="FZ16" i="22"/>
  <c r="GD16" i="23"/>
  <c r="GD16" i="22"/>
  <c r="GH16" i="23"/>
  <c r="GH16" i="22"/>
  <c r="GL16" i="23"/>
  <c r="GL16" i="22"/>
  <c r="GP16" i="23"/>
  <c r="GP16" i="22"/>
  <c r="V17" i="23"/>
  <c r="V17" i="22"/>
  <c r="Z17" i="23"/>
  <c r="Z17" i="22"/>
  <c r="AD17" i="23"/>
  <c r="AD17" i="22"/>
  <c r="AH17" i="23"/>
  <c r="AH17" i="22"/>
  <c r="AL17" i="23"/>
  <c r="AL17" i="22"/>
  <c r="AP17" i="23"/>
  <c r="AP17" i="22"/>
  <c r="AT17" i="23"/>
  <c r="AT17" i="22"/>
  <c r="AX17" i="23"/>
  <c r="AX17" i="22"/>
  <c r="BB17" i="23"/>
  <c r="BB17" i="22"/>
  <c r="BF17" i="23"/>
  <c r="BF17" i="22"/>
  <c r="BJ17" i="23"/>
  <c r="BJ17" i="22"/>
  <c r="BN17" i="23"/>
  <c r="BN17" i="22"/>
  <c r="BR17" i="23"/>
  <c r="BR17" i="22"/>
  <c r="BV17" i="23"/>
  <c r="BV17" i="22"/>
  <c r="BZ17" i="23"/>
  <c r="BZ17" i="22"/>
  <c r="CD17" i="23"/>
  <c r="CD17" i="22"/>
  <c r="CH17" i="23"/>
  <c r="CH17" i="22"/>
  <c r="CL17" i="23"/>
  <c r="CL17" i="22"/>
  <c r="CP17" i="23"/>
  <c r="CP17" i="22"/>
  <c r="CT17" i="23"/>
  <c r="CT17" i="22"/>
  <c r="CX17" i="23"/>
  <c r="CX17" i="22"/>
  <c r="DB17" i="23"/>
  <c r="DB17" i="22"/>
  <c r="DF17" i="23"/>
  <c r="DF17" i="22"/>
  <c r="DJ17" i="23"/>
  <c r="DJ17" i="22"/>
  <c r="DN17" i="23"/>
  <c r="DN17" i="22"/>
  <c r="DR17" i="23"/>
  <c r="DR17" i="22"/>
  <c r="DV17" i="23"/>
  <c r="DV17" i="22"/>
  <c r="DZ17" i="23"/>
  <c r="DZ17" i="22"/>
  <c r="ED17" i="23"/>
  <c r="ED17" i="22"/>
  <c r="EH17" i="23"/>
  <c r="EH17" i="22"/>
  <c r="EL17" i="23"/>
  <c r="EL17" i="22"/>
  <c r="EP17" i="23"/>
  <c r="EP17" i="22"/>
  <c r="ET17" i="23"/>
  <c r="ET17" i="22"/>
  <c r="EX17" i="23"/>
  <c r="EX17" i="22"/>
  <c r="FB17" i="23"/>
  <c r="FB17" i="22"/>
  <c r="FF17" i="23"/>
  <c r="FF17" i="22"/>
  <c r="FJ17" i="23"/>
  <c r="FJ17" i="22"/>
  <c r="FN17" i="23"/>
  <c r="FN17" i="22"/>
  <c r="FR17" i="23"/>
  <c r="FR17" i="22"/>
  <c r="FV17" i="23"/>
  <c r="FV17" i="22"/>
  <c r="FZ17" i="23"/>
  <c r="FZ17" i="22"/>
  <c r="GD17" i="23"/>
  <c r="GD17" i="22"/>
  <c r="GH17" i="23"/>
  <c r="GH17" i="22"/>
  <c r="GL17" i="23"/>
  <c r="GL17" i="22"/>
  <c r="GP17" i="23"/>
  <c r="GP17" i="22"/>
  <c r="V18" i="23"/>
  <c r="V18" i="22"/>
  <c r="Z18" i="23"/>
  <c r="Z18" i="22"/>
  <c r="AD18" i="23"/>
  <c r="AD18" i="22"/>
  <c r="AH18" i="23"/>
  <c r="AH18" i="22"/>
  <c r="AL18" i="23"/>
  <c r="AL18" i="22"/>
  <c r="AP18" i="23"/>
  <c r="AP18" i="22"/>
  <c r="AT18" i="23"/>
  <c r="AT18" i="22"/>
  <c r="AX18" i="23"/>
  <c r="AX18" i="22"/>
  <c r="BB18" i="23"/>
  <c r="BB18" i="22"/>
  <c r="BF18" i="23"/>
  <c r="BF18" i="22"/>
  <c r="BJ18" i="23"/>
  <c r="BJ18" i="22"/>
  <c r="BN18" i="23"/>
  <c r="BN18" i="22"/>
  <c r="BR18" i="23"/>
  <c r="BR18" i="22"/>
  <c r="BV18" i="23"/>
  <c r="BV18" i="22"/>
  <c r="BZ18" i="23"/>
  <c r="BZ18" i="22"/>
  <c r="CD18" i="23"/>
  <c r="CD18" i="22"/>
  <c r="CH18" i="23"/>
  <c r="CH18" i="22"/>
  <c r="CL18" i="23"/>
  <c r="CL18" i="22"/>
  <c r="CP18" i="23"/>
  <c r="CP18" i="22"/>
  <c r="CT18" i="23"/>
  <c r="CT18" i="22"/>
  <c r="CX18" i="23"/>
  <c r="CX18" i="22"/>
  <c r="DB18" i="23"/>
  <c r="DB18" i="22"/>
  <c r="DF18" i="23"/>
  <c r="DF18" i="22"/>
  <c r="DJ18" i="23"/>
  <c r="DJ18" i="22"/>
  <c r="DN18" i="23"/>
  <c r="DN18" i="22"/>
  <c r="DR18" i="23"/>
  <c r="DR18" i="22"/>
  <c r="DV18" i="23"/>
  <c r="DV18" i="22"/>
  <c r="DZ18" i="23"/>
  <c r="DZ18" i="22"/>
  <c r="ED18" i="23"/>
  <c r="ED18" i="22"/>
  <c r="EH18" i="23"/>
  <c r="EH18" i="22"/>
  <c r="EL18" i="23"/>
  <c r="EL18" i="22"/>
  <c r="EP18" i="23"/>
  <c r="EP18" i="22"/>
  <c r="ET18" i="23"/>
  <c r="ET18" i="22"/>
  <c r="EX18" i="23"/>
  <c r="EX18" i="22"/>
  <c r="FB18" i="23"/>
  <c r="FB18" i="22"/>
  <c r="FF18" i="23"/>
  <c r="FF18" i="22"/>
  <c r="FJ18" i="23"/>
  <c r="FJ18" i="22"/>
  <c r="FN18" i="23"/>
  <c r="FN18" i="22"/>
  <c r="FR18" i="23"/>
  <c r="FR18" i="22"/>
  <c r="FV18" i="23"/>
  <c r="FV18" i="22"/>
  <c r="FZ18" i="23"/>
  <c r="FZ18" i="22"/>
  <c r="GD18" i="23"/>
  <c r="GD18" i="22"/>
  <c r="GH18" i="23"/>
  <c r="GH18" i="22"/>
  <c r="GL18" i="23"/>
  <c r="GL18" i="22"/>
  <c r="GP18" i="23"/>
  <c r="GP18" i="22"/>
  <c r="V19" i="23"/>
  <c r="V19" i="22"/>
  <c r="Z19" i="23"/>
  <c r="Z19" i="22"/>
  <c r="AD19" i="23"/>
  <c r="AD19" i="22"/>
  <c r="AH19" i="23"/>
  <c r="AH19" i="22"/>
  <c r="AL19" i="23"/>
  <c r="AL19" i="22"/>
  <c r="AP19" i="23"/>
  <c r="AP19" i="22"/>
  <c r="AT19" i="23"/>
  <c r="AT19" i="22"/>
  <c r="AX19" i="23"/>
  <c r="AX19" i="22"/>
  <c r="BB19" i="23"/>
  <c r="BB19" i="22"/>
  <c r="BF19" i="23"/>
  <c r="BF19" i="22"/>
  <c r="BJ19" i="23"/>
  <c r="BJ19" i="22"/>
  <c r="BN19" i="23"/>
  <c r="BN19" i="22"/>
  <c r="BR19" i="23"/>
  <c r="BR19" i="22"/>
  <c r="BV19" i="23"/>
  <c r="BV19" i="22"/>
  <c r="BZ19" i="23"/>
  <c r="BZ19" i="22"/>
  <c r="CD19" i="23"/>
  <c r="CD19" i="22"/>
  <c r="CH19" i="23"/>
  <c r="CH19" i="22"/>
  <c r="CL19" i="23"/>
  <c r="CL19" i="22"/>
  <c r="CP19" i="23"/>
  <c r="CP19" i="22"/>
  <c r="CT19" i="23"/>
  <c r="CT19" i="22"/>
  <c r="CX19" i="23"/>
  <c r="CX19" i="22"/>
  <c r="DB19" i="23"/>
  <c r="DB19" i="22"/>
  <c r="DF19" i="23"/>
  <c r="DF19" i="22"/>
  <c r="DJ19" i="23"/>
  <c r="DJ19" i="22"/>
  <c r="DN19" i="23"/>
  <c r="DN19" i="22"/>
  <c r="DR19" i="23"/>
  <c r="DR19" i="22"/>
  <c r="DV19" i="23"/>
  <c r="DV19" i="22"/>
  <c r="DZ19" i="23"/>
  <c r="DZ19" i="22"/>
  <c r="ED19" i="23"/>
  <c r="ED19" i="22"/>
  <c r="EH19" i="23"/>
  <c r="EH19" i="22"/>
  <c r="EL19" i="23"/>
  <c r="EL19" i="22"/>
  <c r="EP19" i="23"/>
  <c r="EP19" i="22"/>
  <c r="ET19" i="23"/>
  <c r="ET19" i="22"/>
  <c r="EX19" i="23"/>
  <c r="EX19" i="22"/>
  <c r="FB19" i="23"/>
  <c r="FB19" i="22"/>
  <c r="FF19" i="23"/>
  <c r="FF19" i="22"/>
  <c r="FJ19" i="23"/>
  <c r="FJ19" i="22"/>
  <c r="FN19" i="23"/>
  <c r="FN19" i="22"/>
  <c r="FR19" i="23"/>
  <c r="FR19" i="22"/>
  <c r="FV19" i="23"/>
  <c r="FV19" i="22"/>
  <c r="FZ19" i="23"/>
  <c r="FZ19" i="22"/>
  <c r="GD19" i="23"/>
  <c r="GD19" i="22"/>
  <c r="GH19" i="23"/>
  <c r="GH19" i="22"/>
  <c r="GL19" i="23"/>
  <c r="GL19" i="22"/>
  <c r="GP19" i="23"/>
  <c r="GP19" i="22"/>
  <c r="V20" i="23"/>
  <c r="V20" i="22"/>
  <c r="Z20" i="23"/>
  <c r="Z20" i="22"/>
  <c r="AD20" i="23"/>
  <c r="AD20" i="22"/>
  <c r="AH20" i="23"/>
  <c r="AH20" i="22"/>
  <c r="AL20" i="23"/>
  <c r="AL20" i="22"/>
  <c r="AP20" i="23"/>
  <c r="AP20" i="22"/>
  <c r="AT20" i="23"/>
  <c r="AT20" i="22"/>
  <c r="AX20" i="23"/>
  <c r="AX20" i="22"/>
  <c r="BB20" i="23"/>
  <c r="BB20" i="22"/>
  <c r="BF20" i="23"/>
  <c r="BF20" i="22"/>
  <c r="BJ20" i="23"/>
  <c r="BJ20" i="22"/>
  <c r="BN20" i="23"/>
  <c r="BN20" i="22"/>
  <c r="BR20" i="23"/>
  <c r="BR20" i="22"/>
  <c r="BV20" i="23"/>
  <c r="BV20" i="22"/>
  <c r="BZ20" i="23"/>
  <c r="BZ20" i="22"/>
  <c r="CD20" i="23"/>
  <c r="CD20" i="22"/>
  <c r="CH20" i="23"/>
  <c r="CH20" i="22"/>
  <c r="CL20" i="23"/>
  <c r="CL20" i="22"/>
  <c r="CP20" i="23"/>
  <c r="CP20" i="22"/>
  <c r="CT20" i="23"/>
  <c r="CT20" i="22"/>
  <c r="CX20" i="23"/>
  <c r="CX20" i="22"/>
  <c r="DB20" i="23"/>
  <c r="DB20" i="22"/>
  <c r="DF20" i="23"/>
  <c r="DF20" i="22"/>
  <c r="DJ20" i="23"/>
  <c r="DJ20" i="22"/>
  <c r="DN20" i="23"/>
  <c r="DN20" i="22"/>
  <c r="DR20" i="23"/>
  <c r="DR20" i="22"/>
  <c r="DV20" i="23"/>
  <c r="DV20" i="22"/>
  <c r="DZ20" i="23"/>
  <c r="DZ20" i="22"/>
  <c r="ED20" i="23"/>
  <c r="ED20" i="22"/>
  <c r="EH20" i="23"/>
  <c r="EH20" i="22"/>
  <c r="EL20" i="23"/>
  <c r="EL20" i="22"/>
  <c r="EP20" i="23"/>
  <c r="EP20" i="22"/>
  <c r="ET20" i="23"/>
  <c r="ET20" i="22"/>
  <c r="EX20" i="23"/>
  <c r="EX20" i="22"/>
  <c r="FB20" i="23"/>
  <c r="FB20" i="22"/>
  <c r="FF20" i="23"/>
  <c r="FF20" i="22"/>
  <c r="FJ20" i="23"/>
  <c r="FJ20" i="22"/>
  <c r="FN20" i="23"/>
  <c r="FN20" i="22"/>
  <c r="FR20" i="23"/>
  <c r="FR20" i="22"/>
  <c r="FV20" i="23"/>
  <c r="FV20" i="22"/>
  <c r="FZ20" i="23"/>
  <c r="FZ20" i="22"/>
  <c r="GD20" i="23"/>
  <c r="GD20" i="22"/>
  <c r="GH20" i="23"/>
  <c r="GH20" i="22"/>
  <c r="GL20" i="23"/>
  <c r="GL20" i="22"/>
  <c r="GP20" i="23"/>
  <c r="GP20" i="22"/>
  <c r="V21" i="23"/>
  <c r="V21" i="22"/>
  <c r="Z21" i="23"/>
  <c r="Z21" i="22"/>
  <c r="AD21" i="23"/>
  <c r="AD21" i="22"/>
  <c r="AH21" i="23"/>
  <c r="AH21" i="22"/>
  <c r="AL21" i="23"/>
  <c r="AL21" i="22"/>
  <c r="AP21" i="23"/>
  <c r="AP21" i="22"/>
  <c r="AT21" i="23"/>
  <c r="AT21" i="22"/>
  <c r="AX21" i="23"/>
  <c r="AX21" i="22"/>
  <c r="BB21" i="23"/>
  <c r="BB21" i="22"/>
  <c r="BF21" i="23"/>
  <c r="BF21" i="22"/>
  <c r="BJ21" i="23"/>
  <c r="BJ21" i="22"/>
  <c r="BN21" i="23"/>
  <c r="BN21" i="22"/>
  <c r="BR21" i="23"/>
  <c r="BR21" i="22"/>
  <c r="BV21" i="23"/>
  <c r="BV21" i="22"/>
  <c r="BZ21" i="23"/>
  <c r="BZ21" i="22"/>
  <c r="CD21" i="23"/>
  <c r="CD21" i="22"/>
  <c r="CH21" i="23"/>
  <c r="CH21" i="22"/>
  <c r="CL21" i="23"/>
  <c r="CL21" i="22"/>
  <c r="CP21" i="23"/>
  <c r="CP21" i="22"/>
  <c r="CT21" i="23"/>
  <c r="CT21" i="22"/>
  <c r="CX21" i="23"/>
  <c r="CX21" i="22"/>
  <c r="DB21" i="23"/>
  <c r="DB21" i="22"/>
  <c r="DF21" i="23"/>
  <c r="DF21" i="22"/>
  <c r="DJ21" i="23"/>
  <c r="DJ21" i="22"/>
  <c r="DN21" i="23"/>
  <c r="DN21" i="22"/>
  <c r="DR21" i="23"/>
  <c r="DR21" i="22"/>
  <c r="DV21" i="23"/>
  <c r="DV21" i="22"/>
  <c r="DZ21" i="23"/>
  <c r="DZ21" i="22"/>
  <c r="ED21" i="23"/>
  <c r="ED21" i="22"/>
  <c r="EH21" i="23"/>
  <c r="EH21" i="22"/>
  <c r="EL21" i="23"/>
  <c r="EL21" i="22"/>
  <c r="EP21" i="23"/>
  <c r="EP21" i="22"/>
  <c r="ET21" i="23"/>
  <c r="ET21" i="22"/>
  <c r="EX21" i="23"/>
  <c r="EX21" i="22"/>
  <c r="FB21" i="23"/>
  <c r="FB21" i="22"/>
  <c r="FF21" i="23"/>
  <c r="FF21" i="22"/>
  <c r="FJ21" i="23"/>
  <c r="FJ21" i="22"/>
  <c r="FN21" i="23"/>
  <c r="FN21" i="22"/>
  <c r="FR21" i="23"/>
  <c r="FR21" i="22"/>
  <c r="FV21" i="23"/>
  <c r="FV21" i="22"/>
  <c r="FZ21" i="23"/>
  <c r="FZ21" i="22"/>
  <c r="GD21" i="23"/>
  <c r="GD21" i="22"/>
  <c r="GH21" i="23"/>
  <c r="GH21" i="22"/>
  <c r="GL21" i="23"/>
  <c r="GL21" i="22"/>
  <c r="GP21" i="23"/>
  <c r="GP21" i="22"/>
  <c r="V22" i="23"/>
  <c r="V22" i="22"/>
  <c r="Z22" i="23"/>
  <c r="Z22" i="22"/>
  <c r="AD22" i="23"/>
  <c r="AD22" i="22"/>
  <c r="AH22" i="23"/>
  <c r="AH22" i="22"/>
  <c r="AL22" i="23"/>
  <c r="AL22" i="22"/>
  <c r="AP22" i="23"/>
  <c r="AP22" i="22"/>
  <c r="AT22" i="23"/>
  <c r="AT22" i="22"/>
  <c r="AX22" i="23"/>
  <c r="AX22" i="22"/>
  <c r="BB22" i="23"/>
  <c r="BB22" i="22"/>
  <c r="BF22" i="23"/>
  <c r="BF22" i="22"/>
  <c r="BJ22" i="23"/>
  <c r="BJ22" i="22"/>
  <c r="BN22" i="23"/>
  <c r="BN22" i="22"/>
  <c r="BR22" i="23"/>
  <c r="BR22" i="22"/>
  <c r="BV22" i="23"/>
  <c r="BV22" i="22"/>
  <c r="BZ22" i="23"/>
  <c r="BZ22" i="22"/>
  <c r="CD22" i="23"/>
  <c r="CD22" i="22"/>
  <c r="CH22" i="23"/>
  <c r="CH22" i="22"/>
  <c r="CL22" i="23"/>
  <c r="CL22" i="22"/>
  <c r="CP22" i="23"/>
  <c r="CP22" i="22"/>
  <c r="CT22" i="23"/>
  <c r="CT22" i="22"/>
  <c r="CX22" i="23"/>
  <c r="CX22" i="22"/>
  <c r="DB22" i="23"/>
  <c r="DB22" i="22"/>
  <c r="DF22" i="23"/>
  <c r="DF22" i="22"/>
  <c r="DJ22" i="23"/>
  <c r="DJ22" i="22"/>
  <c r="DN22" i="23"/>
  <c r="DN22" i="22"/>
  <c r="DR22" i="23"/>
  <c r="DR22" i="22"/>
  <c r="DV22" i="23"/>
  <c r="DV22" i="22"/>
  <c r="DZ22" i="23"/>
  <c r="DZ22" i="22"/>
  <c r="ED22" i="23"/>
  <c r="ED22" i="22"/>
  <c r="EH22" i="23"/>
  <c r="EH22" i="22"/>
  <c r="EL22" i="23"/>
  <c r="EL22" i="22"/>
  <c r="EP22" i="23"/>
  <c r="EP22" i="22"/>
  <c r="ET22" i="23"/>
  <c r="ET22" i="22"/>
  <c r="EX22" i="23"/>
  <c r="EX22" i="22"/>
  <c r="FB22" i="23"/>
  <c r="FB22" i="22"/>
  <c r="FF22" i="23"/>
  <c r="FF22" i="22"/>
  <c r="FJ22" i="23"/>
  <c r="FJ22" i="22"/>
  <c r="FN22" i="23"/>
  <c r="FN22" i="22"/>
  <c r="FR22" i="23"/>
  <c r="FR22" i="22"/>
  <c r="FV22" i="23"/>
  <c r="FV22" i="22"/>
  <c r="FZ22" i="23"/>
  <c r="FZ22" i="22"/>
  <c r="GD22" i="23"/>
  <c r="GD22" i="22"/>
  <c r="GH22" i="23"/>
  <c r="GH22" i="22"/>
  <c r="GL22" i="23"/>
  <c r="GL22" i="22"/>
  <c r="GP22" i="23"/>
  <c r="GP22" i="22"/>
  <c r="V23" i="23"/>
  <c r="V23" i="22"/>
  <c r="Z23" i="23"/>
  <c r="Z23" i="22"/>
  <c r="AD23" i="23"/>
  <c r="AD23" i="22"/>
  <c r="AH23" i="23"/>
  <c r="AH23" i="22"/>
  <c r="AL23" i="23"/>
  <c r="AL23" i="22"/>
  <c r="AX23" i="23"/>
  <c r="AX23" i="22"/>
  <c r="BB23" i="23"/>
  <c r="BB23" i="22"/>
  <c r="BF23" i="23"/>
  <c r="BF23" i="22"/>
  <c r="BJ23" i="23"/>
  <c r="BJ23" i="22"/>
  <c r="BN23" i="23"/>
  <c r="BN23" i="22"/>
  <c r="BR23" i="23"/>
  <c r="BR23" i="22"/>
  <c r="CD23" i="23"/>
  <c r="CD23" i="22"/>
  <c r="CH23" i="23"/>
  <c r="CH23" i="22"/>
  <c r="CL23" i="23"/>
  <c r="CL23" i="22"/>
  <c r="CP23" i="23"/>
  <c r="CP23" i="22"/>
  <c r="CT23" i="23"/>
  <c r="CT23" i="22"/>
  <c r="CX23" i="23"/>
  <c r="CX23" i="22"/>
  <c r="DJ23" i="23"/>
  <c r="DJ23" i="22"/>
  <c r="DN23" i="23"/>
  <c r="DN23" i="22"/>
  <c r="DR23" i="23"/>
  <c r="DR23" i="22"/>
  <c r="DV23" i="23"/>
  <c r="DV23" i="22"/>
  <c r="DZ23" i="23"/>
  <c r="DZ23" i="22"/>
  <c r="ED23" i="23"/>
  <c r="ED23" i="22"/>
  <c r="EP23" i="23"/>
  <c r="EP23" i="22"/>
  <c r="ET23" i="23"/>
  <c r="ET23" i="22"/>
  <c r="EX23" i="23"/>
  <c r="EX23" i="22"/>
  <c r="FB23" i="23"/>
  <c r="FB23" i="22"/>
  <c r="FF23" i="23"/>
  <c r="FF23" i="22"/>
  <c r="FJ23" i="23"/>
  <c r="FJ23" i="22"/>
  <c r="FV23" i="23"/>
  <c r="FV23" i="22"/>
  <c r="FZ23" i="23"/>
  <c r="FZ23" i="22"/>
  <c r="GD23" i="23"/>
  <c r="GD23" i="22"/>
  <c r="GH23" i="23"/>
  <c r="GH23" i="22"/>
  <c r="GL23" i="23"/>
  <c r="GL23" i="22"/>
  <c r="GP23" i="23"/>
  <c r="GP23" i="22"/>
  <c r="V24" i="23"/>
  <c r="V24" i="22"/>
  <c r="Z24" i="23"/>
  <c r="Z24" i="22"/>
  <c r="AD24" i="23"/>
  <c r="AD24" i="22"/>
  <c r="AH24" i="23"/>
  <c r="AH24" i="22"/>
  <c r="AL24" i="23"/>
  <c r="AL24" i="22"/>
  <c r="AP24" i="23"/>
  <c r="AP24" i="22"/>
  <c r="AT24" i="23"/>
  <c r="AT24" i="22"/>
  <c r="AX24" i="23"/>
  <c r="AX24" i="22"/>
  <c r="BB24" i="23"/>
  <c r="BB24" i="22"/>
  <c r="BF24" i="23"/>
  <c r="BF24" i="22"/>
  <c r="BJ24" i="23"/>
  <c r="BJ24" i="22"/>
  <c r="BN24" i="23"/>
  <c r="BN24" i="22"/>
  <c r="BR24" i="23"/>
  <c r="BR24" i="22"/>
  <c r="BV24" i="23"/>
  <c r="BV24" i="22"/>
  <c r="BZ24" i="23"/>
  <c r="BZ24" i="22"/>
  <c r="CD24" i="23"/>
  <c r="CD24" i="22"/>
  <c r="CH24" i="23"/>
  <c r="CH24" i="22"/>
  <c r="CL24" i="23"/>
  <c r="CL24" i="22"/>
  <c r="CP24" i="23"/>
  <c r="CP24" i="22"/>
  <c r="CT24" i="23"/>
  <c r="CT24" i="22"/>
  <c r="CX24" i="23"/>
  <c r="CX24" i="22"/>
  <c r="DB24" i="23"/>
  <c r="DB24" i="22"/>
  <c r="DF24" i="23"/>
  <c r="DF24" i="22"/>
  <c r="DJ24" i="23"/>
  <c r="DJ24" i="22"/>
  <c r="DN24" i="23"/>
  <c r="DN24" i="22"/>
  <c r="DR24" i="23"/>
  <c r="DR24" i="22"/>
  <c r="DV24" i="23"/>
  <c r="DV24" i="22"/>
  <c r="DZ24" i="23"/>
  <c r="DZ24" i="22"/>
  <c r="ED24" i="23"/>
  <c r="ED24" i="22"/>
  <c r="EH24" i="23"/>
  <c r="EH24" i="22"/>
  <c r="EL24" i="23"/>
  <c r="EL24" i="22"/>
  <c r="EP24" i="23"/>
  <c r="EP24" i="22"/>
  <c r="ET24" i="23"/>
  <c r="ET24" i="22"/>
  <c r="EX24" i="23"/>
  <c r="EX24" i="22"/>
  <c r="FB24" i="23"/>
  <c r="FB24" i="22"/>
  <c r="FF24" i="23"/>
  <c r="FF24" i="22"/>
  <c r="FJ24" i="23"/>
  <c r="FJ24" i="22"/>
  <c r="FN24" i="23"/>
  <c r="FN24" i="22"/>
  <c r="FR24" i="23"/>
  <c r="FR24" i="22"/>
  <c r="FV24" i="23"/>
  <c r="FV24" i="22"/>
  <c r="FZ24" i="23"/>
  <c r="FZ24" i="22"/>
  <c r="GD24" i="23"/>
  <c r="GD24" i="22"/>
  <c r="GH24" i="23"/>
  <c r="GH24" i="22"/>
  <c r="GL24" i="23"/>
  <c r="GL24" i="22"/>
  <c r="GP24" i="23"/>
  <c r="GP24" i="22"/>
  <c r="V25" i="23"/>
  <c r="V25" i="22"/>
  <c r="Z25" i="23"/>
  <c r="Z25" i="22"/>
  <c r="AD25" i="23"/>
  <c r="AD25" i="22"/>
  <c r="AH25" i="23"/>
  <c r="AH25" i="22"/>
  <c r="AL25" i="23"/>
  <c r="AL25" i="22"/>
  <c r="AP25" i="23"/>
  <c r="AP25" i="22"/>
  <c r="AT25" i="23"/>
  <c r="AT25" i="22"/>
  <c r="AX25" i="23"/>
  <c r="AX25" i="22"/>
  <c r="BB25" i="23"/>
  <c r="BB25" i="22"/>
  <c r="BF25" i="23"/>
  <c r="BF25" i="22"/>
  <c r="BJ25" i="23"/>
  <c r="BJ25" i="22"/>
  <c r="BN25" i="23"/>
  <c r="BN25" i="22"/>
  <c r="BR25" i="23"/>
  <c r="BR25" i="22"/>
  <c r="BV25" i="23"/>
  <c r="BV25" i="22"/>
  <c r="BZ25" i="23"/>
  <c r="BZ25" i="22"/>
  <c r="CD25" i="23"/>
  <c r="CD25" i="22"/>
  <c r="CH25" i="23"/>
  <c r="CH25" i="22"/>
  <c r="CL25" i="23"/>
  <c r="CL25" i="22"/>
  <c r="CP25" i="23"/>
  <c r="CP25" i="22"/>
  <c r="CT25" i="23"/>
  <c r="CT25" i="22"/>
  <c r="CX25" i="23"/>
  <c r="CX25" i="22"/>
  <c r="DB25" i="23"/>
  <c r="DB25" i="22"/>
  <c r="DF25" i="23"/>
  <c r="DF25" i="22"/>
  <c r="DJ25" i="23"/>
  <c r="DJ25" i="22"/>
  <c r="DN25" i="23"/>
  <c r="DN25" i="22"/>
  <c r="DR25" i="23"/>
  <c r="DR25" i="22"/>
  <c r="DV25" i="23"/>
  <c r="DV25" i="22"/>
  <c r="DZ25" i="23"/>
  <c r="DZ25" i="22"/>
  <c r="ED25" i="23"/>
  <c r="ED25" i="22"/>
  <c r="EH25" i="23"/>
  <c r="EH25" i="22"/>
  <c r="EL25" i="23"/>
  <c r="EL25" i="22"/>
  <c r="EP25" i="23"/>
  <c r="EP25" i="22"/>
  <c r="ET25" i="23"/>
  <c r="ET25" i="22"/>
  <c r="EX25" i="23"/>
  <c r="EX25" i="22"/>
  <c r="FB25" i="23"/>
  <c r="FB25" i="22"/>
  <c r="FF25" i="23"/>
  <c r="FF25" i="22"/>
  <c r="FJ25" i="23"/>
  <c r="FJ25" i="22"/>
  <c r="FN25" i="23"/>
  <c r="FN25" i="22"/>
  <c r="FR25" i="23"/>
  <c r="FR25" i="22"/>
  <c r="FV25" i="23"/>
  <c r="FV25" i="22"/>
  <c r="FZ25" i="23"/>
  <c r="FZ25" i="22"/>
  <c r="GD25" i="23"/>
  <c r="GD25" i="22"/>
  <c r="GH25" i="23"/>
  <c r="GH25" i="22"/>
  <c r="GL25" i="23"/>
  <c r="GL25" i="22"/>
  <c r="GP25" i="23"/>
  <c r="GP25" i="22"/>
  <c r="V26" i="23"/>
  <c r="V26" i="22"/>
  <c r="Z26" i="23"/>
  <c r="Z26" i="22"/>
  <c r="AD26" i="23"/>
  <c r="AD26" i="22"/>
  <c r="AH26" i="23"/>
  <c r="AH26" i="22"/>
  <c r="AL26" i="23"/>
  <c r="AL26" i="22"/>
  <c r="AP26" i="23"/>
  <c r="AP26" i="22"/>
  <c r="AT26" i="23"/>
  <c r="AT26" i="22"/>
  <c r="AX26" i="23"/>
  <c r="AX26" i="22"/>
  <c r="BB26" i="23"/>
  <c r="BB26" i="22"/>
  <c r="BF26" i="23"/>
  <c r="BF26" i="22"/>
  <c r="BJ26" i="23"/>
  <c r="BJ26" i="22"/>
  <c r="BN26" i="23"/>
  <c r="BN26" i="22"/>
  <c r="BR26" i="23"/>
  <c r="BR26" i="22"/>
  <c r="BV26" i="23"/>
  <c r="BV26" i="22"/>
  <c r="BZ26" i="23"/>
  <c r="BZ26" i="22"/>
  <c r="CD26" i="23"/>
  <c r="CD26" i="22"/>
  <c r="CH26" i="23"/>
  <c r="CH26" i="22"/>
  <c r="CL26" i="23"/>
  <c r="CL26" i="22"/>
  <c r="CP26" i="23"/>
  <c r="CP26" i="22"/>
  <c r="CT26" i="23"/>
  <c r="CT26" i="22"/>
  <c r="CX26" i="23"/>
  <c r="CX26" i="22"/>
  <c r="DB26" i="23"/>
  <c r="DB26" i="22"/>
  <c r="DF26" i="23"/>
  <c r="DF26" i="22"/>
  <c r="DJ26" i="23"/>
  <c r="DJ26" i="22"/>
  <c r="DN26" i="23"/>
  <c r="DN26" i="22"/>
  <c r="DR26" i="23"/>
  <c r="DR26" i="22"/>
  <c r="DV26" i="23"/>
  <c r="DV26" i="22"/>
  <c r="DZ26" i="23"/>
  <c r="DZ26" i="22"/>
  <c r="ED26" i="23"/>
  <c r="ED26" i="22"/>
  <c r="EH26" i="23"/>
  <c r="EH26" i="22"/>
  <c r="EL26" i="23"/>
  <c r="EL26" i="22"/>
  <c r="EP26" i="23"/>
  <c r="EP26" i="22"/>
  <c r="ET26" i="23"/>
  <c r="ET26" i="22"/>
  <c r="EX26" i="23"/>
  <c r="EX26" i="22"/>
  <c r="FB26" i="23"/>
  <c r="FB26" i="22"/>
  <c r="FF26" i="23"/>
  <c r="FF26" i="22"/>
  <c r="FJ26" i="23"/>
  <c r="FJ26" i="22"/>
  <c r="FN26" i="23"/>
  <c r="FN26" i="22"/>
  <c r="FR26" i="23"/>
  <c r="FR26" i="22"/>
  <c r="FV26" i="23"/>
  <c r="FV26" i="22"/>
  <c r="FZ26" i="23"/>
  <c r="FZ26" i="22"/>
  <c r="GD26" i="23"/>
  <c r="GD26" i="22"/>
  <c r="GH26" i="23"/>
  <c r="GH26" i="22"/>
  <c r="GL26" i="23"/>
  <c r="GL26" i="22"/>
  <c r="GP26" i="23"/>
  <c r="GP26" i="22"/>
  <c r="V27" i="23"/>
  <c r="V27" i="22"/>
  <c r="Z27" i="23"/>
  <c r="Z27" i="22"/>
  <c r="AD27" i="23"/>
  <c r="AD27" i="22"/>
  <c r="AH27" i="23"/>
  <c r="AH27" i="22"/>
  <c r="AL27" i="23"/>
  <c r="AL27" i="22"/>
  <c r="AP27" i="23"/>
  <c r="AP27" i="22"/>
  <c r="AT27" i="23"/>
  <c r="AT27" i="22"/>
  <c r="AX27" i="23"/>
  <c r="AX27" i="22"/>
  <c r="BB27" i="23"/>
  <c r="BB27" i="22"/>
  <c r="BF27" i="23"/>
  <c r="BF27" i="22"/>
  <c r="BJ27" i="23"/>
  <c r="BJ27" i="22"/>
  <c r="BN27" i="23"/>
  <c r="BN27" i="22"/>
  <c r="BR27" i="23"/>
  <c r="BR27" i="22"/>
  <c r="BV27" i="23"/>
  <c r="BV27" i="22"/>
  <c r="BZ27" i="23"/>
  <c r="BZ27" i="22"/>
  <c r="CD27" i="23"/>
  <c r="CD27" i="22"/>
  <c r="CH27" i="23"/>
  <c r="CH27" i="22"/>
  <c r="CL27" i="23"/>
  <c r="CL27" i="22"/>
  <c r="CP27" i="23"/>
  <c r="CP27" i="22"/>
  <c r="CT27" i="23"/>
  <c r="CT27" i="22"/>
  <c r="CX27" i="23"/>
  <c r="CX27" i="22"/>
  <c r="DB27" i="23"/>
  <c r="DB27" i="22"/>
  <c r="DF27" i="23"/>
  <c r="DF27" i="22"/>
  <c r="DJ27" i="23"/>
  <c r="DJ27" i="22"/>
  <c r="DN27" i="23"/>
  <c r="DN27" i="22"/>
  <c r="DR27" i="23"/>
  <c r="DR27" i="22"/>
  <c r="DV27" i="23"/>
  <c r="DV27" i="22"/>
  <c r="DZ27" i="23"/>
  <c r="DZ27" i="22"/>
  <c r="ED27" i="23"/>
  <c r="ED27" i="22"/>
  <c r="EH27" i="23"/>
  <c r="EH27" i="22"/>
  <c r="EL27" i="23"/>
  <c r="EL27" i="22"/>
  <c r="EP27" i="23"/>
  <c r="EP27" i="22"/>
  <c r="ET27" i="23"/>
  <c r="ET27" i="22"/>
  <c r="EX27" i="23"/>
  <c r="EX27" i="22"/>
  <c r="FB27" i="23"/>
  <c r="FB27" i="22"/>
  <c r="FF27" i="23"/>
  <c r="FF27" i="22"/>
  <c r="FJ27" i="23"/>
  <c r="FJ27" i="22"/>
  <c r="FN27" i="23"/>
  <c r="FN27" i="22"/>
  <c r="FR27" i="23"/>
  <c r="FR27" i="22"/>
  <c r="FV27" i="23"/>
  <c r="FV27" i="22"/>
  <c r="FZ27" i="23"/>
  <c r="FZ27" i="22"/>
  <c r="GD27" i="23"/>
  <c r="GD27" i="22"/>
  <c r="GH27" i="23"/>
  <c r="GH27" i="22"/>
  <c r="GL27" i="23"/>
  <c r="GL27" i="22"/>
  <c r="GP27" i="23"/>
  <c r="GP27" i="22"/>
  <c r="V28" i="23"/>
  <c r="V28" i="22"/>
  <c r="Z28" i="23"/>
  <c r="Z28" i="22"/>
  <c r="AD28" i="23"/>
  <c r="AD28" i="22"/>
  <c r="AH28" i="23"/>
  <c r="AH28" i="22"/>
  <c r="AL28" i="23"/>
  <c r="AL28" i="22"/>
  <c r="AP28" i="23"/>
  <c r="AP28" i="22"/>
  <c r="AT28" i="23"/>
  <c r="AT28" i="22"/>
  <c r="AX28" i="23"/>
  <c r="AX28" i="22"/>
  <c r="BB28" i="23"/>
  <c r="BB28" i="22"/>
  <c r="BF28" i="23"/>
  <c r="BF28" i="22"/>
  <c r="BJ28" i="23"/>
  <c r="BJ28" i="22"/>
  <c r="BN28" i="23"/>
  <c r="BN28" i="22"/>
  <c r="BR28" i="23"/>
  <c r="BR28" i="22"/>
  <c r="BV28" i="23"/>
  <c r="BV28" i="22"/>
  <c r="BZ28" i="23"/>
  <c r="BZ28" i="22"/>
  <c r="CD28" i="23"/>
  <c r="CD28" i="22"/>
  <c r="CH28" i="23"/>
  <c r="CH28" i="22"/>
  <c r="CL28" i="23"/>
  <c r="CL28" i="22"/>
  <c r="CP28" i="23"/>
  <c r="CP28" i="22"/>
  <c r="CT28" i="23"/>
  <c r="CT28" i="22"/>
  <c r="CX28" i="23"/>
  <c r="CX28" i="22"/>
  <c r="DB28" i="23"/>
  <c r="DB28" i="22"/>
  <c r="DF28" i="23"/>
  <c r="DF28" i="22"/>
  <c r="DJ28" i="23"/>
  <c r="DJ28" i="22"/>
  <c r="DN28" i="23"/>
  <c r="DN28" i="22"/>
  <c r="DR28" i="23"/>
  <c r="DR28" i="22"/>
  <c r="DV28" i="23"/>
  <c r="DV28" i="22"/>
  <c r="DZ28" i="23"/>
  <c r="DZ28" i="22"/>
  <c r="ED28" i="23"/>
  <c r="ED28" i="22"/>
  <c r="EH28" i="23"/>
  <c r="EH28" i="22"/>
  <c r="EL28" i="23"/>
  <c r="EL28" i="22"/>
  <c r="EP28" i="23"/>
  <c r="EP28" i="22"/>
  <c r="ET28" i="23"/>
  <c r="ET28" i="22"/>
  <c r="EX28" i="23"/>
  <c r="EX28" i="22"/>
  <c r="FB28" i="23"/>
  <c r="FB28" i="22"/>
  <c r="FF28" i="23"/>
  <c r="FF28" i="22"/>
  <c r="FJ28" i="23"/>
  <c r="FJ28" i="22"/>
  <c r="FN28" i="23"/>
  <c r="FN28" i="22"/>
  <c r="FR28" i="23"/>
  <c r="FR28" i="22"/>
  <c r="FV28" i="23"/>
  <c r="FV28" i="22"/>
  <c r="FZ28" i="23"/>
  <c r="FZ28" i="22"/>
  <c r="GD28" i="23"/>
  <c r="GD28" i="22"/>
  <c r="GH28" i="23"/>
  <c r="GH28" i="22"/>
  <c r="GL28" i="23"/>
  <c r="GL28" i="22"/>
  <c r="GP28" i="23"/>
  <c r="GP28" i="22"/>
  <c r="V29" i="23"/>
  <c r="V29" i="22"/>
  <c r="Z29" i="23"/>
  <c r="Z29" i="22"/>
  <c r="AD29" i="23"/>
  <c r="AD29" i="22"/>
  <c r="AH29" i="23"/>
  <c r="AH29" i="22"/>
  <c r="AL29" i="23"/>
  <c r="AL29" i="22"/>
  <c r="AP29" i="23"/>
  <c r="AP29" i="22"/>
  <c r="AT29" i="23"/>
  <c r="AT29" i="22"/>
  <c r="AX29" i="23"/>
  <c r="AX29" i="22"/>
  <c r="BB29" i="23"/>
  <c r="BB29" i="22"/>
  <c r="BF29" i="23"/>
  <c r="BF29" i="22"/>
  <c r="BJ29" i="23"/>
  <c r="BJ29" i="22"/>
  <c r="BN29" i="23"/>
  <c r="BN29" i="22"/>
  <c r="BR29" i="23"/>
  <c r="BR29" i="22"/>
  <c r="BV29" i="23"/>
  <c r="BV29" i="22"/>
  <c r="BZ29" i="23"/>
  <c r="BZ29" i="22"/>
  <c r="CD29" i="23"/>
  <c r="CD29" i="22"/>
  <c r="CH29" i="23"/>
  <c r="CH29" i="22"/>
  <c r="CL29" i="23"/>
  <c r="CL29" i="22"/>
  <c r="CP29" i="23"/>
  <c r="CP29" i="22"/>
  <c r="CT29" i="23"/>
  <c r="CT29" i="22"/>
  <c r="CX29" i="23"/>
  <c r="CX29" i="22"/>
  <c r="DB29" i="23"/>
  <c r="DB29" i="22"/>
  <c r="DF29" i="23"/>
  <c r="DF29" i="22"/>
  <c r="DJ29" i="23"/>
  <c r="DJ29" i="22"/>
  <c r="DN29" i="23"/>
  <c r="DN29" i="22"/>
  <c r="DR29" i="23"/>
  <c r="DR29" i="22"/>
  <c r="DV29" i="23"/>
  <c r="DV29" i="22"/>
  <c r="DZ29" i="23"/>
  <c r="DZ29" i="22"/>
  <c r="ED29" i="23"/>
  <c r="ED29" i="22"/>
  <c r="EH29" i="23"/>
  <c r="EH29" i="22"/>
  <c r="EL29" i="23"/>
  <c r="EL29" i="22"/>
  <c r="EP29" i="23"/>
  <c r="EP29" i="22"/>
  <c r="ET29" i="23"/>
  <c r="ET29" i="22"/>
  <c r="EX29" i="23"/>
  <c r="EX29" i="22"/>
  <c r="FB29" i="23"/>
  <c r="FB29" i="22"/>
  <c r="FF29" i="23"/>
  <c r="FF29" i="22"/>
  <c r="FJ29" i="23"/>
  <c r="FJ29" i="22"/>
  <c r="FN29" i="23"/>
  <c r="FN29" i="22"/>
  <c r="FR29" i="23"/>
  <c r="FR29" i="22"/>
  <c r="FV29" i="23"/>
  <c r="FV29" i="22"/>
  <c r="FZ29" i="23"/>
  <c r="FZ29" i="22"/>
  <c r="GD29" i="23"/>
  <c r="GD29" i="22"/>
  <c r="GH29" i="23"/>
  <c r="GH29" i="22"/>
  <c r="GL29" i="23"/>
  <c r="GL29" i="22"/>
  <c r="GP29" i="23"/>
  <c r="GP29" i="22"/>
  <c r="V30" i="23"/>
  <c r="V30" i="22"/>
  <c r="Z30" i="23"/>
  <c r="Z30" i="22"/>
  <c r="AD30" i="23"/>
  <c r="AD30" i="22"/>
  <c r="AH30" i="23"/>
  <c r="AH30" i="22"/>
  <c r="AL30" i="23"/>
  <c r="AL30" i="22"/>
  <c r="AP30" i="23"/>
  <c r="AP30" i="22"/>
  <c r="AT30" i="23"/>
  <c r="AT30" i="22"/>
  <c r="AX30" i="23"/>
  <c r="AX30" i="22"/>
  <c r="BB30" i="23"/>
  <c r="BB30" i="22"/>
  <c r="BF30" i="23"/>
  <c r="BF30" i="22"/>
  <c r="BJ30" i="23"/>
  <c r="BJ30" i="22"/>
  <c r="BN30" i="23"/>
  <c r="BN30" i="22"/>
  <c r="BR30" i="23"/>
  <c r="BR30" i="22"/>
  <c r="BV30" i="23"/>
  <c r="BV30" i="22"/>
  <c r="BZ30" i="23"/>
  <c r="BZ30" i="22"/>
  <c r="CD30" i="23"/>
  <c r="CD30" i="22"/>
  <c r="CH30" i="23"/>
  <c r="CH30" i="22"/>
  <c r="CL30" i="23"/>
  <c r="CL30" i="22"/>
  <c r="CP30" i="23"/>
  <c r="CP30" i="22"/>
  <c r="CT30" i="23"/>
  <c r="CT30" i="22"/>
  <c r="CX30" i="23"/>
  <c r="CX30" i="22"/>
  <c r="DB30" i="23"/>
  <c r="DB30" i="22"/>
  <c r="DF30" i="23"/>
  <c r="DF30" i="22"/>
  <c r="DJ30" i="23"/>
  <c r="DJ30" i="22"/>
  <c r="DN30" i="23"/>
  <c r="DN30" i="22"/>
  <c r="DR30" i="23"/>
  <c r="DR30" i="22"/>
  <c r="DV30" i="23"/>
  <c r="DV30" i="22"/>
  <c r="DZ30" i="23"/>
  <c r="DZ30" i="22"/>
  <c r="ED30" i="23"/>
  <c r="ED30" i="22"/>
  <c r="EH30" i="23"/>
  <c r="EH30" i="22"/>
  <c r="EL30" i="23"/>
  <c r="EL30" i="22"/>
  <c r="EP30" i="23"/>
  <c r="EP30" i="22"/>
  <c r="ET30" i="23"/>
  <c r="ET30" i="22"/>
  <c r="EX30" i="23"/>
  <c r="EX30" i="22"/>
  <c r="FB30" i="23"/>
  <c r="FB30" i="22"/>
  <c r="FF30" i="23"/>
  <c r="FF30" i="22"/>
  <c r="FJ30" i="23"/>
  <c r="FJ30" i="22"/>
  <c r="FN30" i="23"/>
  <c r="FN30" i="22"/>
  <c r="FR30" i="23"/>
  <c r="FR30" i="22"/>
  <c r="FV30" i="23"/>
  <c r="FV30" i="22"/>
  <c r="FZ30" i="23"/>
  <c r="FZ30" i="22"/>
  <c r="GD30" i="23"/>
  <c r="GD30" i="22"/>
  <c r="GH30" i="23"/>
  <c r="GH30" i="22"/>
  <c r="GL30" i="23"/>
  <c r="GL30" i="22"/>
  <c r="GP30" i="23"/>
  <c r="GP30" i="22"/>
  <c r="V31" i="23"/>
  <c r="V31" i="22"/>
  <c r="Z31" i="23"/>
  <c r="Z31" i="22"/>
  <c r="AD31" i="23"/>
  <c r="AD31" i="22"/>
  <c r="AH31" i="23"/>
  <c r="AH31" i="22"/>
  <c r="AL31" i="23"/>
  <c r="AL31" i="22"/>
  <c r="AP31" i="23"/>
  <c r="AP31" i="22"/>
  <c r="AT31" i="23"/>
  <c r="AT31" i="22"/>
  <c r="AX31" i="23"/>
  <c r="AX31" i="22"/>
  <c r="BB31" i="23"/>
  <c r="BB31" i="22"/>
  <c r="BF31" i="23"/>
  <c r="BF31" i="22"/>
  <c r="BJ31" i="23"/>
  <c r="BJ31" i="22"/>
  <c r="BN31" i="23"/>
  <c r="BN31" i="22"/>
  <c r="BR31" i="23"/>
  <c r="BR31" i="22"/>
  <c r="BV31" i="23"/>
  <c r="BV31" i="22"/>
  <c r="BZ31" i="23"/>
  <c r="BZ31" i="22"/>
  <c r="CD31" i="23"/>
  <c r="CD31" i="22"/>
  <c r="CH31" i="23"/>
  <c r="CH31" i="22"/>
  <c r="CL31" i="23"/>
  <c r="CL31" i="22"/>
  <c r="CP31" i="23"/>
  <c r="CP31" i="22"/>
  <c r="CT31" i="23"/>
  <c r="CT31" i="22"/>
  <c r="CX31" i="23"/>
  <c r="CX31" i="22"/>
  <c r="DB31" i="23"/>
  <c r="DB31" i="22"/>
  <c r="DF31" i="23"/>
  <c r="DF31" i="22"/>
  <c r="DJ31" i="23"/>
  <c r="DJ31" i="22"/>
  <c r="DN31" i="23"/>
  <c r="DN31" i="22"/>
  <c r="DR31" i="23"/>
  <c r="DR31" i="22"/>
  <c r="DV31" i="23"/>
  <c r="DV31" i="22"/>
  <c r="DZ31" i="23"/>
  <c r="DZ31" i="22"/>
  <c r="ED31" i="23"/>
  <c r="ED31" i="22"/>
  <c r="EH31" i="23"/>
  <c r="EH31" i="22"/>
  <c r="EL31" i="23"/>
  <c r="EL31" i="22"/>
  <c r="EP31" i="23"/>
  <c r="EP31" i="22"/>
  <c r="ET31" i="23"/>
  <c r="ET31" i="22"/>
  <c r="EX31" i="23"/>
  <c r="EX31" i="22"/>
  <c r="FB31" i="23"/>
  <c r="FB31" i="22"/>
  <c r="FF31" i="23"/>
  <c r="FF31" i="22"/>
  <c r="FJ31" i="23"/>
  <c r="FJ31" i="22"/>
  <c r="FN31" i="23"/>
  <c r="FN31" i="22"/>
  <c r="FR31" i="23"/>
  <c r="FR31" i="22"/>
  <c r="FV31" i="23"/>
  <c r="FV31" i="22"/>
  <c r="FZ31" i="23"/>
  <c r="FZ31" i="22"/>
  <c r="GD31" i="23"/>
  <c r="GD31" i="22"/>
  <c r="GH31" i="23"/>
  <c r="GH31" i="22"/>
  <c r="GL31" i="23"/>
  <c r="GL31" i="22"/>
  <c r="GP31" i="23"/>
  <c r="GP31" i="22"/>
  <c r="V32" i="23"/>
  <c r="V32" i="22"/>
  <c r="Z32" i="23"/>
  <c r="Z32" i="22"/>
  <c r="AD32" i="23"/>
  <c r="AD32" i="22"/>
  <c r="AH32" i="23"/>
  <c r="AH32" i="22"/>
  <c r="AL32" i="23"/>
  <c r="AL32" i="22"/>
  <c r="AP32" i="23"/>
  <c r="AP32" i="22"/>
  <c r="AT32" i="23"/>
  <c r="AT32" i="22"/>
  <c r="AX32" i="23"/>
  <c r="AX32" i="22"/>
  <c r="BB32" i="23"/>
  <c r="BB32" i="22"/>
  <c r="BF32" i="23"/>
  <c r="BF32" i="22"/>
  <c r="BJ32" i="23"/>
  <c r="BJ32" i="22"/>
  <c r="BN32" i="23"/>
  <c r="BN32" i="22"/>
  <c r="BR32" i="23"/>
  <c r="BR32" i="22"/>
  <c r="BV32" i="23"/>
  <c r="BV32" i="22"/>
  <c r="BZ32" i="23"/>
  <c r="BZ32" i="22"/>
  <c r="CD32" i="23"/>
  <c r="CD32" i="22"/>
  <c r="CH32" i="23"/>
  <c r="CH32" i="22"/>
  <c r="CL32" i="23"/>
  <c r="CL32" i="22"/>
  <c r="CP32" i="23"/>
  <c r="CP32" i="22"/>
  <c r="CT32" i="23"/>
  <c r="CT32" i="22"/>
  <c r="CX32" i="23"/>
  <c r="CX32" i="22"/>
  <c r="DB32" i="23"/>
  <c r="DB32" i="22"/>
  <c r="DF32" i="23"/>
  <c r="DF32" i="22"/>
  <c r="DJ32" i="23"/>
  <c r="DJ32" i="22"/>
  <c r="DN32" i="23"/>
  <c r="DN32" i="22"/>
  <c r="DR32" i="23"/>
  <c r="DR32" i="22"/>
  <c r="DV32" i="23"/>
  <c r="DV32" i="22"/>
  <c r="DZ32" i="23"/>
  <c r="DZ32" i="22"/>
  <c r="ED32" i="23"/>
  <c r="ED32" i="22"/>
  <c r="EH32" i="23"/>
  <c r="EH32" i="22"/>
  <c r="EL32" i="23"/>
  <c r="EL32" i="22"/>
  <c r="EP32" i="23"/>
  <c r="EP32" i="22"/>
  <c r="ET32" i="23"/>
  <c r="ET32" i="22"/>
  <c r="EX32" i="23"/>
  <c r="EX32" i="22"/>
  <c r="FB32" i="23"/>
  <c r="FB32" i="22"/>
  <c r="FF32" i="23"/>
  <c r="FF32" i="22"/>
  <c r="FJ32" i="23"/>
  <c r="FJ32" i="22"/>
  <c r="FN32" i="23"/>
  <c r="FN32" i="22"/>
  <c r="FR32" i="23"/>
  <c r="FR32" i="22"/>
  <c r="FV32" i="23"/>
  <c r="FV32" i="22"/>
  <c r="FZ32" i="23"/>
  <c r="FZ32" i="22"/>
  <c r="GD32" i="23"/>
  <c r="GD32" i="22"/>
  <c r="GH32" i="23"/>
  <c r="GH32" i="22"/>
  <c r="GL32" i="23"/>
  <c r="GL32" i="22"/>
  <c r="GP32" i="23"/>
  <c r="GP32" i="22"/>
  <c r="V33" i="23"/>
  <c r="V33" i="22"/>
  <c r="Z33" i="23"/>
  <c r="Z33" i="22"/>
  <c r="AD33" i="23"/>
  <c r="AD33" i="22"/>
  <c r="AH33" i="23"/>
  <c r="AH33" i="22"/>
  <c r="AL33" i="23"/>
  <c r="AL33" i="22"/>
  <c r="AP33" i="23"/>
  <c r="AP33" i="22"/>
  <c r="AT33" i="23"/>
  <c r="AT33" i="22"/>
  <c r="AX33" i="23"/>
  <c r="AX33" i="22"/>
  <c r="BB33" i="23"/>
  <c r="BB33" i="22"/>
  <c r="BF33" i="23"/>
  <c r="BF33" i="22"/>
  <c r="BJ33" i="23"/>
  <c r="BJ33" i="22"/>
  <c r="BN33" i="23"/>
  <c r="BN33" i="22"/>
  <c r="BR33" i="23"/>
  <c r="BR33" i="22"/>
  <c r="BV33" i="23"/>
  <c r="BV33" i="22"/>
  <c r="BZ33" i="23"/>
  <c r="BZ33" i="22"/>
  <c r="CD33" i="23"/>
  <c r="CD33" i="22"/>
  <c r="CH33" i="23"/>
  <c r="CH33" i="22"/>
  <c r="CL33" i="23"/>
  <c r="CL33" i="22"/>
  <c r="CP33" i="23"/>
  <c r="CP33" i="22"/>
  <c r="CT33" i="23"/>
  <c r="CT33" i="22"/>
  <c r="CX33" i="23"/>
  <c r="CX33" i="22"/>
  <c r="DB33" i="23"/>
  <c r="DB33" i="22"/>
  <c r="DF33" i="23"/>
  <c r="DF33" i="22"/>
  <c r="DJ33" i="23"/>
  <c r="DJ33" i="22"/>
  <c r="DN33" i="23"/>
  <c r="DN33" i="22"/>
  <c r="DR33" i="23"/>
  <c r="DR33" i="22"/>
  <c r="DV33" i="23"/>
  <c r="DV33" i="22"/>
  <c r="DZ33" i="23"/>
  <c r="DZ33" i="22"/>
  <c r="ED33" i="23"/>
  <c r="ED33" i="22"/>
  <c r="EH33" i="23"/>
  <c r="EH33" i="22"/>
  <c r="EL33" i="23"/>
  <c r="EL33" i="22"/>
  <c r="EP33" i="23"/>
  <c r="EP33" i="22"/>
  <c r="ET33" i="23"/>
  <c r="ET33" i="22"/>
  <c r="EX33" i="23"/>
  <c r="EX33" i="22"/>
  <c r="FB33" i="23"/>
  <c r="FB33" i="22"/>
  <c r="FF33" i="23"/>
  <c r="FF33" i="22"/>
  <c r="FJ33" i="23"/>
  <c r="FJ33" i="22"/>
  <c r="FN33" i="23"/>
  <c r="FN33" i="22"/>
  <c r="FR33" i="23"/>
  <c r="FR33" i="22"/>
  <c r="FV33" i="23"/>
  <c r="FV33" i="22"/>
  <c r="FZ33" i="23"/>
  <c r="FZ33" i="22"/>
  <c r="GD33" i="23"/>
  <c r="GD33" i="22"/>
  <c r="GH33" i="23"/>
  <c r="GH33" i="22"/>
  <c r="GL33" i="23"/>
  <c r="GL33" i="22"/>
  <c r="GP33" i="23"/>
  <c r="GP33" i="22"/>
  <c r="V34" i="23"/>
  <c r="V34" i="22"/>
  <c r="Z34" i="23"/>
  <c r="Z34" i="22"/>
  <c r="AD34" i="23"/>
  <c r="AD34" i="22"/>
  <c r="AH34" i="23"/>
  <c r="AH34" i="22"/>
  <c r="AL34" i="23"/>
  <c r="AL34" i="22"/>
  <c r="AP34" i="23"/>
  <c r="AP34" i="22"/>
  <c r="AT34" i="23"/>
  <c r="AT34" i="22"/>
  <c r="AX34" i="23"/>
  <c r="AX34" i="22"/>
  <c r="BB34" i="23"/>
  <c r="BB34" i="22"/>
  <c r="BF34" i="23"/>
  <c r="BF34" i="22"/>
  <c r="BJ34" i="23"/>
  <c r="BJ34" i="22"/>
  <c r="BN34" i="23"/>
  <c r="BN34" i="22"/>
  <c r="BR34" i="23"/>
  <c r="BR34" i="22"/>
  <c r="BV34" i="23"/>
  <c r="BV34" i="22"/>
  <c r="BZ34" i="23"/>
  <c r="BZ34" i="22"/>
  <c r="CD34" i="23"/>
  <c r="CD34" i="22"/>
  <c r="CH34" i="23"/>
  <c r="CH34" i="22"/>
  <c r="CL34" i="23"/>
  <c r="CL34" i="22"/>
  <c r="CP34" i="23"/>
  <c r="CP34" i="22"/>
  <c r="CT34" i="23"/>
  <c r="CT34" i="22"/>
  <c r="CX34" i="23"/>
  <c r="CX34" i="22"/>
  <c r="DB34" i="23"/>
  <c r="DB34" i="22"/>
  <c r="DF34" i="23"/>
  <c r="DF34" i="22"/>
  <c r="DJ34" i="23"/>
  <c r="DJ34" i="22"/>
  <c r="DN34" i="23"/>
  <c r="DN34" i="22"/>
  <c r="DR34" i="23"/>
  <c r="DR34" i="22"/>
  <c r="DV34" i="23"/>
  <c r="DV34" i="22"/>
  <c r="DZ34" i="23"/>
  <c r="DZ34" i="22"/>
  <c r="ED34" i="23"/>
  <c r="ED34" i="22"/>
  <c r="EH34" i="23"/>
  <c r="EH34" i="22"/>
  <c r="EL34" i="23"/>
  <c r="EL34" i="22"/>
  <c r="EP34" i="23"/>
  <c r="EP34" i="22"/>
  <c r="ET34" i="23"/>
  <c r="ET34" i="22"/>
  <c r="EX34" i="23"/>
  <c r="EX34" i="22"/>
  <c r="FB34" i="23"/>
  <c r="FB34" i="22"/>
  <c r="FF34" i="23"/>
  <c r="FF34" i="22"/>
  <c r="FJ34" i="23"/>
  <c r="FJ34" i="22"/>
  <c r="FN34" i="23"/>
  <c r="FN34" i="22"/>
  <c r="FR34" i="23"/>
  <c r="FR34" i="22"/>
  <c r="FV34" i="23"/>
  <c r="FV34" i="22"/>
  <c r="FZ34" i="23"/>
  <c r="FZ34" i="22"/>
  <c r="GD34" i="23"/>
  <c r="GD34" i="22"/>
  <c r="GH34" i="23"/>
  <c r="GH34" i="22"/>
  <c r="GL34" i="23"/>
  <c r="GL34" i="22"/>
  <c r="GP34" i="23"/>
  <c r="GP34" i="22"/>
  <c r="V35" i="23"/>
  <c r="V35" i="22"/>
  <c r="Z35" i="23"/>
  <c r="Z35" i="22"/>
  <c r="AD35" i="23"/>
  <c r="AD35" i="22"/>
  <c r="AH35" i="23"/>
  <c r="AH35" i="22"/>
  <c r="AL35" i="23"/>
  <c r="AL35" i="22"/>
  <c r="AP35" i="23"/>
  <c r="AP35" i="22"/>
  <c r="AT35" i="23"/>
  <c r="AT35" i="22"/>
  <c r="AX35" i="23"/>
  <c r="AX35" i="22"/>
  <c r="BB35" i="23"/>
  <c r="BB35" i="22"/>
  <c r="BF35" i="23"/>
  <c r="BF35" i="22"/>
  <c r="BJ35" i="23"/>
  <c r="BJ35" i="22"/>
  <c r="BN35" i="23"/>
  <c r="BN35" i="22"/>
  <c r="BR35" i="23"/>
  <c r="BR35" i="22"/>
  <c r="BV35" i="23"/>
  <c r="BV35" i="22"/>
  <c r="BZ35" i="23"/>
  <c r="BZ35" i="22"/>
  <c r="CD35" i="23"/>
  <c r="CD35" i="22"/>
  <c r="CH35" i="23"/>
  <c r="CH35" i="22"/>
  <c r="CL35" i="23"/>
  <c r="CL35" i="22"/>
  <c r="CP35" i="23"/>
  <c r="CP35" i="22"/>
  <c r="CT35" i="23"/>
  <c r="CT35" i="22"/>
  <c r="CX35" i="23"/>
  <c r="CX35" i="22"/>
  <c r="DB35" i="23"/>
  <c r="DB35" i="22"/>
  <c r="DF35" i="23"/>
  <c r="DF35" i="22"/>
  <c r="DJ35" i="23"/>
  <c r="DJ35" i="22"/>
  <c r="DN35" i="23"/>
  <c r="DN35" i="22"/>
  <c r="DR35" i="23"/>
  <c r="DR35" i="22"/>
  <c r="DV35" i="23"/>
  <c r="DV35" i="22"/>
  <c r="DZ35" i="23"/>
  <c r="DZ35" i="22"/>
  <c r="ED35" i="23"/>
  <c r="ED35" i="22"/>
  <c r="EH35" i="23"/>
  <c r="EH35" i="22"/>
  <c r="EL35" i="23"/>
  <c r="EL35" i="22"/>
  <c r="EP35" i="23"/>
  <c r="EP35" i="22"/>
  <c r="ET35" i="23"/>
  <c r="ET35" i="22"/>
  <c r="EX35" i="23"/>
  <c r="EX35" i="22"/>
  <c r="FB35" i="23"/>
  <c r="FB35" i="22"/>
  <c r="FF35" i="23"/>
  <c r="FF35" i="22"/>
  <c r="FJ35" i="23"/>
  <c r="FJ35" i="22"/>
  <c r="FN35" i="23"/>
  <c r="FN35" i="22"/>
  <c r="FR35" i="23"/>
  <c r="FR35" i="22"/>
  <c r="FV35" i="23"/>
  <c r="FV35" i="22"/>
  <c r="FZ35" i="23"/>
  <c r="FZ35" i="22"/>
  <c r="GD35" i="23"/>
  <c r="GD35" i="22"/>
  <c r="GH35" i="23"/>
  <c r="GH35" i="22"/>
  <c r="GL35" i="23"/>
  <c r="GL35" i="22"/>
  <c r="GP35" i="23"/>
  <c r="GP35" i="22"/>
  <c r="V36" i="23"/>
  <c r="V36" i="22"/>
  <c r="Z36" i="23"/>
  <c r="Z36" i="22"/>
  <c r="AD36" i="23"/>
  <c r="AD36" i="22"/>
  <c r="AH36" i="23"/>
  <c r="AH36" i="22"/>
  <c r="AL36" i="23"/>
  <c r="AL36" i="22"/>
  <c r="AP36" i="23"/>
  <c r="AP36" i="22"/>
  <c r="AT36" i="23"/>
  <c r="AT36" i="22"/>
  <c r="AX36" i="23"/>
  <c r="AX36" i="22"/>
  <c r="BB36" i="23"/>
  <c r="BB36" i="22"/>
  <c r="BF36" i="23"/>
  <c r="BF36" i="22"/>
  <c r="BJ36" i="23"/>
  <c r="BJ36" i="22"/>
  <c r="BN36" i="23"/>
  <c r="BN36" i="22"/>
  <c r="BR36" i="23"/>
  <c r="BR36" i="22"/>
  <c r="BV36" i="23"/>
  <c r="BV36" i="22"/>
  <c r="BZ36" i="23"/>
  <c r="BZ36" i="22"/>
  <c r="CD36" i="23"/>
  <c r="CD36" i="22"/>
  <c r="CH36" i="23"/>
  <c r="CH36" i="22"/>
  <c r="CL36" i="23"/>
  <c r="CL36" i="22"/>
  <c r="CP36" i="23"/>
  <c r="CP36" i="22"/>
  <c r="CT36" i="23"/>
  <c r="CT36" i="22"/>
  <c r="CX36" i="23"/>
  <c r="CX36" i="22"/>
  <c r="DB36" i="23"/>
  <c r="DB36" i="22"/>
  <c r="DF36" i="23"/>
  <c r="DF36" i="22"/>
  <c r="DJ36" i="23"/>
  <c r="DJ36" i="22"/>
  <c r="DN36" i="23"/>
  <c r="DN36" i="22"/>
  <c r="DR36" i="23"/>
  <c r="DR36" i="22"/>
  <c r="DV36" i="23"/>
  <c r="DV36" i="22"/>
  <c r="DZ36" i="23"/>
  <c r="DZ36" i="22"/>
  <c r="ED36" i="23"/>
  <c r="ED36" i="22"/>
  <c r="EH36" i="23"/>
  <c r="EH36" i="22"/>
  <c r="EL36" i="23"/>
  <c r="EL36" i="22"/>
  <c r="EP36" i="23"/>
  <c r="EP36" i="22"/>
  <c r="ET36" i="23"/>
  <c r="ET36" i="22"/>
  <c r="EX36" i="23"/>
  <c r="EX36" i="22"/>
  <c r="FB36" i="23"/>
  <c r="FB36" i="22"/>
  <c r="FF36" i="23"/>
  <c r="FF36" i="22"/>
  <c r="FJ36" i="23"/>
  <c r="FJ36" i="22"/>
  <c r="FN36" i="23"/>
  <c r="FN36" i="22"/>
  <c r="FR36" i="23"/>
  <c r="FR36" i="22"/>
  <c r="FV36" i="23"/>
  <c r="FV36" i="22"/>
  <c r="FZ36" i="23"/>
  <c r="FZ36" i="22"/>
  <c r="GD36" i="23"/>
  <c r="GD36" i="22"/>
  <c r="GH36" i="23"/>
  <c r="GH36" i="22"/>
  <c r="GL36" i="23"/>
  <c r="GL36" i="22"/>
  <c r="GP36" i="23"/>
  <c r="GP36" i="22"/>
  <c r="V37" i="23"/>
  <c r="V37" i="22"/>
  <c r="Z37" i="23"/>
  <c r="Z37" i="22"/>
  <c r="AD37" i="23"/>
  <c r="AD37" i="22"/>
  <c r="AH37" i="23"/>
  <c r="AH37" i="22"/>
  <c r="AL37" i="23"/>
  <c r="AL37" i="22"/>
  <c r="AP37" i="23"/>
  <c r="AP37" i="22"/>
  <c r="AT37" i="23"/>
  <c r="AT37" i="22"/>
  <c r="AX37" i="23"/>
  <c r="AX37" i="22"/>
  <c r="BB37" i="23"/>
  <c r="BB37" i="22"/>
  <c r="BF37" i="23"/>
  <c r="BF37" i="22"/>
  <c r="BJ37" i="23"/>
  <c r="BJ37" i="22"/>
  <c r="BN37" i="23"/>
  <c r="BN37" i="22"/>
  <c r="BR37" i="23"/>
  <c r="BR37" i="22"/>
  <c r="BV37" i="23"/>
  <c r="BV37" i="22"/>
  <c r="BZ37" i="23"/>
  <c r="BZ37" i="22"/>
  <c r="CD37" i="23"/>
  <c r="CD37" i="22"/>
  <c r="CH37" i="23"/>
  <c r="CH37" i="22"/>
  <c r="CL37" i="23"/>
  <c r="CL37" i="22"/>
  <c r="CP37" i="23"/>
  <c r="CP37" i="22"/>
  <c r="CT37" i="23"/>
  <c r="CT37" i="22"/>
  <c r="CX37" i="23"/>
  <c r="CX37" i="22"/>
  <c r="DB37" i="23"/>
  <c r="DB37" i="22"/>
  <c r="DF37" i="23"/>
  <c r="DF37" i="22"/>
  <c r="DJ37" i="23"/>
  <c r="DJ37" i="22"/>
  <c r="DN37" i="23"/>
  <c r="DN37" i="22"/>
  <c r="DR37" i="23"/>
  <c r="DR37" i="22"/>
  <c r="DV37" i="23"/>
  <c r="DV37" i="22"/>
  <c r="DZ37" i="23"/>
  <c r="DZ37" i="22"/>
  <c r="ED37" i="23"/>
  <c r="ED37" i="22"/>
  <c r="EH37" i="23"/>
  <c r="EH37" i="22"/>
  <c r="EL37" i="23"/>
  <c r="EL37" i="22"/>
  <c r="EP37" i="23"/>
  <c r="EP37" i="22"/>
  <c r="ET37" i="23"/>
  <c r="ET37" i="22"/>
  <c r="EX37" i="23"/>
  <c r="EX37" i="22"/>
  <c r="FB37" i="23"/>
  <c r="FB37" i="22"/>
  <c r="FF37" i="23"/>
  <c r="FF37" i="22"/>
  <c r="FJ37" i="23"/>
  <c r="FJ37" i="22"/>
  <c r="FN37" i="23"/>
  <c r="FN37" i="22"/>
  <c r="FR37" i="23"/>
  <c r="FR37" i="22"/>
  <c r="FV37" i="23"/>
  <c r="FV37" i="22"/>
  <c r="FZ37" i="23"/>
  <c r="FZ37" i="22"/>
  <c r="GD37" i="23"/>
  <c r="GD37" i="22"/>
  <c r="GH37" i="23"/>
  <c r="GH37" i="22"/>
  <c r="GL37" i="23"/>
  <c r="GL37" i="22"/>
  <c r="GP37" i="23"/>
  <c r="GP37" i="22"/>
  <c r="S8" i="23"/>
  <c r="S9" i="23"/>
  <c r="S9" i="22"/>
  <c r="S11" i="23"/>
  <c r="S11" i="22"/>
  <c r="AA11" i="23"/>
  <c r="AA11" i="22"/>
  <c r="AE11" i="23"/>
  <c r="AE11" i="22"/>
  <c r="AM11" i="23"/>
  <c r="AM11" i="22"/>
  <c r="AQ11" i="23"/>
  <c r="AQ11" i="22"/>
  <c r="AU11" i="23"/>
  <c r="AU11" i="22"/>
  <c r="AY11" i="23"/>
  <c r="AY11" i="22"/>
  <c r="BC11" i="23"/>
  <c r="BC11" i="22"/>
  <c r="BG11" i="23"/>
  <c r="BG11" i="22"/>
  <c r="BO11" i="23"/>
  <c r="BO11" i="22"/>
  <c r="BS11" i="23"/>
  <c r="BS11" i="22"/>
  <c r="BW11" i="23"/>
  <c r="CA11" i="23"/>
  <c r="CA11" i="22"/>
  <c r="CE11" i="23"/>
  <c r="CE11" i="22"/>
  <c r="CI11" i="23"/>
  <c r="CI11" i="22"/>
  <c r="CM11" i="23"/>
  <c r="CM11" i="22"/>
  <c r="CY11" i="23"/>
  <c r="CY11" i="22"/>
  <c r="DC11" i="23"/>
  <c r="DC11" i="22"/>
  <c r="DG11" i="23"/>
  <c r="DG11" i="22"/>
  <c r="DK11" i="23"/>
  <c r="DK11" i="22"/>
  <c r="DS11" i="23"/>
  <c r="DS11" i="22"/>
  <c r="DW11" i="23"/>
  <c r="DW11" i="22"/>
  <c r="EA11" i="23"/>
  <c r="EA11" i="22"/>
  <c r="EE11" i="23"/>
  <c r="EE11" i="22"/>
  <c r="EI11" i="23"/>
  <c r="EI11" i="22"/>
  <c r="EM11" i="23"/>
  <c r="EM11" i="22"/>
  <c r="EQ11" i="23"/>
  <c r="EQ11" i="22"/>
  <c r="EU11" i="23"/>
  <c r="EU11" i="22"/>
  <c r="EY11" i="23"/>
  <c r="EY11" i="22"/>
  <c r="FC11" i="23"/>
  <c r="FC11" i="22"/>
  <c r="FO11" i="23"/>
  <c r="FS11" i="23"/>
  <c r="FS11" i="22"/>
  <c r="FW11" i="23"/>
  <c r="FW11" i="22"/>
  <c r="GA11" i="23"/>
  <c r="GA11" i="22"/>
  <c r="GE11" i="23"/>
  <c r="GE11" i="22"/>
  <c r="GM11" i="23"/>
  <c r="GM11" i="22"/>
  <c r="S12" i="23"/>
  <c r="S12" i="22"/>
  <c r="W12" i="23"/>
  <c r="W12" i="22"/>
  <c r="AA12" i="23"/>
  <c r="AA12" i="22"/>
  <c r="AE12" i="23"/>
  <c r="AE12" i="22"/>
  <c r="AI12" i="23"/>
  <c r="AI12" i="22"/>
  <c r="AM12" i="23"/>
  <c r="AM12" i="22"/>
  <c r="AQ12" i="23"/>
  <c r="AQ12" i="22"/>
  <c r="AU12" i="23"/>
  <c r="AU12" i="22"/>
  <c r="AY12" i="23"/>
  <c r="AY12" i="22"/>
  <c r="BC12" i="23"/>
  <c r="BC12" i="22"/>
  <c r="BG12" i="23"/>
  <c r="BG12" i="22"/>
  <c r="BK12" i="23"/>
  <c r="BK12" i="22"/>
  <c r="BO12" i="23"/>
  <c r="BO12" i="22"/>
  <c r="BS12" i="23"/>
  <c r="BS12" i="22"/>
  <c r="BW12" i="23"/>
  <c r="BW12" i="22"/>
  <c r="CA12" i="23"/>
  <c r="CA12" i="22"/>
  <c r="CE12" i="23"/>
  <c r="CE12" i="22"/>
  <c r="CI12" i="23"/>
  <c r="CI12" i="22"/>
  <c r="CM12" i="23"/>
  <c r="CM12" i="22"/>
  <c r="CQ12" i="23"/>
  <c r="CQ12" i="22"/>
  <c r="CU12" i="23"/>
  <c r="CU12" i="22"/>
  <c r="CY12" i="23"/>
  <c r="CY12" i="22"/>
  <c r="DC12" i="23"/>
  <c r="DC12" i="22"/>
  <c r="DG12" i="23"/>
  <c r="DG12" i="22"/>
  <c r="DK12" i="23"/>
  <c r="DK12" i="22"/>
  <c r="DO12" i="23"/>
  <c r="DO12" i="22"/>
  <c r="DS12" i="23"/>
  <c r="DS12" i="22"/>
  <c r="DW12" i="23"/>
  <c r="DW12" i="22"/>
  <c r="EA12" i="23"/>
  <c r="EA12" i="22"/>
  <c r="EE12" i="23"/>
  <c r="EE12" i="22"/>
  <c r="EI12" i="23"/>
  <c r="EI12" i="22"/>
  <c r="EM12" i="23"/>
  <c r="EM12" i="22"/>
  <c r="EQ12" i="23"/>
  <c r="EQ12" i="22"/>
  <c r="EU12" i="23"/>
  <c r="EU12" i="22"/>
  <c r="EY12" i="23"/>
  <c r="EY12" i="22"/>
  <c r="FC12" i="23"/>
  <c r="FC12" i="22"/>
  <c r="FG12" i="23"/>
  <c r="FG12" i="22"/>
  <c r="FK12" i="23"/>
  <c r="FK12" i="22"/>
  <c r="FO12" i="23"/>
  <c r="FO12" i="22"/>
  <c r="FS12" i="23"/>
  <c r="FS12" i="22"/>
  <c r="FW12" i="23"/>
  <c r="FW12" i="22"/>
  <c r="GA12" i="23"/>
  <c r="GA12" i="22"/>
  <c r="GE12" i="23"/>
  <c r="GE12" i="22"/>
  <c r="GI12" i="23"/>
  <c r="GI12" i="22"/>
  <c r="GM12" i="23"/>
  <c r="GM12" i="22"/>
  <c r="S13" i="23"/>
  <c r="S13" i="22"/>
  <c r="W13" i="23"/>
  <c r="W13" i="22"/>
  <c r="AA13" i="23"/>
  <c r="AA13" i="22"/>
  <c r="AE13" i="23"/>
  <c r="AE13" i="22"/>
  <c r="AI13" i="23"/>
  <c r="AI13" i="22"/>
  <c r="AM13" i="23"/>
  <c r="AM13" i="22"/>
  <c r="AQ13" i="23"/>
  <c r="AQ13" i="22"/>
  <c r="AU13" i="23"/>
  <c r="AU13" i="22"/>
  <c r="AY13" i="23"/>
  <c r="AY13" i="22"/>
  <c r="BC13" i="23"/>
  <c r="BC13" i="22"/>
  <c r="BG13" i="23"/>
  <c r="BG13" i="22"/>
  <c r="BK13" i="23"/>
  <c r="BK13" i="22"/>
  <c r="BO13" i="23"/>
  <c r="BO13" i="22"/>
  <c r="BS13" i="23"/>
  <c r="BS13" i="22"/>
  <c r="BW13" i="23"/>
  <c r="BW13" i="22"/>
  <c r="CA13" i="23"/>
  <c r="CA13" i="22"/>
  <c r="CE13" i="23"/>
  <c r="CE13" i="22"/>
  <c r="CI13" i="23"/>
  <c r="CI13" i="22"/>
  <c r="CM13" i="23"/>
  <c r="CM13" i="22"/>
  <c r="CQ13" i="23"/>
  <c r="CQ13" i="22"/>
  <c r="CU13" i="23"/>
  <c r="CU13" i="22"/>
  <c r="CY13" i="23"/>
  <c r="CY13" i="22"/>
  <c r="DC13" i="23"/>
  <c r="DC13" i="22"/>
  <c r="DG13" i="23"/>
  <c r="DG13" i="22"/>
  <c r="DK13" i="23"/>
  <c r="DK13" i="22"/>
  <c r="DO13" i="23"/>
  <c r="DO13" i="22"/>
  <c r="DS13" i="23"/>
  <c r="DS13" i="22"/>
  <c r="DW13" i="23"/>
  <c r="DW13" i="22"/>
  <c r="EA13" i="23"/>
  <c r="EA13" i="22"/>
  <c r="EE13" i="23"/>
  <c r="EE13" i="22"/>
  <c r="EI13" i="23"/>
  <c r="EI13" i="22"/>
  <c r="EM13" i="23"/>
  <c r="EM13" i="22"/>
  <c r="EQ13" i="23"/>
  <c r="EQ13" i="22"/>
  <c r="EU13" i="23"/>
  <c r="EU13" i="22"/>
  <c r="EY13" i="23"/>
  <c r="EY13" i="22"/>
  <c r="FC13" i="23"/>
  <c r="FC13" i="22"/>
  <c r="FG13" i="23"/>
  <c r="FG13" i="22"/>
  <c r="FK13" i="23"/>
  <c r="FK13" i="22"/>
  <c r="FO13" i="23"/>
  <c r="FO13" i="22"/>
  <c r="FS13" i="23"/>
  <c r="FS13" i="22"/>
  <c r="FW13" i="23"/>
  <c r="FW13" i="22"/>
  <c r="GA13" i="23"/>
  <c r="GA13" i="22"/>
  <c r="GE13" i="23"/>
  <c r="GE13" i="22"/>
  <c r="GI13" i="23"/>
  <c r="GI13" i="22"/>
  <c r="GM13" i="23"/>
  <c r="GM13" i="22"/>
  <c r="S14" i="23"/>
  <c r="S14" i="22"/>
  <c r="W14" i="23"/>
  <c r="W14" i="22"/>
  <c r="AA14" i="23"/>
  <c r="AA14" i="22"/>
  <c r="AE14" i="23"/>
  <c r="AE14" i="22"/>
  <c r="AI14" i="23"/>
  <c r="AI14" i="22"/>
  <c r="AM14" i="23"/>
  <c r="AM14" i="22"/>
  <c r="AQ14" i="23"/>
  <c r="AQ14" i="22"/>
  <c r="AU14" i="23"/>
  <c r="AU14" i="22"/>
  <c r="AY14" i="23"/>
  <c r="AY14" i="22"/>
  <c r="BC14" i="23"/>
  <c r="BC14" i="22"/>
  <c r="BG14" i="23"/>
  <c r="BG14" i="22"/>
  <c r="BK14" i="23"/>
  <c r="BK14" i="22"/>
  <c r="BO14" i="23"/>
  <c r="BO14" i="22"/>
  <c r="BS14" i="23"/>
  <c r="BS14" i="22"/>
  <c r="BW14" i="23"/>
  <c r="BW14" i="22"/>
  <c r="CA14" i="23"/>
  <c r="CA14" i="22"/>
  <c r="CE14" i="23"/>
  <c r="CE14" i="22"/>
  <c r="CI14" i="23"/>
  <c r="CI14" i="22"/>
  <c r="CM14" i="23"/>
  <c r="CM14" i="22"/>
  <c r="CQ14" i="23"/>
  <c r="CQ14" i="22"/>
  <c r="CU14" i="23"/>
  <c r="CU14" i="22"/>
  <c r="CY14" i="23"/>
  <c r="CY14" i="22"/>
  <c r="DC14" i="23"/>
  <c r="DC14" i="22"/>
  <c r="DG14" i="23"/>
  <c r="DG14" i="22"/>
  <c r="DK14" i="23"/>
  <c r="DK14" i="22"/>
  <c r="DO14" i="23"/>
  <c r="DO14" i="22"/>
  <c r="DS14" i="23"/>
  <c r="DS14" i="22"/>
  <c r="DW14" i="23"/>
  <c r="DW14" i="22"/>
  <c r="EA14" i="23"/>
  <c r="EA14" i="22"/>
  <c r="EE14" i="23"/>
  <c r="EE14" i="22"/>
  <c r="EI14" i="23"/>
  <c r="EI14" i="22"/>
  <c r="EM14" i="23"/>
  <c r="EM14" i="22"/>
  <c r="EQ14" i="23"/>
  <c r="EQ14" i="22"/>
  <c r="EU14" i="23"/>
  <c r="EU14" i="22"/>
  <c r="EY14" i="23"/>
  <c r="EY14" i="22"/>
  <c r="FC14" i="23"/>
  <c r="FC14" i="22"/>
  <c r="FG14" i="23"/>
  <c r="FG14" i="22"/>
  <c r="FK14" i="23"/>
  <c r="FK14" i="22"/>
  <c r="FO14" i="23"/>
  <c r="FO14" i="22"/>
  <c r="FS14" i="23"/>
  <c r="FS14" i="22"/>
  <c r="FW14" i="23"/>
  <c r="FW14" i="22"/>
  <c r="GA14" i="23"/>
  <c r="GA14" i="22"/>
  <c r="GE14" i="23"/>
  <c r="GE14" i="22"/>
  <c r="GI14" i="23"/>
  <c r="GI14" i="22"/>
  <c r="GM14" i="23"/>
  <c r="GM14" i="22"/>
  <c r="S15" i="23"/>
  <c r="S15" i="22"/>
  <c r="W15" i="23"/>
  <c r="W15" i="22"/>
  <c r="AA15" i="23"/>
  <c r="AA15" i="22"/>
  <c r="AE15" i="23"/>
  <c r="AE15" i="22"/>
  <c r="AI15" i="23"/>
  <c r="AI15" i="22"/>
  <c r="AM15" i="23"/>
  <c r="AM15" i="22"/>
  <c r="AQ15" i="23"/>
  <c r="AQ15" i="22"/>
  <c r="AU15" i="23"/>
  <c r="AU15" i="22"/>
  <c r="AY15" i="23"/>
  <c r="AY15" i="22"/>
  <c r="BC15" i="23"/>
  <c r="BC15" i="22"/>
  <c r="BG15" i="23"/>
  <c r="BG15" i="22"/>
  <c r="BK15" i="23"/>
  <c r="BK15" i="22"/>
  <c r="BO15" i="23"/>
  <c r="BO15" i="22"/>
  <c r="BS15" i="23"/>
  <c r="BS15" i="22"/>
  <c r="BW15" i="23"/>
  <c r="BW15" i="22"/>
  <c r="CA15" i="23"/>
  <c r="CA15" i="22"/>
  <c r="CE15" i="23"/>
  <c r="CE15" i="22"/>
  <c r="CI15" i="23"/>
  <c r="CI15" i="22"/>
  <c r="CM15" i="23"/>
  <c r="CM15" i="22"/>
  <c r="CQ15" i="23"/>
  <c r="CQ15" i="22"/>
  <c r="CU15" i="23"/>
  <c r="CU15" i="22"/>
  <c r="CY15" i="23"/>
  <c r="CY15" i="22"/>
  <c r="DC15" i="23"/>
  <c r="DC15" i="22"/>
  <c r="DG15" i="23"/>
  <c r="DG15" i="22"/>
  <c r="DK15" i="23"/>
  <c r="DK15" i="22"/>
  <c r="DO15" i="23"/>
  <c r="DO15" i="22"/>
  <c r="DS15" i="23"/>
  <c r="DS15" i="22"/>
  <c r="DW15" i="23"/>
  <c r="DW15" i="22"/>
  <c r="EA15" i="23"/>
  <c r="EA15" i="22"/>
  <c r="EE15" i="23"/>
  <c r="EE15" i="22"/>
  <c r="EI15" i="23"/>
  <c r="EI15" i="22"/>
  <c r="EM15" i="23"/>
  <c r="EM15" i="22"/>
  <c r="EQ15" i="23"/>
  <c r="EQ15" i="22"/>
  <c r="EU15" i="23"/>
  <c r="EU15" i="22"/>
  <c r="EY15" i="23"/>
  <c r="EY15" i="22"/>
  <c r="FC15" i="23"/>
  <c r="FC15" i="22"/>
  <c r="FG15" i="23"/>
  <c r="FG15" i="22"/>
  <c r="FK15" i="23"/>
  <c r="FK15" i="22"/>
  <c r="FO15" i="23"/>
  <c r="FO15" i="22"/>
  <c r="FS15" i="23"/>
  <c r="FS15" i="22"/>
  <c r="FW15" i="23"/>
  <c r="FW15" i="22"/>
  <c r="GA15" i="23"/>
  <c r="GA15" i="22"/>
  <c r="GE15" i="23"/>
  <c r="GE15" i="22"/>
  <c r="GI15" i="23"/>
  <c r="GI15" i="22"/>
  <c r="GM15" i="23"/>
  <c r="GM15" i="22"/>
  <c r="S16" i="23"/>
  <c r="S16" i="22"/>
  <c r="W16" i="23"/>
  <c r="W16" i="22"/>
  <c r="AA16" i="23"/>
  <c r="AA16" i="22"/>
  <c r="AE16" i="23"/>
  <c r="AE16" i="22"/>
  <c r="AI16" i="23"/>
  <c r="AI16" i="22"/>
  <c r="AM16" i="23"/>
  <c r="AM16" i="22"/>
  <c r="AQ16" i="23"/>
  <c r="AQ16" i="22"/>
  <c r="AU16" i="23"/>
  <c r="AU16" i="22"/>
  <c r="AY16" i="23"/>
  <c r="AY16" i="22"/>
  <c r="BC16" i="23"/>
  <c r="BC16" i="22"/>
  <c r="BG16" i="23"/>
  <c r="BG16" i="22"/>
  <c r="BK16" i="23"/>
  <c r="BK16" i="22"/>
  <c r="BO16" i="23"/>
  <c r="BO16" i="22"/>
  <c r="BS16" i="23"/>
  <c r="BS16" i="22"/>
  <c r="BW16" i="23"/>
  <c r="BW16" i="22"/>
  <c r="CA16" i="23"/>
  <c r="CA16" i="22"/>
  <c r="CE16" i="23"/>
  <c r="CE16" i="22"/>
  <c r="CI16" i="23"/>
  <c r="CI16" i="22"/>
  <c r="CM16" i="23"/>
  <c r="CM16" i="22"/>
  <c r="CQ16" i="23"/>
  <c r="CQ16" i="22"/>
  <c r="CU16" i="23"/>
  <c r="CU16" i="22"/>
  <c r="CY16" i="23"/>
  <c r="CY16" i="22"/>
  <c r="DC16" i="23"/>
  <c r="DC16" i="22"/>
  <c r="DG16" i="23"/>
  <c r="DG16" i="22"/>
  <c r="DK16" i="23"/>
  <c r="DK16" i="22"/>
  <c r="DO16" i="23"/>
  <c r="DO16" i="22"/>
  <c r="DS16" i="23"/>
  <c r="DS16" i="22"/>
  <c r="DW16" i="23"/>
  <c r="DW16" i="22"/>
  <c r="EA16" i="23"/>
  <c r="EA16" i="22"/>
  <c r="EE16" i="23"/>
  <c r="EE16" i="22"/>
  <c r="EI16" i="23"/>
  <c r="EI16" i="22"/>
  <c r="EM16" i="23"/>
  <c r="EM16" i="22"/>
  <c r="EQ16" i="23"/>
  <c r="EQ16" i="22"/>
  <c r="EU16" i="23"/>
  <c r="EU16" i="22"/>
  <c r="EY16" i="23"/>
  <c r="EY16" i="22"/>
  <c r="FC16" i="23"/>
  <c r="FC16" i="22"/>
  <c r="FG16" i="23"/>
  <c r="FG16" i="22"/>
  <c r="FK16" i="23"/>
  <c r="FK16" i="22"/>
  <c r="FO16" i="23"/>
  <c r="FO16" i="22"/>
  <c r="FS16" i="23"/>
  <c r="FS16" i="22"/>
  <c r="FW16" i="23"/>
  <c r="FW16" i="22"/>
  <c r="GA16" i="23"/>
  <c r="GA16" i="22"/>
  <c r="GE16" i="23"/>
  <c r="GE16" i="22"/>
  <c r="GI16" i="23"/>
  <c r="GI16" i="22"/>
  <c r="GM16" i="23"/>
  <c r="GM16" i="22"/>
  <c r="S17" i="23"/>
  <c r="S17" i="22"/>
  <c r="W17" i="23"/>
  <c r="W17" i="22"/>
  <c r="AA17" i="23"/>
  <c r="AA17" i="22"/>
  <c r="AE17" i="23"/>
  <c r="AE17" i="22"/>
  <c r="AI17" i="23"/>
  <c r="AI17" i="22"/>
  <c r="AM17" i="23"/>
  <c r="AM17" i="22"/>
  <c r="AQ17" i="23"/>
  <c r="AQ17" i="22"/>
  <c r="AU17" i="23"/>
  <c r="AU17" i="22"/>
  <c r="AY17" i="23"/>
  <c r="AY17" i="22"/>
  <c r="BC17" i="23"/>
  <c r="BC17" i="22"/>
  <c r="BG17" i="23"/>
  <c r="BG17" i="22"/>
  <c r="BK17" i="23"/>
  <c r="BK17" i="22"/>
  <c r="BO17" i="23"/>
  <c r="BO17" i="22"/>
  <c r="BS17" i="23"/>
  <c r="BS17" i="22"/>
  <c r="BW17" i="23"/>
  <c r="BW17" i="22"/>
  <c r="CA17" i="23"/>
  <c r="CA17" i="22"/>
  <c r="CE17" i="23"/>
  <c r="CE17" i="22"/>
  <c r="CI17" i="23"/>
  <c r="CI17" i="22"/>
  <c r="CM17" i="23"/>
  <c r="CM17" i="22"/>
  <c r="CQ17" i="23"/>
  <c r="CQ17" i="22"/>
  <c r="CU17" i="23"/>
  <c r="CU17" i="22"/>
  <c r="CY17" i="23"/>
  <c r="CY17" i="22"/>
  <c r="DC17" i="23"/>
  <c r="DC17" i="22"/>
  <c r="DG17" i="23"/>
  <c r="DG17" i="22"/>
  <c r="DK17" i="23"/>
  <c r="DK17" i="22"/>
  <c r="DO17" i="23"/>
  <c r="DO17" i="22"/>
  <c r="DS17" i="23"/>
  <c r="DS17" i="22"/>
  <c r="DW17" i="23"/>
  <c r="DW17" i="22"/>
  <c r="EA17" i="23"/>
  <c r="EA17" i="22"/>
  <c r="EE17" i="23"/>
  <c r="EE17" i="22"/>
  <c r="EI17" i="23"/>
  <c r="EI17" i="22"/>
  <c r="EM17" i="23"/>
  <c r="EM17" i="22"/>
  <c r="EQ17" i="23"/>
  <c r="EQ17" i="22"/>
  <c r="EU17" i="23"/>
  <c r="EU17" i="22"/>
  <c r="EY17" i="23"/>
  <c r="EY17" i="22"/>
  <c r="FC17" i="23"/>
  <c r="FC17" i="22"/>
  <c r="FG17" i="23"/>
  <c r="FG17" i="22"/>
  <c r="FK17" i="23"/>
  <c r="FK17" i="22"/>
  <c r="FO17" i="23"/>
  <c r="FO17" i="22"/>
  <c r="FS17" i="23"/>
  <c r="FS17" i="22"/>
  <c r="FW17" i="23"/>
  <c r="FW17" i="22"/>
  <c r="GA17" i="23"/>
  <c r="GA17" i="22"/>
  <c r="GE17" i="23"/>
  <c r="GE17" i="22"/>
  <c r="GI17" i="23"/>
  <c r="GI17" i="22"/>
  <c r="GM17" i="23"/>
  <c r="GM17" i="22"/>
  <c r="S18" i="23"/>
  <c r="S18" i="22"/>
  <c r="W18" i="23"/>
  <c r="W18" i="22"/>
  <c r="AA18" i="23"/>
  <c r="AA18" i="22"/>
  <c r="AE18" i="23"/>
  <c r="AE18" i="22"/>
  <c r="AI18" i="23"/>
  <c r="AI18" i="22"/>
  <c r="AM18" i="23"/>
  <c r="AM18" i="22"/>
  <c r="AQ18" i="23"/>
  <c r="AQ18" i="22"/>
  <c r="AU18" i="23"/>
  <c r="AU18" i="22"/>
  <c r="AY18" i="23"/>
  <c r="AY18" i="22"/>
  <c r="BC18" i="23"/>
  <c r="BC18" i="22"/>
  <c r="BG18" i="23"/>
  <c r="BG18" i="22"/>
  <c r="BK18" i="23"/>
  <c r="BK18" i="22"/>
  <c r="BO18" i="23"/>
  <c r="BO18" i="22"/>
  <c r="BS18" i="23"/>
  <c r="BS18" i="22"/>
  <c r="BW18" i="23"/>
  <c r="BW18" i="22"/>
  <c r="CA18" i="23"/>
  <c r="CA18" i="22"/>
  <c r="CE18" i="23"/>
  <c r="CE18" i="22"/>
  <c r="CI18" i="23"/>
  <c r="CI18" i="22"/>
  <c r="CM18" i="23"/>
  <c r="CM18" i="22"/>
  <c r="CQ18" i="23"/>
  <c r="CQ18" i="22"/>
  <c r="CU18" i="23"/>
  <c r="CU18" i="22"/>
  <c r="CY18" i="23"/>
  <c r="CY18" i="22"/>
  <c r="DC18" i="23"/>
  <c r="DC18" i="22"/>
  <c r="DG18" i="23"/>
  <c r="DG18" i="22"/>
  <c r="DK18" i="23"/>
  <c r="DK18" i="22"/>
  <c r="DO18" i="23"/>
  <c r="DO18" i="22"/>
  <c r="DS18" i="23"/>
  <c r="DS18" i="22"/>
  <c r="DW18" i="23"/>
  <c r="DW18" i="22"/>
  <c r="EA18" i="23"/>
  <c r="EA18" i="22"/>
  <c r="EE18" i="23"/>
  <c r="EE18" i="22"/>
  <c r="EI18" i="23"/>
  <c r="EI18" i="22"/>
  <c r="EM18" i="23"/>
  <c r="EM18" i="22"/>
  <c r="EQ18" i="23"/>
  <c r="EQ18" i="22"/>
  <c r="EU18" i="23"/>
  <c r="EU18" i="22"/>
  <c r="EY18" i="23"/>
  <c r="EY18" i="22"/>
  <c r="FC18" i="23"/>
  <c r="FC18" i="22"/>
  <c r="FG18" i="23"/>
  <c r="FG18" i="22"/>
  <c r="FK18" i="23"/>
  <c r="FK18" i="22"/>
  <c r="FO18" i="23"/>
  <c r="FO18" i="22"/>
  <c r="FS18" i="23"/>
  <c r="FS18" i="22"/>
  <c r="FW18" i="23"/>
  <c r="FW18" i="22"/>
  <c r="GA18" i="23"/>
  <c r="GA18" i="22"/>
  <c r="GE18" i="23"/>
  <c r="GE18" i="22"/>
  <c r="GI18" i="23"/>
  <c r="GI18" i="22"/>
  <c r="GM18" i="23"/>
  <c r="GM18" i="22"/>
  <c r="S19" i="23"/>
  <c r="S19" i="22"/>
  <c r="W19" i="23"/>
  <c r="W19" i="22"/>
  <c r="AA19" i="23"/>
  <c r="AA19" i="22"/>
  <c r="AE19" i="23"/>
  <c r="AE19" i="22"/>
  <c r="AI19" i="23"/>
  <c r="AI19" i="22"/>
  <c r="AM19" i="23"/>
  <c r="AM19" i="22"/>
  <c r="AQ19" i="23"/>
  <c r="AQ19" i="22"/>
  <c r="AU19" i="23"/>
  <c r="AU19" i="22"/>
  <c r="AY19" i="23"/>
  <c r="AY19" i="22"/>
  <c r="BC19" i="23"/>
  <c r="BC19" i="22"/>
  <c r="BG19" i="23"/>
  <c r="BG19" i="22"/>
  <c r="BK19" i="23"/>
  <c r="BK19" i="22"/>
  <c r="BO19" i="23"/>
  <c r="BO19" i="22"/>
  <c r="BS19" i="23"/>
  <c r="BS19" i="22"/>
  <c r="BW19" i="23"/>
  <c r="BW19" i="22"/>
  <c r="CA19" i="23"/>
  <c r="CA19" i="22"/>
  <c r="CE19" i="23"/>
  <c r="CE19" i="22"/>
  <c r="CI19" i="23"/>
  <c r="CI19" i="22"/>
  <c r="CM19" i="23"/>
  <c r="CM19" i="22"/>
  <c r="CQ19" i="23"/>
  <c r="CQ19" i="22"/>
  <c r="CU19" i="23"/>
  <c r="CU19" i="22"/>
  <c r="CY19" i="23"/>
  <c r="CY19" i="22"/>
  <c r="DC19" i="23"/>
  <c r="DC19" i="22"/>
  <c r="DG19" i="23"/>
  <c r="DG19" i="22"/>
  <c r="DK19" i="23"/>
  <c r="DK19" i="22"/>
  <c r="DO19" i="23"/>
  <c r="DO19" i="22"/>
  <c r="DS19" i="23"/>
  <c r="DS19" i="22"/>
  <c r="DW19" i="23"/>
  <c r="DW19" i="22"/>
  <c r="EA19" i="23"/>
  <c r="EA19" i="22"/>
  <c r="EE19" i="23"/>
  <c r="EE19" i="22"/>
  <c r="EI19" i="23"/>
  <c r="EI19" i="22"/>
  <c r="EM19" i="23"/>
  <c r="EM19" i="22"/>
  <c r="EQ19" i="23"/>
  <c r="EQ19" i="22"/>
  <c r="EU19" i="23"/>
  <c r="EU19" i="22"/>
  <c r="EY19" i="23"/>
  <c r="EY19" i="22"/>
  <c r="FC19" i="23"/>
  <c r="FC19" i="22"/>
  <c r="FG19" i="23"/>
  <c r="FG19" i="22"/>
  <c r="FK19" i="23"/>
  <c r="FK19" i="22"/>
  <c r="FO19" i="23"/>
  <c r="FO19" i="22"/>
  <c r="FS19" i="23"/>
  <c r="FS19" i="22"/>
  <c r="FW19" i="23"/>
  <c r="FW19" i="22"/>
  <c r="GA19" i="23"/>
  <c r="GA19" i="22"/>
  <c r="GE19" i="23"/>
  <c r="GE19" i="22"/>
  <c r="GI19" i="23"/>
  <c r="GI19" i="22"/>
  <c r="GM19" i="23"/>
  <c r="GM19" i="22"/>
  <c r="S20" i="23"/>
  <c r="S20" i="22"/>
  <c r="W20" i="23"/>
  <c r="W20" i="22"/>
  <c r="AA20" i="23"/>
  <c r="AA20" i="22"/>
  <c r="AE20" i="23"/>
  <c r="AE20" i="22"/>
  <c r="AI20" i="23"/>
  <c r="AI20" i="22"/>
  <c r="AM20" i="23"/>
  <c r="AM20" i="22"/>
  <c r="AQ20" i="23"/>
  <c r="AQ20" i="22"/>
  <c r="AU20" i="23"/>
  <c r="AU20" i="22"/>
  <c r="AY20" i="23"/>
  <c r="AY20" i="22"/>
  <c r="BC20" i="23"/>
  <c r="BC20" i="22"/>
  <c r="BG20" i="23"/>
  <c r="BG20" i="22"/>
  <c r="BK20" i="23"/>
  <c r="BK20" i="22"/>
  <c r="BO20" i="23"/>
  <c r="BO20" i="22"/>
  <c r="BS20" i="23"/>
  <c r="BS20" i="22"/>
  <c r="BW20" i="23"/>
  <c r="BW20" i="22"/>
  <c r="CA20" i="23"/>
  <c r="CA20" i="22"/>
  <c r="CE20" i="23"/>
  <c r="CE20" i="22"/>
  <c r="CI20" i="23"/>
  <c r="CI20" i="22"/>
  <c r="CM20" i="23"/>
  <c r="CM20" i="22"/>
  <c r="CQ20" i="23"/>
  <c r="CQ20" i="22"/>
  <c r="CU20" i="23"/>
  <c r="CU20" i="22"/>
  <c r="CY20" i="23"/>
  <c r="CY20" i="22"/>
  <c r="DC20" i="23"/>
  <c r="DC20" i="22"/>
  <c r="DG20" i="23"/>
  <c r="DG20" i="22"/>
  <c r="DK20" i="23"/>
  <c r="DK20" i="22"/>
  <c r="DO20" i="23"/>
  <c r="DO20" i="22"/>
  <c r="DS20" i="23"/>
  <c r="DS20" i="22"/>
  <c r="DW20" i="23"/>
  <c r="DW20" i="22"/>
  <c r="EA20" i="23"/>
  <c r="EA20" i="22"/>
  <c r="EE20" i="23"/>
  <c r="EE20" i="22"/>
  <c r="EI20" i="23"/>
  <c r="EI20" i="22"/>
  <c r="EM20" i="23"/>
  <c r="EM20" i="22"/>
  <c r="EQ20" i="23"/>
  <c r="EQ20" i="22"/>
  <c r="EU20" i="23"/>
  <c r="EU20" i="22"/>
  <c r="EY20" i="23"/>
  <c r="EY20" i="22"/>
  <c r="FC20" i="23"/>
  <c r="FC20" i="22"/>
  <c r="FG20" i="23"/>
  <c r="FG20" i="22"/>
  <c r="FK20" i="23"/>
  <c r="FK20" i="22"/>
  <c r="FO20" i="23"/>
  <c r="FO20" i="22"/>
  <c r="FS20" i="23"/>
  <c r="FS20" i="22"/>
  <c r="FW20" i="23"/>
  <c r="FW20" i="22"/>
  <c r="GA20" i="23"/>
  <c r="GA20" i="22"/>
  <c r="GE20" i="23"/>
  <c r="GE20" i="22"/>
  <c r="GI20" i="23"/>
  <c r="GI20" i="22"/>
  <c r="GM20" i="23"/>
  <c r="GM20" i="22"/>
  <c r="S21" i="23"/>
  <c r="S21" i="22"/>
  <c r="W21" i="23"/>
  <c r="W21" i="22"/>
  <c r="AA21" i="23"/>
  <c r="AA21" i="22"/>
  <c r="AE21" i="23"/>
  <c r="AE21" i="22"/>
  <c r="AI21" i="23"/>
  <c r="AI21" i="22"/>
  <c r="AM21" i="23"/>
  <c r="AM21" i="22"/>
  <c r="AQ21" i="23"/>
  <c r="AQ21" i="22"/>
  <c r="AU21" i="23"/>
  <c r="AU21" i="22"/>
  <c r="AY21" i="23"/>
  <c r="AY21" i="22"/>
  <c r="BC21" i="23"/>
  <c r="BC21" i="22"/>
  <c r="BG21" i="23"/>
  <c r="BG21" i="22"/>
  <c r="BK21" i="23"/>
  <c r="BK21" i="22"/>
  <c r="BO21" i="23"/>
  <c r="BO21" i="22"/>
  <c r="BS21" i="23"/>
  <c r="BS21" i="22"/>
  <c r="BW21" i="23"/>
  <c r="BW21" i="22"/>
  <c r="CA21" i="23"/>
  <c r="CA21" i="22"/>
  <c r="CE21" i="23"/>
  <c r="CE21" i="22"/>
  <c r="CI21" i="23"/>
  <c r="CI21" i="22"/>
  <c r="CM21" i="23"/>
  <c r="CM21" i="22"/>
  <c r="CQ21" i="23"/>
  <c r="CQ21" i="22"/>
  <c r="CU21" i="23"/>
  <c r="CU21" i="22"/>
  <c r="CY21" i="23"/>
  <c r="CY21" i="22"/>
  <c r="DC21" i="23"/>
  <c r="DC21" i="22"/>
  <c r="DG21" i="23"/>
  <c r="DG21" i="22"/>
  <c r="DK21" i="23"/>
  <c r="DK21" i="22"/>
  <c r="DO21" i="23"/>
  <c r="DO21" i="22"/>
  <c r="DS21" i="23"/>
  <c r="DS21" i="22"/>
  <c r="DW21" i="23"/>
  <c r="DW21" i="22"/>
  <c r="EA21" i="23"/>
  <c r="EA21" i="22"/>
  <c r="EE21" i="23"/>
  <c r="EE21" i="22"/>
  <c r="EI21" i="23"/>
  <c r="EI21" i="22"/>
  <c r="EM21" i="23"/>
  <c r="EM21" i="22"/>
  <c r="EQ21" i="23"/>
  <c r="EQ21" i="22"/>
  <c r="EU21" i="23"/>
  <c r="EU21" i="22"/>
  <c r="EY21" i="23"/>
  <c r="EY21" i="22"/>
  <c r="FC21" i="23"/>
  <c r="FC21" i="22"/>
  <c r="FG21" i="23"/>
  <c r="FG21" i="22"/>
  <c r="FK21" i="23"/>
  <c r="FK21" i="22"/>
  <c r="FO21" i="23"/>
  <c r="FO21" i="22"/>
  <c r="FS21" i="23"/>
  <c r="FS21" i="22"/>
  <c r="FW21" i="23"/>
  <c r="FW21" i="22"/>
  <c r="GA21" i="23"/>
  <c r="GA21" i="22"/>
  <c r="GE21" i="23"/>
  <c r="GE21" i="22"/>
  <c r="GI21" i="23"/>
  <c r="GI21" i="22"/>
  <c r="GM21" i="23"/>
  <c r="GM21" i="22"/>
  <c r="S22" i="23"/>
  <c r="S22" i="22"/>
  <c r="W22" i="23"/>
  <c r="W22" i="22"/>
  <c r="AA22" i="23"/>
  <c r="AA22" i="22"/>
  <c r="AE22" i="23"/>
  <c r="AE22" i="22"/>
  <c r="AI22" i="23"/>
  <c r="AI22" i="22"/>
  <c r="AM22" i="23"/>
  <c r="AM22" i="22"/>
  <c r="AQ22" i="23"/>
  <c r="AQ22" i="22"/>
  <c r="AU22" i="23"/>
  <c r="AU22" i="22"/>
  <c r="AY22" i="23"/>
  <c r="AY22" i="22"/>
  <c r="BC22" i="23"/>
  <c r="BC22" i="22"/>
  <c r="BG22" i="23"/>
  <c r="BG22" i="22"/>
  <c r="BK22" i="23"/>
  <c r="BK22" i="22"/>
  <c r="BO22" i="23"/>
  <c r="BO22" i="22"/>
  <c r="BS22" i="23"/>
  <c r="BS22" i="22"/>
  <c r="BW22" i="23"/>
  <c r="BW22" i="22"/>
  <c r="CA22" i="23"/>
  <c r="CA22" i="22"/>
  <c r="CE22" i="23"/>
  <c r="CE22" i="22"/>
  <c r="CI22" i="23"/>
  <c r="CI22" i="22"/>
  <c r="CM22" i="23"/>
  <c r="CM22" i="22"/>
  <c r="CQ22" i="23"/>
  <c r="CQ22" i="22"/>
  <c r="CU22" i="23"/>
  <c r="CU22" i="22"/>
  <c r="CY22" i="23"/>
  <c r="CY22" i="22"/>
  <c r="DC22" i="23"/>
  <c r="DC22" i="22"/>
  <c r="DG22" i="23"/>
  <c r="DG22" i="22"/>
  <c r="DK22" i="23"/>
  <c r="DK22" i="22"/>
  <c r="DO22" i="23"/>
  <c r="DO22" i="22"/>
  <c r="DS22" i="23"/>
  <c r="DS22" i="22"/>
  <c r="DW22" i="23"/>
  <c r="DW22" i="22"/>
  <c r="EA22" i="23"/>
  <c r="EA22" i="22"/>
  <c r="EE22" i="23"/>
  <c r="EE22" i="22"/>
  <c r="EI22" i="23"/>
  <c r="EI22" i="22"/>
  <c r="EM22" i="23"/>
  <c r="EM22" i="22"/>
  <c r="EQ22" i="23"/>
  <c r="EQ22" i="22"/>
  <c r="EU22" i="23"/>
  <c r="EU22" i="22"/>
  <c r="EY22" i="23"/>
  <c r="EY22" i="22"/>
  <c r="FC22" i="23"/>
  <c r="FC22" i="22"/>
  <c r="FG22" i="23"/>
  <c r="FG22" i="22"/>
  <c r="FK22" i="23"/>
  <c r="FK22" i="22"/>
  <c r="FO22" i="23"/>
  <c r="FO22" i="22"/>
  <c r="FS22" i="23"/>
  <c r="FS22" i="22"/>
  <c r="FW22" i="23"/>
  <c r="FW22" i="22"/>
  <c r="GA22" i="23"/>
  <c r="GA22" i="22"/>
  <c r="GE22" i="23"/>
  <c r="GE22" i="22"/>
  <c r="GI22" i="23"/>
  <c r="GI22" i="22"/>
  <c r="GM22" i="23"/>
  <c r="GM22" i="22"/>
  <c r="S23" i="23"/>
  <c r="S23" i="22"/>
  <c r="W23" i="23"/>
  <c r="W23" i="22"/>
  <c r="AA23" i="23"/>
  <c r="AA23" i="22"/>
  <c r="AE23" i="23"/>
  <c r="AE23" i="22"/>
  <c r="AM23" i="23"/>
  <c r="AM23" i="22"/>
  <c r="AU23" i="23"/>
  <c r="AU23" i="22"/>
  <c r="AY23" i="23"/>
  <c r="AY23" i="22"/>
  <c r="BC23" i="23"/>
  <c r="BC23" i="22"/>
  <c r="BG23" i="23"/>
  <c r="BG23" i="22"/>
  <c r="BK23" i="23"/>
  <c r="BK23" i="22"/>
  <c r="BS23" i="23"/>
  <c r="BS23" i="22"/>
  <c r="CA23" i="23"/>
  <c r="CA23" i="22"/>
  <c r="CE23" i="23"/>
  <c r="CE23" i="22"/>
  <c r="CI23" i="23"/>
  <c r="CI23" i="22"/>
  <c r="CM23" i="23"/>
  <c r="CM23" i="22"/>
  <c r="CQ23" i="23"/>
  <c r="CQ23" i="22"/>
  <c r="CY23" i="23"/>
  <c r="CY23" i="22"/>
  <c r="DG23" i="23"/>
  <c r="DG23" i="22"/>
  <c r="DK23" i="23"/>
  <c r="DK23" i="22"/>
  <c r="DO23" i="23"/>
  <c r="DO23" i="22"/>
  <c r="DS23" i="23"/>
  <c r="DS23" i="22"/>
  <c r="DW23" i="23"/>
  <c r="DW23" i="22"/>
  <c r="EE23" i="23"/>
  <c r="EE23" i="22"/>
  <c r="EM23" i="23"/>
  <c r="EM23" i="22"/>
  <c r="EQ23" i="23"/>
  <c r="EQ23" i="22"/>
  <c r="EU23" i="23"/>
  <c r="EU23" i="22"/>
  <c r="EY23" i="23"/>
  <c r="EY23" i="22"/>
  <c r="FC23" i="23"/>
  <c r="FC23" i="22"/>
  <c r="FK23" i="23"/>
  <c r="FK23" i="22"/>
  <c r="FS23" i="23"/>
  <c r="FS23" i="22"/>
  <c r="FW23" i="23"/>
  <c r="FW23" i="22"/>
  <c r="GA23" i="23"/>
  <c r="GA23" i="22"/>
  <c r="GE23" i="23"/>
  <c r="GE23" i="22"/>
  <c r="GI23" i="23"/>
  <c r="GI23" i="22"/>
  <c r="S24" i="23"/>
  <c r="S24" i="22"/>
  <c r="W24" i="23"/>
  <c r="W24" i="22"/>
  <c r="AA24" i="23"/>
  <c r="AA24" i="22"/>
  <c r="AE24" i="23"/>
  <c r="AE24" i="22"/>
  <c r="AI24" i="23"/>
  <c r="AI24" i="22"/>
  <c r="AM24" i="23"/>
  <c r="AM24" i="22"/>
  <c r="AQ24" i="23"/>
  <c r="AQ24" i="22"/>
  <c r="AU24" i="23"/>
  <c r="AU24" i="22"/>
  <c r="AY24" i="23"/>
  <c r="AY24" i="22"/>
  <c r="BC24" i="23"/>
  <c r="BC24" i="22"/>
  <c r="BG24" i="23"/>
  <c r="BG24" i="22"/>
  <c r="BK24" i="23"/>
  <c r="BK24" i="22"/>
  <c r="BO24" i="23"/>
  <c r="BO24" i="22"/>
  <c r="BS24" i="23"/>
  <c r="BS24" i="22"/>
  <c r="BW24" i="23"/>
  <c r="BW24" i="22"/>
  <c r="CA24" i="23"/>
  <c r="CA24" i="22"/>
  <c r="CE24" i="23"/>
  <c r="CE24" i="22"/>
  <c r="CI24" i="23"/>
  <c r="CI24" i="22"/>
  <c r="CM24" i="23"/>
  <c r="CM24" i="22"/>
  <c r="CQ24" i="23"/>
  <c r="CQ24" i="22"/>
  <c r="CU24" i="23"/>
  <c r="CU24" i="22"/>
  <c r="CY24" i="23"/>
  <c r="CY24" i="22"/>
  <c r="DC24" i="23"/>
  <c r="DC24" i="22"/>
  <c r="DG24" i="23"/>
  <c r="DG24" i="22"/>
  <c r="DK24" i="23"/>
  <c r="DK24" i="22"/>
  <c r="DO24" i="23"/>
  <c r="DO24" i="22"/>
  <c r="DS24" i="23"/>
  <c r="DS24" i="22"/>
  <c r="DW24" i="23"/>
  <c r="DW24" i="22"/>
  <c r="EA24" i="23"/>
  <c r="EA24" i="22"/>
  <c r="EE24" i="23"/>
  <c r="EE24" i="22"/>
  <c r="EI24" i="23"/>
  <c r="EI24" i="22"/>
  <c r="EM24" i="23"/>
  <c r="EM24" i="22"/>
  <c r="EQ24" i="23"/>
  <c r="EQ24" i="22"/>
  <c r="EU24" i="23"/>
  <c r="EU24" i="22"/>
  <c r="EY24" i="23"/>
  <c r="EY24" i="22"/>
  <c r="FC24" i="23"/>
  <c r="FC24" i="22"/>
  <c r="FG24" i="23"/>
  <c r="FG24" i="22"/>
  <c r="FK24" i="23"/>
  <c r="FK24" i="22"/>
  <c r="FO24" i="23"/>
  <c r="FO24" i="22"/>
  <c r="FS24" i="23"/>
  <c r="FS24" i="22"/>
  <c r="FW24" i="23"/>
  <c r="FW24" i="22"/>
  <c r="GA24" i="23"/>
  <c r="GA24" i="22"/>
  <c r="GE24" i="23"/>
  <c r="GE24" i="22"/>
  <c r="GI24" i="23"/>
  <c r="GI24" i="22"/>
  <c r="GM24" i="23"/>
  <c r="GM24" i="22"/>
  <c r="S25" i="23"/>
  <c r="S25" i="22"/>
  <c r="W25" i="23"/>
  <c r="W25" i="22"/>
  <c r="AA25" i="23"/>
  <c r="AA25" i="22"/>
  <c r="AE25" i="23"/>
  <c r="AE25" i="22"/>
  <c r="AI25" i="23"/>
  <c r="AI25" i="22"/>
  <c r="AM25" i="23"/>
  <c r="AM25" i="22"/>
  <c r="AQ25" i="23"/>
  <c r="AQ25" i="22"/>
  <c r="AU25" i="23"/>
  <c r="AU25" i="22"/>
  <c r="AY25" i="23"/>
  <c r="AY25" i="22"/>
  <c r="BC25" i="23"/>
  <c r="BC25" i="22"/>
  <c r="BG25" i="23"/>
  <c r="BG25" i="22"/>
  <c r="BK25" i="23"/>
  <c r="BK25" i="22"/>
  <c r="BO25" i="23"/>
  <c r="BO25" i="22"/>
  <c r="BS25" i="23"/>
  <c r="BS25" i="22"/>
  <c r="BW25" i="23"/>
  <c r="BW25" i="22"/>
  <c r="CA25" i="23"/>
  <c r="CA25" i="22"/>
  <c r="CE25" i="23"/>
  <c r="CE25" i="22"/>
  <c r="CI25" i="23"/>
  <c r="CI25" i="22"/>
  <c r="CM25" i="23"/>
  <c r="CM25" i="22"/>
  <c r="CQ25" i="23"/>
  <c r="CQ25" i="22"/>
  <c r="CU25" i="23"/>
  <c r="CU25" i="22"/>
  <c r="CY25" i="23"/>
  <c r="CY25" i="22"/>
  <c r="DC25" i="23"/>
  <c r="DC25" i="22"/>
  <c r="DG25" i="23"/>
  <c r="DG25" i="22"/>
  <c r="DK25" i="23"/>
  <c r="DK25" i="22"/>
  <c r="DO25" i="23"/>
  <c r="DO25" i="22"/>
  <c r="DS25" i="23"/>
  <c r="DS25" i="22"/>
  <c r="DW25" i="23"/>
  <c r="DW25" i="22"/>
  <c r="EA25" i="23"/>
  <c r="EA25" i="22"/>
  <c r="EE25" i="23"/>
  <c r="EE25" i="22"/>
  <c r="EI25" i="23"/>
  <c r="EI25" i="22"/>
  <c r="EM25" i="23"/>
  <c r="EM25" i="22"/>
  <c r="EQ25" i="23"/>
  <c r="EQ25" i="22"/>
  <c r="EU25" i="23"/>
  <c r="EU25" i="22"/>
  <c r="EY25" i="23"/>
  <c r="EY25" i="22"/>
  <c r="FC25" i="23"/>
  <c r="FC25" i="22"/>
  <c r="FG25" i="23"/>
  <c r="FG25" i="22"/>
  <c r="FK25" i="23"/>
  <c r="FK25" i="22"/>
  <c r="FO25" i="23"/>
  <c r="FO25" i="22"/>
  <c r="FS25" i="23"/>
  <c r="FS25" i="22"/>
  <c r="FW25" i="23"/>
  <c r="FW25" i="22"/>
  <c r="GA25" i="23"/>
  <c r="GA25" i="22"/>
  <c r="GE25" i="23"/>
  <c r="GE25" i="22"/>
  <c r="GI25" i="23"/>
  <c r="GI25" i="22"/>
  <c r="GM25" i="23"/>
  <c r="GM25" i="22"/>
  <c r="S26" i="23"/>
  <c r="S26" i="22"/>
  <c r="W26" i="23"/>
  <c r="W26" i="22"/>
  <c r="AA26" i="23"/>
  <c r="AA26" i="22"/>
  <c r="AE26" i="23"/>
  <c r="AE26" i="22"/>
  <c r="AI26" i="23"/>
  <c r="AI26" i="22"/>
  <c r="AM26" i="23"/>
  <c r="AM26" i="22"/>
  <c r="AQ26" i="23"/>
  <c r="AQ26" i="22"/>
  <c r="AU26" i="23"/>
  <c r="AU26" i="22"/>
  <c r="AY26" i="23"/>
  <c r="AY26" i="22"/>
  <c r="BC26" i="23"/>
  <c r="BC26" i="22"/>
  <c r="BG26" i="23"/>
  <c r="BG26" i="22"/>
  <c r="BK26" i="23"/>
  <c r="BK26" i="22"/>
  <c r="BO26" i="23"/>
  <c r="BO26" i="22"/>
  <c r="BS26" i="23"/>
  <c r="BS26" i="22"/>
  <c r="BW26" i="23"/>
  <c r="BW26" i="22"/>
  <c r="CA26" i="23"/>
  <c r="CA26" i="22"/>
  <c r="CE26" i="23"/>
  <c r="CE26" i="22"/>
  <c r="CI26" i="23"/>
  <c r="CI26" i="22"/>
  <c r="CM26" i="23"/>
  <c r="CM26" i="22"/>
  <c r="CQ26" i="23"/>
  <c r="CQ26" i="22"/>
  <c r="CU26" i="23"/>
  <c r="CU26" i="22"/>
  <c r="CY26" i="23"/>
  <c r="CY26" i="22"/>
  <c r="DC26" i="23"/>
  <c r="DC26" i="22"/>
  <c r="DG26" i="23"/>
  <c r="DG26" i="22"/>
  <c r="DK26" i="23"/>
  <c r="DK26" i="22"/>
  <c r="DO26" i="23"/>
  <c r="DO26" i="22"/>
  <c r="DS26" i="23"/>
  <c r="DS26" i="22"/>
  <c r="DW26" i="23"/>
  <c r="DW26" i="22"/>
  <c r="EA26" i="23"/>
  <c r="EA26" i="22"/>
  <c r="EE26" i="23"/>
  <c r="EE26" i="22"/>
  <c r="EI26" i="23"/>
  <c r="EI26" i="22"/>
  <c r="EM26" i="23"/>
  <c r="EM26" i="22"/>
  <c r="EQ26" i="23"/>
  <c r="EQ26" i="22"/>
  <c r="EU26" i="23"/>
  <c r="EU26" i="22"/>
  <c r="EY26" i="23"/>
  <c r="EY26" i="22"/>
  <c r="FC26" i="23"/>
  <c r="FC26" i="22"/>
  <c r="FG26" i="23"/>
  <c r="FG26" i="22"/>
  <c r="FK26" i="23"/>
  <c r="FK26" i="22"/>
  <c r="FO26" i="23"/>
  <c r="FO26" i="22"/>
  <c r="FS26" i="23"/>
  <c r="FS26" i="22"/>
  <c r="FW26" i="23"/>
  <c r="FW26" i="22"/>
  <c r="GA26" i="23"/>
  <c r="GA26" i="22"/>
  <c r="GE26" i="23"/>
  <c r="GE26" i="22"/>
  <c r="GI26" i="23"/>
  <c r="GI26" i="22"/>
  <c r="GM26" i="23"/>
  <c r="GM26" i="22"/>
  <c r="S27" i="23"/>
  <c r="S27" i="22"/>
  <c r="W27" i="23"/>
  <c r="W27" i="22"/>
  <c r="AA27" i="23"/>
  <c r="AA27" i="22"/>
  <c r="AE27" i="23"/>
  <c r="AE27" i="22"/>
  <c r="AI27" i="23"/>
  <c r="AI27" i="22"/>
  <c r="AM27" i="23"/>
  <c r="AM27" i="22"/>
  <c r="AQ27" i="23"/>
  <c r="AQ27" i="22"/>
  <c r="AU27" i="23"/>
  <c r="AU27" i="22"/>
  <c r="AY27" i="23"/>
  <c r="AY27" i="22"/>
  <c r="BC27" i="23"/>
  <c r="BC27" i="22"/>
  <c r="BG27" i="23"/>
  <c r="BG27" i="22"/>
  <c r="BK27" i="23"/>
  <c r="BK27" i="22"/>
  <c r="BO27" i="23"/>
  <c r="BO27" i="22"/>
  <c r="BS27" i="23"/>
  <c r="BS27" i="22"/>
  <c r="BW27" i="23"/>
  <c r="BW27" i="22"/>
  <c r="CA27" i="23"/>
  <c r="CA27" i="22"/>
  <c r="CE27" i="23"/>
  <c r="CE27" i="22"/>
  <c r="CI27" i="23"/>
  <c r="CI27" i="22"/>
  <c r="CM27" i="23"/>
  <c r="CM27" i="22"/>
  <c r="CQ27" i="23"/>
  <c r="CQ27" i="22"/>
  <c r="CU27" i="23"/>
  <c r="CU27" i="22"/>
  <c r="CY27" i="23"/>
  <c r="CY27" i="22"/>
  <c r="DC27" i="23"/>
  <c r="DC27" i="22"/>
  <c r="DG27" i="23"/>
  <c r="DG27" i="22"/>
  <c r="DK27" i="23"/>
  <c r="DK27" i="22"/>
  <c r="DO27" i="23"/>
  <c r="DO27" i="22"/>
  <c r="DS27" i="23"/>
  <c r="DS27" i="22"/>
  <c r="DW27" i="23"/>
  <c r="DW27" i="22"/>
  <c r="EA27" i="23"/>
  <c r="EA27" i="22"/>
  <c r="EE27" i="23"/>
  <c r="EE27" i="22"/>
  <c r="EI27" i="23"/>
  <c r="EI27" i="22"/>
  <c r="EM27" i="23"/>
  <c r="EM27" i="22"/>
  <c r="EQ27" i="23"/>
  <c r="EQ27" i="22"/>
  <c r="EU27" i="23"/>
  <c r="EU27" i="22"/>
  <c r="EY27" i="23"/>
  <c r="EY27" i="22"/>
  <c r="FC27" i="23"/>
  <c r="FC27" i="22"/>
  <c r="FG27" i="23"/>
  <c r="FG27" i="22"/>
  <c r="FK27" i="23"/>
  <c r="FK27" i="22"/>
  <c r="FO27" i="23"/>
  <c r="FO27" i="22"/>
  <c r="FS27" i="23"/>
  <c r="FS27" i="22"/>
  <c r="FW27" i="23"/>
  <c r="FW27" i="22"/>
  <c r="GA27" i="23"/>
  <c r="GA27" i="22"/>
  <c r="GE27" i="23"/>
  <c r="GE27" i="22"/>
  <c r="GI27" i="23"/>
  <c r="GI27" i="22"/>
  <c r="GM27" i="23"/>
  <c r="GM27" i="22"/>
  <c r="S28" i="23"/>
  <c r="S28" i="22"/>
  <c r="W28" i="23"/>
  <c r="W28" i="22"/>
  <c r="AA28" i="23"/>
  <c r="AA28" i="22"/>
  <c r="AE28" i="23"/>
  <c r="AE28" i="22"/>
  <c r="AI28" i="23"/>
  <c r="AI28" i="22"/>
  <c r="AM28" i="23"/>
  <c r="AM28" i="22"/>
  <c r="AQ28" i="23"/>
  <c r="AQ28" i="22"/>
  <c r="AU28" i="23"/>
  <c r="AU28" i="22"/>
  <c r="AY28" i="23"/>
  <c r="AY28" i="22"/>
  <c r="BC28" i="23"/>
  <c r="BC28" i="22"/>
  <c r="BG28" i="23"/>
  <c r="BG28" i="22"/>
  <c r="BK28" i="23"/>
  <c r="BK28" i="22"/>
  <c r="BO28" i="23"/>
  <c r="BO28" i="22"/>
  <c r="BS28" i="23"/>
  <c r="BS28" i="22"/>
  <c r="BW28" i="23"/>
  <c r="BW28" i="22"/>
  <c r="CA28" i="23"/>
  <c r="CA28" i="22"/>
  <c r="CE28" i="23"/>
  <c r="CE28" i="22"/>
  <c r="CI28" i="23"/>
  <c r="CI28" i="22"/>
  <c r="CM28" i="23"/>
  <c r="CM28" i="22"/>
  <c r="CQ28" i="23"/>
  <c r="CQ28" i="22"/>
  <c r="CU28" i="23"/>
  <c r="CU28" i="22"/>
  <c r="CY28" i="23"/>
  <c r="CY28" i="22"/>
  <c r="DC28" i="23"/>
  <c r="DC28" i="22"/>
  <c r="DG28" i="23"/>
  <c r="DG28" i="22"/>
  <c r="DK28" i="23"/>
  <c r="DK28" i="22"/>
  <c r="DO28" i="23"/>
  <c r="DO28" i="22"/>
  <c r="DS28" i="23"/>
  <c r="DS28" i="22"/>
  <c r="DW28" i="23"/>
  <c r="DW28" i="22"/>
  <c r="EA28" i="23"/>
  <c r="EA28" i="22"/>
  <c r="EE28" i="23"/>
  <c r="EE28" i="22"/>
  <c r="EI28" i="23"/>
  <c r="EI28" i="22"/>
  <c r="EM28" i="23"/>
  <c r="EM28" i="22"/>
  <c r="EQ28" i="23"/>
  <c r="EQ28" i="22"/>
  <c r="EU28" i="23"/>
  <c r="EU28" i="22"/>
  <c r="EY28" i="23"/>
  <c r="EY28" i="22"/>
  <c r="FC28" i="23"/>
  <c r="FC28" i="22"/>
  <c r="FG28" i="23"/>
  <c r="FG28" i="22"/>
  <c r="FK28" i="23"/>
  <c r="FK28" i="22"/>
  <c r="FO28" i="23"/>
  <c r="FO28" i="22"/>
  <c r="FS28" i="23"/>
  <c r="FS28" i="22"/>
  <c r="FW28" i="23"/>
  <c r="FW28" i="22"/>
  <c r="GA28" i="23"/>
  <c r="GA28" i="22"/>
  <c r="GE28" i="23"/>
  <c r="GE28" i="22"/>
  <c r="GI28" i="23"/>
  <c r="GI28" i="22"/>
  <c r="GM28" i="23"/>
  <c r="GM28" i="22"/>
  <c r="S29" i="23"/>
  <c r="S29" i="22"/>
  <c r="W29" i="23"/>
  <c r="W29" i="22"/>
  <c r="AA29" i="23"/>
  <c r="AA29" i="22"/>
  <c r="AE29" i="23"/>
  <c r="AE29" i="22"/>
  <c r="AI29" i="23"/>
  <c r="AI29" i="22"/>
  <c r="AM29" i="23"/>
  <c r="AM29" i="22"/>
  <c r="AQ29" i="23"/>
  <c r="AQ29" i="22"/>
  <c r="AU29" i="23"/>
  <c r="AU29" i="22"/>
  <c r="AY29" i="23"/>
  <c r="AY29" i="22"/>
  <c r="BC29" i="23"/>
  <c r="BC29" i="22"/>
  <c r="BG29" i="23"/>
  <c r="BG29" i="22"/>
  <c r="BK29" i="23"/>
  <c r="BK29" i="22"/>
  <c r="BO29" i="23"/>
  <c r="BO29" i="22"/>
  <c r="BS29" i="23"/>
  <c r="BS29" i="22"/>
  <c r="BW29" i="23"/>
  <c r="BW29" i="22"/>
  <c r="CA29" i="23"/>
  <c r="CA29" i="22"/>
  <c r="CE29" i="23"/>
  <c r="CE29" i="22"/>
  <c r="CI29" i="23"/>
  <c r="CI29" i="22"/>
  <c r="CM29" i="23"/>
  <c r="CM29" i="22"/>
  <c r="CQ29" i="23"/>
  <c r="CQ29" i="22"/>
  <c r="CU29" i="23"/>
  <c r="CU29" i="22"/>
  <c r="CY29" i="23"/>
  <c r="CY29" i="22"/>
  <c r="DC29" i="23"/>
  <c r="DC29" i="22"/>
  <c r="DG29" i="23"/>
  <c r="DG29" i="22"/>
  <c r="DK29" i="23"/>
  <c r="DK29" i="22"/>
  <c r="DO29" i="23"/>
  <c r="DO29" i="22"/>
  <c r="DS29" i="23"/>
  <c r="DS29" i="22"/>
  <c r="DW29" i="23"/>
  <c r="DW29" i="22"/>
  <c r="EA29" i="23"/>
  <c r="EA29" i="22"/>
  <c r="EE29" i="23"/>
  <c r="EE29" i="22"/>
  <c r="EI29" i="23"/>
  <c r="EI29" i="22"/>
  <c r="EM29" i="23"/>
  <c r="EM29" i="22"/>
  <c r="EQ29" i="23"/>
  <c r="EQ29" i="22"/>
  <c r="EU29" i="23"/>
  <c r="EU29" i="22"/>
  <c r="EY29" i="23"/>
  <c r="EY29" i="22"/>
  <c r="FC29" i="23"/>
  <c r="FC29" i="22"/>
  <c r="FG29" i="23"/>
  <c r="FG29" i="22"/>
  <c r="FK29" i="23"/>
  <c r="FK29" i="22"/>
  <c r="FO29" i="23"/>
  <c r="FO29" i="22"/>
  <c r="FS29" i="23"/>
  <c r="FS29" i="22"/>
  <c r="FW29" i="23"/>
  <c r="FW29" i="22"/>
  <c r="GA29" i="23"/>
  <c r="GA29" i="22"/>
  <c r="GE29" i="23"/>
  <c r="GE29" i="22"/>
  <c r="GI29" i="23"/>
  <c r="GI29" i="22"/>
  <c r="GM29" i="23"/>
  <c r="GM29" i="22"/>
  <c r="S30" i="23"/>
  <c r="S30" i="22"/>
  <c r="W30" i="23"/>
  <c r="W30" i="22"/>
  <c r="AA30" i="23"/>
  <c r="AA30" i="22"/>
  <c r="AE30" i="23"/>
  <c r="AE30" i="22"/>
  <c r="AI30" i="23"/>
  <c r="AI30" i="22"/>
  <c r="AM30" i="23"/>
  <c r="AM30" i="22"/>
  <c r="AQ30" i="23"/>
  <c r="AQ30" i="22"/>
  <c r="AU30" i="23"/>
  <c r="AU30" i="22"/>
  <c r="AY30" i="23"/>
  <c r="AY30" i="22"/>
  <c r="BC30" i="23"/>
  <c r="BC30" i="22"/>
  <c r="BG30" i="23"/>
  <c r="BG30" i="22"/>
  <c r="BK30" i="23"/>
  <c r="BK30" i="22"/>
  <c r="BO30" i="23"/>
  <c r="BO30" i="22"/>
  <c r="BS30" i="23"/>
  <c r="BS30" i="22"/>
  <c r="BW30" i="23"/>
  <c r="BW30" i="22"/>
  <c r="CA30" i="23"/>
  <c r="CA30" i="22"/>
  <c r="CE30" i="23"/>
  <c r="CE30" i="22"/>
  <c r="CI30" i="23"/>
  <c r="CI30" i="22"/>
  <c r="CM30" i="23"/>
  <c r="CM30" i="22"/>
  <c r="CQ30" i="23"/>
  <c r="CQ30" i="22"/>
  <c r="CU30" i="23"/>
  <c r="CU30" i="22"/>
  <c r="CY30" i="23"/>
  <c r="CY30" i="22"/>
  <c r="DC30" i="23"/>
  <c r="DC30" i="22"/>
  <c r="DG30" i="23"/>
  <c r="DG30" i="22"/>
  <c r="DK30" i="23"/>
  <c r="DK30" i="22"/>
  <c r="DO30" i="23"/>
  <c r="DO30" i="22"/>
  <c r="DS30" i="23"/>
  <c r="DS30" i="22"/>
  <c r="DW30" i="23"/>
  <c r="DW30" i="22"/>
  <c r="EA30" i="23"/>
  <c r="EA30" i="22"/>
  <c r="EE30" i="23"/>
  <c r="EE30" i="22"/>
  <c r="EI30" i="23"/>
  <c r="EI30" i="22"/>
  <c r="EM30" i="23"/>
  <c r="EM30" i="22"/>
  <c r="EQ30" i="23"/>
  <c r="EQ30" i="22"/>
  <c r="EU30" i="23"/>
  <c r="EU30" i="22"/>
  <c r="EY30" i="23"/>
  <c r="EY30" i="22"/>
  <c r="FC30" i="23"/>
  <c r="FC30" i="22"/>
  <c r="FG30" i="23"/>
  <c r="FG30" i="22"/>
  <c r="FK30" i="23"/>
  <c r="FK30" i="22"/>
  <c r="FO30" i="23"/>
  <c r="FO30" i="22"/>
  <c r="FS30" i="23"/>
  <c r="FS30" i="22"/>
  <c r="FW30" i="23"/>
  <c r="FW30" i="22"/>
  <c r="GA30" i="23"/>
  <c r="GA30" i="22"/>
  <c r="GE30" i="23"/>
  <c r="GE30" i="22"/>
  <c r="GI30" i="23"/>
  <c r="GI30" i="22"/>
  <c r="GM30" i="23"/>
  <c r="GM30" i="22"/>
  <c r="S31" i="23"/>
  <c r="S31" i="22"/>
  <c r="W31" i="23"/>
  <c r="W31" i="22"/>
  <c r="AA31" i="23"/>
  <c r="AA31" i="22"/>
  <c r="AE31" i="23"/>
  <c r="AE31" i="22"/>
  <c r="AI31" i="23"/>
  <c r="AI31" i="22"/>
  <c r="AM31" i="23"/>
  <c r="AM31" i="22"/>
  <c r="AQ31" i="23"/>
  <c r="AQ31" i="22"/>
  <c r="AU31" i="23"/>
  <c r="AU31" i="22"/>
  <c r="AY31" i="23"/>
  <c r="AY31" i="22"/>
  <c r="BC31" i="23"/>
  <c r="BC31" i="22"/>
  <c r="BG31" i="23"/>
  <c r="BG31" i="22"/>
  <c r="BK31" i="23"/>
  <c r="BK31" i="22"/>
  <c r="BO31" i="23"/>
  <c r="BO31" i="22"/>
  <c r="BS31" i="23"/>
  <c r="BS31" i="22"/>
  <c r="BW31" i="23"/>
  <c r="BW31" i="22"/>
  <c r="CA31" i="23"/>
  <c r="CA31" i="22"/>
  <c r="CE31" i="23"/>
  <c r="CE31" i="22"/>
  <c r="CI31" i="23"/>
  <c r="CI31" i="22"/>
  <c r="CM31" i="23"/>
  <c r="CM31" i="22"/>
  <c r="CQ31" i="23"/>
  <c r="CQ31" i="22"/>
  <c r="CU31" i="23"/>
  <c r="CU31" i="22"/>
  <c r="CY31" i="23"/>
  <c r="CY31" i="22"/>
  <c r="DC31" i="23"/>
  <c r="DC31" i="22"/>
  <c r="DG31" i="23"/>
  <c r="DG31" i="22"/>
  <c r="DK31" i="23"/>
  <c r="DK31" i="22"/>
  <c r="DO31" i="23"/>
  <c r="DO31" i="22"/>
  <c r="DS31" i="23"/>
  <c r="DS31" i="22"/>
  <c r="DW31" i="23"/>
  <c r="DW31" i="22"/>
  <c r="EA31" i="23"/>
  <c r="EA31" i="22"/>
  <c r="EE31" i="23"/>
  <c r="EE31" i="22"/>
  <c r="EI31" i="23"/>
  <c r="EI31" i="22"/>
  <c r="EM31" i="23"/>
  <c r="EM31" i="22"/>
  <c r="EQ31" i="23"/>
  <c r="EQ31" i="22"/>
  <c r="EU31" i="23"/>
  <c r="EU31" i="22"/>
  <c r="EY31" i="23"/>
  <c r="EY31" i="22"/>
  <c r="FC31" i="23"/>
  <c r="FC31" i="22"/>
  <c r="FG31" i="23"/>
  <c r="FG31" i="22"/>
  <c r="FK31" i="23"/>
  <c r="FK31" i="22"/>
  <c r="FO31" i="23"/>
  <c r="FO31" i="22"/>
  <c r="FS31" i="23"/>
  <c r="FS31" i="22"/>
  <c r="FW31" i="23"/>
  <c r="FW31" i="22"/>
  <c r="GA31" i="23"/>
  <c r="GA31" i="22"/>
  <c r="GE31" i="23"/>
  <c r="GE31" i="22"/>
  <c r="GI31" i="23"/>
  <c r="GI31" i="22"/>
  <c r="GM31" i="23"/>
  <c r="GM31" i="22"/>
  <c r="S32" i="23"/>
  <c r="S32" i="22"/>
  <c r="W32" i="23"/>
  <c r="W32" i="22"/>
  <c r="AA32" i="23"/>
  <c r="AA32" i="22"/>
  <c r="AE32" i="23"/>
  <c r="AE32" i="22"/>
  <c r="AI32" i="23"/>
  <c r="AI32" i="22"/>
  <c r="AM32" i="23"/>
  <c r="AM32" i="22"/>
  <c r="AQ32" i="23"/>
  <c r="AQ32" i="22"/>
  <c r="AU32" i="23"/>
  <c r="AU32" i="22"/>
  <c r="AY32" i="23"/>
  <c r="AY32" i="22"/>
  <c r="BC32" i="23"/>
  <c r="BC32" i="22"/>
  <c r="BG32" i="23"/>
  <c r="BG32" i="22"/>
  <c r="BK32" i="23"/>
  <c r="BK32" i="22"/>
  <c r="BO32" i="23"/>
  <c r="BO32" i="22"/>
  <c r="BS32" i="23"/>
  <c r="BS32" i="22"/>
  <c r="BW32" i="23"/>
  <c r="BW32" i="22"/>
  <c r="CA32" i="23"/>
  <c r="CA32" i="22"/>
  <c r="CE32" i="23"/>
  <c r="CE32" i="22"/>
  <c r="CI32" i="23"/>
  <c r="CI32" i="22"/>
  <c r="CM32" i="23"/>
  <c r="CM32" i="22"/>
  <c r="CQ32" i="23"/>
  <c r="CQ32" i="22"/>
  <c r="CU32" i="23"/>
  <c r="CU32" i="22"/>
  <c r="CY32" i="23"/>
  <c r="CY32" i="22"/>
  <c r="DC32" i="23"/>
  <c r="DC32" i="22"/>
  <c r="DG32" i="23"/>
  <c r="DG32" i="22"/>
  <c r="DK32" i="23"/>
  <c r="DK32" i="22"/>
  <c r="DO32" i="23"/>
  <c r="DO32" i="22"/>
  <c r="DS32" i="23"/>
  <c r="DS32" i="22"/>
  <c r="DW32" i="23"/>
  <c r="DW32" i="22"/>
  <c r="EA32" i="23"/>
  <c r="EA32" i="22"/>
  <c r="EE32" i="23"/>
  <c r="EE32" i="22"/>
  <c r="EI32" i="23"/>
  <c r="EI32" i="22"/>
  <c r="EM32" i="23"/>
  <c r="EM32" i="22"/>
  <c r="EQ32" i="23"/>
  <c r="EQ32" i="22"/>
  <c r="EU32" i="23"/>
  <c r="EU32" i="22"/>
  <c r="EY32" i="23"/>
  <c r="EY32" i="22"/>
  <c r="FC32" i="23"/>
  <c r="FC32" i="22"/>
  <c r="FG32" i="23"/>
  <c r="FG32" i="22"/>
  <c r="FK32" i="23"/>
  <c r="FK32" i="22"/>
  <c r="FO32" i="23"/>
  <c r="FO32" i="22"/>
  <c r="FS32" i="23"/>
  <c r="FS32" i="22"/>
  <c r="FW32" i="23"/>
  <c r="FW32" i="22"/>
  <c r="GA32" i="23"/>
  <c r="GA32" i="22"/>
  <c r="GE32" i="23"/>
  <c r="GE32" i="22"/>
  <c r="GI32" i="23"/>
  <c r="GI32" i="22"/>
  <c r="GM32" i="23"/>
  <c r="GM32" i="22"/>
  <c r="S33" i="23"/>
  <c r="S33" i="22"/>
  <c r="W33" i="23"/>
  <c r="W33" i="22"/>
  <c r="AA33" i="23"/>
  <c r="AA33" i="22"/>
  <c r="AE33" i="23"/>
  <c r="AE33" i="22"/>
  <c r="AI33" i="23"/>
  <c r="AI33" i="22"/>
  <c r="AM33" i="23"/>
  <c r="AM33" i="22"/>
  <c r="AQ33" i="23"/>
  <c r="AQ33" i="22"/>
  <c r="AU33" i="23"/>
  <c r="AU33" i="22"/>
  <c r="AY33" i="23"/>
  <c r="AY33" i="22"/>
  <c r="BC33" i="23"/>
  <c r="BC33" i="22"/>
  <c r="BG33" i="23"/>
  <c r="BG33" i="22"/>
  <c r="BK33" i="23"/>
  <c r="BK33" i="22"/>
  <c r="BO33" i="23"/>
  <c r="BO33" i="22"/>
  <c r="BS33" i="23"/>
  <c r="BS33" i="22"/>
  <c r="BW33" i="23"/>
  <c r="BW33" i="22"/>
  <c r="CA33" i="23"/>
  <c r="CA33" i="22"/>
  <c r="CE33" i="23"/>
  <c r="CE33" i="22"/>
  <c r="CI33" i="23"/>
  <c r="CI33" i="22"/>
  <c r="CM33" i="23"/>
  <c r="CM33" i="22"/>
  <c r="CQ33" i="23"/>
  <c r="CQ33" i="22"/>
  <c r="CU33" i="23"/>
  <c r="CU33" i="22"/>
  <c r="CY33" i="23"/>
  <c r="CY33" i="22"/>
  <c r="DC33" i="23"/>
  <c r="DC33" i="22"/>
  <c r="DG33" i="23"/>
  <c r="DG33" i="22"/>
  <c r="DK33" i="23"/>
  <c r="DK33" i="22"/>
  <c r="DO33" i="23"/>
  <c r="DO33" i="22"/>
  <c r="DS33" i="23"/>
  <c r="DS33" i="22"/>
  <c r="DW33" i="23"/>
  <c r="DW33" i="22"/>
  <c r="EA33" i="23"/>
  <c r="EA33" i="22"/>
  <c r="EE33" i="23"/>
  <c r="EE33" i="22"/>
  <c r="EI33" i="23"/>
  <c r="EI33" i="22"/>
  <c r="EM33" i="23"/>
  <c r="EM33" i="22"/>
  <c r="EQ33" i="23"/>
  <c r="EQ33" i="22"/>
  <c r="EU33" i="23"/>
  <c r="EU33" i="22"/>
  <c r="EY33" i="23"/>
  <c r="EY33" i="22"/>
  <c r="FC33" i="23"/>
  <c r="FC33" i="22"/>
  <c r="FG33" i="23"/>
  <c r="FG33" i="22"/>
  <c r="FK33" i="23"/>
  <c r="FK33" i="22"/>
  <c r="FO33" i="23"/>
  <c r="FO33" i="22"/>
  <c r="FS33" i="23"/>
  <c r="FS33" i="22"/>
  <c r="FW33" i="23"/>
  <c r="FW33" i="22"/>
  <c r="GA33" i="23"/>
  <c r="GA33" i="22"/>
  <c r="GE33" i="23"/>
  <c r="GE33" i="22"/>
  <c r="GI33" i="23"/>
  <c r="GI33" i="22"/>
  <c r="GM33" i="23"/>
  <c r="GM33" i="22"/>
  <c r="S34" i="23"/>
  <c r="S34" i="22"/>
  <c r="W34" i="23"/>
  <c r="W34" i="22"/>
  <c r="AA34" i="23"/>
  <c r="AA34" i="22"/>
  <c r="AE34" i="23"/>
  <c r="AE34" i="22"/>
  <c r="AI34" i="23"/>
  <c r="AI34" i="22"/>
  <c r="AM34" i="23"/>
  <c r="AM34" i="22"/>
  <c r="AQ34" i="23"/>
  <c r="AQ34" i="22"/>
  <c r="AU34" i="23"/>
  <c r="AU34" i="22"/>
  <c r="AY34" i="23"/>
  <c r="AY34" i="22"/>
  <c r="BC34" i="23"/>
  <c r="BC34" i="22"/>
  <c r="BG34" i="23"/>
  <c r="BG34" i="22"/>
  <c r="BK34" i="23"/>
  <c r="BK34" i="22"/>
  <c r="BO34" i="23"/>
  <c r="BO34" i="22"/>
  <c r="BS34" i="23"/>
  <c r="BS34" i="22"/>
  <c r="BW34" i="23"/>
  <c r="BW34" i="22"/>
  <c r="CA34" i="23"/>
  <c r="CA34" i="22"/>
  <c r="CE34" i="23"/>
  <c r="CE34" i="22"/>
  <c r="CI34" i="23"/>
  <c r="CI34" i="22"/>
  <c r="CM34" i="23"/>
  <c r="CM34" i="22"/>
  <c r="CQ34" i="23"/>
  <c r="CQ34" i="22"/>
  <c r="CU34" i="23"/>
  <c r="CU34" i="22"/>
  <c r="CY34" i="23"/>
  <c r="CY34" i="22"/>
  <c r="DC34" i="23"/>
  <c r="DC34" i="22"/>
  <c r="DG34" i="23"/>
  <c r="DG34" i="22"/>
  <c r="DK34" i="23"/>
  <c r="DK34" i="22"/>
  <c r="DO34" i="23"/>
  <c r="DO34" i="22"/>
  <c r="DS34" i="23"/>
  <c r="DS34" i="22"/>
  <c r="DW34" i="23"/>
  <c r="DW34" i="22"/>
  <c r="EA34" i="23"/>
  <c r="EA34" i="22"/>
  <c r="EE34" i="23"/>
  <c r="EE34" i="22"/>
  <c r="EI34" i="23"/>
  <c r="EI34" i="22"/>
  <c r="EM34" i="23"/>
  <c r="EM34" i="22"/>
  <c r="EQ34" i="23"/>
  <c r="EQ34" i="22"/>
  <c r="EU34" i="23"/>
  <c r="EU34" i="22"/>
  <c r="EY34" i="23"/>
  <c r="EY34" i="22"/>
  <c r="FC34" i="23"/>
  <c r="FC34" i="22"/>
  <c r="FG34" i="23"/>
  <c r="FG34" i="22"/>
  <c r="FK34" i="23"/>
  <c r="FK34" i="22"/>
  <c r="FO34" i="23"/>
  <c r="FO34" i="22"/>
  <c r="FS34" i="23"/>
  <c r="FS34" i="22"/>
  <c r="FW34" i="23"/>
  <c r="FW34" i="22"/>
  <c r="GA34" i="23"/>
  <c r="GA34" i="22"/>
  <c r="GE34" i="23"/>
  <c r="GE34" i="22"/>
  <c r="GI34" i="23"/>
  <c r="GI34" i="22"/>
  <c r="GM34" i="23"/>
  <c r="GM34" i="22"/>
  <c r="S35" i="23"/>
  <c r="S35" i="22"/>
  <c r="W35" i="23"/>
  <c r="W35" i="22"/>
  <c r="AA35" i="23"/>
  <c r="AA35" i="22"/>
  <c r="AE35" i="23"/>
  <c r="AE35" i="22"/>
  <c r="AI35" i="23"/>
  <c r="AI35" i="22"/>
  <c r="AM35" i="23"/>
  <c r="AM35" i="22"/>
  <c r="AQ35" i="23"/>
  <c r="AQ35" i="22"/>
  <c r="AU35" i="23"/>
  <c r="AU35" i="22"/>
  <c r="AY35" i="23"/>
  <c r="AY35" i="22"/>
  <c r="BC35" i="23"/>
  <c r="BC35" i="22"/>
  <c r="BG35" i="23"/>
  <c r="BG35" i="22"/>
  <c r="BK35" i="23"/>
  <c r="BK35" i="22"/>
  <c r="BO35" i="23"/>
  <c r="BO35" i="22"/>
  <c r="BS35" i="23"/>
  <c r="BS35" i="22"/>
  <c r="BW35" i="23"/>
  <c r="BW35" i="22"/>
  <c r="CA35" i="23"/>
  <c r="CA35" i="22"/>
  <c r="CE35" i="23"/>
  <c r="CE35" i="22"/>
  <c r="CI35" i="23"/>
  <c r="CI35" i="22"/>
  <c r="CM35" i="23"/>
  <c r="CM35" i="22"/>
  <c r="CQ35" i="23"/>
  <c r="CQ35" i="22"/>
  <c r="CU35" i="23"/>
  <c r="CU35" i="22"/>
  <c r="CY35" i="23"/>
  <c r="CY35" i="22"/>
  <c r="DC35" i="23"/>
  <c r="DC35" i="22"/>
  <c r="DG35" i="23"/>
  <c r="DG35" i="22"/>
  <c r="DK35" i="23"/>
  <c r="DK35" i="22"/>
  <c r="DO35" i="23"/>
  <c r="DO35" i="22"/>
  <c r="DS35" i="23"/>
  <c r="DS35" i="22"/>
  <c r="DW35" i="23"/>
  <c r="DW35" i="22"/>
  <c r="EA35" i="23"/>
  <c r="EA35" i="22"/>
  <c r="EE35" i="23"/>
  <c r="EE35" i="22"/>
  <c r="EI35" i="23"/>
  <c r="EI35" i="22"/>
  <c r="EM35" i="23"/>
  <c r="EM35" i="22"/>
  <c r="EQ35" i="23"/>
  <c r="EQ35" i="22"/>
  <c r="EU35" i="23"/>
  <c r="EU35" i="22"/>
  <c r="EY35" i="23"/>
  <c r="EY35" i="22"/>
  <c r="FC35" i="23"/>
  <c r="FC35" i="22"/>
  <c r="FG35" i="23"/>
  <c r="FG35" i="22"/>
  <c r="FK35" i="23"/>
  <c r="FK35" i="22"/>
  <c r="FO35" i="23"/>
  <c r="FO35" i="22"/>
  <c r="FS35" i="23"/>
  <c r="FS35" i="22"/>
  <c r="FW35" i="23"/>
  <c r="FW35" i="22"/>
  <c r="GA35" i="23"/>
  <c r="GA35" i="22"/>
  <c r="GE35" i="23"/>
  <c r="GE35" i="22"/>
  <c r="GI35" i="23"/>
  <c r="GI35" i="22"/>
  <c r="GM35" i="23"/>
  <c r="GM35" i="22"/>
  <c r="S36" i="23"/>
  <c r="S36" i="22"/>
  <c r="W36" i="23"/>
  <c r="W36" i="22"/>
  <c r="AA36" i="23"/>
  <c r="AA36" i="22"/>
  <c r="AE36" i="23"/>
  <c r="AE36" i="22"/>
  <c r="AI36" i="23"/>
  <c r="AI36" i="22"/>
  <c r="AM36" i="23"/>
  <c r="AM36" i="22"/>
  <c r="AQ36" i="23"/>
  <c r="AQ36" i="22"/>
  <c r="AU36" i="23"/>
  <c r="AU36" i="22"/>
  <c r="AY36" i="23"/>
  <c r="AY36" i="22"/>
  <c r="BC36" i="23"/>
  <c r="BC36" i="22"/>
  <c r="BG36" i="23"/>
  <c r="BG36" i="22"/>
  <c r="BK36" i="23"/>
  <c r="BK36" i="22"/>
  <c r="BO36" i="23"/>
  <c r="BO36" i="22"/>
  <c r="BS36" i="23"/>
  <c r="BS36" i="22"/>
  <c r="BW36" i="23"/>
  <c r="BW36" i="22"/>
  <c r="CA36" i="23"/>
  <c r="CA36" i="22"/>
  <c r="CE36" i="23"/>
  <c r="CE36" i="22"/>
  <c r="CI36" i="23"/>
  <c r="CI36" i="22"/>
  <c r="CM36" i="23"/>
  <c r="CM36" i="22"/>
  <c r="CQ36" i="23"/>
  <c r="CQ36" i="22"/>
  <c r="CU36" i="23"/>
  <c r="CU36" i="22"/>
  <c r="CY36" i="23"/>
  <c r="CY36" i="22"/>
  <c r="DC36" i="23"/>
  <c r="DC36" i="22"/>
  <c r="DG36" i="23"/>
  <c r="DG36" i="22"/>
  <c r="DK36" i="23"/>
  <c r="DK36" i="22"/>
  <c r="DO36" i="23"/>
  <c r="DO36" i="22"/>
  <c r="DS36" i="23"/>
  <c r="DS36" i="22"/>
  <c r="DW36" i="23"/>
  <c r="DW36" i="22"/>
  <c r="EA36" i="23"/>
  <c r="EA36" i="22"/>
  <c r="EE36" i="23"/>
  <c r="EE36" i="22"/>
  <c r="EI36" i="23"/>
  <c r="EI36" i="22"/>
  <c r="EM36" i="23"/>
  <c r="EM36" i="22"/>
  <c r="EQ36" i="23"/>
  <c r="EQ36" i="22"/>
  <c r="EU36" i="23"/>
  <c r="EU36" i="22"/>
  <c r="EY36" i="23"/>
  <c r="EY36" i="22"/>
  <c r="FC36" i="23"/>
  <c r="FC36" i="22"/>
  <c r="FG36" i="23"/>
  <c r="FG36" i="22"/>
  <c r="FK36" i="23"/>
  <c r="FK36" i="22"/>
  <c r="FO36" i="23"/>
  <c r="FO36" i="22"/>
  <c r="FS36" i="23"/>
  <c r="FS36" i="22"/>
  <c r="FW36" i="23"/>
  <c r="FW36" i="22"/>
  <c r="GA36" i="23"/>
  <c r="GA36" i="22"/>
  <c r="GE36" i="23"/>
  <c r="GE36" i="22"/>
  <c r="GI36" i="23"/>
  <c r="GI36" i="22"/>
  <c r="GM36" i="23"/>
  <c r="GM36" i="22"/>
  <c r="S37" i="23"/>
  <c r="S37" i="22"/>
  <c r="W37" i="23"/>
  <c r="W37" i="22"/>
  <c r="AA37" i="23"/>
  <c r="AA37" i="22"/>
  <c r="AE37" i="23"/>
  <c r="AE37" i="22"/>
  <c r="AI37" i="23"/>
  <c r="AI37" i="22"/>
  <c r="AM37" i="23"/>
  <c r="AM37" i="22"/>
  <c r="AQ37" i="23"/>
  <c r="AQ37" i="22"/>
  <c r="AU37" i="23"/>
  <c r="AU37" i="22"/>
  <c r="AY37" i="23"/>
  <c r="AY37" i="22"/>
  <c r="BC37" i="23"/>
  <c r="BC37" i="22"/>
  <c r="BG37" i="23"/>
  <c r="BG37" i="22"/>
  <c r="BK37" i="23"/>
  <c r="BK37" i="22"/>
  <c r="BO37" i="23"/>
  <c r="BO37" i="22"/>
  <c r="BS37" i="23"/>
  <c r="BS37" i="22"/>
  <c r="BW37" i="23"/>
  <c r="BW37" i="22"/>
  <c r="CA37" i="23"/>
  <c r="CA37" i="22"/>
  <c r="CE37" i="23"/>
  <c r="CE37" i="22"/>
  <c r="CI37" i="23"/>
  <c r="CI37" i="22"/>
  <c r="CM37" i="23"/>
  <c r="CM37" i="22"/>
  <c r="CQ37" i="23"/>
  <c r="CQ37" i="22"/>
  <c r="CU37" i="23"/>
  <c r="CU37" i="22"/>
  <c r="CY37" i="23"/>
  <c r="CY37" i="22"/>
  <c r="DC37" i="23"/>
  <c r="DC37" i="22"/>
  <c r="DG37" i="23"/>
  <c r="DG37" i="22"/>
  <c r="DK37" i="23"/>
  <c r="DK37" i="22"/>
  <c r="DO37" i="23"/>
  <c r="DO37" i="22"/>
  <c r="DS37" i="23"/>
  <c r="DS37" i="22"/>
  <c r="DW37" i="23"/>
  <c r="DW37" i="22"/>
  <c r="EA37" i="23"/>
  <c r="EA37" i="22"/>
  <c r="EE37" i="23"/>
  <c r="EE37" i="22"/>
  <c r="EI37" i="23"/>
  <c r="EI37" i="22"/>
  <c r="EM37" i="23"/>
  <c r="EM37" i="22"/>
  <c r="EQ37" i="23"/>
  <c r="EQ37" i="22"/>
  <c r="EU37" i="23"/>
  <c r="EU37" i="22"/>
  <c r="EY37" i="23"/>
  <c r="EY37" i="22"/>
  <c r="FC37" i="23"/>
  <c r="FC37" i="22"/>
  <c r="FG37" i="23"/>
  <c r="FG37" i="22"/>
  <c r="FK37" i="23"/>
  <c r="FK37" i="22"/>
  <c r="FO37" i="23"/>
  <c r="FO37" i="22"/>
  <c r="FS37" i="23"/>
  <c r="FS37" i="22"/>
  <c r="FW37" i="23"/>
  <c r="FW37" i="22"/>
  <c r="GA37" i="23"/>
  <c r="GA37" i="22"/>
  <c r="GE37" i="23"/>
  <c r="GE37" i="22"/>
  <c r="GI37" i="23"/>
  <c r="GI37" i="22"/>
  <c r="GM37" i="23"/>
  <c r="GM37" i="22"/>
  <c r="T8" i="23"/>
  <c r="T9" i="23"/>
  <c r="T9" i="22"/>
  <c r="T10" i="23"/>
  <c r="T11" i="23"/>
  <c r="T11" i="22"/>
  <c r="X11" i="23"/>
  <c r="X11" i="22"/>
  <c r="AF11" i="23"/>
  <c r="AF11" i="22"/>
  <c r="AJ11" i="22"/>
  <c r="AN11" i="23"/>
  <c r="AN11" i="22"/>
  <c r="AR11" i="23"/>
  <c r="AR11" i="22"/>
  <c r="AV11" i="23"/>
  <c r="AV11" i="22"/>
  <c r="AZ11" i="23"/>
  <c r="AZ11" i="22"/>
  <c r="BD11" i="23"/>
  <c r="BD11" i="22"/>
  <c r="BL11" i="23"/>
  <c r="BL11" i="22"/>
  <c r="BP11" i="22"/>
  <c r="BT11" i="23"/>
  <c r="BT11" i="22"/>
  <c r="BX11" i="23"/>
  <c r="BX11" i="22"/>
  <c r="CB11" i="23"/>
  <c r="CB11" i="22"/>
  <c r="CF11" i="23"/>
  <c r="CF11" i="22"/>
  <c r="CJ11" i="23"/>
  <c r="CJ11" i="22"/>
  <c r="CR11" i="23"/>
  <c r="CR11" i="22"/>
  <c r="CV11" i="22"/>
  <c r="CZ11" i="23"/>
  <c r="CZ11" i="22"/>
  <c r="DD11" i="23"/>
  <c r="DD11" i="22"/>
  <c r="DH11" i="23"/>
  <c r="DH11" i="22"/>
  <c r="DL11" i="23"/>
  <c r="DL11" i="22"/>
  <c r="DP11" i="23"/>
  <c r="DP11" i="22"/>
  <c r="DX11" i="23"/>
  <c r="DX11" i="22"/>
  <c r="EB11" i="22"/>
  <c r="EF11" i="23"/>
  <c r="EF11" i="22"/>
  <c r="EJ11" i="23"/>
  <c r="EJ11" i="22"/>
  <c r="EN11" i="23"/>
  <c r="EN11" i="22"/>
  <c r="ER11" i="23"/>
  <c r="ER11" i="22"/>
  <c r="EV11" i="23"/>
  <c r="EV11" i="22"/>
  <c r="FD11" i="23"/>
  <c r="FD11" i="22"/>
  <c r="FH11" i="22"/>
  <c r="FL11" i="23"/>
  <c r="FL11" i="22"/>
  <c r="FP11" i="23"/>
  <c r="FP11" i="22"/>
  <c r="FT11" i="23"/>
  <c r="FT11" i="22"/>
  <c r="FX11" i="23"/>
  <c r="FX11" i="22"/>
  <c r="GB11" i="23"/>
  <c r="GB11" i="22"/>
  <c r="GJ11" i="23"/>
  <c r="GJ11" i="22"/>
  <c r="GN11" i="22"/>
  <c r="T12" i="23"/>
  <c r="T12" i="22"/>
  <c r="X12" i="23"/>
  <c r="X12" i="22"/>
  <c r="AB12" i="23"/>
  <c r="AB12" i="22"/>
  <c r="AF12" i="23"/>
  <c r="AF12" i="22"/>
  <c r="AJ12" i="23"/>
  <c r="AJ12" i="22"/>
  <c r="AN12" i="23"/>
  <c r="AN12" i="22"/>
  <c r="AR12" i="23"/>
  <c r="AR12" i="22"/>
  <c r="AV12" i="23"/>
  <c r="AV12" i="22"/>
  <c r="AZ12" i="23"/>
  <c r="AZ12" i="22"/>
  <c r="BD12" i="23"/>
  <c r="BD12" i="22"/>
  <c r="BH12" i="23"/>
  <c r="BH12" i="22"/>
  <c r="BL12" i="23"/>
  <c r="BL12" i="22"/>
  <c r="BP12" i="23"/>
  <c r="BP12" i="22"/>
  <c r="BT12" i="23"/>
  <c r="BT12" i="22"/>
  <c r="BX12" i="23"/>
  <c r="BX12" i="22"/>
  <c r="CB12" i="23"/>
  <c r="CB12" i="22"/>
  <c r="CF12" i="23"/>
  <c r="CF12" i="22"/>
  <c r="CJ12" i="23"/>
  <c r="CJ12" i="22"/>
  <c r="CN12" i="23"/>
  <c r="CN12" i="22"/>
  <c r="CR12" i="23"/>
  <c r="CR12" i="22"/>
  <c r="CV12" i="23"/>
  <c r="CV12" i="22"/>
  <c r="CZ12" i="23"/>
  <c r="CZ12" i="22"/>
  <c r="DD12" i="23"/>
  <c r="DD12" i="22"/>
  <c r="DH12" i="23"/>
  <c r="DH12" i="22"/>
  <c r="DL12" i="23"/>
  <c r="DL12" i="22"/>
  <c r="DP12" i="23"/>
  <c r="DP12" i="22"/>
  <c r="DT12" i="23"/>
  <c r="DT12" i="22"/>
  <c r="DX12" i="23"/>
  <c r="DX12" i="22"/>
  <c r="EB12" i="23"/>
  <c r="EB12" i="22"/>
  <c r="EF12" i="23"/>
  <c r="EF12" i="22"/>
  <c r="EJ12" i="23"/>
  <c r="EJ12" i="22"/>
  <c r="EN12" i="23"/>
  <c r="EN12" i="22"/>
  <c r="ER12" i="23"/>
  <c r="ER12" i="22"/>
  <c r="EV12" i="23"/>
  <c r="EV12" i="22"/>
  <c r="EZ12" i="23"/>
  <c r="EZ12" i="22"/>
  <c r="FD12" i="23"/>
  <c r="FD12" i="22"/>
  <c r="FH12" i="23"/>
  <c r="FH12" i="22"/>
  <c r="FL12" i="23"/>
  <c r="FL12" i="22"/>
  <c r="FP12" i="23"/>
  <c r="FP12" i="22"/>
  <c r="FT12" i="23"/>
  <c r="FT12" i="22"/>
  <c r="FX12" i="23"/>
  <c r="FX12" i="22"/>
  <c r="GB12" i="23"/>
  <c r="GB12" i="22"/>
  <c r="GF12" i="23"/>
  <c r="GF12" i="22"/>
  <c r="GJ12" i="23"/>
  <c r="GJ12" i="22"/>
  <c r="GN12" i="23"/>
  <c r="GN12" i="22"/>
  <c r="T13" i="23"/>
  <c r="T13" i="22"/>
  <c r="X13" i="23"/>
  <c r="X13" i="22"/>
  <c r="AB13" i="23"/>
  <c r="AB13" i="22"/>
  <c r="AF13" i="23"/>
  <c r="AF13" i="22"/>
  <c r="AJ13" i="23"/>
  <c r="AJ13" i="22"/>
  <c r="AN13" i="23"/>
  <c r="AN13" i="22"/>
  <c r="AR13" i="23"/>
  <c r="AR13" i="22"/>
  <c r="AV13" i="23"/>
  <c r="AV13" i="22"/>
  <c r="AZ13" i="23"/>
  <c r="AZ13" i="22"/>
  <c r="BD13" i="23"/>
  <c r="BD13" i="22"/>
  <c r="BH13" i="23"/>
  <c r="BH13" i="22"/>
  <c r="BL13" i="23"/>
  <c r="BL13" i="22"/>
  <c r="BP13" i="23"/>
  <c r="BP13" i="22"/>
  <c r="BT13" i="23"/>
  <c r="BT13" i="22"/>
  <c r="BX13" i="23"/>
  <c r="BX13" i="22"/>
  <c r="CB13" i="23"/>
  <c r="CB13" i="22"/>
  <c r="CF13" i="23"/>
  <c r="CF13" i="22"/>
  <c r="CJ13" i="23"/>
  <c r="CJ13" i="22"/>
  <c r="CN13" i="23"/>
  <c r="CN13" i="22"/>
  <c r="CR13" i="23"/>
  <c r="CR13" i="22"/>
  <c r="CV13" i="23"/>
  <c r="CV13" i="22"/>
  <c r="CZ13" i="23"/>
  <c r="CZ13" i="22"/>
  <c r="DD13" i="23"/>
  <c r="DD13" i="22"/>
  <c r="DH13" i="23"/>
  <c r="DH13" i="22"/>
  <c r="DL13" i="23"/>
  <c r="DL13" i="22"/>
  <c r="DP13" i="23"/>
  <c r="DP13" i="22"/>
  <c r="DT13" i="23"/>
  <c r="DT13" i="22"/>
  <c r="DX13" i="23"/>
  <c r="DX13" i="22"/>
  <c r="EB13" i="23"/>
  <c r="EB13" i="22"/>
  <c r="EF13" i="23"/>
  <c r="EF13" i="22"/>
  <c r="EJ13" i="23"/>
  <c r="EJ13" i="22"/>
  <c r="EN13" i="23"/>
  <c r="EN13" i="22"/>
  <c r="ER13" i="23"/>
  <c r="ER13" i="22"/>
  <c r="EV13" i="23"/>
  <c r="EV13" i="22"/>
  <c r="EZ13" i="23"/>
  <c r="EZ13" i="22"/>
  <c r="FD13" i="23"/>
  <c r="FD13" i="22"/>
  <c r="FH13" i="23"/>
  <c r="FH13" i="22"/>
  <c r="FL13" i="23"/>
  <c r="FL13" i="22"/>
  <c r="FP13" i="23"/>
  <c r="FP13" i="22"/>
  <c r="FT13" i="23"/>
  <c r="FT13" i="22"/>
  <c r="FX13" i="23"/>
  <c r="FX13" i="22"/>
  <c r="GB13" i="23"/>
  <c r="GB13" i="22"/>
  <c r="GF13" i="23"/>
  <c r="GF13" i="22"/>
  <c r="GJ13" i="23"/>
  <c r="GJ13" i="22"/>
  <c r="GN13" i="23"/>
  <c r="GN13" i="22"/>
  <c r="T14" i="23"/>
  <c r="T14" i="22"/>
  <c r="X14" i="23"/>
  <c r="X14" i="22"/>
  <c r="AB14" i="23"/>
  <c r="AB14" i="22"/>
  <c r="AF14" i="23"/>
  <c r="AF14" i="22"/>
  <c r="AJ14" i="23"/>
  <c r="AJ14" i="22"/>
  <c r="AN14" i="23"/>
  <c r="AN14" i="22"/>
  <c r="AR14" i="23"/>
  <c r="AR14" i="22"/>
  <c r="AV14" i="23"/>
  <c r="AV14" i="22"/>
  <c r="AZ14" i="23"/>
  <c r="AZ14" i="22"/>
  <c r="BD14" i="23"/>
  <c r="BD14" i="22"/>
  <c r="BH14" i="23"/>
  <c r="BH14" i="22"/>
  <c r="BL14" i="23"/>
  <c r="BL14" i="22"/>
  <c r="BP14" i="23"/>
  <c r="BP14" i="22"/>
  <c r="BT14" i="23"/>
  <c r="BT14" i="22"/>
  <c r="BX14" i="23"/>
  <c r="BX14" i="22"/>
  <c r="CB14" i="23"/>
  <c r="CB14" i="22"/>
  <c r="CF14" i="23"/>
  <c r="CF14" i="22"/>
  <c r="CJ14" i="23"/>
  <c r="CJ14" i="22"/>
  <c r="CN14" i="23"/>
  <c r="CN14" i="22"/>
  <c r="CR14" i="23"/>
  <c r="CR14" i="22"/>
  <c r="CV14" i="23"/>
  <c r="CV14" i="22"/>
  <c r="CZ14" i="23"/>
  <c r="CZ14" i="22"/>
  <c r="DD14" i="23"/>
  <c r="DD14" i="22"/>
  <c r="DH14" i="23"/>
  <c r="DH14" i="22"/>
  <c r="DL14" i="23"/>
  <c r="DL14" i="22"/>
  <c r="DP14" i="23"/>
  <c r="DP14" i="22"/>
  <c r="DT14" i="23"/>
  <c r="DT14" i="22"/>
  <c r="DX14" i="23"/>
  <c r="DX14" i="22"/>
  <c r="EB14" i="23"/>
  <c r="EB14" i="22"/>
  <c r="EF14" i="23"/>
  <c r="EF14" i="22"/>
  <c r="EJ14" i="23"/>
  <c r="EJ14" i="22"/>
  <c r="EN14" i="23"/>
  <c r="EN14" i="22"/>
  <c r="ER14" i="23"/>
  <c r="ER14" i="22"/>
  <c r="EV14" i="23"/>
  <c r="EV14" i="22"/>
  <c r="EZ14" i="23"/>
  <c r="EZ14" i="22"/>
  <c r="FD14" i="23"/>
  <c r="FD14" i="22"/>
  <c r="FH14" i="23"/>
  <c r="FH14" i="22"/>
  <c r="FL14" i="23"/>
  <c r="FL14" i="22"/>
  <c r="FP14" i="23"/>
  <c r="FP14" i="22"/>
  <c r="FT14" i="23"/>
  <c r="FT14" i="22"/>
  <c r="FX14" i="23"/>
  <c r="FX14" i="22"/>
  <c r="GB14" i="23"/>
  <c r="GB14" i="22"/>
  <c r="GF14" i="23"/>
  <c r="GF14" i="22"/>
  <c r="GJ14" i="23"/>
  <c r="GJ14" i="22"/>
  <c r="GN14" i="23"/>
  <c r="GN14" i="22"/>
  <c r="T15" i="23"/>
  <c r="T15" i="22"/>
  <c r="X15" i="23"/>
  <c r="X15" i="22"/>
  <c r="AB15" i="23"/>
  <c r="AB15" i="22"/>
  <c r="AF15" i="23"/>
  <c r="AF15" i="22"/>
  <c r="AJ15" i="23"/>
  <c r="AJ15" i="22"/>
  <c r="AN15" i="23"/>
  <c r="AN15" i="22"/>
  <c r="AR15" i="23"/>
  <c r="AR15" i="22"/>
  <c r="AV15" i="23"/>
  <c r="AV15" i="22"/>
  <c r="AZ15" i="23"/>
  <c r="AZ15" i="22"/>
  <c r="BD15" i="23"/>
  <c r="BD15" i="22"/>
  <c r="BH15" i="23"/>
  <c r="BH15" i="22"/>
  <c r="BL15" i="23"/>
  <c r="BL15" i="22"/>
  <c r="BP15" i="23"/>
  <c r="BP15" i="22"/>
  <c r="BT15" i="23"/>
  <c r="BT15" i="22"/>
  <c r="BX15" i="23"/>
  <c r="BX15" i="22"/>
  <c r="CB15" i="23"/>
  <c r="CB15" i="22"/>
  <c r="CF15" i="23"/>
  <c r="CF15" i="22"/>
  <c r="CJ15" i="23"/>
  <c r="CJ15" i="22"/>
  <c r="CN15" i="23"/>
  <c r="CN15" i="22"/>
  <c r="CR15" i="23"/>
  <c r="CR15" i="22"/>
  <c r="CV15" i="23"/>
  <c r="CV15" i="22"/>
  <c r="CZ15" i="23"/>
  <c r="CZ15" i="22"/>
  <c r="DD15" i="23"/>
  <c r="DD15" i="22"/>
  <c r="DH15" i="23"/>
  <c r="DH15" i="22"/>
  <c r="DL15" i="23"/>
  <c r="DL15" i="22"/>
  <c r="DP15" i="23"/>
  <c r="DP15" i="22"/>
  <c r="DT15" i="23"/>
  <c r="DT15" i="22"/>
  <c r="DX15" i="23"/>
  <c r="DX15" i="22"/>
  <c r="EB15" i="23"/>
  <c r="EB15" i="22"/>
  <c r="EF15" i="23"/>
  <c r="EF15" i="22"/>
  <c r="EJ15" i="23"/>
  <c r="EJ15" i="22"/>
  <c r="EN15" i="23"/>
  <c r="EN15" i="22"/>
  <c r="ER15" i="23"/>
  <c r="ER15" i="22"/>
  <c r="EV15" i="23"/>
  <c r="EV15" i="22"/>
  <c r="EZ15" i="23"/>
  <c r="EZ15" i="22"/>
  <c r="FD15" i="23"/>
  <c r="FD15" i="22"/>
  <c r="FH15" i="23"/>
  <c r="FH15" i="22"/>
  <c r="FL15" i="23"/>
  <c r="FL15" i="22"/>
  <c r="FP15" i="23"/>
  <c r="FP15" i="22"/>
  <c r="FT15" i="23"/>
  <c r="FT15" i="22"/>
  <c r="FX15" i="23"/>
  <c r="FX15" i="22"/>
  <c r="GB15" i="23"/>
  <c r="GB15" i="22"/>
  <c r="GF15" i="23"/>
  <c r="GF15" i="22"/>
  <c r="GJ15" i="23"/>
  <c r="GJ15" i="22"/>
  <c r="GN15" i="23"/>
  <c r="GN15" i="22"/>
  <c r="T16" i="23"/>
  <c r="T16" i="22"/>
  <c r="X16" i="23"/>
  <c r="X16" i="22"/>
  <c r="AB16" i="23"/>
  <c r="AB16" i="22"/>
  <c r="AF16" i="23"/>
  <c r="AF16" i="22"/>
  <c r="AJ16" i="23"/>
  <c r="AJ16" i="22"/>
  <c r="AN16" i="23"/>
  <c r="AN16" i="22"/>
  <c r="AR16" i="23"/>
  <c r="AR16" i="22"/>
  <c r="AV16" i="23"/>
  <c r="AV16" i="22"/>
  <c r="AZ16" i="23"/>
  <c r="AZ16" i="22"/>
  <c r="BD16" i="23"/>
  <c r="BD16" i="22"/>
  <c r="BH16" i="23"/>
  <c r="BH16" i="22"/>
  <c r="BL16" i="23"/>
  <c r="BL16" i="22"/>
  <c r="BP16" i="23"/>
  <c r="BP16" i="22"/>
  <c r="BT16" i="23"/>
  <c r="BT16" i="22"/>
  <c r="BX16" i="23"/>
  <c r="BX16" i="22"/>
  <c r="CB16" i="23"/>
  <c r="CB16" i="22"/>
  <c r="CF16" i="23"/>
  <c r="CF16" i="22"/>
  <c r="CJ16" i="23"/>
  <c r="CJ16" i="22"/>
  <c r="CN16" i="23"/>
  <c r="CN16" i="22"/>
  <c r="CR16" i="23"/>
  <c r="CR16" i="22"/>
  <c r="CV16" i="23"/>
  <c r="CV16" i="22"/>
  <c r="CZ16" i="23"/>
  <c r="CZ16" i="22"/>
  <c r="DD16" i="23"/>
  <c r="DD16" i="22"/>
  <c r="DH16" i="23"/>
  <c r="DH16" i="22"/>
  <c r="DL16" i="23"/>
  <c r="DL16" i="22"/>
  <c r="DP16" i="23"/>
  <c r="DP16" i="22"/>
  <c r="DT16" i="23"/>
  <c r="DT16" i="22"/>
  <c r="DX16" i="23"/>
  <c r="DX16" i="22"/>
  <c r="EB16" i="23"/>
  <c r="EB16" i="22"/>
  <c r="EF16" i="23"/>
  <c r="EF16" i="22"/>
  <c r="EJ16" i="23"/>
  <c r="EJ16" i="22"/>
  <c r="EN16" i="23"/>
  <c r="EN16" i="22"/>
  <c r="ER16" i="23"/>
  <c r="ER16" i="22"/>
  <c r="EV16" i="23"/>
  <c r="EV16" i="22"/>
  <c r="EZ16" i="23"/>
  <c r="EZ16" i="22"/>
  <c r="FD16" i="23"/>
  <c r="FD16" i="22"/>
  <c r="FH16" i="23"/>
  <c r="FH16" i="22"/>
  <c r="FL16" i="23"/>
  <c r="FL16" i="22"/>
  <c r="FP16" i="23"/>
  <c r="FP16" i="22"/>
  <c r="FT16" i="23"/>
  <c r="FT16" i="22"/>
  <c r="FX16" i="23"/>
  <c r="FX16" i="22"/>
  <c r="GB16" i="23"/>
  <c r="GB16" i="22"/>
  <c r="GF16" i="23"/>
  <c r="GF16" i="22"/>
  <c r="GJ16" i="23"/>
  <c r="GJ16" i="22"/>
  <c r="GN16" i="23"/>
  <c r="GN16" i="22"/>
  <c r="T17" i="23"/>
  <c r="T17" i="22"/>
  <c r="X17" i="23"/>
  <c r="X17" i="22"/>
  <c r="AB17" i="23"/>
  <c r="AB17" i="22"/>
  <c r="AF17" i="23"/>
  <c r="AF17" i="22"/>
  <c r="AJ17" i="23"/>
  <c r="AJ17" i="22"/>
  <c r="AN17" i="23"/>
  <c r="AN17" i="22"/>
  <c r="AR17" i="23"/>
  <c r="AR17" i="22"/>
  <c r="AV17" i="23"/>
  <c r="AV17" i="22"/>
  <c r="AZ17" i="23"/>
  <c r="AZ17" i="22"/>
  <c r="BD17" i="23"/>
  <c r="BD17" i="22"/>
  <c r="BH17" i="23"/>
  <c r="BH17" i="22"/>
  <c r="BL17" i="23"/>
  <c r="BL17" i="22"/>
  <c r="BP17" i="23"/>
  <c r="BP17" i="22"/>
  <c r="BT17" i="23"/>
  <c r="BT17" i="22"/>
  <c r="BX17" i="23"/>
  <c r="BX17" i="22"/>
  <c r="CB17" i="23"/>
  <c r="CB17" i="22"/>
  <c r="CF17" i="23"/>
  <c r="CF17" i="22"/>
  <c r="CJ17" i="23"/>
  <c r="CJ17" i="22"/>
  <c r="CN17" i="23"/>
  <c r="CN17" i="22"/>
  <c r="CR17" i="23"/>
  <c r="CR17" i="22"/>
  <c r="CV17" i="23"/>
  <c r="CV17" i="22"/>
  <c r="CZ17" i="23"/>
  <c r="CZ17" i="22"/>
  <c r="DD17" i="23"/>
  <c r="DD17" i="22"/>
  <c r="DH17" i="23"/>
  <c r="DH17" i="22"/>
  <c r="DL17" i="23"/>
  <c r="DL17" i="22"/>
  <c r="DP17" i="23"/>
  <c r="DP17" i="22"/>
  <c r="DT17" i="23"/>
  <c r="DT17" i="22"/>
  <c r="DX17" i="23"/>
  <c r="DX17" i="22"/>
  <c r="EB17" i="23"/>
  <c r="EB17" i="22"/>
  <c r="EF17" i="23"/>
  <c r="EF17" i="22"/>
  <c r="EJ17" i="23"/>
  <c r="EJ17" i="22"/>
  <c r="EN17" i="23"/>
  <c r="EN17" i="22"/>
  <c r="ER17" i="23"/>
  <c r="ER17" i="22"/>
  <c r="EV17" i="23"/>
  <c r="EV17" i="22"/>
  <c r="EZ17" i="23"/>
  <c r="EZ17" i="22"/>
  <c r="FD17" i="23"/>
  <c r="FD17" i="22"/>
  <c r="FH17" i="23"/>
  <c r="FH17" i="22"/>
  <c r="FL17" i="23"/>
  <c r="FL17" i="22"/>
  <c r="FP17" i="23"/>
  <c r="FP17" i="22"/>
  <c r="FT17" i="23"/>
  <c r="FT17" i="22"/>
  <c r="FX17" i="23"/>
  <c r="FX17" i="22"/>
  <c r="GB17" i="23"/>
  <c r="GB17" i="22"/>
  <c r="GF17" i="23"/>
  <c r="GF17" i="22"/>
  <c r="GJ17" i="23"/>
  <c r="GJ17" i="22"/>
  <c r="GN17" i="23"/>
  <c r="GN17" i="22"/>
  <c r="T18" i="23"/>
  <c r="T18" i="22"/>
  <c r="X18" i="23"/>
  <c r="X18" i="22"/>
  <c r="AB18" i="23"/>
  <c r="AB18" i="22"/>
  <c r="AF18" i="23"/>
  <c r="AF18" i="22"/>
  <c r="AJ18" i="23"/>
  <c r="AJ18" i="22"/>
  <c r="AN18" i="23"/>
  <c r="AN18" i="22"/>
  <c r="AR18" i="23"/>
  <c r="AR18" i="22"/>
  <c r="AV18" i="23"/>
  <c r="AV18" i="22"/>
  <c r="AZ18" i="23"/>
  <c r="AZ18" i="22"/>
  <c r="BD18" i="23"/>
  <c r="BD18" i="22"/>
  <c r="BH18" i="23"/>
  <c r="BH18" i="22"/>
  <c r="BL18" i="23"/>
  <c r="BL18" i="22"/>
  <c r="BP18" i="23"/>
  <c r="BP18" i="22"/>
  <c r="BT18" i="23"/>
  <c r="BT18" i="22"/>
  <c r="BX18" i="23"/>
  <c r="BX18" i="22"/>
  <c r="CB18" i="23"/>
  <c r="CB18" i="22"/>
  <c r="CF18" i="23"/>
  <c r="CF18" i="22"/>
  <c r="CJ18" i="23"/>
  <c r="CJ18" i="22"/>
  <c r="CN18" i="23"/>
  <c r="CN18" i="22"/>
  <c r="CR18" i="23"/>
  <c r="CR18" i="22"/>
  <c r="CV18" i="23"/>
  <c r="CV18" i="22"/>
  <c r="CZ18" i="23"/>
  <c r="CZ18" i="22"/>
  <c r="DD18" i="23"/>
  <c r="DD18" i="22"/>
  <c r="DH18" i="23"/>
  <c r="DH18" i="22"/>
  <c r="DL18" i="23"/>
  <c r="DL18" i="22"/>
  <c r="DP18" i="23"/>
  <c r="DP18" i="22"/>
  <c r="DT18" i="23"/>
  <c r="DT18" i="22"/>
  <c r="DX18" i="23"/>
  <c r="DX18" i="22"/>
  <c r="EB18" i="23"/>
  <c r="EB18" i="22"/>
  <c r="EF18" i="23"/>
  <c r="EF18" i="22"/>
  <c r="EJ18" i="23"/>
  <c r="EJ18" i="22"/>
  <c r="EN18" i="23"/>
  <c r="EN18" i="22"/>
  <c r="ER18" i="23"/>
  <c r="ER18" i="22"/>
  <c r="EV18" i="23"/>
  <c r="EV18" i="22"/>
  <c r="EZ18" i="23"/>
  <c r="EZ18" i="22"/>
  <c r="FD18" i="23"/>
  <c r="FD18" i="22"/>
  <c r="FH18" i="23"/>
  <c r="FH18" i="22"/>
  <c r="FL18" i="23"/>
  <c r="FL18" i="22"/>
  <c r="FP18" i="23"/>
  <c r="FP18" i="22"/>
  <c r="FT18" i="23"/>
  <c r="FT18" i="22"/>
  <c r="FX18" i="23"/>
  <c r="FX18" i="22"/>
  <c r="GB18" i="23"/>
  <c r="GB18" i="22"/>
  <c r="GF18" i="23"/>
  <c r="GF18" i="22"/>
  <c r="GJ18" i="23"/>
  <c r="GJ18" i="22"/>
  <c r="GN18" i="23"/>
  <c r="GN18" i="22"/>
  <c r="T19" i="23"/>
  <c r="T19" i="22"/>
  <c r="X19" i="23"/>
  <c r="X19" i="22"/>
  <c r="AB19" i="23"/>
  <c r="AB19" i="22"/>
  <c r="AF19" i="23"/>
  <c r="AF19" i="22"/>
  <c r="AJ19" i="23"/>
  <c r="AJ19" i="22"/>
  <c r="AN19" i="23"/>
  <c r="AN19" i="22"/>
  <c r="AR19" i="23"/>
  <c r="AR19" i="22"/>
  <c r="AV19" i="23"/>
  <c r="AV19" i="22"/>
  <c r="AZ19" i="23"/>
  <c r="AZ19" i="22"/>
  <c r="BD19" i="23"/>
  <c r="BD19" i="22"/>
  <c r="BH19" i="23"/>
  <c r="BH19" i="22"/>
  <c r="BL19" i="23"/>
  <c r="BL19" i="22"/>
  <c r="BP19" i="23"/>
  <c r="BP19" i="22"/>
  <c r="BT19" i="23"/>
  <c r="BT19" i="22"/>
  <c r="BX19" i="23"/>
  <c r="BX19" i="22"/>
  <c r="CB19" i="23"/>
  <c r="CB19" i="22"/>
  <c r="CF19" i="23"/>
  <c r="CF19" i="22"/>
  <c r="CJ19" i="23"/>
  <c r="CJ19" i="22"/>
  <c r="CN19" i="23"/>
  <c r="CN19" i="22"/>
  <c r="CR19" i="23"/>
  <c r="CR19" i="22"/>
  <c r="CV19" i="23"/>
  <c r="CV19" i="22"/>
  <c r="CZ19" i="23"/>
  <c r="CZ19" i="22"/>
  <c r="DD19" i="23"/>
  <c r="DD19" i="22"/>
  <c r="DH19" i="23"/>
  <c r="DH19" i="22"/>
  <c r="DL19" i="23"/>
  <c r="DL19" i="22"/>
  <c r="DP19" i="23"/>
  <c r="DP19" i="22"/>
  <c r="DT19" i="23"/>
  <c r="DT19" i="22"/>
  <c r="DX19" i="23"/>
  <c r="DX19" i="22"/>
  <c r="EB19" i="23"/>
  <c r="EB19" i="22"/>
  <c r="EF19" i="23"/>
  <c r="EF19" i="22"/>
  <c r="EJ19" i="23"/>
  <c r="EJ19" i="22"/>
  <c r="EN19" i="23"/>
  <c r="EN19" i="22"/>
  <c r="ER19" i="23"/>
  <c r="ER19" i="22"/>
  <c r="EV19" i="23"/>
  <c r="EV19" i="22"/>
  <c r="EZ19" i="23"/>
  <c r="EZ19" i="22"/>
  <c r="FD19" i="23"/>
  <c r="FD19" i="22"/>
  <c r="FH19" i="23"/>
  <c r="FH19" i="22"/>
  <c r="FL19" i="23"/>
  <c r="FL19" i="22"/>
  <c r="FP19" i="23"/>
  <c r="FP19" i="22"/>
  <c r="FT19" i="23"/>
  <c r="FT19" i="22"/>
  <c r="FX19" i="23"/>
  <c r="FX19" i="22"/>
  <c r="GB19" i="23"/>
  <c r="GB19" i="22"/>
  <c r="GF19" i="23"/>
  <c r="GF19" i="22"/>
  <c r="GJ19" i="23"/>
  <c r="GJ19" i="22"/>
  <c r="GN19" i="23"/>
  <c r="GN19" i="22"/>
  <c r="T20" i="23"/>
  <c r="T20" i="22"/>
  <c r="X20" i="23"/>
  <c r="X20" i="22"/>
  <c r="AB20" i="23"/>
  <c r="AB20" i="22"/>
  <c r="AF20" i="23"/>
  <c r="AF20" i="22"/>
  <c r="AJ20" i="23"/>
  <c r="AJ20" i="22"/>
  <c r="AN20" i="23"/>
  <c r="AN20" i="22"/>
  <c r="AR20" i="23"/>
  <c r="AR20" i="22"/>
  <c r="AV20" i="23"/>
  <c r="AV20" i="22"/>
  <c r="AZ20" i="23"/>
  <c r="AZ20" i="22"/>
  <c r="BD20" i="23"/>
  <c r="BD20" i="22"/>
  <c r="BH20" i="23"/>
  <c r="BH20" i="22"/>
  <c r="BL20" i="23"/>
  <c r="BL20" i="22"/>
  <c r="BP20" i="23"/>
  <c r="BP20" i="22"/>
  <c r="BT20" i="23"/>
  <c r="BT20" i="22"/>
  <c r="BX20" i="23"/>
  <c r="BX20" i="22"/>
  <c r="CB20" i="23"/>
  <c r="CB20" i="22"/>
  <c r="CF20" i="23"/>
  <c r="CF20" i="22"/>
  <c r="CJ20" i="23"/>
  <c r="CJ20" i="22"/>
  <c r="CN20" i="23"/>
  <c r="CN20" i="22"/>
  <c r="CR20" i="23"/>
  <c r="CR20" i="22"/>
  <c r="CV20" i="23"/>
  <c r="CV20" i="22"/>
  <c r="CZ20" i="23"/>
  <c r="CZ20" i="22"/>
  <c r="DD20" i="23"/>
  <c r="DD20" i="22"/>
  <c r="DH20" i="23"/>
  <c r="DH20" i="22"/>
  <c r="DL20" i="23"/>
  <c r="DL20" i="22"/>
  <c r="DP20" i="23"/>
  <c r="DP20" i="22"/>
  <c r="DT20" i="23"/>
  <c r="DT20" i="22"/>
  <c r="DX20" i="23"/>
  <c r="DX20" i="22"/>
  <c r="EB20" i="23"/>
  <c r="EB20" i="22"/>
  <c r="EF20" i="23"/>
  <c r="EF20" i="22"/>
  <c r="EJ20" i="23"/>
  <c r="EJ20" i="22"/>
  <c r="EN20" i="23"/>
  <c r="EN20" i="22"/>
  <c r="ER20" i="23"/>
  <c r="ER20" i="22"/>
  <c r="EV20" i="23"/>
  <c r="EV20" i="22"/>
  <c r="EZ20" i="23"/>
  <c r="EZ20" i="22"/>
  <c r="FD20" i="23"/>
  <c r="FD20" i="22"/>
  <c r="FH20" i="23"/>
  <c r="FH20" i="22"/>
  <c r="FL20" i="23"/>
  <c r="FL20" i="22"/>
  <c r="FP20" i="23"/>
  <c r="FP20" i="22"/>
  <c r="FT20" i="23"/>
  <c r="FT20" i="22"/>
  <c r="FX20" i="23"/>
  <c r="FX20" i="22"/>
  <c r="GB20" i="23"/>
  <c r="GB20" i="22"/>
  <c r="GF20" i="23"/>
  <c r="GF20" i="22"/>
  <c r="GJ20" i="23"/>
  <c r="GJ20" i="22"/>
  <c r="GN20" i="23"/>
  <c r="GN20" i="22"/>
  <c r="T21" i="23"/>
  <c r="T21" i="22"/>
  <c r="X21" i="23"/>
  <c r="X21" i="22"/>
  <c r="AB21" i="23"/>
  <c r="AB21" i="22"/>
  <c r="AF21" i="23"/>
  <c r="AF21" i="22"/>
  <c r="AJ21" i="23"/>
  <c r="AJ21" i="22"/>
  <c r="AN21" i="23"/>
  <c r="AN21" i="22"/>
  <c r="AR21" i="23"/>
  <c r="AR21" i="22"/>
  <c r="AV21" i="23"/>
  <c r="AV21" i="22"/>
  <c r="AZ21" i="23"/>
  <c r="AZ21" i="22"/>
  <c r="BD21" i="23"/>
  <c r="BD21" i="22"/>
  <c r="BH21" i="23"/>
  <c r="BH21" i="22"/>
  <c r="BL21" i="23"/>
  <c r="BL21" i="22"/>
  <c r="BP21" i="23"/>
  <c r="BP21" i="22"/>
  <c r="BT21" i="23"/>
  <c r="BT21" i="22"/>
  <c r="BX21" i="23"/>
  <c r="BX21" i="22"/>
  <c r="CB21" i="23"/>
  <c r="CB21" i="22"/>
  <c r="CF21" i="23"/>
  <c r="CF21" i="22"/>
  <c r="CJ21" i="23"/>
  <c r="CJ21" i="22"/>
  <c r="CN21" i="23"/>
  <c r="CN21" i="22"/>
  <c r="CR21" i="23"/>
  <c r="CR21" i="22"/>
  <c r="CV21" i="23"/>
  <c r="CV21" i="22"/>
  <c r="CZ21" i="23"/>
  <c r="CZ21" i="22"/>
  <c r="DD21" i="23"/>
  <c r="DD21" i="22"/>
  <c r="DH21" i="23"/>
  <c r="DH21" i="22"/>
  <c r="DL21" i="23"/>
  <c r="DL21" i="22"/>
  <c r="DP21" i="23"/>
  <c r="DP21" i="22"/>
  <c r="DT21" i="23"/>
  <c r="DT21" i="22"/>
  <c r="DX21" i="23"/>
  <c r="DX21" i="22"/>
  <c r="EB21" i="23"/>
  <c r="EB21" i="22"/>
  <c r="EF21" i="23"/>
  <c r="EF21" i="22"/>
  <c r="EJ21" i="23"/>
  <c r="EJ21" i="22"/>
  <c r="EN21" i="23"/>
  <c r="EN21" i="22"/>
  <c r="ER21" i="23"/>
  <c r="ER21" i="22"/>
  <c r="EV21" i="23"/>
  <c r="EV21" i="22"/>
  <c r="EZ21" i="23"/>
  <c r="EZ21" i="22"/>
  <c r="FD21" i="23"/>
  <c r="FD21" i="22"/>
  <c r="FH21" i="23"/>
  <c r="FH21" i="22"/>
  <c r="FL21" i="23"/>
  <c r="FL21" i="22"/>
  <c r="FP21" i="23"/>
  <c r="FP21" i="22"/>
  <c r="FT21" i="23"/>
  <c r="FT21" i="22"/>
  <c r="FX21" i="23"/>
  <c r="FX21" i="22"/>
  <c r="GB21" i="23"/>
  <c r="GB21" i="22"/>
  <c r="GF21" i="23"/>
  <c r="GF21" i="22"/>
  <c r="GJ21" i="23"/>
  <c r="GJ21" i="22"/>
  <c r="GN21" i="23"/>
  <c r="GN21" i="22"/>
  <c r="T22" i="23"/>
  <c r="T22" i="22"/>
  <c r="X22" i="23"/>
  <c r="X22" i="22"/>
  <c r="AB22" i="23"/>
  <c r="AB22" i="22"/>
  <c r="AF22" i="23"/>
  <c r="AF22" i="22"/>
  <c r="AJ22" i="23"/>
  <c r="AJ22" i="22"/>
  <c r="AN22" i="23"/>
  <c r="AN22" i="22"/>
  <c r="AR22" i="23"/>
  <c r="AR22" i="22"/>
  <c r="AV22" i="23"/>
  <c r="AV22" i="22"/>
  <c r="AZ22" i="23"/>
  <c r="AZ22" i="22"/>
  <c r="BD22" i="23"/>
  <c r="BD22" i="22"/>
  <c r="BH22" i="23"/>
  <c r="BH22" i="22"/>
  <c r="BL22" i="23"/>
  <c r="BL22" i="22"/>
  <c r="BP22" i="23"/>
  <c r="BP22" i="22"/>
  <c r="BT22" i="23"/>
  <c r="BT22" i="22"/>
  <c r="BX22" i="23"/>
  <c r="BX22" i="22"/>
  <c r="CB22" i="23"/>
  <c r="CB22" i="22"/>
  <c r="CF22" i="23"/>
  <c r="CF22" i="22"/>
  <c r="CJ22" i="23"/>
  <c r="CJ22" i="22"/>
  <c r="CN22" i="23"/>
  <c r="CN22" i="22"/>
  <c r="CR22" i="23"/>
  <c r="CR22" i="22"/>
  <c r="CV22" i="23"/>
  <c r="CV22" i="22"/>
  <c r="CZ22" i="23"/>
  <c r="CZ22" i="22"/>
  <c r="DD22" i="23"/>
  <c r="DD22" i="22"/>
  <c r="DH22" i="23"/>
  <c r="DH22" i="22"/>
  <c r="DL22" i="23"/>
  <c r="DL22" i="22"/>
  <c r="DP22" i="23"/>
  <c r="DP22" i="22"/>
  <c r="DT22" i="23"/>
  <c r="DT22" i="22"/>
  <c r="DX22" i="23"/>
  <c r="DX22" i="22"/>
  <c r="EB22" i="23"/>
  <c r="EB22" i="22"/>
  <c r="EF22" i="23"/>
  <c r="EF22" i="22"/>
  <c r="EJ22" i="23"/>
  <c r="EJ22" i="22"/>
  <c r="EN22" i="23"/>
  <c r="EN22" i="22"/>
  <c r="ER22" i="23"/>
  <c r="ER22" i="22"/>
  <c r="EV22" i="23"/>
  <c r="EV22" i="22"/>
  <c r="EZ22" i="23"/>
  <c r="EZ22" i="22"/>
  <c r="FD22" i="23"/>
  <c r="FD22" i="22"/>
  <c r="FH22" i="23"/>
  <c r="FH22" i="22"/>
  <c r="FL22" i="23"/>
  <c r="FL22" i="22"/>
  <c r="FP22" i="23"/>
  <c r="FP22" i="22"/>
  <c r="FT22" i="23"/>
  <c r="FT22" i="22"/>
  <c r="FX22" i="23"/>
  <c r="FX22" i="22"/>
  <c r="GB22" i="23"/>
  <c r="GB22" i="22"/>
  <c r="GF22" i="23"/>
  <c r="GF22" i="22"/>
  <c r="GJ22" i="23"/>
  <c r="GJ22" i="22"/>
  <c r="GN22" i="23"/>
  <c r="GN22" i="22"/>
  <c r="T23" i="23"/>
  <c r="T23" i="22"/>
  <c r="AB23" i="23"/>
  <c r="AB23" i="22"/>
  <c r="AF23" i="23"/>
  <c r="AF23" i="22"/>
  <c r="AJ23" i="23"/>
  <c r="AJ23" i="22"/>
  <c r="AN23" i="23"/>
  <c r="AN23" i="22"/>
  <c r="AR23" i="23"/>
  <c r="AR23" i="22"/>
  <c r="AZ23" i="23"/>
  <c r="AZ23" i="22"/>
  <c r="BH23" i="23"/>
  <c r="BH23" i="22"/>
  <c r="BL23" i="23"/>
  <c r="BL23" i="22"/>
  <c r="BP23" i="23"/>
  <c r="BP23" i="22"/>
  <c r="BT23" i="23"/>
  <c r="BT23" i="22"/>
  <c r="BX23" i="23"/>
  <c r="BX23" i="22"/>
  <c r="CF23" i="23"/>
  <c r="CF23" i="22"/>
  <c r="CN23" i="23"/>
  <c r="CN23" i="22"/>
  <c r="CR23" i="23"/>
  <c r="CR23" i="22"/>
  <c r="CV23" i="23"/>
  <c r="CV23" i="22"/>
  <c r="CZ23" i="23"/>
  <c r="CZ23" i="22"/>
  <c r="DD23" i="23"/>
  <c r="DD23" i="22"/>
  <c r="DL23" i="23"/>
  <c r="DL23" i="22"/>
  <c r="DT23" i="23"/>
  <c r="DT23" i="22"/>
  <c r="DX23" i="23"/>
  <c r="DX23" i="22"/>
  <c r="EB23" i="23"/>
  <c r="EB23" i="22"/>
  <c r="EF23" i="23"/>
  <c r="EF23" i="22"/>
  <c r="EJ23" i="23"/>
  <c r="EJ23" i="22"/>
  <c r="ER23" i="23"/>
  <c r="ER23" i="22"/>
  <c r="EZ23" i="23"/>
  <c r="EZ23" i="22"/>
  <c r="FD23" i="23"/>
  <c r="FD23" i="22"/>
  <c r="FH23" i="23"/>
  <c r="FH23" i="22"/>
  <c r="FL23" i="23"/>
  <c r="FL23" i="22"/>
  <c r="FP23" i="23"/>
  <c r="FP23" i="22"/>
  <c r="FX23" i="23"/>
  <c r="FX23" i="22"/>
  <c r="GF23" i="23"/>
  <c r="GF23" i="22"/>
  <c r="GJ23" i="23"/>
  <c r="GJ23" i="22"/>
  <c r="GN23" i="23"/>
  <c r="GN23" i="22"/>
  <c r="T24" i="23"/>
  <c r="T24" i="22"/>
  <c r="X24" i="23"/>
  <c r="X24" i="22"/>
  <c r="AB24" i="23"/>
  <c r="AB24" i="22"/>
  <c r="AF24" i="23"/>
  <c r="AF24" i="22"/>
  <c r="AJ24" i="23"/>
  <c r="AJ24" i="22"/>
  <c r="AN24" i="23"/>
  <c r="AN24" i="22"/>
  <c r="AR24" i="23"/>
  <c r="AR24" i="22"/>
  <c r="AV24" i="23"/>
  <c r="AV24" i="22"/>
  <c r="AZ24" i="23"/>
  <c r="AZ24" i="22"/>
  <c r="BD24" i="23"/>
  <c r="BD24" i="22"/>
  <c r="BH24" i="23"/>
  <c r="BH24" i="22"/>
  <c r="BL24" i="23"/>
  <c r="BL24" i="22"/>
  <c r="BP24" i="23"/>
  <c r="BP24" i="22"/>
  <c r="BT24" i="23"/>
  <c r="BT24" i="22"/>
  <c r="BX24" i="23"/>
  <c r="BX24" i="22"/>
  <c r="CB24" i="23"/>
  <c r="CB24" i="22"/>
  <c r="CF24" i="23"/>
  <c r="CF24" i="22"/>
  <c r="CJ24" i="23"/>
  <c r="CJ24" i="22"/>
  <c r="CN24" i="23"/>
  <c r="CN24" i="22"/>
  <c r="CR24" i="23"/>
  <c r="CR24" i="22"/>
  <c r="CV24" i="23"/>
  <c r="CV24" i="22"/>
  <c r="CZ24" i="23"/>
  <c r="CZ24" i="22"/>
  <c r="DD24" i="23"/>
  <c r="DD24" i="22"/>
  <c r="DH24" i="23"/>
  <c r="DH24" i="22"/>
  <c r="DL24" i="23"/>
  <c r="DL24" i="22"/>
  <c r="DP24" i="23"/>
  <c r="DP24" i="22"/>
  <c r="DT24" i="23"/>
  <c r="DT24" i="22"/>
  <c r="DX24" i="23"/>
  <c r="DX24" i="22"/>
  <c r="EB24" i="23"/>
  <c r="EB24" i="22"/>
  <c r="EF24" i="23"/>
  <c r="EF24" i="22"/>
  <c r="EJ24" i="23"/>
  <c r="EJ24" i="22"/>
  <c r="EN24" i="23"/>
  <c r="EN24" i="22"/>
  <c r="ER24" i="23"/>
  <c r="ER24" i="22"/>
  <c r="EV24" i="23"/>
  <c r="EV24" i="22"/>
  <c r="EZ24" i="23"/>
  <c r="EZ24" i="22"/>
  <c r="FD24" i="23"/>
  <c r="FD24" i="22"/>
  <c r="FH24" i="23"/>
  <c r="FH24" i="22"/>
  <c r="FL24" i="23"/>
  <c r="FL24" i="22"/>
  <c r="FP24" i="23"/>
  <c r="FP24" i="22"/>
  <c r="FT24" i="23"/>
  <c r="FT24" i="22"/>
  <c r="FX24" i="23"/>
  <c r="FX24" i="22"/>
  <c r="GB24" i="23"/>
  <c r="GB24" i="22"/>
  <c r="GF24" i="23"/>
  <c r="GF24" i="22"/>
  <c r="GJ24" i="23"/>
  <c r="GJ24" i="22"/>
  <c r="GN24" i="23"/>
  <c r="GN24" i="22"/>
  <c r="T25" i="23"/>
  <c r="T25" i="22"/>
  <c r="X25" i="23"/>
  <c r="X25" i="22"/>
  <c r="AB25" i="23"/>
  <c r="AB25" i="22"/>
  <c r="AF25" i="23"/>
  <c r="AF25" i="22"/>
  <c r="AJ25" i="23"/>
  <c r="AJ25" i="22"/>
  <c r="AN25" i="23"/>
  <c r="AN25" i="22"/>
  <c r="AR25" i="23"/>
  <c r="AR25" i="22"/>
  <c r="AV25" i="23"/>
  <c r="AV25" i="22"/>
  <c r="AZ25" i="23"/>
  <c r="AZ25" i="22"/>
  <c r="BD25" i="23"/>
  <c r="BD25" i="22"/>
  <c r="BH25" i="23"/>
  <c r="BH25" i="22"/>
  <c r="BL25" i="23"/>
  <c r="BL25" i="22"/>
  <c r="BP25" i="23"/>
  <c r="BP25" i="22"/>
  <c r="BT25" i="23"/>
  <c r="BT25" i="22"/>
  <c r="BX25" i="23"/>
  <c r="BX25" i="22"/>
  <c r="CB25" i="23"/>
  <c r="CB25" i="22"/>
  <c r="CF25" i="23"/>
  <c r="CF25" i="22"/>
  <c r="CJ25" i="23"/>
  <c r="CJ25" i="22"/>
  <c r="CN25" i="23"/>
  <c r="CN25" i="22"/>
  <c r="CR25" i="23"/>
  <c r="CR25" i="22"/>
  <c r="CV25" i="23"/>
  <c r="CV25" i="22"/>
  <c r="CZ25" i="23"/>
  <c r="CZ25" i="22"/>
  <c r="DD25" i="23"/>
  <c r="DD25" i="22"/>
  <c r="DH25" i="23"/>
  <c r="DH25" i="22"/>
  <c r="DL25" i="23"/>
  <c r="DL25" i="22"/>
  <c r="DP25" i="23"/>
  <c r="DP25" i="22"/>
  <c r="DT25" i="23"/>
  <c r="DT25" i="22"/>
  <c r="DX25" i="23"/>
  <c r="DX25" i="22"/>
  <c r="EB25" i="23"/>
  <c r="EB25" i="22"/>
  <c r="EF25" i="23"/>
  <c r="EF25" i="22"/>
  <c r="EJ25" i="23"/>
  <c r="EJ25" i="22"/>
  <c r="EN25" i="23"/>
  <c r="EN25" i="22"/>
  <c r="ER25" i="23"/>
  <c r="ER25" i="22"/>
  <c r="EV25" i="23"/>
  <c r="EV25" i="22"/>
  <c r="EZ25" i="23"/>
  <c r="EZ25" i="22"/>
  <c r="FD25" i="23"/>
  <c r="FD25" i="22"/>
  <c r="FH25" i="23"/>
  <c r="FH25" i="22"/>
  <c r="FL25" i="23"/>
  <c r="FL25" i="22"/>
  <c r="FP25" i="23"/>
  <c r="FP25" i="22"/>
  <c r="FT25" i="23"/>
  <c r="FT25" i="22"/>
  <c r="FX25" i="23"/>
  <c r="FX25" i="22"/>
  <c r="GB25" i="23"/>
  <c r="GB25" i="22"/>
  <c r="GF25" i="23"/>
  <c r="GF25" i="22"/>
  <c r="GJ25" i="23"/>
  <c r="GJ25" i="22"/>
  <c r="GN25" i="23"/>
  <c r="GN25" i="22"/>
  <c r="T26" i="23"/>
  <c r="T26" i="22"/>
  <c r="X26" i="23"/>
  <c r="X26" i="22"/>
  <c r="AB26" i="23"/>
  <c r="AB26" i="22"/>
  <c r="AF26" i="23"/>
  <c r="AF26" i="22"/>
  <c r="AJ26" i="23"/>
  <c r="AJ26" i="22"/>
  <c r="AN26" i="23"/>
  <c r="AN26" i="22"/>
  <c r="AR26" i="23"/>
  <c r="AR26" i="22"/>
  <c r="AV26" i="23"/>
  <c r="AV26" i="22"/>
  <c r="AZ26" i="23"/>
  <c r="AZ26" i="22"/>
  <c r="BD26" i="23"/>
  <c r="BD26" i="22"/>
  <c r="BH26" i="23"/>
  <c r="BH26" i="22"/>
  <c r="BL26" i="23"/>
  <c r="BL26" i="22"/>
  <c r="BP26" i="23"/>
  <c r="BP26" i="22"/>
  <c r="BT26" i="23"/>
  <c r="BT26" i="22"/>
  <c r="BX26" i="23"/>
  <c r="BX26" i="22"/>
  <c r="CB26" i="23"/>
  <c r="CB26" i="22"/>
  <c r="CF26" i="23"/>
  <c r="CF26" i="22"/>
  <c r="CJ26" i="23"/>
  <c r="CJ26" i="22"/>
  <c r="CN26" i="23"/>
  <c r="CN26" i="22"/>
  <c r="CR26" i="23"/>
  <c r="CR26" i="22"/>
  <c r="CV26" i="23"/>
  <c r="CV26" i="22"/>
  <c r="CZ26" i="23"/>
  <c r="CZ26" i="22"/>
  <c r="DD26" i="23"/>
  <c r="DD26" i="22"/>
  <c r="DH26" i="23"/>
  <c r="DH26" i="22"/>
  <c r="DL26" i="23"/>
  <c r="DL26" i="22"/>
  <c r="DP26" i="23"/>
  <c r="DP26" i="22"/>
  <c r="DT26" i="23"/>
  <c r="DT26" i="22"/>
  <c r="DX26" i="23"/>
  <c r="DX26" i="22"/>
  <c r="EB26" i="23"/>
  <c r="EB26" i="22"/>
  <c r="EF26" i="23"/>
  <c r="EF26" i="22"/>
  <c r="EJ26" i="23"/>
  <c r="EJ26" i="22"/>
  <c r="EN26" i="23"/>
  <c r="EN26" i="22"/>
  <c r="ER26" i="23"/>
  <c r="ER26" i="22"/>
  <c r="EV26" i="23"/>
  <c r="EV26" i="22"/>
  <c r="EZ26" i="23"/>
  <c r="EZ26" i="22"/>
  <c r="FD26" i="23"/>
  <c r="FD26" i="22"/>
  <c r="FH26" i="23"/>
  <c r="FH26" i="22"/>
  <c r="FL26" i="23"/>
  <c r="FL26" i="22"/>
  <c r="FP26" i="23"/>
  <c r="FP26" i="22"/>
  <c r="FT26" i="23"/>
  <c r="FT26" i="22"/>
  <c r="FX26" i="23"/>
  <c r="FX26" i="22"/>
  <c r="GB26" i="23"/>
  <c r="GB26" i="22"/>
  <c r="GF26" i="23"/>
  <c r="GF26" i="22"/>
  <c r="GJ26" i="23"/>
  <c r="GJ26" i="22"/>
  <c r="GN26" i="23"/>
  <c r="GN26" i="22"/>
  <c r="T27" i="23"/>
  <c r="T27" i="22"/>
  <c r="X27" i="23"/>
  <c r="X27" i="22"/>
  <c r="AB27" i="23"/>
  <c r="AB27" i="22"/>
  <c r="AF27" i="23"/>
  <c r="AF27" i="22"/>
  <c r="AJ27" i="23"/>
  <c r="AJ27" i="22"/>
  <c r="AN27" i="23"/>
  <c r="AN27" i="22"/>
  <c r="AR27" i="23"/>
  <c r="AR27" i="22"/>
  <c r="AV27" i="23"/>
  <c r="AV27" i="22"/>
  <c r="AZ27" i="23"/>
  <c r="AZ27" i="22"/>
  <c r="BD27" i="23"/>
  <c r="BD27" i="22"/>
  <c r="BH27" i="23"/>
  <c r="BH27" i="22"/>
  <c r="BL27" i="23"/>
  <c r="BL27" i="22"/>
  <c r="BP27" i="23"/>
  <c r="BP27" i="22"/>
  <c r="BT27" i="23"/>
  <c r="BT27" i="22"/>
  <c r="BX27" i="23"/>
  <c r="BX27" i="22"/>
  <c r="CB27" i="23"/>
  <c r="CB27" i="22"/>
  <c r="CF27" i="23"/>
  <c r="CF27" i="22"/>
  <c r="CJ27" i="23"/>
  <c r="CJ27" i="22"/>
  <c r="CN27" i="23"/>
  <c r="CN27" i="22"/>
  <c r="CR27" i="23"/>
  <c r="CR27" i="22"/>
  <c r="CV27" i="23"/>
  <c r="CV27" i="22"/>
  <c r="CZ27" i="23"/>
  <c r="CZ27" i="22"/>
  <c r="DD27" i="23"/>
  <c r="DD27" i="22"/>
  <c r="DH27" i="23"/>
  <c r="DH27" i="22"/>
  <c r="DL27" i="23"/>
  <c r="DL27" i="22"/>
  <c r="DP27" i="23"/>
  <c r="DP27" i="22"/>
  <c r="DT27" i="23"/>
  <c r="DT27" i="22"/>
  <c r="DX27" i="23"/>
  <c r="DX27" i="22"/>
  <c r="EB27" i="23"/>
  <c r="EB27" i="22"/>
  <c r="EF27" i="23"/>
  <c r="EF27" i="22"/>
  <c r="EJ27" i="23"/>
  <c r="EJ27" i="22"/>
  <c r="EN27" i="23"/>
  <c r="EN27" i="22"/>
  <c r="ER27" i="23"/>
  <c r="ER27" i="22"/>
  <c r="EV27" i="23"/>
  <c r="EV27" i="22"/>
  <c r="EZ27" i="23"/>
  <c r="EZ27" i="22"/>
  <c r="FD27" i="23"/>
  <c r="FD27" i="22"/>
  <c r="FH27" i="23"/>
  <c r="FH27" i="22"/>
  <c r="FL27" i="23"/>
  <c r="FL27" i="22"/>
  <c r="FP27" i="23"/>
  <c r="FP27" i="22"/>
  <c r="FT27" i="23"/>
  <c r="FT27" i="22"/>
  <c r="FX27" i="23"/>
  <c r="FX27" i="22"/>
  <c r="GB27" i="23"/>
  <c r="GB27" i="22"/>
  <c r="GF27" i="23"/>
  <c r="GF27" i="22"/>
  <c r="GJ27" i="23"/>
  <c r="GJ27" i="22"/>
  <c r="GN27" i="23"/>
  <c r="GN27" i="22"/>
  <c r="T28" i="23"/>
  <c r="T28" i="22"/>
  <c r="X28" i="23"/>
  <c r="X28" i="22"/>
  <c r="AB28" i="23"/>
  <c r="AB28" i="22"/>
  <c r="AF28" i="23"/>
  <c r="AF28" i="22"/>
  <c r="AJ28" i="23"/>
  <c r="AJ28" i="22"/>
  <c r="AN28" i="23"/>
  <c r="AN28" i="22"/>
  <c r="AR28" i="23"/>
  <c r="AR28" i="22"/>
  <c r="AV28" i="23"/>
  <c r="AV28" i="22"/>
  <c r="AZ28" i="23"/>
  <c r="AZ28" i="22"/>
  <c r="BD28" i="23"/>
  <c r="BD28" i="22"/>
  <c r="BH28" i="23"/>
  <c r="BH28" i="22"/>
  <c r="BL28" i="23"/>
  <c r="BL28" i="22"/>
  <c r="BP28" i="23"/>
  <c r="BP28" i="22"/>
  <c r="BT28" i="23"/>
  <c r="BT28" i="22"/>
  <c r="BX28" i="23"/>
  <c r="BX28" i="22"/>
  <c r="CB28" i="23"/>
  <c r="CB28" i="22"/>
  <c r="CF28" i="23"/>
  <c r="CF28" i="22"/>
  <c r="CJ28" i="23"/>
  <c r="CJ28" i="22"/>
  <c r="CN28" i="23"/>
  <c r="CN28" i="22"/>
  <c r="CR28" i="23"/>
  <c r="CR28" i="22"/>
  <c r="CV28" i="23"/>
  <c r="CV28" i="22"/>
  <c r="CZ28" i="23"/>
  <c r="CZ28" i="22"/>
  <c r="DD28" i="23"/>
  <c r="DD28" i="22"/>
  <c r="DH28" i="23"/>
  <c r="DH28" i="22"/>
  <c r="DL28" i="23"/>
  <c r="DL28" i="22"/>
  <c r="DP28" i="23"/>
  <c r="DP28" i="22"/>
  <c r="DT28" i="23"/>
  <c r="DT28" i="22"/>
  <c r="DX28" i="23"/>
  <c r="DX28" i="22"/>
  <c r="EB28" i="23"/>
  <c r="EB28" i="22"/>
  <c r="EF28" i="23"/>
  <c r="EF28" i="22"/>
  <c r="EJ28" i="23"/>
  <c r="EJ28" i="22"/>
  <c r="EN28" i="23"/>
  <c r="EN28" i="22"/>
  <c r="ER28" i="23"/>
  <c r="ER28" i="22"/>
  <c r="EV28" i="23"/>
  <c r="EV28" i="22"/>
  <c r="EZ28" i="23"/>
  <c r="EZ28" i="22"/>
  <c r="FD28" i="23"/>
  <c r="FD28" i="22"/>
  <c r="FH28" i="23"/>
  <c r="FH28" i="22"/>
  <c r="FL28" i="23"/>
  <c r="FL28" i="22"/>
  <c r="FP28" i="23"/>
  <c r="FP28" i="22"/>
  <c r="FT28" i="23"/>
  <c r="FT28" i="22"/>
  <c r="FX28" i="23"/>
  <c r="FX28" i="22"/>
  <c r="GB28" i="23"/>
  <c r="GB28" i="22"/>
  <c r="GF28" i="23"/>
  <c r="GF28" i="22"/>
  <c r="GJ28" i="23"/>
  <c r="GJ28" i="22"/>
  <c r="GN28" i="23"/>
  <c r="GN28" i="22"/>
  <c r="T29" i="23"/>
  <c r="T29" i="22"/>
  <c r="X29" i="23"/>
  <c r="X29" i="22"/>
  <c r="AB29" i="23"/>
  <c r="AB29" i="22"/>
  <c r="AF29" i="23"/>
  <c r="AF29" i="22"/>
  <c r="AJ29" i="23"/>
  <c r="AJ29" i="22"/>
  <c r="AN29" i="23"/>
  <c r="AN29" i="22"/>
  <c r="AR29" i="23"/>
  <c r="AR29" i="22"/>
  <c r="AV29" i="23"/>
  <c r="AV29" i="22"/>
  <c r="AZ29" i="23"/>
  <c r="AZ29" i="22"/>
  <c r="BD29" i="23"/>
  <c r="BD29" i="22"/>
  <c r="BH29" i="23"/>
  <c r="BH29" i="22"/>
  <c r="BL29" i="23"/>
  <c r="BL29" i="22"/>
  <c r="BP29" i="23"/>
  <c r="BP29" i="22"/>
  <c r="BT29" i="23"/>
  <c r="BT29" i="22"/>
  <c r="BX29" i="23"/>
  <c r="BX29" i="22"/>
  <c r="CB29" i="23"/>
  <c r="CB29" i="22"/>
  <c r="CF29" i="23"/>
  <c r="CF29" i="22"/>
  <c r="CJ29" i="23"/>
  <c r="CJ29" i="22"/>
  <c r="CN29" i="23"/>
  <c r="CN29" i="22"/>
  <c r="CR29" i="23"/>
  <c r="CR29" i="22"/>
  <c r="CV29" i="23"/>
  <c r="CV29" i="22"/>
  <c r="CZ29" i="23"/>
  <c r="CZ29" i="22"/>
  <c r="DD29" i="23"/>
  <c r="DD29" i="22"/>
  <c r="DH29" i="23"/>
  <c r="DH29" i="22"/>
  <c r="DL29" i="23"/>
  <c r="DL29" i="22"/>
  <c r="DP29" i="23"/>
  <c r="DP29" i="22"/>
  <c r="DT29" i="23"/>
  <c r="DT29" i="22"/>
  <c r="DX29" i="23"/>
  <c r="DX29" i="22"/>
  <c r="EB29" i="23"/>
  <c r="EB29" i="22"/>
  <c r="EF29" i="23"/>
  <c r="EF29" i="22"/>
  <c r="EJ29" i="23"/>
  <c r="EJ29" i="22"/>
  <c r="EN29" i="23"/>
  <c r="EN29" i="22"/>
  <c r="ER29" i="23"/>
  <c r="ER29" i="22"/>
  <c r="EV29" i="23"/>
  <c r="EV29" i="22"/>
  <c r="EZ29" i="23"/>
  <c r="EZ29" i="22"/>
  <c r="FD29" i="23"/>
  <c r="FD29" i="22"/>
  <c r="FH29" i="23"/>
  <c r="FH29" i="22"/>
  <c r="FL29" i="23"/>
  <c r="FL29" i="22"/>
  <c r="FP29" i="23"/>
  <c r="FP29" i="22"/>
  <c r="FT29" i="23"/>
  <c r="FT29" i="22"/>
  <c r="FX29" i="23"/>
  <c r="FX29" i="22"/>
  <c r="GB29" i="23"/>
  <c r="GB29" i="22"/>
  <c r="GF29" i="23"/>
  <c r="GF29" i="22"/>
  <c r="GJ29" i="23"/>
  <c r="GJ29" i="22"/>
  <c r="GN29" i="23"/>
  <c r="GN29" i="22"/>
  <c r="T30" i="23"/>
  <c r="T30" i="22"/>
  <c r="X30" i="23"/>
  <c r="X30" i="22"/>
  <c r="AB30" i="23"/>
  <c r="AB30" i="22"/>
  <c r="AF30" i="23"/>
  <c r="AF30" i="22"/>
  <c r="AJ30" i="23"/>
  <c r="AJ30" i="22"/>
  <c r="AN30" i="23"/>
  <c r="AN30" i="22"/>
  <c r="AR30" i="23"/>
  <c r="AR30" i="22"/>
  <c r="AV30" i="23"/>
  <c r="AV30" i="22"/>
  <c r="AZ30" i="23"/>
  <c r="AZ30" i="22"/>
  <c r="BD30" i="23"/>
  <c r="BD30" i="22"/>
  <c r="BH30" i="23"/>
  <c r="BH30" i="22"/>
  <c r="BL30" i="23"/>
  <c r="BL30" i="22"/>
  <c r="BP30" i="23"/>
  <c r="BP30" i="22"/>
  <c r="BT30" i="23"/>
  <c r="BT30" i="22"/>
  <c r="BX30" i="23"/>
  <c r="BX30" i="22"/>
  <c r="CB30" i="23"/>
  <c r="CB30" i="22"/>
  <c r="CF30" i="23"/>
  <c r="CF30" i="22"/>
  <c r="CJ30" i="23"/>
  <c r="CJ30" i="22"/>
  <c r="CN30" i="23"/>
  <c r="CN30" i="22"/>
  <c r="CR30" i="23"/>
  <c r="CR30" i="22"/>
  <c r="CV30" i="23"/>
  <c r="CV30" i="22"/>
  <c r="CZ30" i="23"/>
  <c r="CZ30" i="22"/>
  <c r="DD30" i="23"/>
  <c r="DD30" i="22"/>
  <c r="DH30" i="23"/>
  <c r="DH30" i="22"/>
  <c r="DL30" i="23"/>
  <c r="DL30" i="22"/>
  <c r="DP30" i="23"/>
  <c r="DP30" i="22"/>
  <c r="DT30" i="23"/>
  <c r="DT30" i="22"/>
  <c r="DX30" i="23"/>
  <c r="DX30" i="22"/>
  <c r="EB30" i="23"/>
  <c r="EB30" i="22"/>
  <c r="EF30" i="23"/>
  <c r="EF30" i="22"/>
  <c r="EJ30" i="23"/>
  <c r="EJ30" i="22"/>
  <c r="EN30" i="23"/>
  <c r="EN30" i="22"/>
  <c r="ER30" i="23"/>
  <c r="ER30" i="22"/>
  <c r="EV30" i="23"/>
  <c r="EV30" i="22"/>
  <c r="EZ30" i="23"/>
  <c r="EZ30" i="22"/>
  <c r="FD30" i="23"/>
  <c r="FD30" i="22"/>
  <c r="FH30" i="23"/>
  <c r="FH30" i="22"/>
  <c r="FL30" i="23"/>
  <c r="FL30" i="22"/>
  <c r="FP30" i="23"/>
  <c r="FP30" i="22"/>
  <c r="FT30" i="23"/>
  <c r="FT30" i="22"/>
  <c r="FX30" i="23"/>
  <c r="FX30" i="22"/>
  <c r="GB30" i="23"/>
  <c r="GB30" i="22"/>
  <c r="GF30" i="23"/>
  <c r="GF30" i="22"/>
  <c r="GJ30" i="23"/>
  <c r="GJ30" i="22"/>
  <c r="GN30" i="23"/>
  <c r="GN30" i="22"/>
  <c r="T31" i="23"/>
  <c r="T31" i="22"/>
  <c r="X31" i="23"/>
  <c r="X31" i="22"/>
  <c r="AB31" i="23"/>
  <c r="AB31" i="22"/>
  <c r="AF31" i="23"/>
  <c r="AF31" i="22"/>
  <c r="AJ31" i="23"/>
  <c r="AJ31" i="22"/>
  <c r="AN31" i="23"/>
  <c r="AN31" i="22"/>
  <c r="AR31" i="23"/>
  <c r="AR31" i="22"/>
  <c r="AV31" i="23"/>
  <c r="AV31" i="22"/>
  <c r="AZ31" i="23"/>
  <c r="AZ31" i="22"/>
  <c r="BD31" i="23"/>
  <c r="BD31" i="22"/>
  <c r="BH31" i="23"/>
  <c r="BH31" i="22"/>
  <c r="BL31" i="23"/>
  <c r="BL31" i="22"/>
  <c r="BP31" i="23"/>
  <c r="BP31" i="22"/>
  <c r="BT31" i="23"/>
  <c r="BT31" i="22"/>
  <c r="BX31" i="23"/>
  <c r="BX31" i="22"/>
  <c r="CB31" i="23"/>
  <c r="CB31" i="22"/>
  <c r="CF31" i="23"/>
  <c r="CF31" i="22"/>
  <c r="CJ31" i="23"/>
  <c r="CJ31" i="22"/>
  <c r="CN31" i="23"/>
  <c r="CN31" i="22"/>
  <c r="CR31" i="23"/>
  <c r="CR31" i="22"/>
  <c r="CV31" i="23"/>
  <c r="CV31" i="22"/>
  <c r="CZ31" i="23"/>
  <c r="CZ31" i="22"/>
  <c r="DD31" i="23"/>
  <c r="DD31" i="22"/>
  <c r="DH31" i="23"/>
  <c r="DH31" i="22"/>
  <c r="DL31" i="23"/>
  <c r="DL31" i="22"/>
  <c r="DP31" i="23"/>
  <c r="DP31" i="22"/>
  <c r="DT31" i="23"/>
  <c r="DT31" i="22"/>
  <c r="DX31" i="23"/>
  <c r="DX31" i="22"/>
  <c r="EB31" i="23"/>
  <c r="EB31" i="22"/>
  <c r="EF31" i="23"/>
  <c r="EF31" i="22"/>
  <c r="EJ31" i="23"/>
  <c r="EJ31" i="22"/>
  <c r="EN31" i="23"/>
  <c r="EN31" i="22"/>
  <c r="ER31" i="23"/>
  <c r="ER31" i="22"/>
  <c r="EV31" i="23"/>
  <c r="EV31" i="22"/>
  <c r="EZ31" i="23"/>
  <c r="EZ31" i="22"/>
  <c r="FD31" i="23"/>
  <c r="FD31" i="22"/>
  <c r="FH31" i="23"/>
  <c r="FH31" i="22"/>
  <c r="FL31" i="23"/>
  <c r="FL31" i="22"/>
  <c r="FP31" i="23"/>
  <c r="FP31" i="22"/>
  <c r="FT31" i="23"/>
  <c r="FT31" i="22"/>
  <c r="FX31" i="23"/>
  <c r="FX31" i="22"/>
  <c r="GB31" i="23"/>
  <c r="GB31" i="22"/>
  <c r="GF31" i="23"/>
  <c r="GF31" i="22"/>
  <c r="GJ31" i="23"/>
  <c r="GJ31" i="22"/>
  <c r="GN31" i="23"/>
  <c r="GN31" i="22"/>
  <c r="T32" i="23"/>
  <c r="T32" i="22"/>
  <c r="X32" i="23"/>
  <c r="X32" i="22"/>
  <c r="AB32" i="23"/>
  <c r="AB32" i="22"/>
  <c r="AF32" i="23"/>
  <c r="AF32" i="22"/>
  <c r="AJ32" i="23"/>
  <c r="AJ32" i="22"/>
  <c r="AN32" i="23"/>
  <c r="AN32" i="22"/>
  <c r="AR32" i="23"/>
  <c r="AR32" i="22"/>
  <c r="AV32" i="23"/>
  <c r="AV32" i="22"/>
  <c r="AZ32" i="23"/>
  <c r="AZ32" i="22"/>
  <c r="BD32" i="23"/>
  <c r="BD32" i="22"/>
  <c r="BH32" i="23"/>
  <c r="BH32" i="22"/>
  <c r="BL32" i="23"/>
  <c r="BL32" i="22"/>
  <c r="BP32" i="23"/>
  <c r="BP32" i="22"/>
  <c r="BT32" i="23"/>
  <c r="BT32" i="22"/>
  <c r="BX32" i="23"/>
  <c r="BX32" i="22"/>
  <c r="CB32" i="23"/>
  <c r="CB32" i="22"/>
  <c r="CF32" i="23"/>
  <c r="CF32" i="22"/>
  <c r="CJ32" i="23"/>
  <c r="CJ32" i="22"/>
  <c r="CN32" i="23"/>
  <c r="CN32" i="22"/>
  <c r="CR32" i="23"/>
  <c r="CR32" i="22"/>
  <c r="CV32" i="23"/>
  <c r="CV32" i="22"/>
  <c r="CZ32" i="23"/>
  <c r="CZ32" i="22"/>
  <c r="DD32" i="23"/>
  <c r="DD32" i="22"/>
  <c r="DH32" i="23"/>
  <c r="DH32" i="22"/>
  <c r="DL32" i="23"/>
  <c r="DL32" i="22"/>
  <c r="DP32" i="23"/>
  <c r="DP32" i="22"/>
  <c r="DT32" i="23"/>
  <c r="DT32" i="22"/>
  <c r="DX32" i="23"/>
  <c r="DX32" i="22"/>
  <c r="EB32" i="23"/>
  <c r="EB32" i="22"/>
  <c r="EF32" i="23"/>
  <c r="EF32" i="22"/>
  <c r="EJ32" i="23"/>
  <c r="EJ32" i="22"/>
  <c r="EN32" i="23"/>
  <c r="EN32" i="22"/>
  <c r="ER32" i="23"/>
  <c r="ER32" i="22"/>
  <c r="EV32" i="23"/>
  <c r="EV32" i="22"/>
  <c r="EZ32" i="23"/>
  <c r="EZ32" i="22"/>
  <c r="FD32" i="23"/>
  <c r="FD32" i="22"/>
  <c r="FH32" i="23"/>
  <c r="FH32" i="22"/>
  <c r="FL32" i="23"/>
  <c r="FL32" i="22"/>
  <c r="FP32" i="23"/>
  <c r="FP32" i="22"/>
  <c r="FT32" i="23"/>
  <c r="FT32" i="22"/>
  <c r="FX32" i="23"/>
  <c r="FX32" i="22"/>
  <c r="GB32" i="23"/>
  <c r="GB32" i="22"/>
  <c r="GF32" i="23"/>
  <c r="GF32" i="22"/>
  <c r="GJ32" i="23"/>
  <c r="GJ32" i="22"/>
  <c r="GN32" i="23"/>
  <c r="GN32" i="22"/>
  <c r="T33" i="23"/>
  <c r="T33" i="22"/>
  <c r="X33" i="23"/>
  <c r="X33" i="22"/>
  <c r="AB33" i="23"/>
  <c r="AB33" i="22"/>
  <c r="AF33" i="23"/>
  <c r="AF33" i="22"/>
  <c r="AJ33" i="23"/>
  <c r="AJ33" i="22"/>
  <c r="AN33" i="23"/>
  <c r="AN33" i="22"/>
  <c r="AR33" i="23"/>
  <c r="AR33" i="22"/>
  <c r="AV33" i="23"/>
  <c r="AV33" i="22"/>
  <c r="AZ33" i="23"/>
  <c r="AZ33" i="22"/>
  <c r="BD33" i="23"/>
  <c r="BD33" i="22"/>
  <c r="BH33" i="23"/>
  <c r="BH33" i="22"/>
  <c r="BL33" i="23"/>
  <c r="BL33" i="22"/>
  <c r="BP33" i="23"/>
  <c r="BP33" i="22"/>
  <c r="BT33" i="23"/>
  <c r="BT33" i="22"/>
  <c r="BX33" i="23"/>
  <c r="BX33" i="22"/>
  <c r="CB33" i="23"/>
  <c r="CB33" i="22"/>
  <c r="CF33" i="23"/>
  <c r="CF33" i="22"/>
  <c r="CJ33" i="23"/>
  <c r="CJ33" i="22"/>
  <c r="CN33" i="23"/>
  <c r="CN33" i="22"/>
  <c r="CR33" i="23"/>
  <c r="CR33" i="22"/>
  <c r="CV33" i="23"/>
  <c r="CV33" i="22"/>
  <c r="CZ33" i="23"/>
  <c r="CZ33" i="22"/>
  <c r="DD33" i="23"/>
  <c r="DD33" i="22"/>
  <c r="DH33" i="23"/>
  <c r="DH33" i="22"/>
  <c r="DL33" i="23"/>
  <c r="DL33" i="22"/>
  <c r="DP33" i="23"/>
  <c r="DP33" i="22"/>
  <c r="DT33" i="23"/>
  <c r="DT33" i="22"/>
  <c r="DX33" i="23"/>
  <c r="DX33" i="22"/>
  <c r="EB33" i="23"/>
  <c r="EB33" i="22"/>
  <c r="EF33" i="23"/>
  <c r="EF33" i="22"/>
  <c r="EJ33" i="23"/>
  <c r="EJ33" i="22"/>
  <c r="EN33" i="23"/>
  <c r="EN33" i="22"/>
  <c r="ER33" i="23"/>
  <c r="ER33" i="22"/>
  <c r="EV33" i="23"/>
  <c r="EV33" i="22"/>
  <c r="EZ33" i="23"/>
  <c r="EZ33" i="22"/>
  <c r="FD33" i="23"/>
  <c r="FD33" i="22"/>
  <c r="FH33" i="23"/>
  <c r="FH33" i="22"/>
  <c r="FL33" i="23"/>
  <c r="FL33" i="22"/>
  <c r="FP33" i="23"/>
  <c r="FP33" i="22"/>
  <c r="FT33" i="23"/>
  <c r="FT33" i="22"/>
  <c r="FX33" i="23"/>
  <c r="FX33" i="22"/>
  <c r="GB33" i="23"/>
  <c r="GB33" i="22"/>
  <c r="GF33" i="23"/>
  <c r="GF33" i="22"/>
  <c r="GJ33" i="23"/>
  <c r="GJ33" i="22"/>
  <c r="GN33" i="23"/>
  <c r="GN33" i="22"/>
  <c r="T34" i="23"/>
  <c r="T34" i="22"/>
  <c r="X34" i="23"/>
  <c r="X34" i="22"/>
  <c r="AB34" i="23"/>
  <c r="AB34" i="22"/>
  <c r="AF34" i="23"/>
  <c r="AF34" i="22"/>
  <c r="AJ34" i="23"/>
  <c r="AJ34" i="22"/>
  <c r="AN34" i="23"/>
  <c r="AN34" i="22"/>
  <c r="AR34" i="23"/>
  <c r="AR34" i="22"/>
  <c r="AV34" i="23"/>
  <c r="AV34" i="22"/>
  <c r="AZ34" i="23"/>
  <c r="AZ34" i="22"/>
  <c r="BD34" i="23"/>
  <c r="BD34" i="22"/>
  <c r="BH34" i="23"/>
  <c r="BH34" i="22"/>
  <c r="BL34" i="23"/>
  <c r="BL34" i="22"/>
  <c r="BP34" i="23"/>
  <c r="BP34" i="22"/>
  <c r="BT34" i="23"/>
  <c r="BT34" i="22"/>
  <c r="BX34" i="23"/>
  <c r="BX34" i="22"/>
  <c r="CB34" i="23"/>
  <c r="CB34" i="22"/>
  <c r="CF34" i="23"/>
  <c r="CF34" i="22"/>
  <c r="CJ34" i="23"/>
  <c r="CJ34" i="22"/>
  <c r="CN34" i="23"/>
  <c r="CN34" i="22"/>
  <c r="CR34" i="23"/>
  <c r="CR34" i="22"/>
  <c r="CV34" i="23"/>
  <c r="CV34" i="22"/>
  <c r="CZ34" i="23"/>
  <c r="CZ34" i="22"/>
  <c r="DD34" i="23"/>
  <c r="DD34" i="22"/>
  <c r="DH34" i="23"/>
  <c r="DH34" i="22"/>
  <c r="DL34" i="23"/>
  <c r="DL34" i="22"/>
  <c r="DP34" i="23"/>
  <c r="DP34" i="22"/>
  <c r="DT34" i="23"/>
  <c r="DT34" i="22"/>
  <c r="DX34" i="23"/>
  <c r="DX34" i="22"/>
  <c r="EB34" i="23"/>
  <c r="EB34" i="22"/>
  <c r="EF34" i="23"/>
  <c r="EF34" i="22"/>
  <c r="EJ34" i="23"/>
  <c r="EJ34" i="22"/>
  <c r="EN34" i="23"/>
  <c r="EN34" i="22"/>
  <c r="ER34" i="23"/>
  <c r="ER34" i="22"/>
  <c r="EV34" i="23"/>
  <c r="EV34" i="22"/>
  <c r="EZ34" i="23"/>
  <c r="EZ34" i="22"/>
  <c r="FD34" i="23"/>
  <c r="FD34" i="22"/>
  <c r="FH34" i="23"/>
  <c r="FH34" i="22"/>
  <c r="FL34" i="23"/>
  <c r="FL34" i="22"/>
  <c r="FP34" i="23"/>
  <c r="FP34" i="22"/>
  <c r="FT34" i="23"/>
  <c r="FT34" i="22"/>
  <c r="FX34" i="23"/>
  <c r="FX34" i="22"/>
  <c r="GB34" i="23"/>
  <c r="GB34" i="22"/>
  <c r="GF34" i="23"/>
  <c r="GF34" i="22"/>
  <c r="GJ34" i="23"/>
  <c r="GJ34" i="22"/>
  <c r="GN34" i="23"/>
  <c r="GN34" i="22"/>
  <c r="T35" i="23"/>
  <c r="T35" i="22"/>
  <c r="X35" i="23"/>
  <c r="X35" i="22"/>
  <c r="AB35" i="23"/>
  <c r="AB35" i="22"/>
  <c r="AF35" i="23"/>
  <c r="AF35" i="22"/>
  <c r="AJ35" i="23"/>
  <c r="AJ35" i="22"/>
  <c r="AN35" i="23"/>
  <c r="AN35" i="22"/>
  <c r="AR35" i="23"/>
  <c r="AR35" i="22"/>
  <c r="AV35" i="23"/>
  <c r="AV35" i="22"/>
  <c r="AZ35" i="23"/>
  <c r="AZ35" i="22"/>
  <c r="BD35" i="23"/>
  <c r="BD35" i="22"/>
  <c r="BH35" i="23"/>
  <c r="BH35" i="22"/>
  <c r="BL35" i="23"/>
  <c r="BL35" i="22"/>
  <c r="BP35" i="23"/>
  <c r="BP35" i="22"/>
  <c r="BT35" i="23"/>
  <c r="BT35" i="22"/>
  <c r="BX35" i="23"/>
  <c r="BX35" i="22"/>
  <c r="CB35" i="23"/>
  <c r="CB35" i="22"/>
  <c r="CF35" i="23"/>
  <c r="CF35" i="22"/>
  <c r="CJ35" i="23"/>
  <c r="CJ35" i="22"/>
  <c r="CN35" i="23"/>
  <c r="CN35" i="22"/>
  <c r="CR35" i="23"/>
  <c r="CR35" i="22"/>
  <c r="CV35" i="23"/>
  <c r="CV35" i="22"/>
  <c r="CZ35" i="23"/>
  <c r="CZ35" i="22"/>
  <c r="DD35" i="23"/>
  <c r="DD35" i="22"/>
  <c r="DH35" i="23"/>
  <c r="DH35" i="22"/>
  <c r="DL35" i="23"/>
  <c r="DL35" i="22"/>
  <c r="DP35" i="23"/>
  <c r="DP35" i="22"/>
  <c r="DT35" i="23"/>
  <c r="DT35" i="22"/>
  <c r="DX35" i="23"/>
  <c r="DX35" i="22"/>
  <c r="EB35" i="23"/>
  <c r="EB35" i="22"/>
  <c r="EF35" i="23"/>
  <c r="EF35" i="22"/>
  <c r="EJ35" i="23"/>
  <c r="EJ35" i="22"/>
  <c r="EN35" i="23"/>
  <c r="EN35" i="22"/>
  <c r="ER35" i="23"/>
  <c r="ER35" i="22"/>
  <c r="EV35" i="23"/>
  <c r="EV35" i="22"/>
  <c r="EZ35" i="23"/>
  <c r="EZ35" i="22"/>
  <c r="FD35" i="23"/>
  <c r="FD35" i="22"/>
  <c r="FH35" i="23"/>
  <c r="FH35" i="22"/>
  <c r="FL35" i="23"/>
  <c r="FL35" i="22"/>
  <c r="FP35" i="23"/>
  <c r="FP35" i="22"/>
  <c r="FT35" i="23"/>
  <c r="FT35" i="22"/>
  <c r="FX35" i="23"/>
  <c r="FX35" i="22"/>
  <c r="GB35" i="23"/>
  <c r="GB35" i="22"/>
  <c r="GF35" i="23"/>
  <c r="GF35" i="22"/>
  <c r="GJ35" i="23"/>
  <c r="GJ35" i="22"/>
  <c r="GN35" i="23"/>
  <c r="GN35" i="22"/>
  <c r="T36" i="23"/>
  <c r="T36" i="22"/>
  <c r="X36" i="23"/>
  <c r="X36" i="22"/>
  <c r="AB36" i="23"/>
  <c r="AB36" i="22"/>
  <c r="AF36" i="23"/>
  <c r="AF36" i="22"/>
  <c r="AJ36" i="23"/>
  <c r="AJ36" i="22"/>
  <c r="AN36" i="23"/>
  <c r="AN36" i="22"/>
  <c r="AR36" i="23"/>
  <c r="AR36" i="22"/>
  <c r="AV36" i="23"/>
  <c r="AV36" i="22"/>
  <c r="AZ36" i="23"/>
  <c r="AZ36" i="22"/>
  <c r="BD36" i="23"/>
  <c r="BD36" i="22"/>
  <c r="BH36" i="23"/>
  <c r="BH36" i="22"/>
  <c r="BL36" i="23"/>
  <c r="BL36" i="22"/>
  <c r="BP36" i="23"/>
  <c r="BP36" i="22"/>
  <c r="BT36" i="23"/>
  <c r="BT36" i="22"/>
  <c r="BX36" i="23"/>
  <c r="BX36" i="22"/>
  <c r="CB36" i="23"/>
  <c r="CB36" i="22"/>
  <c r="CF36" i="23"/>
  <c r="CF36" i="22"/>
  <c r="CJ36" i="23"/>
  <c r="CJ36" i="22"/>
  <c r="CN36" i="23"/>
  <c r="CN36" i="22"/>
  <c r="CR36" i="23"/>
  <c r="CR36" i="22"/>
  <c r="CV36" i="23"/>
  <c r="CV36" i="22"/>
  <c r="CZ36" i="23"/>
  <c r="CZ36" i="22"/>
  <c r="DD36" i="23"/>
  <c r="DD36" i="22"/>
  <c r="DH36" i="23"/>
  <c r="DH36" i="22"/>
  <c r="DL36" i="23"/>
  <c r="DL36" i="22"/>
  <c r="DP36" i="23"/>
  <c r="DP36" i="22"/>
  <c r="DT36" i="23"/>
  <c r="DT36" i="22"/>
  <c r="DX36" i="23"/>
  <c r="DX36" i="22"/>
  <c r="EB36" i="23"/>
  <c r="EB36" i="22"/>
  <c r="EF36" i="23"/>
  <c r="EF36" i="22"/>
  <c r="EJ36" i="23"/>
  <c r="EJ36" i="22"/>
  <c r="EN36" i="23"/>
  <c r="EN36" i="22"/>
  <c r="ER36" i="23"/>
  <c r="ER36" i="22"/>
  <c r="EV36" i="23"/>
  <c r="EV36" i="22"/>
  <c r="EZ36" i="23"/>
  <c r="EZ36" i="22"/>
  <c r="FD36" i="23"/>
  <c r="FD36" i="22"/>
  <c r="FH36" i="23"/>
  <c r="FH36" i="22"/>
  <c r="FL36" i="23"/>
  <c r="FL36" i="22"/>
  <c r="FP36" i="23"/>
  <c r="FP36" i="22"/>
  <c r="FT36" i="23"/>
  <c r="FT36" i="22"/>
  <c r="FX36" i="23"/>
  <c r="FX36" i="22"/>
  <c r="GB36" i="23"/>
  <c r="GB36" i="22"/>
  <c r="GF36" i="23"/>
  <c r="GF36" i="22"/>
  <c r="GJ36" i="23"/>
  <c r="GJ36" i="22"/>
  <c r="GN36" i="23"/>
  <c r="GN36" i="22"/>
  <c r="T37" i="23"/>
  <c r="T37" i="22"/>
  <c r="X37" i="23"/>
  <c r="X37" i="22"/>
  <c r="AB37" i="23"/>
  <c r="AB37" i="22"/>
  <c r="AF37" i="23"/>
  <c r="AF37" i="22"/>
  <c r="AJ37" i="23"/>
  <c r="AJ37" i="22"/>
  <c r="AN37" i="23"/>
  <c r="AN37" i="22"/>
  <c r="AR37" i="23"/>
  <c r="AR37" i="22"/>
  <c r="AV37" i="23"/>
  <c r="AV37" i="22"/>
  <c r="AZ37" i="23"/>
  <c r="AZ37" i="22"/>
  <c r="BD37" i="23"/>
  <c r="BD37" i="22"/>
  <c r="BH37" i="23"/>
  <c r="BH37" i="22"/>
  <c r="BL37" i="23"/>
  <c r="BL37" i="22"/>
  <c r="BP37" i="23"/>
  <c r="BP37" i="22"/>
  <c r="BT37" i="23"/>
  <c r="BT37" i="22"/>
  <c r="BX37" i="23"/>
  <c r="BX37" i="22"/>
  <c r="CB37" i="23"/>
  <c r="CB37" i="22"/>
  <c r="CF37" i="23"/>
  <c r="CF37" i="22"/>
  <c r="CJ37" i="23"/>
  <c r="CJ37" i="22"/>
  <c r="CN37" i="23"/>
  <c r="CN37" i="22"/>
  <c r="CR37" i="23"/>
  <c r="CR37" i="22"/>
  <c r="CV37" i="23"/>
  <c r="CV37" i="22"/>
  <c r="CZ37" i="23"/>
  <c r="CZ37" i="22"/>
  <c r="DD37" i="23"/>
  <c r="DD37" i="22"/>
  <c r="DH37" i="23"/>
  <c r="DH37" i="22"/>
  <c r="DL37" i="23"/>
  <c r="DL37" i="22"/>
  <c r="DP37" i="23"/>
  <c r="DP37" i="22"/>
  <c r="DT37" i="23"/>
  <c r="DT37" i="22"/>
  <c r="DX37" i="23"/>
  <c r="DX37" i="22"/>
  <c r="EB37" i="23"/>
  <c r="EB37" i="22"/>
  <c r="EF37" i="23"/>
  <c r="EF37" i="22"/>
  <c r="EJ37" i="23"/>
  <c r="EJ37" i="22"/>
  <c r="EN37" i="23"/>
  <c r="EN37" i="22"/>
  <c r="ER37" i="23"/>
  <c r="ER37" i="22"/>
  <c r="EV37" i="23"/>
  <c r="EV37" i="22"/>
  <c r="EZ37" i="23"/>
  <c r="EZ37" i="22"/>
  <c r="FD37" i="23"/>
  <c r="FD37" i="22"/>
  <c r="FH37" i="23"/>
  <c r="FH37" i="22"/>
  <c r="FL37" i="23"/>
  <c r="FL37" i="22"/>
  <c r="FP37" i="23"/>
  <c r="FP37" i="22"/>
  <c r="FT37" i="23"/>
  <c r="FT37" i="22"/>
  <c r="FX37" i="23"/>
  <c r="FX37" i="22"/>
  <c r="GB37" i="23"/>
  <c r="GB37" i="22"/>
  <c r="GF37" i="23"/>
  <c r="GF37" i="22"/>
  <c r="GJ37" i="23"/>
  <c r="GJ37" i="22"/>
  <c r="GN37" i="23"/>
  <c r="GN37" i="22"/>
  <c r="U4" i="23"/>
  <c r="T3" i="23"/>
  <c r="E7" i="20"/>
  <c r="V4" i="22"/>
  <c r="U3" i="22"/>
  <c r="W4" i="21"/>
  <c r="V3" i="21"/>
  <c r="Q38" i="17"/>
  <c r="R38" i="17"/>
  <c r="T10" i="22" l="1"/>
  <c r="T6" i="24"/>
  <c r="V7" i="21"/>
  <c r="V6" i="21"/>
  <c r="V10" i="21"/>
  <c r="V9" i="21"/>
  <c r="EV38" i="23"/>
  <c r="EV38" i="24"/>
  <c r="BT38" i="23"/>
  <c r="BT38" i="24"/>
  <c r="FU32" i="23"/>
  <c r="EO32" i="23"/>
  <c r="DI32" i="23"/>
  <c r="CC32" i="23"/>
  <c r="AW32" i="23"/>
  <c r="AT21" i="24"/>
  <c r="FR21" i="24"/>
  <c r="EY21" i="24"/>
  <c r="EN21" i="24"/>
  <c r="DP23" i="23"/>
  <c r="DP23" i="24"/>
  <c r="FU21" i="24"/>
  <c r="EO21" i="24"/>
  <c r="DI21" i="24"/>
  <c r="CC21" i="24"/>
  <c r="AW21" i="24"/>
  <c r="GN21" i="24"/>
  <c r="DH21" i="24"/>
  <c r="FG21" i="24"/>
  <c r="DS21" i="24"/>
  <c r="CA21" i="24"/>
  <c r="AI21" i="24"/>
  <c r="FQ21" i="24"/>
  <c r="EK21" i="24"/>
  <c r="DE21" i="24"/>
  <c r="BY21" i="24"/>
  <c r="AS21" i="24"/>
  <c r="GJ21" i="24"/>
  <c r="ER21" i="24"/>
  <c r="CZ21" i="24"/>
  <c r="BL21" i="24"/>
  <c r="T21" i="24"/>
  <c r="BW21" i="24"/>
  <c r="FV21" i="24"/>
  <c r="EP21" i="24"/>
  <c r="DJ21" i="24"/>
  <c r="CD21" i="24"/>
  <c r="AX21" i="24"/>
  <c r="GO21" i="24"/>
  <c r="FI21" i="24"/>
  <c r="EC21" i="24"/>
  <c r="CW21" i="24"/>
  <c r="BQ21" i="24"/>
  <c r="AK21" i="24"/>
  <c r="FX21" i="24"/>
  <c r="EF21" i="24"/>
  <c r="CR21" i="24"/>
  <c r="AZ21" i="24"/>
  <c r="DC21" i="24"/>
  <c r="S21" i="24"/>
  <c r="FN21" i="24"/>
  <c r="EH21" i="24"/>
  <c r="DB21" i="24"/>
  <c r="BV21" i="24"/>
  <c r="AP21" i="24"/>
  <c r="GK21" i="24"/>
  <c r="FE21" i="24"/>
  <c r="DY21" i="24"/>
  <c r="CS21" i="24"/>
  <c r="BM21" i="24"/>
  <c r="AG21" i="24"/>
  <c r="FT21" i="24"/>
  <c r="AV21" i="24"/>
  <c r="GE21" i="24"/>
  <c r="EM21" i="24"/>
  <c r="CU21" i="24"/>
  <c r="BG21" i="24"/>
  <c r="GP21" i="24"/>
  <c r="FJ21" i="24"/>
  <c r="ED21" i="24"/>
  <c r="CX21" i="24"/>
  <c r="BR21" i="24"/>
  <c r="AL21" i="24"/>
  <c r="GG21" i="24"/>
  <c r="FA21" i="24"/>
  <c r="DU21" i="24"/>
  <c r="CO21" i="24"/>
  <c r="BI21" i="24"/>
  <c r="AC21" i="24"/>
  <c r="FL21" i="24"/>
  <c r="DX21" i="24"/>
  <c r="CF21" i="24"/>
  <c r="AN21" i="24"/>
  <c r="EI21" i="24"/>
  <c r="GL21" i="24"/>
  <c r="FF21" i="24"/>
  <c r="DZ21" i="24"/>
  <c r="CT21" i="24"/>
  <c r="BN21" i="24"/>
  <c r="AH21" i="24"/>
  <c r="GC21" i="24"/>
  <c r="EW21" i="24"/>
  <c r="DQ21" i="24"/>
  <c r="CK21" i="24"/>
  <c r="BE21" i="24"/>
  <c r="Y21" i="24"/>
  <c r="CB21" i="24"/>
  <c r="FS21" i="24"/>
  <c r="EA21" i="24"/>
  <c r="CM21" i="24"/>
  <c r="AU21" i="24"/>
  <c r="GH21" i="24"/>
  <c r="FB21" i="24"/>
  <c r="DV21" i="24"/>
  <c r="CP21" i="24"/>
  <c r="BJ21" i="24"/>
  <c r="AD21" i="24"/>
  <c r="BH38" i="23"/>
  <c r="FQ36" i="23"/>
  <c r="EK36" i="23"/>
  <c r="DE36" i="23"/>
  <c r="BY36" i="23"/>
  <c r="AS36" i="23"/>
  <c r="BZ21" i="24"/>
  <c r="AA21" i="24"/>
  <c r="GM21" i="24"/>
  <c r="EG21" i="24"/>
  <c r="EG28" i="24"/>
  <c r="CL21" i="24"/>
  <c r="AQ21" i="24"/>
  <c r="AF21" i="24"/>
  <c r="CQ11" i="22"/>
  <c r="FM28" i="23"/>
  <c r="DA28" i="23"/>
  <c r="BU28" i="23"/>
  <c r="AO28" i="23"/>
  <c r="DF21" i="24"/>
  <c r="BO21" i="24"/>
  <c r="AO21" i="24"/>
  <c r="FM21" i="24"/>
  <c r="DR21" i="24"/>
  <c r="BT21" i="24"/>
  <c r="EL21" i="24"/>
  <c r="DG21" i="24"/>
  <c r="CV21" i="24"/>
  <c r="BU21" i="24"/>
  <c r="FH21" i="24"/>
  <c r="EB21" i="24"/>
  <c r="BP21" i="24"/>
  <c r="AJ21" i="24"/>
  <c r="GI21" i="24"/>
  <c r="FC21" i="24"/>
  <c r="CQ21" i="24"/>
  <c r="BK21" i="24"/>
  <c r="AE21" i="24"/>
  <c r="GO12" i="24"/>
  <c r="AQ11" i="24"/>
  <c r="GA11" i="24"/>
  <c r="EM11" i="24"/>
  <c r="DC11" i="24"/>
  <c r="BS11" i="24"/>
  <c r="FM11" i="24"/>
  <c r="EC11" i="24"/>
  <c r="CS11" i="24"/>
  <c r="BI11" i="24"/>
  <c r="Y11" i="24"/>
  <c r="EN11" i="24"/>
  <c r="CB11" i="24"/>
  <c r="Z11" i="24"/>
  <c r="ED11" i="24"/>
  <c r="AY11" i="24"/>
  <c r="FP11" i="24"/>
  <c r="CN11" i="24"/>
  <c r="AM11" i="24"/>
  <c r="EP11" i="24"/>
  <c r="AA11" i="24"/>
  <c r="FW11" i="24"/>
  <c r="EI11" i="24"/>
  <c r="BO11" i="24"/>
  <c r="FI11" i="24"/>
  <c r="DY11" i="24"/>
  <c r="CO11" i="24"/>
  <c r="BE11" i="24"/>
  <c r="T11" i="24"/>
  <c r="DN11" i="24"/>
  <c r="AT11" i="24"/>
  <c r="EZ11" i="24"/>
  <c r="CF11" i="24"/>
  <c r="FV11" i="24"/>
  <c r="AV11" i="24"/>
  <c r="EE11" i="24"/>
  <c r="CU11" i="24"/>
  <c r="GO11" i="24"/>
  <c r="FE11" i="24"/>
  <c r="DU11" i="24"/>
  <c r="CK11" i="24"/>
  <c r="GJ11" i="24"/>
  <c r="DX11" i="24"/>
  <c r="BL11" i="24"/>
  <c r="GP11" i="24"/>
  <c r="DF11" i="24"/>
  <c r="ER11" i="24"/>
  <c r="BX11" i="24"/>
  <c r="AB11" i="24"/>
  <c r="BV11" i="24"/>
  <c r="FK11" i="24"/>
  <c r="EA11" i="24"/>
  <c r="CQ11" i="24"/>
  <c r="GK11" i="24"/>
  <c r="FA11" i="24"/>
  <c r="DQ11" i="24"/>
  <c r="AS11" i="24"/>
  <c r="GB11" i="24"/>
  <c r="DP11" i="24"/>
  <c r="BF11" i="24"/>
  <c r="FZ11" i="24"/>
  <c r="CX11" i="24"/>
  <c r="X11" i="24"/>
  <c r="EJ11" i="24"/>
  <c r="W11" i="24"/>
  <c r="DB11" i="24"/>
  <c r="FC11" i="24"/>
  <c r="DW11" i="24"/>
  <c r="CM11" i="24"/>
  <c r="GG11" i="24"/>
  <c r="EW11" i="24"/>
  <c r="BY11" i="24"/>
  <c r="AO11" i="24"/>
  <c r="FT11" i="24"/>
  <c r="DH11" i="24"/>
  <c r="AZ11" i="24"/>
  <c r="FR11" i="24"/>
  <c r="CH11" i="24"/>
  <c r="S11" i="24"/>
  <c r="EB11" i="24"/>
  <c r="BH11" i="24"/>
  <c r="AF11" i="24"/>
  <c r="EH11" i="24"/>
  <c r="EY11" i="24"/>
  <c r="DS11" i="24"/>
  <c r="CI11" i="24"/>
  <c r="GC11" i="24"/>
  <c r="DE11" i="24"/>
  <c r="BU11" i="24"/>
  <c r="AK11" i="24"/>
  <c r="FJ11" i="24"/>
  <c r="BZ11" i="24"/>
  <c r="DT11" i="24"/>
  <c r="BC11" i="24"/>
  <c r="BB11" i="24"/>
  <c r="GM11" i="24"/>
  <c r="EU11" i="24"/>
  <c r="DK11" i="24"/>
  <c r="CE11" i="24"/>
  <c r="EK11" i="24"/>
  <c r="DA11" i="24"/>
  <c r="BQ11" i="24"/>
  <c r="AG11" i="24"/>
  <c r="FD11" i="24"/>
  <c r="CR11" i="24"/>
  <c r="AP11" i="24"/>
  <c r="ET11" i="24"/>
  <c r="BR11" i="24"/>
  <c r="GF11" i="24"/>
  <c r="DL11" i="24"/>
  <c r="AX11" i="24"/>
  <c r="CD11" i="24"/>
  <c r="FS11" i="24"/>
  <c r="AU11" i="24"/>
  <c r="BZ38" i="23"/>
  <c r="AJ39" i="24"/>
  <c r="EG39" i="24"/>
  <c r="BQ39" i="22"/>
  <c r="AE11" i="24"/>
  <c r="CA11" i="24"/>
  <c r="FP21" i="24"/>
  <c r="EJ21" i="24"/>
  <c r="DD21" i="24"/>
  <c r="BX21" i="24"/>
  <c r="AR21" i="24"/>
  <c r="FK21" i="24"/>
  <c r="EE21" i="24"/>
  <c r="CY21" i="24"/>
  <c r="BS21" i="24"/>
  <c r="AM21" i="24"/>
  <c r="BM37" i="24"/>
  <c r="GO18" i="24"/>
  <c r="BO39" i="24"/>
  <c r="CJ11" i="24"/>
  <c r="DG11" i="24"/>
  <c r="GO13" i="24"/>
  <c r="DT38" i="22"/>
  <c r="DT38" i="23"/>
  <c r="EN39" i="22"/>
  <c r="W39" i="22"/>
  <c r="FX39" i="24"/>
  <c r="DL39" i="24"/>
  <c r="CF39" i="24"/>
  <c r="AZ39" i="24"/>
  <c r="T39" i="24"/>
  <c r="AV39" i="23"/>
  <c r="CB39" i="23"/>
  <c r="DH39" i="23"/>
  <c r="EN39" i="23"/>
  <c r="FT39" i="23"/>
  <c r="AR11" i="24"/>
  <c r="AC11" i="24"/>
  <c r="GE11" i="24"/>
  <c r="FI39" i="24"/>
  <c r="FI39" i="23"/>
  <c r="EC39" i="24"/>
  <c r="EC39" i="23"/>
  <c r="CW39" i="24"/>
  <c r="CW39" i="23"/>
  <c r="GK39" i="22"/>
  <c r="GK39" i="23"/>
  <c r="EL39" i="22"/>
  <c r="EL39" i="23"/>
  <c r="CI39" i="22"/>
  <c r="CI39" i="23"/>
  <c r="FO39" i="23"/>
  <c r="FO39" i="24"/>
  <c r="EI39" i="23"/>
  <c r="EI39" i="24"/>
  <c r="DC39" i="23"/>
  <c r="DC39" i="24"/>
  <c r="BW39" i="23"/>
  <c r="BW39" i="24"/>
  <c r="AQ39" i="24"/>
  <c r="AQ39" i="23"/>
  <c r="AI39" i="24"/>
  <c r="DX39" i="24"/>
  <c r="FN39" i="24"/>
  <c r="EH39" i="24"/>
  <c r="DB39" i="24"/>
  <c r="BV39" i="24"/>
  <c r="GO39" i="24"/>
  <c r="GI39" i="24"/>
  <c r="FC39" i="24"/>
  <c r="DW39" i="24"/>
  <c r="CQ39" i="24"/>
  <c r="BK39" i="24"/>
  <c r="AN39" i="24"/>
  <c r="ER39" i="24"/>
  <c r="AM39" i="24"/>
  <c r="GP39" i="24"/>
  <c r="GK39" i="24"/>
  <c r="FE39" i="24"/>
  <c r="DY39" i="24"/>
  <c r="CS39" i="24"/>
  <c r="BM39" i="24"/>
  <c r="GE39" i="24"/>
  <c r="EY39" i="24"/>
  <c r="DS39" i="24"/>
  <c r="CM39" i="24"/>
  <c r="BG39" i="24"/>
  <c r="AR39" i="24"/>
  <c r="FH39" i="24"/>
  <c r="FD39" i="24"/>
  <c r="FF39" i="24"/>
  <c r="DZ39" i="24"/>
  <c r="CT39" i="24"/>
  <c r="BN39" i="24"/>
  <c r="GG39" i="24"/>
  <c r="FA39" i="24"/>
  <c r="DU39" i="24"/>
  <c r="CO39" i="24"/>
  <c r="BI39" i="24"/>
  <c r="GA39" i="24"/>
  <c r="EU39" i="24"/>
  <c r="DO39" i="24"/>
  <c r="CI39" i="24"/>
  <c r="BC39" i="24"/>
  <c r="AY39" i="24"/>
  <c r="GH39" i="24"/>
  <c r="FB39" i="24"/>
  <c r="DV39" i="24"/>
  <c r="CP39" i="24"/>
  <c r="BJ39" i="24"/>
  <c r="GC39" i="24"/>
  <c r="EW39" i="24"/>
  <c r="DQ39" i="24"/>
  <c r="CK39" i="24"/>
  <c r="BE39" i="24"/>
  <c r="FW39" i="24"/>
  <c r="EQ39" i="24"/>
  <c r="DK39" i="24"/>
  <c r="CE39" i="24"/>
  <c r="BP39" i="24"/>
  <c r="GN39" i="24"/>
  <c r="S39" i="24"/>
  <c r="BL39" i="24"/>
  <c r="GD39" i="24"/>
  <c r="EX39" i="24"/>
  <c r="DR39" i="24"/>
  <c r="CL39" i="24"/>
  <c r="BF39" i="24"/>
  <c r="FY39" i="24"/>
  <c r="ES39" i="24"/>
  <c r="DM39" i="24"/>
  <c r="CG39" i="24"/>
  <c r="BA39" i="24"/>
  <c r="FS39" i="24"/>
  <c r="EM39" i="24"/>
  <c r="DG39" i="24"/>
  <c r="CA39" i="24"/>
  <c r="X39" i="24"/>
  <c r="W39" i="24"/>
  <c r="FZ39" i="24"/>
  <c r="ET39" i="24"/>
  <c r="DN39" i="24"/>
  <c r="CH39" i="24"/>
  <c r="BB39" i="24"/>
  <c r="FU39" i="24"/>
  <c r="EO39" i="24"/>
  <c r="DI39" i="24"/>
  <c r="CC39" i="24"/>
  <c r="AW39" i="24"/>
  <c r="AB39" i="24"/>
  <c r="CV39" i="24"/>
  <c r="GJ39" i="24"/>
  <c r="AA39" i="24"/>
  <c r="CR39" i="24"/>
  <c r="FV39" i="24"/>
  <c r="EP39" i="24"/>
  <c r="DJ39" i="24"/>
  <c r="CD39" i="24"/>
  <c r="AX39" i="24"/>
  <c r="FQ39" i="24"/>
  <c r="EK39" i="24"/>
  <c r="DE39" i="24"/>
  <c r="BY39" i="24"/>
  <c r="AS39" i="24"/>
  <c r="FK39" i="24"/>
  <c r="EE39" i="24"/>
  <c r="CY39" i="24"/>
  <c r="BS39" i="24"/>
  <c r="AF39" i="24"/>
  <c r="FJ39" i="23"/>
  <c r="FJ39" i="24"/>
  <c r="ED39" i="23"/>
  <c r="ED39" i="24"/>
  <c r="CX39" i="23"/>
  <c r="CX39" i="24"/>
  <c r="BR39" i="23"/>
  <c r="BR39" i="24"/>
  <c r="AZ38" i="24"/>
  <c r="AZ38" i="23"/>
  <c r="DD11" i="24"/>
  <c r="BM11" i="24"/>
  <c r="GF21" i="24"/>
  <c r="EZ21" i="24"/>
  <c r="DT21" i="24"/>
  <c r="CN21" i="24"/>
  <c r="BH21" i="24"/>
  <c r="AB21" i="24"/>
  <c r="GA21" i="24"/>
  <c r="EU21" i="24"/>
  <c r="DO21" i="24"/>
  <c r="CI21" i="24"/>
  <c r="BC21" i="24"/>
  <c r="W21" i="24"/>
  <c r="GO14" i="24"/>
  <c r="CS38" i="22"/>
  <c r="DM38" i="22"/>
  <c r="CX38" i="22"/>
  <c r="AU38" i="22"/>
  <c r="AB38" i="22"/>
  <c r="FB38" i="22"/>
  <c r="FQ38" i="22"/>
  <c r="AC38" i="22"/>
  <c r="AP38" i="24"/>
  <c r="FR38" i="22"/>
  <c r="GA38" i="22"/>
  <c r="DX38" i="23"/>
  <c r="DI38" i="22"/>
  <c r="DQ39" i="22"/>
  <c r="BW39" i="22"/>
  <c r="DF39" i="22"/>
  <c r="AT39" i="22"/>
  <c r="ER39" i="22"/>
  <c r="FJ39" i="22"/>
  <c r="ED39" i="22"/>
  <c r="BM39" i="22"/>
  <c r="FE39" i="22"/>
  <c r="CF39" i="22"/>
  <c r="T39" i="22"/>
  <c r="AG39" i="24"/>
  <c r="FP39" i="24"/>
  <c r="EJ39" i="24"/>
  <c r="DD39" i="24"/>
  <c r="BX39" i="24"/>
  <c r="AL11" i="24"/>
  <c r="AW38" i="22"/>
  <c r="BA38" i="22"/>
  <c r="DN38" i="22"/>
  <c r="BK38" i="22"/>
  <c r="AR38" i="22"/>
  <c r="EV38" i="22"/>
  <c r="FU38" i="22"/>
  <c r="GP38" i="23"/>
  <c r="GI39" i="22"/>
  <c r="DK39" i="22"/>
  <c r="BS39" i="22"/>
  <c r="GG39" i="22"/>
  <c r="CT39" i="22"/>
  <c r="AH39" i="22"/>
  <c r="FD39" i="22"/>
  <c r="FV39" i="22"/>
  <c r="DN39" i="22"/>
  <c r="BA39" i="22"/>
  <c r="EM39" i="22"/>
  <c r="BT39" i="22"/>
  <c r="AC39" i="24"/>
  <c r="FL39" i="24"/>
  <c r="EF39" i="24"/>
  <c r="CZ39" i="24"/>
  <c r="BT39" i="24"/>
  <c r="GN11" i="24"/>
  <c r="FN11" i="24"/>
  <c r="FO11" i="24"/>
  <c r="BE38" i="22"/>
  <c r="ED38" i="22"/>
  <c r="CA38" i="22"/>
  <c r="BH38" i="22"/>
  <c r="FH38" i="22"/>
  <c r="GG38" i="22"/>
  <c r="CK38" i="22"/>
  <c r="EG39" i="23"/>
  <c r="FS39" i="22"/>
  <c r="DC39" i="22"/>
  <c r="BG39" i="22"/>
  <c r="FY39" i="22"/>
  <c r="CP39" i="22"/>
  <c r="AD39" i="22"/>
  <c r="FH39" i="22"/>
  <c r="FZ39" i="22"/>
  <c r="DI39" i="22"/>
  <c r="AW39" i="22"/>
  <c r="EH39" i="22"/>
  <c r="BP39" i="22"/>
  <c r="Y39" i="24"/>
  <c r="AO38" i="22"/>
  <c r="GO38" i="24"/>
  <c r="FI38" i="24"/>
  <c r="EC38" i="24"/>
  <c r="CW38" i="22"/>
  <c r="BQ38" i="22"/>
  <c r="AK38" i="24"/>
  <c r="AF38" i="24"/>
  <c r="FK39" i="22"/>
  <c r="CY39" i="22"/>
  <c r="BC39" i="22"/>
  <c r="FA39" i="22"/>
  <c r="CD39" i="22"/>
  <c r="GM39" i="22"/>
  <c r="FT39" i="22"/>
  <c r="GL39" i="22"/>
  <c r="CW39" i="22"/>
  <c r="AK39" i="22"/>
  <c r="DR39" i="22"/>
  <c r="BD39" i="22"/>
  <c r="U39" i="24"/>
  <c r="BP11" i="24"/>
  <c r="AL38" i="22"/>
  <c r="EY38" i="22"/>
  <c r="DG38" i="22"/>
  <c r="CN38" i="22"/>
  <c r="FX38" i="22"/>
  <c r="GD38" i="24"/>
  <c r="EX38" i="24"/>
  <c r="DR38" i="24"/>
  <c r="CL38" i="24"/>
  <c r="BF38" i="24"/>
  <c r="Z38" i="24"/>
  <c r="FK38" i="22"/>
  <c r="Y38" i="22"/>
  <c r="BM38" i="22"/>
  <c r="FC39" i="22"/>
  <c r="CU39" i="22"/>
  <c r="AQ39" i="22"/>
  <c r="EU39" i="22"/>
  <c r="BZ39" i="22"/>
  <c r="DL39" i="22"/>
  <c r="FX39" i="22"/>
  <c r="GP39" i="22"/>
  <c r="CS39" i="22"/>
  <c r="AG39" i="22"/>
  <c r="DM39" i="22"/>
  <c r="AZ39" i="22"/>
  <c r="GF39" i="24"/>
  <c r="EZ39" i="24"/>
  <c r="DT39" i="24"/>
  <c r="CN39" i="24"/>
  <c r="BH39" i="24"/>
  <c r="BB38" i="22"/>
  <c r="GP38" i="22"/>
  <c r="DW38" i="22"/>
  <c r="DD38" i="22"/>
  <c r="GB38" i="22"/>
  <c r="DY38" i="22"/>
  <c r="FF38" i="22"/>
  <c r="FX38" i="23"/>
  <c r="AB38" i="24"/>
  <c r="EQ39" i="22"/>
  <c r="CM39" i="22"/>
  <c r="AM39" i="22"/>
  <c r="EE39" i="22"/>
  <c r="BN39" i="22"/>
  <c r="DX39" i="22"/>
  <c r="GJ39" i="22"/>
  <c r="FG39" i="22"/>
  <c r="CG39" i="22"/>
  <c r="U39" i="22"/>
  <c r="CZ39" i="22"/>
  <c r="AN39" i="22"/>
  <c r="GB39" i="24"/>
  <c r="EV39" i="24"/>
  <c r="DP39" i="24"/>
  <c r="CJ39" i="24"/>
  <c r="BD39" i="24"/>
  <c r="DR11" i="24"/>
  <c r="EX11" i="24"/>
  <c r="GD11" i="24"/>
  <c r="BW11" i="24"/>
  <c r="BG11" i="24"/>
  <c r="AO39" i="24"/>
  <c r="AU39" i="24"/>
  <c r="AJ11" i="24"/>
  <c r="CV11" i="24"/>
  <c r="FH11" i="24"/>
  <c r="CC11" i="23"/>
  <c r="EO11" i="23"/>
  <c r="AD11" i="24"/>
  <c r="CP11" i="24"/>
  <c r="FB11" i="24"/>
  <c r="AI11" i="24"/>
  <c r="GI11" i="24"/>
  <c r="BU11" i="23"/>
  <c r="EG11" i="23"/>
  <c r="AI11" i="23"/>
  <c r="CU11" i="23"/>
  <c r="FK11" i="23"/>
  <c r="BQ11" i="23"/>
  <c r="EC11" i="23"/>
  <c r="AB11" i="23"/>
  <c r="BH11" i="23"/>
  <c r="CN11" i="23"/>
  <c r="DT11" i="23"/>
  <c r="EZ11" i="23"/>
  <c r="GF11" i="23"/>
  <c r="FY11" i="23"/>
  <c r="AL11" i="23"/>
  <c r="BR11" i="23"/>
  <c r="CX11" i="23"/>
  <c r="ED11" i="23"/>
  <c r="FJ11" i="23"/>
  <c r="GP11" i="23"/>
  <c r="FO23" i="22"/>
  <c r="EI23" i="22"/>
  <c r="DC23" i="22"/>
  <c r="BW23" i="22"/>
  <c r="AQ23" i="22"/>
  <c r="FR23" i="22"/>
  <c r="EL23" i="22"/>
  <c r="DF23" i="22"/>
  <c r="BZ23" i="22"/>
  <c r="AT23" i="22"/>
  <c r="AT23" i="24"/>
  <c r="BZ23" i="24"/>
  <c r="DF23" i="24"/>
  <c r="EL23" i="24"/>
  <c r="FR23" i="24"/>
  <c r="GB23" i="22"/>
  <c r="EV23" i="22"/>
  <c r="DP23" i="22"/>
  <c r="CJ23" i="22"/>
  <c r="BD23" i="22"/>
  <c r="X23" i="22"/>
  <c r="FO23" i="23"/>
  <c r="EI23" i="23"/>
  <c r="DC23" i="23"/>
  <c r="BW23" i="23"/>
  <c r="AQ23" i="23"/>
  <c r="CJ23" i="24"/>
  <c r="GB23" i="23"/>
  <c r="EV23" i="23"/>
  <c r="BD23" i="23"/>
  <c r="X23" i="23"/>
  <c r="FN23" i="22"/>
  <c r="EH23" i="22"/>
  <c r="DB23" i="22"/>
  <c r="BV23" i="22"/>
  <c r="AP23" i="22"/>
  <c r="GM23" i="22"/>
  <c r="FG23" i="22"/>
  <c r="EA23" i="22"/>
  <c r="CU23" i="22"/>
  <c r="BO23" i="22"/>
  <c r="AI23" i="22"/>
  <c r="AS23" i="24"/>
  <c r="BY23" i="24"/>
  <c r="DE23" i="24"/>
  <c r="EK23" i="24"/>
  <c r="FQ23" i="24"/>
  <c r="FT23" i="22"/>
  <c r="EN23" i="22"/>
  <c r="DH23" i="22"/>
  <c r="CB23" i="22"/>
  <c r="AV23" i="22"/>
  <c r="FO11" i="22"/>
  <c r="BW11" i="22"/>
  <c r="DO11" i="24"/>
  <c r="FH11" i="23"/>
  <c r="CV11" i="23"/>
  <c r="AJ11" i="23"/>
  <c r="FK11" i="22"/>
  <c r="DO11" i="22"/>
  <c r="W11" i="22"/>
  <c r="GH11" i="22"/>
  <c r="FB11" i="22"/>
  <c r="DV11" i="22"/>
  <c r="CP11" i="22"/>
  <c r="BJ11" i="22"/>
  <c r="AD11" i="22"/>
  <c r="EG11" i="22"/>
  <c r="BU11" i="22"/>
  <c r="BJ11" i="24"/>
  <c r="DV11" i="24"/>
  <c r="GH11" i="24"/>
  <c r="BK11" i="24"/>
  <c r="FB11" i="23"/>
  <c r="CP11" i="23"/>
  <c r="AD11" i="23"/>
  <c r="FG11" i="24"/>
  <c r="FG11" i="22"/>
  <c r="CU11" i="22"/>
  <c r="AI11" i="22"/>
  <c r="FY11" i="22"/>
  <c r="EC11" i="22"/>
  <c r="BQ11" i="22"/>
  <c r="AW11" i="24"/>
  <c r="CC11" i="24"/>
  <c r="DI11" i="24"/>
  <c r="EO11" i="24"/>
  <c r="FU11" i="24"/>
  <c r="GF11" i="22"/>
  <c r="EZ11" i="22"/>
  <c r="DT11" i="22"/>
  <c r="CN11" i="22"/>
  <c r="BH11" i="22"/>
  <c r="AB11" i="22"/>
  <c r="GI11" i="22"/>
  <c r="BK11" i="22"/>
  <c r="GP11" i="22"/>
  <c r="FJ11" i="22"/>
  <c r="ED11" i="22"/>
  <c r="CX11" i="22"/>
  <c r="BR11" i="22"/>
  <c r="AL11" i="22"/>
  <c r="FU11" i="22"/>
  <c r="EO11" i="22"/>
  <c r="DI11" i="22"/>
  <c r="CC11" i="22"/>
  <c r="AW11" i="22"/>
  <c r="T10" i="24"/>
  <c r="T6" i="25"/>
  <c r="T9" i="25"/>
  <c r="T7" i="25"/>
  <c r="T10" i="25"/>
  <c r="T8" i="25"/>
  <c r="W10" i="21"/>
  <c r="W8" i="21"/>
  <c r="W9" i="21"/>
  <c r="W6" i="21"/>
  <c r="W7" i="21"/>
  <c r="U8" i="25"/>
  <c r="U10" i="25"/>
  <c r="U9" i="25"/>
  <c r="U7" i="25"/>
  <c r="X4" i="17"/>
  <c r="W3" i="17"/>
  <c r="W7" i="17" s="1"/>
  <c r="U3" i="24"/>
  <c r="U10" i="24" s="1"/>
  <c r="V4" i="24"/>
  <c r="T8" i="22"/>
  <c r="S9" i="24"/>
  <c r="U9" i="24"/>
  <c r="T9" i="24"/>
  <c r="S10" i="22"/>
  <c r="S8" i="22"/>
  <c r="T8" i="24"/>
  <c r="S8" i="24"/>
  <c r="T6" i="22"/>
  <c r="S6" i="22"/>
  <c r="V40" i="17"/>
  <c r="T41" i="23" s="1"/>
  <c r="T7" i="24"/>
  <c r="T6" i="23"/>
  <c r="T7" i="22"/>
  <c r="U40" i="17"/>
  <c r="S41" i="23" s="1"/>
  <c r="S6" i="23"/>
  <c r="S7" i="22"/>
  <c r="S7" i="24"/>
  <c r="T7" i="23"/>
  <c r="S7" i="23"/>
  <c r="BO39" i="22"/>
  <c r="AY39" i="22"/>
  <c r="AI39" i="22"/>
  <c r="S39" i="22"/>
  <c r="FQ39" i="22"/>
  <c r="EP39" i="22"/>
  <c r="DU39" i="22"/>
  <c r="DB39" i="22"/>
  <c r="CL39" i="22"/>
  <c r="BV39" i="22"/>
  <c r="BF39" i="22"/>
  <c r="AP39" i="22"/>
  <c r="Z39" i="22"/>
  <c r="DP39" i="22"/>
  <c r="EF39" i="22"/>
  <c r="EV39" i="22"/>
  <c r="FL39" i="22"/>
  <c r="GB39" i="22"/>
  <c r="GO39" i="22"/>
  <c r="FN39" i="22"/>
  <c r="GD39" i="22"/>
  <c r="FW39" i="22"/>
  <c r="ET39" i="22"/>
  <c r="DY39" i="22"/>
  <c r="DE39" i="22"/>
  <c r="CO39" i="22"/>
  <c r="BY39" i="22"/>
  <c r="BI39" i="22"/>
  <c r="AS39" i="22"/>
  <c r="AC39" i="22"/>
  <c r="GC39" i="22"/>
  <c r="EX39" i="22"/>
  <c r="EC39" i="22"/>
  <c r="DH39" i="22"/>
  <c r="CR39" i="22"/>
  <c r="CB39" i="22"/>
  <c r="BL39" i="22"/>
  <c r="AV39" i="22"/>
  <c r="AF39" i="22"/>
  <c r="GE39" i="22"/>
  <c r="AH39" i="24"/>
  <c r="GA39" i="22"/>
  <c r="EW39" i="22"/>
  <c r="EA39" i="22"/>
  <c r="DG39" i="22"/>
  <c r="CQ39" i="22"/>
  <c r="CA39" i="22"/>
  <c r="BK39" i="22"/>
  <c r="AU39" i="22"/>
  <c r="AE39" i="22"/>
  <c r="FI39" i="22"/>
  <c r="EK39" i="22"/>
  <c r="DO39" i="22"/>
  <c r="CX39" i="22"/>
  <c r="CH39" i="22"/>
  <c r="BR39" i="22"/>
  <c r="BB39" i="22"/>
  <c r="AL39" i="22"/>
  <c r="V39" i="22"/>
  <c r="DT39" i="22"/>
  <c r="EJ39" i="22"/>
  <c r="EZ39" i="22"/>
  <c r="FP39" i="22"/>
  <c r="GF39" i="22"/>
  <c r="FB39" i="22"/>
  <c r="FR39" i="22"/>
  <c r="GH39" i="22"/>
  <c r="FO39" i="22"/>
  <c r="EO39" i="22"/>
  <c r="DS39" i="22"/>
  <c r="DA39" i="22"/>
  <c r="CK39" i="22"/>
  <c r="BU39" i="22"/>
  <c r="BE39" i="22"/>
  <c r="AO39" i="22"/>
  <c r="Y39" i="22"/>
  <c r="FU39" i="22"/>
  <c r="ES39" i="22"/>
  <c r="DW39" i="22"/>
  <c r="DD39" i="22"/>
  <c r="CN39" i="22"/>
  <c r="BX39" i="22"/>
  <c r="BH39" i="22"/>
  <c r="AR39" i="22"/>
  <c r="AD39" i="24"/>
  <c r="BQ39" i="23"/>
  <c r="BM39" i="23"/>
  <c r="BI39" i="23"/>
  <c r="BE39" i="23"/>
  <c r="BA39" i="23"/>
  <c r="AW39" i="23"/>
  <c r="AS39" i="23"/>
  <c r="AO39" i="23"/>
  <c r="AK39" i="23"/>
  <c r="AG39" i="23"/>
  <c r="AC39" i="23"/>
  <c r="Y39" i="23"/>
  <c r="U39" i="23"/>
  <c r="AP39" i="24"/>
  <c r="Z39" i="24"/>
  <c r="AL39" i="24"/>
  <c r="V39" i="24"/>
  <c r="FG38" i="22"/>
  <c r="FW38" i="22"/>
  <c r="GM38" i="22"/>
  <c r="GD38" i="23"/>
  <c r="FN38" i="23"/>
  <c r="EX38" i="23"/>
  <c r="EH38" i="23"/>
  <c r="DR38" i="23"/>
  <c r="DB38" i="23"/>
  <c r="CL38" i="23"/>
  <c r="BV38" i="23"/>
  <c r="BF38" i="23"/>
  <c r="AP38" i="23"/>
  <c r="Z38" i="23"/>
  <c r="GO38" i="23"/>
  <c r="FY38" i="23"/>
  <c r="FI38" i="23"/>
  <c r="ES38" i="23"/>
  <c r="EC38" i="23"/>
  <c r="DM38" i="23"/>
  <c r="CW38" i="23"/>
  <c r="CG38" i="23"/>
  <c r="BQ38" i="23"/>
  <c r="BA38" i="23"/>
  <c r="AK38" i="23"/>
  <c r="U38" i="23"/>
  <c r="BQ38" i="24"/>
  <c r="CW38" i="24"/>
  <c r="EO38" i="22"/>
  <c r="CC38" i="22"/>
  <c r="AK38" i="22"/>
  <c r="Z38" i="22"/>
  <c r="AP38" i="22"/>
  <c r="BF38" i="22"/>
  <c r="BV38" i="22"/>
  <c r="CL38" i="22"/>
  <c r="DB38" i="22"/>
  <c r="DR38" i="22"/>
  <c r="EH38" i="22"/>
  <c r="AI38" i="22"/>
  <c r="AY38" i="22"/>
  <c r="BO38" i="22"/>
  <c r="CE38" i="22"/>
  <c r="CU38" i="22"/>
  <c r="DK38" i="22"/>
  <c r="EA38" i="22"/>
  <c r="EQ38" i="22"/>
  <c r="GD38" i="22"/>
  <c r="AF38" i="22"/>
  <c r="AV38" i="22"/>
  <c r="BL38" i="22"/>
  <c r="CB38" i="22"/>
  <c r="CR38" i="22"/>
  <c r="DH38" i="22"/>
  <c r="DX38" i="22"/>
  <c r="EN38" i="22"/>
  <c r="EK38" i="22"/>
  <c r="EX38" i="22"/>
  <c r="ES38" i="22"/>
  <c r="CG38" i="22"/>
  <c r="U38" i="22"/>
  <c r="AD38" i="22"/>
  <c r="AT38" i="22"/>
  <c r="BJ38" i="22"/>
  <c r="BZ38" i="22"/>
  <c r="CP38" i="22"/>
  <c r="DF38" i="22"/>
  <c r="DV38" i="22"/>
  <c r="EL38" i="22"/>
  <c r="FJ38" i="22"/>
  <c r="W38" i="22"/>
  <c r="AM38" i="22"/>
  <c r="BC38" i="22"/>
  <c r="BS38" i="22"/>
  <c r="CI38" i="22"/>
  <c r="CY38" i="22"/>
  <c r="DO38" i="22"/>
  <c r="EE38" i="22"/>
  <c r="EU38" i="22"/>
  <c r="T38" i="22"/>
  <c r="AJ38" i="22"/>
  <c r="AZ38" i="22"/>
  <c r="BP38" i="22"/>
  <c r="CF38" i="22"/>
  <c r="CV38" i="22"/>
  <c r="DL38" i="22"/>
  <c r="EB38" i="22"/>
  <c r="ER38" i="22"/>
  <c r="GH38" i="22"/>
  <c r="FO38" i="22"/>
  <c r="GE38" i="22"/>
  <c r="EZ38" i="22"/>
  <c r="FP38" i="22"/>
  <c r="GF38" i="22"/>
  <c r="FI38" i="22"/>
  <c r="FY38" i="22"/>
  <c r="GO38" i="22"/>
  <c r="DU38" i="22"/>
  <c r="BI38" i="22"/>
  <c r="EG38" i="22"/>
  <c r="BU38" i="22"/>
  <c r="GM38" i="23"/>
  <c r="FW38" i="23"/>
  <c r="FG38" i="23"/>
  <c r="EQ38" i="23"/>
  <c r="EA38" i="23"/>
  <c r="DK38" i="23"/>
  <c r="CU38" i="23"/>
  <c r="CE38" i="23"/>
  <c r="BO38" i="23"/>
  <c r="AY38" i="23"/>
  <c r="AI38" i="23"/>
  <c r="S38" i="23"/>
  <c r="GI38" i="23"/>
  <c r="FS38" i="23"/>
  <c r="FC38" i="23"/>
  <c r="EM38" i="23"/>
  <c r="DW38" i="23"/>
  <c r="DG38" i="23"/>
  <c r="CQ38" i="23"/>
  <c r="CA38" i="23"/>
  <c r="BK38" i="23"/>
  <c r="AU38" i="23"/>
  <c r="AE38" i="23"/>
  <c r="GE38" i="23"/>
  <c r="FO38" i="23"/>
  <c r="EY38" i="23"/>
  <c r="EI38" i="23"/>
  <c r="DS38" i="23"/>
  <c r="DC38" i="23"/>
  <c r="CM38" i="23"/>
  <c r="BW38" i="23"/>
  <c r="BG38" i="23"/>
  <c r="AQ38" i="23"/>
  <c r="AA38" i="23"/>
  <c r="GA38" i="23"/>
  <c r="DO38" i="23"/>
  <c r="BC38" i="23"/>
  <c r="EE38" i="23"/>
  <c r="BS38" i="23"/>
  <c r="FK38" i="23"/>
  <c r="CY38" i="23"/>
  <c r="AM38" i="23"/>
  <c r="EU38" i="23"/>
  <c r="CI38" i="23"/>
  <c r="W38" i="23"/>
  <c r="AJ38" i="24"/>
  <c r="AH38" i="22"/>
  <c r="AX38" i="22"/>
  <c r="BN38" i="22"/>
  <c r="CD38" i="22"/>
  <c r="CT38" i="22"/>
  <c r="DJ38" i="22"/>
  <c r="DZ38" i="22"/>
  <c r="EP38" i="22"/>
  <c r="FZ38" i="22"/>
  <c r="AA38" i="22"/>
  <c r="AQ38" i="22"/>
  <c r="BG38" i="22"/>
  <c r="BW38" i="22"/>
  <c r="CM38" i="22"/>
  <c r="DC38" i="22"/>
  <c r="DS38" i="22"/>
  <c r="EI38" i="22"/>
  <c r="FA38" i="22"/>
  <c r="X38" i="22"/>
  <c r="AN38" i="22"/>
  <c r="BD38" i="22"/>
  <c r="BT38" i="22"/>
  <c r="CJ38" i="22"/>
  <c r="CZ38" i="22"/>
  <c r="DP38" i="22"/>
  <c r="EF38" i="22"/>
  <c r="EW38" i="22"/>
  <c r="FC38" i="22"/>
  <c r="FS38" i="22"/>
  <c r="GI38" i="22"/>
  <c r="FD38" i="22"/>
  <c r="FT38" i="22"/>
  <c r="GJ38" i="22"/>
  <c r="FM38" i="22"/>
  <c r="GC38" i="22"/>
  <c r="DE38" i="22"/>
  <c r="AS38" i="22"/>
  <c r="DQ38" i="22"/>
  <c r="GP17" i="24"/>
  <c r="FR17" i="24"/>
  <c r="EX17" i="24"/>
  <c r="ED17" i="24"/>
  <c r="DF17" i="24"/>
  <c r="CH17" i="24"/>
  <c r="BB17" i="24"/>
  <c r="DN37" i="24"/>
  <c r="AM37" i="24"/>
  <c r="GG37" i="24"/>
  <c r="FQ37" i="24"/>
  <c r="FA37" i="24"/>
  <c r="EK37" i="24"/>
  <c r="DU37" i="24"/>
  <c r="DE37" i="24"/>
  <c r="CO37" i="24"/>
  <c r="BY37" i="24"/>
  <c r="BI37" i="24"/>
  <c r="AS37" i="24"/>
  <c r="AC37" i="24"/>
  <c r="GJ37" i="24"/>
  <c r="FT37" i="24"/>
  <c r="FD37" i="24"/>
  <c r="EN37" i="24"/>
  <c r="DX37" i="24"/>
  <c r="DH37" i="24"/>
  <c r="CR37" i="24"/>
  <c r="CB37" i="24"/>
  <c r="BL37" i="24"/>
  <c r="AV37" i="24"/>
  <c r="AF37" i="24"/>
  <c r="GM37" i="24"/>
  <c r="FW37" i="24"/>
  <c r="GC37" i="24"/>
  <c r="FM37" i="24"/>
  <c r="EW37" i="24"/>
  <c r="EG37" i="24"/>
  <c r="DQ37" i="24"/>
  <c r="DA37" i="24"/>
  <c r="CK37" i="24"/>
  <c r="BU37" i="24"/>
  <c r="BE37" i="24"/>
  <c r="AO37" i="24"/>
  <c r="Y37" i="24"/>
  <c r="GF37" i="24"/>
  <c r="FP37" i="24"/>
  <c r="EZ37" i="24"/>
  <c r="EJ37" i="24"/>
  <c r="DT37" i="24"/>
  <c r="DD37" i="24"/>
  <c r="CN37" i="24"/>
  <c r="BX37" i="24"/>
  <c r="BH37" i="24"/>
  <c r="AR37" i="24"/>
  <c r="AB37" i="24"/>
  <c r="GI37" i="24"/>
  <c r="FS37" i="24"/>
  <c r="FC37" i="24"/>
  <c r="EM37" i="24"/>
  <c r="DW37" i="24"/>
  <c r="DG37" i="24"/>
  <c r="CQ37" i="24"/>
  <c r="CA37" i="24"/>
  <c r="BK37" i="24"/>
  <c r="AU37" i="24"/>
  <c r="AE37" i="24"/>
  <c r="GD37" i="24"/>
  <c r="DR37" i="24"/>
  <c r="BF37" i="24"/>
  <c r="FZ37" i="24"/>
  <c r="FF37" i="24"/>
  <c r="CT37" i="24"/>
  <c r="AH37" i="24"/>
  <c r="BB37" i="24"/>
  <c r="ED37" i="24"/>
  <c r="GO37" i="24"/>
  <c r="FY37" i="24"/>
  <c r="FI37" i="24"/>
  <c r="ES37" i="24"/>
  <c r="EC37" i="24"/>
  <c r="DM37" i="24"/>
  <c r="CW37" i="24"/>
  <c r="CG37" i="24"/>
  <c r="BQ37" i="24"/>
  <c r="BA37" i="24"/>
  <c r="AK37" i="24"/>
  <c r="U37" i="24"/>
  <c r="GB37" i="24"/>
  <c r="FL37" i="24"/>
  <c r="EV37" i="24"/>
  <c r="EF37" i="24"/>
  <c r="DP37" i="24"/>
  <c r="CZ37" i="24"/>
  <c r="CJ37" i="24"/>
  <c r="BT37" i="24"/>
  <c r="BD37" i="24"/>
  <c r="AN37" i="24"/>
  <c r="X37" i="24"/>
  <c r="FN37" i="24"/>
  <c r="DB37" i="24"/>
  <c r="AP37" i="24"/>
  <c r="FJ37" i="24"/>
  <c r="EP37" i="24"/>
  <c r="CD37" i="24"/>
  <c r="ET37" i="24"/>
  <c r="V37" i="24"/>
  <c r="CX37" i="24"/>
  <c r="EU37" i="24"/>
  <c r="DO37" i="24"/>
  <c r="CI37" i="24"/>
  <c r="BC37" i="24"/>
  <c r="W37" i="24"/>
  <c r="CL37" i="24"/>
  <c r="GL37" i="24"/>
  <c r="BN37" i="24"/>
  <c r="BR37" i="24"/>
  <c r="GA37" i="24"/>
  <c r="EQ37" i="24"/>
  <c r="DK37" i="24"/>
  <c r="CE37" i="24"/>
  <c r="AY37" i="24"/>
  <c r="S37" i="24"/>
  <c r="BV37" i="24"/>
  <c r="FV37" i="24"/>
  <c r="AX37" i="24"/>
  <c r="AL37" i="24"/>
  <c r="FG37" i="24"/>
  <c r="EA37" i="24"/>
  <c r="CU37" i="24"/>
  <c r="BO37" i="24"/>
  <c r="AI37" i="24"/>
  <c r="EH37" i="24"/>
  <c r="GP37" i="24"/>
  <c r="DJ37" i="24"/>
  <c r="CH37" i="24"/>
  <c r="AH17" i="24"/>
  <c r="AX17" i="24"/>
  <c r="BN17" i="24"/>
  <c r="CD17" i="24"/>
  <c r="CT17" i="24"/>
  <c r="DJ17" i="24"/>
  <c r="DZ17" i="24"/>
  <c r="EP17" i="24"/>
  <c r="FF17" i="24"/>
  <c r="FV17" i="24"/>
  <c r="GL17" i="24"/>
  <c r="AD17" i="24"/>
  <c r="AT17" i="24"/>
  <c r="BJ17" i="24"/>
  <c r="BZ17" i="24"/>
  <c r="CP17" i="24"/>
  <c r="AA37" i="24"/>
  <c r="AQ37" i="24"/>
  <c r="BG37" i="24"/>
  <c r="BW37" i="24"/>
  <c r="CM37" i="24"/>
  <c r="DC37" i="24"/>
  <c r="DS37" i="24"/>
  <c r="EI37" i="24"/>
  <c r="EY37" i="24"/>
  <c r="FO37" i="24"/>
  <c r="GE37" i="24"/>
  <c r="T37" i="24"/>
  <c r="AJ37" i="24"/>
  <c r="BP37" i="24"/>
  <c r="CF37" i="24"/>
  <c r="CV37" i="24"/>
  <c r="EB37" i="24"/>
  <c r="ER37" i="24"/>
  <c r="FH37" i="24"/>
  <c r="GN37" i="24"/>
  <c r="AG37" i="24"/>
  <c r="AW37" i="24"/>
  <c r="CC37" i="24"/>
  <c r="CS37" i="24"/>
  <c r="DI37" i="24"/>
  <c r="EO37" i="24"/>
  <c r="FE37" i="24"/>
  <c r="FU37" i="24"/>
  <c r="AD37" i="24"/>
  <c r="BJ37" i="24"/>
  <c r="BZ37" i="24"/>
  <c r="DF37" i="24"/>
  <c r="DV37" i="24"/>
  <c r="EL37" i="24"/>
  <c r="FB37" i="24"/>
  <c r="FR37" i="24"/>
  <c r="GH37" i="24"/>
  <c r="GD17" i="24"/>
  <c r="FJ17" i="24"/>
  <c r="EL17" i="24"/>
  <c r="DR17" i="24"/>
  <c r="CX17" i="24"/>
  <c r="BR17" i="24"/>
  <c r="AL17" i="24"/>
  <c r="CP37" i="24"/>
  <c r="Z37" i="24"/>
  <c r="CY37" i="24"/>
  <c r="DL37" i="24"/>
  <c r="GK37" i="24"/>
  <c r="FZ17" i="24"/>
  <c r="FB17" i="24"/>
  <c r="EH17" i="24"/>
  <c r="DN17" i="24"/>
  <c r="CL17" i="24"/>
  <c r="BF17" i="24"/>
  <c r="Z17" i="24"/>
  <c r="AT37" i="24"/>
  <c r="EX37" i="24"/>
  <c r="EE37" i="24"/>
  <c r="FX37" i="24"/>
  <c r="GO17" i="24"/>
  <c r="S40" i="21"/>
  <c r="U40" i="21"/>
  <c r="T40" i="21"/>
  <c r="S40" i="25"/>
  <c r="W4" i="25"/>
  <c r="V3" i="25"/>
  <c r="V4" i="23"/>
  <c r="U3" i="23"/>
  <c r="W4" i="22"/>
  <c r="V3" i="22"/>
  <c r="X4" i="21"/>
  <c r="W3" i="21"/>
  <c r="V40" i="21" l="1"/>
  <c r="T40" i="24"/>
  <c r="U8" i="24"/>
  <c r="W6" i="17"/>
  <c r="W8" i="17"/>
  <c r="W10" i="17"/>
  <c r="W9" i="17"/>
  <c r="T40" i="25"/>
  <c r="Q35" i="26"/>
  <c r="Q29" i="26"/>
  <c r="S40" i="22"/>
  <c r="S42" i="23"/>
  <c r="S40" i="23" s="1"/>
  <c r="W40" i="21"/>
  <c r="T42" i="23"/>
  <c r="T40" i="23" s="1"/>
  <c r="U40" i="25"/>
  <c r="V6" i="25"/>
  <c r="V9" i="25"/>
  <c r="V8" i="25"/>
  <c r="V7" i="25"/>
  <c r="V10" i="25"/>
  <c r="X10" i="21"/>
  <c r="X6" i="21"/>
  <c r="X7" i="21"/>
  <c r="X8" i="21"/>
  <c r="X9" i="21"/>
  <c r="U7" i="24"/>
  <c r="U6" i="24"/>
  <c r="W4" i="24"/>
  <c r="V3" i="24"/>
  <c r="Y4" i="17"/>
  <c r="X3" i="17"/>
  <c r="X9" i="17" s="1"/>
  <c r="T40" i="22"/>
  <c r="S40" i="24"/>
  <c r="X4" i="25"/>
  <c r="W3" i="25"/>
  <c r="W4" i="23"/>
  <c r="V3" i="23"/>
  <c r="X4" i="22"/>
  <c r="W3" i="22"/>
  <c r="Y4" i="21"/>
  <c r="X3" i="21"/>
  <c r="X6" i="17" l="1"/>
  <c r="X8" i="17"/>
  <c r="X7" i="17"/>
  <c r="X10" i="17"/>
  <c r="R35" i="26"/>
  <c r="R29" i="26"/>
  <c r="U40" i="24"/>
  <c r="U8" i="23"/>
  <c r="U8" i="22"/>
  <c r="Y8" i="21"/>
  <c r="Y6" i="21"/>
  <c r="Y9" i="21"/>
  <c r="Y7" i="21"/>
  <c r="Y10" i="21"/>
  <c r="W9" i="25"/>
  <c r="W10" i="25"/>
  <c r="W7" i="25"/>
  <c r="W8" i="25"/>
  <c r="W6" i="25"/>
  <c r="Z4" i="17"/>
  <c r="Y3" i="17"/>
  <c r="Y7" i="17" s="1"/>
  <c r="U9" i="22"/>
  <c r="U9" i="23"/>
  <c r="U7" i="22"/>
  <c r="U7" i="23"/>
  <c r="X40" i="21"/>
  <c r="V10" i="24"/>
  <c r="V6" i="24"/>
  <c r="V7" i="24"/>
  <c r="V8" i="24"/>
  <c r="V9" i="24"/>
  <c r="U6" i="23"/>
  <c r="U6" i="22"/>
  <c r="W40" i="17"/>
  <c r="X4" i="24"/>
  <c r="W3" i="24"/>
  <c r="U10" i="23"/>
  <c r="U10" i="22"/>
  <c r="Y4" i="25"/>
  <c r="X3" i="25"/>
  <c r="V40" i="25"/>
  <c r="X4" i="23"/>
  <c r="W3" i="23"/>
  <c r="Y4" i="22"/>
  <c r="X3" i="22"/>
  <c r="Z4" i="21"/>
  <c r="Y3" i="21"/>
  <c r="Y8" i="17" l="1"/>
  <c r="Y9" i="17"/>
  <c r="Y6" i="17"/>
  <c r="Y10" i="17"/>
  <c r="U42" i="23"/>
  <c r="V40" i="24"/>
  <c r="V6" i="22"/>
  <c r="V6" i="23"/>
  <c r="X40" i="17"/>
  <c r="V41" i="23" s="1"/>
  <c r="AA4" i="17"/>
  <c r="Z3" i="17"/>
  <c r="Z6" i="17" s="1"/>
  <c r="V10" i="23"/>
  <c r="V10" i="22"/>
  <c r="W10" i="24"/>
  <c r="W9" i="24"/>
  <c r="W8" i="24"/>
  <c r="W7" i="24"/>
  <c r="W6" i="24"/>
  <c r="U41" i="23"/>
  <c r="Y40" i="21"/>
  <c r="V8" i="23"/>
  <c r="V8" i="22"/>
  <c r="Z6" i="21"/>
  <c r="Z7" i="21"/>
  <c r="Z8" i="21"/>
  <c r="Z9" i="21"/>
  <c r="Z10" i="21"/>
  <c r="X6" i="25"/>
  <c r="X7" i="25"/>
  <c r="X9" i="25"/>
  <c r="X8" i="25"/>
  <c r="X10" i="25"/>
  <c r="X3" i="24"/>
  <c r="Y4" i="24"/>
  <c r="U40" i="22"/>
  <c r="V9" i="23"/>
  <c r="V9" i="22"/>
  <c r="V7" i="23"/>
  <c r="V7" i="22"/>
  <c r="Z4" i="25"/>
  <c r="Y3" i="25"/>
  <c r="W40" i="25"/>
  <c r="Y4" i="23"/>
  <c r="X3" i="23"/>
  <c r="Z4" i="22"/>
  <c r="Y3" i="22"/>
  <c r="AA4" i="21"/>
  <c r="Z3" i="21"/>
  <c r="Z8" i="17" l="1"/>
  <c r="Z7" i="17"/>
  <c r="Z10" i="17"/>
  <c r="Z9" i="17"/>
  <c r="U40" i="23"/>
  <c r="W40" i="24"/>
  <c r="V40" i="22"/>
  <c r="W10" i="23"/>
  <c r="W10" i="22"/>
  <c r="Y8" i="25"/>
  <c r="Y9" i="25"/>
  <c r="Y10" i="25"/>
  <c r="Y6" i="25"/>
  <c r="Y7" i="25"/>
  <c r="Z40" i="21"/>
  <c r="AB4" i="17"/>
  <c r="AA3" i="17"/>
  <c r="AA10" i="17" s="1"/>
  <c r="W8" i="22"/>
  <c r="W8" i="23"/>
  <c r="AA10" i="21"/>
  <c r="AA7" i="21"/>
  <c r="AA8" i="21"/>
  <c r="AA9" i="21"/>
  <c r="AA6" i="21"/>
  <c r="Y3" i="24"/>
  <c r="Z4" i="24"/>
  <c r="W9" i="23"/>
  <c r="W9" i="22"/>
  <c r="W7" i="22"/>
  <c r="W7" i="23"/>
  <c r="X9" i="24"/>
  <c r="X8" i="24"/>
  <c r="X7" i="24"/>
  <c r="X10" i="24"/>
  <c r="X6" i="24"/>
  <c r="V42" i="23"/>
  <c r="V40" i="23" s="1"/>
  <c r="Y40" i="17"/>
  <c r="W6" i="22"/>
  <c r="W6" i="23"/>
  <c r="AA4" i="25"/>
  <c r="Z3" i="25"/>
  <c r="X40" i="25"/>
  <c r="Z4" i="23"/>
  <c r="Y3" i="23"/>
  <c r="AA4" i="22"/>
  <c r="Z3" i="22"/>
  <c r="AB4" i="21"/>
  <c r="AA3" i="21"/>
  <c r="AA7" i="17" l="1"/>
  <c r="AA6" i="17"/>
  <c r="AA9" i="17"/>
  <c r="AB6" i="17"/>
  <c r="AA8" i="17"/>
  <c r="W40" i="22"/>
  <c r="X40" i="24"/>
  <c r="AC4" i="17"/>
  <c r="AB3" i="17"/>
  <c r="AB10" i="17" s="1"/>
  <c r="W41" i="23"/>
  <c r="X9" i="22"/>
  <c r="X9" i="23"/>
  <c r="X6" i="23"/>
  <c r="Z40" i="17"/>
  <c r="X41" i="23" s="1"/>
  <c r="X6" i="22"/>
  <c r="Z3" i="24"/>
  <c r="AA4" i="24"/>
  <c r="X10" i="22"/>
  <c r="X10" i="23"/>
  <c r="AA40" i="21"/>
  <c r="AB10" i="21"/>
  <c r="AB6" i="21"/>
  <c r="AB7" i="21"/>
  <c r="AB8" i="21"/>
  <c r="AB9" i="21"/>
  <c r="Z6" i="25"/>
  <c r="Z9" i="25"/>
  <c r="Z8" i="25"/>
  <c r="Z7" i="25"/>
  <c r="Z10" i="25"/>
  <c r="W42" i="23"/>
  <c r="Y6" i="24"/>
  <c r="Y8" i="24"/>
  <c r="Y10" i="24"/>
  <c r="Y9" i="24"/>
  <c r="Y7" i="24"/>
  <c r="X8" i="23"/>
  <c r="X8" i="22"/>
  <c r="X7" i="22"/>
  <c r="X7" i="23"/>
  <c r="AB4" i="25"/>
  <c r="AA3" i="25"/>
  <c r="Y40" i="25"/>
  <c r="AA4" i="23"/>
  <c r="Z3" i="23"/>
  <c r="AB4" i="22"/>
  <c r="AA3" i="22"/>
  <c r="AC4" i="21"/>
  <c r="AB3" i="21"/>
  <c r="AB8" i="17" l="1"/>
  <c r="AB7" i="17"/>
  <c r="AB9" i="17"/>
  <c r="W40" i="23"/>
  <c r="Y8" i="23"/>
  <c r="Y8" i="22"/>
  <c r="AA3" i="24"/>
  <c r="AB4" i="24"/>
  <c r="X42" i="23"/>
  <c r="X40" i="23" s="1"/>
  <c r="Y40" i="24"/>
  <c r="AD4" i="17"/>
  <c r="AC3" i="17"/>
  <c r="AC8" i="17" s="1"/>
  <c r="Y9" i="23"/>
  <c r="Y9" i="22"/>
  <c r="Y7" i="23"/>
  <c r="Y7" i="22"/>
  <c r="AB40" i="21"/>
  <c r="Z9" i="24"/>
  <c r="Z8" i="24"/>
  <c r="Z7" i="24"/>
  <c r="Z6" i="24"/>
  <c r="Z10" i="24"/>
  <c r="Y6" i="22"/>
  <c r="Y6" i="23"/>
  <c r="AA40" i="17"/>
  <c r="Y41" i="23" s="1"/>
  <c r="AC9" i="21"/>
  <c r="AC8" i="21"/>
  <c r="AC7" i="21"/>
  <c r="AC10" i="21"/>
  <c r="AC6" i="21"/>
  <c r="AA9" i="25"/>
  <c r="AA7" i="25"/>
  <c r="AA6" i="25"/>
  <c r="AA10" i="25"/>
  <c r="AA8" i="25"/>
  <c r="Y10" i="23"/>
  <c r="Y10" i="22"/>
  <c r="X40" i="22"/>
  <c r="Z40" i="25"/>
  <c r="AC4" i="25"/>
  <c r="AB3" i="25"/>
  <c r="AB4" i="23"/>
  <c r="AA3" i="23"/>
  <c r="AB3" i="22"/>
  <c r="AC4" i="22"/>
  <c r="AD4" i="21"/>
  <c r="AC3" i="21"/>
  <c r="AC7" i="17" l="1"/>
  <c r="AC6" i="17"/>
  <c r="AC9" i="17"/>
  <c r="AC10" i="17"/>
  <c r="Y40" i="22"/>
  <c r="AB6" i="25"/>
  <c r="AB9" i="25"/>
  <c r="AB10" i="25"/>
  <c r="AB7" i="25"/>
  <c r="AB8" i="25"/>
  <c r="Z6" i="23"/>
  <c r="AB40" i="17"/>
  <c r="Z41" i="23" s="1"/>
  <c r="Z6" i="22"/>
  <c r="AC40" i="21"/>
  <c r="AE4" i="17"/>
  <c r="AD3" i="17"/>
  <c r="AD10" i="17" s="1"/>
  <c r="Z10" i="23"/>
  <c r="Z10" i="22"/>
  <c r="Y42" i="23"/>
  <c r="Y40" i="23" s="1"/>
  <c r="AD8" i="21"/>
  <c r="AD6" i="21"/>
  <c r="AD7" i="21"/>
  <c r="AD9" i="21"/>
  <c r="AD10" i="21"/>
  <c r="Z8" i="23"/>
  <c r="Z8" i="22"/>
  <c r="Z9" i="23"/>
  <c r="Z9" i="22"/>
  <c r="Z7" i="23"/>
  <c r="Z7" i="22"/>
  <c r="Z40" i="24"/>
  <c r="AC4" i="24"/>
  <c r="AB3" i="24"/>
  <c r="AA7" i="24"/>
  <c r="AA10" i="24"/>
  <c r="AA8" i="24"/>
  <c r="AA6" i="24"/>
  <c r="AA9" i="24"/>
  <c r="AD4" i="25"/>
  <c r="AC3" i="25"/>
  <c r="AA40" i="25"/>
  <c r="AC4" i="23"/>
  <c r="AB3" i="23"/>
  <c r="AD4" i="22"/>
  <c r="AC3" i="22"/>
  <c r="AE4" i="21"/>
  <c r="AD3" i="21"/>
  <c r="AD6" i="17" l="1"/>
  <c r="AD9" i="17"/>
  <c r="AD8" i="17"/>
  <c r="AD7" i="17"/>
  <c r="AA40" i="24"/>
  <c r="AE10" i="21"/>
  <c r="AE6" i="21"/>
  <c r="AE7" i="21"/>
  <c r="AE8" i="21"/>
  <c r="AE9" i="21"/>
  <c r="AC9" i="25"/>
  <c r="AC10" i="25"/>
  <c r="AC7" i="25"/>
  <c r="AC6" i="25"/>
  <c r="AC8" i="25"/>
  <c r="Z40" i="22"/>
  <c r="AB7" i="24"/>
  <c r="AB10" i="24"/>
  <c r="AB9" i="24"/>
  <c r="AB8" i="24"/>
  <c r="AB6" i="24"/>
  <c r="AA8" i="23"/>
  <c r="AA8" i="22"/>
  <c r="AA6" i="23"/>
  <c r="AA6" i="22"/>
  <c r="AC40" i="17"/>
  <c r="AF4" i="17"/>
  <c r="AE3" i="17"/>
  <c r="AE7" i="17" s="1"/>
  <c r="AA10" i="23"/>
  <c r="AA10" i="22"/>
  <c r="AC3" i="24"/>
  <c r="AD4" i="24"/>
  <c r="AD40" i="21"/>
  <c r="AA9" i="22"/>
  <c r="AA9" i="23"/>
  <c r="AA7" i="22"/>
  <c r="AA7" i="23"/>
  <c r="Z42" i="23"/>
  <c r="Z40" i="23" s="1"/>
  <c r="AB40" i="25"/>
  <c r="AE4" i="25"/>
  <c r="AD3" i="25"/>
  <c r="AD4" i="23"/>
  <c r="AC3" i="23"/>
  <c r="AE4" i="22"/>
  <c r="AD3" i="22"/>
  <c r="AF4" i="21"/>
  <c r="AE3" i="21"/>
  <c r="AE6" i="17" l="1"/>
  <c r="AE10" i="17"/>
  <c r="AE8" i="17"/>
  <c r="AE9" i="17"/>
  <c r="AF10" i="21"/>
  <c r="AF6" i="21"/>
  <c r="AF7" i="21"/>
  <c r="AF8" i="21"/>
  <c r="AF9" i="21"/>
  <c r="AB8" i="23"/>
  <c r="AB8" i="22"/>
  <c r="AB7" i="23"/>
  <c r="AB7" i="22"/>
  <c r="AE4" i="24"/>
  <c r="AD3" i="24"/>
  <c r="AA42" i="23"/>
  <c r="AE40" i="21"/>
  <c r="AB10" i="23"/>
  <c r="AB10" i="22"/>
  <c r="AA41" i="23"/>
  <c r="AB9" i="23"/>
  <c r="AB9" i="22"/>
  <c r="AA40" i="22"/>
  <c r="AD9" i="25"/>
  <c r="AD8" i="25"/>
  <c r="AD7" i="25"/>
  <c r="AD6" i="25"/>
  <c r="AD10" i="25"/>
  <c r="AC6" i="24"/>
  <c r="AC8" i="24"/>
  <c r="AC10" i="24"/>
  <c r="AC9" i="24"/>
  <c r="AC7" i="24"/>
  <c r="AG4" i="17"/>
  <c r="AF3" i="17"/>
  <c r="AF9" i="17" s="1"/>
  <c r="AB40" i="24"/>
  <c r="AB6" i="23"/>
  <c r="AD40" i="17"/>
  <c r="AB41" i="23" s="1"/>
  <c r="AB6" i="22"/>
  <c r="AC40" i="25"/>
  <c r="AF4" i="25"/>
  <c r="AE3" i="25"/>
  <c r="AE4" i="23"/>
  <c r="AD3" i="23"/>
  <c r="AF4" i="22"/>
  <c r="AE3" i="22"/>
  <c r="AG4" i="21"/>
  <c r="AF3" i="21"/>
  <c r="AF8" i="17" l="1"/>
  <c r="AF6" i="17"/>
  <c r="AF7" i="17"/>
  <c r="AF10" i="17"/>
  <c r="AA40" i="23"/>
  <c r="AB40" i="22"/>
  <c r="AC7" i="23"/>
  <c r="AC7" i="22"/>
  <c r="AB42" i="23"/>
  <c r="AB40" i="23" s="1"/>
  <c r="AC10" i="22"/>
  <c r="AC10" i="23"/>
  <c r="AD10" i="24"/>
  <c r="AD8" i="24"/>
  <c r="AD9" i="24"/>
  <c r="AD7" i="24"/>
  <c r="AD6" i="24"/>
  <c r="AH4" i="17"/>
  <c r="AG3" i="17"/>
  <c r="AG7" i="17" s="1"/>
  <c r="AC6" i="23"/>
  <c r="AC6" i="22"/>
  <c r="AE40" i="17"/>
  <c r="AC41" i="23" s="1"/>
  <c r="AE3" i="24"/>
  <c r="AF4" i="24"/>
  <c r="AF40" i="21"/>
  <c r="AG8" i="21"/>
  <c r="AG7" i="21"/>
  <c r="AG9" i="21"/>
  <c r="AG10" i="21"/>
  <c r="AG6" i="21"/>
  <c r="AC9" i="23"/>
  <c r="AC9" i="22"/>
  <c r="AE6" i="25"/>
  <c r="AE9" i="25"/>
  <c r="AE7" i="25"/>
  <c r="AE10" i="25"/>
  <c r="AE8" i="25"/>
  <c r="AC40" i="24"/>
  <c r="AC8" i="23"/>
  <c r="AC8" i="22"/>
  <c r="AD40" i="25"/>
  <c r="AG4" i="25"/>
  <c r="AF3" i="25"/>
  <c r="AF4" i="23"/>
  <c r="AE3" i="23"/>
  <c r="AF3" i="22"/>
  <c r="AG4" i="22"/>
  <c r="AH4" i="21"/>
  <c r="AG3" i="21"/>
  <c r="AG6" i="17" l="1"/>
  <c r="AG10" i="17"/>
  <c r="AG9" i="17"/>
  <c r="AG8" i="17"/>
  <c r="AC42" i="23"/>
  <c r="AC40" i="23" s="1"/>
  <c r="AG40" i="21"/>
  <c r="AE8" i="24"/>
  <c r="AE6" i="24"/>
  <c r="AE7" i="24"/>
  <c r="AE10" i="24"/>
  <c r="AE9" i="24"/>
  <c r="AD10" i="23"/>
  <c r="AD10" i="22"/>
  <c r="AF3" i="24"/>
  <c r="AG4" i="24"/>
  <c r="AI4" i="17"/>
  <c r="AH3" i="17"/>
  <c r="AH7" i="17" s="1"/>
  <c r="AD8" i="22"/>
  <c r="AD8" i="23"/>
  <c r="AD40" i="24"/>
  <c r="AF40" i="17"/>
  <c r="AD41" i="23" s="1"/>
  <c r="AD6" i="23"/>
  <c r="AD6" i="22"/>
  <c r="AF6" i="25"/>
  <c r="AF10" i="25"/>
  <c r="AF9" i="25"/>
  <c r="AF7" i="25"/>
  <c r="AF8" i="25"/>
  <c r="AH7" i="21"/>
  <c r="AH8" i="21"/>
  <c r="AH6" i="21"/>
  <c r="AH10" i="21"/>
  <c r="AH9" i="21"/>
  <c r="AC40" i="22"/>
  <c r="AD9" i="23"/>
  <c r="AD9" i="22"/>
  <c r="AD7" i="22"/>
  <c r="AD7" i="23"/>
  <c r="AE40" i="25"/>
  <c r="AH4" i="25"/>
  <c r="AG3" i="25"/>
  <c r="AG4" i="23"/>
  <c r="AF3" i="23"/>
  <c r="AH4" i="22"/>
  <c r="AG3" i="22"/>
  <c r="AI4" i="21"/>
  <c r="AH3" i="21"/>
  <c r="AH6" i="17" l="1"/>
  <c r="AH8" i="17"/>
  <c r="AH10" i="17"/>
  <c r="AH9" i="17"/>
  <c r="AD40" i="22"/>
  <c r="AE6" i="22"/>
  <c r="AE6" i="23"/>
  <c r="AG40" i="17"/>
  <c r="AE41" i="23" s="1"/>
  <c r="AG6" i="25"/>
  <c r="AG9" i="25"/>
  <c r="AG7" i="25"/>
  <c r="AG8" i="25"/>
  <c r="AG10" i="25"/>
  <c r="AD42" i="23"/>
  <c r="AD40" i="23" s="1"/>
  <c r="AG3" i="24"/>
  <c r="AH4" i="24"/>
  <c r="AE8" i="22"/>
  <c r="AE8" i="23"/>
  <c r="AH40" i="21"/>
  <c r="AI10" i="21"/>
  <c r="AI9" i="21"/>
  <c r="AI6" i="21"/>
  <c r="AI7" i="21"/>
  <c r="AI8" i="21"/>
  <c r="AF9" i="24"/>
  <c r="AF6" i="24"/>
  <c r="AF10" i="24"/>
  <c r="AF8" i="24"/>
  <c r="AF7" i="24"/>
  <c r="AE9" i="22"/>
  <c r="AE9" i="23"/>
  <c r="AE7" i="23"/>
  <c r="AE7" i="22"/>
  <c r="AE40" i="24"/>
  <c r="AJ4" i="17"/>
  <c r="AI3" i="17"/>
  <c r="AI10" i="17" s="1"/>
  <c r="AE10" i="23"/>
  <c r="AE10" i="22"/>
  <c r="AF40" i="25"/>
  <c r="AI4" i="25"/>
  <c r="AH3" i="25"/>
  <c r="AH4" i="23"/>
  <c r="AG3" i="23"/>
  <c r="AI4" i="22"/>
  <c r="AH3" i="22"/>
  <c r="AJ4" i="21"/>
  <c r="AI3" i="21"/>
  <c r="AI6" i="17" l="1"/>
  <c r="AI7" i="17"/>
  <c r="AI8" i="17"/>
  <c r="AI9" i="17"/>
  <c r="AF10" i="23"/>
  <c r="AF10" i="22"/>
  <c r="AK4" i="17"/>
  <c r="AJ3" i="17"/>
  <c r="AJ8" i="17" s="1"/>
  <c r="AF7" i="23"/>
  <c r="AF7" i="22"/>
  <c r="AI40" i="21"/>
  <c r="AG6" i="24"/>
  <c r="AG9" i="24"/>
  <c r="AG7" i="24"/>
  <c r="AG10" i="24"/>
  <c r="AG8" i="24"/>
  <c r="AJ10" i="21"/>
  <c r="AJ7" i="21"/>
  <c r="AJ8" i="21"/>
  <c r="AJ9" i="21"/>
  <c r="AJ6" i="21"/>
  <c r="AF9" i="23"/>
  <c r="AF9" i="22"/>
  <c r="AH3" i="24"/>
  <c r="AI4" i="24"/>
  <c r="AF6" i="22"/>
  <c r="AF6" i="23"/>
  <c r="AH40" i="17"/>
  <c r="AF41" i="23" s="1"/>
  <c r="AH9" i="25"/>
  <c r="AH7" i="25"/>
  <c r="AH6" i="25"/>
  <c r="AH10" i="25"/>
  <c r="AH8" i="25"/>
  <c r="AF40" i="24"/>
  <c r="AF8" i="23"/>
  <c r="AF8" i="22"/>
  <c r="AE42" i="23"/>
  <c r="AE40" i="23" s="1"/>
  <c r="AE40" i="22"/>
  <c r="AG40" i="25"/>
  <c r="AJ4" i="25"/>
  <c r="AI3" i="25"/>
  <c r="AI4" i="23"/>
  <c r="AH3" i="23"/>
  <c r="AJ4" i="22"/>
  <c r="AI3" i="22"/>
  <c r="AK4" i="21"/>
  <c r="AJ3" i="21"/>
  <c r="AJ6" i="17" l="1"/>
  <c r="AJ9" i="17"/>
  <c r="AJ10" i="17"/>
  <c r="AJ7" i="17"/>
  <c r="AG8" i="23"/>
  <c r="AG8" i="22"/>
  <c r="AG7" i="22"/>
  <c r="AG7" i="23"/>
  <c r="AF42" i="23"/>
  <c r="AF40" i="23" s="1"/>
  <c r="AL4" i="17"/>
  <c r="AK3" i="17"/>
  <c r="AK10" i="17" s="1"/>
  <c r="AI9" i="25"/>
  <c r="AI7" i="25"/>
  <c r="AI10" i="25"/>
  <c r="AI8" i="25"/>
  <c r="AI6" i="25"/>
  <c r="AH7" i="24"/>
  <c r="AH6" i="24"/>
  <c r="AH9" i="24"/>
  <c r="AH8" i="24"/>
  <c r="AH10" i="24"/>
  <c r="AG10" i="23"/>
  <c r="AG10" i="22"/>
  <c r="AG9" i="22"/>
  <c r="AG9" i="23"/>
  <c r="AF40" i="22"/>
  <c r="AG40" i="24"/>
  <c r="AJ40" i="21"/>
  <c r="AK7" i="21"/>
  <c r="AK9" i="21"/>
  <c r="AK8" i="21"/>
  <c r="AK6" i="21"/>
  <c r="AK10" i="21"/>
  <c r="AG6" i="22"/>
  <c r="AG6" i="23"/>
  <c r="AI40" i="17"/>
  <c r="AG41" i="23" s="1"/>
  <c r="AJ4" i="24"/>
  <c r="AI3" i="24"/>
  <c r="AK4" i="25"/>
  <c r="AJ3" i="25"/>
  <c r="AH40" i="25"/>
  <c r="AI3" i="23"/>
  <c r="AJ4" i="23"/>
  <c r="AK4" i="22"/>
  <c r="AJ3" i="22"/>
  <c r="AL4" i="21"/>
  <c r="AK3" i="21"/>
  <c r="AK6" i="17" l="1"/>
  <c r="AK7" i="17"/>
  <c r="AK9" i="17"/>
  <c r="AK8" i="17"/>
  <c r="AH40" i="24"/>
  <c r="AG40" i="22"/>
  <c r="AL6" i="21"/>
  <c r="AL7" i="21"/>
  <c r="AL9" i="21"/>
  <c r="AL8" i="21"/>
  <c r="AL10" i="21"/>
  <c r="AJ6" i="25"/>
  <c r="AJ8" i="25"/>
  <c r="AJ9" i="25"/>
  <c r="AJ7" i="25"/>
  <c r="AJ10" i="25"/>
  <c r="AJ3" i="24"/>
  <c r="AK4" i="24"/>
  <c r="AH8" i="23"/>
  <c r="AH8" i="22"/>
  <c r="AK40" i="21"/>
  <c r="AH9" i="23"/>
  <c r="AH9" i="22"/>
  <c r="AH7" i="22"/>
  <c r="AH7" i="23"/>
  <c r="AI8" i="24"/>
  <c r="AI9" i="24"/>
  <c r="AI6" i="24"/>
  <c r="AI7" i="24"/>
  <c r="AI10" i="24"/>
  <c r="AH6" i="22"/>
  <c r="AH6" i="23"/>
  <c r="AJ40" i="17"/>
  <c r="AH41" i="23" s="1"/>
  <c r="AM4" i="17"/>
  <c r="AL3" i="17"/>
  <c r="AL7" i="17" s="1"/>
  <c r="AG42" i="23"/>
  <c r="AG40" i="23" s="1"/>
  <c r="AH10" i="22"/>
  <c r="AH10" i="23"/>
  <c r="AL4" i="25"/>
  <c r="AK3" i="25"/>
  <c r="AI40" i="25"/>
  <c r="AK4" i="23"/>
  <c r="AJ3" i="23"/>
  <c r="AL4" i="22"/>
  <c r="AK3" i="22"/>
  <c r="AM4" i="21"/>
  <c r="AL3" i="21"/>
  <c r="AL10" i="17" l="1"/>
  <c r="AL6" i="17"/>
  <c r="AL8" i="17"/>
  <c r="AL9" i="17"/>
  <c r="AN4" i="17"/>
  <c r="AM3" i="17"/>
  <c r="AM7" i="17" s="1"/>
  <c r="AK3" i="24"/>
  <c r="AL4" i="24"/>
  <c r="AI9" i="23"/>
  <c r="AI9" i="22"/>
  <c r="AI7" i="22"/>
  <c r="AI7" i="23"/>
  <c r="AJ10" i="24"/>
  <c r="AJ9" i="24"/>
  <c r="AJ8" i="24"/>
  <c r="AJ7" i="24"/>
  <c r="AJ6" i="24"/>
  <c r="AM8" i="21"/>
  <c r="AM9" i="21"/>
  <c r="AM6" i="21"/>
  <c r="AM10" i="21"/>
  <c r="AM7" i="21"/>
  <c r="AI8" i="23"/>
  <c r="AI8" i="22"/>
  <c r="AI10" i="22"/>
  <c r="AI10" i="23"/>
  <c r="AH42" i="23"/>
  <c r="AH40" i="23" s="1"/>
  <c r="AI40" i="24"/>
  <c r="AK9" i="25"/>
  <c r="AK7" i="25"/>
  <c r="AK10" i="25"/>
  <c r="AK8" i="25"/>
  <c r="AK6" i="25"/>
  <c r="AI6" i="23"/>
  <c r="AK40" i="17"/>
  <c r="AI41" i="23" s="1"/>
  <c r="AI6" i="22"/>
  <c r="AH40" i="22"/>
  <c r="AL40" i="21"/>
  <c r="AM4" i="25"/>
  <c r="AL3" i="25"/>
  <c r="AJ40" i="25"/>
  <c r="AL4" i="23"/>
  <c r="AK3" i="23"/>
  <c r="AM4" i="22"/>
  <c r="AL3" i="22"/>
  <c r="AN4" i="21"/>
  <c r="AM3" i="21"/>
  <c r="AM6" i="17" l="1"/>
  <c r="AM9" i="17"/>
  <c r="AM8" i="17"/>
  <c r="AM10" i="17"/>
  <c r="AI42" i="23"/>
  <c r="AI40" i="23" s="1"/>
  <c r="AJ40" i="24"/>
  <c r="AJ7" i="23"/>
  <c r="AJ7" i="22"/>
  <c r="AM4" i="24"/>
  <c r="AL3" i="24"/>
  <c r="AJ9" i="23"/>
  <c r="AJ9" i="22"/>
  <c r="AI40" i="22"/>
  <c r="AK8" i="24"/>
  <c r="AK7" i="24"/>
  <c r="AK6" i="24"/>
  <c r="AK10" i="24"/>
  <c r="AK9" i="24"/>
  <c r="AM40" i="21"/>
  <c r="AO4" i="17"/>
  <c r="AN3" i="17"/>
  <c r="AN10" i="17" s="1"/>
  <c r="AJ6" i="22"/>
  <c r="AL40" i="17"/>
  <c r="AJ41" i="23" s="1"/>
  <c r="AJ6" i="23"/>
  <c r="AN10" i="21"/>
  <c r="AN6" i="21"/>
  <c r="AN7" i="21"/>
  <c r="AN8" i="21"/>
  <c r="AN9" i="21"/>
  <c r="AL9" i="25"/>
  <c r="AL10" i="25"/>
  <c r="AL7" i="25"/>
  <c r="AL6" i="25"/>
  <c r="AL8" i="25"/>
  <c r="AJ10" i="23"/>
  <c r="AJ10" i="22"/>
  <c r="AJ8" i="23"/>
  <c r="AJ8" i="22"/>
  <c r="AK40" i="25"/>
  <c r="AN4" i="25"/>
  <c r="AM3" i="25"/>
  <c r="AM4" i="23"/>
  <c r="AL3" i="23"/>
  <c r="AN4" i="22"/>
  <c r="AM3" i="22"/>
  <c r="AO4" i="21"/>
  <c r="AN3" i="21"/>
  <c r="AN6" i="17" l="1"/>
  <c r="AN9" i="17"/>
  <c r="AN8" i="17"/>
  <c r="AN7" i="17"/>
  <c r="AK10" i="23"/>
  <c r="AK10" i="22"/>
  <c r="AK7" i="23"/>
  <c r="AK7" i="22"/>
  <c r="AN40" i="21"/>
  <c r="AL10" i="24"/>
  <c r="AL9" i="24"/>
  <c r="AL7" i="24"/>
  <c r="AL6" i="24"/>
  <c r="AL8" i="24"/>
  <c r="AK6" i="23"/>
  <c r="AK6" i="22"/>
  <c r="AM40" i="17"/>
  <c r="AK41" i="23" s="1"/>
  <c r="AJ40" i="22"/>
  <c r="AN4" i="24"/>
  <c r="AM3" i="24"/>
  <c r="AM6" i="25"/>
  <c r="AM9" i="25"/>
  <c r="AM10" i="25"/>
  <c r="AM8" i="25"/>
  <c r="AM7" i="25"/>
  <c r="AK8" i="23"/>
  <c r="AK8" i="22"/>
  <c r="AJ42" i="23"/>
  <c r="AJ40" i="23" s="1"/>
  <c r="AP4" i="17"/>
  <c r="AO3" i="17"/>
  <c r="AO7" i="17" s="1"/>
  <c r="AO8" i="21"/>
  <c r="AO7" i="21"/>
  <c r="AO9" i="21"/>
  <c r="AO10" i="21"/>
  <c r="AO6" i="21"/>
  <c r="AK40" i="24"/>
  <c r="AK9" i="22"/>
  <c r="AK9" i="23"/>
  <c r="AO4" i="25"/>
  <c r="AN3" i="25"/>
  <c r="AL40" i="25"/>
  <c r="AN4" i="23"/>
  <c r="AM3" i="23"/>
  <c r="AO4" i="22"/>
  <c r="AN3" i="22"/>
  <c r="AP4" i="21"/>
  <c r="AO3" i="21"/>
  <c r="AO9" i="17" l="1"/>
  <c r="AO6" i="17"/>
  <c r="AO10" i="17"/>
  <c r="AO8" i="17"/>
  <c r="AK42" i="23"/>
  <c r="AK40" i="23" s="1"/>
  <c r="AL7" i="22"/>
  <c r="AL7" i="23"/>
  <c r="AQ4" i="17"/>
  <c r="AP3" i="17"/>
  <c r="AP7" i="17" s="1"/>
  <c r="AL9" i="23"/>
  <c r="AL9" i="22"/>
  <c r="AL10" i="23"/>
  <c r="AL10" i="22"/>
  <c r="AL6" i="23"/>
  <c r="AL6" i="22"/>
  <c r="AN40" i="17"/>
  <c r="AL41" i="23" s="1"/>
  <c r="AO40" i="21"/>
  <c r="AO4" i="24"/>
  <c r="AN3" i="24"/>
  <c r="AL40" i="24"/>
  <c r="AM9" i="24"/>
  <c r="AM8" i="24"/>
  <c r="AM10" i="24"/>
  <c r="AM7" i="24"/>
  <c r="AM6" i="24"/>
  <c r="AP6" i="21"/>
  <c r="AP7" i="21"/>
  <c r="AP8" i="21"/>
  <c r="AP9" i="21"/>
  <c r="AP10" i="21"/>
  <c r="AN9" i="25"/>
  <c r="AN7" i="25"/>
  <c r="AN10" i="25"/>
  <c r="AN6" i="25"/>
  <c r="AN8" i="25"/>
  <c r="AL8" i="23"/>
  <c r="AL8" i="22"/>
  <c r="AK40" i="22"/>
  <c r="AM40" i="25"/>
  <c r="AP4" i="25"/>
  <c r="AO3" i="25"/>
  <c r="AO4" i="23"/>
  <c r="AN3" i="23"/>
  <c r="AP4" i="22"/>
  <c r="AO3" i="22"/>
  <c r="AQ4" i="21"/>
  <c r="AP3" i="21"/>
  <c r="AP6" i="17" l="1"/>
  <c r="AP8" i="17"/>
  <c r="AP9" i="17"/>
  <c r="AP10" i="17"/>
  <c r="AO6" i="25"/>
  <c r="AO10" i="25"/>
  <c r="AO9" i="25"/>
  <c r="AO7" i="25"/>
  <c r="AO8" i="25"/>
  <c r="AM9" i="22"/>
  <c r="AM9" i="23"/>
  <c r="AM7" i="22"/>
  <c r="AM7" i="23"/>
  <c r="AL40" i="22"/>
  <c r="AR4" i="17"/>
  <c r="AQ3" i="17"/>
  <c r="AQ7" i="17" s="1"/>
  <c r="AM8" i="22"/>
  <c r="AM8" i="23"/>
  <c r="AO3" i="24"/>
  <c r="AP4" i="24"/>
  <c r="AQ10" i="21"/>
  <c r="AQ7" i="21"/>
  <c r="AQ8" i="21"/>
  <c r="AQ9" i="21"/>
  <c r="AQ6" i="21"/>
  <c r="AM6" i="22"/>
  <c r="AM6" i="23"/>
  <c r="AO40" i="17"/>
  <c r="AM41" i="23" s="1"/>
  <c r="AP40" i="21"/>
  <c r="AL42" i="23"/>
  <c r="AL40" i="23" s="1"/>
  <c r="AM10" i="23"/>
  <c r="AM10" i="22"/>
  <c r="AM40" i="24"/>
  <c r="AN9" i="24"/>
  <c r="AN7" i="24"/>
  <c r="AN8" i="24"/>
  <c r="AN6" i="24"/>
  <c r="AN10" i="24"/>
  <c r="AN40" i="25"/>
  <c r="AQ4" i="25"/>
  <c r="AP3" i="25"/>
  <c r="AP4" i="23"/>
  <c r="AO3" i="23"/>
  <c r="AQ4" i="22"/>
  <c r="AP3" i="22"/>
  <c r="AR4" i="21"/>
  <c r="AQ3" i="21"/>
  <c r="AQ9" i="17" l="1"/>
  <c r="AQ6" i="17"/>
  <c r="AQ10" i="17"/>
  <c r="AQ8" i="17"/>
  <c r="AN40" i="24"/>
  <c r="AP3" i="24"/>
  <c r="AQ4" i="24"/>
  <c r="AN7" i="22"/>
  <c r="AN7" i="23"/>
  <c r="AN10" i="22"/>
  <c r="AN10" i="23"/>
  <c r="AR10" i="21"/>
  <c r="AR6" i="21"/>
  <c r="AR7" i="21"/>
  <c r="AR8" i="21"/>
  <c r="AR9" i="21"/>
  <c r="AM42" i="23"/>
  <c r="AO6" i="24"/>
  <c r="AO7" i="24"/>
  <c r="AO10" i="24"/>
  <c r="AO8" i="24"/>
  <c r="AO9" i="24"/>
  <c r="AS4" i="17"/>
  <c r="AR3" i="17"/>
  <c r="AR8" i="17" s="1"/>
  <c r="AN9" i="23"/>
  <c r="AN9" i="22"/>
  <c r="AP40" i="17"/>
  <c r="AN41" i="23" s="1"/>
  <c r="AN6" i="22"/>
  <c r="AN6" i="23"/>
  <c r="AP9" i="25"/>
  <c r="AP10" i="25"/>
  <c r="AP8" i="25"/>
  <c r="AP7" i="25"/>
  <c r="AP6" i="25"/>
  <c r="AQ40" i="21"/>
  <c r="AM40" i="23"/>
  <c r="AM40" i="22"/>
  <c r="AN8" i="23"/>
  <c r="AN8" i="22"/>
  <c r="AO40" i="25"/>
  <c r="AR4" i="25"/>
  <c r="AQ3" i="25"/>
  <c r="AQ4" i="23"/>
  <c r="AP3" i="23"/>
  <c r="AR4" i="22"/>
  <c r="AQ3" i="22"/>
  <c r="AS4" i="21"/>
  <c r="AR3" i="21"/>
  <c r="AR10" i="17" l="1"/>
  <c r="AR6" i="17"/>
  <c r="AR7" i="17"/>
  <c r="AR9" i="17"/>
  <c r="AN42" i="23"/>
  <c r="AN40" i="23" s="1"/>
  <c r="AQ9" i="25"/>
  <c r="AQ7" i="25"/>
  <c r="AQ10" i="25"/>
  <c r="AQ8" i="25"/>
  <c r="AQ6" i="25"/>
  <c r="AN40" i="22"/>
  <c r="AR40" i="21"/>
  <c r="AO6" i="22"/>
  <c r="AO6" i="23"/>
  <c r="AQ40" i="17"/>
  <c r="AO41" i="23" s="1"/>
  <c r="AP7" i="24"/>
  <c r="AP6" i="24"/>
  <c r="AP10" i="24"/>
  <c r="AP9" i="24"/>
  <c r="AP8" i="24"/>
  <c r="AR4" i="24"/>
  <c r="AQ3" i="24"/>
  <c r="AS7" i="21"/>
  <c r="AS8" i="21"/>
  <c r="AS9" i="21"/>
  <c r="AS10" i="21"/>
  <c r="AS6" i="21"/>
  <c r="AT4" i="17"/>
  <c r="AS3" i="17"/>
  <c r="AS8" i="17" s="1"/>
  <c r="AO8" i="23"/>
  <c r="AO8" i="22"/>
  <c r="AO10" i="23"/>
  <c r="AO10" i="22"/>
  <c r="AO40" i="24"/>
  <c r="AO9" i="23"/>
  <c r="AO9" i="22"/>
  <c r="AO7" i="22"/>
  <c r="AO7" i="23"/>
  <c r="AP40" i="25"/>
  <c r="AS4" i="25"/>
  <c r="AR3" i="25"/>
  <c r="AR4" i="23"/>
  <c r="AQ3" i="23"/>
  <c r="AR3" i="22"/>
  <c r="AS4" i="22"/>
  <c r="AT4" i="21"/>
  <c r="AS3" i="21"/>
  <c r="AS6" i="17" l="1"/>
  <c r="AS7" i="17"/>
  <c r="AS9" i="17"/>
  <c r="AS10" i="17"/>
  <c r="AS4" i="24"/>
  <c r="AR3" i="24"/>
  <c r="AO42" i="23"/>
  <c r="AO40" i="23" s="1"/>
  <c r="AP9" i="23"/>
  <c r="AP9" i="22"/>
  <c r="AP7" i="23"/>
  <c r="AP7" i="22"/>
  <c r="AR6" i="25"/>
  <c r="AR10" i="25"/>
  <c r="AR7" i="25"/>
  <c r="AR8" i="25"/>
  <c r="AR9" i="25"/>
  <c r="AU4" i="17"/>
  <c r="AT3" i="17"/>
  <c r="AT9" i="17" s="1"/>
  <c r="AP40" i="24"/>
  <c r="AO40" i="22"/>
  <c r="AP10" i="23"/>
  <c r="AP10" i="22"/>
  <c r="AQ8" i="24"/>
  <c r="AQ6" i="24"/>
  <c r="AQ7" i="24"/>
  <c r="AQ10" i="24"/>
  <c r="AQ9" i="24"/>
  <c r="AP8" i="23"/>
  <c r="AP8" i="22"/>
  <c r="AT8" i="21"/>
  <c r="AT6" i="21"/>
  <c r="AT7" i="21"/>
  <c r="AT9" i="21"/>
  <c r="AT10" i="21"/>
  <c r="AS40" i="21"/>
  <c r="AP6" i="23"/>
  <c r="AR40" i="17"/>
  <c r="AP41" i="23" s="1"/>
  <c r="AP6" i="22"/>
  <c r="AQ40" i="25"/>
  <c r="AT4" i="25"/>
  <c r="AS3" i="25"/>
  <c r="AS4" i="23"/>
  <c r="AR3" i="23"/>
  <c r="AT4" i="22"/>
  <c r="AS3" i="22"/>
  <c r="AU4" i="21"/>
  <c r="AT3" i="21"/>
  <c r="AT10" i="17" l="1"/>
  <c r="AT6" i="17"/>
  <c r="AT8" i="17"/>
  <c r="AT7" i="17"/>
  <c r="AP40" i="22"/>
  <c r="AQ40" i="24"/>
  <c r="AV4" i="17"/>
  <c r="AU3" i="17"/>
  <c r="AU9" i="17" s="1"/>
  <c r="AQ6" i="22"/>
  <c r="AS40" i="17"/>
  <c r="AQ41" i="23" s="1"/>
  <c r="AQ6" i="23"/>
  <c r="AS7" i="25"/>
  <c r="AS9" i="25"/>
  <c r="AS6" i="25"/>
  <c r="AS10" i="25"/>
  <c r="AS8" i="25"/>
  <c r="AT40" i="21"/>
  <c r="AS3" i="24"/>
  <c r="AT4" i="24"/>
  <c r="AQ8" i="22"/>
  <c r="AQ8" i="23"/>
  <c r="AR10" i="24"/>
  <c r="AR9" i="24"/>
  <c r="AR6" i="24"/>
  <c r="AR7" i="24"/>
  <c r="AR8" i="24"/>
  <c r="AU10" i="21"/>
  <c r="AU6" i="21"/>
  <c r="AU7" i="21"/>
  <c r="AU8" i="21"/>
  <c r="AU9" i="21"/>
  <c r="AP42" i="23"/>
  <c r="AP40" i="23" s="1"/>
  <c r="AQ10" i="23"/>
  <c r="AQ10" i="22"/>
  <c r="AQ9" i="22"/>
  <c r="AQ9" i="23"/>
  <c r="AQ7" i="23"/>
  <c r="AQ7" i="22"/>
  <c r="AR40" i="25"/>
  <c r="AU4" i="25"/>
  <c r="AT3" i="25"/>
  <c r="AT4" i="23"/>
  <c r="AS3" i="23"/>
  <c r="AU4" i="22"/>
  <c r="AT3" i="22"/>
  <c r="AV4" i="21"/>
  <c r="AU3" i="21"/>
  <c r="AU6" i="17" l="1"/>
  <c r="AU8" i="17"/>
  <c r="AU10" i="17"/>
  <c r="AU7" i="17"/>
  <c r="AT8" i="25"/>
  <c r="AT9" i="25"/>
  <c r="AT7" i="25"/>
  <c r="AT6" i="25"/>
  <c r="AT10" i="25"/>
  <c r="AV10" i="21"/>
  <c r="AV6" i="21"/>
  <c r="AV7" i="21"/>
  <c r="AV8" i="21"/>
  <c r="AV9" i="21"/>
  <c r="AR7" i="22"/>
  <c r="AR7" i="23"/>
  <c r="AU40" i="21"/>
  <c r="AR10" i="23"/>
  <c r="AR10" i="22"/>
  <c r="AT3" i="24"/>
  <c r="AU4" i="24"/>
  <c r="AR8" i="23"/>
  <c r="AR8" i="22"/>
  <c r="AR40" i="24"/>
  <c r="AQ40" i="22"/>
  <c r="AR9" i="23"/>
  <c r="AR9" i="22"/>
  <c r="AR6" i="23"/>
  <c r="AR6" i="22"/>
  <c r="AT40" i="17"/>
  <c r="AR41" i="23" s="1"/>
  <c r="AS10" i="24"/>
  <c r="AS7" i="24"/>
  <c r="AS6" i="24"/>
  <c r="AS8" i="24"/>
  <c r="AS9" i="24"/>
  <c r="AQ42" i="23"/>
  <c r="AQ40" i="23" s="1"/>
  <c r="AW4" i="17"/>
  <c r="AV3" i="17"/>
  <c r="AV10" i="17" s="1"/>
  <c r="AS40" i="25"/>
  <c r="AV4" i="25"/>
  <c r="AU3" i="25"/>
  <c r="AU4" i="23"/>
  <c r="AT3" i="23"/>
  <c r="AV4" i="22"/>
  <c r="AU3" i="22"/>
  <c r="AW4" i="21"/>
  <c r="AV3" i="21"/>
  <c r="AV6" i="17" l="1"/>
  <c r="AV9" i="17"/>
  <c r="AV8" i="17"/>
  <c r="AV7" i="17"/>
  <c r="AS10" i="23"/>
  <c r="AS10" i="22"/>
  <c r="AV4" i="24"/>
  <c r="AU3" i="24"/>
  <c r="AU6" i="25"/>
  <c r="AU9" i="25"/>
  <c r="AU10" i="25"/>
  <c r="AU8" i="25"/>
  <c r="AU7" i="25"/>
  <c r="AX4" i="17"/>
  <c r="AW3" i="17"/>
  <c r="AW10" i="17" s="1"/>
  <c r="AS40" i="24"/>
  <c r="AS6" i="22"/>
  <c r="AS6" i="23"/>
  <c r="AU40" i="17"/>
  <c r="AS41" i="23" s="1"/>
  <c r="AT7" i="24"/>
  <c r="AT9" i="24"/>
  <c r="AT10" i="24"/>
  <c r="AT8" i="24"/>
  <c r="AT6" i="24"/>
  <c r="AV40" i="21"/>
  <c r="AW9" i="21"/>
  <c r="AW7" i="21"/>
  <c r="AW8" i="21"/>
  <c r="AW6" i="21"/>
  <c r="AW10" i="21"/>
  <c r="AR40" i="22"/>
  <c r="AS8" i="23"/>
  <c r="AS8" i="22"/>
  <c r="AR42" i="23"/>
  <c r="AR40" i="23" s="1"/>
  <c r="AS9" i="23"/>
  <c r="AS9" i="22"/>
  <c r="AS7" i="23"/>
  <c r="AS7" i="22"/>
  <c r="AT40" i="25"/>
  <c r="AW4" i="25"/>
  <c r="AV3" i="25"/>
  <c r="AV4" i="23"/>
  <c r="AU3" i="23"/>
  <c r="AV3" i="22"/>
  <c r="AW4" i="22"/>
  <c r="AX4" i="21"/>
  <c r="AW3" i="21"/>
  <c r="AW6" i="17" l="1"/>
  <c r="AW9" i="17"/>
  <c r="AW8" i="17"/>
  <c r="AW7" i="17"/>
  <c r="AY4" i="17"/>
  <c r="AX3" i="17"/>
  <c r="AX8" i="17" s="1"/>
  <c r="AT6" i="23"/>
  <c r="AV40" i="17"/>
  <c r="AT41" i="23" s="1"/>
  <c r="AT6" i="22"/>
  <c r="AV9" i="25"/>
  <c r="AV7" i="25"/>
  <c r="AV10" i="25"/>
  <c r="AV8" i="25"/>
  <c r="AV6" i="25"/>
  <c r="AS40" i="22"/>
  <c r="AT8" i="23"/>
  <c r="AT8" i="22"/>
  <c r="AW40" i="21"/>
  <c r="AS42" i="23"/>
  <c r="AS40" i="23" s="1"/>
  <c r="AV3" i="24"/>
  <c r="AW4" i="24"/>
  <c r="AT10" i="22"/>
  <c r="AT10" i="23"/>
  <c r="AX7" i="21"/>
  <c r="AX8" i="21"/>
  <c r="AX6" i="21"/>
  <c r="AX9" i="21"/>
  <c r="AX10" i="21"/>
  <c r="AT40" i="24"/>
  <c r="AU7" i="24"/>
  <c r="AU8" i="24"/>
  <c r="AU6" i="24"/>
  <c r="AU10" i="24"/>
  <c r="AU9" i="24"/>
  <c r="AT9" i="22"/>
  <c r="AT9" i="23"/>
  <c r="AT7" i="22"/>
  <c r="AT7" i="23"/>
  <c r="AX4" i="25"/>
  <c r="AW3" i="25"/>
  <c r="AU40" i="25"/>
  <c r="AW4" i="23"/>
  <c r="AV3" i="23"/>
  <c r="AX4" i="22"/>
  <c r="AW3" i="22"/>
  <c r="AY4" i="21"/>
  <c r="AX3" i="21"/>
  <c r="AX6" i="17" l="1"/>
  <c r="AX9" i="17"/>
  <c r="AX10" i="17"/>
  <c r="AX7" i="17"/>
  <c r="AU6" i="22"/>
  <c r="AW40" i="17"/>
  <c r="AU41" i="23" s="1"/>
  <c r="AU6" i="23"/>
  <c r="AW6" i="25"/>
  <c r="AW9" i="25"/>
  <c r="AW7" i="25"/>
  <c r="AW8" i="25"/>
  <c r="AW10" i="25"/>
  <c r="AU40" i="24"/>
  <c r="AT42" i="23"/>
  <c r="AT40" i="23" s="1"/>
  <c r="AU8" i="23"/>
  <c r="AU8" i="22"/>
  <c r="AV6" i="24"/>
  <c r="AV9" i="24"/>
  <c r="AV10" i="24"/>
  <c r="AV7" i="24"/>
  <c r="AV8" i="24"/>
  <c r="AU9" i="23"/>
  <c r="AU9" i="22"/>
  <c r="AY10" i="21"/>
  <c r="AY9" i="21"/>
  <c r="AY6" i="21"/>
  <c r="AY7" i="21"/>
  <c r="AY8" i="21"/>
  <c r="AU10" i="23"/>
  <c r="AU10" i="22"/>
  <c r="AX4" i="24"/>
  <c r="AW3" i="24"/>
  <c r="AU7" i="22"/>
  <c r="AU7" i="23"/>
  <c r="AX40" i="21"/>
  <c r="AT40" i="22"/>
  <c r="AZ4" i="17"/>
  <c r="AY3" i="17"/>
  <c r="AY8" i="17" s="1"/>
  <c r="AV40" i="25"/>
  <c r="AY4" i="25"/>
  <c r="AX3" i="25"/>
  <c r="AX4" i="23"/>
  <c r="AW3" i="23"/>
  <c r="AY4" i="22"/>
  <c r="AX3" i="22"/>
  <c r="AZ4" i="21"/>
  <c r="AY3" i="21"/>
  <c r="AY6" i="17" l="1"/>
  <c r="AY7" i="17"/>
  <c r="AY10" i="17"/>
  <c r="AY9" i="17"/>
  <c r="AU42" i="23"/>
  <c r="AU40" i="23" s="1"/>
  <c r="AV7" i="23"/>
  <c r="AV7" i="22"/>
  <c r="BA4" i="17"/>
  <c r="AZ3" i="17"/>
  <c r="AZ8" i="17" s="1"/>
  <c r="AZ10" i="21"/>
  <c r="AZ7" i="21"/>
  <c r="AZ8" i="21"/>
  <c r="AZ9" i="21"/>
  <c r="AZ6" i="21"/>
  <c r="AY40" i="21"/>
  <c r="AV6" i="23"/>
  <c r="AV6" i="22"/>
  <c r="AX40" i="17"/>
  <c r="AV41" i="23" s="1"/>
  <c r="AY4" i="24"/>
  <c r="AX3" i="24"/>
  <c r="AV8" i="23"/>
  <c r="AV8" i="22"/>
  <c r="AX9" i="25"/>
  <c r="AX7" i="25"/>
  <c r="AX6" i="25"/>
  <c r="AX8" i="25"/>
  <c r="AX10" i="25"/>
  <c r="AV9" i="23"/>
  <c r="AV9" i="22"/>
  <c r="AV40" i="24"/>
  <c r="AW9" i="24"/>
  <c r="AW8" i="24"/>
  <c r="AW7" i="24"/>
  <c r="AW10" i="24"/>
  <c r="AW6" i="24"/>
  <c r="AV10" i="22"/>
  <c r="AV10" i="23"/>
  <c r="AU40" i="22"/>
  <c r="AZ4" i="25"/>
  <c r="AY3" i="25"/>
  <c r="AW40" i="25"/>
  <c r="AY4" i="23"/>
  <c r="AX3" i="23"/>
  <c r="AZ4" i="22"/>
  <c r="AY3" i="22"/>
  <c r="BA4" i="21"/>
  <c r="AZ3" i="21"/>
  <c r="AZ10" i="17" l="1"/>
  <c r="AZ6" i="17"/>
  <c r="AZ9" i="17"/>
  <c r="AZ7" i="17"/>
  <c r="AW40" i="24"/>
  <c r="AV40" i="22"/>
  <c r="AX10" i="24"/>
  <c r="AX6" i="24"/>
  <c r="AX8" i="24"/>
  <c r="AX9" i="24"/>
  <c r="AX7" i="24"/>
  <c r="AY40" i="17"/>
  <c r="AW41" i="23" s="1"/>
  <c r="AW6" i="23"/>
  <c r="AW6" i="22"/>
  <c r="AV42" i="23"/>
  <c r="AV40" i="23" s="1"/>
  <c r="BA7" i="21"/>
  <c r="BA9" i="21"/>
  <c r="BA8" i="21"/>
  <c r="BA10" i="21"/>
  <c r="BA6" i="21"/>
  <c r="AY7" i="25"/>
  <c r="AY9" i="25"/>
  <c r="AY10" i="25"/>
  <c r="AY8" i="25"/>
  <c r="AY6" i="25"/>
  <c r="AW8" i="22"/>
  <c r="AW8" i="23"/>
  <c r="AZ40" i="21"/>
  <c r="AY3" i="24"/>
  <c r="AZ4" i="24"/>
  <c r="AW10" i="23"/>
  <c r="AW10" i="22"/>
  <c r="BB4" i="17"/>
  <c r="BA3" i="17"/>
  <c r="BA10" i="17" s="1"/>
  <c r="AW9" i="23"/>
  <c r="AW9" i="22"/>
  <c r="AW7" i="22"/>
  <c r="AW7" i="23"/>
  <c r="AX40" i="25"/>
  <c r="BA4" i="25"/>
  <c r="AZ3" i="25"/>
  <c r="AY3" i="23"/>
  <c r="AZ4" i="23"/>
  <c r="BA4" i="22"/>
  <c r="AZ3" i="22"/>
  <c r="BB4" i="21"/>
  <c r="BA3" i="21"/>
  <c r="BA6" i="17" l="1"/>
  <c r="BA9" i="17"/>
  <c r="BA8" i="17"/>
  <c r="BA7" i="17"/>
  <c r="AZ40" i="17"/>
  <c r="AX41" i="23" s="1"/>
  <c r="AX6" i="23"/>
  <c r="AX6" i="22"/>
  <c r="AW42" i="23"/>
  <c r="AW40" i="23" s="1"/>
  <c r="AX9" i="23"/>
  <c r="AX9" i="22"/>
  <c r="AX7" i="23"/>
  <c r="AX7" i="22"/>
  <c r="AX40" i="24"/>
  <c r="BB6" i="21"/>
  <c r="BB7" i="21"/>
  <c r="BB9" i="21"/>
  <c r="BB8" i="21"/>
  <c r="BB10" i="21"/>
  <c r="BA4" i="24"/>
  <c r="AZ3" i="24"/>
  <c r="AY10" i="24"/>
  <c r="AY6" i="24"/>
  <c r="AY7" i="24"/>
  <c r="AY9" i="24"/>
  <c r="AY8" i="24"/>
  <c r="AX8" i="23"/>
  <c r="AX8" i="22"/>
  <c r="BA40" i="21"/>
  <c r="AZ6" i="25"/>
  <c r="AZ9" i="25"/>
  <c r="AZ10" i="25"/>
  <c r="AZ7" i="25"/>
  <c r="AZ8" i="25"/>
  <c r="BC4" i="17"/>
  <c r="BB3" i="17"/>
  <c r="BB10" i="17" s="1"/>
  <c r="AX10" i="23"/>
  <c r="AX10" i="22"/>
  <c r="AW40" i="22"/>
  <c r="BB4" i="25"/>
  <c r="BA3" i="25"/>
  <c r="AY40" i="25"/>
  <c r="BA4" i="23"/>
  <c r="AZ3" i="23"/>
  <c r="BB4" i="22"/>
  <c r="BA3" i="22"/>
  <c r="BC4" i="21"/>
  <c r="BB3" i="21"/>
  <c r="BB6" i="17" l="1"/>
  <c r="BB8" i="17"/>
  <c r="BB9" i="17"/>
  <c r="BB7" i="17"/>
  <c r="BA40" i="17"/>
  <c r="AY41" i="23" s="1"/>
  <c r="AY6" i="23"/>
  <c r="AY6" i="22"/>
  <c r="BB40" i="21"/>
  <c r="BA9" i="25"/>
  <c r="BA6" i="25"/>
  <c r="BA7" i="25"/>
  <c r="BA10" i="25"/>
  <c r="BA8" i="25"/>
  <c r="AX40" i="22"/>
  <c r="AY9" i="23"/>
  <c r="AY9" i="22"/>
  <c r="AY7" i="22"/>
  <c r="AY7" i="23"/>
  <c r="AZ6" i="24"/>
  <c r="AZ10" i="24"/>
  <c r="AZ9" i="24"/>
  <c r="AZ8" i="24"/>
  <c r="AZ7" i="24"/>
  <c r="AX42" i="23"/>
  <c r="AX40" i="23" s="1"/>
  <c r="BD4" i="17"/>
  <c r="BC3" i="17"/>
  <c r="BC9" i="17" s="1"/>
  <c r="BC8" i="21"/>
  <c r="BC9" i="21"/>
  <c r="BC10" i="21"/>
  <c r="BC6" i="21"/>
  <c r="BC7" i="21"/>
  <c r="AY8" i="23"/>
  <c r="AY8" i="22"/>
  <c r="AY10" i="23"/>
  <c r="AY10" i="22"/>
  <c r="AY40" i="24"/>
  <c r="BA3" i="24"/>
  <c r="BB4" i="24"/>
  <c r="AZ40" i="25"/>
  <c r="BC4" i="25"/>
  <c r="BB3" i="25"/>
  <c r="BB4" i="23"/>
  <c r="BA3" i="23"/>
  <c r="BC4" i="22"/>
  <c r="BB3" i="22"/>
  <c r="BD4" i="21"/>
  <c r="BC3" i="21"/>
  <c r="BC6" i="17" l="1"/>
  <c r="BC8" i="17"/>
  <c r="BC10" i="17"/>
  <c r="BC7" i="17"/>
  <c r="AZ10" i="23"/>
  <c r="AZ10" i="22"/>
  <c r="BC4" i="24"/>
  <c r="BB3" i="24"/>
  <c r="AY40" i="22"/>
  <c r="BD10" i="21"/>
  <c r="BD6" i="21"/>
  <c r="BD7" i="21"/>
  <c r="BD8" i="21"/>
  <c r="BD9" i="21"/>
  <c r="BA8" i="24"/>
  <c r="BA6" i="24"/>
  <c r="BA9" i="24"/>
  <c r="BA7" i="24"/>
  <c r="BA10" i="24"/>
  <c r="AZ6" i="22"/>
  <c r="AZ6" i="23"/>
  <c r="BB40" i="17"/>
  <c r="AZ41" i="23" s="1"/>
  <c r="AZ7" i="23"/>
  <c r="AZ7" i="22"/>
  <c r="BC40" i="21"/>
  <c r="AY42" i="23"/>
  <c r="AY40" i="23" s="1"/>
  <c r="BE4" i="17"/>
  <c r="BD3" i="17"/>
  <c r="BD8" i="17" s="1"/>
  <c r="BB9" i="25"/>
  <c r="BB10" i="25"/>
  <c r="BB8" i="25"/>
  <c r="BB7" i="25"/>
  <c r="BB6" i="25"/>
  <c r="AZ8" i="23"/>
  <c r="AZ8" i="22"/>
  <c r="AZ9" i="23"/>
  <c r="AZ9" i="22"/>
  <c r="AZ40" i="24"/>
  <c r="BA40" i="25"/>
  <c r="BD4" i="25"/>
  <c r="BC3" i="25"/>
  <c r="BC4" i="23"/>
  <c r="BB3" i="23"/>
  <c r="BD4" i="22"/>
  <c r="BC3" i="22"/>
  <c r="BE4" i="21"/>
  <c r="BD3" i="21"/>
  <c r="BD9" i="17" l="1"/>
  <c r="BD6" i="17"/>
  <c r="BD10" i="17"/>
  <c r="BD7" i="17"/>
  <c r="BD40" i="21"/>
  <c r="BC6" i="25"/>
  <c r="BC9" i="25"/>
  <c r="BC7" i="25"/>
  <c r="BC10" i="25"/>
  <c r="BC8" i="25"/>
  <c r="BA7" i="23"/>
  <c r="BA7" i="22"/>
  <c r="BC3" i="24"/>
  <c r="BD4" i="24"/>
  <c r="BE7" i="21"/>
  <c r="BE9" i="21"/>
  <c r="BE8" i="21"/>
  <c r="BE10" i="21"/>
  <c r="BE6" i="21"/>
  <c r="BA6" i="22"/>
  <c r="BC40" i="17"/>
  <c r="BA41" i="23" s="1"/>
  <c r="BA6" i="23"/>
  <c r="BF4" i="17"/>
  <c r="BE3" i="17"/>
  <c r="BE7" i="17" s="1"/>
  <c r="AZ42" i="23"/>
  <c r="AZ40" i="23" s="1"/>
  <c r="BA9" i="23"/>
  <c r="BA9" i="22"/>
  <c r="BB7" i="24"/>
  <c r="BB8" i="24"/>
  <c r="BB10" i="24"/>
  <c r="BB9" i="24"/>
  <c r="BB6" i="24"/>
  <c r="BA10" i="23"/>
  <c r="BA10" i="22"/>
  <c r="BA8" i="23"/>
  <c r="BA8" i="22"/>
  <c r="AZ40" i="22"/>
  <c r="BA40" i="24"/>
  <c r="BE4" i="25"/>
  <c r="BD3" i="25"/>
  <c r="BB40" i="25"/>
  <c r="BD4" i="23"/>
  <c r="BC3" i="23"/>
  <c r="BE4" i="22"/>
  <c r="BD3" i="22"/>
  <c r="BF4" i="21"/>
  <c r="BE3" i="21"/>
  <c r="BE6" i="17" l="1"/>
  <c r="BE10" i="17"/>
  <c r="BE8" i="17"/>
  <c r="BE9" i="17"/>
  <c r="BB40" i="24"/>
  <c r="BB6" i="22"/>
  <c r="BB6" i="23"/>
  <c r="BD40" i="17"/>
  <c r="BB41" i="23" s="1"/>
  <c r="BB8" i="23"/>
  <c r="BB8" i="22"/>
  <c r="BD9" i="25"/>
  <c r="BD8" i="25"/>
  <c r="BD10" i="25"/>
  <c r="BD7" i="25"/>
  <c r="BD6" i="25"/>
  <c r="BG4" i="17"/>
  <c r="BF3" i="17"/>
  <c r="BF10" i="17" s="1"/>
  <c r="BE40" i="21"/>
  <c r="BB9" i="22"/>
  <c r="BB9" i="23"/>
  <c r="BB7" i="22"/>
  <c r="BB7" i="23"/>
  <c r="BC7" i="24"/>
  <c r="BC9" i="24"/>
  <c r="BC10" i="24"/>
  <c r="BC8" i="24"/>
  <c r="BC6" i="24"/>
  <c r="BA40" i="22"/>
  <c r="BF6" i="21"/>
  <c r="BF7" i="21"/>
  <c r="BF8" i="21"/>
  <c r="BF9" i="21"/>
  <c r="BF10" i="21"/>
  <c r="BA42" i="23"/>
  <c r="BA40" i="23" s="1"/>
  <c r="BD3" i="24"/>
  <c r="BE4" i="24"/>
  <c r="BB10" i="23"/>
  <c r="BB10" i="22"/>
  <c r="BC40" i="25"/>
  <c r="BF4" i="25"/>
  <c r="BE3" i="25"/>
  <c r="BE4" i="23"/>
  <c r="BD3" i="23"/>
  <c r="BF4" i="22"/>
  <c r="BE3" i="22"/>
  <c r="BG4" i="21"/>
  <c r="BF3" i="21"/>
  <c r="BF6" i="17" l="1"/>
  <c r="BF7" i="17"/>
  <c r="BF9" i="17"/>
  <c r="BF8" i="17"/>
  <c r="BC7" i="22"/>
  <c r="BC7" i="23"/>
  <c r="BC40" i="24"/>
  <c r="BC6" i="22"/>
  <c r="BC6" i="23"/>
  <c r="BE40" i="17"/>
  <c r="BC41" i="23" s="1"/>
  <c r="BH4" i="17"/>
  <c r="BG3" i="17"/>
  <c r="BG8" i="17" s="1"/>
  <c r="BC10" i="22"/>
  <c r="BC10" i="23"/>
  <c r="BB42" i="23"/>
  <c r="BB40" i="23" s="1"/>
  <c r="BD7" i="24"/>
  <c r="BD9" i="24"/>
  <c r="BD6" i="24"/>
  <c r="BD10" i="24"/>
  <c r="BD8" i="24"/>
  <c r="BC9" i="23"/>
  <c r="BC9" i="22"/>
  <c r="BE6" i="25"/>
  <c r="BE8" i="25"/>
  <c r="BE9" i="25"/>
  <c r="BE10" i="25"/>
  <c r="BE7" i="25"/>
  <c r="BG10" i="21"/>
  <c r="BG7" i="21"/>
  <c r="BG8" i="21"/>
  <c r="BG9" i="21"/>
  <c r="BG6" i="21"/>
  <c r="BF4" i="24"/>
  <c r="BE3" i="24"/>
  <c r="BF40" i="21"/>
  <c r="BC8" i="23"/>
  <c r="BC8" i="22"/>
  <c r="BB40" i="22"/>
  <c r="BG4" i="25"/>
  <c r="BF3" i="25"/>
  <c r="BD40" i="25"/>
  <c r="BF4" i="23"/>
  <c r="BE3" i="23"/>
  <c r="BG4" i="22"/>
  <c r="BF3" i="22"/>
  <c r="BH4" i="21"/>
  <c r="BG3" i="21"/>
  <c r="BG9" i="17" l="1"/>
  <c r="BG6" i="17"/>
  <c r="BG7" i="17"/>
  <c r="BG10" i="17"/>
  <c r="BC40" i="22"/>
  <c r="BH10" i="21"/>
  <c r="BH6" i="21"/>
  <c r="BH7" i="21"/>
  <c r="BH8" i="21"/>
  <c r="BH9" i="21"/>
  <c r="BD7" i="22"/>
  <c r="BD7" i="23"/>
  <c r="BD9" i="23"/>
  <c r="BD9" i="22"/>
  <c r="BD40" i="24"/>
  <c r="BG40" i="21"/>
  <c r="BD8" i="23"/>
  <c r="BD8" i="22"/>
  <c r="BF9" i="25"/>
  <c r="BF7" i="25"/>
  <c r="BF6" i="25"/>
  <c r="BF10" i="25"/>
  <c r="BF8" i="25"/>
  <c r="BE6" i="24"/>
  <c r="BE8" i="24"/>
  <c r="BE9" i="24"/>
  <c r="BE10" i="24"/>
  <c r="BE7" i="24"/>
  <c r="BI4" i="17"/>
  <c r="BH3" i="17"/>
  <c r="BH7" i="17" s="1"/>
  <c r="BG4" i="24"/>
  <c r="BF3" i="24"/>
  <c r="BD6" i="23"/>
  <c r="BD6" i="22"/>
  <c r="BF40" i="17"/>
  <c r="BD41" i="23" s="1"/>
  <c r="BD10" i="23"/>
  <c r="BD10" i="22"/>
  <c r="BC42" i="23"/>
  <c r="BC40" i="23" s="1"/>
  <c r="BE40" i="25"/>
  <c r="BH4" i="25"/>
  <c r="BG3" i="25"/>
  <c r="BG4" i="23"/>
  <c r="BF3" i="23"/>
  <c r="BH4" i="22"/>
  <c r="BG3" i="22"/>
  <c r="BI4" i="21"/>
  <c r="BH3" i="21"/>
  <c r="BH6" i="17" l="1"/>
  <c r="BH8" i="17"/>
  <c r="BH10" i="17"/>
  <c r="BH9" i="17"/>
  <c r="BG9" i="25"/>
  <c r="BG7" i="25"/>
  <c r="BG6" i="25"/>
  <c r="BG10" i="25"/>
  <c r="BG8" i="25"/>
  <c r="BE9" i="23"/>
  <c r="BE9" i="22"/>
  <c r="BE7" i="22"/>
  <c r="BE7" i="23"/>
  <c r="BI9" i="21"/>
  <c r="BI8" i="21"/>
  <c r="BI7" i="21"/>
  <c r="BI6" i="21"/>
  <c r="BI10" i="21"/>
  <c r="BE6" i="22"/>
  <c r="BG40" i="17"/>
  <c r="BE41" i="23" s="1"/>
  <c r="BE6" i="23"/>
  <c r="BD40" i="22"/>
  <c r="BH40" i="21"/>
  <c r="BE8" i="23"/>
  <c r="BE8" i="22"/>
  <c r="BF7" i="24"/>
  <c r="BF8" i="24"/>
  <c r="BF10" i="24"/>
  <c r="BF9" i="24"/>
  <c r="BF6" i="24"/>
  <c r="BE40" i="24"/>
  <c r="BH4" i="24"/>
  <c r="BG3" i="24"/>
  <c r="BE10" i="23"/>
  <c r="BE10" i="22"/>
  <c r="BD42" i="23"/>
  <c r="BD40" i="23" s="1"/>
  <c r="BJ4" i="17"/>
  <c r="BI3" i="17"/>
  <c r="BI9" i="17" s="1"/>
  <c r="BI4" i="25"/>
  <c r="BH3" i="25"/>
  <c r="BF40" i="25"/>
  <c r="BH4" i="23"/>
  <c r="BG3" i="23"/>
  <c r="BH3" i="22"/>
  <c r="BI4" i="22"/>
  <c r="BJ4" i="21"/>
  <c r="BI3" i="21"/>
  <c r="BI6" i="17" l="1"/>
  <c r="BI8" i="17"/>
  <c r="BI7" i="17"/>
  <c r="BI10" i="17"/>
  <c r="BF9" i="23"/>
  <c r="BF9" i="22"/>
  <c r="BE40" i="22"/>
  <c r="BK4" i="17"/>
  <c r="BJ3" i="17"/>
  <c r="BJ8" i="17" s="1"/>
  <c r="BG10" i="24"/>
  <c r="BG9" i="24"/>
  <c r="BG8" i="24"/>
  <c r="BG6" i="24"/>
  <c r="BG7" i="24"/>
  <c r="BF6" i="23"/>
  <c r="BH40" i="17"/>
  <c r="BF41" i="23" s="1"/>
  <c r="BF6" i="22"/>
  <c r="BE42" i="23"/>
  <c r="BE40" i="23" s="1"/>
  <c r="BI40" i="21"/>
  <c r="BF7" i="22"/>
  <c r="BF7" i="23"/>
  <c r="BJ10" i="21"/>
  <c r="BJ8" i="21"/>
  <c r="BJ6" i="21"/>
  <c r="BJ7" i="21"/>
  <c r="BJ9" i="21"/>
  <c r="BH6" i="25"/>
  <c r="BH9" i="25"/>
  <c r="BH10" i="25"/>
  <c r="BH7" i="25"/>
  <c r="BH8" i="25"/>
  <c r="BF10" i="23"/>
  <c r="BF10" i="22"/>
  <c r="BI4" i="24"/>
  <c r="BH3" i="24"/>
  <c r="BF40" i="24"/>
  <c r="BF8" i="23"/>
  <c r="BF8" i="22"/>
  <c r="BG40" i="25"/>
  <c r="BJ4" i="25"/>
  <c r="BI3" i="25"/>
  <c r="BI4" i="23"/>
  <c r="BH3" i="23"/>
  <c r="BJ4" i="22"/>
  <c r="BI3" i="22"/>
  <c r="BK4" i="21"/>
  <c r="BJ3" i="21"/>
  <c r="BJ9" i="17" l="1"/>
  <c r="BJ6" i="17"/>
  <c r="BJ10" i="17"/>
  <c r="BJ7" i="17"/>
  <c r="BK6" i="17"/>
  <c r="BG10" i="22"/>
  <c r="BG10" i="23"/>
  <c r="BI9" i="25"/>
  <c r="BI10" i="25"/>
  <c r="BI6" i="25"/>
  <c r="BI7" i="25"/>
  <c r="BI8" i="25"/>
  <c r="BF40" i="22"/>
  <c r="BG6" i="22"/>
  <c r="BG6" i="23"/>
  <c r="BI40" i="17"/>
  <c r="BG41" i="23" s="1"/>
  <c r="BK10" i="21"/>
  <c r="BK6" i="21"/>
  <c r="BK7" i="21"/>
  <c r="BK8" i="21"/>
  <c r="BK9" i="21"/>
  <c r="BL4" i="17"/>
  <c r="BK3" i="17"/>
  <c r="BK9" i="17" s="1"/>
  <c r="BG8" i="23"/>
  <c r="BG8" i="22"/>
  <c r="BH7" i="24"/>
  <c r="BH6" i="24"/>
  <c r="BH10" i="24"/>
  <c r="BH8" i="24"/>
  <c r="BH9" i="24"/>
  <c r="BJ40" i="21"/>
  <c r="BG9" i="22"/>
  <c r="BG9" i="23"/>
  <c r="BI3" i="24"/>
  <c r="BJ4" i="24"/>
  <c r="BG40" i="24"/>
  <c r="BF42" i="23"/>
  <c r="BF40" i="23" s="1"/>
  <c r="BG7" i="23"/>
  <c r="BG7" i="22"/>
  <c r="BK4" i="25"/>
  <c r="BJ3" i="25"/>
  <c r="BH40" i="25"/>
  <c r="BJ4" i="23"/>
  <c r="BI3" i="23"/>
  <c r="BK4" i="22"/>
  <c r="BJ3" i="22"/>
  <c r="BL4" i="21"/>
  <c r="BK3" i="21"/>
  <c r="BK7" i="17" l="1"/>
  <c r="BK10" i="17"/>
  <c r="BK8" i="17"/>
  <c r="BH8" i="23"/>
  <c r="BH8" i="22"/>
  <c r="BH10" i="22"/>
  <c r="BH10" i="23"/>
  <c r="BL10" i="21"/>
  <c r="BL6" i="21"/>
  <c r="BL7" i="21"/>
  <c r="BL8" i="21"/>
  <c r="BL9" i="21"/>
  <c r="BJ9" i="25"/>
  <c r="BJ7" i="25"/>
  <c r="BJ6" i="25"/>
  <c r="BJ10" i="25"/>
  <c r="BJ8" i="25"/>
  <c r="BJ3" i="24"/>
  <c r="BK4" i="24"/>
  <c r="BK40" i="21"/>
  <c r="BG40" i="22"/>
  <c r="BH7" i="23"/>
  <c r="BH7" i="22"/>
  <c r="BM4" i="17"/>
  <c r="BL3" i="17"/>
  <c r="BL7" i="17" s="1"/>
  <c r="BG42" i="23"/>
  <c r="BG40" i="23" s="1"/>
  <c r="BI6" i="24"/>
  <c r="BI10" i="24"/>
  <c r="BI9" i="24"/>
  <c r="BI7" i="24"/>
  <c r="BI8" i="24"/>
  <c r="BH40" i="24"/>
  <c r="BH9" i="23"/>
  <c r="BH9" i="22"/>
  <c r="BH6" i="23"/>
  <c r="BJ40" i="17"/>
  <c r="BH41" i="23" s="1"/>
  <c r="BH6" i="22"/>
  <c r="BI40" i="25"/>
  <c r="BL4" i="25"/>
  <c r="BK3" i="25"/>
  <c r="BK4" i="23"/>
  <c r="BJ3" i="23"/>
  <c r="BL4" i="22"/>
  <c r="BK3" i="22"/>
  <c r="BM4" i="21"/>
  <c r="BL3" i="21"/>
  <c r="BL9" i="17" l="1"/>
  <c r="BL6" i="17"/>
  <c r="BL10" i="17"/>
  <c r="BL8" i="17"/>
  <c r="BH40" i="22"/>
  <c r="BK6" i="25"/>
  <c r="BK9" i="25"/>
  <c r="BK7" i="25"/>
  <c r="BK10" i="25"/>
  <c r="BK8" i="25"/>
  <c r="BI6" i="23"/>
  <c r="BI6" i="22"/>
  <c r="BK40" i="17"/>
  <c r="BI41" i="23" s="1"/>
  <c r="BM9" i="21"/>
  <c r="BM8" i="21"/>
  <c r="BM7" i="21"/>
  <c r="BM10" i="21"/>
  <c r="BM6" i="21"/>
  <c r="BH42" i="23"/>
  <c r="BH40" i="23" s="1"/>
  <c r="BI8" i="23"/>
  <c r="BI8" i="22"/>
  <c r="BK3" i="24"/>
  <c r="BL4" i="24"/>
  <c r="BI10" i="23"/>
  <c r="BI10" i="22"/>
  <c r="BN4" i="17"/>
  <c r="BM3" i="17"/>
  <c r="BM8" i="17" s="1"/>
  <c r="BL40" i="21"/>
  <c r="BI40" i="24"/>
  <c r="BI9" i="23"/>
  <c r="BI9" i="22"/>
  <c r="BI7" i="23"/>
  <c r="BI7" i="22"/>
  <c r="BJ9" i="24"/>
  <c r="BJ6" i="24"/>
  <c r="BJ8" i="24"/>
  <c r="BJ7" i="24"/>
  <c r="BJ10" i="24"/>
  <c r="BM4" i="25"/>
  <c r="BL3" i="25"/>
  <c r="BJ40" i="25"/>
  <c r="BL4" i="23"/>
  <c r="BK3" i="23"/>
  <c r="BL3" i="22"/>
  <c r="BM4" i="22"/>
  <c r="BN4" i="21"/>
  <c r="BM3" i="21"/>
  <c r="BM6" i="17" l="1"/>
  <c r="BM10" i="17"/>
  <c r="BM9" i="17"/>
  <c r="BM7" i="17"/>
  <c r="BJ40" i="24"/>
  <c r="BJ6" i="23"/>
  <c r="BJ6" i="22"/>
  <c r="BL40" i="17"/>
  <c r="BJ41" i="23" s="1"/>
  <c r="BJ9" i="22"/>
  <c r="BJ9" i="23"/>
  <c r="BJ7" i="22"/>
  <c r="BJ7" i="23"/>
  <c r="BK6" i="24"/>
  <c r="BK7" i="24"/>
  <c r="BK10" i="24"/>
  <c r="BK9" i="24"/>
  <c r="BK8" i="24"/>
  <c r="BM40" i="21"/>
  <c r="BI42" i="23"/>
  <c r="BI40" i="23" s="1"/>
  <c r="BJ8" i="23"/>
  <c r="BJ8" i="22"/>
  <c r="BO4" i="17"/>
  <c r="BN3" i="17"/>
  <c r="BN7" i="17" s="1"/>
  <c r="BL3" i="24"/>
  <c r="BM4" i="24"/>
  <c r="BI40" i="22"/>
  <c r="BN7" i="21"/>
  <c r="BN8" i="21"/>
  <c r="BN6" i="21"/>
  <c r="BN10" i="21"/>
  <c r="BN9" i="21"/>
  <c r="BL9" i="25"/>
  <c r="BL7" i="25"/>
  <c r="BL10" i="25"/>
  <c r="BL8" i="25"/>
  <c r="BL6" i="25"/>
  <c r="BJ10" i="23"/>
  <c r="BJ10" i="22"/>
  <c r="BK40" i="25"/>
  <c r="BN4" i="25"/>
  <c r="BM3" i="25"/>
  <c r="BM4" i="23"/>
  <c r="BL3" i="23"/>
  <c r="BN4" i="22"/>
  <c r="BM3" i="22"/>
  <c r="BO4" i="21"/>
  <c r="BN3" i="21"/>
  <c r="BN6" i="17" l="1"/>
  <c r="BN9" i="17"/>
  <c r="BN10" i="17"/>
  <c r="BN8" i="17"/>
  <c r="BM3" i="24"/>
  <c r="BN4" i="24"/>
  <c r="BK10" i="23"/>
  <c r="BK10" i="22"/>
  <c r="BM40" i="17"/>
  <c r="BK41" i="23" s="1"/>
  <c r="BK6" i="23"/>
  <c r="BK6" i="22"/>
  <c r="BK8" i="22"/>
  <c r="BK8" i="23"/>
  <c r="BJ40" i="22"/>
  <c r="BK40" i="24"/>
  <c r="BL8" i="24"/>
  <c r="BL10" i="24"/>
  <c r="BL9" i="24"/>
  <c r="BL6" i="24"/>
  <c r="BL7" i="24"/>
  <c r="BM6" i="25"/>
  <c r="BM10" i="25"/>
  <c r="BM9" i="25"/>
  <c r="BM7" i="25"/>
  <c r="BM8" i="25"/>
  <c r="BO10" i="21"/>
  <c r="BO9" i="21"/>
  <c r="BO6" i="21"/>
  <c r="BO7" i="21"/>
  <c r="BO8" i="21"/>
  <c r="BN40" i="21"/>
  <c r="BP4" i="17"/>
  <c r="BO3" i="17"/>
  <c r="BO6" i="17" s="1"/>
  <c r="BK9" i="22"/>
  <c r="BK9" i="23"/>
  <c r="BK7" i="23"/>
  <c r="BK7" i="22"/>
  <c r="BJ42" i="23"/>
  <c r="BJ40" i="23" s="1"/>
  <c r="BO4" i="25"/>
  <c r="BN3" i="25"/>
  <c r="BL40" i="25"/>
  <c r="BN4" i="23"/>
  <c r="BM3" i="23"/>
  <c r="BO4" i="22"/>
  <c r="BN3" i="22"/>
  <c r="BP4" i="21"/>
  <c r="BO3" i="21"/>
  <c r="BO10" i="17" l="1"/>
  <c r="BO9" i="17"/>
  <c r="BO7" i="17"/>
  <c r="BO8" i="17"/>
  <c r="BL10" i="22"/>
  <c r="BL10" i="23"/>
  <c r="BN9" i="25"/>
  <c r="BN7" i="25"/>
  <c r="BN6" i="25"/>
  <c r="BN8" i="25"/>
  <c r="BN10" i="25"/>
  <c r="BL7" i="23"/>
  <c r="BL7" i="22"/>
  <c r="BK42" i="23"/>
  <c r="BK40" i="23" s="1"/>
  <c r="BO40" i="21"/>
  <c r="BL9" i="23"/>
  <c r="BL9" i="22"/>
  <c r="BO4" i="24"/>
  <c r="BN3" i="24"/>
  <c r="BK40" i="22"/>
  <c r="BP10" i="21"/>
  <c r="BP7" i="21"/>
  <c r="BP8" i="21"/>
  <c r="BP9" i="21"/>
  <c r="BP6" i="21"/>
  <c r="BQ4" i="17"/>
  <c r="BP3" i="17"/>
  <c r="BP7" i="17" s="1"/>
  <c r="BL8" i="23"/>
  <c r="BL8" i="22"/>
  <c r="BL40" i="24"/>
  <c r="BL6" i="23"/>
  <c r="BN40" i="17"/>
  <c r="BL41" i="23" s="1"/>
  <c r="BL6" i="22"/>
  <c r="BM10" i="24"/>
  <c r="BM6" i="24"/>
  <c r="BM9" i="24"/>
  <c r="BM8" i="24"/>
  <c r="BM7" i="24"/>
  <c r="BP4" i="25"/>
  <c r="BO3" i="25"/>
  <c r="BM40" i="25"/>
  <c r="BO4" i="23"/>
  <c r="BN3" i="23"/>
  <c r="BP4" i="22"/>
  <c r="BO3" i="22"/>
  <c r="BP3" i="21"/>
  <c r="BQ4" i="21"/>
  <c r="BP8" i="17" l="1"/>
  <c r="BP9" i="17"/>
  <c r="BP6" i="17"/>
  <c r="BP10" i="17"/>
  <c r="BL40" i="22"/>
  <c r="BN6" i="24"/>
  <c r="BN8" i="24"/>
  <c r="BN9" i="24"/>
  <c r="BN10" i="24"/>
  <c r="BN7" i="24"/>
  <c r="BM8" i="22"/>
  <c r="BM8" i="23"/>
  <c r="BO7" i="25"/>
  <c r="BO9" i="25"/>
  <c r="BO10" i="25"/>
  <c r="BO6" i="25"/>
  <c r="BO8" i="25"/>
  <c r="BP40" i="21"/>
  <c r="BP4" i="24"/>
  <c r="BO3" i="24"/>
  <c r="BM10" i="23"/>
  <c r="BM10" i="22"/>
  <c r="BM6" i="23"/>
  <c r="BO40" i="17"/>
  <c r="BM41" i="23" s="1"/>
  <c r="BM6" i="22"/>
  <c r="BQ8" i="21"/>
  <c r="BQ7" i="21"/>
  <c r="BQ9" i="21"/>
  <c r="BQ6" i="21"/>
  <c r="BQ10" i="21"/>
  <c r="BR4" i="17"/>
  <c r="BQ3" i="17"/>
  <c r="BQ9" i="17" s="1"/>
  <c r="BM40" i="24"/>
  <c r="BL42" i="23"/>
  <c r="BL40" i="23" s="1"/>
  <c r="BM9" i="22"/>
  <c r="BM9" i="23"/>
  <c r="BM7" i="23"/>
  <c r="BM7" i="22"/>
  <c r="BN40" i="25"/>
  <c r="BQ4" i="25"/>
  <c r="BP3" i="25"/>
  <c r="BO3" i="23"/>
  <c r="BP4" i="23"/>
  <c r="BQ4" i="22"/>
  <c r="BP3" i="22"/>
  <c r="BQ3" i="21"/>
  <c r="BR4" i="21"/>
  <c r="BQ6" i="17" l="1"/>
  <c r="BQ7" i="17"/>
  <c r="BQ8" i="17"/>
  <c r="BQ10" i="17"/>
  <c r="BM40" i="22"/>
  <c r="BR6" i="21"/>
  <c r="BR7" i="21"/>
  <c r="BR9" i="21"/>
  <c r="BR8" i="21"/>
  <c r="BR10" i="21"/>
  <c r="BN9" i="22"/>
  <c r="BN9" i="23"/>
  <c r="BQ4" i="24"/>
  <c r="BP3" i="24"/>
  <c r="BN40" i="24"/>
  <c r="BN10" i="23"/>
  <c r="BN10" i="22"/>
  <c r="BP8" i="25"/>
  <c r="BP6" i="25"/>
  <c r="BP9" i="25"/>
  <c r="BP10" i="25"/>
  <c r="BP7" i="25"/>
  <c r="BN7" i="22"/>
  <c r="BN7" i="23"/>
  <c r="BQ40" i="21"/>
  <c r="BN6" i="23"/>
  <c r="BP40" i="17"/>
  <c r="BN41" i="23" s="1"/>
  <c r="BN6" i="22"/>
  <c r="BS4" i="17"/>
  <c r="BR3" i="17"/>
  <c r="BR7" i="17" s="1"/>
  <c r="BM42" i="23"/>
  <c r="BM40" i="23" s="1"/>
  <c r="BN8" i="23"/>
  <c r="BN8" i="22"/>
  <c r="BO7" i="24"/>
  <c r="BO9" i="24"/>
  <c r="BO6" i="24"/>
  <c r="BO8" i="24"/>
  <c r="BO10" i="24"/>
  <c r="BR4" i="25"/>
  <c r="BQ3" i="25"/>
  <c r="BO40" i="25"/>
  <c r="BQ4" i="23"/>
  <c r="BP3" i="23"/>
  <c r="BR4" i="22"/>
  <c r="BQ3" i="22"/>
  <c r="BR3" i="21"/>
  <c r="BS4" i="21"/>
  <c r="BR6" i="17" l="1"/>
  <c r="BR10" i="17"/>
  <c r="BR9" i="17"/>
  <c r="BR8" i="17"/>
  <c r="BN40" i="22"/>
  <c r="BO7" i="23"/>
  <c r="BO7" i="22"/>
  <c r="BS8" i="21"/>
  <c r="BS10" i="21"/>
  <c r="BS9" i="21"/>
  <c r="BS6" i="21"/>
  <c r="BS7" i="21"/>
  <c r="BO6" i="23"/>
  <c r="BO6" i="22"/>
  <c r="BQ40" i="17"/>
  <c r="BO41" i="23" s="1"/>
  <c r="BP9" i="24"/>
  <c r="BP8" i="24"/>
  <c r="BP10" i="24"/>
  <c r="BP7" i="24"/>
  <c r="BP6" i="24"/>
  <c r="BO9" i="23"/>
  <c r="BO9" i="22"/>
  <c r="BO10" i="23"/>
  <c r="BO10" i="22"/>
  <c r="BQ9" i="25"/>
  <c r="BQ7" i="25"/>
  <c r="BQ10" i="25"/>
  <c r="BQ8" i="25"/>
  <c r="BQ6" i="25"/>
  <c r="BO40" i="24"/>
  <c r="BT4" i="17"/>
  <c r="BS3" i="17"/>
  <c r="BS7" i="17" s="1"/>
  <c r="BO8" i="23"/>
  <c r="BO8" i="22"/>
  <c r="BN42" i="23"/>
  <c r="BN40" i="23" s="1"/>
  <c r="BQ3" i="24"/>
  <c r="BR4" i="24"/>
  <c r="BR40" i="21"/>
  <c r="BP40" i="25"/>
  <c r="BS4" i="25"/>
  <c r="BR3" i="25"/>
  <c r="BR4" i="23"/>
  <c r="BQ3" i="23"/>
  <c r="BS4" i="22"/>
  <c r="BR3" i="22"/>
  <c r="BT4" i="21"/>
  <c r="BS3" i="21"/>
  <c r="BS6" i="17" l="1"/>
  <c r="BS10" i="17"/>
  <c r="BS9" i="17"/>
  <c r="BS8" i="17"/>
  <c r="BO40" i="22"/>
  <c r="BS4" i="24"/>
  <c r="BR3" i="24"/>
  <c r="BP10" i="23"/>
  <c r="BP10" i="22"/>
  <c r="BQ8" i="24"/>
  <c r="BQ6" i="24"/>
  <c r="BQ9" i="24"/>
  <c r="BQ7" i="24"/>
  <c r="BQ10" i="24"/>
  <c r="BP8" i="22"/>
  <c r="BP8" i="23"/>
  <c r="BR9" i="25"/>
  <c r="BR10" i="25"/>
  <c r="BR8" i="25"/>
  <c r="BR7" i="25"/>
  <c r="BR6" i="25"/>
  <c r="BU4" i="17"/>
  <c r="BT3" i="17"/>
  <c r="BT8" i="17" s="1"/>
  <c r="BP40" i="24"/>
  <c r="BR40" i="17"/>
  <c r="BP41" i="23" s="1"/>
  <c r="BP6" i="22"/>
  <c r="BP6" i="23"/>
  <c r="BP7" i="22"/>
  <c r="BP7" i="23"/>
  <c r="BS40" i="21"/>
  <c r="BO42" i="23"/>
  <c r="BO40" i="23" s="1"/>
  <c r="BT10" i="21"/>
  <c r="BT6" i="21"/>
  <c r="BT7" i="21"/>
  <c r="BT8" i="21"/>
  <c r="BT9" i="21"/>
  <c r="BP9" i="23"/>
  <c r="BP9" i="22"/>
  <c r="BT4" i="25"/>
  <c r="BS3" i="25"/>
  <c r="BQ40" i="25"/>
  <c r="BS4" i="23"/>
  <c r="BR3" i="23"/>
  <c r="BT4" i="22"/>
  <c r="BS3" i="22"/>
  <c r="BU4" i="21"/>
  <c r="BT3" i="21"/>
  <c r="BT6" i="17" l="1"/>
  <c r="BT9" i="17"/>
  <c r="BT7" i="17"/>
  <c r="BT10" i="17"/>
  <c r="BT40" i="21"/>
  <c r="BQ8" i="23"/>
  <c r="BQ8" i="22"/>
  <c r="BP42" i="23"/>
  <c r="BP40" i="23" s="1"/>
  <c r="BQ7" i="22"/>
  <c r="BQ7" i="23"/>
  <c r="BP40" i="22"/>
  <c r="BV4" i="17"/>
  <c r="BU3" i="17"/>
  <c r="BU9" i="17" s="1"/>
  <c r="BQ6" i="22"/>
  <c r="BQ6" i="23"/>
  <c r="BS40" i="17"/>
  <c r="BQ41" i="23" s="1"/>
  <c r="BQ9" i="23"/>
  <c r="BQ9" i="22"/>
  <c r="BQ40" i="24"/>
  <c r="BR7" i="24"/>
  <c r="BR9" i="24"/>
  <c r="BR10" i="24"/>
  <c r="BR8" i="24"/>
  <c r="BR6" i="24"/>
  <c r="BU9" i="21"/>
  <c r="BU8" i="21"/>
  <c r="BU7" i="21"/>
  <c r="BU6" i="21"/>
  <c r="BU10" i="21"/>
  <c r="BS6" i="25"/>
  <c r="BS9" i="25"/>
  <c r="BS10" i="25"/>
  <c r="BS8" i="25"/>
  <c r="BS7" i="25"/>
  <c r="BQ10" i="23"/>
  <c r="BQ10" i="22"/>
  <c r="BS3" i="24"/>
  <c r="BT4" i="24"/>
  <c r="BU4" i="25"/>
  <c r="BT3" i="25"/>
  <c r="BR40" i="25"/>
  <c r="BT4" i="23"/>
  <c r="BS3" i="23"/>
  <c r="BU4" i="22"/>
  <c r="BT3" i="22"/>
  <c r="BU3" i="21"/>
  <c r="BV4" i="21"/>
  <c r="BU6" i="17" l="1"/>
  <c r="BU8" i="17"/>
  <c r="BU10" i="17"/>
  <c r="BU7" i="17"/>
  <c r="BQ42" i="23"/>
  <c r="BQ40" i="23" s="1"/>
  <c r="BR40" i="24"/>
  <c r="BR8" i="23"/>
  <c r="BR8" i="22"/>
  <c r="BR9" i="23"/>
  <c r="BR9" i="22"/>
  <c r="BQ40" i="22"/>
  <c r="BR10" i="23"/>
  <c r="BR10" i="22"/>
  <c r="BU4" i="24"/>
  <c r="BT3" i="24"/>
  <c r="BW4" i="17"/>
  <c r="BV3" i="17"/>
  <c r="BV10" i="17" s="1"/>
  <c r="BV6" i="21"/>
  <c r="BV7" i="21"/>
  <c r="BV8" i="21"/>
  <c r="BV9" i="21"/>
  <c r="BV10" i="21"/>
  <c r="BS10" i="24"/>
  <c r="BS7" i="24"/>
  <c r="BS6" i="24"/>
  <c r="BS8" i="24"/>
  <c r="BS9" i="24"/>
  <c r="BR7" i="23"/>
  <c r="BR7" i="22"/>
  <c r="BT9" i="25"/>
  <c r="BT7" i="25"/>
  <c r="BT10" i="25"/>
  <c r="BT6" i="25"/>
  <c r="BT8" i="25"/>
  <c r="BU40" i="21"/>
  <c r="BT40" i="17"/>
  <c r="BR41" i="23" s="1"/>
  <c r="BR6" i="22"/>
  <c r="BR6" i="23"/>
  <c r="BS40" i="25"/>
  <c r="BV4" i="25"/>
  <c r="BU3" i="25"/>
  <c r="BU4" i="23"/>
  <c r="BT3" i="23"/>
  <c r="BV4" i="22"/>
  <c r="BU3" i="22"/>
  <c r="BV3" i="21"/>
  <c r="BW4" i="21"/>
  <c r="BV9" i="17" l="1"/>
  <c r="BV6" i="17"/>
  <c r="BV7" i="17"/>
  <c r="BV8" i="17"/>
  <c r="BS8" i="23"/>
  <c r="BS8" i="22"/>
  <c r="BS9" i="22"/>
  <c r="BS9" i="23"/>
  <c r="BV40" i="21"/>
  <c r="BV4" i="24"/>
  <c r="BU3" i="24"/>
  <c r="BS10" i="22"/>
  <c r="BS10" i="23"/>
  <c r="BS40" i="24"/>
  <c r="BT6" i="24"/>
  <c r="BT10" i="24"/>
  <c r="BT9" i="24"/>
  <c r="BT7" i="24"/>
  <c r="BT8" i="24"/>
  <c r="BS7" i="23"/>
  <c r="BS7" i="22"/>
  <c r="BR42" i="23"/>
  <c r="BR40" i="23" s="1"/>
  <c r="BW10" i="21"/>
  <c r="BW7" i="21"/>
  <c r="BW8" i="21"/>
  <c r="BW9" i="21"/>
  <c r="BW6" i="21"/>
  <c r="BU6" i="25"/>
  <c r="BU9" i="25"/>
  <c r="BU8" i="25"/>
  <c r="BU10" i="25"/>
  <c r="BU7" i="25"/>
  <c r="BR40" i="22"/>
  <c r="BS6" i="22"/>
  <c r="BS6" i="23"/>
  <c r="BU40" i="17"/>
  <c r="BS41" i="23" s="1"/>
  <c r="BX4" i="17"/>
  <c r="BW3" i="17"/>
  <c r="BW7" i="17" s="1"/>
  <c r="BW4" i="25"/>
  <c r="BV3" i="25"/>
  <c r="BT40" i="25"/>
  <c r="BV4" i="23"/>
  <c r="BU3" i="23"/>
  <c r="BW4" i="22"/>
  <c r="BV3" i="22"/>
  <c r="BX4" i="21"/>
  <c r="BW3" i="21"/>
  <c r="BW10" i="17" l="1"/>
  <c r="BW6" i="17"/>
  <c r="BW8" i="17"/>
  <c r="BW9" i="17"/>
  <c r="BW40" i="21"/>
  <c r="BV3" i="24"/>
  <c r="BW4" i="24"/>
  <c r="BT40" i="24"/>
  <c r="BT9" i="23"/>
  <c r="BT9" i="22"/>
  <c r="BV40" i="17"/>
  <c r="BT41" i="23" s="1"/>
  <c r="BT6" i="23"/>
  <c r="BT6" i="22"/>
  <c r="BT8" i="23"/>
  <c r="BT8" i="22"/>
  <c r="BY4" i="17"/>
  <c r="BX3" i="17"/>
  <c r="BX7" i="17" s="1"/>
  <c r="BS40" i="22"/>
  <c r="BT7" i="23"/>
  <c r="BT7" i="22"/>
  <c r="BX10" i="21"/>
  <c r="BX6" i="21"/>
  <c r="BX7" i="21"/>
  <c r="BX8" i="21"/>
  <c r="BX9" i="21"/>
  <c r="BV9" i="25"/>
  <c r="BV7" i="25"/>
  <c r="BV6" i="25"/>
  <c r="BV10" i="25"/>
  <c r="BV8" i="25"/>
  <c r="BT10" i="23"/>
  <c r="BT10" i="22"/>
  <c r="BU6" i="24"/>
  <c r="BU10" i="24"/>
  <c r="BU9" i="24"/>
  <c r="BU8" i="24"/>
  <c r="BU7" i="24"/>
  <c r="BS42" i="23"/>
  <c r="BS40" i="23" s="1"/>
  <c r="BX4" i="25"/>
  <c r="BW3" i="25"/>
  <c r="BU40" i="25"/>
  <c r="BW4" i="23"/>
  <c r="BV3" i="23"/>
  <c r="BX4" i="22"/>
  <c r="BW3" i="22"/>
  <c r="BY4" i="21"/>
  <c r="BX3" i="21"/>
  <c r="BX9" i="17" l="1"/>
  <c r="BX6" i="17"/>
  <c r="BX10" i="17"/>
  <c r="BX8" i="17"/>
  <c r="BU40" i="24"/>
  <c r="BX40" i="21"/>
  <c r="BU10" i="22"/>
  <c r="BU10" i="23"/>
  <c r="BY9" i="21"/>
  <c r="BY8" i="21"/>
  <c r="BY7" i="21"/>
  <c r="BY10" i="21"/>
  <c r="BY6" i="21"/>
  <c r="BW9" i="25"/>
  <c r="BW6" i="25"/>
  <c r="BW7" i="25"/>
  <c r="BW10" i="25"/>
  <c r="BW8" i="25"/>
  <c r="BU6" i="23"/>
  <c r="BW40" i="17"/>
  <c r="BU41" i="23" s="1"/>
  <c r="BU6" i="22"/>
  <c r="BZ4" i="17"/>
  <c r="BY3" i="17"/>
  <c r="BY7" i="17" s="1"/>
  <c r="BT40" i="22"/>
  <c r="BW3" i="24"/>
  <c r="BX4" i="24"/>
  <c r="BU8" i="23"/>
  <c r="BU8" i="22"/>
  <c r="BT42" i="23"/>
  <c r="BT40" i="23" s="1"/>
  <c r="BV7" i="24"/>
  <c r="BV8" i="24"/>
  <c r="BV6" i="24"/>
  <c r="BV9" i="24"/>
  <c r="BV10" i="24"/>
  <c r="BU9" i="23"/>
  <c r="BU9" i="22"/>
  <c r="BU7" i="23"/>
  <c r="BU7" i="22"/>
  <c r="BV40" i="25"/>
  <c r="BY4" i="25"/>
  <c r="BX3" i="25"/>
  <c r="BX4" i="23"/>
  <c r="BW3" i="23"/>
  <c r="BX3" i="22"/>
  <c r="BY4" i="22"/>
  <c r="BZ4" i="21"/>
  <c r="BY3" i="21"/>
  <c r="BY6" i="17" l="1"/>
  <c r="BY10" i="17"/>
  <c r="BY8" i="17"/>
  <c r="BY9" i="17"/>
  <c r="BX3" i="24"/>
  <c r="BY4" i="24"/>
  <c r="CA4" i="17"/>
  <c r="BZ3" i="17"/>
  <c r="BZ7" i="17" s="1"/>
  <c r="BU42" i="23"/>
  <c r="BU40" i="23" s="1"/>
  <c r="BV8" i="23"/>
  <c r="BV8" i="22"/>
  <c r="BX6" i="25"/>
  <c r="BX9" i="25"/>
  <c r="BX7" i="25"/>
  <c r="BX8" i="25"/>
  <c r="BX10" i="25"/>
  <c r="BZ8" i="21"/>
  <c r="BZ6" i="21"/>
  <c r="BZ7" i="21"/>
  <c r="BZ10" i="21"/>
  <c r="BZ9" i="21"/>
  <c r="BV40" i="24"/>
  <c r="BW9" i="24"/>
  <c r="BW7" i="24"/>
  <c r="BW6" i="24"/>
  <c r="BW10" i="24"/>
  <c r="BW8" i="24"/>
  <c r="BV10" i="22"/>
  <c r="BV10" i="23"/>
  <c r="BV7" i="22"/>
  <c r="BV7" i="23"/>
  <c r="BY40" i="21"/>
  <c r="BV9" i="22"/>
  <c r="BV9" i="23"/>
  <c r="BU40" i="22"/>
  <c r="BV6" i="23"/>
  <c r="BV6" i="22"/>
  <c r="BX40" i="17"/>
  <c r="BV41" i="23" s="1"/>
  <c r="BZ4" i="25"/>
  <c r="BY3" i="25"/>
  <c r="BW40" i="25"/>
  <c r="BY4" i="23"/>
  <c r="BX3" i="23"/>
  <c r="BZ4" i="22"/>
  <c r="BY3" i="22"/>
  <c r="BZ3" i="21"/>
  <c r="CA4" i="21"/>
  <c r="BZ6" i="17" l="1"/>
  <c r="BZ8" i="17"/>
  <c r="BZ9" i="17"/>
  <c r="BZ10" i="17"/>
  <c r="BZ40" i="21"/>
  <c r="BW40" i="24"/>
  <c r="BZ4" i="24"/>
  <c r="BY3" i="24"/>
  <c r="BY40" i="17"/>
  <c r="BW41" i="23" s="1"/>
  <c r="BW6" i="23"/>
  <c r="BW6" i="22"/>
  <c r="CB4" i="17"/>
  <c r="CA3" i="17"/>
  <c r="CA8" i="17" s="1"/>
  <c r="BV40" i="22"/>
  <c r="BX8" i="24"/>
  <c r="BX7" i="24"/>
  <c r="BX6" i="24"/>
  <c r="BX9" i="24"/>
  <c r="BX10" i="24"/>
  <c r="BW8" i="23"/>
  <c r="BW8" i="22"/>
  <c r="BW9" i="22"/>
  <c r="BW9" i="23"/>
  <c r="CA10" i="21"/>
  <c r="CA6" i="21"/>
  <c r="CA7" i="21"/>
  <c r="CA8" i="21"/>
  <c r="CA9" i="21"/>
  <c r="BY9" i="25"/>
  <c r="BY10" i="25"/>
  <c r="BY8" i="25"/>
  <c r="BY7" i="25"/>
  <c r="BY6" i="25"/>
  <c r="BV42" i="23"/>
  <c r="BV40" i="23" s="1"/>
  <c r="BW10" i="23"/>
  <c r="BW10" i="22"/>
  <c r="BW7" i="23"/>
  <c r="BW7" i="22"/>
  <c r="BX40" i="25"/>
  <c r="CA4" i="25"/>
  <c r="BZ3" i="25"/>
  <c r="BZ4" i="23"/>
  <c r="BY3" i="23"/>
  <c r="CA4" i="22"/>
  <c r="BZ3" i="22"/>
  <c r="CB4" i="21"/>
  <c r="CA3" i="21"/>
  <c r="CA6" i="17" l="1"/>
  <c r="CA7" i="17"/>
  <c r="CA10" i="17"/>
  <c r="CA9" i="17"/>
  <c r="BZ40" i="17"/>
  <c r="BX41" i="23" s="1"/>
  <c r="BX6" i="22"/>
  <c r="BX6" i="23"/>
  <c r="BZ8" i="25"/>
  <c r="BZ9" i="25"/>
  <c r="BZ10" i="25"/>
  <c r="BZ7" i="25"/>
  <c r="BZ6" i="25"/>
  <c r="BX9" i="22"/>
  <c r="BX9" i="23"/>
  <c r="CC4" i="17"/>
  <c r="CB3" i="17"/>
  <c r="CB7" i="17" s="1"/>
  <c r="BY10" i="24"/>
  <c r="BY6" i="24"/>
  <c r="BY8" i="24"/>
  <c r="BY7" i="24"/>
  <c r="BY9" i="24"/>
  <c r="BX8" i="23"/>
  <c r="BX8" i="22"/>
  <c r="CB10" i="21"/>
  <c r="CB6" i="21"/>
  <c r="CB7" i="21"/>
  <c r="CB8" i="21"/>
  <c r="CB9" i="21"/>
  <c r="BX7" i="23"/>
  <c r="BX7" i="22"/>
  <c r="BW40" i="22"/>
  <c r="BZ3" i="24"/>
  <c r="CA4" i="24"/>
  <c r="BX10" i="23"/>
  <c r="BX10" i="22"/>
  <c r="CA40" i="21"/>
  <c r="BX40" i="24"/>
  <c r="BW42" i="23"/>
  <c r="BW40" i="23" s="1"/>
  <c r="BY40" i="25"/>
  <c r="CB4" i="25"/>
  <c r="CA3" i="25"/>
  <c r="CA4" i="23"/>
  <c r="BZ3" i="23"/>
  <c r="CB4" i="22"/>
  <c r="CA3" i="22"/>
  <c r="CC4" i="21"/>
  <c r="CB3" i="21"/>
  <c r="CB6" i="17" l="1"/>
  <c r="CB9" i="17"/>
  <c r="CB8" i="17"/>
  <c r="CB10" i="17"/>
  <c r="BY40" i="24"/>
  <c r="BY8" i="23"/>
  <c r="BY8" i="22"/>
  <c r="BY9" i="23"/>
  <c r="BY9" i="22"/>
  <c r="BY7" i="22"/>
  <c r="BY7" i="23"/>
  <c r="BX42" i="23"/>
  <c r="BX40" i="23" s="1"/>
  <c r="CA6" i="25"/>
  <c r="CA9" i="25"/>
  <c r="CA7" i="25"/>
  <c r="CA10" i="25"/>
  <c r="CA8" i="25"/>
  <c r="CC8" i="21"/>
  <c r="CC9" i="21"/>
  <c r="CC7" i="21"/>
  <c r="CC10" i="21"/>
  <c r="CC6" i="21"/>
  <c r="CA3" i="24"/>
  <c r="CB4" i="24"/>
  <c r="BY10" i="22"/>
  <c r="BY10" i="23"/>
  <c r="BX40" i="22"/>
  <c r="BZ8" i="24"/>
  <c r="BZ10" i="24"/>
  <c r="BZ6" i="24"/>
  <c r="BZ9" i="24"/>
  <c r="BZ7" i="24"/>
  <c r="CB40" i="21"/>
  <c r="BY6" i="23"/>
  <c r="CA40" i="17"/>
  <c r="BY41" i="23" s="1"/>
  <c r="BY6" i="22"/>
  <c r="CD4" i="17"/>
  <c r="CC3" i="17"/>
  <c r="CC10" i="17" s="1"/>
  <c r="BZ40" i="25"/>
  <c r="CC4" i="25"/>
  <c r="CB3" i="25"/>
  <c r="CB4" i="23"/>
  <c r="CA3" i="23"/>
  <c r="CB3" i="22"/>
  <c r="CC4" i="22"/>
  <c r="CD4" i="21"/>
  <c r="CC3" i="21"/>
  <c r="CC8" i="17" l="1"/>
  <c r="CC6" i="17"/>
  <c r="CC9" i="17"/>
  <c r="CC7" i="17"/>
  <c r="BY40" i="22"/>
  <c r="BY42" i="23"/>
  <c r="BY40" i="23" s="1"/>
  <c r="BZ10" i="23"/>
  <c r="BZ10" i="22"/>
  <c r="CC40" i="21"/>
  <c r="BZ6" i="22"/>
  <c r="BZ6" i="23"/>
  <c r="CB40" i="17"/>
  <c r="BZ41" i="23" s="1"/>
  <c r="CA6" i="24"/>
  <c r="CA8" i="24"/>
  <c r="CA10" i="24"/>
  <c r="CA7" i="24"/>
  <c r="CA9" i="24"/>
  <c r="CB9" i="25"/>
  <c r="CB7" i="25"/>
  <c r="CB10" i="25"/>
  <c r="CB8" i="25"/>
  <c r="CB6" i="25"/>
  <c r="CE4" i="17"/>
  <c r="CD3" i="17"/>
  <c r="CD6" i="17" s="1"/>
  <c r="BZ40" i="24"/>
  <c r="BZ8" i="23"/>
  <c r="BZ8" i="22"/>
  <c r="CD7" i="21"/>
  <c r="CD8" i="21"/>
  <c r="CD6" i="21"/>
  <c r="CD9" i="21"/>
  <c r="CD10" i="21"/>
  <c r="BZ9" i="23"/>
  <c r="BZ9" i="22"/>
  <c r="BZ7" i="22"/>
  <c r="BZ7" i="23"/>
  <c r="CB3" i="24"/>
  <c r="CC4" i="24"/>
  <c r="CA40" i="25"/>
  <c r="CD4" i="25"/>
  <c r="CC3" i="25"/>
  <c r="CC4" i="23"/>
  <c r="CB3" i="23"/>
  <c r="CD4" i="22"/>
  <c r="CC3" i="22"/>
  <c r="CE4" i="21"/>
  <c r="CD3" i="21"/>
  <c r="CD9" i="17" l="1"/>
  <c r="CD8" i="17"/>
  <c r="CD7" i="17"/>
  <c r="CD10" i="17"/>
  <c r="CF4" i="17"/>
  <c r="CE3" i="17"/>
  <c r="CE8" i="17" s="1"/>
  <c r="BZ42" i="23"/>
  <c r="BZ40" i="23" s="1"/>
  <c r="CA9" i="23"/>
  <c r="CA9" i="22"/>
  <c r="CA7" i="23"/>
  <c r="CA7" i="22"/>
  <c r="BZ40" i="22"/>
  <c r="CC6" i="25"/>
  <c r="CC9" i="25"/>
  <c r="CC7" i="25"/>
  <c r="CC10" i="25"/>
  <c r="CC8" i="25"/>
  <c r="CC3" i="24"/>
  <c r="CD4" i="24"/>
  <c r="CD40" i="21"/>
  <c r="CA10" i="23"/>
  <c r="CA10" i="22"/>
  <c r="CA40" i="24"/>
  <c r="CA8" i="22"/>
  <c r="CA8" i="23"/>
  <c r="CE10" i="21"/>
  <c r="CE9" i="21"/>
  <c r="CE6" i="21"/>
  <c r="CE7" i="21"/>
  <c r="CE8" i="21"/>
  <c r="CB6" i="24"/>
  <c r="CB8" i="24"/>
  <c r="CB9" i="24"/>
  <c r="CB10" i="24"/>
  <c r="CB7" i="24"/>
  <c r="CA6" i="22"/>
  <c r="CC40" i="17"/>
  <c r="CA41" i="23" s="1"/>
  <c r="CA6" i="23"/>
  <c r="CE4" i="25"/>
  <c r="CD3" i="25"/>
  <c r="CB40" i="25"/>
  <c r="CD4" i="23"/>
  <c r="CC3" i="23"/>
  <c r="CE4" i="22"/>
  <c r="CD3" i="22"/>
  <c r="CF4" i="21"/>
  <c r="CE3" i="21"/>
  <c r="CE6" i="17" l="1"/>
  <c r="CE9" i="17"/>
  <c r="CE7" i="17"/>
  <c r="CE10" i="17"/>
  <c r="CB9" i="23"/>
  <c r="CB9" i="22"/>
  <c r="CA42" i="23"/>
  <c r="CA40" i="23" s="1"/>
  <c r="CB40" i="24"/>
  <c r="CB8" i="23"/>
  <c r="CB8" i="22"/>
  <c r="CB6" i="22"/>
  <c r="CB6" i="23"/>
  <c r="CD40" i="17"/>
  <c r="CB41" i="23" s="1"/>
  <c r="CD3" i="24"/>
  <c r="CE4" i="24"/>
  <c r="CG4" i="17"/>
  <c r="CF3" i="17"/>
  <c r="CF10" i="17" s="1"/>
  <c r="CB7" i="23"/>
  <c r="CB7" i="22"/>
  <c r="CE40" i="21"/>
  <c r="CF10" i="21"/>
  <c r="CF7" i="21"/>
  <c r="CF8" i="21"/>
  <c r="CF9" i="21"/>
  <c r="CF6" i="21"/>
  <c r="CD9" i="25"/>
  <c r="CD7" i="25"/>
  <c r="CD6" i="25"/>
  <c r="CD10" i="25"/>
  <c r="CD8" i="25"/>
  <c r="CB10" i="23"/>
  <c r="CB10" i="22"/>
  <c r="CA40" i="22"/>
  <c r="CC9" i="24"/>
  <c r="CC6" i="24"/>
  <c r="CC8" i="24"/>
  <c r="CC7" i="24"/>
  <c r="CC10" i="24"/>
  <c r="CC40" i="25"/>
  <c r="CF4" i="25"/>
  <c r="CE3" i="25"/>
  <c r="CE4" i="23"/>
  <c r="CD3" i="23"/>
  <c r="CF4" i="22"/>
  <c r="CE3" i="22"/>
  <c r="CF3" i="21"/>
  <c r="CG4" i="21"/>
  <c r="CF6" i="17" l="1"/>
  <c r="CF8" i="17"/>
  <c r="CF9" i="17"/>
  <c r="CF7" i="17"/>
  <c r="CG7" i="17"/>
  <c r="CH4" i="17"/>
  <c r="CG3" i="17"/>
  <c r="CG10" i="17" s="1"/>
  <c r="CC8" i="23"/>
  <c r="CC8" i="22"/>
  <c r="CE9" i="25"/>
  <c r="CE6" i="25"/>
  <c r="CE10" i="25"/>
  <c r="CE8" i="25"/>
  <c r="CE7" i="25"/>
  <c r="CE3" i="24"/>
  <c r="CF4" i="24"/>
  <c r="CC7" i="23"/>
  <c r="CC7" i="22"/>
  <c r="CG9" i="21"/>
  <c r="CG8" i="21"/>
  <c r="CG6" i="21"/>
  <c r="CG7" i="21"/>
  <c r="CG10" i="21"/>
  <c r="CF40" i="21"/>
  <c r="CD10" i="24"/>
  <c r="CD8" i="24"/>
  <c r="CD9" i="24"/>
  <c r="CD6" i="24"/>
  <c r="CD7" i="24"/>
  <c r="CB42" i="23"/>
  <c r="CB40" i="23" s="1"/>
  <c r="CC9" i="22"/>
  <c r="CC9" i="23"/>
  <c r="CC10" i="23"/>
  <c r="CC10" i="22"/>
  <c r="CC40" i="24"/>
  <c r="CB40" i="22"/>
  <c r="CC6" i="22"/>
  <c r="CE40" i="17"/>
  <c r="CC41" i="23" s="1"/>
  <c r="CC6" i="23"/>
  <c r="CD40" i="25"/>
  <c r="CG4" i="25"/>
  <c r="CF3" i="25"/>
  <c r="CE3" i="23"/>
  <c r="CF4" i="23"/>
  <c r="CG4" i="22"/>
  <c r="CF3" i="22"/>
  <c r="CG3" i="21"/>
  <c r="CH4" i="21"/>
  <c r="CG8" i="17" l="1"/>
  <c r="CG9" i="17"/>
  <c r="CG6" i="17"/>
  <c r="CD40" i="24"/>
  <c r="CH6" i="21"/>
  <c r="CH7" i="21"/>
  <c r="CH9" i="21"/>
  <c r="CH8" i="21"/>
  <c r="CH10" i="21"/>
  <c r="CF40" i="17"/>
  <c r="CD41" i="23" s="1"/>
  <c r="CD6" i="23"/>
  <c r="CD6" i="22"/>
  <c r="CC40" i="22"/>
  <c r="CD10" i="23"/>
  <c r="CD10" i="22"/>
  <c r="CG40" i="21"/>
  <c r="CF6" i="25"/>
  <c r="CF7" i="25"/>
  <c r="CF9" i="25"/>
  <c r="CF8" i="25"/>
  <c r="CF10" i="25"/>
  <c r="CD8" i="23"/>
  <c r="CD8" i="22"/>
  <c r="CI4" i="17"/>
  <c r="CH3" i="17"/>
  <c r="CH7" i="17" s="1"/>
  <c r="CE7" i="24"/>
  <c r="CE9" i="24"/>
  <c r="CE10" i="24"/>
  <c r="CE6" i="24"/>
  <c r="CE8" i="24"/>
  <c r="CC42" i="23"/>
  <c r="CC40" i="23" s="1"/>
  <c r="CD9" i="22"/>
  <c r="CD9" i="23"/>
  <c r="CD7" i="23"/>
  <c r="CD7" i="22"/>
  <c r="CG4" i="24"/>
  <c r="CF3" i="24"/>
  <c r="CH4" i="25"/>
  <c r="CG3" i="25"/>
  <c r="CE40" i="25"/>
  <c r="CG4" i="23"/>
  <c r="CF3" i="23"/>
  <c r="CH4" i="22"/>
  <c r="CG3" i="22"/>
  <c r="CH3" i="21"/>
  <c r="CI4" i="21"/>
  <c r="CH6" i="17" l="1"/>
  <c r="CH8" i="17"/>
  <c r="CH9" i="17"/>
  <c r="CH10" i="17"/>
  <c r="CE6" i="22"/>
  <c r="CE6" i="23"/>
  <c r="CG40" i="17"/>
  <c r="CE41" i="23" s="1"/>
  <c r="CF9" i="24"/>
  <c r="CF10" i="24"/>
  <c r="CF7" i="24"/>
  <c r="CF8" i="24"/>
  <c r="CF6" i="24"/>
  <c r="CJ4" i="17"/>
  <c r="CI3" i="17"/>
  <c r="CI6" i="17" s="1"/>
  <c r="CE8" i="23"/>
  <c r="CE8" i="22"/>
  <c r="CD42" i="23"/>
  <c r="CD40" i="23" s="1"/>
  <c r="CI10" i="21"/>
  <c r="CI8" i="21"/>
  <c r="CI9" i="21"/>
  <c r="CI6" i="21"/>
  <c r="CI7" i="21"/>
  <c r="CG3" i="24"/>
  <c r="CH4" i="24"/>
  <c r="CE9" i="23"/>
  <c r="CE9" i="22"/>
  <c r="CE7" i="23"/>
  <c r="CE7" i="22"/>
  <c r="CD40" i="22"/>
  <c r="CG9" i="25"/>
  <c r="CG7" i="25"/>
  <c r="CG10" i="25"/>
  <c r="CG8" i="25"/>
  <c r="CG6" i="25"/>
  <c r="CE40" i="24"/>
  <c r="CE10" i="23"/>
  <c r="CE10" i="22"/>
  <c r="CH40" i="21"/>
  <c r="CF40" i="25"/>
  <c r="CI4" i="25"/>
  <c r="CH3" i="25"/>
  <c r="CH4" i="23"/>
  <c r="CG3" i="23"/>
  <c r="CI4" i="22"/>
  <c r="CH3" i="22"/>
  <c r="CJ4" i="21"/>
  <c r="CI3" i="21"/>
  <c r="CI7" i="17" l="1"/>
  <c r="CI9" i="17"/>
  <c r="CI10" i="17"/>
  <c r="CI8" i="17"/>
  <c r="CI40" i="21"/>
  <c r="CH3" i="24"/>
  <c r="CI4" i="24"/>
  <c r="CF9" i="23"/>
  <c r="CF9" i="22"/>
  <c r="CH40" i="17"/>
  <c r="CF41" i="23" s="1"/>
  <c r="CF6" i="22"/>
  <c r="CF6" i="23"/>
  <c r="CH9" i="25"/>
  <c r="CH7" i="25"/>
  <c r="CH8" i="25"/>
  <c r="CH6" i="25"/>
  <c r="CH10" i="25"/>
  <c r="CJ10" i="21"/>
  <c r="CJ6" i="21"/>
  <c r="CJ7" i="21"/>
  <c r="CJ8" i="21"/>
  <c r="CJ9" i="21"/>
  <c r="CG8" i="24"/>
  <c r="CG9" i="24"/>
  <c r="CG6" i="24"/>
  <c r="CG7" i="24"/>
  <c r="CG10" i="24"/>
  <c r="CF10" i="23"/>
  <c r="CF10" i="22"/>
  <c r="CK4" i="17"/>
  <c r="CJ3" i="17"/>
  <c r="CJ9" i="17" s="1"/>
  <c r="CE42" i="23"/>
  <c r="CE40" i="23" s="1"/>
  <c r="CF7" i="22"/>
  <c r="CF7" i="23"/>
  <c r="CF8" i="23"/>
  <c r="CF8" i="22"/>
  <c r="CF40" i="24"/>
  <c r="CE40" i="22"/>
  <c r="CJ4" i="25"/>
  <c r="CI3" i="25"/>
  <c r="CG40" i="25"/>
  <c r="CI4" i="23"/>
  <c r="CH3" i="23"/>
  <c r="CJ4" i="22"/>
  <c r="CI3" i="22"/>
  <c r="CK4" i="21"/>
  <c r="CJ3" i="21"/>
  <c r="CJ6" i="17" l="1"/>
  <c r="CJ7" i="17"/>
  <c r="CJ8" i="17"/>
  <c r="CJ10" i="17"/>
  <c r="CF42" i="23"/>
  <c r="CF40" i="23" s="1"/>
  <c r="CG9" i="22"/>
  <c r="CG9" i="23"/>
  <c r="CG7" i="23"/>
  <c r="CG7" i="22"/>
  <c r="CI3" i="24"/>
  <c r="CJ4" i="24"/>
  <c r="CK9" i="21"/>
  <c r="CK8" i="21"/>
  <c r="CK7" i="21"/>
  <c r="CK10" i="21"/>
  <c r="CK6" i="21"/>
  <c r="CI6" i="25"/>
  <c r="CI9" i="25"/>
  <c r="CI10" i="25"/>
  <c r="CI8" i="25"/>
  <c r="CI7" i="25"/>
  <c r="CL4" i="17"/>
  <c r="CK3" i="17"/>
  <c r="CK6" i="17" s="1"/>
  <c r="CJ40" i="21"/>
  <c r="CF40" i="22"/>
  <c r="CG6" i="22"/>
  <c r="CI40" i="17"/>
  <c r="CG41" i="23" s="1"/>
  <c r="CG6" i="23"/>
  <c r="CH7" i="24"/>
  <c r="CH9" i="24"/>
  <c r="CH8" i="24"/>
  <c r="CH6" i="24"/>
  <c r="CH10" i="24"/>
  <c r="CG10" i="23"/>
  <c r="CG10" i="22"/>
  <c r="CG40" i="24"/>
  <c r="CG8" i="23"/>
  <c r="CG8" i="22"/>
  <c r="CK4" i="25"/>
  <c r="CJ3" i="25"/>
  <c r="CH40" i="25"/>
  <c r="CJ4" i="23"/>
  <c r="CI3" i="23"/>
  <c r="CK4" i="22"/>
  <c r="CJ3" i="22"/>
  <c r="CK3" i="21"/>
  <c r="CL4" i="21"/>
  <c r="CK9" i="17" l="1"/>
  <c r="CK10" i="17"/>
  <c r="CK8" i="17"/>
  <c r="CK7" i="17"/>
  <c r="CH9" i="23"/>
  <c r="CH9" i="22"/>
  <c r="CH7" i="22"/>
  <c r="CH7" i="23"/>
  <c r="CG40" i="22"/>
  <c r="CK4" i="24"/>
  <c r="CJ3" i="24"/>
  <c r="CH6" i="22"/>
  <c r="CH6" i="23"/>
  <c r="CJ40" i="17"/>
  <c r="CH41" i="23" s="1"/>
  <c r="CM4" i="17"/>
  <c r="CL3" i="17"/>
  <c r="CL7" i="17" s="1"/>
  <c r="CI8" i="24"/>
  <c r="CI10" i="24"/>
  <c r="CI9" i="24"/>
  <c r="CI6" i="24"/>
  <c r="CI7" i="24"/>
  <c r="CH8" i="23"/>
  <c r="CH8" i="22"/>
  <c r="CK40" i="21"/>
  <c r="CL6" i="21"/>
  <c r="CL7" i="21"/>
  <c r="CL8" i="21"/>
  <c r="CL9" i="21"/>
  <c r="CL10" i="21"/>
  <c r="CJ7" i="25"/>
  <c r="CJ9" i="25"/>
  <c r="CJ6" i="25"/>
  <c r="CJ10" i="25"/>
  <c r="CJ8" i="25"/>
  <c r="CH10" i="23"/>
  <c r="CH10" i="22"/>
  <c r="CH40" i="24"/>
  <c r="CG42" i="23"/>
  <c r="CG40" i="23" s="1"/>
  <c r="CI40" i="25"/>
  <c r="CL4" i="25"/>
  <c r="CK3" i="25"/>
  <c r="CK4" i="23"/>
  <c r="CJ3" i="23"/>
  <c r="CL4" i="22"/>
  <c r="CK3" i="22"/>
  <c r="CL3" i="21"/>
  <c r="CM4" i="21"/>
  <c r="CL6" i="17" l="1"/>
  <c r="CL9" i="17"/>
  <c r="CL10" i="17"/>
  <c r="CL8" i="17"/>
  <c r="CI40" i="24"/>
  <c r="CI8" i="23"/>
  <c r="CI8" i="22"/>
  <c r="CH40" i="22"/>
  <c r="CI9" i="23"/>
  <c r="CI9" i="22"/>
  <c r="CI7" i="23"/>
  <c r="CI7" i="22"/>
  <c r="CH42" i="23"/>
  <c r="CH40" i="23" s="1"/>
  <c r="CM10" i="21"/>
  <c r="CM7" i="21"/>
  <c r="CM8" i="21"/>
  <c r="CM9" i="21"/>
  <c r="CM6" i="21"/>
  <c r="CK6" i="25"/>
  <c r="CK8" i="25"/>
  <c r="CK9" i="25"/>
  <c r="CK10" i="25"/>
  <c r="CK7" i="25"/>
  <c r="CL40" i="21"/>
  <c r="CN4" i="17"/>
  <c r="CM3" i="17"/>
  <c r="CM8" i="17" s="1"/>
  <c r="CJ6" i="24"/>
  <c r="CJ9" i="24"/>
  <c r="CJ10" i="24"/>
  <c r="CJ8" i="24"/>
  <c r="CJ7" i="24"/>
  <c r="CI6" i="22"/>
  <c r="CK40" i="17"/>
  <c r="CI41" i="23" s="1"/>
  <c r="CI6" i="23"/>
  <c r="CK3" i="24"/>
  <c r="CL4" i="24"/>
  <c r="CI10" i="23"/>
  <c r="CI10" i="22"/>
  <c r="CM4" i="25"/>
  <c r="CL3" i="25"/>
  <c r="CJ40" i="25"/>
  <c r="CL4" i="23"/>
  <c r="CK3" i="23"/>
  <c r="CM4" i="22"/>
  <c r="CL3" i="22"/>
  <c r="CN4" i="21"/>
  <c r="CM3" i="21"/>
  <c r="CM9" i="17" l="1"/>
  <c r="CM6" i="17"/>
  <c r="CM10" i="17"/>
  <c r="CM7" i="17"/>
  <c r="CI40" i="22"/>
  <c r="CN10" i="21"/>
  <c r="CN6" i="21"/>
  <c r="CN7" i="21"/>
  <c r="CN8" i="21"/>
  <c r="CN9" i="21"/>
  <c r="CK7" i="24"/>
  <c r="CK8" i="24"/>
  <c r="CK6" i="24"/>
  <c r="CK10" i="24"/>
  <c r="CK9" i="24"/>
  <c r="CJ40" i="24"/>
  <c r="CJ8" i="23"/>
  <c r="CJ8" i="22"/>
  <c r="CL3" i="24"/>
  <c r="CM4" i="24"/>
  <c r="CM40" i="21"/>
  <c r="CJ10" i="22"/>
  <c r="CJ10" i="23"/>
  <c r="CI42" i="23"/>
  <c r="CI40" i="23" s="1"/>
  <c r="CJ7" i="22"/>
  <c r="CJ7" i="23"/>
  <c r="CL9" i="25"/>
  <c r="CL7" i="25"/>
  <c r="CL10" i="25"/>
  <c r="CL8" i="25"/>
  <c r="CL6" i="25"/>
  <c r="CO4" i="17"/>
  <c r="CN3" i="17"/>
  <c r="CN7" i="17" s="1"/>
  <c r="CJ9" i="23"/>
  <c r="CJ9" i="22"/>
  <c r="CJ6" i="22"/>
  <c r="CL40" i="17"/>
  <c r="CJ41" i="23" s="1"/>
  <c r="CJ6" i="23"/>
  <c r="CK40" i="25"/>
  <c r="CN4" i="25"/>
  <c r="CM3" i="25"/>
  <c r="CM4" i="23"/>
  <c r="CL3" i="23"/>
  <c r="CN4" i="22"/>
  <c r="CM3" i="22"/>
  <c r="CO4" i="21"/>
  <c r="CN3" i="21"/>
  <c r="CN6" i="17" l="1"/>
  <c r="CN9" i="17"/>
  <c r="CN8" i="17"/>
  <c r="CN10" i="17"/>
  <c r="CJ42" i="23"/>
  <c r="CJ40" i="23" s="1"/>
  <c r="CK40" i="24"/>
  <c r="CK8" i="23"/>
  <c r="CK8" i="22"/>
  <c r="CL9" i="24"/>
  <c r="CL10" i="24"/>
  <c r="CL6" i="24"/>
  <c r="CL8" i="24"/>
  <c r="CL7" i="24"/>
  <c r="CP4" i="17"/>
  <c r="CO3" i="17"/>
  <c r="CO9" i="17" s="1"/>
  <c r="CK9" i="22"/>
  <c r="CK9" i="23"/>
  <c r="CM9" i="25"/>
  <c r="CM7" i="25"/>
  <c r="CM6" i="25"/>
  <c r="CM10" i="25"/>
  <c r="CM8" i="25"/>
  <c r="CK10" i="23"/>
  <c r="CK10" i="22"/>
  <c r="CN40" i="21"/>
  <c r="CK7" i="23"/>
  <c r="CK7" i="22"/>
  <c r="CO9" i="21"/>
  <c r="CO8" i="21"/>
  <c r="CO7" i="21"/>
  <c r="CO10" i="21"/>
  <c r="CO6" i="21"/>
  <c r="CJ40" i="22"/>
  <c r="CK6" i="23"/>
  <c r="CM40" i="17"/>
  <c r="CK41" i="23" s="1"/>
  <c r="CK6" i="22"/>
  <c r="CM3" i="24"/>
  <c r="CN4" i="24"/>
  <c r="CO4" i="25"/>
  <c r="CN3" i="25"/>
  <c r="CL40" i="25"/>
  <c r="CN4" i="23"/>
  <c r="CM3" i="23"/>
  <c r="CN3" i="22"/>
  <c r="CO4" i="22"/>
  <c r="CP4" i="21"/>
  <c r="CO3" i="21"/>
  <c r="CO6" i="17" l="1"/>
  <c r="CO7" i="17"/>
  <c r="CO10" i="17"/>
  <c r="CO8" i="17"/>
  <c r="CK42" i="23"/>
  <c r="CK40" i="23" s="1"/>
  <c r="CL7" i="23"/>
  <c r="CL7" i="22"/>
  <c r="CM8" i="24"/>
  <c r="CM10" i="24"/>
  <c r="CM6" i="24"/>
  <c r="CM9" i="24"/>
  <c r="CM7" i="24"/>
  <c r="CL10" i="23"/>
  <c r="CL10" i="22"/>
  <c r="CL9" i="22"/>
  <c r="CL9" i="23"/>
  <c r="CP8" i="21"/>
  <c r="CP6" i="21"/>
  <c r="CP7" i="21"/>
  <c r="CP9" i="21"/>
  <c r="CP10" i="21"/>
  <c r="CN6" i="25"/>
  <c r="CN9" i="25"/>
  <c r="CN10" i="25"/>
  <c r="CN7" i="25"/>
  <c r="CN8" i="25"/>
  <c r="CN3" i="24"/>
  <c r="CO4" i="24"/>
  <c r="CK40" i="22"/>
  <c r="CL6" i="23"/>
  <c r="CL6" i="22"/>
  <c r="CN40" i="17"/>
  <c r="CL41" i="23" s="1"/>
  <c r="CL8" i="23"/>
  <c r="CL8" i="22"/>
  <c r="CO40" i="21"/>
  <c r="CQ4" i="17"/>
  <c r="CP3" i="17"/>
  <c r="CP7" i="17" s="1"/>
  <c r="CL40" i="24"/>
  <c r="CM40" i="25"/>
  <c r="CP4" i="25"/>
  <c r="CO3" i="25"/>
  <c r="CO4" i="23"/>
  <c r="CN3" i="23"/>
  <c r="CP4" i="22"/>
  <c r="CO3" i="22"/>
  <c r="CP3" i="21"/>
  <c r="CQ4" i="21"/>
  <c r="CP6" i="17" l="1"/>
  <c r="CP9" i="17"/>
  <c r="CP8" i="17"/>
  <c r="CP10" i="17"/>
  <c r="CL40" i="22"/>
  <c r="CM7" i="23"/>
  <c r="CM7" i="22"/>
  <c r="CN9" i="24"/>
  <c r="CN10" i="24"/>
  <c r="CN8" i="24"/>
  <c r="CN6" i="24"/>
  <c r="CN7" i="24"/>
  <c r="CM10" i="23"/>
  <c r="CM10" i="22"/>
  <c r="CP40" i="21"/>
  <c r="CM8" i="23"/>
  <c r="CM8" i="22"/>
  <c r="CO3" i="24"/>
  <c r="CP4" i="24"/>
  <c r="CM9" i="22"/>
  <c r="CM9" i="23"/>
  <c r="CL42" i="23"/>
  <c r="CL40" i="23" s="1"/>
  <c r="CQ10" i="21"/>
  <c r="CQ6" i="21"/>
  <c r="CQ7" i="21"/>
  <c r="CQ8" i="21"/>
  <c r="CQ9" i="21"/>
  <c r="CO9" i="25"/>
  <c r="CO7" i="25"/>
  <c r="CO8" i="25"/>
  <c r="CO10" i="25"/>
  <c r="CO6" i="25"/>
  <c r="CR4" i="17"/>
  <c r="CQ3" i="17"/>
  <c r="CQ9" i="17" s="1"/>
  <c r="CO40" i="17"/>
  <c r="CM41" i="23" s="1"/>
  <c r="CM6" i="22"/>
  <c r="CM6" i="23"/>
  <c r="CM40" i="24"/>
  <c r="CN40" i="25"/>
  <c r="CP3" i="25"/>
  <c r="CQ4" i="25"/>
  <c r="CP4" i="23"/>
  <c r="CO3" i="23"/>
  <c r="CQ4" i="22"/>
  <c r="CP3" i="22"/>
  <c r="CR4" i="21"/>
  <c r="CQ3" i="21"/>
  <c r="CQ6" i="17" l="1"/>
  <c r="CQ7" i="17"/>
  <c r="CQ10" i="17"/>
  <c r="CQ8" i="17"/>
  <c r="CM42" i="23"/>
  <c r="CM40" i="23" s="1"/>
  <c r="CS4" i="17"/>
  <c r="CR3" i="17"/>
  <c r="CR10" i="17" s="1"/>
  <c r="CN7" i="23"/>
  <c r="CN7" i="22"/>
  <c r="CM40" i="22"/>
  <c r="CQ40" i="21"/>
  <c r="CN10" i="23"/>
  <c r="CN10" i="22"/>
  <c r="CN40" i="24"/>
  <c r="CR10" i="21"/>
  <c r="CR6" i="21"/>
  <c r="CR7" i="21"/>
  <c r="CR8" i="21"/>
  <c r="CR9" i="21"/>
  <c r="CP9" i="25"/>
  <c r="CP6" i="25"/>
  <c r="CP10" i="25"/>
  <c r="CP8" i="25"/>
  <c r="CP7" i="25"/>
  <c r="CQ4" i="24"/>
  <c r="CP3" i="24"/>
  <c r="CN8" i="23"/>
  <c r="CN8" i="22"/>
  <c r="CP40" i="17"/>
  <c r="CN41" i="23" s="1"/>
  <c r="CN6" i="22"/>
  <c r="CN6" i="23"/>
  <c r="CO8" i="24"/>
  <c r="CO10" i="24"/>
  <c r="CO6" i="24"/>
  <c r="CO9" i="24"/>
  <c r="CO7" i="24"/>
  <c r="CN9" i="23"/>
  <c r="CN9" i="22"/>
  <c r="CR4" i="25"/>
  <c r="CQ3" i="25"/>
  <c r="CO40" i="25"/>
  <c r="CQ4" i="23"/>
  <c r="CP3" i="23"/>
  <c r="CR4" i="22"/>
  <c r="CQ3" i="22"/>
  <c r="CS4" i="21"/>
  <c r="CR3" i="21"/>
  <c r="CR6" i="17" l="1"/>
  <c r="CR7" i="17"/>
  <c r="CR9" i="17"/>
  <c r="CR8" i="17"/>
  <c r="CO8" i="23"/>
  <c r="CO8" i="22"/>
  <c r="CO40" i="24"/>
  <c r="CO7" i="22"/>
  <c r="CO7" i="23"/>
  <c r="CO10" i="22"/>
  <c r="CO10" i="23"/>
  <c r="CN42" i="23"/>
  <c r="CN40" i="23" s="1"/>
  <c r="CR4" i="24"/>
  <c r="CQ3" i="24"/>
  <c r="CO9" i="22"/>
  <c r="CO9" i="23"/>
  <c r="CS7" i="21"/>
  <c r="CS8" i="21"/>
  <c r="CS9" i="21"/>
  <c r="CS6" i="21"/>
  <c r="CS10" i="21"/>
  <c r="CQ6" i="25"/>
  <c r="CQ9" i="25"/>
  <c r="CQ7" i="25"/>
  <c r="CQ10" i="25"/>
  <c r="CQ8" i="25"/>
  <c r="CQ40" i="17"/>
  <c r="CO41" i="23" s="1"/>
  <c r="CO6" i="22"/>
  <c r="CO6" i="23"/>
  <c r="CN40" i="22"/>
  <c r="CP10" i="24"/>
  <c r="CP7" i="24"/>
  <c r="CP9" i="24"/>
  <c r="CP8" i="24"/>
  <c r="CP6" i="24"/>
  <c r="CR40" i="21"/>
  <c r="CT4" i="17"/>
  <c r="CS3" i="17"/>
  <c r="CS7" i="17" s="1"/>
  <c r="CP40" i="25"/>
  <c r="CS4" i="25"/>
  <c r="CR3" i="25"/>
  <c r="CR4" i="23"/>
  <c r="CQ3" i="23"/>
  <c r="CR3" i="22"/>
  <c r="CS4" i="22"/>
  <c r="CT4" i="21"/>
  <c r="CS3" i="21"/>
  <c r="CS8" i="17" l="1"/>
  <c r="CS6" i="17"/>
  <c r="CS9" i="17"/>
  <c r="CS10" i="17"/>
  <c r="CT6" i="17"/>
  <c r="CO42" i="23"/>
  <c r="CO40" i="23" s="1"/>
  <c r="CU4" i="17"/>
  <c r="CT3" i="17"/>
  <c r="CT8" i="17" s="1"/>
  <c r="CP6" i="22"/>
  <c r="CP6" i="23"/>
  <c r="CR40" i="17"/>
  <c r="CP41" i="23" s="1"/>
  <c r="CT7" i="21"/>
  <c r="CT8" i="21"/>
  <c r="CT6" i="21"/>
  <c r="CT10" i="21"/>
  <c r="CT9" i="21"/>
  <c r="CQ9" i="24"/>
  <c r="CQ7" i="24"/>
  <c r="CQ6" i="24"/>
  <c r="CQ10" i="24"/>
  <c r="CQ8" i="24"/>
  <c r="CP10" i="23"/>
  <c r="CP10" i="22"/>
  <c r="CR9" i="25"/>
  <c r="CR6" i="25"/>
  <c r="CR7" i="25"/>
  <c r="CR10" i="25"/>
  <c r="CR8" i="25"/>
  <c r="CO40" i="22"/>
  <c r="CS40" i="21"/>
  <c r="CS4" i="24"/>
  <c r="CR3" i="24"/>
  <c r="CP8" i="23"/>
  <c r="CP8" i="22"/>
  <c r="CP40" i="24"/>
  <c r="CP9" i="23"/>
  <c r="CP9" i="22"/>
  <c r="CP7" i="22"/>
  <c r="CP7" i="23"/>
  <c r="CQ40" i="25"/>
  <c r="CT4" i="25"/>
  <c r="CS3" i="25"/>
  <c r="CS4" i="23"/>
  <c r="CR3" i="23"/>
  <c r="CT4" i="22"/>
  <c r="CS3" i="22"/>
  <c r="CU4" i="21"/>
  <c r="CT3" i="21"/>
  <c r="CT10" i="17" l="1"/>
  <c r="CT9" i="17"/>
  <c r="CT7" i="17"/>
  <c r="CQ40" i="24"/>
  <c r="CS6" i="25"/>
  <c r="CS9" i="25"/>
  <c r="CS7" i="25"/>
  <c r="CS8" i="25"/>
  <c r="CS10" i="25"/>
  <c r="CQ8" i="22"/>
  <c r="CQ8" i="23"/>
  <c r="CR9" i="24"/>
  <c r="CR7" i="24"/>
  <c r="CR6" i="24"/>
  <c r="CR10" i="24"/>
  <c r="CR8" i="24"/>
  <c r="CQ6" i="22"/>
  <c r="CS40" i="17"/>
  <c r="CQ41" i="23" s="1"/>
  <c r="CQ6" i="23"/>
  <c r="CQ9" i="23"/>
  <c r="CQ9" i="22"/>
  <c r="CP40" i="22"/>
  <c r="CU10" i="21"/>
  <c r="CU9" i="21"/>
  <c r="CU6" i="21"/>
  <c r="CU7" i="21"/>
  <c r="CU8" i="21"/>
  <c r="CQ10" i="22"/>
  <c r="CQ10" i="23"/>
  <c r="CQ7" i="22"/>
  <c r="CQ7" i="23"/>
  <c r="CS3" i="24"/>
  <c r="CT4" i="24"/>
  <c r="CT40" i="21"/>
  <c r="CP42" i="23"/>
  <c r="CP40" i="23" s="1"/>
  <c r="CV4" i="17"/>
  <c r="CU3" i="17"/>
  <c r="CU8" i="17" s="1"/>
  <c r="CR40" i="25"/>
  <c r="CU4" i="25"/>
  <c r="CT3" i="25"/>
  <c r="CT4" i="23"/>
  <c r="CS3" i="23"/>
  <c r="CU4" i="22"/>
  <c r="CT3" i="22"/>
  <c r="CV4" i="21"/>
  <c r="CU3" i="21"/>
  <c r="CU9" i="17" l="1"/>
  <c r="CU6" i="17"/>
  <c r="CU10" i="17"/>
  <c r="CU7" i="17"/>
  <c r="CR8" i="23"/>
  <c r="CR8" i="22"/>
  <c r="CU40" i="21"/>
  <c r="CQ40" i="22"/>
  <c r="CR6" i="22"/>
  <c r="CR6" i="23"/>
  <c r="CT40" i="17"/>
  <c r="CR41" i="23" s="1"/>
  <c r="CS9" i="24"/>
  <c r="CS6" i="24"/>
  <c r="CS7" i="24"/>
  <c r="CS10" i="24"/>
  <c r="CS8" i="24"/>
  <c r="CR40" i="24"/>
  <c r="CV10" i="21"/>
  <c r="CV7" i="21"/>
  <c r="CV8" i="21"/>
  <c r="CV9" i="21"/>
  <c r="CV6" i="21"/>
  <c r="CR7" i="23"/>
  <c r="CR7" i="22"/>
  <c r="CU4" i="24"/>
  <c r="CT3" i="24"/>
  <c r="CT7" i="25"/>
  <c r="CT9" i="25"/>
  <c r="CT6" i="25"/>
  <c r="CT8" i="25"/>
  <c r="CT10" i="25"/>
  <c r="CW4" i="17"/>
  <c r="CV3" i="17"/>
  <c r="CV9" i="17" s="1"/>
  <c r="CR9" i="23"/>
  <c r="CR9" i="22"/>
  <c r="CR10" i="22"/>
  <c r="CR10" i="23"/>
  <c r="CQ42" i="23"/>
  <c r="CQ40" i="23" s="1"/>
  <c r="CV4" i="25"/>
  <c r="CU3" i="25"/>
  <c r="CS40" i="25"/>
  <c r="CU4" i="23"/>
  <c r="CT3" i="23"/>
  <c r="CV4" i="22"/>
  <c r="CU3" i="22"/>
  <c r="CV3" i="21"/>
  <c r="CW4" i="21"/>
  <c r="CV6" i="17" l="1"/>
  <c r="CV7" i="17"/>
  <c r="CV10" i="17"/>
  <c r="CV8" i="17"/>
  <c r="CX4" i="17"/>
  <c r="CW3" i="17"/>
  <c r="CW8" i="17" s="1"/>
  <c r="CS6" i="23"/>
  <c r="CU40" i="17"/>
  <c r="CS41" i="23" s="1"/>
  <c r="CS6" i="22"/>
  <c r="CU3" i="24"/>
  <c r="CV4" i="24"/>
  <c r="CR42" i="23"/>
  <c r="CR40" i="23" s="1"/>
  <c r="CW7" i="21"/>
  <c r="CW9" i="21"/>
  <c r="CW8" i="21"/>
  <c r="CW10" i="21"/>
  <c r="CW6" i="21"/>
  <c r="CS8" i="23"/>
  <c r="CS8" i="22"/>
  <c r="CS40" i="24"/>
  <c r="CR40" i="22"/>
  <c r="CS9" i="22"/>
  <c r="CS9" i="23"/>
  <c r="CV40" i="21"/>
  <c r="CU9" i="25"/>
  <c r="CU7" i="25"/>
  <c r="CU10" i="25"/>
  <c r="CU8" i="25"/>
  <c r="CU6" i="25"/>
  <c r="CS10" i="23"/>
  <c r="CS10" i="22"/>
  <c r="CS7" i="22"/>
  <c r="CS7" i="23"/>
  <c r="CT7" i="24"/>
  <c r="CT10" i="24"/>
  <c r="CT8" i="24"/>
  <c r="CT6" i="24"/>
  <c r="CT9" i="24"/>
  <c r="CT40" i="25"/>
  <c r="CW4" i="25"/>
  <c r="CV3" i="25"/>
  <c r="CU3" i="23"/>
  <c r="CV4" i="23"/>
  <c r="CW4" i="22"/>
  <c r="CV3" i="22"/>
  <c r="CW3" i="21"/>
  <c r="CX4" i="21"/>
  <c r="CW6" i="17" l="1"/>
  <c r="CW7" i="17"/>
  <c r="CW10" i="17"/>
  <c r="CW9" i="17"/>
  <c r="CV8" i="25"/>
  <c r="CV9" i="25"/>
  <c r="CV10" i="25"/>
  <c r="CV6" i="25"/>
  <c r="CV7" i="25"/>
  <c r="CT9" i="23"/>
  <c r="CT9" i="22"/>
  <c r="CV3" i="24"/>
  <c r="CW4" i="24"/>
  <c r="CT10" i="23"/>
  <c r="CT10" i="22"/>
  <c r="CU9" i="24"/>
  <c r="CU8" i="24"/>
  <c r="CU7" i="24"/>
  <c r="CU6" i="24"/>
  <c r="CU10" i="24"/>
  <c r="CT8" i="23"/>
  <c r="CT8" i="22"/>
  <c r="CX6" i="21"/>
  <c r="CX7" i="21"/>
  <c r="CX9" i="21"/>
  <c r="CX8" i="21"/>
  <c r="CX10" i="21"/>
  <c r="CT40" i="24"/>
  <c r="CT7" i="23"/>
  <c r="CT7" i="22"/>
  <c r="CS42" i="23"/>
  <c r="CS40" i="23" s="1"/>
  <c r="CT6" i="22"/>
  <c r="CT6" i="23"/>
  <c r="CV40" i="17"/>
  <c r="CT41" i="23" s="1"/>
  <c r="CW40" i="21"/>
  <c r="CS40" i="22"/>
  <c r="CY4" i="17"/>
  <c r="CX3" i="17"/>
  <c r="CX8" i="17" s="1"/>
  <c r="CU40" i="25"/>
  <c r="CX4" i="25"/>
  <c r="CW3" i="25"/>
  <c r="CW4" i="23"/>
  <c r="CV3" i="23"/>
  <c r="CX4" i="22"/>
  <c r="CW3" i="22"/>
  <c r="CX3" i="21"/>
  <c r="CY4" i="21"/>
  <c r="CX9" i="17" l="1"/>
  <c r="CX6" i="17"/>
  <c r="CX10" i="17"/>
  <c r="CX7" i="17"/>
  <c r="CT42" i="23"/>
  <c r="CT40" i="23" s="1"/>
  <c r="CU40" i="24"/>
  <c r="CZ4" i="17"/>
  <c r="CY3" i="17"/>
  <c r="CY7" i="17" s="1"/>
  <c r="CU6" i="23"/>
  <c r="CU6" i="22"/>
  <c r="CW40" i="17"/>
  <c r="CU41" i="23" s="1"/>
  <c r="CV7" i="24"/>
  <c r="CV8" i="24"/>
  <c r="CV6" i="24"/>
  <c r="CV9" i="24"/>
  <c r="CV10" i="24"/>
  <c r="CU8" i="23"/>
  <c r="CU8" i="22"/>
  <c r="CY10" i="21"/>
  <c r="CY8" i="21"/>
  <c r="CY9" i="21"/>
  <c r="CY6" i="21"/>
  <c r="CY7" i="21"/>
  <c r="CW9" i="25"/>
  <c r="CW7" i="25"/>
  <c r="CW10" i="25"/>
  <c r="CW8" i="25"/>
  <c r="CW6" i="25"/>
  <c r="CT40" i="22"/>
  <c r="CU9" i="23"/>
  <c r="CU9" i="22"/>
  <c r="CU7" i="22"/>
  <c r="CU7" i="23"/>
  <c r="CX40" i="21"/>
  <c r="CU10" i="23"/>
  <c r="CU10" i="22"/>
  <c r="CX4" i="24"/>
  <c r="CW3" i="24"/>
  <c r="CX3" i="25"/>
  <c r="CY4" i="25"/>
  <c r="CV40" i="25"/>
  <c r="CX4" i="23"/>
  <c r="CW3" i="23"/>
  <c r="CY4" i="22"/>
  <c r="CX3" i="22"/>
  <c r="CZ4" i="21"/>
  <c r="CY3" i="21"/>
  <c r="CY6" i="17" l="1"/>
  <c r="CY9" i="17"/>
  <c r="CY10" i="17"/>
  <c r="CY8" i="17"/>
  <c r="CX9" i="25"/>
  <c r="CX7" i="25"/>
  <c r="CX10" i="25"/>
  <c r="CX6" i="25"/>
  <c r="CX8" i="25"/>
  <c r="CV8" i="23"/>
  <c r="CV8" i="22"/>
  <c r="CY40" i="21"/>
  <c r="CW9" i="24"/>
  <c r="CW8" i="24"/>
  <c r="CW10" i="24"/>
  <c r="CW6" i="24"/>
  <c r="CW7" i="24"/>
  <c r="CV6" i="22"/>
  <c r="CV6" i="23"/>
  <c r="CX40" i="17"/>
  <c r="CV41" i="23" s="1"/>
  <c r="CV7" i="23"/>
  <c r="CV7" i="22"/>
  <c r="CV40" i="24"/>
  <c r="CU40" i="22"/>
  <c r="CY4" i="24"/>
  <c r="CX3" i="24"/>
  <c r="CV9" i="23"/>
  <c r="CV9" i="22"/>
  <c r="CZ10" i="21"/>
  <c r="CZ6" i="21"/>
  <c r="CZ7" i="21"/>
  <c r="CZ8" i="21"/>
  <c r="CZ9" i="21"/>
  <c r="CV10" i="23"/>
  <c r="CV10" i="22"/>
  <c r="CU42" i="23"/>
  <c r="CU40" i="23" s="1"/>
  <c r="DA4" i="17"/>
  <c r="CZ3" i="17"/>
  <c r="CZ10" i="17" s="1"/>
  <c r="CZ4" i="25"/>
  <c r="CY3" i="25"/>
  <c r="CW40" i="25"/>
  <c r="CY4" i="23"/>
  <c r="CX3" i="23"/>
  <c r="CZ4" i="22"/>
  <c r="CY3" i="22"/>
  <c r="DA4" i="21"/>
  <c r="CZ3" i="21"/>
  <c r="CZ6" i="17" l="1"/>
  <c r="CZ8" i="17"/>
  <c r="CZ7" i="17"/>
  <c r="CZ9" i="17"/>
  <c r="CV42" i="23"/>
  <c r="CV40" i="23" s="1"/>
  <c r="CW10" i="22"/>
  <c r="CW10" i="23"/>
  <c r="DB4" i="17"/>
  <c r="DA3" i="17"/>
  <c r="DA8" i="17" s="1"/>
  <c r="CV40" i="22"/>
  <c r="CY6" i="25"/>
  <c r="CY9" i="25"/>
  <c r="CY10" i="25"/>
  <c r="CY8" i="25"/>
  <c r="CY7" i="25"/>
  <c r="CW7" i="22"/>
  <c r="CW7" i="23"/>
  <c r="CW6" i="23"/>
  <c r="CW6" i="22"/>
  <c r="CY40" i="17"/>
  <c r="CW41" i="23" s="1"/>
  <c r="DA9" i="21"/>
  <c r="DA8" i="21"/>
  <c r="DA7" i="21"/>
  <c r="DA10" i="21"/>
  <c r="DA6" i="21"/>
  <c r="CZ40" i="21"/>
  <c r="CX8" i="24"/>
  <c r="CX7" i="24"/>
  <c r="CX10" i="24"/>
  <c r="CX9" i="24"/>
  <c r="CX6" i="24"/>
  <c r="CW9" i="22"/>
  <c r="CW9" i="23"/>
  <c r="CZ4" i="24"/>
  <c r="CY3" i="24"/>
  <c r="CW8" i="23"/>
  <c r="CW8" i="22"/>
  <c r="CW40" i="24"/>
  <c r="CX40" i="25"/>
  <c r="DA4" i="25"/>
  <c r="CZ3" i="25"/>
  <c r="CZ4" i="23"/>
  <c r="CY3" i="23"/>
  <c r="DA4" i="22"/>
  <c r="CZ3" i="22"/>
  <c r="DA3" i="21"/>
  <c r="DB4" i="21"/>
  <c r="DA6" i="17" l="1"/>
  <c r="DA10" i="17"/>
  <c r="DA9" i="17"/>
  <c r="DA7" i="17"/>
  <c r="CY7" i="24"/>
  <c r="CY8" i="24"/>
  <c r="CY9" i="24"/>
  <c r="CY10" i="24"/>
  <c r="CY6" i="24"/>
  <c r="CX6" i="22"/>
  <c r="CZ40" i="17"/>
  <c r="CX41" i="23" s="1"/>
  <c r="CX6" i="23"/>
  <c r="DB6" i="21"/>
  <c r="DB7" i="21"/>
  <c r="DB8" i="21"/>
  <c r="DB9" i="21"/>
  <c r="DB10" i="21"/>
  <c r="CZ9" i="25"/>
  <c r="CZ10" i="25"/>
  <c r="CZ6" i="25"/>
  <c r="CZ8" i="25"/>
  <c r="CZ7" i="25"/>
  <c r="CZ3" i="24"/>
  <c r="DA4" i="24"/>
  <c r="DA40" i="21"/>
  <c r="CX8" i="23"/>
  <c r="CX8" i="22"/>
  <c r="CX7" i="22"/>
  <c r="CX7" i="23"/>
  <c r="CW42" i="23"/>
  <c r="CW40" i="23" s="1"/>
  <c r="DC4" i="17"/>
  <c r="DB3" i="17"/>
  <c r="DB7" i="17" s="1"/>
  <c r="CX40" i="24"/>
  <c r="CW40" i="22"/>
  <c r="CX9" i="23"/>
  <c r="CX9" i="22"/>
  <c r="CX10" i="23"/>
  <c r="CX10" i="22"/>
  <c r="CY40" i="25"/>
  <c r="DB4" i="25"/>
  <c r="DA3" i="25"/>
  <c r="DA4" i="23"/>
  <c r="CZ3" i="23"/>
  <c r="DB4" i="22"/>
  <c r="DA3" i="22"/>
  <c r="DB3" i="21"/>
  <c r="DC4" i="21"/>
  <c r="DB6" i="17" l="1"/>
  <c r="DB8" i="17"/>
  <c r="DB10" i="17"/>
  <c r="DB9" i="17"/>
  <c r="CZ8" i="24"/>
  <c r="CZ10" i="24"/>
  <c r="CZ6" i="24"/>
  <c r="CZ9" i="24"/>
  <c r="CZ7" i="24"/>
  <c r="CY10" i="23"/>
  <c r="CY10" i="22"/>
  <c r="CX40" i="22"/>
  <c r="DA9" i="25"/>
  <c r="DA7" i="25"/>
  <c r="DA6" i="25"/>
  <c r="DA10" i="25"/>
  <c r="DA8" i="25"/>
  <c r="CY8" i="22"/>
  <c r="CY8" i="23"/>
  <c r="DB40" i="21"/>
  <c r="DC10" i="21"/>
  <c r="DC7" i="21"/>
  <c r="DC8" i="21"/>
  <c r="DC9" i="21"/>
  <c r="DC6" i="21"/>
  <c r="CY6" i="22"/>
  <c r="DA40" i="17"/>
  <c r="CY41" i="23" s="1"/>
  <c r="CY6" i="23"/>
  <c r="DD4" i="17"/>
  <c r="DC3" i="17"/>
  <c r="DC7" i="17" s="1"/>
  <c r="CY9" i="23"/>
  <c r="CY9" i="22"/>
  <c r="CY7" i="22"/>
  <c r="CY7" i="23"/>
  <c r="DB4" i="24"/>
  <c r="DA3" i="24"/>
  <c r="CX42" i="23"/>
  <c r="CX40" i="23" s="1"/>
  <c r="CY40" i="24"/>
  <c r="DC4" i="25"/>
  <c r="DB3" i="25"/>
  <c r="CZ40" i="25"/>
  <c r="DB4" i="23"/>
  <c r="DA3" i="23"/>
  <c r="DC4" i="22"/>
  <c r="DB3" i="22"/>
  <c r="DD4" i="21"/>
  <c r="DC3" i="21"/>
  <c r="DC6" i="17" l="1"/>
  <c r="DC8" i="17"/>
  <c r="DC9" i="17"/>
  <c r="DC10" i="17"/>
  <c r="CY42" i="23"/>
  <c r="CY40" i="23" s="1"/>
  <c r="DC4" i="24"/>
  <c r="DB3" i="24"/>
  <c r="CZ7" i="22"/>
  <c r="CZ7" i="23"/>
  <c r="DB7" i="25"/>
  <c r="DB9" i="25"/>
  <c r="DB10" i="25"/>
  <c r="DB8" i="25"/>
  <c r="DB6" i="25"/>
  <c r="DB40" i="17"/>
  <c r="CZ41" i="23" s="1"/>
  <c r="CZ6" i="23"/>
  <c r="CZ6" i="22"/>
  <c r="CZ40" i="24"/>
  <c r="DD10" i="21"/>
  <c r="DD6" i="21"/>
  <c r="DD7" i="21"/>
  <c r="DD8" i="21"/>
  <c r="DD9" i="21"/>
  <c r="CZ9" i="23"/>
  <c r="CZ9" i="22"/>
  <c r="CZ8" i="23"/>
  <c r="CZ8" i="22"/>
  <c r="CY40" i="22"/>
  <c r="DA9" i="24"/>
  <c r="DA10" i="24"/>
  <c r="DA8" i="24"/>
  <c r="DA6" i="24"/>
  <c r="DA7" i="24"/>
  <c r="CZ10" i="22"/>
  <c r="CZ10" i="23"/>
  <c r="DE4" i="17"/>
  <c r="DD3" i="17"/>
  <c r="DD8" i="17" s="1"/>
  <c r="DC40" i="21"/>
  <c r="DA40" i="25"/>
  <c r="DD4" i="25"/>
  <c r="DC3" i="25"/>
  <c r="DC4" i="23"/>
  <c r="DB3" i="23"/>
  <c r="DD4" i="22"/>
  <c r="DC3" i="22"/>
  <c r="DE4" i="21"/>
  <c r="DD3" i="21"/>
  <c r="D11" i="3"/>
  <c r="DD6" i="17" l="1"/>
  <c r="DD7" i="17"/>
  <c r="DD10" i="17"/>
  <c r="DD9" i="17"/>
  <c r="CZ42" i="23"/>
  <c r="CZ40" i="23" s="1"/>
  <c r="DF4" i="17"/>
  <c r="DE3" i="17"/>
  <c r="DE9" i="17" s="1"/>
  <c r="DA40" i="24"/>
  <c r="DA6" i="22"/>
  <c r="DA6" i="23"/>
  <c r="DC40" i="17"/>
  <c r="DA41" i="23" s="1"/>
  <c r="DA8" i="23"/>
  <c r="DA8" i="22"/>
  <c r="DB9" i="24"/>
  <c r="DB8" i="24"/>
  <c r="DB6" i="24"/>
  <c r="DB10" i="24"/>
  <c r="DB7" i="24"/>
  <c r="DA10" i="23"/>
  <c r="DA10" i="22"/>
  <c r="DC9" i="25"/>
  <c r="DC7" i="25"/>
  <c r="DC10" i="25"/>
  <c r="DC8" i="25"/>
  <c r="DC6" i="25"/>
  <c r="DE6" i="21"/>
  <c r="DE7" i="21"/>
  <c r="DE8" i="21"/>
  <c r="DE9" i="21"/>
  <c r="DE10" i="21"/>
  <c r="DA9" i="23"/>
  <c r="DA9" i="22"/>
  <c r="DA7" i="22"/>
  <c r="DA7" i="23"/>
  <c r="DD40" i="21"/>
  <c r="CZ40" i="22"/>
  <c r="DD4" i="24"/>
  <c r="DC3" i="24"/>
  <c r="DE4" i="25"/>
  <c r="DD3" i="25"/>
  <c r="DB40" i="25"/>
  <c r="DD4" i="23"/>
  <c r="DC3" i="23"/>
  <c r="DD3" i="22"/>
  <c r="DE4" i="22"/>
  <c r="DF4" i="21"/>
  <c r="DE3" i="21"/>
  <c r="B6" i="3"/>
  <c r="DE6" i="17" l="1"/>
  <c r="DE8" i="17"/>
  <c r="DE10" i="17"/>
  <c r="DE7" i="17"/>
  <c r="DC10" i="24"/>
  <c r="DC9" i="24"/>
  <c r="DC8" i="24"/>
  <c r="DC6" i="24"/>
  <c r="DC7" i="24"/>
  <c r="DB8" i="23"/>
  <c r="DB8" i="22"/>
  <c r="DB40" i="24"/>
  <c r="DA42" i="23"/>
  <c r="DA40" i="23" s="1"/>
  <c r="DG4" i="17"/>
  <c r="DF3" i="17"/>
  <c r="DF7" i="17" s="1"/>
  <c r="DD3" i="24"/>
  <c r="DE4" i="24"/>
  <c r="DE40" i="21"/>
  <c r="DB9" i="23"/>
  <c r="DB9" i="22"/>
  <c r="DB7" i="23"/>
  <c r="DB7" i="22"/>
  <c r="DA40" i="22"/>
  <c r="DB6" i="22"/>
  <c r="DD40" i="17"/>
  <c r="DB41" i="23" s="1"/>
  <c r="DB6" i="23"/>
  <c r="DF10" i="21"/>
  <c r="DF8" i="21"/>
  <c r="DF6" i="21"/>
  <c r="DF7" i="21"/>
  <c r="DF9" i="21"/>
  <c r="DD6" i="25"/>
  <c r="DD9" i="25"/>
  <c r="DD7" i="25"/>
  <c r="DD10" i="25"/>
  <c r="DD8" i="25"/>
  <c r="DB10" i="22"/>
  <c r="DB10" i="23"/>
  <c r="DC40" i="25"/>
  <c r="DF4" i="25"/>
  <c r="DE3" i="25"/>
  <c r="DE4" i="23"/>
  <c r="DD3" i="23"/>
  <c r="DF4" i="22"/>
  <c r="DE3" i="22"/>
  <c r="DF3" i="21"/>
  <c r="DG4" i="21"/>
  <c r="F5" i="12"/>
  <c r="F18" i="12" s="1"/>
  <c r="F20" i="12" s="1"/>
  <c r="E27" i="20" s="1"/>
  <c r="L5" i="1"/>
  <c r="P5" i="1"/>
  <c r="Q5" i="1"/>
  <c r="R5" i="1"/>
  <c r="U5" i="1"/>
  <c r="E5" i="1"/>
  <c r="D5" i="1"/>
  <c r="C5" i="1"/>
  <c r="C5" i="6" s="1"/>
  <c r="DF9" i="17" l="1"/>
  <c r="DF6" i="17"/>
  <c r="DF8" i="17"/>
  <c r="DF10" i="17"/>
  <c r="DB42" i="23"/>
  <c r="DB40" i="23" s="1"/>
  <c r="DF40" i="21"/>
  <c r="DC10" i="23"/>
  <c r="DC10" i="22"/>
  <c r="DC8" i="22"/>
  <c r="DC8" i="23"/>
  <c r="DB40" i="22"/>
  <c r="DC40" i="24"/>
  <c r="DD9" i="24"/>
  <c r="DD6" i="24"/>
  <c r="DD8" i="24"/>
  <c r="DD7" i="24"/>
  <c r="DD10" i="24"/>
  <c r="DG10" i="21"/>
  <c r="DG6" i="21"/>
  <c r="DG7" i="21"/>
  <c r="DG8" i="21"/>
  <c r="DG9" i="21"/>
  <c r="DE7" i="25"/>
  <c r="DE9" i="25"/>
  <c r="DE6" i="25"/>
  <c r="DE8" i="25"/>
  <c r="DE10" i="25"/>
  <c r="DC9" i="22"/>
  <c r="DC9" i="23"/>
  <c r="DC7" i="23"/>
  <c r="DC7" i="22"/>
  <c r="DH4" i="17"/>
  <c r="DG3" i="17"/>
  <c r="DG10" i="17" s="1"/>
  <c r="DF4" i="24"/>
  <c r="DE3" i="24"/>
  <c r="DE40" i="17"/>
  <c r="DC41" i="23" s="1"/>
  <c r="DC6" i="23"/>
  <c r="DC6" i="22"/>
  <c r="DD40" i="25"/>
  <c r="DF3" i="25"/>
  <c r="DG4" i="25"/>
  <c r="DF4" i="23"/>
  <c r="DE3" i="23"/>
  <c r="DG4" i="22"/>
  <c r="DF3" i="22"/>
  <c r="DH4" i="21"/>
  <c r="DG3" i="21"/>
  <c r="D4" i="3"/>
  <c r="E3" i="3"/>
  <c r="F5" i="20" s="1"/>
  <c r="DG6" i="17" l="1"/>
  <c r="DG9" i="17"/>
  <c r="DG8" i="17"/>
  <c r="DG7" i="17"/>
  <c r="DC42" i="23"/>
  <c r="DC40" i="23" s="1"/>
  <c r="DD40" i="24"/>
  <c r="DC40" i="22"/>
  <c r="DF3" i="24"/>
  <c r="DG4" i="24"/>
  <c r="DG40" i="21"/>
  <c r="DD7" i="22"/>
  <c r="DD7" i="23"/>
  <c r="DD10" i="23"/>
  <c r="DD10" i="22"/>
  <c r="DH10" i="21"/>
  <c r="DH6" i="21"/>
  <c r="DH7" i="21"/>
  <c r="DH8" i="21"/>
  <c r="DH9" i="21"/>
  <c r="DF8" i="25"/>
  <c r="DF9" i="25"/>
  <c r="DF7" i="25"/>
  <c r="DF6" i="25"/>
  <c r="DF10" i="25"/>
  <c r="DI4" i="17"/>
  <c r="DH3" i="17"/>
  <c r="DH10" i="17" s="1"/>
  <c r="DD9" i="23"/>
  <c r="DD9" i="22"/>
  <c r="DD6" i="22"/>
  <c r="DD6" i="23"/>
  <c r="DF40" i="17"/>
  <c r="DD41" i="23" s="1"/>
  <c r="DE9" i="24"/>
  <c r="DE8" i="24"/>
  <c r="DE7" i="24"/>
  <c r="DE10" i="24"/>
  <c r="DE6" i="24"/>
  <c r="DD8" i="23"/>
  <c r="DD8" i="22"/>
  <c r="DH4" i="25"/>
  <c r="DG3" i="25"/>
  <c r="DE40" i="25"/>
  <c r="DG4" i="23"/>
  <c r="DF3" i="23"/>
  <c r="DH4" i="22"/>
  <c r="DG3" i="22"/>
  <c r="F7" i="20"/>
  <c r="DI4" i="21"/>
  <c r="DH3" i="21"/>
  <c r="G5" i="12"/>
  <c r="E4" i="3"/>
  <c r="F3" i="3"/>
  <c r="G5" i="20" s="1"/>
  <c r="DH6" i="17" l="1"/>
  <c r="DH8" i="17"/>
  <c r="DH9" i="17"/>
  <c r="DH7" i="17"/>
  <c r="G6" i="12"/>
  <c r="F14" i="20" s="1"/>
  <c r="G18" i="12"/>
  <c r="G20" i="12" s="1"/>
  <c r="F27" i="20" s="1"/>
  <c r="DD40" i="22"/>
  <c r="DE40" i="24"/>
  <c r="DJ4" i="17"/>
  <c r="DI3" i="17"/>
  <c r="DI10" i="17" s="1"/>
  <c r="DE10" i="23"/>
  <c r="DE10" i="22"/>
  <c r="DG3" i="24"/>
  <c r="DH4" i="24"/>
  <c r="DH40" i="21"/>
  <c r="DG40" i="17"/>
  <c r="DE41" i="23" s="1"/>
  <c r="DE6" i="23"/>
  <c r="DE6" i="22"/>
  <c r="DF9" i="24"/>
  <c r="DF7" i="24"/>
  <c r="DF10" i="24"/>
  <c r="DF8" i="24"/>
  <c r="DF6" i="24"/>
  <c r="DD42" i="23"/>
  <c r="DD40" i="23" s="1"/>
  <c r="DE8" i="23"/>
  <c r="DE8" i="22"/>
  <c r="DI9" i="21"/>
  <c r="DI7" i="21"/>
  <c r="DI8" i="21"/>
  <c r="DI10" i="21"/>
  <c r="DI6" i="21"/>
  <c r="DG9" i="25"/>
  <c r="DG10" i="25"/>
  <c r="DG6" i="25"/>
  <c r="DG8" i="25"/>
  <c r="DG7" i="25"/>
  <c r="DE9" i="22"/>
  <c r="DE9" i="23"/>
  <c r="DE7" i="22"/>
  <c r="DE7" i="23"/>
  <c r="DF40" i="25"/>
  <c r="DI4" i="25"/>
  <c r="DH3" i="25"/>
  <c r="DH4" i="23"/>
  <c r="DG3" i="23"/>
  <c r="G7" i="20"/>
  <c r="DH3" i="22"/>
  <c r="DI4" i="22"/>
  <c r="DJ4" i="21"/>
  <c r="DI3" i="21"/>
  <c r="G7" i="12"/>
  <c r="F15" i="20" s="1"/>
  <c r="H5" i="12"/>
  <c r="H18" i="12" s="1"/>
  <c r="H20" i="12" s="1"/>
  <c r="G27" i="20" s="1"/>
  <c r="G8" i="12"/>
  <c r="F16" i="20" s="1"/>
  <c r="G9" i="12"/>
  <c r="F17" i="20" s="1"/>
  <c r="G10" i="12"/>
  <c r="F18" i="20" s="1"/>
  <c r="G13" i="12"/>
  <c r="F21" i="20" s="1"/>
  <c r="G12" i="12"/>
  <c r="F20" i="20" s="1"/>
  <c r="G3" i="3"/>
  <c r="H5" i="20" s="1"/>
  <c r="F4" i="3"/>
  <c r="DI6" i="17" l="1"/>
  <c r="DI9" i="17"/>
  <c r="DI7" i="17"/>
  <c r="DI8" i="17"/>
  <c r="DF7" i="22"/>
  <c r="DF7" i="23"/>
  <c r="DJ7" i="21"/>
  <c r="DJ8" i="21"/>
  <c r="DJ6" i="21"/>
  <c r="DJ9" i="21"/>
  <c r="DJ10" i="21"/>
  <c r="DH9" i="25"/>
  <c r="DH7" i="25"/>
  <c r="DH10" i="25"/>
  <c r="DH8" i="25"/>
  <c r="DH6" i="25"/>
  <c r="DF6" i="22"/>
  <c r="DF6" i="23"/>
  <c r="DH40" i="17"/>
  <c r="DF41" i="23" s="1"/>
  <c r="DF40" i="24"/>
  <c r="DG6" i="24"/>
  <c r="DG9" i="24"/>
  <c r="DG7" i="24"/>
  <c r="DG10" i="24"/>
  <c r="DG8" i="24"/>
  <c r="DF10" i="23"/>
  <c r="DF10" i="22"/>
  <c r="DI40" i="21"/>
  <c r="DE40" i="22"/>
  <c r="DK4" i="17"/>
  <c r="DJ3" i="17"/>
  <c r="DJ10" i="17" s="1"/>
  <c r="DF9" i="23"/>
  <c r="DF9" i="22"/>
  <c r="DF8" i="23"/>
  <c r="DF8" i="22"/>
  <c r="DE42" i="23"/>
  <c r="DE40" i="23" s="1"/>
  <c r="DI4" i="24"/>
  <c r="DH3" i="24"/>
  <c r="DJ4" i="25"/>
  <c r="DI3" i="25"/>
  <c r="DG40" i="25"/>
  <c r="DI4" i="23"/>
  <c r="DH3" i="23"/>
  <c r="H7" i="20"/>
  <c r="DJ4" i="22"/>
  <c r="DI3" i="22"/>
  <c r="DK4" i="21"/>
  <c r="DJ3" i="21"/>
  <c r="H10" i="12"/>
  <c r="G18" i="20" s="1"/>
  <c r="H7" i="12"/>
  <c r="G15" i="20" s="1"/>
  <c r="H9" i="12"/>
  <c r="G17" i="20" s="1"/>
  <c r="I5" i="12"/>
  <c r="I18" i="12" s="1"/>
  <c r="I20" i="12" s="1"/>
  <c r="H27" i="20" s="1"/>
  <c r="H8" i="12"/>
  <c r="G16" i="20" s="1"/>
  <c r="H6" i="12"/>
  <c r="G14" i="20" s="1"/>
  <c r="H12" i="12"/>
  <c r="G20" i="20" s="1"/>
  <c r="H13" i="12"/>
  <c r="G21" i="20" s="1"/>
  <c r="H3" i="3"/>
  <c r="I5" i="20" s="1"/>
  <c r="G4" i="3"/>
  <c r="DJ6" i="17" l="1"/>
  <c r="DJ8" i="17"/>
  <c r="DJ9" i="17"/>
  <c r="DJ7" i="17"/>
  <c r="DG10" i="22"/>
  <c r="DG10" i="23"/>
  <c r="DK10" i="21"/>
  <c r="DK9" i="21"/>
  <c r="DK6" i="21"/>
  <c r="DK7" i="21"/>
  <c r="DK8" i="21"/>
  <c r="DI6" i="25"/>
  <c r="DI9" i="25"/>
  <c r="DI7" i="25"/>
  <c r="DI8" i="25"/>
  <c r="DI10" i="25"/>
  <c r="DL4" i="17"/>
  <c r="DK3" i="17"/>
  <c r="DK6" i="17" s="1"/>
  <c r="DG8" i="23"/>
  <c r="DG8" i="22"/>
  <c r="DG40" i="24"/>
  <c r="DF42" i="23"/>
  <c r="DF40" i="23" s="1"/>
  <c r="DH6" i="24"/>
  <c r="DH7" i="24"/>
  <c r="DH9" i="24"/>
  <c r="DH8" i="24"/>
  <c r="DH10" i="24"/>
  <c r="DG7" i="22"/>
  <c r="DG7" i="23"/>
  <c r="DF40" i="22"/>
  <c r="DJ40" i="21"/>
  <c r="DI3" i="24"/>
  <c r="DJ4" i="24"/>
  <c r="DG6" i="22"/>
  <c r="DG6" i="23"/>
  <c r="DI40" i="17"/>
  <c r="DG41" i="23" s="1"/>
  <c r="DG9" i="23"/>
  <c r="DG9" i="22"/>
  <c r="DK4" i="25"/>
  <c r="DJ3" i="25"/>
  <c r="DH40" i="25"/>
  <c r="DJ4" i="23"/>
  <c r="DI3" i="23"/>
  <c r="I7" i="20"/>
  <c r="DK4" i="22"/>
  <c r="DJ3" i="22"/>
  <c r="DL4" i="21"/>
  <c r="DK3" i="21"/>
  <c r="I10" i="12"/>
  <c r="H18" i="20" s="1"/>
  <c r="I7" i="12"/>
  <c r="H15" i="20" s="1"/>
  <c r="I13" i="12"/>
  <c r="H21" i="20" s="1"/>
  <c r="I12" i="12"/>
  <c r="H20" i="20" s="1"/>
  <c r="I8" i="12"/>
  <c r="H16" i="20" s="1"/>
  <c r="I6" i="12"/>
  <c r="H14" i="20" s="1"/>
  <c r="I9" i="12"/>
  <c r="H17" i="20" s="1"/>
  <c r="J5" i="12"/>
  <c r="J18" i="12" s="1"/>
  <c r="J20" i="12" s="1"/>
  <c r="I27" i="20" s="1"/>
  <c r="I3" i="3"/>
  <c r="J5" i="20" s="1"/>
  <c r="H4" i="3"/>
  <c r="DK8" i="17" l="1"/>
  <c r="DK9" i="17"/>
  <c r="DK10" i="17"/>
  <c r="DK7" i="17"/>
  <c r="DG40" i="22"/>
  <c r="DH9" i="23"/>
  <c r="DH9" i="22"/>
  <c r="DK4" i="24"/>
  <c r="DJ3" i="24"/>
  <c r="DM4" i="17"/>
  <c r="DL3" i="17"/>
  <c r="DL9" i="17" s="1"/>
  <c r="DK40" i="21"/>
  <c r="DH6" i="23"/>
  <c r="DH6" i="22"/>
  <c r="DJ40" i="17"/>
  <c r="DH41" i="23" s="1"/>
  <c r="DI7" i="24"/>
  <c r="DI9" i="24"/>
  <c r="DI8" i="24"/>
  <c r="DI6" i="24"/>
  <c r="DI10" i="24"/>
  <c r="DH40" i="24"/>
  <c r="DH10" i="23"/>
  <c r="DH10" i="22"/>
  <c r="DL10" i="21"/>
  <c r="DL7" i="21"/>
  <c r="DL8" i="21"/>
  <c r="DL9" i="21"/>
  <c r="DL6" i="21"/>
  <c r="DJ9" i="25"/>
  <c r="DJ7" i="25"/>
  <c r="DJ6" i="25"/>
  <c r="DJ10" i="25"/>
  <c r="DJ8" i="25"/>
  <c r="DG42" i="23"/>
  <c r="DG40" i="23" s="1"/>
  <c r="DH7" i="22"/>
  <c r="DH7" i="23"/>
  <c r="DH8" i="23"/>
  <c r="DH8" i="22"/>
  <c r="DI40" i="25"/>
  <c r="DL4" i="25"/>
  <c r="DK3" i="25"/>
  <c r="DK4" i="23"/>
  <c r="DJ3" i="23"/>
  <c r="J7" i="20"/>
  <c r="DL4" i="22"/>
  <c r="DK3" i="22"/>
  <c r="DL3" i="21"/>
  <c r="DM4" i="21"/>
  <c r="J9" i="12"/>
  <c r="I17" i="20" s="1"/>
  <c r="J8" i="12"/>
  <c r="I16" i="20" s="1"/>
  <c r="J10" i="12"/>
  <c r="I18" i="20" s="1"/>
  <c r="J6" i="12"/>
  <c r="I14" i="20" s="1"/>
  <c r="J12" i="12"/>
  <c r="I20" i="20" s="1"/>
  <c r="K5" i="12"/>
  <c r="K18" i="12" s="1"/>
  <c r="K20" i="12" s="1"/>
  <c r="J27" i="20" s="1"/>
  <c r="J13" i="12"/>
  <c r="I21" i="20" s="1"/>
  <c r="J7" i="12"/>
  <c r="I15" i="20" s="1"/>
  <c r="J3" i="3"/>
  <c r="K5" i="20" s="1"/>
  <c r="I4" i="3"/>
  <c r="B69" i="3"/>
  <c r="DL6" i="17" l="1"/>
  <c r="DL8" i="17"/>
  <c r="DL7" i="17"/>
  <c r="DL10" i="17"/>
  <c r="DK9" i="25"/>
  <c r="DK10" i="25"/>
  <c r="DK8" i="25"/>
  <c r="DK7" i="25"/>
  <c r="DK6" i="25"/>
  <c r="DI6" i="22"/>
  <c r="DK40" i="17"/>
  <c r="DI41" i="23" s="1"/>
  <c r="DI6" i="23"/>
  <c r="DJ7" i="24"/>
  <c r="DJ9" i="24"/>
  <c r="DJ6" i="24"/>
  <c r="DJ8" i="24"/>
  <c r="DJ10" i="24"/>
  <c r="DM7" i="21"/>
  <c r="DM9" i="21"/>
  <c r="DM8" i="21"/>
  <c r="DM6" i="21"/>
  <c r="DM10" i="21"/>
  <c r="DL40" i="21"/>
  <c r="DI10" i="23"/>
  <c r="DI10" i="22"/>
  <c r="DH40" i="22"/>
  <c r="DL4" i="24"/>
  <c r="DK3" i="24"/>
  <c r="DI8" i="23"/>
  <c r="DI8" i="22"/>
  <c r="DH42" i="23"/>
  <c r="DH40" i="23" s="1"/>
  <c r="DN4" i="17"/>
  <c r="DM3" i="17"/>
  <c r="DM7" i="17" s="1"/>
  <c r="DI40" i="24"/>
  <c r="DI9" i="22"/>
  <c r="DI9" i="23"/>
  <c r="DI7" i="22"/>
  <c r="DI7" i="23"/>
  <c r="DJ40" i="25"/>
  <c r="DM4" i="25"/>
  <c r="DL3" i="25"/>
  <c r="DK3" i="23"/>
  <c r="DL4" i="23"/>
  <c r="K7" i="20"/>
  <c r="K6" i="12"/>
  <c r="J14" i="20" s="1"/>
  <c r="DM4" i="22"/>
  <c r="DL3" i="22"/>
  <c r="DM3" i="21"/>
  <c r="DN4" i="21"/>
  <c r="K9" i="12"/>
  <c r="J17" i="20" s="1"/>
  <c r="K7" i="12"/>
  <c r="J15" i="20" s="1"/>
  <c r="K13" i="12"/>
  <c r="J21" i="20" s="1"/>
  <c r="K10" i="12"/>
  <c r="J18" i="20" s="1"/>
  <c r="K12" i="12"/>
  <c r="J20" i="20" s="1"/>
  <c r="K8" i="12"/>
  <c r="J16" i="20" s="1"/>
  <c r="L5" i="12"/>
  <c r="L18" i="12" s="1"/>
  <c r="L20" i="12" s="1"/>
  <c r="K27" i="20" s="1"/>
  <c r="K3" i="3"/>
  <c r="L5" i="20" s="1"/>
  <c r="J4" i="3"/>
  <c r="B70" i="3"/>
  <c r="B49" i="3"/>
  <c r="B50" i="3" s="1"/>
  <c r="B51" i="3" s="1"/>
  <c r="E3" i="6"/>
  <c r="D4" i="6"/>
  <c r="DM8" i="17" l="1"/>
  <c r="DM6" i="17"/>
  <c r="DM9" i="17"/>
  <c r="DM10" i="17"/>
  <c r="DM40" i="21"/>
  <c r="DM4" i="24"/>
  <c r="DL3" i="24"/>
  <c r="DL40" i="17"/>
  <c r="DJ41" i="23" s="1"/>
  <c r="DJ6" i="22"/>
  <c r="DJ6" i="23"/>
  <c r="DI42" i="23"/>
  <c r="DI40" i="23" s="1"/>
  <c r="DK9" i="24"/>
  <c r="DK8" i="24"/>
  <c r="DK10" i="24"/>
  <c r="DK7" i="24"/>
  <c r="DK6" i="24"/>
  <c r="DJ8" i="23"/>
  <c r="DJ8" i="22"/>
  <c r="DJ40" i="24"/>
  <c r="DL9" i="25"/>
  <c r="DL8" i="25"/>
  <c r="DL10" i="25"/>
  <c r="DL7" i="25"/>
  <c r="DL6" i="25"/>
  <c r="DO4" i="17"/>
  <c r="DN3" i="17"/>
  <c r="DN7" i="17" s="1"/>
  <c r="DJ10" i="23"/>
  <c r="DJ10" i="22"/>
  <c r="DN6" i="21"/>
  <c r="DN7" i="21"/>
  <c r="DN9" i="21"/>
  <c r="DN8" i="21"/>
  <c r="DN10" i="21"/>
  <c r="DJ9" i="23"/>
  <c r="DJ9" i="22"/>
  <c r="DJ7" i="22"/>
  <c r="DJ7" i="23"/>
  <c r="DI40" i="22"/>
  <c r="DN4" i="25"/>
  <c r="DM3" i="25"/>
  <c r="DK40" i="25"/>
  <c r="DM4" i="23"/>
  <c r="DL3" i="23"/>
  <c r="DN4" i="22"/>
  <c r="DM3" i="22"/>
  <c r="L7" i="20"/>
  <c r="DN3" i="21"/>
  <c r="DO4" i="21"/>
  <c r="L9" i="12"/>
  <c r="K17" i="20" s="1"/>
  <c r="L10" i="12"/>
  <c r="K18" i="20" s="1"/>
  <c r="L8" i="12"/>
  <c r="K16" i="20" s="1"/>
  <c r="L6" i="12"/>
  <c r="K14" i="20" s="1"/>
  <c r="L7" i="12"/>
  <c r="K15" i="20" s="1"/>
  <c r="L12" i="12"/>
  <c r="K20" i="20" s="1"/>
  <c r="L13" i="12"/>
  <c r="K21" i="20" s="1"/>
  <c r="M5" i="12"/>
  <c r="M18" i="12" s="1"/>
  <c r="M20" i="12" s="1"/>
  <c r="L27" i="20" s="1"/>
  <c r="F3" i="6"/>
  <c r="L3" i="3"/>
  <c r="M5" i="20" s="1"/>
  <c r="K4" i="3"/>
  <c r="B52" i="3"/>
  <c r="B71" i="3"/>
  <c r="E4" i="6"/>
  <c r="R25" i="3"/>
  <c r="Q25" i="3"/>
  <c r="P25" i="3"/>
  <c r="O25" i="3"/>
  <c r="DN6" i="17" l="1"/>
  <c r="DN9" i="17"/>
  <c r="DN8" i="17"/>
  <c r="DN10" i="17"/>
  <c r="DK8" i="23"/>
  <c r="DK8" i="22"/>
  <c r="DJ42" i="23"/>
  <c r="DJ40" i="23" s="1"/>
  <c r="DN4" i="24"/>
  <c r="DM3" i="24"/>
  <c r="DK10" i="22"/>
  <c r="DK10" i="23"/>
  <c r="DO10" i="21"/>
  <c r="DO8" i="21"/>
  <c r="DO9" i="21"/>
  <c r="DO6" i="21"/>
  <c r="DO7" i="21"/>
  <c r="DM9" i="25"/>
  <c r="DM6" i="25"/>
  <c r="DM7" i="25"/>
  <c r="DM10" i="25"/>
  <c r="DM8" i="25"/>
  <c r="DK9" i="23"/>
  <c r="DK9" i="22"/>
  <c r="DK7" i="22"/>
  <c r="DK7" i="23"/>
  <c r="DN40" i="21"/>
  <c r="DK40" i="24"/>
  <c r="DJ40" i="22"/>
  <c r="DP4" i="17"/>
  <c r="DO3" i="17"/>
  <c r="DO10" i="17" s="1"/>
  <c r="DM40" i="17"/>
  <c r="DK41" i="23" s="1"/>
  <c r="DK6" i="23"/>
  <c r="DK6" i="22"/>
  <c r="DL10" i="24"/>
  <c r="DL8" i="24"/>
  <c r="DL6" i="24"/>
  <c r="DL7" i="24"/>
  <c r="DL9" i="24"/>
  <c r="DL40" i="25"/>
  <c r="DO4" i="25"/>
  <c r="DN3" i="25"/>
  <c r="DN4" i="23"/>
  <c r="DM3" i="23"/>
  <c r="DO4" i="22"/>
  <c r="DN3" i="22"/>
  <c r="M7" i="20"/>
  <c r="DP4" i="21"/>
  <c r="DO3" i="21"/>
  <c r="M9" i="12"/>
  <c r="L17" i="20" s="1"/>
  <c r="M8" i="12"/>
  <c r="L16" i="20" s="1"/>
  <c r="M7" i="12"/>
  <c r="L15" i="20" s="1"/>
  <c r="M13" i="12"/>
  <c r="L21" i="20" s="1"/>
  <c r="M12" i="12"/>
  <c r="L20" i="20" s="1"/>
  <c r="M6" i="12"/>
  <c r="L14" i="20" s="1"/>
  <c r="M10" i="12"/>
  <c r="L18" i="20" s="1"/>
  <c r="N5" i="12"/>
  <c r="N18" i="12" s="1"/>
  <c r="N20" i="12" s="1"/>
  <c r="M27" i="20" s="1"/>
  <c r="G3" i="6"/>
  <c r="M3" i="3"/>
  <c r="N5" i="20" s="1"/>
  <c r="L4" i="3"/>
  <c r="B53" i="3"/>
  <c r="B72" i="3"/>
  <c r="F4" i="6"/>
  <c r="DO6" i="17" l="1"/>
  <c r="DO9" i="17"/>
  <c r="DO7" i="17"/>
  <c r="DO8" i="17"/>
  <c r="DK42" i="23"/>
  <c r="DK40" i="23" s="1"/>
  <c r="DL40" i="24"/>
  <c r="DL8" i="23"/>
  <c r="DL8" i="22"/>
  <c r="DP10" i="21"/>
  <c r="DP6" i="21"/>
  <c r="DP7" i="21"/>
  <c r="DP8" i="21"/>
  <c r="DP9" i="21"/>
  <c r="DK40" i="22"/>
  <c r="DN40" i="17"/>
  <c r="DL6" i="23"/>
  <c r="DL6" i="22"/>
  <c r="DL7" i="22"/>
  <c r="DL7" i="23"/>
  <c r="DN9" i="25"/>
  <c r="DN7" i="25"/>
  <c r="DN8" i="25"/>
  <c r="DN10" i="25"/>
  <c r="DN6" i="25"/>
  <c r="DL9" i="23"/>
  <c r="DL9" i="22"/>
  <c r="DM10" i="24"/>
  <c r="DM7" i="24"/>
  <c r="DM6" i="24"/>
  <c r="DM9" i="24"/>
  <c r="DM8" i="24"/>
  <c r="DQ4" i="17"/>
  <c r="DP3" i="17"/>
  <c r="DP7" i="17" s="1"/>
  <c r="DL10" i="23"/>
  <c r="DL10" i="22"/>
  <c r="DO40" i="21"/>
  <c r="DO4" i="24"/>
  <c r="DN3" i="24"/>
  <c r="DP4" i="25"/>
  <c r="DO3" i="25"/>
  <c r="DM40" i="25"/>
  <c r="DO4" i="23"/>
  <c r="DN3" i="23"/>
  <c r="DP4" i="22"/>
  <c r="DO3" i="22"/>
  <c r="N7" i="20"/>
  <c r="DQ4" i="21"/>
  <c r="DP3" i="21"/>
  <c r="N8" i="12"/>
  <c r="M16" i="20" s="1"/>
  <c r="N10" i="12"/>
  <c r="M18" i="20" s="1"/>
  <c r="N9" i="12"/>
  <c r="M17" i="20" s="1"/>
  <c r="N12" i="12"/>
  <c r="M20" i="20" s="1"/>
  <c r="N6" i="12"/>
  <c r="M14" i="20" s="1"/>
  <c r="N7" i="12"/>
  <c r="M15" i="20" s="1"/>
  <c r="N13" i="12"/>
  <c r="M21" i="20" s="1"/>
  <c r="O5" i="12"/>
  <c r="O18" i="12" s="1"/>
  <c r="O20" i="12" s="1"/>
  <c r="N27" i="20" s="1"/>
  <c r="H3" i="6"/>
  <c r="M4" i="3"/>
  <c r="N3" i="3"/>
  <c r="O5" i="20" s="1"/>
  <c r="B54" i="3"/>
  <c r="B73" i="3"/>
  <c r="G4" i="6"/>
  <c r="DP9" i="17" l="1"/>
  <c r="DP6" i="17"/>
  <c r="DP10" i="17"/>
  <c r="DP8" i="17"/>
  <c r="DM40" i="24"/>
  <c r="DO3" i="24"/>
  <c r="DP4" i="24"/>
  <c r="DM10" i="23"/>
  <c r="DM10" i="22"/>
  <c r="DM7" i="23"/>
  <c r="DM7" i="22"/>
  <c r="DL41" i="23"/>
  <c r="DQ7" i="21"/>
  <c r="DQ6" i="21"/>
  <c r="DQ9" i="21"/>
  <c r="DQ8" i="21"/>
  <c r="DQ10" i="21"/>
  <c r="DO6" i="25"/>
  <c r="DO9" i="25"/>
  <c r="DO7" i="25"/>
  <c r="DO10" i="25"/>
  <c r="DO8" i="25"/>
  <c r="DM6" i="23"/>
  <c r="DM6" i="22"/>
  <c r="DO40" i="17"/>
  <c r="DM41" i="23" s="1"/>
  <c r="DM9" i="22"/>
  <c r="DM9" i="23"/>
  <c r="DL40" i="22"/>
  <c r="DP40" i="21"/>
  <c r="DN8" i="24"/>
  <c r="DN7" i="24"/>
  <c r="DN6" i="24"/>
  <c r="DN9" i="24"/>
  <c r="DN10" i="24"/>
  <c r="DR4" i="17"/>
  <c r="DQ3" i="17"/>
  <c r="DQ9" i="17" s="1"/>
  <c r="DM8" i="23"/>
  <c r="DM8" i="22"/>
  <c r="DL42" i="23"/>
  <c r="DQ4" i="25"/>
  <c r="DP3" i="25"/>
  <c r="DN40" i="25"/>
  <c r="DP4" i="23"/>
  <c r="DO3" i="23"/>
  <c r="DQ4" i="22"/>
  <c r="DP3" i="22"/>
  <c r="O7" i="20"/>
  <c r="DQ3" i="21"/>
  <c r="DR4" i="21"/>
  <c r="O8" i="12"/>
  <c r="N16" i="20" s="1"/>
  <c r="O12" i="12"/>
  <c r="N20" i="20" s="1"/>
  <c r="O13" i="12"/>
  <c r="N21" i="20" s="1"/>
  <c r="O9" i="12"/>
  <c r="N17" i="20" s="1"/>
  <c r="O10" i="12"/>
  <c r="N18" i="20" s="1"/>
  <c r="O7" i="12"/>
  <c r="N15" i="20" s="1"/>
  <c r="P5" i="12"/>
  <c r="P18" i="12" s="1"/>
  <c r="P20" i="12" s="1"/>
  <c r="O27" i="20" s="1"/>
  <c r="O6" i="12"/>
  <c r="N14" i="20" s="1"/>
  <c r="I3" i="6"/>
  <c r="O3" i="3"/>
  <c r="P5" i="20" s="1"/>
  <c r="N4" i="3"/>
  <c r="Q36" i="26" s="1"/>
  <c r="B55" i="3"/>
  <c r="B74" i="3"/>
  <c r="H4" i="6"/>
  <c r="DQ6" i="17" l="1"/>
  <c r="DQ10" i="17"/>
  <c r="DQ8" i="17"/>
  <c r="DQ7" i="17"/>
  <c r="DL40" i="23"/>
  <c r="DN10" i="23"/>
  <c r="DN10" i="22"/>
  <c r="DN7" i="22"/>
  <c r="DN7" i="23"/>
  <c r="DS4" i="17"/>
  <c r="DR3" i="17"/>
  <c r="DR7" i="17" s="1"/>
  <c r="DN40" i="24"/>
  <c r="DN9" i="23"/>
  <c r="DN9" i="22"/>
  <c r="DM40" i="22"/>
  <c r="DQ40" i="21"/>
  <c r="DQ4" i="24"/>
  <c r="DP3" i="24"/>
  <c r="DP9" i="25"/>
  <c r="DP7" i="25"/>
  <c r="DP10" i="25"/>
  <c r="DP8" i="25"/>
  <c r="DP6" i="25"/>
  <c r="DN6" i="23"/>
  <c r="DP40" i="17"/>
  <c r="DN41" i="23" s="1"/>
  <c r="DN6" i="22"/>
  <c r="DM42" i="23"/>
  <c r="DM40" i="23" s="1"/>
  <c r="DO6" i="24"/>
  <c r="DO9" i="24"/>
  <c r="DO7" i="24"/>
  <c r="DO10" i="24"/>
  <c r="DO8" i="24"/>
  <c r="DR6" i="21"/>
  <c r="DR7" i="21"/>
  <c r="DR8" i="21"/>
  <c r="DR9" i="21"/>
  <c r="DR10" i="21"/>
  <c r="DN8" i="23"/>
  <c r="DN8" i="22"/>
  <c r="P26" i="20"/>
  <c r="P28" i="20"/>
  <c r="DO40" i="25"/>
  <c r="DR4" i="25"/>
  <c r="DQ3" i="25"/>
  <c r="P10" i="20"/>
  <c r="P11" i="20"/>
  <c r="DQ4" i="23"/>
  <c r="DP3" i="23"/>
  <c r="P6" i="20"/>
  <c r="P8" i="20" s="1"/>
  <c r="P7" i="20"/>
  <c r="DR4" i="22"/>
  <c r="DQ3" i="22"/>
  <c r="DR3" i="21"/>
  <c r="DS4" i="21"/>
  <c r="P10" i="12"/>
  <c r="O18" i="20" s="1"/>
  <c r="P6" i="12"/>
  <c r="O14" i="20" s="1"/>
  <c r="P12" i="12"/>
  <c r="O20" i="20" s="1"/>
  <c r="P9" i="12"/>
  <c r="O17" i="20" s="1"/>
  <c r="P13" i="12"/>
  <c r="O21" i="20" s="1"/>
  <c r="P8" i="12"/>
  <c r="O16" i="20" s="1"/>
  <c r="Q5" i="12"/>
  <c r="Q18" i="12" s="1"/>
  <c r="Q20" i="12" s="1"/>
  <c r="P27" i="20" s="1"/>
  <c r="P7" i="12"/>
  <c r="O15" i="20" s="1"/>
  <c r="J3" i="6"/>
  <c r="P3" i="3"/>
  <c r="Q5" i="20" s="1"/>
  <c r="O4" i="3"/>
  <c r="R36" i="26" s="1"/>
  <c r="B56" i="3"/>
  <c r="B75" i="3"/>
  <c r="I4" i="6"/>
  <c r="DR6" i="17" l="1"/>
  <c r="DR8" i="17"/>
  <c r="DR10" i="17"/>
  <c r="DR9" i="17"/>
  <c r="DN40" i="22"/>
  <c r="DO10" i="22"/>
  <c r="DO10" i="23"/>
  <c r="DR40" i="21"/>
  <c r="DO8" i="23"/>
  <c r="DO8" i="22"/>
  <c r="DP8" i="24"/>
  <c r="DP10" i="24"/>
  <c r="DP6" i="24"/>
  <c r="DP9" i="24"/>
  <c r="DP7" i="24"/>
  <c r="DS10" i="21"/>
  <c r="DS7" i="21"/>
  <c r="DS8" i="21"/>
  <c r="DS9" i="21"/>
  <c r="DS6" i="21"/>
  <c r="DQ8" i="25"/>
  <c r="DQ9" i="25"/>
  <c r="DQ10" i="25"/>
  <c r="DQ6" i="25"/>
  <c r="DQ7" i="25"/>
  <c r="DN42" i="23"/>
  <c r="DN40" i="23" s="1"/>
  <c r="DO9" i="23"/>
  <c r="DO9" i="22"/>
  <c r="DO7" i="23"/>
  <c r="DO7" i="22"/>
  <c r="DR4" i="24"/>
  <c r="DQ3" i="24"/>
  <c r="DT4" i="17"/>
  <c r="DS3" i="17"/>
  <c r="DS7" i="17" s="1"/>
  <c r="DO40" i="24"/>
  <c r="DO6" i="23"/>
  <c r="DQ40" i="17"/>
  <c r="DO6" i="22"/>
  <c r="P12" i="20"/>
  <c r="O5" i="3" s="1"/>
  <c r="P29" i="20"/>
  <c r="O8" i="3" s="1"/>
  <c r="Q11" i="12"/>
  <c r="P19" i="20" s="1"/>
  <c r="Q26" i="20"/>
  <c r="Q28" i="20"/>
  <c r="DS4" i="25"/>
  <c r="DR3" i="25"/>
  <c r="DP40" i="25"/>
  <c r="Q10" i="20"/>
  <c r="Q11" i="20"/>
  <c r="DR4" i="23"/>
  <c r="DQ3" i="23"/>
  <c r="Q6" i="20"/>
  <c r="Q8" i="20" s="1"/>
  <c r="Q12" i="20" s="1"/>
  <c r="P5" i="3" s="1"/>
  <c r="Q7" i="20"/>
  <c r="DS4" i="22"/>
  <c r="DR3" i="22"/>
  <c r="DT4" i="21"/>
  <c r="DS3" i="21"/>
  <c r="Q9" i="12"/>
  <c r="P17" i="20" s="1"/>
  <c r="Q12" i="12"/>
  <c r="P20" i="20" s="1"/>
  <c r="Q10" i="12"/>
  <c r="P18" i="20" s="1"/>
  <c r="Q7" i="12"/>
  <c r="P15" i="20" s="1"/>
  <c r="Q6" i="12"/>
  <c r="P14" i="20" s="1"/>
  <c r="Q13" i="12"/>
  <c r="P21" i="20" s="1"/>
  <c r="Q8" i="12"/>
  <c r="P16" i="20" s="1"/>
  <c r="R5" i="12"/>
  <c r="R18" i="12" s="1"/>
  <c r="R20" i="12" s="1"/>
  <c r="Q27" i="20" s="1"/>
  <c r="K3" i="6"/>
  <c r="Q3" i="3"/>
  <c r="R5" i="20" s="1"/>
  <c r="P4" i="3"/>
  <c r="S36" i="26" s="1"/>
  <c r="B57" i="3"/>
  <c r="B76" i="3"/>
  <c r="J4" i="6"/>
  <c r="DS6" i="17" l="1"/>
  <c r="DS10" i="17"/>
  <c r="DS9" i="17"/>
  <c r="DS8" i="17"/>
  <c r="DO40" i="22"/>
  <c r="DO42" i="23"/>
  <c r="DS40" i="21"/>
  <c r="DP10" i="23"/>
  <c r="DP10" i="22"/>
  <c r="DP40" i="24"/>
  <c r="DT10" i="21"/>
  <c r="DT6" i="21"/>
  <c r="DT7" i="21"/>
  <c r="DT8" i="21"/>
  <c r="DT9" i="21"/>
  <c r="DU4" i="17"/>
  <c r="DT3" i="17"/>
  <c r="DT9" i="17" s="1"/>
  <c r="DP7" i="22"/>
  <c r="DP7" i="23"/>
  <c r="DR9" i="25"/>
  <c r="DR7" i="25"/>
  <c r="DR6" i="25"/>
  <c r="DR10" i="25"/>
  <c r="DR8" i="25"/>
  <c r="DO41" i="23"/>
  <c r="DQ7" i="24"/>
  <c r="DQ6" i="24"/>
  <c r="DQ10" i="24"/>
  <c r="DQ8" i="24"/>
  <c r="DQ9" i="24"/>
  <c r="DP9" i="23"/>
  <c r="DP9" i="22"/>
  <c r="DR40" i="17"/>
  <c r="DP41" i="23" s="1"/>
  <c r="DP6" i="22"/>
  <c r="DP6" i="23"/>
  <c r="DR3" i="24"/>
  <c r="DS4" i="24"/>
  <c r="DP8" i="23"/>
  <c r="DP8" i="22"/>
  <c r="Q29" i="20"/>
  <c r="P8" i="3" s="1"/>
  <c r="R11" i="12"/>
  <c r="Q19" i="20" s="1"/>
  <c r="R26" i="20"/>
  <c r="R28" i="20"/>
  <c r="DQ40" i="25"/>
  <c r="DT4" i="25"/>
  <c r="DS3" i="25"/>
  <c r="R10" i="20"/>
  <c r="R11" i="20"/>
  <c r="DS4" i="23"/>
  <c r="DR3" i="23"/>
  <c r="DT4" i="22"/>
  <c r="DS3" i="22"/>
  <c r="R6" i="20"/>
  <c r="R7" i="20"/>
  <c r="DU4" i="21"/>
  <c r="DT3" i="21"/>
  <c r="R12" i="12"/>
  <c r="Q20" i="20" s="1"/>
  <c r="R10" i="12"/>
  <c r="Q18" i="20" s="1"/>
  <c r="R9" i="12"/>
  <c r="Q17" i="20" s="1"/>
  <c r="R7" i="12"/>
  <c r="Q15" i="20" s="1"/>
  <c r="R13" i="12"/>
  <c r="Q21" i="20" s="1"/>
  <c r="R8" i="12"/>
  <c r="Q16" i="20" s="1"/>
  <c r="R6" i="12"/>
  <c r="Q14" i="20" s="1"/>
  <c r="S5" i="12"/>
  <c r="S18" i="12" s="1"/>
  <c r="S20" i="12" s="1"/>
  <c r="R27" i="20" s="1"/>
  <c r="L3" i="6"/>
  <c r="Q4" i="3"/>
  <c r="T36" i="26" s="1"/>
  <c r="R3" i="3"/>
  <c r="B58" i="3"/>
  <c r="B77" i="3"/>
  <c r="K4" i="6"/>
  <c r="DT6" i="17" l="1"/>
  <c r="S5" i="20"/>
  <c r="S11" i="20" s="1"/>
  <c r="DT8" i="17"/>
  <c r="DT7" i="17"/>
  <c r="DT10" i="17"/>
  <c r="DP40" i="22"/>
  <c r="DP42" i="23"/>
  <c r="DP40" i="23" s="1"/>
  <c r="DQ10" i="23"/>
  <c r="DQ10" i="22"/>
  <c r="DQ8" i="23"/>
  <c r="DQ8" i="22"/>
  <c r="DQ40" i="24"/>
  <c r="DQ9" i="23"/>
  <c r="DQ9" i="22"/>
  <c r="DQ7" i="22"/>
  <c r="DQ7" i="23"/>
  <c r="DU9" i="21"/>
  <c r="DU8" i="21"/>
  <c r="DU7" i="21"/>
  <c r="DU10" i="21"/>
  <c r="DU6" i="21"/>
  <c r="DT4" i="24"/>
  <c r="DS3" i="24"/>
  <c r="DS9" i="25"/>
  <c r="DS7" i="25"/>
  <c r="DS6" i="25"/>
  <c r="DS10" i="25"/>
  <c r="DS8" i="25"/>
  <c r="DR9" i="24"/>
  <c r="DR10" i="24"/>
  <c r="DR7" i="24"/>
  <c r="DR8" i="24"/>
  <c r="DR6" i="24"/>
  <c r="DV4" i="17"/>
  <c r="DU3" i="17"/>
  <c r="DU10" i="17" s="1"/>
  <c r="DT40" i="21"/>
  <c r="DS40" i="17"/>
  <c r="DQ6" i="22"/>
  <c r="DQ6" i="23"/>
  <c r="DO40" i="23"/>
  <c r="R29" i="20"/>
  <c r="Q8" i="3" s="1"/>
  <c r="R8" i="20"/>
  <c r="R12" i="20" s="1"/>
  <c r="Q5" i="3" s="1"/>
  <c r="S26" i="20"/>
  <c r="S28" i="20"/>
  <c r="DU4" i="25"/>
  <c r="DT3" i="25"/>
  <c r="DR40" i="25"/>
  <c r="S10" i="20"/>
  <c r="DT4" i="23"/>
  <c r="DS3" i="23"/>
  <c r="S6" i="20"/>
  <c r="S7" i="20"/>
  <c r="DT3" i="22"/>
  <c r="DU4" i="22"/>
  <c r="DV4" i="21"/>
  <c r="DU3" i="21"/>
  <c r="R14" i="12"/>
  <c r="S9" i="12"/>
  <c r="R17" i="20" s="1"/>
  <c r="S10" i="12"/>
  <c r="R18" i="20" s="1"/>
  <c r="S13" i="12"/>
  <c r="R21" i="20" s="1"/>
  <c r="S6" i="12"/>
  <c r="R14" i="20" s="1"/>
  <c r="S7" i="12"/>
  <c r="R15" i="20" s="1"/>
  <c r="S8" i="12"/>
  <c r="R16" i="20" s="1"/>
  <c r="S12" i="12"/>
  <c r="R20" i="20" s="1"/>
  <c r="T5" i="12"/>
  <c r="T18" i="12" s="1"/>
  <c r="T20" i="12" s="1"/>
  <c r="S27" i="20" s="1"/>
  <c r="M3" i="6"/>
  <c r="R4" i="3"/>
  <c r="U36" i="26" s="1"/>
  <c r="S3" i="3"/>
  <c r="T5" i="20" s="1"/>
  <c r="B59" i="3"/>
  <c r="B78" i="3"/>
  <c r="L4" i="6"/>
  <c r="DU6" i="17" l="1"/>
  <c r="S29" i="20"/>
  <c r="R8" i="3" s="1"/>
  <c r="DU9" i="17"/>
  <c r="DU7" i="17"/>
  <c r="DU8" i="17"/>
  <c r="Q22" i="20"/>
  <c r="Q24" i="20" s="1"/>
  <c r="DQ42" i="23"/>
  <c r="DV8" i="21"/>
  <c r="DV6" i="21"/>
  <c r="DV7" i="21"/>
  <c r="DV9" i="21"/>
  <c r="DV10" i="21"/>
  <c r="DT10" i="25"/>
  <c r="DT6" i="25"/>
  <c r="DT9" i="25"/>
  <c r="DT7" i="25"/>
  <c r="DT8" i="25"/>
  <c r="DU4" i="24"/>
  <c r="DT3" i="24"/>
  <c r="DR8" i="22"/>
  <c r="DR8" i="23"/>
  <c r="DQ40" i="22"/>
  <c r="DR40" i="24"/>
  <c r="DU40" i="21"/>
  <c r="DR10" i="23"/>
  <c r="DR10" i="22"/>
  <c r="DR7" i="23"/>
  <c r="DR7" i="22"/>
  <c r="DQ41" i="23"/>
  <c r="DW4" i="17"/>
  <c r="DV3" i="17"/>
  <c r="DV7" i="17" s="1"/>
  <c r="DR9" i="23"/>
  <c r="DR9" i="22"/>
  <c r="DS10" i="24"/>
  <c r="DS6" i="24"/>
  <c r="DS9" i="24"/>
  <c r="DS8" i="24"/>
  <c r="DS7" i="24"/>
  <c r="DR6" i="22"/>
  <c r="DR6" i="23"/>
  <c r="DT40" i="17"/>
  <c r="DR41" i="23" s="1"/>
  <c r="S11" i="12"/>
  <c r="R19" i="20" s="1"/>
  <c r="S8" i="20"/>
  <c r="S12" i="20" s="1"/>
  <c r="R5" i="3" s="1"/>
  <c r="T26" i="20"/>
  <c r="T28" i="20"/>
  <c r="DS40" i="25"/>
  <c r="DV4" i="25"/>
  <c r="DU3" i="25"/>
  <c r="T10" i="20"/>
  <c r="T11" i="20"/>
  <c r="DU4" i="23"/>
  <c r="DT3" i="23"/>
  <c r="DV4" i="22"/>
  <c r="DU3" i="22"/>
  <c r="T6" i="20"/>
  <c r="T7" i="20"/>
  <c r="DV3" i="21"/>
  <c r="DW4" i="21"/>
  <c r="Q14" i="12"/>
  <c r="P22" i="20" s="1"/>
  <c r="P6" i="3"/>
  <c r="T6" i="12"/>
  <c r="S14" i="20" s="1"/>
  <c r="T10" i="12"/>
  <c r="S18" i="20" s="1"/>
  <c r="T9" i="12"/>
  <c r="S17" i="20" s="1"/>
  <c r="T8" i="12"/>
  <c r="S16" i="20" s="1"/>
  <c r="T7" i="12"/>
  <c r="S15" i="20" s="1"/>
  <c r="T13" i="12"/>
  <c r="S21" i="20" s="1"/>
  <c r="T12" i="12"/>
  <c r="S20" i="20" s="1"/>
  <c r="T3" i="3"/>
  <c r="U5" i="12"/>
  <c r="U18" i="12" s="1"/>
  <c r="U20" i="12" s="1"/>
  <c r="N3" i="6"/>
  <c r="B60" i="3"/>
  <c r="B79" i="3"/>
  <c r="M4" i="6"/>
  <c r="DV10" i="17" l="1"/>
  <c r="DV9" i="17"/>
  <c r="P7" i="3"/>
  <c r="Q31" i="20"/>
  <c r="P9" i="3" s="1"/>
  <c r="DV6" i="17"/>
  <c r="DV8" i="17"/>
  <c r="DQ40" i="23"/>
  <c r="DR40" i="22"/>
  <c r="DS40" i="24"/>
  <c r="DW10" i="21"/>
  <c r="DW6" i="21"/>
  <c r="DW7" i="21"/>
  <c r="DW8" i="21"/>
  <c r="DW9" i="21"/>
  <c r="DU9" i="25"/>
  <c r="DU7" i="25"/>
  <c r="DU10" i="25"/>
  <c r="DU6" i="25"/>
  <c r="DU8" i="25"/>
  <c r="DR42" i="23"/>
  <c r="DR40" i="23" s="1"/>
  <c r="DS8" i="23"/>
  <c r="DS8" i="22"/>
  <c r="DU3" i="24"/>
  <c r="DV4" i="24"/>
  <c r="DX4" i="17"/>
  <c r="DW3" i="17"/>
  <c r="DW9" i="17" s="1"/>
  <c r="DS7" i="23"/>
  <c r="DS7" i="22"/>
  <c r="DS9" i="23"/>
  <c r="DS9" i="22"/>
  <c r="DS10" i="23"/>
  <c r="DS10" i="22"/>
  <c r="DV40" i="21"/>
  <c r="DS6" i="22"/>
  <c r="DS6" i="23"/>
  <c r="DU40" i="17"/>
  <c r="DS41" i="23" s="1"/>
  <c r="DT6" i="24"/>
  <c r="DT10" i="24"/>
  <c r="DT9" i="24"/>
  <c r="DT8" i="24"/>
  <c r="DT7" i="24"/>
  <c r="T11" i="12"/>
  <c r="S19" i="20" s="1"/>
  <c r="T29" i="20"/>
  <c r="T8" i="20"/>
  <c r="T12" i="20" s="1"/>
  <c r="U11" i="12"/>
  <c r="T19" i="20" s="1"/>
  <c r="DW4" i="25"/>
  <c r="DV3" i="25"/>
  <c r="DT40" i="25"/>
  <c r="O6" i="3"/>
  <c r="P24" i="20"/>
  <c r="DV4" i="23"/>
  <c r="DU3" i="23"/>
  <c r="DW4" i="22"/>
  <c r="DV3" i="22"/>
  <c r="DX4" i="21"/>
  <c r="DW3" i="21"/>
  <c r="S14" i="12"/>
  <c r="U7" i="12"/>
  <c r="T15" i="20" s="1"/>
  <c r="U10" i="12"/>
  <c r="T18" i="20" s="1"/>
  <c r="U6" i="12"/>
  <c r="T14" i="20" s="1"/>
  <c r="U8" i="12"/>
  <c r="T16" i="20" s="1"/>
  <c r="U13" i="12"/>
  <c r="T21" i="20" s="1"/>
  <c r="U9" i="12"/>
  <c r="T17" i="20" s="1"/>
  <c r="U12" i="12"/>
  <c r="T20" i="20" s="1"/>
  <c r="O3" i="6"/>
  <c r="B61" i="3"/>
  <c r="B80" i="3"/>
  <c r="N4" i="6"/>
  <c r="DW6" i="17" l="1"/>
  <c r="DW10" i="17"/>
  <c r="DW8" i="17"/>
  <c r="DW7" i="17"/>
  <c r="R22" i="20"/>
  <c r="R24" i="20" s="1"/>
  <c r="Q7" i="3" s="1"/>
  <c r="DS42" i="23"/>
  <c r="DS40" i="23" s="1"/>
  <c r="DX10" i="21"/>
  <c r="DX6" i="21"/>
  <c r="DX7" i="21"/>
  <c r="DX8" i="21"/>
  <c r="DX9" i="21"/>
  <c r="DS40" i="22"/>
  <c r="DU7" i="24"/>
  <c r="DU9" i="24"/>
  <c r="DU8" i="24"/>
  <c r="DU10" i="24"/>
  <c r="DU6" i="24"/>
  <c r="DT8" i="23"/>
  <c r="DT8" i="22"/>
  <c r="DV9" i="25"/>
  <c r="DV6" i="25"/>
  <c r="DV8" i="25"/>
  <c r="DV7" i="25"/>
  <c r="DV10" i="25"/>
  <c r="DT40" i="24"/>
  <c r="DY4" i="17"/>
  <c r="DX3" i="17"/>
  <c r="DX6" i="17" s="1"/>
  <c r="DT10" i="23"/>
  <c r="DT10" i="22"/>
  <c r="DW40" i="21"/>
  <c r="DT7" i="22"/>
  <c r="DT7" i="23"/>
  <c r="DW4" i="24"/>
  <c r="DV3" i="24"/>
  <c r="DT9" i="23"/>
  <c r="DT9" i="22"/>
  <c r="DV40" i="17"/>
  <c r="DT41" i="23" s="1"/>
  <c r="DT6" i="23"/>
  <c r="DT6" i="22"/>
  <c r="O7" i="3"/>
  <c r="P31" i="20"/>
  <c r="O9" i="3" s="1"/>
  <c r="DU40" i="25"/>
  <c r="DX4" i="25"/>
  <c r="DW3" i="25"/>
  <c r="DW4" i="23"/>
  <c r="DV3" i="23"/>
  <c r="DX4" i="22"/>
  <c r="DW3" i="22"/>
  <c r="DY4" i="21"/>
  <c r="DX3" i="21"/>
  <c r="O15" i="3"/>
  <c r="P15" i="3"/>
  <c r="U14" i="12"/>
  <c r="T22" i="20" s="1"/>
  <c r="T14" i="12"/>
  <c r="S22" i="20" s="1"/>
  <c r="Q6" i="3"/>
  <c r="P3" i="6"/>
  <c r="B62" i="3"/>
  <c r="B81" i="3"/>
  <c r="O4" i="6"/>
  <c r="DX9" i="17" l="1"/>
  <c r="R31" i="20"/>
  <c r="Q9" i="3" s="1"/>
  <c r="DX10" i="17"/>
  <c r="DX7" i="17"/>
  <c r="DX8" i="17"/>
  <c r="DT42" i="23"/>
  <c r="DT40" i="23" s="1"/>
  <c r="DV8" i="24"/>
  <c r="DV6" i="24"/>
  <c r="DV7" i="24"/>
  <c r="DV9" i="24"/>
  <c r="DV10" i="24"/>
  <c r="DU40" i="24"/>
  <c r="DT40" i="22"/>
  <c r="DZ4" i="17"/>
  <c r="DY3" i="17"/>
  <c r="DY9" i="17" s="1"/>
  <c r="DU9" i="23"/>
  <c r="DU9" i="22"/>
  <c r="DU7" i="22"/>
  <c r="DU7" i="23"/>
  <c r="DW9" i="25"/>
  <c r="DW7" i="25"/>
  <c r="DW6" i="25"/>
  <c r="DW10" i="25"/>
  <c r="DW8" i="25"/>
  <c r="DY9" i="21"/>
  <c r="DY7" i="21"/>
  <c r="DY8" i="21"/>
  <c r="DY10" i="21"/>
  <c r="DY6" i="21"/>
  <c r="DX4" i="24"/>
  <c r="DW3" i="24"/>
  <c r="DU6" i="22"/>
  <c r="DU6" i="23"/>
  <c r="DW40" i="17"/>
  <c r="DU41" i="23" s="1"/>
  <c r="DX40" i="21"/>
  <c r="DU10" i="22"/>
  <c r="DU10" i="23"/>
  <c r="DU8" i="23"/>
  <c r="DU8" i="22"/>
  <c r="T24" i="20"/>
  <c r="DV40" i="25"/>
  <c r="DY4" i="25"/>
  <c r="DX3" i="25"/>
  <c r="S24" i="20"/>
  <c r="DX4" i="23"/>
  <c r="DW3" i="23"/>
  <c r="DX3" i="22"/>
  <c r="DY4" i="22"/>
  <c r="DZ4" i="21"/>
  <c r="DY3" i="21"/>
  <c r="R6" i="3"/>
  <c r="Q3" i="6"/>
  <c r="B63" i="3"/>
  <c r="B82" i="3"/>
  <c r="P4" i="6"/>
  <c r="DY10" i="17" l="1"/>
  <c r="DY7" i="17"/>
  <c r="DY8" i="17"/>
  <c r="DY6" i="17"/>
  <c r="DV7" i="23"/>
  <c r="DV7" i="22"/>
  <c r="DV10" i="23"/>
  <c r="DV10" i="22"/>
  <c r="DY4" i="24"/>
  <c r="DX3" i="24"/>
  <c r="DZ7" i="21"/>
  <c r="DZ8" i="21"/>
  <c r="DZ6" i="21"/>
  <c r="DZ10" i="21"/>
  <c r="DZ9" i="21"/>
  <c r="DX9" i="25"/>
  <c r="DX7" i="25"/>
  <c r="DX10" i="25"/>
  <c r="DX8" i="25"/>
  <c r="DX6" i="25"/>
  <c r="DV9" i="23"/>
  <c r="DV9" i="22"/>
  <c r="DW9" i="24"/>
  <c r="DW6" i="24"/>
  <c r="DW7" i="24"/>
  <c r="DW10" i="24"/>
  <c r="DW8" i="24"/>
  <c r="DV6" i="23"/>
  <c r="DV6" i="22"/>
  <c r="DX40" i="17"/>
  <c r="DV41" i="23" s="1"/>
  <c r="DU42" i="23"/>
  <c r="DU40" i="23" s="1"/>
  <c r="DY40" i="21"/>
  <c r="DV8" i="23"/>
  <c r="DV8" i="22"/>
  <c r="DU40" i="22"/>
  <c r="EA4" i="17"/>
  <c r="DZ3" i="17"/>
  <c r="DZ9" i="17" s="1"/>
  <c r="DV40" i="24"/>
  <c r="R7" i="3"/>
  <c r="S31" i="20"/>
  <c r="R9" i="3" s="1"/>
  <c r="T31" i="20"/>
  <c r="DW40" i="25"/>
  <c r="DZ4" i="25"/>
  <c r="DY3" i="25"/>
  <c r="DY4" i="23"/>
  <c r="DX3" i="23"/>
  <c r="DZ4" i="22"/>
  <c r="DY3" i="22"/>
  <c r="EA4" i="21"/>
  <c r="DZ3" i="21"/>
  <c r="Q15" i="3"/>
  <c r="R3" i="6"/>
  <c r="B83" i="3"/>
  <c r="Q4" i="6"/>
  <c r="DZ6" i="17" l="1"/>
  <c r="DZ8" i="17"/>
  <c r="DZ10" i="17"/>
  <c r="DZ7" i="17"/>
  <c r="DY6" i="25"/>
  <c r="DY9" i="25"/>
  <c r="DY10" i="25"/>
  <c r="DY7" i="25"/>
  <c r="DY8" i="25"/>
  <c r="DW10" i="23"/>
  <c r="DW10" i="22"/>
  <c r="EA10" i="21"/>
  <c r="EA9" i="21"/>
  <c r="EA6" i="21"/>
  <c r="EA7" i="21"/>
  <c r="EA8" i="21"/>
  <c r="DY40" i="17"/>
  <c r="DW41" i="23" s="1"/>
  <c r="DW6" i="23"/>
  <c r="DW6" i="22"/>
  <c r="DV40" i="22"/>
  <c r="DZ40" i="21"/>
  <c r="DX7" i="24"/>
  <c r="DX10" i="24"/>
  <c r="DX6" i="24"/>
  <c r="DX9" i="24"/>
  <c r="DX8" i="24"/>
  <c r="EB4" i="17"/>
  <c r="EA3" i="17"/>
  <c r="EA9" i="17" s="1"/>
  <c r="DW8" i="23"/>
  <c r="DW8" i="22"/>
  <c r="DV42" i="23"/>
  <c r="DV40" i="23" s="1"/>
  <c r="DW40" i="24"/>
  <c r="DY3" i="24"/>
  <c r="DZ4" i="24"/>
  <c r="DW9" i="22"/>
  <c r="DW9" i="23"/>
  <c r="DW7" i="23"/>
  <c r="DW7" i="22"/>
  <c r="EA4" i="25"/>
  <c r="DZ3" i="25"/>
  <c r="DX40" i="25"/>
  <c r="DZ4" i="23"/>
  <c r="DY3" i="23"/>
  <c r="EA4" i="22"/>
  <c r="DZ3" i="22"/>
  <c r="EB4" i="21"/>
  <c r="EA3" i="21"/>
  <c r="S3" i="6"/>
  <c r="T3" i="6" s="1"/>
  <c r="R4" i="6"/>
  <c r="EA6" i="17" l="1"/>
  <c r="EA10" i="17"/>
  <c r="EA7" i="17"/>
  <c r="EA8" i="17"/>
  <c r="DX40" i="24"/>
  <c r="DX10" i="23"/>
  <c r="DX10" i="22"/>
  <c r="EA40" i="21"/>
  <c r="EB10" i="21"/>
  <c r="EB7" i="21"/>
  <c r="EB8" i="21"/>
  <c r="EB9" i="21"/>
  <c r="EB6" i="21"/>
  <c r="DZ7" i="25"/>
  <c r="DZ9" i="25"/>
  <c r="DZ6" i="25"/>
  <c r="DZ10" i="25"/>
  <c r="DZ8" i="25"/>
  <c r="EA4" i="24"/>
  <c r="DZ3" i="24"/>
  <c r="EC4" i="17"/>
  <c r="EB3" i="17"/>
  <c r="EB7" i="17" s="1"/>
  <c r="DX7" i="23"/>
  <c r="DX7" i="22"/>
  <c r="DX8" i="22"/>
  <c r="DX8" i="23"/>
  <c r="DY7" i="24"/>
  <c r="DY6" i="24"/>
  <c r="DY9" i="24"/>
  <c r="DY8" i="24"/>
  <c r="DY10" i="24"/>
  <c r="DW40" i="22"/>
  <c r="DX9" i="23"/>
  <c r="DX9" i="22"/>
  <c r="DW42" i="23"/>
  <c r="DW40" i="23" s="1"/>
  <c r="DZ40" i="17"/>
  <c r="DX41" i="23" s="1"/>
  <c r="DX6" i="22"/>
  <c r="DX6" i="23"/>
  <c r="DY40" i="25"/>
  <c r="EB4" i="25"/>
  <c r="EA3" i="25"/>
  <c r="EA4" i="23"/>
  <c r="DZ3" i="23"/>
  <c r="EB4" i="22"/>
  <c r="EA3" i="22"/>
  <c r="EB3" i="21"/>
  <c r="EC4" i="21"/>
  <c r="R15" i="3"/>
  <c r="EB6" i="17" l="1"/>
  <c r="EB10" i="17"/>
  <c r="EB8" i="17"/>
  <c r="EB9" i="17"/>
  <c r="DX42" i="23"/>
  <c r="DX40" i="23" s="1"/>
  <c r="DX40" i="22"/>
  <c r="DY6" i="22"/>
  <c r="EA40" i="17"/>
  <c r="DY41" i="23" s="1"/>
  <c r="DY6" i="23"/>
  <c r="EC8" i="21"/>
  <c r="EC7" i="21"/>
  <c r="EC6" i="21"/>
  <c r="EC9" i="21"/>
  <c r="EC10" i="21"/>
  <c r="EA7" i="25"/>
  <c r="EA9" i="25"/>
  <c r="EA10" i="25"/>
  <c r="EA6" i="25"/>
  <c r="EA8" i="25"/>
  <c r="DY40" i="24"/>
  <c r="ED4" i="17"/>
  <c r="EC3" i="17"/>
  <c r="EC8" i="17" s="1"/>
  <c r="EB40" i="21"/>
  <c r="DY8" i="23"/>
  <c r="DY8" i="22"/>
  <c r="DZ10" i="24"/>
  <c r="DZ6" i="24"/>
  <c r="DZ8" i="24"/>
  <c r="DZ7" i="24"/>
  <c r="DZ9" i="24"/>
  <c r="DY10" i="23"/>
  <c r="DY10" i="22"/>
  <c r="EB4" i="24"/>
  <c r="EA3" i="24"/>
  <c r="DY9" i="22"/>
  <c r="DY9" i="23"/>
  <c r="DY7" i="23"/>
  <c r="DY7" i="22"/>
  <c r="DZ40" i="25"/>
  <c r="EC4" i="25"/>
  <c r="EB3" i="25"/>
  <c r="EA3" i="23"/>
  <c r="EB4" i="23"/>
  <c r="EC4" i="22"/>
  <c r="EB3" i="22"/>
  <c r="EC3" i="21"/>
  <c r="ED4" i="21"/>
  <c r="EC6" i="17" l="1"/>
  <c r="EC9" i="17"/>
  <c r="EC10" i="17"/>
  <c r="EC7" i="17"/>
  <c r="EC40" i="21"/>
  <c r="DZ6" i="22"/>
  <c r="DZ6" i="23"/>
  <c r="EB40" i="17"/>
  <c r="DZ41" i="23" s="1"/>
  <c r="DY40" i="22"/>
  <c r="DZ10" i="23"/>
  <c r="DZ10" i="22"/>
  <c r="ED6" i="21"/>
  <c r="ED7" i="21"/>
  <c r="ED9" i="21"/>
  <c r="ED8" i="21"/>
  <c r="ED10" i="21"/>
  <c r="EB8" i="25"/>
  <c r="EB9" i="25"/>
  <c r="EB10" i="25"/>
  <c r="EB6" i="25"/>
  <c r="EB7" i="25"/>
  <c r="EA10" i="24"/>
  <c r="EA8" i="24"/>
  <c r="EA7" i="24"/>
  <c r="EA6" i="24"/>
  <c r="EA9" i="24"/>
  <c r="DZ8" i="23"/>
  <c r="DZ8" i="22"/>
  <c r="EC4" i="24"/>
  <c r="EB3" i="24"/>
  <c r="DZ40" i="24"/>
  <c r="EE4" i="17"/>
  <c r="ED3" i="17"/>
  <c r="ED8" i="17" s="1"/>
  <c r="DY42" i="23"/>
  <c r="DY40" i="23" s="1"/>
  <c r="DZ9" i="23"/>
  <c r="DZ9" i="22"/>
  <c r="DZ7" i="23"/>
  <c r="DZ7" i="22"/>
  <c r="ED4" i="25"/>
  <c r="EC3" i="25"/>
  <c r="EA40" i="25"/>
  <c r="EC4" i="23"/>
  <c r="EB3" i="23"/>
  <c r="ED4" i="22"/>
  <c r="EC3" i="22"/>
  <c r="ED3" i="21"/>
  <c r="EE4" i="21"/>
  <c r="ED9" i="17" l="1"/>
  <c r="ED6" i="17"/>
  <c r="ED10" i="17"/>
  <c r="ED7" i="17"/>
  <c r="EA40" i="24"/>
  <c r="DZ42" i="23"/>
  <c r="DZ40" i="23" s="1"/>
  <c r="EA10" i="23"/>
  <c r="EA10" i="22"/>
  <c r="EE10" i="21"/>
  <c r="EE8" i="21"/>
  <c r="EE9" i="21"/>
  <c r="EE6" i="21"/>
  <c r="EE7" i="21"/>
  <c r="EB6" i="24"/>
  <c r="EB9" i="24"/>
  <c r="EB8" i="24"/>
  <c r="EB10" i="24"/>
  <c r="EB7" i="24"/>
  <c r="EC40" i="17"/>
  <c r="EA41" i="23" s="1"/>
  <c r="EA6" i="23"/>
  <c r="EA6" i="22"/>
  <c r="DZ40" i="22"/>
  <c r="EC9" i="25"/>
  <c r="EC7" i="25"/>
  <c r="EC10" i="25"/>
  <c r="EC8" i="25"/>
  <c r="EC6" i="25"/>
  <c r="EC3" i="24"/>
  <c r="ED4" i="24"/>
  <c r="EA8" i="23"/>
  <c r="EA8" i="22"/>
  <c r="ED40" i="21"/>
  <c r="EF4" i="17"/>
  <c r="EE3" i="17"/>
  <c r="EE8" i="17" s="1"/>
  <c r="EA9" i="23"/>
  <c r="EA9" i="22"/>
  <c r="EA7" i="22"/>
  <c r="EA7" i="23"/>
  <c r="EB40" i="25"/>
  <c r="EE4" i="25"/>
  <c r="ED3" i="25"/>
  <c r="ED4" i="23"/>
  <c r="EC3" i="23"/>
  <c r="EE4" i="22"/>
  <c r="ED3" i="22"/>
  <c r="EF4" i="21"/>
  <c r="EE3" i="21"/>
  <c r="EE6" i="17" l="1"/>
  <c r="EE7" i="17"/>
  <c r="EE10" i="17"/>
  <c r="EE9" i="17"/>
  <c r="EB9" i="23"/>
  <c r="EB9" i="22"/>
  <c r="EA42" i="23"/>
  <c r="EA40" i="23" s="1"/>
  <c r="EE40" i="21"/>
  <c r="ED3" i="24"/>
  <c r="EE4" i="24"/>
  <c r="EB10" i="23"/>
  <c r="EB10" i="22"/>
  <c r="ED9" i="25"/>
  <c r="ED8" i="25"/>
  <c r="ED7" i="25"/>
  <c r="ED10" i="25"/>
  <c r="ED6" i="25"/>
  <c r="EC10" i="24"/>
  <c r="EC9" i="24"/>
  <c r="EC7" i="24"/>
  <c r="EC6" i="24"/>
  <c r="EC8" i="24"/>
  <c r="EB8" i="23"/>
  <c r="EB8" i="22"/>
  <c r="EB40" i="24"/>
  <c r="EF10" i="21"/>
  <c r="EF6" i="21"/>
  <c r="EF7" i="21"/>
  <c r="EF8" i="21"/>
  <c r="EF9" i="21"/>
  <c r="EG4" i="17"/>
  <c r="EF3" i="17"/>
  <c r="EF7" i="17" s="1"/>
  <c r="EB6" i="22"/>
  <c r="EB6" i="23"/>
  <c r="ED40" i="17"/>
  <c r="EB41" i="23" s="1"/>
  <c r="EB7" i="22"/>
  <c r="EB7" i="23"/>
  <c r="EA40" i="22"/>
  <c r="EF4" i="25"/>
  <c r="EE3" i="25"/>
  <c r="EC40" i="25"/>
  <c r="EE4" i="23"/>
  <c r="ED3" i="23"/>
  <c r="EF4" i="22"/>
  <c r="EE3" i="22"/>
  <c r="EG4" i="21"/>
  <c r="EF3" i="21"/>
  <c r="EF9" i="17" l="1"/>
  <c r="EF6" i="17"/>
  <c r="EF8" i="17"/>
  <c r="EF10" i="17"/>
  <c r="EC40" i="24"/>
  <c r="EE40" i="17"/>
  <c r="EC41" i="23" s="1"/>
  <c r="EC6" i="23"/>
  <c r="EC6" i="22"/>
  <c r="EC9" i="23"/>
  <c r="EC9" i="22"/>
  <c r="EH4" i="17"/>
  <c r="EG3" i="17"/>
  <c r="EG7" i="17" s="1"/>
  <c r="EF40" i="21"/>
  <c r="EC10" i="23"/>
  <c r="EC10" i="22"/>
  <c r="EF4" i="24"/>
  <c r="EE3" i="24"/>
  <c r="EG8" i="21"/>
  <c r="EG7" i="21"/>
  <c r="EG9" i="21"/>
  <c r="EG10" i="21"/>
  <c r="EG6" i="21"/>
  <c r="EE6" i="25"/>
  <c r="EE9" i="25"/>
  <c r="EE10" i="25"/>
  <c r="EE8" i="25"/>
  <c r="EE7" i="25"/>
  <c r="EB42" i="23"/>
  <c r="EB40" i="23" s="1"/>
  <c r="EC8" i="23"/>
  <c r="EC8" i="22"/>
  <c r="ED6" i="24"/>
  <c r="ED7" i="24"/>
  <c r="ED10" i="24"/>
  <c r="ED8" i="24"/>
  <c r="ED9" i="24"/>
  <c r="EB40" i="22"/>
  <c r="EC7" i="22"/>
  <c r="EC7" i="23"/>
  <c r="ED40" i="25"/>
  <c r="EG4" i="25"/>
  <c r="EF3" i="25"/>
  <c r="EF4" i="23"/>
  <c r="EE3" i="23"/>
  <c r="EG4" i="22"/>
  <c r="EF3" i="22"/>
  <c r="EG3" i="21"/>
  <c r="EH4" i="21"/>
  <c r="EG6" i="17" l="1"/>
  <c r="EG8" i="17"/>
  <c r="EG10" i="17"/>
  <c r="EG9" i="17"/>
  <c r="EF9" i="25"/>
  <c r="EF7" i="25"/>
  <c r="EF8" i="25"/>
  <c r="EF10" i="25"/>
  <c r="EF6" i="25"/>
  <c r="EF3" i="24"/>
  <c r="EG4" i="24"/>
  <c r="ED10" i="23"/>
  <c r="ED10" i="22"/>
  <c r="EH6" i="21"/>
  <c r="EH7" i="21"/>
  <c r="EH8" i="21"/>
  <c r="EH9" i="21"/>
  <c r="EH10" i="21"/>
  <c r="ED6" i="23"/>
  <c r="ED6" i="22"/>
  <c r="EF40" i="17"/>
  <c r="ED41" i="23" s="1"/>
  <c r="EG40" i="21"/>
  <c r="EI4" i="17"/>
  <c r="EH3" i="17"/>
  <c r="EH7" i="17" s="1"/>
  <c r="EC40" i="22"/>
  <c r="ED8" i="23"/>
  <c r="ED8" i="22"/>
  <c r="ED40" i="24"/>
  <c r="EE7" i="24"/>
  <c r="EE10" i="24"/>
  <c r="EE8" i="24"/>
  <c r="EE9" i="24"/>
  <c r="EE6" i="24"/>
  <c r="EC42" i="23"/>
  <c r="EC40" i="23" s="1"/>
  <c r="ED9" i="23"/>
  <c r="ED9" i="22"/>
  <c r="ED7" i="23"/>
  <c r="ED7" i="22"/>
  <c r="EE40" i="25"/>
  <c r="EH4" i="25"/>
  <c r="EG3" i="25"/>
  <c r="EG4" i="23"/>
  <c r="EF3" i="23"/>
  <c r="EH4" i="22"/>
  <c r="EG3" i="22"/>
  <c r="EH3" i="21"/>
  <c r="EI4" i="21"/>
  <c r="EH10" i="17" l="1"/>
  <c r="EH9" i="17"/>
  <c r="EH6" i="17"/>
  <c r="EH8" i="17"/>
  <c r="EE40" i="24"/>
  <c r="EJ4" i="17"/>
  <c r="EI3" i="17"/>
  <c r="EI7" i="17" s="1"/>
  <c r="EE10" i="23"/>
  <c r="EE10" i="22"/>
  <c r="EG3" i="24"/>
  <c r="EH4" i="24"/>
  <c r="EG9" i="25"/>
  <c r="EG10" i="25"/>
  <c r="EG7" i="25"/>
  <c r="EG8" i="25"/>
  <c r="EG6" i="25"/>
  <c r="ED40" i="22"/>
  <c r="EE6" i="22"/>
  <c r="EG40" i="17"/>
  <c r="EE41" i="23" s="1"/>
  <c r="EE6" i="23"/>
  <c r="EH40" i="21"/>
  <c r="EF8" i="24"/>
  <c r="EF9" i="24"/>
  <c r="EF7" i="24"/>
  <c r="EF6" i="24"/>
  <c r="EF10" i="24"/>
  <c r="EI10" i="21"/>
  <c r="EI7" i="21"/>
  <c r="EI8" i="21"/>
  <c r="EI9" i="21"/>
  <c r="EI6" i="21"/>
  <c r="ED42" i="23"/>
  <c r="ED40" i="23" s="1"/>
  <c r="EE8" i="22"/>
  <c r="EE8" i="23"/>
  <c r="EE9" i="22"/>
  <c r="EE9" i="23"/>
  <c r="EE7" i="22"/>
  <c r="EE7" i="23"/>
  <c r="EH3" i="25"/>
  <c r="EI4" i="25"/>
  <c r="EF40" i="25"/>
  <c r="EH4" i="23"/>
  <c r="EG3" i="23"/>
  <c r="EI4" i="22"/>
  <c r="EH3" i="22"/>
  <c r="EJ4" i="21"/>
  <c r="EI3" i="21"/>
  <c r="EI6" i="17" l="1"/>
  <c r="EI8" i="17"/>
  <c r="EI9" i="17"/>
  <c r="EI10" i="17"/>
  <c r="O18" i="3"/>
  <c r="EE40" i="22"/>
  <c r="EF7" i="23"/>
  <c r="EF7" i="22"/>
  <c r="EF40" i="24"/>
  <c r="EH3" i="24"/>
  <c r="EI4" i="24"/>
  <c r="EF6" i="23"/>
  <c r="EH40" i="17"/>
  <c r="EF41" i="23" s="1"/>
  <c r="EF6" i="22"/>
  <c r="EJ10" i="21"/>
  <c r="EJ6" i="21"/>
  <c r="EJ7" i="21"/>
  <c r="EJ8" i="21"/>
  <c r="EJ9" i="21"/>
  <c r="EF10" i="22"/>
  <c r="EF10" i="23"/>
  <c r="EI40" i="21"/>
  <c r="EF9" i="23"/>
  <c r="EF9" i="22"/>
  <c r="EG9" i="24"/>
  <c r="EG7" i="24"/>
  <c r="EG10" i="24"/>
  <c r="EG8" i="24"/>
  <c r="EG6" i="24"/>
  <c r="EH7" i="25"/>
  <c r="EH9" i="25"/>
  <c r="EH6" i="25"/>
  <c r="EH10" i="25"/>
  <c r="EH8" i="25"/>
  <c r="EF8" i="23"/>
  <c r="EF8" i="22"/>
  <c r="EE42" i="23"/>
  <c r="EE40" i="23" s="1"/>
  <c r="EK4" i="17"/>
  <c r="EJ3" i="17"/>
  <c r="EJ8" i="17" s="1"/>
  <c r="EJ4" i="25"/>
  <c r="EI3" i="25"/>
  <c r="EG40" i="25"/>
  <c r="EI4" i="23"/>
  <c r="EH3" i="23"/>
  <c r="EJ4" i="22"/>
  <c r="EI3" i="22"/>
  <c r="EK4" i="21"/>
  <c r="EJ3" i="21"/>
  <c r="EJ6" i="17" l="1"/>
  <c r="EJ9" i="17"/>
  <c r="EJ7" i="17"/>
  <c r="EJ10" i="17"/>
  <c r="P18" i="3"/>
  <c r="EG40" i="24"/>
  <c r="EG9" i="23"/>
  <c r="EG9" i="22"/>
  <c r="EG7" i="23"/>
  <c r="EG7" i="22"/>
  <c r="EG10" i="23"/>
  <c r="EG10" i="22"/>
  <c r="EJ40" i="21"/>
  <c r="EF42" i="23"/>
  <c r="EF40" i="23" s="1"/>
  <c r="EL4" i="17"/>
  <c r="EK3" i="17"/>
  <c r="EK9" i="17" s="1"/>
  <c r="EG6" i="22"/>
  <c r="EI40" i="17"/>
  <c r="EG41" i="23" s="1"/>
  <c r="EG6" i="23"/>
  <c r="EI3" i="24"/>
  <c r="EJ4" i="24"/>
  <c r="EK9" i="21"/>
  <c r="EK8" i="21"/>
  <c r="EK7" i="21"/>
  <c r="EK10" i="21"/>
  <c r="EK6" i="21"/>
  <c r="EI9" i="25"/>
  <c r="EI6" i="25"/>
  <c r="EI7" i="25"/>
  <c r="EI10" i="25"/>
  <c r="EI8" i="25"/>
  <c r="EG8" i="23"/>
  <c r="EG8" i="22"/>
  <c r="EF40" i="22"/>
  <c r="EH6" i="24"/>
  <c r="EH9" i="24"/>
  <c r="EH10" i="24"/>
  <c r="EH8" i="24"/>
  <c r="EH7" i="24"/>
  <c r="EH40" i="25"/>
  <c r="EK4" i="25"/>
  <c r="EJ3" i="25"/>
  <c r="EJ4" i="23"/>
  <c r="EI3" i="23"/>
  <c r="EJ3" i="22"/>
  <c r="EK4" i="22"/>
  <c r="EL4" i="21"/>
  <c r="EK3" i="21"/>
  <c r="EK7" i="17" l="1"/>
  <c r="EK6" i="17"/>
  <c r="EK10" i="17"/>
  <c r="EK8" i="17"/>
  <c r="Q18" i="3"/>
  <c r="EJ3" i="24"/>
  <c r="EK4" i="24"/>
  <c r="EG42" i="23"/>
  <c r="EG40" i="23" s="1"/>
  <c r="EM4" i="17"/>
  <c r="EL3" i="17"/>
  <c r="EL9" i="17" s="1"/>
  <c r="EH8" i="23"/>
  <c r="EH8" i="22"/>
  <c r="EH40" i="24"/>
  <c r="EI7" i="24"/>
  <c r="EI10" i="24"/>
  <c r="EI9" i="24"/>
  <c r="EI6" i="24"/>
  <c r="EI8" i="24"/>
  <c r="EH9" i="23"/>
  <c r="EH9" i="22"/>
  <c r="EJ6" i="25"/>
  <c r="EJ7" i="25"/>
  <c r="EJ10" i="25"/>
  <c r="EJ8" i="25"/>
  <c r="EJ9" i="25"/>
  <c r="EG40" i="22"/>
  <c r="EH10" i="23"/>
  <c r="EH10" i="22"/>
  <c r="EH7" i="22"/>
  <c r="EH7" i="23"/>
  <c r="EL8" i="21"/>
  <c r="EL10" i="21"/>
  <c r="EL6" i="21"/>
  <c r="EL7" i="21"/>
  <c r="EL9" i="21"/>
  <c r="EK40" i="21"/>
  <c r="EH6" i="22"/>
  <c r="EJ40" i="17"/>
  <c r="EH41" i="23" s="1"/>
  <c r="EH6" i="23"/>
  <c r="EI40" i="25"/>
  <c r="EL4" i="25"/>
  <c r="EK3" i="25"/>
  <c r="EK4" i="23"/>
  <c r="EJ3" i="23"/>
  <c r="EL4" i="22"/>
  <c r="EK3" i="22"/>
  <c r="EL3" i="21"/>
  <c r="EM4" i="21"/>
  <c r="EL10" i="17" l="1"/>
  <c r="EL6" i="17"/>
  <c r="EL7" i="17"/>
  <c r="EL8" i="17"/>
  <c r="EH42" i="23"/>
  <c r="EH40" i="23" s="1"/>
  <c r="EH40" i="22"/>
  <c r="EI10" i="23"/>
  <c r="EI10" i="22"/>
  <c r="EM10" i="21"/>
  <c r="EM6" i="21"/>
  <c r="EM7" i="21"/>
  <c r="EM8" i="21"/>
  <c r="EM9" i="21"/>
  <c r="EK9" i="25"/>
  <c r="EK8" i="25"/>
  <c r="EK10" i="25"/>
  <c r="EK7" i="25"/>
  <c r="EK6" i="25"/>
  <c r="EK40" i="17"/>
  <c r="EI41" i="23" s="1"/>
  <c r="EI6" i="23"/>
  <c r="EI6" i="22"/>
  <c r="EL40" i="21"/>
  <c r="EK3" i="24"/>
  <c r="EL4" i="24"/>
  <c r="EI8" i="23"/>
  <c r="EI8" i="22"/>
  <c r="EI40" i="24"/>
  <c r="EJ6" i="24"/>
  <c r="EJ9" i="24"/>
  <c r="EJ8" i="24"/>
  <c r="EJ10" i="24"/>
  <c r="EJ7" i="24"/>
  <c r="EI9" i="23"/>
  <c r="EI9" i="22"/>
  <c r="EI7" i="23"/>
  <c r="EI7" i="22"/>
  <c r="EN4" i="17"/>
  <c r="EM3" i="17"/>
  <c r="EM9" i="17" s="1"/>
  <c r="EM4" i="25"/>
  <c r="EL3" i="25"/>
  <c r="EJ40" i="25"/>
  <c r="EL4" i="23"/>
  <c r="EK3" i="23"/>
  <c r="EM4" i="22"/>
  <c r="EL3" i="22"/>
  <c r="EN4" i="21"/>
  <c r="EM3" i="21"/>
  <c r="EM6" i="17" l="1"/>
  <c r="EM8" i="17"/>
  <c r="EM7" i="17"/>
  <c r="EM10" i="17"/>
  <c r="EL8" i="25"/>
  <c r="EL9" i="25"/>
  <c r="EL10" i="25"/>
  <c r="EL7" i="25"/>
  <c r="EL6" i="25"/>
  <c r="EJ9" i="22"/>
  <c r="EJ9" i="23"/>
  <c r="EL3" i="24"/>
  <c r="EM4" i="24"/>
  <c r="EI40" i="22"/>
  <c r="EN10" i="21"/>
  <c r="EN6" i="21"/>
  <c r="EN7" i="21"/>
  <c r="EN8" i="21"/>
  <c r="EN9" i="21"/>
  <c r="EJ7" i="23"/>
  <c r="EJ7" i="22"/>
  <c r="EK7" i="24"/>
  <c r="EK6" i="24"/>
  <c r="EK9" i="24"/>
  <c r="EK8" i="24"/>
  <c r="EK10" i="24"/>
  <c r="EJ40" i="24"/>
  <c r="EJ10" i="23"/>
  <c r="EJ10" i="22"/>
  <c r="EO4" i="17"/>
  <c r="EN3" i="17"/>
  <c r="EN10" i="17" s="1"/>
  <c r="EJ8" i="23"/>
  <c r="EJ8" i="22"/>
  <c r="EJ6" i="22"/>
  <c r="EL40" i="17"/>
  <c r="EJ41" i="23" s="1"/>
  <c r="EJ6" i="23"/>
  <c r="EI42" i="23"/>
  <c r="EI40" i="23" s="1"/>
  <c r="EM40" i="21"/>
  <c r="EK40" i="25"/>
  <c r="EN4" i="25"/>
  <c r="EM3" i="25"/>
  <c r="EM4" i="23"/>
  <c r="EL3" i="23"/>
  <c r="EN4" i="22"/>
  <c r="EM3" i="22"/>
  <c r="EO4" i="21"/>
  <c r="EN3" i="21"/>
  <c r="I5" i="1"/>
  <c r="EN6" i="17" l="1"/>
  <c r="EN9" i="17"/>
  <c r="EN8" i="17"/>
  <c r="EN7" i="17"/>
  <c r="EJ42" i="23"/>
  <c r="EJ40" i="23" s="1"/>
  <c r="EJ40" i="22"/>
  <c r="EM40" i="17"/>
  <c r="EK41" i="23" s="1"/>
  <c r="EK6" i="22"/>
  <c r="EK6" i="23"/>
  <c r="EL10" i="24"/>
  <c r="EL7" i="24"/>
  <c r="EL6" i="24"/>
  <c r="EL8" i="24"/>
  <c r="EL9" i="24"/>
  <c r="EM9" i="25"/>
  <c r="EM6" i="25"/>
  <c r="EM7" i="25"/>
  <c r="EM10" i="25"/>
  <c r="EM8" i="25"/>
  <c r="EP4" i="17"/>
  <c r="EO3" i="17"/>
  <c r="EO7" i="17" s="1"/>
  <c r="EK8" i="23"/>
  <c r="EK8" i="22"/>
  <c r="EO8" i="21"/>
  <c r="EO9" i="21"/>
  <c r="EO6" i="21"/>
  <c r="EO7" i="21"/>
  <c r="EO10" i="21"/>
  <c r="EK9" i="23"/>
  <c r="EK9" i="22"/>
  <c r="EK7" i="22"/>
  <c r="EK7" i="23"/>
  <c r="EN40" i="21"/>
  <c r="EK10" i="22"/>
  <c r="EK10" i="23"/>
  <c r="EK40" i="24"/>
  <c r="EN4" i="24"/>
  <c r="EM3" i="24"/>
  <c r="EO4" i="25"/>
  <c r="EN3" i="25"/>
  <c r="EL40" i="25"/>
  <c r="EN4" i="23"/>
  <c r="EM3" i="23"/>
  <c r="EN3" i="22"/>
  <c r="EO4" i="22"/>
  <c r="EP4" i="21"/>
  <c r="EO3" i="21"/>
  <c r="D20" i="9"/>
  <c r="K5" i="1"/>
  <c r="T5" i="1" s="1"/>
  <c r="EO6" i="17" l="1"/>
  <c r="EO8" i="17"/>
  <c r="EO10" i="17"/>
  <c r="EO9" i="17"/>
  <c r="EM6" i="24"/>
  <c r="EM7" i="24"/>
  <c r="EM10" i="24"/>
  <c r="EM9" i="24"/>
  <c r="EM8" i="24"/>
  <c r="EK40" i="22"/>
  <c r="EQ4" i="17"/>
  <c r="EP3" i="17"/>
  <c r="EP7" i="17" s="1"/>
  <c r="EL40" i="24"/>
  <c r="EK42" i="23"/>
  <c r="EK40" i="23" s="1"/>
  <c r="EL6" i="22"/>
  <c r="EN40" i="17"/>
  <c r="EL41" i="23" s="1"/>
  <c r="EL6" i="23"/>
  <c r="EO40" i="21"/>
  <c r="EL10" i="23"/>
  <c r="EL10" i="22"/>
  <c r="EN3" i="24"/>
  <c r="EO4" i="24"/>
  <c r="EL8" i="23"/>
  <c r="EL8" i="22"/>
  <c r="EP7" i="21"/>
  <c r="EP8" i="21"/>
  <c r="EP6" i="21"/>
  <c r="EP9" i="21"/>
  <c r="EP10" i="21"/>
  <c r="EN9" i="25"/>
  <c r="EN7" i="25"/>
  <c r="EN10" i="25"/>
  <c r="EN8" i="25"/>
  <c r="EN6" i="25"/>
  <c r="EL9" i="23"/>
  <c r="EL9" i="22"/>
  <c r="EL7" i="23"/>
  <c r="EL7" i="22"/>
  <c r="EM40" i="25"/>
  <c r="EP4" i="25"/>
  <c r="EO3" i="25"/>
  <c r="EO4" i="23"/>
  <c r="EN3" i="23"/>
  <c r="EP4" i="22"/>
  <c r="EO3" i="22"/>
  <c r="EQ4" i="21"/>
  <c r="EP3" i="21"/>
  <c r="W5" i="1"/>
  <c r="EP6" i="17" l="1"/>
  <c r="EP9" i="17"/>
  <c r="EP10" i="17"/>
  <c r="EP8" i="17"/>
  <c r="EM7" i="23"/>
  <c r="EM7" i="22"/>
  <c r="EO6" i="25"/>
  <c r="EO9" i="25"/>
  <c r="EO7" i="25"/>
  <c r="EO10" i="25"/>
  <c r="EO8" i="25"/>
  <c r="EM10" i="23"/>
  <c r="EM10" i="22"/>
  <c r="EO3" i="24"/>
  <c r="EP4" i="24"/>
  <c r="EL40" i="22"/>
  <c r="ER4" i="17"/>
  <c r="EQ3" i="17"/>
  <c r="EQ10" i="17" s="1"/>
  <c r="EQ10" i="21"/>
  <c r="EQ9" i="21"/>
  <c r="EQ6" i="21"/>
  <c r="EQ7" i="21"/>
  <c r="EQ8" i="21"/>
  <c r="EM6" i="22"/>
  <c r="EO40" i="17"/>
  <c r="EM41" i="23" s="1"/>
  <c r="EM6" i="23"/>
  <c r="EP40" i="21"/>
  <c r="EN8" i="24"/>
  <c r="EN7" i="24"/>
  <c r="EN9" i="24"/>
  <c r="EN6" i="24"/>
  <c r="EN10" i="24"/>
  <c r="EM8" i="23"/>
  <c r="EM8" i="22"/>
  <c r="EL42" i="23"/>
  <c r="EL40" i="23" s="1"/>
  <c r="EM9" i="23"/>
  <c r="EM9" i="22"/>
  <c r="EM40" i="24"/>
  <c r="EQ4" i="25"/>
  <c r="EP3" i="25"/>
  <c r="EN40" i="25"/>
  <c r="EP4" i="23"/>
  <c r="EO3" i="23"/>
  <c r="EQ4" i="22"/>
  <c r="EP3" i="22"/>
  <c r="ER4" i="21"/>
  <c r="EQ3" i="21"/>
  <c r="EQ6" i="17" l="1"/>
  <c r="EQ9" i="17"/>
  <c r="EQ8" i="17"/>
  <c r="EQ7" i="17"/>
  <c r="EN10" i="23"/>
  <c r="EN10" i="22"/>
  <c r="EQ4" i="24"/>
  <c r="EP3" i="24"/>
  <c r="EN7" i="23"/>
  <c r="EN7" i="22"/>
  <c r="EN8" i="22"/>
  <c r="EN8" i="23"/>
  <c r="EM42" i="23"/>
  <c r="EM40" i="23" s="1"/>
  <c r="EO8" i="24"/>
  <c r="EO10" i="24"/>
  <c r="EO6" i="24"/>
  <c r="EO7" i="24"/>
  <c r="EO9" i="24"/>
  <c r="EP9" i="25"/>
  <c r="EP7" i="25"/>
  <c r="EP6" i="25"/>
  <c r="EP10" i="25"/>
  <c r="EP8" i="25"/>
  <c r="EN9" i="23"/>
  <c r="EN9" i="22"/>
  <c r="EQ40" i="21"/>
  <c r="ES4" i="17"/>
  <c r="ER3" i="17"/>
  <c r="ER10" i="17" s="1"/>
  <c r="ER10" i="21"/>
  <c r="ER7" i="21"/>
  <c r="ER8" i="21"/>
  <c r="ER9" i="21"/>
  <c r="ER6" i="21"/>
  <c r="EN6" i="22"/>
  <c r="EN6" i="23"/>
  <c r="EP40" i="17"/>
  <c r="EN41" i="23" s="1"/>
  <c r="EN40" i="24"/>
  <c r="EM40" i="22"/>
  <c r="EO40" i="25"/>
  <c r="ER4" i="25"/>
  <c r="EQ3" i="25"/>
  <c r="EQ4" i="23"/>
  <c r="EP3" i="23"/>
  <c r="ER4" i="22"/>
  <c r="EQ3" i="22"/>
  <c r="ER3" i="21"/>
  <c r="ES4" i="21"/>
  <c r="ER9" i="17" l="1"/>
  <c r="ER6" i="17"/>
  <c r="ER8" i="17"/>
  <c r="ER7" i="17"/>
  <c r="EN42" i="23"/>
  <c r="EN40" i="23" s="1"/>
  <c r="EN40" i="22"/>
  <c r="ES9" i="21"/>
  <c r="ES8" i="21"/>
  <c r="ES7" i="21"/>
  <c r="ES10" i="21"/>
  <c r="ES6" i="21"/>
  <c r="ET4" i="17"/>
  <c r="ES3" i="17"/>
  <c r="ES10" i="17" s="1"/>
  <c r="EO40" i="24"/>
  <c r="EO6" i="22"/>
  <c r="EQ40" i="17"/>
  <c r="EO41" i="23" s="1"/>
  <c r="EO6" i="23"/>
  <c r="EO8" i="23"/>
  <c r="EO8" i="22"/>
  <c r="EQ9" i="25"/>
  <c r="EQ6" i="25"/>
  <c r="EQ7" i="25"/>
  <c r="EQ10" i="25"/>
  <c r="EQ8" i="25"/>
  <c r="ER40" i="21"/>
  <c r="EO7" i="22"/>
  <c r="EO7" i="23"/>
  <c r="EP9" i="24"/>
  <c r="EP7" i="24"/>
  <c r="EP6" i="24"/>
  <c r="EP10" i="24"/>
  <c r="EP8" i="24"/>
  <c r="EO9" i="23"/>
  <c r="EO9" i="22"/>
  <c r="EO10" i="22"/>
  <c r="EO10" i="23"/>
  <c r="EQ3" i="24"/>
  <c r="ER4" i="24"/>
  <c r="EP40" i="25"/>
  <c r="ES4" i="25"/>
  <c r="ER3" i="25"/>
  <c r="EQ3" i="23"/>
  <c r="ER4" i="23"/>
  <c r="ES4" i="22"/>
  <c r="ER3" i="22"/>
  <c r="ES3" i="21"/>
  <c r="ET4" i="21"/>
  <c r="ES6" i="17" l="1"/>
  <c r="ES7" i="17"/>
  <c r="ES8" i="17"/>
  <c r="ES9" i="17"/>
  <c r="EP40" i="24"/>
  <c r="ER40" i="17"/>
  <c r="EP41" i="23" s="1"/>
  <c r="EP6" i="23"/>
  <c r="EP6" i="22"/>
  <c r="ES4" i="24"/>
  <c r="ER3" i="24"/>
  <c r="EP10" i="23"/>
  <c r="EP10" i="22"/>
  <c r="EU4" i="17"/>
  <c r="ET3" i="17"/>
  <c r="ET6" i="17" s="1"/>
  <c r="ER9" i="25"/>
  <c r="ER7" i="25"/>
  <c r="ER6" i="25"/>
  <c r="ER10" i="25"/>
  <c r="ER8" i="25"/>
  <c r="EQ8" i="24"/>
  <c r="EQ10" i="24"/>
  <c r="EQ9" i="24"/>
  <c r="EQ7" i="24"/>
  <c r="EQ6" i="24"/>
  <c r="EP8" i="23"/>
  <c r="EP8" i="22"/>
  <c r="EO42" i="23"/>
  <c r="EO40" i="23" s="1"/>
  <c r="EO40" i="22"/>
  <c r="ET6" i="21"/>
  <c r="ET7" i="21"/>
  <c r="ET9" i="21"/>
  <c r="ET8" i="21"/>
  <c r="ET10" i="21"/>
  <c r="EP9" i="23"/>
  <c r="EP9" i="22"/>
  <c r="EP7" i="23"/>
  <c r="EP7" i="22"/>
  <c r="ES40" i="21"/>
  <c r="ET4" i="25"/>
  <c r="ES3" i="25"/>
  <c r="EQ40" i="25"/>
  <c r="ES4" i="23"/>
  <c r="ER3" i="23"/>
  <c r="ET4" i="22"/>
  <c r="ES3" i="22"/>
  <c r="ET3" i="21"/>
  <c r="EU4" i="21"/>
  <c r="ET8" i="17" l="1"/>
  <c r="ET7" i="17"/>
  <c r="ET9" i="17"/>
  <c r="ET10" i="17"/>
  <c r="EQ40" i="24"/>
  <c r="EQ9" i="23"/>
  <c r="EQ9" i="22"/>
  <c r="EQ7" i="22"/>
  <c r="EQ7" i="23"/>
  <c r="EU10" i="21"/>
  <c r="EU8" i="21"/>
  <c r="EU9" i="21"/>
  <c r="EU6" i="21"/>
  <c r="EU7" i="21"/>
  <c r="ER6" i="24"/>
  <c r="ER8" i="24"/>
  <c r="ER10" i="24"/>
  <c r="ER7" i="24"/>
  <c r="ER9" i="24"/>
  <c r="EQ10" i="23"/>
  <c r="EQ10" i="22"/>
  <c r="EP40" i="22"/>
  <c r="ES9" i="25"/>
  <c r="ES7" i="25"/>
  <c r="ES10" i="25"/>
  <c r="ES8" i="25"/>
  <c r="ES6" i="25"/>
  <c r="EV4" i="17"/>
  <c r="EU3" i="17"/>
  <c r="EU9" i="17" s="1"/>
  <c r="ES3" i="24"/>
  <c r="ET4" i="24"/>
  <c r="EQ6" i="22"/>
  <c r="ES40" i="17"/>
  <c r="EQ41" i="23" s="1"/>
  <c r="EQ6" i="23"/>
  <c r="EP42" i="23"/>
  <c r="EP40" i="23" s="1"/>
  <c r="ET40" i="21"/>
  <c r="EQ8" i="23"/>
  <c r="EQ8" i="22"/>
  <c r="ER40" i="25"/>
  <c r="EU4" i="25"/>
  <c r="ET3" i="25"/>
  <c r="ET4" i="23"/>
  <c r="ES3" i="23"/>
  <c r="EU4" i="22"/>
  <c r="ET3" i="22"/>
  <c r="EV4" i="21"/>
  <c r="EU3" i="21"/>
  <c r="EU6" i="17" l="1"/>
  <c r="EU7" i="17"/>
  <c r="EU8" i="17"/>
  <c r="EU10" i="17"/>
  <c r="ET40" i="17"/>
  <c r="ER41" i="23" s="1"/>
  <c r="ER6" i="22"/>
  <c r="ER6" i="23"/>
  <c r="ER7" i="22"/>
  <c r="ER7" i="23"/>
  <c r="EQ40" i="22"/>
  <c r="EW4" i="17"/>
  <c r="EV3" i="17"/>
  <c r="EV10" i="17" s="1"/>
  <c r="ER9" i="23"/>
  <c r="ER9" i="22"/>
  <c r="ET3" i="24"/>
  <c r="EU4" i="24"/>
  <c r="ER10" i="23"/>
  <c r="ER10" i="22"/>
  <c r="ET9" i="25"/>
  <c r="ET7" i="25"/>
  <c r="ET10" i="25"/>
  <c r="ET8" i="25"/>
  <c r="ET6" i="25"/>
  <c r="EV10" i="21"/>
  <c r="EV6" i="21"/>
  <c r="EV7" i="21"/>
  <c r="EV8" i="21"/>
  <c r="EV9" i="21"/>
  <c r="EQ42" i="23"/>
  <c r="EQ40" i="23" s="1"/>
  <c r="ES7" i="24"/>
  <c r="ES6" i="24"/>
  <c r="ES8" i="24"/>
  <c r="ES10" i="24"/>
  <c r="ES9" i="24"/>
  <c r="ER40" i="24"/>
  <c r="ER8" i="23"/>
  <c r="ER8" i="22"/>
  <c r="EU40" i="21"/>
  <c r="EV4" i="25"/>
  <c r="EU3" i="25"/>
  <c r="ES40" i="25"/>
  <c r="EU4" i="23"/>
  <c r="ET3" i="23"/>
  <c r="EV4" i="22"/>
  <c r="EU3" i="22"/>
  <c r="EW4" i="21"/>
  <c r="EV3" i="21"/>
  <c r="EV6" i="17" l="1"/>
  <c r="EV9" i="17"/>
  <c r="EV7" i="17"/>
  <c r="EV8" i="17"/>
  <c r="ES40" i="24"/>
  <c r="ER42" i="23"/>
  <c r="ER40" i="23" s="1"/>
  <c r="ES6" i="22"/>
  <c r="EU40" i="17"/>
  <c r="ES41" i="23" s="1"/>
  <c r="ES6" i="23"/>
  <c r="EV4" i="24"/>
  <c r="EU3" i="24"/>
  <c r="ER40" i="22"/>
  <c r="ES10" i="23"/>
  <c r="ES10" i="22"/>
  <c r="EW9" i="21"/>
  <c r="EW8" i="21"/>
  <c r="EW7" i="21"/>
  <c r="EW10" i="21"/>
  <c r="EW6" i="21"/>
  <c r="EU6" i="25"/>
  <c r="EU9" i="25"/>
  <c r="EU10" i="25"/>
  <c r="EU8" i="25"/>
  <c r="EU7" i="25"/>
  <c r="EV40" i="21"/>
  <c r="ET10" i="24"/>
  <c r="ET7" i="24"/>
  <c r="ET6" i="24"/>
  <c r="ET8" i="24"/>
  <c r="ET9" i="24"/>
  <c r="ES8" i="23"/>
  <c r="ES8" i="22"/>
  <c r="EX4" i="17"/>
  <c r="EW3" i="17"/>
  <c r="EW7" i="17" s="1"/>
  <c r="ES9" i="23"/>
  <c r="ES9" i="22"/>
  <c r="ES7" i="22"/>
  <c r="ES7" i="23"/>
  <c r="ET40" i="25"/>
  <c r="EW4" i="25"/>
  <c r="EV3" i="25"/>
  <c r="EV4" i="23"/>
  <c r="EU3" i="23"/>
  <c r="EW4" i="22"/>
  <c r="EV3" i="22"/>
  <c r="EW3" i="21"/>
  <c r="EX4" i="21"/>
  <c r="EW6" i="17" l="1"/>
  <c r="EW10" i="17"/>
  <c r="EW9" i="17"/>
  <c r="EW8" i="17"/>
  <c r="ES42" i="23"/>
  <c r="ES40" i="23" s="1"/>
  <c r="ET7" i="23"/>
  <c r="ET7" i="22"/>
  <c r="ET8" i="23"/>
  <c r="ET8" i="22"/>
  <c r="EV3" i="24"/>
  <c r="EW4" i="24"/>
  <c r="ES40" i="22"/>
  <c r="EX6" i="21"/>
  <c r="EX7" i="21"/>
  <c r="EX8" i="21"/>
  <c r="EX9" i="21"/>
  <c r="EX10" i="21"/>
  <c r="EV7" i="25"/>
  <c r="EV9" i="25"/>
  <c r="EV6" i="25"/>
  <c r="EV8" i="25"/>
  <c r="EV10" i="25"/>
  <c r="EY4" i="17"/>
  <c r="EX3" i="17"/>
  <c r="EX10" i="17" s="1"/>
  <c r="ET10" i="22"/>
  <c r="ET10" i="23"/>
  <c r="ET40" i="24"/>
  <c r="ET9" i="22"/>
  <c r="ET9" i="23"/>
  <c r="ET6" i="22"/>
  <c r="ET6" i="23"/>
  <c r="EV40" i="17"/>
  <c r="ET41" i="23" s="1"/>
  <c r="EW40" i="21"/>
  <c r="EU8" i="24"/>
  <c r="EU7" i="24"/>
  <c r="EU9" i="24"/>
  <c r="EU10" i="24"/>
  <c r="EU6" i="24"/>
  <c r="EU40" i="25"/>
  <c r="EX4" i="25"/>
  <c r="EW3" i="25"/>
  <c r="EW4" i="23"/>
  <c r="EV3" i="23"/>
  <c r="EX4" i="22"/>
  <c r="EW3" i="22"/>
  <c r="EX3" i="21"/>
  <c r="EY4" i="21"/>
  <c r="EX6" i="17" l="1"/>
  <c r="EX7" i="17"/>
  <c r="EX9" i="17"/>
  <c r="EX8" i="17"/>
  <c r="ET40" i="22"/>
  <c r="EZ4" i="17"/>
  <c r="EY3" i="17"/>
  <c r="EY7" i="17" s="1"/>
  <c r="EX4" i="24"/>
  <c r="EW3" i="24"/>
  <c r="EU8" i="22"/>
  <c r="EU8" i="23"/>
  <c r="EU40" i="24"/>
  <c r="EV8" i="24"/>
  <c r="EV7" i="24"/>
  <c r="EV9" i="24"/>
  <c r="EV10" i="24"/>
  <c r="EV6" i="24"/>
  <c r="EU9" i="23"/>
  <c r="EU9" i="22"/>
  <c r="EU7" i="23"/>
  <c r="EU7" i="22"/>
  <c r="EY10" i="21"/>
  <c r="EY7" i="21"/>
  <c r="EY8" i="21"/>
  <c r="EY9" i="21"/>
  <c r="EY6" i="21"/>
  <c r="EW8" i="25"/>
  <c r="EW9" i="25"/>
  <c r="EW10" i="25"/>
  <c r="EW6" i="25"/>
  <c r="EW7" i="25"/>
  <c r="ET42" i="23"/>
  <c r="ET40" i="23" s="1"/>
  <c r="EX40" i="21"/>
  <c r="EW40" i="17"/>
  <c r="EU41" i="23" s="1"/>
  <c r="EU6" i="23"/>
  <c r="EU6" i="22"/>
  <c r="EU10" i="23"/>
  <c r="EU10" i="22"/>
  <c r="EY4" i="25"/>
  <c r="EX3" i="25"/>
  <c r="EV40" i="25"/>
  <c r="EX4" i="23"/>
  <c r="EW3" i="23"/>
  <c r="EY4" i="22"/>
  <c r="EX3" i="22"/>
  <c r="EZ4" i="21"/>
  <c r="EY3" i="21"/>
  <c r="EY6" i="17" l="1"/>
  <c r="EY10" i="17"/>
  <c r="EY9" i="17"/>
  <c r="EY8" i="17"/>
  <c r="EV40" i="24"/>
  <c r="EV10" i="22"/>
  <c r="EV10" i="23"/>
  <c r="EV6" i="23"/>
  <c r="EV6" i="22"/>
  <c r="EX40" i="17"/>
  <c r="EV41" i="23" s="1"/>
  <c r="EY4" i="24"/>
  <c r="EX3" i="24"/>
  <c r="EV9" i="23"/>
  <c r="EV9" i="22"/>
  <c r="EU40" i="22"/>
  <c r="EY40" i="21"/>
  <c r="EV8" i="23"/>
  <c r="EV8" i="22"/>
  <c r="EU42" i="23"/>
  <c r="EU40" i="23" s="1"/>
  <c r="EZ10" i="21"/>
  <c r="EZ6" i="21"/>
  <c r="EZ7" i="21"/>
  <c r="EZ8" i="21"/>
  <c r="EZ9" i="21"/>
  <c r="EX9" i="25"/>
  <c r="EX7" i="25"/>
  <c r="EX10" i="25"/>
  <c r="EX8" i="25"/>
  <c r="EX6" i="25"/>
  <c r="EV7" i="22"/>
  <c r="EV7" i="23"/>
  <c r="EW9" i="24"/>
  <c r="EW8" i="24"/>
  <c r="EW7" i="24"/>
  <c r="EW6" i="24"/>
  <c r="EW10" i="24"/>
  <c r="FA4" i="17"/>
  <c r="EZ3" i="17"/>
  <c r="EZ10" i="17" s="1"/>
  <c r="EW40" i="25"/>
  <c r="EZ4" i="25"/>
  <c r="EY3" i="25"/>
  <c r="EY4" i="23"/>
  <c r="EX3" i="23"/>
  <c r="EZ4" i="22"/>
  <c r="EY3" i="22"/>
  <c r="FA4" i="21"/>
  <c r="EZ3" i="21"/>
  <c r="EZ9" i="17" l="1"/>
  <c r="EZ6" i="17"/>
  <c r="EZ8" i="17"/>
  <c r="EZ7" i="17"/>
  <c r="EW40" i="24"/>
  <c r="EW8" i="23"/>
  <c r="EW8" i="22"/>
  <c r="EX7" i="24"/>
  <c r="EX10" i="24"/>
  <c r="EX9" i="24"/>
  <c r="EX8" i="24"/>
  <c r="EX6" i="24"/>
  <c r="EV40" i="22"/>
  <c r="EW7" i="23"/>
  <c r="EW7" i="22"/>
  <c r="EV42" i="23"/>
  <c r="EV40" i="23" s="1"/>
  <c r="EW9" i="23"/>
  <c r="EW9" i="22"/>
  <c r="EZ4" i="24"/>
  <c r="EY3" i="24"/>
  <c r="EY9" i="25"/>
  <c r="EY7" i="25"/>
  <c r="EY6" i="25"/>
  <c r="EY10" i="25"/>
  <c r="EY8" i="25"/>
  <c r="FB4" i="17"/>
  <c r="FA3" i="17"/>
  <c r="FA10" i="17" s="1"/>
  <c r="EW10" i="23"/>
  <c r="EW10" i="22"/>
  <c r="FA6" i="21"/>
  <c r="FA9" i="21"/>
  <c r="FA8" i="21"/>
  <c r="FA7" i="21"/>
  <c r="FA10" i="21"/>
  <c r="EZ40" i="21"/>
  <c r="EW6" i="22"/>
  <c r="EW6" i="23"/>
  <c r="EY40" i="17"/>
  <c r="EW41" i="23" s="1"/>
  <c r="FA4" i="25"/>
  <c r="EZ3" i="25"/>
  <c r="EX40" i="25"/>
  <c r="EZ4" i="23"/>
  <c r="EY3" i="23"/>
  <c r="EZ3" i="22"/>
  <c r="FA4" i="22"/>
  <c r="FB4" i="21"/>
  <c r="FA3" i="21"/>
  <c r="FA6" i="17" l="1"/>
  <c r="FA7" i="17"/>
  <c r="FA8" i="17"/>
  <c r="FA9" i="17"/>
  <c r="EX40" i="24"/>
  <c r="EW42" i="23"/>
  <c r="EW40" i="23" s="1"/>
  <c r="EW40" i="22"/>
  <c r="EY7" i="24"/>
  <c r="EY9" i="24"/>
  <c r="EY10" i="24"/>
  <c r="EY8" i="24"/>
  <c r="EY6" i="24"/>
  <c r="EX6" i="23"/>
  <c r="EZ40" i="17"/>
  <c r="EX41" i="23" s="1"/>
  <c r="EX6" i="22"/>
  <c r="FA40" i="21"/>
  <c r="FA4" i="24"/>
  <c r="EZ3" i="24"/>
  <c r="EX8" i="23"/>
  <c r="EX8" i="22"/>
  <c r="FC4" i="17"/>
  <c r="FB3" i="17"/>
  <c r="FB10" i="17" s="1"/>
  <c r="EX9" i="23"/>
  <c r="EX9" i="22"/>
  <c r="FB6" i="21"/>
  <c r="FB7" i="21"/>
  <c r="FB9" i="21"/>
  <c r="FB8" i="21"/>
  <c r="FB10" i="21"/>
  <c r="EZ6" i="25"/>
  <c r="EZ9" i="25"/>
  <c r="EZ7" i="25"/>
  <c r="EZ10" i="25"/>
  <c r="EZ8" i="25"/>
  <c r="EX10" i="22"/>
  <c r="EX10" i="23"/>
  <c r="EX7" i="22"/>
  <c r="EX7" i="23"/>
  <c r="FB4" i="25"/>
  <c r="FA3" i="25"/>
  <c r="EY40" i="25"/>
  <c r="FA4" i="23"/>
  <c r="EZ3" i="23"/>
  <c r="FB4" i="22"/>
  <c r="FA3" i="22"/>
  <c r="FB3" i="21"/>
  <c r="FC4" i="21"/>
  <c r="FB6" i="17" l="1"/>
  <c r="FB9" i="17"/>
  <c r="FB7" i="17"/>
  <c r="FB8" i="17"/>
  <c r="FA9" i="25"/>
  <c r="FA7" i="25"/>
  <c r="FA10" i="25"/>
  <c r="FA6" i="25"/>
  <c r="FA8" i="25"/>
  <c r="FB40" i="21"/>
  <c r="FD4" i="17"/>
  <c r="FC3" i="17"/>
  <c r="FC8" i="17" s="1"/>
  <c r="EY10" i="23"/>
  <c r="EY10" i="22"/>
  <c r="FC10" i="21"/>
  <c r="FC6" i="21"/>
  <c r="FC7" i="21"/>
  <c r="FC8" i="21"/>
  <c r="FC9" i="21"/>
  <c r="EZ7" i="24"/>
  <c r="EZ10" i="24"/>
  <c r="EZ9" i="24"/>
  <c r="EZ6" i="24"/>
  <c r="EZ8" i="24"/>
  <c r="EY6" i="22"/>
  <c r="FA40" i="17"/>
  <c r="EY41" i="23" s="1"/>
  <c r="EY6" i="23"/>
  <c r="EX42" i="23"/>
  <c r="EX40" i="23" s="1"/>
  <c r="FA3" i="24"/>
  <c r="FB4" i="24"/>
  <c r="EY8" i="23"/>
  <c r="EY8" i="22"/>
  <c r="EY40" i="24"/>
  <c r="EY9" i="23"/>
  <c r="EY9" i="22"/>
  <c r="EY7" i="23"/>
  <c r="EY7" i="22"/>
  <c r="EX40" i="22"/>
  <c r="EZ40" i="25"/>
  <c r="FC4" i="25"/>
  <c r="FB3" i="25"/>
  <c r="FB4" i="23"/>
  <c r="FA3" i="23"/>
  <c r="FC4" i="22"/>
  <c r="FB3" i="22"/>
  <c r="FD4" i="21"/>
  <c r="FC3" i="21"/>
  <c r="FC7" i="17" l="1"/>
  <c r="FC9" i="17"/>
  <c r="FC10" i="17"/>
  <c r="FC6" i="17"/>
  <c r="EZ10" i="23"/>
  <c r="EZ10" i="22"/>
  <c r="EY40" i="22"/>
  <c r="FB40" i="17"/>
  <c r="EZ41" i="23" s="1"/>
  <c r="EZ6" i="22"/>
  <c r="EZ6" i="23"/>
  <c r="FB7" i="25"/>
  <c r="FB8" i="25"/>
  <c r="FB6" i="25"/>
  <c r="FB10" i="25"/>
  <c r="FB9" i="25"/>
  <c r="EZ8" i="23"/>
  <c r="EZ8" i="22"/>
  <c r="FD10" i="21"/>
  <c r="FD6" i="21"/>
  <c r="FD7" i="21"/>
  <c r="FD8" i="21"/>
  <c r="FD9" i="21"/>
  <c r="EZ9" i="23"/>
  <c r="EZ9" i="22"/>
  <c r="FC4" i="24"/>
  <c r="FB3" i="24"/>
  <c r="EY42" i="23"/>
  <c r="EY40" i="23" s="1"/>
  <c r="EZ40" i="24"/>
  <c r="FC40" i="21"/>
  <c r="EZ7" i="23"/>
  <c r="EZ7" i="22"/>
  <c r="FA8" i="24"/>
  <c r="FA9" i="24"/>
  <c r="FA10" i="24"/>
  <c r="FA7" i="24"/>
  <c r="FA6" i="24"/>
  <c r="FE4" i="17"/>
  <c r="FD3" i="17"/>
  <c r="FD8" i="17" s="1"/>
  <c r="FD4" i="25"/>
  <c r="FC3" i="25"/>
  <c r="FA40" i="25"/>
  <c r="FC4" i="23"/>
  <c r="FB3" i="23"/>
  <c r="FD4" i="22"/>
  <c r="FC3" i="22"/>
  <c r="FE4" i="21"/>
  <c r="FD3" i="21"/>
  <c r="FD9" i="17" l="1"/>
  <c r="FD6" i="17"/>
  <c r="FD10" i="17"/>
  <c r="FD7" i="17"/>
  <c r="FA40" i="24"/>
  <c r="FA10" i="23"/>
  <c r="FA10" i="22"/>
  <c r="FB9" i="24"/>
  <c r="FB10" i="24"/>
  <c r="FB8" i="24"/>
  <c r="FB6" i="24"/>
  <c r="FB7" i="24"/>
  <c r="FA6" i="22"/>
  <c r="FA6" i="23"/>
  <c r="FC40" i="17"/>
  <c r="FA41" i="23" s="1"/>
  <c r="FC3" i="24"/>
  <c r="FD4" i="24"/>
  <c r="EZ42" i="23"/>
  <c r="EZ40" i="23" s="1"/>
  <c r="FF4" i="17"/>
  <c r="FE3" i="17"/>
  <c r="FE8" i="17" s="1"/>
  <c r="FE7" i="21"/>
  <c r="FE8" i="21"/>
  <c r="FE9" i="21"/>
  <c r="FE10" i="21"/>
  <c r="FE6" i="21"/>
  <c r="FC7" i="25"/>
  <c r="FC9" i="25"/>
  <c r="FC10" i="25"/>
  <c r="FC8" i="25"/>
  <c r="FC6" i="25"/>
  <c r="FA8" i="23"/>
  <c r="FA8" i="22"/>
  <c r="EZ40" i="22"/>
  <c r="FA9" i="23"/>
  <c r="FA9" i="22"/>
  <c r="FA7" i="23"/>
  <c r="FA7" i="22"/>
  <c r="FD40" i="21"/>
  <c r="FB40" i="25"/>
  <c r="FE4" i="25"/>
  <c r="FD3" i="25"/>
  <c r="FD4" i="23"/>
  <c r="FC3" i="23"/>
  <c r="FD3" i="22"/>
  <c r="FE4" i="22"/>
  <c r="FF4" i="21"/>
  <c r="FE3" i="21"/>
  <c r="FE9" i="17" l="1"/>
  <c r="FE10" i="17"/>
  <c r="FE6" i="17"/>
  <c r="FE7" i="17"/>
  <c r="FD9" i="25"/>
  <c r="FD6" i="25"/>
  <c r="FD7" i="25"/>
  <c r="FD10" i="25"/>
  <c r="FD8" i="25"/>
  <c r="FG4" i="17"/>
  <c r="FF3" i="17"/>
  <c r="FF8" i="17" s="1"/>
  <c r="FC10" i="24"/>
  <c r="FC8" i="24"/>
  <c r="FC7" i="24"/>
  <c r="FC6" i="24"/>
  <c r="FC9" i="24"/>
  <c r="FB40" i="24"/>
  <c r="FB6" i="23"/>
  <c r="FB6" i="22"/>
  <c r="FD40" i="17"/>
  <c r="FB41" i="23" s="1"/>
  <c r="FB10" i="23"/>
  <c r="FB10" i="22"/>
  <c r="FF7" i="21"/>
  <c r="FF6" i="21"/>
  <c r="FF8" i="21"/>
  <c r="FF10" i="21"/>
  <c r="FF9" i="21"/>
  <c r="FE40" i="21"/>
  <c r="FA42" i="23"/>
  <c r="FA40" i="23" s="1"/>
  <c r="FB8" i="22"/>
  <c r="FB8" i="23"/>
  <c r="FD3" i="24"/>
  <c r="FE4" i="24"/>
  <c r="FA40" i="22"/>
  <c r="FB9" i="23"/>
  <c r="FB9" i="22"/>
  <c r="FB7" i="23"/>
  <c r="FB7" i="22"/>
  <c r="FC40" i="25"/>
  <c r="FF4" i="25"/>
  <c r="FE3" i="25"/>
  <c r="FE4" i="23"/>
  <c r="FD3" i="23"/>
  <c r="FF4" i="22"/>
  <c r="FE3" i="22"/>
  <c r="FG4" i="21"/>
  <c r="FF3" i="21"/>
  <c r="FF6" i="17" l="1"/>
  <c r="FF9" i="17"/>
  <c r="FF7" i="17"/>
  <c r="FF10" i="17"/>
  <c r="FC40" i="24"/>
  <c r="FC6" i="22"/>
  <c r="FE40" i="17"/>
  <c r="FC41" i="23" s="1"/>
  <c r="FC6" i="23"/>
  <c r="FB40" i="22"/>
  <c r="FC10" i="23"/>
  <c r="FC10" i="22"/>
  <c r="FE6" i="25"/>
  <c r="FE9" i="25"/>
  <c r="FE8" i="25"/>
  <c r="FE7" i="25"/>
  <c r="FE10" i="25"/>
  <c r="FC8" i="22"/>
  <c r="FC8" i="23"/>
  <c r="FB42" i="23"/>
  <c r="FB40" i="23" s="1"/>
  <c r="FH4" i="17"/>
  <c r="FG3" i="17"/>
  <c r="FG8" i="17" s="1"/>
  <c r="FE3" i="24"/>
  <c r="FF4" i="24"/>
  <c r="FG10" i="21"/>
  <c r="FG9" i="21"/>
  <c r="FG6" i="21"/>
  <c r="FG7" i="21"/>
  <c r="FG8" i="21"/>
  <c r="FD9" i="24"/>
  <c r="FD10" i="24"/>
  <c r="FD6" i="24"/>
  <c r="FD8" i="24"/>
  <c r="FD7" i="24"/>
  <c r="FC9" i="22"/>
  <c r="FC9" i="23"/>
  <c r="FF40" i="21"/>
  <c r="FC7" i="23"/>
  <c r="FC7" i="22"/>
  <c r="FG4" i="25"/>
  <c r="FF3" i="25"/>
  <c r="FD40" i="25"/>
  <c r="FF4" i="23"/>
  <c r="FE3" i="23"/>
  <c r="FG4" i="22"/>
  <c r="FF3" i="22"/>
  <c r="FH4" i="21"/>
  <c r="FG3" i="21"/>
  <c r="FG9" i="17" l="1"/>
  <c r="FG6" i="17"/>
  <c r="FG10" i="17"/>
  <c r="FG7" i="17"/>
  <c r="FF7" i="25"/>
  <c r="FF9" i="25"/>
  <c r="FF6" i="25"/>
  <c r="FF10" i="25"/>
  <c r="FF8" i="25"/>
  <c r="FG40" i="21"/>
  <c r="FE8" i="24"/>
  <c r="FE7" i="24"/>
  <c r="FE9" i="24"/>
  <c r="FE10" i="24"/>
  <c r="FE6" i="24"/>
  <c r="FD6" i="23"/>
  <c r="FD6" i="22"/>
  <c r="FF40" i="17"/>
  <c r="FD41" i="23" s="1"/>
  <c r="FD8" i="23"/>
  <c r="FD8" i="22"/>
  <c r="FC42" i="23"/>
  <c r="FC40" i="23" s="1"/>
  <c r="FH10" i="21"/>
  <c r="FH7" i="21"/>
  <c r="FH8" i="21"/>
  <c r="FH9" i="21"/>
  <c r="FH6" i="21"/>
  <c r="FI4" i="17"/>
  <c r="FH3" i="17"/>
  <c r="FH8" i="17" s="1"/>
  <c r="FD9" i="23"/>
  <c r="FD9" i="22"/>
  <c r="FD10" i="23"/>
  <c r="FD10" i="22"/>
  <c r="FD40" i="24"/>
  <c r="FG4" i="24"/>
  <c r="FF3" i="24"/>
  <c r="FD7" i="23"/>
  <c r="FD7" i="22"/>
  <c r="FC40" i="22"/>
  <c r="FE40" i="25"/>
  <c r="FH4" i="25"/>
  <c r="FG3" i="25"/>
  <c r="FG4" i="23"/>
  <c r="FF3" i="23"/>
  <c r="FH4" i="22"/>
  <c r="FG3" i="22"/>
  <c r="FH3" i="21"/>
  <c r="FI4" i="21"/>
  <c r="FH6" i="17" l="1"/>
  <c r="FH9" i="17"/>
  <c r="FH7" i="17"/>
  <c r="FH10" i="17"/>
  <c r="FE8" i="23"/>
  <c r="FE8" i="22"/>
  <c r="FH4" i="24"/>
  <c r="FG3" i="24"/>
  <c r="FJ4" i="17"/>
  <c r="FI3" i="17"/>
  <c r="FI8" i="17" s="1"/>
  <c r="FE9" i="23"/>
  <c r="FE9" i="22"/>
  <c r="FE40" i="24"/>
  <c r="FI7" i="21"/>
  <c r="FI9" i="21"/>
  <c r="FI8" i="21"/>
  <c r="FI10" i="21"/>
  <c r="FI6" i="21"/>
  <c r="FG9" i="25"/>
  <c r="FG7" i="25"/>
  <c r="FG10" i="25"/>
  <c r="FG8" i="25"/>
  <c r="FG6" i="25"/>
  <c r="FE6" i="23"/>
  <c r="FG40" i="17"/>
  <c r="FE41" i="23" s="1"/>
  <c r="FE6" i="22"/>
  <c r="FD40" i="22"/>
  <c r="FF9" i="24"/>
  <c r="FF8" i="24"/>
  <c r="FF6" i="24"/>
  <c r="FF7" i="24"/>
  <c r="FF10" i="24"/>
  <c r="FH40" i="21"/>
  <c r="FE10" i="23"/>
  <c r="FE10" i="22"/>
  <c r="FE7" i="22"/>
  <c r="FE7" i="23"/>
  <c r="FD42" i="23"/>
  <c r="FD40" i="23" s="1"/>
  <c r="FI4" i="25"/>
  <c r="FH3" i="25"/>
  <c r="FF40" i="25"/>
  <c r="FG3" i="23"/>
  <c r="FH4" i="23"/>
  <c r="FI4" i="22"/>
  <c r="FH3" i="22"/>
  <c r="FI3" i="21"/>
  <c r="FJ4" i="21"/>
  <c r="FI6" i="17" l="1"/>
  <c r="FI10" i="17"/>
  <c r="FI7" i="17"/>
  <c r="FI9" i="17"/>
  <c r="FF10" i="22"/>
  <c r="FF10" i="23"/>
  <c r="FE40" i="22"/>
  <c r="FG6" i="24"/>
  <c r="FG9" i="24"/>
  <c r="FG7" i="24"/>
  <c r="FG10" i="24"/>
  <c r="FG8" i="24"/>
  <c r="FF6" i="22"/>
  <c r="FF6" i="23"/>
  <c r="FH40" i="17"/>
  <c r="FF41" i="23" s="1"/>
  <c r="FI40" i="21"/>
  <c r="FI4" i="24"/>
  <c r="FH3" i="24"/>
  <c r="FF8" i="23"/>
  <c r="FF8" i="22"/>
  <c r="FE42" i="23"/>
  <c r="FE40" i="23" s="1"/>
  <c r="FJ6" i="21"/>
  <c r="FJ7" i="21"/>
  <c r="FJ9" i="21"/>
  <c r="FJ8" i="21"/>
  <c r="FJ10" i="21"/>
  <c r="FH8" i="25"/>
  <c r="FH9" i="25"/>
  <c r="FH7" i="25"/>
  <c r="FH10" i="25"/>
  <c r="FH6" i="25"/>
  <c r="FF40" i="24"/>
  <c r="FF9" i="23"/>
  <c r="FF9" i="22"/>
  <c r="FF7" i="22"/>
  <c r="FF7" i="23"/>
  <c r="FK4" i="17"/>
  <c r="FJ3" i="17"/>
  <c r="FJ8" i="17" s="1"/>
  <c r="FG40" i="25"/>
  <c r="FJ4" i="25"/>
  <c r="FI3" i="25"/>
  <c r="FI4" i="23"/>
  <c r="FH3" i="23"/>
  <c r="FJ4" i="22"/>
  <c r="FI3" i="22"/>
  <c r="FJ3" i="21"/>
  <c r="FK4" i="21"/>
  <c r="FJ6" i="17" l="1"/>
  <c r="FJ9" i="17"/>
  <c r="FJ10" i="17"/>
  <c r="FJ7" i="17"/>
  <c r="FI40" i="17"/>
  <c r="FG41" i="23" s="1"/>
  <c r="FG6" i="23"/>
  <c r="FG6" i="22"/>
  <c r="FI3" i="24"/>
  <c r="FJ4" i="24"/>
  <c r="FI9" i="25"/>
  <c r="FI10" i="25"/>
  <c r="FI8" i="25"/>
  <c r="FI6" i="25"/>
  <c r="FI7" i="25"/>
  <c r="FL4" i="17"/>
  <c r="FK3" i="17"/>
  <c r="FK7" i="17" s="1"/>
  <c r="FJ40" i="21"/>
  <c r="FG8" i="23"/>
  <c r="FG8" i="22"/>
  <c r="FF42" i="23"/>
  <c r="FF40" i="23" s="1"/>
  <c r="FG9" i="23"/>
  <c r="FG9" i="22"/>
  <c r="FG7" i="23"/>
  <c r="FG7" i="22"/>
  <c r="FF40" i="22"/>
  <c r="FK10" i="21"/>
  <c r="FK8" i="21"/>
  <c r="FK9" i="21"/>
  <c r="FK6" i="21"/>
  <c r="FK7" i="21"/>
  <c r="FG10" i="23"/>
  <c r="FG10" i="22"/>
  <c r="FH10" i="24"/>
  <c r="FH7" i="24"/>
  <c r="FH9" i="24"/>
  <c r="FH6" i="24"/>
  <c r="FH8" i="24"/>
  <c r="FG40" i="24"/>
  <c r="FK4" i="25"/>
  <c r="FJ3" i="25"/>
  <c r="FH40" i="25"/>
  <c r="FJ4" i="23"/>
  <c r="FI3" i="23"/>
  <c r="FK4" i="22"/>
  <c r="FJ3" i="22"/>
  <c r="FL4" i="21"/>
  <c r="FK3" i="21"/>
  <c r="FK9" i="17" l="1"/>
  <c r="FK8" i="17"/>
  <c r="FK6" i="17"/>
  <c r="FK10" i="17"/>
  <c r="FL10" i="21"/>
  <c r="FL6" i="21"/>
  <c r="FL7" i="21"/>
  <c r="FL8" i="21"/>
  <c r="FL9" i="21"/>
  <c r="FH10" i="23"/>
  <c r="FH10" i="22"/>
  <c r="FM4" i="17"/>
  <c r="FL3" i="17"/>
  <c r="FL10" i="17" s="1"/>
  <c r="FG40" i="22"/>
  <c r="FH8" i="23"/>
  <c r="FH8" i="22"/>
  <c r="FG42" i="23"/>
  <c r="FG40" i="23" s="1"/>
  <c r="FH40" i="24"/>
  <c r="FK40" i="21"/>
  <c r="FH6" i="23"/>
  <c r="FJ40" i="17"/>
  <c r="FH41" i="23" s="1"/>
  <c r="FH6" i="22"/>
  <c r="FH7" i="23"/>
  <c r="FH7" i="22"/>
  <c r="FJ3" i="24"/>
  <c r="FK4" i="24"/>
  <c r="FJ7" i="25"/>
  <c r="FJ9" i="25"/>
  <c r="FJ10" i="25"/>
  <c r="FJ6" i="25"/>
  <c r="FJ8" i="25"/>
  <c r="FH9" i="23"/>
  <c r="FH9" i="22"/>
  <c r="FI8" i="24"/>
  <c r="FI7" i="24"/>
  <c r="FI6" i="24"/>
  <c r="FI9" i="24"/>
  <c r="FI10" i="24"/>
  <c r="FI40" i="25"/>
  <c r="FL4" i="25"/>
  <c r="FK3" i="25"/>
  <c r="FK4" i="23"/>
  <c r="FJ3" i="23"/>
  <c r="FL4" i="22"/>
  <c r="FK3" i="22"/>
  <c r="FM4" i="21"/>
  <c r="FL3" i="21"/>
  <c r="FL8" i="17" l="1"/>
  <c r="FL7" i="17"/>
  <c r="FL9" i="17"/>
  <c r="FL6" i="17"/>
  <c r="FI8" i="23"/>
  <c r="FI8" i="22"/>
  <c r="FH42" i="23"/>
  <c r="FH40" i="23" s="1"/>
  <c r="FI9" i="22"/>
  <c r="FI9" i="23"/>
  <c r="FI7" i="23"/>
  <c r="FI7" i="22"/>
  <c r="FK6" i="25"/>
  <c r="FK9" i="25"/>
  <c r="FK7" i="25"/>
  <c r="FK10" i="25"/>
  <c r="FK8" i="25"/>
  <c r="FM9" i="21"/>
  <c r="FM6" i="21"/>
  <c r="FM8" i="21"/>
  <c r="FM7" i="21"/>
  <c r="FM10" i="21"/>
  <c r="FI40" i="24"/>
  <c r="FI10" i="23"/>
  <c r="FI10" i="22"/>
  <c r="FK3" i="24"/>
  <c r="FL4" i="24"/>
  <c r="FH40" i="22"/>
  <c r="FL40" i="21"/>
  <c r="FI6" i="22"/>
  <c r="FI6" i="23"/>
  <c r="FK40" i="17"/>
  <c r="FI41" i="23" s="1"/>
  <c r="FJ6" i="24"/>
  <c r="FJ10" i="24"/>
  <c r="FJ8" i="24"/>
  <c r="FJ7" i="24"/>
  <c r="FJ9" i="24"/>
  <c r="FN4" i="17"/>
  <c r="FM3" i="17"/>
  <c r="FM8" i="17" s="1"/>
  <c r="FM4" i="25"/>
  <c r="FL3" i="25"/>
  <c r="FJ40" i="25"/>
  <c r="FL4" i="23"/>
  <c r="FK3" i="23"/>
  <c r="FM4" i="22"/>
  <c r="FL3" i="22"/>
  <c r="FM3" i="21"/>
  <c r="FN4" i="21"/>
  <c r="FM6" i="17" l="1"/>
  <c r="FM7" i="17"/>
  <c r="FM10" i="17"/>
  <c r="FM9" i="17"/>
  <c r="FI42" i="23"/>
  <c r="FI40" i="23" s="1"/>
  <c r="FI40" i="22"/>
  <c r="FJ40" i="24"/>
  <c r="FJ8" i="23"/>
  <c r="FJ8" i="22"/>
  <c r="FL3" i="24"/>
  <c r="FM4" i="24"/>
  <c r="FM40" i="21"/>
  <c r="FJ7" i="23"/>
  <c r="FJ7" i="22"/>
  <c r="FK7" i="24"/>
  <c r="FK10" i="24"/>
  <c r="FK6" i="24"/>
  <c r="FK8" i="24"/>
  <c r="FK9" i="24"/>
  <c r="FL9" i="25"/>
  <c r="FL10" i="25"/>
  <c r="FL6" i="25"/>
  <c r="FL8" i="25"/>
  <c r="FL7" i="25"/>
  <c r="FJ9" i="22"/>
  <c r="FJ9" i="23"/>
  <c r="FJ10" i="23"/>
  <c r="FJ10" i="22"/>
  <c r="FN6" i="21"/>
  <c r="FN7" i="21"/>
  <c r="FN8" i="21"/>
  <c r="FN9" i="21"/>
  <c r="FN10" i="21"/>
  <c r="FO4" i="17"/>
  <c r="FN3" i="17"/>
  <c r="FN8" i="17" s="1"/>
  <c r="FL40" i="17"/>
  <c r="FJ41" i="23" s="1"/>
  <c r="FJ6" i="22"/>
  <c r="FJ6" i="23"/>
  <c r="FK40" i="25"/>
  <c r="FN4" i="25"/>
  <c r="FM3" i="25"/>
  <c r="FM4" i="23"/>
  <c r="FL3" i="23"/>
  <c r="FN4" i="22"/>
  <c r="FM3" i="22"/>
  <c r="FN3" i="21"/>
  <c r="FO4" i="21"/>
  <c r="FN6" i="17" l="1"/>
  <c r="FN10" i="17"/>
  <c r="FN9" i="17"/>
  <c r="FN7" i="17"/>
  <c r="FJ40" i="22"/>
  <c r="FK40" i="24"/>
  <c r="FJ42" i="23"/>
  <c r="FJ40" i="23" s="1"/>
  <c r="FK10" i="23"/>
  <c r="FK10" i="22"/>
  <c r="FL10" i="24"/>
  <c r="FL8" i="24"/>
  <c r="FL6" i="24"/>
  <c r="FL7" i="24"/>
  <c r="FL9" i="24"/>
  <c r="FK8" i="22"/>
  <c r="FK8" i="23"/>
  <c r="FM9" i="25"/>
  <c r="FM6" i="25"/>
  <c r="FM8" i="25"/>
  <c r="FM7" i="25"/>
  <c r="FM10" i="25"/>
  <c r="FO3" i="17"/>
  <c r="FO7" i="17" s="1"/>
  <c r="FP4" i="17"/>
  <c r="FK9" i="22"/>
  <c r="FK9" i="23"/>
  <c r="FK7" i="23"/>
  <c r="FK7" i="22"/>
  <c r="FO10" i="21"/>
  <c r="FO7" i="21"/>
  <c r="FO8" i="21"/>
  <c r="FO9" i="21"/>
  <c r="FO6" i="21"/>
  <c r="FN40" i="21"/>
  <c r="FK6" i="23"/>
  <c r="FK6" i="22"/>
  <c r="FM40" i="17"/>
  <c r="FK41" i="23" s="1"/>
  <c r="FN4" i="24"/>
  <c r="FM3" i="24"/>
  <c r="FO4" i="25"/>
  <c r="FN3" i="25"/>
  <c r="FL40" i="25"/>
  <c r="FN4" i="23"/>
  <c r="FM3" i="23"/>
  <c r="FO4" i="22"/>
  <c r="FN3" i="22"/>
  <c r="FP4" i="21"/>
  <c r="FO3" i="21"/>
  <c r="FO9" i="17" l="1"/>
  <c r="FO10" i="17"/>
  <c r="FO6" i="17"/>
  <c r="FO8" i="17"/>
  <c r="FK40" i="22"/>
  <c r="FK42" i="23"/>
  <c r="FK40" i="23" s="1"/>
  <c r="FL40" i="24"/>
  <c r="FL9" i="23"/>
  <c r="FL9" i="22"/>
  <c r="FO40" i="21"/>
  <c r="FL7" i="23"/>
  <c r="FL7" i="22"/>
  <c r="FM7" i="24"/>
  <c r="FM9" i="24"/>
  <c r="FM6" i="24"/>
  <c r="FM8" i="24"/>
  <c r="FM10" i="24"/>
  <c r="FN3" i="24"/>
  <c r="FO4" i="24"/>
  <c r="FL8" i="23"/>
  <c r="FL8" i="22"/>
  <c r="FL6" i="22"/>
  <c r="FN40" i="17"/>
  <c r="FL41" i="23" s="1"/>
  <c r="FL6" i="23"/>
  <c r="FP9" i="21"/>
  <c r="FP10" i="21"/>
  <c r="FP6" i="21"/>
  <c r="FP7" i="21"/>
  <c r="FP8" i="21"/>
  <c r="FN7" i="25"/>
  <c r="FN9" i="25"/>
  <c r="FN10" i="25"/>
  <c r="FN8" i="25"/>
  <c r="FN6" i="25"/>
  <c r="FQ4" i="17"/>
  <c r="FP3" i="17"/>
  <c r="FP9" i="17" s="1"/>
  <c r="FL10" i="22"/>
  <c r="FL10" i="23"/>
  <c r="FM40" i="25"/>
  <c r="FP4" i="25"/>
  <c r="FO3" i="25"/>
  <c r="FO4" i="23"/>
  <c r="FN3" i="23"/>
  <c r="FP4" i="22"/>
  <c r="FO3" i="22"/>
  <c r="FQ4" i="21"/>
  <c r="FP3" i="21"/>
  <c r="FP8" i="17" l="1"/>
  <c r="FP6" i="17"/>
  <c r="FP7" i="17"/>
  <c r="FP10" i="17"/>
  <c r="FM40" i="24"/>
  <c r="FL40" i="22"/>
  <c r="FP4" i="24"/>
  <c r="FO3" i="24"/>
  <c r="FM6" i="23"/>
  <c r="FO40" i="17"/>
  <c r="FM41" i="23" s="1"/>
  <c r="FM6" i="22"/>
  <c r="FQ9" i="21"/>
  <c r="FQ7" i="21"/>
  <c r="FQ8" i="21"/>
  <c r="FQ10" i="21"/>
  <c r="FQ6" i="21"/>
  <c r="FR4" i="17"/>
  <c r="FQ3" i="17"/>
  <c r="FQ8" i="17" s="1"/>
  <c r="FN6" i="24"/>
  <c r="FN10" i="24"/>
  <c r="FN8" i="24"/>
  <c r="FN9" i="24"/>
  <c r="FN7" i="24"/>
  <c r="FM8" i="23"/>
  <c r="FM8" i="22"/>
  <c r="FL42" i="23"/>
  <c r="FL40" i="23" s="1"/>
  <c r="FM9" i="23"/>
  <c r="FM9" i="22"/>
  <c r="FM7" i="22"/>
  <c r="FM7" i="23"/>
  <c r="FO9" i="25"/>
  <c r="FO7" i="25"/>
  <c r="FO10" i="25"/>
  <c r="FO8" i="25"/>
  <c r="FO6" i="25"/>
  <c r="FP40" i="21"/>
  <c r="FM10" i="23"/>
  <c r="FM10" i="22"/>
  <c r="FQ4" i="25"/>
  <c r="FP3" i="25"/>
  <c r="FN40" i="25"/>
  <c r="FP4" i="23"/>
  <c r="FO3" i="23"/>
  <c r="FP3" i="22"/>
  <c r="FQ4" i="22"/>
  <c r="FR4" i="21"/>
  <c r="FQ3" i="21"/>
  <c r="FQ6" i="17" l="1"/>
  <c r="FQ9" i="17"/>
  <c r="FQ10" i="17"/>
  <c r="FQ7" i="17"/>
  <c r="FM40" i="22"/>
  <c r="FP3" i="24"/>
  <c r="FQ4" i="24"/>
  <c r="FN10" i="23"/>
  <c r="FN10" i="22"/>
  <c r="FN6" i="22"/>
  <c r="FP40" i="17"/>
  <c r="FN41" i="23" s="1"/>
  <c r="FN6" i="23"/>
  <c r="FR10" i="21"/>
  <c r="FR6" i="21"/>
  <c r="FR7" i="21"/>
  <c r="FR8" i="21"/>
  <c r="FR9" i="21"/>
  <c r="FP6" i="25"/>
  <c r="FP9" i="25"/>
  <c r="FP8" i="25"/>
  <c r="FP7" i="25"/>
  <c r="FP10" i="25"/>
  <c r="FN40" i="24"/>
  <c r="FS4" i="17"/>
  <c r="FR3" i="17"/>
  <c r="FR10" i="17" s="1"/>
  <c r="FM42" i="23"/>
  <c r="FM40" i="23" s="1"/>
  <c r="FN8" i="23"/>
  <c r="FN8" i="22"/>
  <c r="FQ40" i="21"/>
  <c r="FO6" i="24"/>
  <c r="FO9" i="24"/>
  <c r="FO7" i="24"/>
  <c r="FO8" i="24"/>
  <c r="FO10" i="24"/>
  <c r="FN9" i="23"/>
  <c r="FN9" i="22"/>
  <c r="FN7" i="23"/>
  <c r="FN7" i="22"/>
  <c r="FO40" i="25"/>
  <c r="FR4" i="25"/>
  <c r="FQ3" i="25"/>
  <c r="FQ4" i="23"/>
  <c r="FP3" i="23"/>
  <c r="FR4" i="22"/>
  <c r="FQ3" i="22"/>
  <c r="FR3" i="21"/>
  <c r="FS4" i="21"/>
  <c r="FR6" i="17" l="1"/>
  <c r="FR8" i="17"/>
  <c r="FR7" i="17"/>
  <c r="FR9" i="17"/>
  <c r="FS9" i="21"/>
  <c r="FS10" i="21"/>
  <c r="FS6" i="21"/>
  <c r="FS7" i="21"/>
  <c r="FS8" i="21"/>
  <c r="FQ9" i="25"/>
  <c r="FQ8" i="25"/>
  <c r="FQ6" i="25"/>
  <c r="FQ7" i="25"/>
  <c r="FQ10" i="25"/>
  <c r="FT4" i="17"/>
  <c r="FS3" i="17"/>
  <c r="FS10" i="17" s="1"/>
  <c r="FN42" i="23"/>
  <c r="FN40" i="23" s="1"/>
  <c r="FO10" i="23"/>
  <c r="FO10" i="22"/>
  <c r="FR4" i="24"/>
  <c r="FQ3" i="24"/>
  <c r="FO9" i="22"/>
  <c r="FO9" i="23"/>
  <c r="FO7" i="23"/>
  <c r="FO7" i="22"/>
  <c r="FP7" i="24"/>
  <c r="FP6" i="24"/>
  <c r="FP9" i="24"/>
  <c r="FP8" i="24"/>
  <c r="FP10" i="24"/>
  <c r="FR40" i="21"/>
  <c r="FN40" i="22"/>
  <c r="FO6" i="23"/>
  <c r="FO6" i="22"/>
  <c r="FQ40" i="17"/>
  <c r="FO41" i="23" s="1"/>
  <c r="FO40" i="24"/>
  <c r="FO8" i="22"/>
  <c r="FO8" i="23"/>
  <c r="FP40" i="25"/>
  <c r="FS4" i="25"/>
  <c r="FR3" i="25"/>
  <c r="FR4" i="23"/>
  <c r="FQ3" i="23"/>
  <c r="FS4" i="22"/>
  <c r="FR3" i="22"/>
  <c r="FT4" i="21"/>
  <c r="FS3" i="21"/>
  <c r="FS6" i="17" l="1"/>
  <c r="FS9" i="17"/>
  <c r="FS8" i="17"/>
  <c r="FS7" i="17"/>
  <c r="FT9" i="21"/>
  <c r="FT10" i="21"/>
  <c r="FT6" i="21"/>
  <c r="FT7" i="21"/>
  <c r="FT8" i="21"/>
  <c r="FP8" i="23"/>
  <c r="FP8" i="22"/>
  <c r="FP6" i="23"/>
  <c r="FP6" i="22"/>
  <c r="FR40" i="17"/>
  <c r="FP41" i="23" s="1"/>
  <c r="FO42" i="23"/>
  <c r="FO40" i="23" s="1"/>
  <c r="FR9" i="25"/>
  <c r="FR6" i="25"/>
  <c r="FR10" i="25"/>
  <c r="FR7" i="25"/>
  <c r="FR8" i="25"/>
  <c r="FP9" i="23"/>
  <c r="FP9" i="22"/>
  <c r="FU4" i="17"/>
  <c r="FT3" i="17"/>
  <c r="FT10" i="17" s="1"/>
  <c r="FS40" i="21"/>
  <c r="FP7" i="22"/>
  <c r="FP7" i="23"/>
  <c r="FQ9" i="24"/>
  <c r="FQ7" i="24"/>
  <c r="FQ10" i="24"/>
  <c r="FQ8" i="24"/>
  <c r="FQ6" i="24"/>
  <c r="FP10" i="22"/>
  <c r="FP10" i="23"/>
  <c r="FO40" i="22"/>
  <c r="FP40" i="24"/>
  <c r="FS4" i="24"/>
  <c r="FR3" i="24"/>
  <c r="FT4" i="25"/>
  <c r="FS3" i="25"/>
  <c r="FQ40" i="25"/>
  <c r="FS4" i="23"/>
  <c r="FR3" i="23"/>
  <c r="FT4" i="22"/>
  <c r="FS3" i="22"/>
  <c r="FU4" i="21"/>
  <c r="FT3" i="21"/>
  <c r="FT6" i="17" l="1"/>
  <c r="FT8" i="17"/>
  <c r="FT9" i="17"/>
  <c r="FT7" i="17"/>
  <c r="FQ40" i="24"/>
  <c r="FQ9" i="23"/>
  <c r="FQ9" i="22"/>
  <c r="FQ7" i="22"/>
  <c r="FQ7" i="23"/>
  <c r="FP42" i="23"/>
  <c r="FP40" i="23" s="1"/>
  <c r="FQ10" i="22"/>
  <c r="FQ10" i="23"/>
  <c r="FT40" i="21"/>
  <c r="FS7" i="25"/>
  <c r="FS9" i="25"/>
  <c r="FS10" i="25"/>
  <c r="FS6" i="25"/>
  <c r="FS8" i="25"/>
  <c r="FR10" i="24"/>
  <c r="FR7" i="24"/>
  <c r="FR6" i="24"/>
  <c r="FR8" i="24"/>
  <c r="FR9" i="24"/>
  <c r="FQ6" i="23"/>
  <c r="FQ6" i="22"/>
  <c r="FS40" i="17"/>
  <c r="FQ41" i="23" s="1"/>
  <c r="FU7" i="21"/>
  <c r="FU8" i="21"/>
  <c r="FU9" i="21"/>
  <c r="FU10" i="21"/>
  <c r="FU6" i="21"/>
  <c r="FS3" i="24"/>
  <c r="FT4" i="24"/>
  <c r="FV4" i="17"/>
  <c r="FU3" i="17"/>
  <c r="FU6" i="17" s="1"/>
  <c r="FQ8" i="22"/>
  <c r="FQ8" i="23"/>
  <c r="FP40" i="22"/>
  <c r="FR40" i="25"/>
  <c r="FU4" i="25"/>
  <c r="FT3" i="25"/>
  <c r="FT4" i="23"/>
  <c r="FS3" i="23"/>
  <c r="FT3" i="22"/>
  <c r="FU4" i="22"/>
  <c r="FV4" i="21"/>
  <c r="FU3" i="21"/>
  <c r="FU10" i="17" l="1"/>
  <c r="FU8" i="17"/>
  <c r="FU9" i="17"/>
  <c r="FU7" i="17"/>
  <c r="FS8" i="24"/>
  <c r="FS6" i="24"/>
  <c r="FS9" i="24"/>
  <c r="FS10" i="24"/>
  <c r="FS7" i="24"/>
  <c r="FR6" i="22"/>
  <c r="FR6" i="23"/>
  <c r="FT40" i="17"/>
  <c r="FR41" i="23" s="1"/>
  <c r="FT9" i="25"/>
  <c r="FT7" i="25"/>
  <c r="FT10" i="25"/>
  <c r="FT8" i="25"/>
  <c r="FT6" i="25"/>
  <c r="FU40" i="21"/>
  <c r="FQ40" i="22"/>
  <c r="FR10" i="23"/>
  <c r="FR10" i="22"/>
  <c r="FW4" i="17"/>
  <c r="FV3" i="17"/>
  <c r="FV7" i="17" s="1"/>
  <c r="FQ42" i="23"/>
  <c r="FQ40" i="23" s="1"/>
  <c r="FR8" i="23"/>
  <c r="FR8" i="22"/>
  <c r="FR40" i="24"/>
  <c r="FV9" i="21"/>
  <c r="FV7" i="21"/>
  <c r="FV6" i="21"/>
  <c r="FV8" i="21"/>
  <c r="FV10" i="21"/>
  <c r="FT3" i="24"/>
  <c r="FU4" i="24"/>
  <c r="FR9" i="22"/>
  <c r="FR9" i="23"/>
  <c r="FR7" i="23"/>
  <c r="FR7" i="22"/>
  <c r="FS40" i="25"/>
  <c r="FV4" i="25"/>
  <c r="FU3" i="25"/>
  <c r="FU4" i="23"/>
  <c r="FT3" i="23"/>
  <c r="FV4" i="22"/>
  <c r="FU3" i="22"/>
  <c r="FW4" i="21"/>
  <c r="FV3" i="21"/>
  <c r="FV6" i="17" l="1"/>
  <c r="FV8" i="17"/>
  <c r="FV9" i="17"/>
  <c r="FV10" i="17"/>
  <c r="FU6" i="25"/>
  <c r="FU9" i="25"/>
  <c r="FU10" i="25"/>
  <c r="FU7" i="25"/>
  <c r="FU8" i="25"/>
  <c r="FV4" i="24"/>
  <c r="FU3" i="24"/>
  <c r="FV40" i="21"/>
  <c r="FS6" i="22"/>
  <c r="FS6" i="23"/>
  <c r="FU40" i="17"/>
  <c r="FS41" i="23" s="1"/>
  <c r="FS9" i="23"/>
  <c r="FS9" i="22"/>
  <c r="FR40" i="22"/>
  <c r="FW9" i="21"/>
  <c r="FW10" i="21"/>
  <c r="FW6" i="21"/>
  <c r="FW7" i="21"/>
  <c r="FW8" i="21"/>
  <c r="FT7" i="24"/>
  <c r="FT8" i="24"/>
  <c r="FT6" i="24"/>
  <c r="FT10" i="24"/>
  <c r="FT9" i="24"/>
  <c r="FR42" i="23"/>
  <c r="FR40" i="23" s="1"/>
  <c r="FX4" i="17"/>
  <c r="FW3" i="17"/>
  <c r="FW10" i="17" s="1"/>
  <c r="FS10" i="23"/>
  <c r="FS10" i="22"/>
  <c r="FS8" i="23"/>
  <c r="FS8" i="22"/>
  <c r="FS40" i="24"/>
  <c r="FS7" i="22"/>
  <c r="FS7" i="23"/>
  <c r="FT40" i="25"/>
  <c r="FW4" i="25"/>
  <c r="FV3" i="25"/>
  <c r="FV4" i="23"/>
  <c r="FU3" i="23"/>
  <c r="FW4" i="22"/>
  <c r="FV3" i="22"/>
  <c r="FX4" i="21"/>
  <c r="FW3" i="21"/>
  <c r="FW9" i="17" l="1"/>
  <c r="FW6" i="17"/>
  <c r="FW8" i="17"/>
  <c r="FW7" i="17"/>
  <c r="FV9" i="25"/>
  <c r="FV7" i="25"/>
  <c r="FV6" i="25"/>
  <c r="FV10" i="25"/>
  <c r="FV8" i="25"/>
  <c r="FT40" i="24"/>
  <c r="FT6" i="23"/>
  <c r="FV40" i="17"/>
  <c r="FT41" i="23" s="1"/>
  <c r="FT6" i="22"/>
  <c r="FX9" i="21"/>
  <c r="FX10" i="21"/>
  <c r="FX7" i="21"/>
  <c r="FX8" i="21"/>
  <c r="FX6" i="21"/>
  <c r="FS42" i="23"/>
  <c r="FS40" i="23" s="1"/>
  <c r="FW40" i="21"/>
  <c r="FS40" i="22"/>
  <c r="FT10" i="23"/>
  <c r="FT10" i="22"/>
  <c r="FU6" i="24"/>
  <c r="FU7" i="24"/>
  <c r="FU10" i="24"/>
  <c r="FU8" i="24"/>
  <c r="FU9" i="24"/>
  <c r="FT9" i="23"/>
  <c r="FT9" i="22"/>
  <c r="FT8" i="22"/>
  <c r="FT8" i="23"/>
  <c r="FW4" i="24"/>
  <c r="FV3" i="24"/>
  <c r="FY4" i="17"/>
  <c r="FX3" i="17"/>
  <c r="FX6" i="17" s="1"/>
  <c r="FT7" i="22"/>
  <c r="FT7" i="23"/>
  <c r="FU40" i="25"/>
  <c r="FX4" i="25"/>
  <c r="FW3" i="25"/>
  <c r="FW4" i="23"/>
  <c r="FV3" i="23"/>
  <c r="FX4" i="22"/>
  <c r="FW3" i="22"/>
  <c r="FY4" i="21"/>
  <c r="FX3" i="21"/>
  <c r="FX7" i="17" l="1"/>
  <c r="FX8" i="17"/>
  <c r="FX10" i="17"/>
  <c r="FX9" i="17"/>
  <c r="FW9" i="25"/>
  <c r="FW7" i="25"/>
  <c r="FW10" i="25"/>
  <c r="FW8" i="25"/>
  <c r="FW6" i="25"/>
  <c r="FU8" i="22"/>
  <c r="FU8" i="23"/>
  <c r="FT42" i="23"/>
  <c r="FT40" i="23" s="1"/>
  <c r="FY7" i="21"/>
  <c r="FY6" i="21"/>
  <c r="FY8" i="21"/>
  <c r="FY9" i="21"/>
  <c r="FY10" i="21"/>
  <c r="FZ4" i="17"/>
  <c r="FY3" i="17"/>
  <c r="FY10" i="17" s="1"/>
  <c r="FU9" i="23"/>
  <c r="FU9" i="22"/>
  <c r="FU7" i="22"/>
  <c r="FU7" i="23"/>
  <c r="FX40" i="21"/>
  <c r="FV6" i="24"/>
  <c r="FV10" i="24"/>
  <c r="FV9" i="24"/>
  <c r="FV8" i="24"/>
  <c r="FV7" i="24"/>
  <c r="FU10" i="23"/>
  <c r="FU10" i="22"/>
  <c r="FU40" i="24"/>
  <c r="FT40" i="22"/>
  <c r="FX4" i="24"/>
  <c r="FW3" i="24"/>
  <c r="FU6" i="22"/>
  <c r="FU6" i="23"/>
  <c r="FW40" i="17"/>
  <c r="FU41" i="23" s="1"/>
  <c r="FY4" i="25"/>
  <c r="FX3" i="25"/>
  <c r="FV40" i="25"/>
  <c r="FW3" i="23"/>
  <c r="FX4" i="23"/>
  <c r="FY4" i="22"/>
  <c r="FX3" i="22"/>
  <c r="FY3" i="21"/>
  <c r="FZ4" i="21"/>
  <c r="FY6" i="17" l="1"/>
  <c r="FY9" i="17"/>
  <c r="FY7" i="17"/>
  <c r="FY8" i="17"/>
  <c r="FU40" i="22"/>
  <c r="FU42" i="23"/>
  <c r="FU40" i="23" s="1"/>
  <c r="FZ6" i="21"/>
  <c r="FZ7" i="21"/>
  <c r="FZ8" i="21"/>
  <c r="FZ9" i="21"/>
  <c r="FZ10" i="21"/>
  <c r="FW10" i="24"/>
  <c r="FW9" i="24"/>
  <c r="FW7" i="24"/>
  <c r="FW8" i="24"/>
  <c r="FW6" i="24"/>
  <c r="GA4" i="17"/>
  <c r="FZ3" i="17"/>
  <c r="FZ10" i="17" s="1"/>
  <c r="FY40" i="21"/>
  <c r="FV6" i="22"/>
  <c r="FX40" i="17"/>
  <c r="FV41" i="23" s="1"/>
  <c r="FV6" i="23"/>
  <c r="FX8" i="25"/>
  <c r="FX9" i="25"/>
  <c r="FX10" i="25"/>
  <c r="FX7" i="25"/>
  <c r="FX6" i="25"/>
  <c r="FX3" i="24"/>
  <c r="FY4" i="24"/>
  <c r="FV8" i="23"/>
  <c r="FV8" i="22"/>
  <c r="FV9" i="22"/>
  <c r="FV9" i="23"/>
  <c r="FV7" i="23"/>
  <c r="FV7" i="22"/>
  <c r="FV40" i="24"/>
  <c r="FV10" i="23"/>
  <c r="FV10" i="22"/>
  <c r="FW40" i="25"/>
  <c r="FZ4" i="25"/>
  <c r="FY3" i="25"/>
  <c r="FY4" i="23"/>
  <c r="FX3" i="23"/>
  <c r="FZ4" i="22"/>
  <c r="FY3" i="22"/>
  <c r="GA4" i="21"/>
  <c r="FZ3" i="21"/>
  <c r="FZ6" i="17" l="1"/>
  <c r="FZ9" i="17"/>
  <c r="FZ8" i="17"/>
  <c r="FZ7" i="17"/>
  <c r="FW9" i="22"/>
  <c r="FW9" i="23"/>
  <c r="FW7" i="23"/>
  <c r="FW7" i="22"/>
  <c r="FY3" i="24"/>
  <c r="FZ4" i="24"/>
  <c r="FW10" i="23"/>
  <c r="FW10" i="22"/>
  <c r="FX6" i="24"/>
  <c r="FX8" i="24"/>
  <c r="FX9" i="24"/>
  <c r="FX7" i="24"/>
  <c r="FX10" i="24"/>
  <c r="FV40" i="22"/>
  <c r="GB4" i="17"/>
  <c r="GA3" i="17"/>
  <c r="GA10" i="17" s="1"/>
  <c r="FY7" i="25"/>
  <c r="FY9" i="25"/>
  <c r="FY6" i="25"/>
  <c r="FY10" i="25"/>
  <c r="FY8" i="25"/>
  <c r="FY40" i="17"/>
  <c r="FW41" i="23" s="1"/>
  <c r="FW6" i="23"/>
  <c r="FW6" i="22"/>
  <c r="FW40" i="24"/>
  <c r="GA9" i="21"/>
  <c r="GA10" i="21"/>
  <c r="GA8" i="21"/>
  <c r="GA6" i="21"/>
  <c r="GA7" i="21"/>
  <c r="FW8" i="23"/>
  <c r="FW8" i="22"/>
  <c r="FV42" i="23"/>
  <c r="FV40" i="23" s="1"/>
  <c r="FZ40" i="21"/>
  <c r="FX40" i="25"/>
  <c r="GA4" i="25"/>
  <c r="FZ3" i="25"/>
  <c r="FZ4" i="23"/>
  <c r="FY3" i="23"/>
  <c r="GA4" i="22"/>
  <c r="FZ3" i="22"/>
  <c r="GB4" i="21"/>
  <c r="GA3" i="21"/>
  <c r="GA6" i="17" l="1"/>
  <c r="GA7" i="17"/>
  <c r="GA8" i="17"/>
  <c r="GA9" i="17"/>
  <c r="FX40" i="24"/>
  <c r="FW40" i="22"/>
  <c r="FZ40" i="17"/>
  <c r="FX41" i="23" s="1"/>
  <c r="FX6" i="22"/>
  <c r="FX6" i="23"/>
  <c r="FX7" i="23"/>
  <c r="FX7" i="22"/>
  <c r="FW42" i="23"/>
  <c r="FW40" i="23" s="1"/>
  <c r="FX10" i="23"/>
  <c r="FX10" i="22"/>
  <c r="FZ9" i="25"/>
  <c r="FZ7" i="25"/>
  <c r="FZ8" i="25"/>
  <c r="FZ10" i="25"/>
  <c r="FZ6" i="25"/>
  <c r="GB9" i="21"/>
  <c r="GB10" i="21"/>
  <c r="GB6" i="21"/>
  <c r="GB7" i="21"/>
  <c r="GB8" i="21"/>
  <c r="GA40" i="21"/>
  <c r="GC4" i="17"/>
  <c r="GB3" i="17"/>
  <c r="GB8" i="17" s="1"/>
  <c r="FX9" i="23"/>
  <c r="FX9" i="22"/>
  <c r="GA4" i="24"/>
  <c r="FZ3" i="24"/>
  <c r="FX8" i="23"/>
  <c r="FX8" i="22"/>
  <c r="FY10" i="24"/>
  <c r="FY8" i="24"/>
  <c r="FY6" i="24"/>
  <c r="FY9" i="24"/>
  <c r="FY7" i="24"/>
  <c r="GB4" i="25"/>
  <c r="GA3" i="25"/>
  <c r="FY40" i="25"/>
  <c r="GA4" i="23"/>
  <c r="FZ3" i="23"/>
  <c r="GB4" i="22"/>
  <c r="GA3" i="22"/>
  <c r="GC4" i="21"/>
  <c r="GB3" i="21"/>
  <c r="GB7" i="17" l="1"/>
  <c r="GB6" i="17"/>
  <c r="GB10" i="17"/>
  <c r="GB9" i="17"/>
  <c r="GC7" i="21"/>
  <c r="GC8" i="21"/>
  <c r="GC9" i="21"/>
  <c r="GC10" i="21"/>
  <c r="GC6" i="21"/>
  <c r="GA6" i="25"/>
  <c r="GA9" i="25"/>
  <c r="GA7" i="25"/>
  <c r="GA10" i="25"/>
  <c r="GA8" i="25"/>
  <c r="FY40" i="24"/>
  <c r="GB40" i="21"/>
  <c r="FY6" i="23"/>
  <c r="GA40" i="17"/>
  <c r="FY41" i="23" s="1"/>
  <c r="FY6" i="22"/>
  <c r="FY8" i="23"/>
  <c r="FY8" i="22"/>
  <c r="FX42" i="23"/>
  <c r="FX40" i="23" s="1"/>
  <c r="FZ6" i="24"/>
  <c r="FZ10" i="24"/>
  <c r="FZ8" i="24"/>
  <c r="FZ7" i="24"/>
  <c r="FZ9" i="24"/>
  <c r="FY9" i="23"/>
  <c r="FY9" i="22"/>
  <c r="FX40" i="22"/>
  <c r="GB4" i="24"/>
  <c r="GA3" i="24"/>
  <c r="GD4" i="17"/>
  <c r="GC3" i="17"/>
  <c r="GC7" i="17" s="1"/>
  <c r="FY10" i="23"/>
  <c r="FY10" i="22"/>
  <c r="FY7" i="23"/>
  <c r="FY7" i="22"/>
  <c r="GC4" i="25"/>
  <c r="GB3" i="25"/>
  <c r="FZ40" i="25"/>
  <c r="GB4" i="23"/>
  <c r="GA3" i="23"/>
  <c r="GC4" i="22"/>
  <c r="GB3" i="22"/>
  <c r="GD4" i="21"/>
  <c r="GC3" i="21"/>
  <c r="GC6" i="17" l="1"/>
  <c r="GC9" i="17"/>
  <c r="GC10" i="17"/>
  <c r="GC8" i="17"/>
  <c r="GC4" i="24"/>
  <c r="GB3" i="24"/>
  <c r="FZ6" i="23"/>
  <c r="FZ6" i="22"/>
  <c r="GB40" i="17"/>
  <c r="FZ41" i="23" s="1"/>
  <c r="FY40" i="22"/>
  <c r="FZ8" i="23"/>
  <c r="FZ8" i="22"/>
  <c r="GD6" i="21"/>
  <c r="GD7" i="21"/>
  <c r="GD8" i="21"/>
  <c r="GD9" i="21"/>
  <c r="GD10" i="21"/>
  <c r="GB9" i="25"/>
  <c r="GB10" i="25"/>
  <c r="GB8" i="25"/>
  <c r="GB7" i="25"/>
  <c r="GB6" i="25"/>
  <c r="GE4" i="17"/>
  <c r="GD3" i="17"/>
  <c r="GD7" i="17" s="1"/>
  <c r="FZ10" i="23"/>
  <c r="FZ10" i="22"/>
  <c r="FZ7" i="22"/>
  <c r="FZ7" i="23"/>
  <c r="FY42" i="23"/>
  <c r="FY40" i="23" s="1"/>
  <c r="GA9" i="24"/>
  <c r="GA6" i="24"/>
  <c r="GA7" i="24"/>
  <c r="GA10" i="24"/>
  <c r="GA8" i="24"/>
  <c r="FZ9" i="23"/>
  <c r="FZ9" i="22"/>
  <c r="FZ40" i="24"/>
  <c r="GC40" i="21"/>
  <c r="GA40" i="25"/>
  <c r="GD4" i="25"/>
  <c r="GC3" i="25"/>
  <c r="GC4" i="23"/>
  <c r="GB3" i="23"/>
  <c r="GD4" i="22"/>
  <c r="GC3" i="22"/>
  <c r="GE4" i="21"/>
  <c r="GD3" i="21"/>
  <c r="GD6" i="17" l="1"/>
  <c r="GD8" i="17"/>
  <c r="GD10" i="17"/>
  <c r="GD9" i="17"/>
  <c r="GD40" i="21"/>
  <c r="GA8" i="23"/>
  <c r="GA8" i="22"/>
  <c r="FZ40" i="22"/>
  <c r="GC9" i="25"/>
  <c r="GC7" i="25"/>
  <c r="GC10" i="25"/>
  <c r="GC6" i="25"/>
  <c r="GC8" i="25"/>
  <c r="GA40" i="24"/>
  <c r="GA9" i="23"/>
  <c r="GA9" i="22"/>
  <c r="GA7" i="23"/>
  <c r="GA7" i="22"/>
  <c r="FZ42" i="23"/>
  <c r="FZ40" i="23" s="1"/>
  <c r="GE9" i="21"/>
  <c r="GE10" i="21"/>
  <c r="GE7" i="21"/>
  <c r="GE8" i="21"/>
  <c r="GE6" i="21"/>
  <c r="GF4" i="17"/>
  <c r="GE3" i="17"/>
  <c r="GE8" i="17" s="1"/>
  <c r="GA10" i="22"/>
  <c r="GA10" i="23"/>
  <c r="GB10" i="24"/>
  <c r="GB7" i="24"/>
  <c r="GB9" i="24"/>
  <c r="GB6" i="24"/>
  <c r="GB8" i="24"/>
  <c r="GC40" i="17"/>
  <c r="GA41" i="23" s="1"/>
  <c r="GA6" i="22"/>
  <c r="GA6" i="23"/>
  <c r="GD4" i="24"/>
  <c r="GC3" i="24"/>
  <c r="GB40" i="25"/>
  <c r="GE4" i="25"/>
  <c r="GD3" i="25"/>
  <c r="GD4" i="23"/>
  <c r="GC3" i="23"/>
  <c r="GE4" i="22"/>
  <c r="GD3" i="22"/>
  <c r="GF4" i="21"/>
  <c r="GE3" i="21"/>
  <c r="GE7" i="17" l="1"/>
  <c r="GE6" i="17"/>
  <c r="GE9" i="17"/>
  <c r="GE10" i="17"/>
  <c r="GA42" i="23"/>
  <c r="GA40" i="23" s="1"/>
  <c r="GC10" i="24"/>
  <c r="GC8" i="24"/>
  <c r="GC6" i="24"/>
  <c r="GC9" i="24"/>
  <c r="GC7" i="24"/>
  <c r="GE40" i="21"/>
  <c r="GB10" i="23"/>
  <c r="GB10" i="22"/>
  <c r="GD9" i="25"/>
  <c r="GD7" i="25"/>
  <c r="GD6" i="25"/>
  <c r="GD10" i="25"/>
  <c r="GD8" i="25"/>
  <c r="GD3" i="24"/>
  <c r="GE4" i="24"/>
  <c r="GB9" i="23"/>
  <c r="GB9" i="22"/>
  <c r="GF9" i="21"/>
  <c r="GF10" i="21"/>
  <c r="GF6" i="21"/>
  <c r="GF7" i="21"/>
  <c r="GF8" i="21"/>
  <c r="GB7" i="23"/>
  <c r="GB7" i="22"/>
  <c r="GA40" i="22"/>
  <c r="GB40" i="24"/>
  <c r="GG4" i="17"/>
  <c r="GF3" i="17"/>
  <c r="GF9" i="17" s="1"/>
  <c r="GB8" i="23"/>
  <c r="GB8" i="22"/>
  <c r="GB6" i="23"/>
  <c r="GB6" i="22"/>
  <c r="GD40" i="17"/>
  <c r="GB41" i="23" s="1"/>
  <c r="GF4" i="25"/>
  <c r="GE3" i="25"/>
  <c r="GC40" i="25"/>
  <c r="GE4" i="23"/>
  <c r="GD3" i="23"/>
  <c r="GF4" i="22"/>
  <c r="GE3" i="22"/>
  <c r="GF3" i="21"/>
  <c r="GG4" i="21"/>
  <c r="GF6" i="17" l="1"/>
  <c r="GF8" i="17"/>
  <c r="GF7" i="17"/>
  <c r="GF10" i="17"/>
  <c r="GC40" i="24"/>
  <c r="GB40" i="22"/>
  <c r="GB42" i="23"/>
  <c r="GB40" i="23" s="1"/>
  <c r="GC8" i="23"/>
  <c r="GC8" i="22"/>
  <c r="GD8" i="24"/>
  <c r="GD9" i="24"/>
  <c r="GD6" i="24"/>
  <c r="GD10" i="24"/>
  <c r="GD7" i="24"/>
  <c r="GC9" i="22"/>
  <c r="GC9" i="23"/>
  <c r="GC7" i="23"/>
  <c r="GC7" i="22"/>
  <c r="GF40" i="21"/>
  <c r="GG8" i="21"/>
  <c r="GG7" i="21"/>
  <c r="GG6" i="21"/>
  <c r="GG9" i="21"/>
  <c r="GG10" i="21"/>
  <c r="GC6" i="22"/>
  <c r="GC6" i="23"/>
  <c r="GE40" i="17"/>
  <c r="GC41" i="23" s="1"/>
  <c r="GE9" i="25"/>
  <c r="GE7" i="25"/>
  <c r="GE6" i="25"/>
  <c r="GE10" i="25"/>
  <c r="GE8" i="25"/>
  <c r="GH4" i="17"/>
  <c r="GG3" i="17"/>
  <c r="GG10" i="17" s="1"/>
  <c r="GC10" i="23"/>
  <c r="GC10" i="22"/>
  <c r="GE3" i="24"/>
  <c r="GF4" i="24"/>
  <c r="GD40" i="25"/>
  <c r="GG4" i="25"/>
  <c r="GF3" i="25"/>
  <c r="GF4" i="23"/>
  <c r="GE3" i="23"/>
  <c r="GF3" i="22"/>
  <c r="GG4" i="22"/>
  <c r="GG3" i="21"/>
  <c r="GH4" i="21"/>
  <c r="F5" i="1"/>
  <c r="GG6" i="17" l="1"/>
  <c r="GG9" i="17"/>
  <c r="GG7" i="17"/>
  <c r="GG8" i="17"/>
  <c r="GC42" i="23"/>
  <c r="GC40" i="23" s="1"/>
  <c r="GD6" i="22"/>
  <c r="GF40" i="17"/>
  <c r="GD41" i="23" s="1"/>
  <c r="GD6" i="23"/>
  <c r="GI4" i="17"/>
  <c r="GH3" i="17"/>
  <c r="GH8" i="17" s="1"/>
  <c r="GD8" i="23"/>
  <c r="GD8" i="22"/>
  <c r="GG4" i="24"/>
  <c r="GF3" i="24"/>
  <c r="GC40" i="22"/>
  <c r="GD7" i="23"/>
  <c r="GD7" i="22"/>
  <c r="GD40" i="24"/>
  <c r="GH6" i="21"/>
  <c r="GH7" i="21"/>
  <c r="GH8" i="21"/>
  <c r="GH10" i="21"/>
  <c r="GH9" i="21"/>
  <c r="GF9" i="25"/>
  <c r="GF6" i="25"/>
  <c r="GF10" i="25"/>
  <c r="GF7" i="25"/>
  <c r="GF8" i="25"/>
  <c r="GE10" i="24"/>
  <c r="GE6" i="24"/>
  <c r="GE9" i="24"/>
  <c r="GE8" i="24"/>
  <c r="GE7" i="24"/>
  <c r="GD10" i="23"/>
  <c r="GD10" i="22"/>
  <c r="GD9" i="23"/>
  <c r="GD9" i="22"/>
  <c r="GG40" i="21"/>
  <c r="GE40" i="25"/>
  <c r="GH4" i="25"/>
  <c r="GG3" i="25"/>
  <c r="GG4" i="23"/>
  <c r="GF3" i="23"/>
  <c r="GH4" i="22"/>
  <c r="GG3" i="22"/>
  <c r="GI4" i="21"/>
  <c r="GH3" i="21"/>
  <c r="GH6" i="17" l="1"/>
  <c r="GH10" i="17"/>
  <c r="GH7" i="17"/>
  <c r="GH9" i="17"/>
  <c r="GG3" i="24"/>
  <c r="GH4" i="24"/>
  <c r="GD42" i="23"/>
  <c r="GD40" i="23" s="1"/>
  <c r="GG40" i="17"/>
  <c r="GE41" i="23" s="1"/>
  <c r="GE6" i="22"/>
  <c r="GE6" i="23"/>
  <c r="GH40" i="21"/>
  <c r="GE8" i="23"/>
  <c r="GE8" i="22"/>
  <c r="GG7" i="25"/>
  <c r="GG9" i="25"/>
  <c r="GG6" i="25"/>
  <c r="GG8" i="25"/>
  <c r="GG10" i="25"/>
  <c r="GE40" i="24"/>
  <c r="GJ4" i="17"/>
  <c r="GI3" i="17"/>
  <c r="GI8" i="17" s="1"/>
  <c r="GD40" i="22"/>
  <c r="GE7" i="23"/>
  <c r="GE7" i="22"/>
  <c r="GI9" i="21"/>
  <c r="GI10" i="21"/>
  <c r="GI6" i="21"/>
  <c r="GI7" i="21"/>
  <c r="GI8" i="21"/>
  <c r="GF10" i="24"/>
  <c r="GF6" i="24"/>
  <c r="GF8" i="24"/>
  <c r="GF9" i="24"/>
  <c r="GF7" i="24"/>
  <c r="GE9" i="23"/>
  <c r="GE9" i="22"/>
  <c r="GE10" i="23"/>
  <c r="GE10" i="22"/>
  <c r="GF40" i="25"/>
  <c r="GI4" i="25"/>
  <c r="GH3" i="25"/>
  <c r="GH4" i="23"/>
  <c r="GG3" i="23"/>
  <c r="GI4" i="22"/>
  <c r="GH3" i="22"/>
  <c r="GJ4" i="21"/>
  <c r="GI3" i="21"/>
  <c r="GI6" i="17" l="1"/>
  <c r="GI9" i="17"/>
  <c r="GI10" i="17"/>
  <c r="GI7" i="17"/>
  <c r="GI40" i="21"/>
  <c r="GF7" i="23"/>
  <c r="GF7" i="22"/>
  <c r="GH8" i="25"/>
  <c r="GH9" i="25"/>
  <c r="GH10" i="25"/>
  <c r="GH6" i="25"/>
  <c r="GH7" i="25"/>
  <c r="GF9" i="23"/>
  <c r="GF9" i="22"/>
  <c r="GH40" i="17"/>
  <c r="GF41" i="23" s="1"/>
  <c r="GF6" i="22"/>
  <c r="GF6" i="23"/>
  <c r="GE42" i="23"/>
  <c r="GE40" i="23" s="1"/>
  <c r="GI4" i="24"/>
  <c r="GH3" i="24"/>
  <c r="GJ9" i="21"/>
  <c r="GJ10" i="21"/>
  <c r="GJ6" i="21"/>
  <c r="GJ7" i="21"/>
  <c r="GJ8" i="21"/>
  <c r="GF8" i="23"/>
  <c r="GF8" i="22"/>
  <c r="GE40" i="22"/>
  <c r="GG6" i="24"/>
  <c r="GG10" i="24"/>
  <c r="GG8" i="24"/>
  <c r="GG7" i="24"/>
  <c r="GG9" i="24"/>
  <c r="GF40" i="24"/>
  <c r="GK4" i="17"/>
  <c r="GJ3" i="17"/>
  <c r="GJ10" i="17" s="1"/>
  <c r="GF10" i="23"/>
  <c r="GF10" i="22"/>
  <c r="GG40" i="25"/>
  <c r="GJ4" i="25"/>
  <c r="GI3" i="25"/>
  <c r="GI4" i="23"/>
  <c r="GH3" i="23"/>
  <c r="GJ4" i="22"/>
  <c r="GI3" i="22"/>
  <c r="GK4" i="21"/>
  <c r="GJ3" i="21"/>
  <c r="GJ6" i="17" l="1"/>
  <c r="GJ9" i="17"/>
  <c r="GJ7" i="17"/>
  <c r="GJ8" i="17"/>
  <c r="GG6" i="22"/>
  <c r="GI40" i="17"/>
  <c r="GG41" i="23" s="1"/>
  <c r="GG6" i="23"/>
  <c r="GI7" i="25"/>
  <c r="GI9" i="25"/>
  <c r="GI6" i="25"/>
  <c r="GI10" i="25"/>
  <c r="GI8" i="25"/>
  <c r="GG8" i="23"/>
  <c r="GG8" i="22"/>
  <c r="GF42" i="23"/>
  <c r="GF40" i="23" s="1"/>
  <c r="GK7" i="21"/>
  <c r="GK9" i="21"/>
  <c r="GK8" i="21"/>
  <c r="GK10" i="21"/>
  <c r="GK6" i="21"/>
  <c r="GG40" i="24"/>
  <c r="GG9" i="23"/>
  <c r="GG9" i="22"/>
  <c r="GG7" i="23"/>
  <c r="GG7" i="22"/>
  <c r="GH7" i="24"/>
  <c r="GH9" i="24"/>
  <c r="GH10" i="24"/>
  <c r="GH6" i="24"/>
  <c r="GH8" i="24"/>
  <c r="GF40" i="22"/>
  <c r="GL4" i="17"/>
  <c r="GK3" i="17"/>
  <c r="GK10" i="17" s="1"/>
  <c r="GG10" i="23"/>
  <c r="GG10" i="22"/>
  <c r="GJ40" i="21"/>
  <c r="GJ4" i="24"/>
  <c r="GI3" i="24"/>
  <c r="GK4" i="25"/>
  <c r="GJ3" i="25"/>
  <c r="GH40" i="25"/>
  <c r="GJ4" i="23"/>
  <c r="GI3" i="23"/>
  <c r="GJ3" i="22"/>
  <c r="GK4" i="22"/>
  <c r="GL4" i="21"/>
  <c r="GK3" i="21"/>
  <c r="GK9" i="17" l="1"/>
  <c r="GK6" i="17"/>
  <c r="GK8" i="17"/>
  <c r="GK7" i="17"/>
  <c r="GH40" i="24"/>
  <c r="GL9" i="21"/>
  <c r="GL10" i="21"/>
  <c r="GL7" i="21"/>
  <c r="GL6" i="21"/>
  <c r="GL8" i="21"/>
  <c r="GJ9" i="25"/>
  <c r="GJ8" i="25"/>
  <c r="GJ7" i="25"/>
  <c r="GJ10" i="25"/>
  <c r="GJ6" i="25"/>
  <c r="GI7" i="24"/>
  <c r="GI6" i="24"/>
  <c r="GI8" i="24"/>
  <c r="GI9" i="24"/>
  <c r="GI10" i="24"/>
  <c r="GH9" i="23"/>
  <c r="GH9" i="22"/>
  <c r="GH7" i="23"/>
  <c r="GH7" i="22"/>
  <c r="GJ3" i="24"/>
  <c r="GK4" i="24"/>
  <c r="GH10" i="22"/>
  <c r="GH10" i="23"/>
  <c r="GK40" i="21"/>
  <c r="GG42" i="23"/>
  <c r="GG40" i="23" s="1"/>
  <c r="GJ40" i="17"/>
  <c r="GH41" i="23" s="1"/>
  <c r="GH6" i="23"/>
  <c r="GH6" i="22"/>
  <c r="GM4" i="17"/>
  <c r="GL3" i="17"/>
  <c r="GL10" i="17" s="1"/>
  <c r="GH8" i="23"/>
  <c r="GH8" i="22"/>
  <c r="GG40" i="22"/>
  <c r="GI40" i="25"/>
  <c r="GL4" i="25"/>
  <c r="GK3" i="25"/>
  <c r="GK4" i="23"/>
  <c r="GJ3" i="23"/>
  <c r="GL4" i="22"/>
  <c r="GK3" i="22"/>
  <c r="GM4" i="21"/>
  <c r="GL3" i="21"/>
  <c r="GL6" i="17" l="1"/>
  <c r="GL7" i="17"/>
  <c r="GL8" i="17"/>
  <c r="GL9" i="17"/>
  <c r="GI10" i="23"/>
  <c r="GI10" i="22"/>
  <c r="GH40" i="22"/>
  <c r="GI40" i="24"/>
  <c r="GL40" i="21"/>
  <c r="GK6" i="25"/>
  <c r="GK9" i="25"/>
  <c r="GK8" i="25"/>
  <c r="GK7" i="25"/>
  <c r="GK10" i="25"/>
  <c r="GN4" i="17"/>
  <c r="GM3" i="17"/>
  <c r="GM8" i="17" s="1"/>
  <c r="GI8" i="22"/>
  <c r="GI8" i="23"/>
  <c r="GH42" i="23"/>
  <c r="GH40" i="23" s="1"/>
  <c r="GL4" i="24"/>
  <c r="GK3" i="24"/>
  <c r="GM9" i="21"/>
  <c r="GM10" i="21"/>
  <c r="GM6" i="21"/>
  <c r="GM7" i="21"/>
  <c r="GM8" i="21"/>
  <c r="GI9" i="22"/>
  <c r="GI9" i="23"/>
  <c r="GI7" i="23"/>
  <c r="GI7" i="22"/>
  <c r="GJ6" i="24"/>
  <c r="GJ9" i="24"/>
  <c r="GJ10" i="24"/>
  <c r="GJ8" i="24"/>
  <c r="GJ7" i="24"/>
  <c r="GK40" i="17"/>
  <c r="GI41" i="23" s="1"/>
  <c r="GI6" i="22"/>
  <c r="GI6" i="23"/>
  <c r="GM4" i="25"/>
  <c r="GL3" i="25"/>
  <c r="GJ40" i="25"/>
  <c r="GL4" i="23"/>
  <c r="GK3" i="23"/>
  <c r="GM4" i="22"/>
  <c r="GL3" i="22"/>
  <c r="GN4" i="21"/>
  <c r="GM3" i="21"/>
  <c r="GM6" i="17" l="1"/>
  <c r="GM9" i="17"/>
  <c r="GM10" i="17"/>
  <c r="GM7" i="17"/>
  <c r="GI40" i="22"/>
  <c r="GJ9" i="22"/>
  <c r="GJ9" i="23"/>
  <c r="GM40" i="21"/>
  <c r="GK9" i="24"/>
  <c r="GK6" i="24"/>
  <c r="GK7" i="24"/>
  <c r="GK10" i="24"/>
  <c r="GK8" i="24"/>
  <c r="GL40" i="17"/>
  <c r="GJ41" i="23" s="1"/>
  <c r="GJ6" i="22"/>
  <c r="GJ6" i="23"/>
  <c r="GN8" i="21"/>
  <c r="GN7" i="21"/>
  <c r="GN9" i="21"/>
  <c r="GN10" i="21"/>
  <c r="GN6" i="21"/>
  <c r="GL7" i="25"/>
  <c r="GL9" i="25"/>
  <c r="GL6" i="25"/>
  <c r="GL8" i="25"/>
  <c r="GL10" i="25"/>
  <c r="GI42" i="23"/>
  <c r="GI40" i="23" s="1"/>
  <c r="GJ40" i="24"/>
  <c r="GM4" i="24"/>
  <c r="GL3" i="24"/>
  <c r="GJ8" i="22"/>
  <c r="GJ8" i="23"/>
  <c r="GO4" i="17"/>
  <c r="GN3" i="17"/>
  <c r="GN7" i="17" s="1"/>
  <c r="GJ7" i="22"/>
  <c r="GJ7" i="23"/>
  <c r="GJ10" i="22"/>
  <c r="GJ10" i="23"/>
  <c r="GN4" i="25"/>
  <c r="GM3" i="25"/>
  <c r="GK40" i="25"/>
  <c r="GM4" i="23"/>
  <c r="GL3" i="23"/>
  <c r="GN4" i="22"/>
  <c r="GM3" i="22"/>
  <c r="GO4" i="21"/>
  <c r="GN3" i="21"/>
  <c r="GN6" i="17" l="1"/>
  <c r="GN10" i="17"/>
  <c r="GN8" i="17"/>
  <c r="GN9" i="17"/>
  <c r="GK40" i="24"/>
  <c r="GK6" i="22"/>
  <c r="GK6" i="23"/>
  <c r="GM40" i="17"/>
  <c r="GK41" i="23" s="1"/>
  <c r="GL9" i="24"/>
  <c r="GL10" i="24"/>
  <c r="GL6" i="24"/>
  <c r="GL8" i="24"/>
  <c r="GL7" i="24"/>
  <c r="GJ40" i="22"/>
  <c r="GK8" i="23"/>
  <c r="GK8" i="22"/>
  <c r="GN4" i="24"/>
  <c r="GM3" i="24"/>
  <c r="GP4" i="17"/>
  <c r="GO3" i="17"/>
  <c r="GO8" i="17" s="1"/>
  <c r="GK7" i="23"/>
  <c r="GK7" i="22"/>
  <c r="GN40" i="21"/>
  <c r="GJ42" i="23"/>
  <c r="GJ40" i="23" s="1"/>
  <c r="GO8" i="21"/>
  <c r="GO6" i="21"/>
  <c r="GO7" i="21"/>
  <c r="GO9" i="21"/>
  <c r="GO10" i="21"/>
  <c r="GM9" i="25"/>
  <c r="GM10" i="25"/>
  <c r="GM6" i="25"/>
  <c r="GM8" i="25"/>
  <c r="GM7" i="25"/>
  <c r="GK9" i="23"/>
  <c r="GK9" i="22"/>
  <c r="GK10" i="23"/>
  <c r="GK10" i="22"/>
  <c r="GL40" i="25"/>
  <c r="GO4" i="25"/>
  <c r="GN3" i="25"/>
  <c r="GM3" i="23"/>
  <c r="GN4" i="23"/>
  <c r="GO4" i="22"/>
  <c r="GN3" i="22"/>
  <c r="GO3" i="21"/>
  <c r="GP4" i="21"/>
  <c r="GO6" i="17" l="1"/>
  <c r="GO10" i="17"/>
  <c r="GO9" i="17"/>
  <c r="GO7" i="17"/>
  <c r="GN40" i="17"/>
  <c r="GL41" i="23" s="1"/>
  <c r="GL6" i="23"/>
  <c r="GL6" i="22"/>
  <c r="GP3" i="21"/>
  <c r="GP6" i="21"/>
  <c r="GP7" i="21"/>
  <c r="GP9" i="21"/>
  <c r="GP8" i="21"/>
  <c r="GP10" i="21"/>
  <c r="GO40" i="21"/>
  <c r="GL10" i="23"/>
  <c r="GL10" i="22"/>
  <c r="GK42" i="23"/>
  <c r="GK40" i="23" s="1"/>
  <c r="GN9" i="25"/>
  <c r="GN7" i="25"/>
  <c r="GN8" i="25"/>
  <c r="GN10" i="25"/>
  <c r="GN6" i="25"/>
  <c r="GQ4" i="17"/>
  <c r="GP3" i="17"/>
  <c r="GP8" i="17" s="1"/>
  <c r="GL8" i="22"/>
  <c r="GL8" i="23"/>
  <c r="GM6" i="24"/>
  <c r="GM10" i="24"/>
  <c r="GM8" i="24"/>
  <c r="GM7" i="24"/>
  <c r="GM9" i="24"/>
  <c r="GL40" i="24"/>
  <c r="GL9" i="22"/>
  <c r="GL9" i="23"/>
  <c r="GL7" i="22"/>
  <c r="GL7" i="23"/>
  <c r="GN3" i="24"/>
  <c r="GO4" i="24"/>
  <c r="GK40" i="22"/>
  <c r="GM40" i="25"/>
  <c r="GP4" i="25"/>
  <c r="GP3" i="25" s="1"/>
  <c r="GO3" i="25"/>
  <c r="GO4" i="23"/>
  <c r="GN3" i="23"/>
  <c r="GP4" i="22"/>
  <c r="GO3" i="22"/>
  <c r="GP10" i="17" l="1"/>
  <c r="GP6" i="17"/>
  <c r="GP7" i="17"/>
  <c r="GQ6" i="17"/>
  <c r="GP9" i="17"/>
  <c r="GO9" i="25"/>
  <c r="GO7" i="25"/>
  <c r="GO8" i="25"/>
  <c r="GO6" i="25"/>
  <c r="GO10" i="25"/>
  <c r="GM40" i="24"/>
  <c r="GR4" i="17"/>
  <c r="GQ3" i="17"/>
  <c r="GQ8" i="17" s="1"/>
  <c r="GM10" i="22"/>
  <c r="GM10" i="23"/>
  <c r="GL40" i="22"/>
  <c r="GP4" i="24"/>
  <c r="GP3" i="24" s="1"/>
  <c r="GO3" i="24"/>
  <c r="GP7" i="25"/>
  <c r="GP9" i="25"/>
  <c r="GP8" i="25"/>
  <c r="GP6" i="25"/>
  <c r="GP10" i="25"/>
  <c r="GN7" i="24"/>
  <c r="GN9" i="24"/>
  <c r="GN10" i="24"/>
  <c r="GN6" i="24"/>
  <c r="GN8" i="24"/>
  <c r="GM6" i="23"/>
  <c r="GM6" i="22"/>
  <c r="GO40" i="17"/>
  <c r="GM41" i="23" s="1"/>
  <c r="GL42" i="23"/>
  <c r="GL40" i="23" s="1"/>
  <c r="GM8" i="23"/>
  <c r="GM8" i="22"/>
  <c r="GP40" i="21"/>
  <c r="GM9" i="22"/>
  <c r="GM9" i="23"/>
  <c r="GM7" i="23"/>
  <c r="GM7" i="22"/>
  <c r="GN40" i="25"/>
  <c r="GP4" i="23"/>
  <c r="GP3" i="23" s="1"/>
  <c r="GO3" i="23"/>
  <c r="GP3" i="22"/>
  <c r="GQ7" i="17" l="1"/>
  <c r="GQ10" i="17"/>
  <c r="GQ9" i="17"/>
  <c r="GR3" i="17"/>
  <c r="GR7" i="17" s="1"/>
  <c r="GR6" i="17"/>
  <c r="GN40" i="24"/>
  <c r="F10" i="20"/>
  <c r="G10" i="20"/>
  <c r="H10" i="20"/>
  <c r="I10" i="20"/>
  <c r="L10" i="20"/>
  <c r="K10" i="20"/>
  <c r="J10" i="20"/>
  <c r="O10" i="20"/>
  <c r="N10" i="20"/>
  <c r="GN8" i="23"/>
  <c r="GN8" i="22"/>
  <c r="GM42" i="23"/>
  <c r="GM40" i="23" s="1"/>
  <c r="H26" i="20"/>
  <c r="F26" i="20"/>
  <c r="G26" i="20"/>
  <c r="I26" i="20"/>
  <c r="J26" i="20"/>
  <c r="L26" i="20"/>
  <c r="O26" i="20"/>
  <c r="K26" i="20"/>
  <c r="N26" i="20"/>
  <c r="GP7" i="24"/>
  <c r="GP10" i="24"/>
  <c r="GP9" i="24"/>
  <c r="GP6" i="24"/>
  <c r="GP8" i="24"/>
  <c r="GP40" i="17"/>
  <c r="GN41" i="23" s="1"/>
  <c r="GN6" i="23"/>
  <c r="GN6" i="22"/>
  <c r="GN7" i="22"/>
  <c r="GN7" i="23"/>
  <c r="G6" i="20"/>
  <c r="G8" i="20" s="1"/>
  <c r="H6" i="20"/>
  <c r="H8" i="20" s="1"/>
  <c r="J6" i="20"/>
  <c r="J8" i="20" s="1"/>
  <c r="K6" i="20"/>
  <c r="K8" i="20" s="1"/>
  <c r="N6" i="20"/>
  <c r="N8" i="20" s="1"/>
  <c r="L6" i="20"/>
  <c r="L8" i="20" s="1"/>
  <c r="O6" i="20"/>
  <c r="O8" i="20" s="1"/>
  <c r="GN10" i="23"/>
  <c r="GN10" i="22"/>
  <c r="F11" i="20"/>
  <c r="G11" i="20"/>
  <c r="I11" i="20"/>
  <c r="H11" i="20"/>
  <c r="J11" i="20"/>
  <c r="K11" i="20"/>
  <c r="N11" i="20"/>
  <c r="L11" i="20"/>
  <c r="O11" i="20"/>
  <c r="GN9" i="23"/>
  <c r="GN9" i="22"/>
  <c r="GM40" i="22"/>
  <c r="GO9" i="24"/>
  <c r="GO6" i="24"/>
  <c r="GO7" i="24"/>
  <c r="GO8" i="24"/>
  <c r="GO10" i="24"/>
  <c r="GP40" i="25"/>
  <c r="GO40" i="25"/>
  <c r="F6" i="20" l="1"/>
  <c r="F8" i="20" s="1"/>
  <c r="GR10" i="17"/>
  <c r="I6" i="20"/>
  <c r="I8" i="20" s="1"/>
  <c r="GR8" i="17"/>
  <c r="GP8" i="23" s="1"/>
  <c r="GR9" i="17"/>
  <c r="L12" i="20"/>
  <c r="M11" i="12" s="1"/>
  <c r="H12" i="20"/>
  <c r="I11" i="12" s="1"/>
  <c r="GP40" i="24"/>
  <c r="N12" i="20"/>
  <c r="G12" i="20"/>
  <c r="GP6" i="22"/>
  <c r="GP6" i="23"/>
  <c r="GO7" i="23"/>
  <c r="GO7" i="22"/>
  <c r="K12" i="20"/>
  <c r="F12" i="20"/>
  <c r="GP10" i="23"/>
  <c r="GP10" i="22"/>
  <c r="GO6" i="23"/>
  <c r="GQ40" i="17"/>
  <c r="GO41" i="23" s="1"/>
  <c r="GO6" i="22"/>
  <c r="GO9" i="22"/>
  <c r="GO9" i="23"/>
  <c r="GO40" i="24"/>
  <c r="O12" i="20"/>
  <c r="J12" i="20"/>
  <c r="I12" i="20"/>
  <c r="GN40" i="22"/>
  <c r="GO10" i="23"/>
  <c r="GO10" i="22"/>
  <c r="GP9" i="23"/>
  <c r="GP9" i="22"/>
  <c r="GP7" i="23"/>
  <c r="GP7" i="22"/>
  <c r="GN42" i="23"/>
  <c r="GN40" i="23" s="1"/>
  <c r="GO8" i="23"/>
  <c r="GO8" i="22"/>
  <c r="E26" i="20"/>
  <c r="M26" i="20"/>
  <c r="E28" i="20"/>
  <c r="F28" i="20"/>
  <c r="F29" i="20" s="1"/>
  <c r="G28" i="20"/>
  <c r="G29" i="20" s="1"/>
  <c r="H28" i="20"/>
  <c r="H29" i="20" s="1"/>
  <c r="I28" i="20"/>
  <c r="I29" i="20" s="1"/>
  <c r="J28" i="20"/>
  <c r="J29" i="20" s="1"/>
  <c r="K28" i="20"/>
  <c r="K29" i="20" s="1"/>
  <c r="L28" i="20"/>
  <c r="L29" i="20" s="1"/>
  <c r="M28" i="20"/>
  <c r="N28" i="20"/>
  <c r="N29" i="20" s="1"/>
  <c r="O28" i="20"/>
  <c r="O29" i="20" s="1"/>
  <c r="GR40" i="17" l="1"/>
  <c r="GP8" i="22"/>
  <c r="G5" i="3"/>
  <c r="M29" i="20"/>
  <c r="L8" i="3" s="1"/>
  <c r="K5" i="3"/>
  <c r="E29" i="20"/>
  <c r="D8" i="3" s="1"/>
  <c r="H19" i="20"/>
  <c r="I14" i="12"/>
  <c r="H22" i="20" s="1"/>
  <c r="H5" i="3"/>
  <c r="J11" i="12"/>
  <c r="GO42" i="23"/>
  <c r="GO40" i="23" s="1"/>
  <c r="L11" i="12"/>
  <c r="J5" i="3"/>
  <c r="GP40" i="22"/>
  <c r="K11" i="12"/>
  <c r="I5" i="3"/>
  <c r="GP41" i="23"/>
  <c r="E6" i="20"/>
  <c r="E8" i="20" s="1"/>
  <c r="M6" i="20"/>
  <c r="M8" i="20" s="1"/>
  <c r="L19" i="20"/>
  <c r="M14" i="12"/>
  <c r="L22" i="20" s="1"/>
  <c r="P11" i="12"/>
  <c r="N5" i="3"/>
  <c r="GO40" i="22"/>
  <c r="H11" i="12"/>
  <c r="F5" i="3"/>
  <c r="E5" i="3"/>
  <c r="G11" i="12"/>
  <c r="GP42" i="23"/>
  <c r="O11" i="12"/>
  <c r="M5" i="3"/>
  <c r="N8" i="3"/>
  <c r="J8" i="3"/>
  <c r="F8" i="3"/>
  <c r="M8" i="3"/>
  <c r="I8" i="3"/>
  <c r="E8" i="3"/>
  <c r="H8" i="3"/>
  <c r="K8" i="3"/>
  <c r="G8" i="3"/>
  <c r="GP40" i="23" l="1"/>
  <c r="O19" i="20"/>
  <c r="P14" i="12"/>
  <c r="O22" i="20" s="1"/>
  <c r="N19" i="20"/>
  <c r="O14" i="12"/>
  <c r="N22" i="20" s="1"/>
  <c r="E10" i="20"/>
  <c r="M10" i="20"/>
  <c r="I19" i="20"/>
  <c r="J14" i="12"/>
  <c r="I22" i="20" s="1"/>
  <c r="J19" i="20"/>
  <c r="K14" i="12"/>
  <c r="J22" i="20" s="1"/>
  <c r="D7" i="20"/>
  <c r="K19" i="20"/>
  <c r="L14" i="12"/>
  <c r="K22" i="20" s="1"/>
  <c r="H24" i="20"/>
  <c r="G6" i="3"/>
  <c r="E11" i="20"/>
  <c r="M11" i="20"/>
  <c r="F19" i="20"/>
  <c r="G14" i="12"/>
  <c r="F22" i="20" s="1"/>
  <c r="E11" i="3"/>
  <c r="G19" i="20"/>
  <c r="H14" i="12"/>
  <c r="G22" i="20" s="1"/>
  <c r="L24" i="20"/>
  <c r="K6" i="3"/>
  <c r="M12" i="20" l="1"/>
  <c r="N11" i="12" s="1"/>
  <c r="G24" i="20"/>
  <c r="F6" i="3"/>
  <c r="E6" i="3"/>
  <c r="F24" i="20"/>
  <c r="D11" i="20"/>
  <c r="J24" i="20"/>
  <c r="I6" i="3"/>
  <c r="N24" i="20"/>
  <c r="M6" i="3"/>
  <c r="K7" i="3"/>
  <c r="L31" i="20"/>
  <c r="K9" i="3" s="1"/>
  <c r="K15" i="3" s="1"/>
  <c r="K18" i="3" s="1"/>
  <c r="F11" i="3"/>
  <c r="G7" i="3"/>
  <c r="H31" i="20"/>
  <c r="G9" i="3" s="1"/>
  <c r="G15" i="3" s="1"/>
  <c r="E12" i="20"/>
  <c r="D10" i="20"/>
  <c r="O24" i="20"/>
  <c r="N6" i="3"/>
  <c r="J6" i="3"/>
  <c r="K24" i="20"/>
  <c r="H6" i="3"/>
  <c r="I24" i="20"/>
  <c r="G18" i="3" l="1"/>
  <c r="L5" i="3"/>
  <c r="J7" i="3"/>
  <c r="K31" i="20"/>
  <c r="J9" i="3" s="1"/>
  <c r="J15" i="3" s="1"/>
  <c r="I7" i="3"/>
  <c r="J31" i="20"/>
  <c r="I9" i="3" s="1"/>
  <c r="I15" i="3" s="1"/>
  <c r="F7" i="3"/>
  <c r="G31" i="20"/>
  <c r="F9" i="3" s="1"/>
  <c r="F15" i="3" s="1"/>
  <c r="F11" i="12"/>
  <c r="D5" i="3"/>
  <c r="D12" i="20"/>
  <c r="D29" i="20"/>
  <c r="F12" i="3"/>
  <c r="G11" i="3"/>
  <c r="H7" i="3"/>
  <c r="I31" i="20"/>
  <c r="H9" i="3" s="1"/>
  <c r="H15" i="3" s="1"/>
  <c r="M7" i="3"/>
  <c r="N31" i="20"/>
  <c r="M9" i="3" s="1"/>
  <c r="M15" i="3" s="1"/>
  <c r="E7" i="3"/>
  <c r="D12" i="3" s="1"/>
  <c r="F31" i="20"/>
  <c r="E9" i="3" s="1"/>
  <c r="E15" i="3" s="1"/>
  <c r="N7" i="3"/>
  <c r="O31" i="20"/>
  <c r="N9" i="3" s="1"/>
  <c r="N15" i="3" s="1"/>
  <c r="N18" i="3" s="1"/>
  <c r="M19" i="20"/>
  <c r="N14" i="12"/>
  <c r="M22" i="20" s="1"/>
  <c r="F13" i="3" l="1"/>
  <c r="F46" i="3"/>
  <c r="F50" i="3" s="1"/>
  <c r="E11" i="12"/>
  <c r="E19" i="20"/>
  <c r="D13" i="3"/>
  <c r="D46" i="3"/>
  <c r="M24" i="20"/>
  <c r="L6" i="3"/>
  <c r="H11" i="3"/>
  <c r="G12" i="3"/>
  <c r="G46" i="3" s="1"/>
  <c r="I18" i="3"/>
  <c r="F14" i="12"/>
  <c r="E18" i="3"/>
  <c r="H18" i="3"/>
  <c r="F18" i="3"/>
  <c r="J18" i="3"/>
  <c r="H10" i="9"/>
  <c r="E12" i="3"/>
  <c r="F51" i="3" l="1"/>
  <c r="D79" i="3"/>
  <c r="D82" i="3"/>
  <c r="D77" i="3"/>
  <c r="D74" i="3"/>
  <c r="D80" i="3"/>
  <c r="D76" i="3"/>
  <c r="D51" i="3"/>
  <c r="D75" i="3"/>
  <c r="D72" i="3"/>
  <c r="D57" i="3"/>
  <c r="D62" i="3"/>
  <c r="D50" i="3"/>
  <c r="D63" i="3"/>
  <c r="D56" i="3"/>
  <c r="D59" i="3"/>
  <c r="E13" i="3"/>
  <c r="E46" i="3"/>
  <c r="G80" i="3"/>
  <c r="G82" i="3"/>
  <c r="G59" i="3"/>
  <c r="G63" i="3"/>
  <c r="G61" i="3"/>
  <c r="G75" i="3"/>
  <c r="G77" i="3"/>
  <c r="G58" i="3"/>
  <c r="G79" i="3"/>
  <c r="G62" i="3"/>
  <c r="G55" i="3"/>
  <c r="G57" i="3"/>
  <c r="G66" i="3"/>
  <c r="G60" i="3"/>
  <c r="G53" i="3"/>
  <c r="G83" i="3"/>
  <c r="G81" i="3"/>
  <c r="G74" i="3"/>
  <c r="G78" i="3"/>
  <c r="G73" i="3"/>
  <c r="G76" i="3"/>
  <c r="G56" i="3"/>
  <c r="G54" i="3"/>
  <c r="D78" i="3"/>
  <c r="D70" i="3"/>
  <c r="D60" i="3"/>
  <c r="D54" i="3"/>
  <c r="D53" i="3"/>
  <c r="D55" i="3"/>
  <c r="D81" i="3"/>
  <c r="G50" i="3"/>
  <c r="E14" i="12"/>
  <c r="E22" i="20"/>
  <c r="D73" i="3"/>
  <c r="D83" i="3"/>
  <c r="D58" i="3"/>
  <c r="D52" i="3"/>
  <c r="F79" i="3"/>
  <c r="F83" i="3"/>
  <c r="F82" i="3"/>
  <c r="F61" i="3"/>
  <c r="F57" i="3"/>
  <c r="F76" i="3"/>
  <c r="F75" i="3"/>
  <c r="F52" i="3"/>
  <c r="F55" i="3"/>
  <c r="F53" i="3"/>
  <c r="F80" i="3"/>
  <c r="F81" i="3"/>
  <c r="F56" i="3"/>
  <c r="F63" i="3"/>
  <c r="F66" i="3"/>
  <c r="F59" i="3"/>
  <c r="F78" i="3"/>
  <c r="F77" i="3"/>
  <c r="F58" i="3"/>
  <c r="F60" i="3"/>
  <c r="F54" i="3"/>
  <c r="F62" i="3"/>
  <c r="F73" i="3"/>
  <c r="F72" i="3"/>
  <c r="F74" i="3"/>
  <c r="G51" i="3"/>
  <c r="D61" i="3"/>
  <c r="D71" i="3"/>
  <c r="D66" i="3"/>
  <c r="B14" i="12"/>
  <c r="G13" i="3"/>
  <c r="G52" i="3"/>
  <c r="H12" i="3"/>
  <c r="H46" i="3" s="1"/>
  <c r="I11" i="3"/>
  <c r="E50" i="3"/>
  <c r="L7" i="3"/>
  <c r="M31" i="20"/>
  <c r="L9" i="3" s="1"/>
  <c r="L15" i="3" s="1"/>
  <c r="N29" i="3"/>
  <c r="O29" i="3"/>
  <c r="P29" i="3"/>
  <c r="Q29" i="3"/>
  <c r="H54" i="3" l="1"/>
  <c r="H79" i="3"/>
  <c r="H61" i="3"/>
  <c r="H55" i="3"/>
  <c r="H60" i="3"/>
  <c r="H81" i="3"/>
  <c r="H75" i="3"/>
  <c r="H63" i="3"/>
  <c r="H62" i="3"/>
  <c r="H58" i="3"/>
  <c r="H82" i="3"/>
  <c r="H76" i="3"/>
  <c r="H77" i="3"/>
  <c r="H74" i="3"/>
  <c r="H66" i="3"/>
  <c r="H83" i="3"/>
  <c r="H56" i="3"/>
  <c r="H59" i="3"/>
  <c r="H78" i="3"/>
  <c r="H80" i="3"/>
  <c r="H57" i="3"/>
  <c r="H52" i="3"/>
  <c r="H51" i="3"/>
  <c r="H50" i="3"/>
  <c r="E59" i="3"/>
  <c r="E71" i="3"/>
  <c r="E62" i="3"/>
  <c r="E54" i="3"/>
  <c r="E83" i="3"/>
  <c r="E79" i="3"/>
  <c r="E51" i="3"/>
  <c r="E57" i="3"/>
  <c r="E76" i="3"/>
  <c r="E81" i="3"/>
  <c r="E72" i="3"/>
  <c r="E61" i="3"/>
  <c r="E66" i="3"/>
  <c r="E78" i="3"/>
  <c r="E74" i="3"/>
  <c r="E58" i="3"/>
  <c r="E52" i="3"/>
  <c r="E63" i="3"/>
  <c r="E75" i="3"/>
  <c r="E77" i="3"/>
  <c r="E80" i="3"/>
  <c r="E60" i="3"/>
  <c r="E56" i="3"/>
  <c r="E55" i="3"/>
  <c r="E73" i="3"/>
  <c r="E82" i="3"/>
  <c r="E53" i="3"/>
  <c r="I12" i="3"/>
  <c r="I46" i="3" s="1"/>
  <c r="J11" i="3"/>
  <c r="L18" i="3"/>
  <c r="H13" i="3"/>
  <c r="H53" i="3"/>
  <c r="E24" i="20"/>
  <c r="D6" i="3"/>
  <c r="D22" i="20"/>
  <c r="Q28" i="3"/>
  <c r="P28" i="3"/>
  <c r="O28" i="3"/>
  <c r="N28" i="3"/>
  <c r="I59" i="3" l="1"/>
  <c r="I58" i="3"/>
  <c r="I61" i="3"/>
  <c r="I62" i="3"/>
  <c r="I57" i="3"/>
  <c r="I55" i="3"/>
  <c r="I82" i="3"/>
  <c r="I80" i="3"/>
  <c r="I78" i="3"/>
  <c r="I77" i="3"/>
  <c r="I75" i="3"/>
  <c r="I79" i="3"/>
  <c r="I81" i="3"/>
  <c r="I56" i="3"/>
  <c r="I83" i="3"/>
  <c r="I60" i="3"/>
  <c r="I76" i="3"/>
  <c r="I66" i="3"/>
  <c r="I63" i="3"/>
  <c r="I52" i="3"/>
  <c r="I53" i="3"/>
  <c r="I50" i="3"/>
  <c r="I51" i="3"/>
  <c r="J12" i="3"/>
  <c r="J46" i="3" s="1"/>
  <c r="K11" i="3"/>
  <c r="D7" i="3"/>
  <c r="D24" i="20"/>
  <c r="E31" i="20"/>
  <c r="I13" i="3"/>
  <c r="I54" i="3"/>
  <c r="J63" i="3" l="1"/>
  <c r="J58" i="3"/>
  <c r="J60" i="3"/>
  <c r="J56" i="3"/>
  <c r="J66" i="3"/>
  <c r="J80" i="3"/>
  <c r="J62" i="3"/>
  <c r="J82" i="3"/>
  <c r="J57" i="3"/>
  <c r="J76" i="3"/>
  <c r="J59" i="3"/>
  <c r="J61" i="3"/>
  <c r="J78" i="3"/>
  <c r="J83" i="3"/>
  <c r="J79" i="3"/>
  <c r="J81" i="3"/>
  <c r="J77" i="3"/>
  <c r="J52" i="3"/>
  <c r="J50" i="3"/>
  <c r="J53" i="3"/>
  <c r="J54" i="3"/>
  <c r="J51" i="3"/>
  <c r="H9" i="9"/>
  <c r="K12" i="3"/>
  <c r="K46" i="3" s="1"/>
  <c r="L11" i="3"/>
  <c r="D9" i="3"/>
  <c r="D31" i="20"/>
  <c r="J13" i="3"/>
  <c r="J55" i="3"/>
  <c r="K80" i="3" l="1"/>
  <c r="K77" i="3"/>
  <c r="K61" i="3"/>
  <c r="K63" i="3"/>
  <c r="K79" i="3"/>
  <c r="K58" i="3"/>
  <c r="K57" i="3"/>
  <c r="K78" i="3"/>
  <c r="K60" i="3"/>
  <c r="K62" i="3"/>
  <c r="K81" i="3"/>
  <c r="K59" i="3"/>
  <c r="K83" i="3"/>
  <c r="K82" i="3"/>
  <c r="K66" i="3"/>
  <c r="K52" i="3"/>
  <c r="K54" i="3"/>
  <c r="K50" i="3"/>
  <c r="K51" i="3"/>
  <c r="K55" i="3"/>
  <c r="K53" i="3"/>
  <c r="K13" i="3"/>
  <c r="K56" i="3"/>
  <c r="D15" i="3"/>
  <c r="L12" i="3"/>
  <c r="L46" i="3" s="1"/>
  <c r="M11" i="3"/>
  <c r="M12" i="3" l="1"/>
  <c r="M46" i="3" s="1"/>
  <c r="M62" i="3" s="1"/>
  <c r="N11" i="3"/>
  <c r="L60" i="3"/>
  <c r="L83" i="3"/>
  <c r="L55" i="3"/>
  <c r="L56" i="3"/>
  <c r="L59" i="3"/>
  <c r="L63" i="3"/>
  <c r="L51" i="3"/>
  <c r="L82" i="3"/>
  <c r="L62" i="3"/>
  <c r="L78" i="3"/>
  <c r="L52" i="3"/>
  <c r="L66" i="3"/>
  <c r="L61" i="3"/>
  <c r="L50" i="3"/>
  <c r="L58" i="3"/>
  <c r="L81" i="3"/>
  <c r="L79" i="3"/>
  <c r="L53" i="3"/>
  <c r="L80" i="3"/>
  <c r="L54" i="3"/>
  <c r="M18" i="3"/>
  <c r="L13" i="3"/>
  <c r="L57" i="3"/>
  <c r="F49" i="3"/>
  <c r="K49" i="3"/>
  <c r="E49" i="3"/>
  <c r="H49" i="3"/>
  <c r="I49" i="3"/>
  <c r="G49" i="3"/>
  <c r="D18" i="3"/>
  <c r="J49" i="3"/>
  <c r="L49" i="3"/>
  <c r="D49" i="3"/>
  <c r="N6" i="6"/>
  <c r="N26" i="3" s="1"/>
  <c r="O6" i="6"/>
  <c r="O26" i="3" s="1"/>
  <c r="P6" i="6"/>
  <c r="P26" i="3" s="1"/>
  <c r="Q6" i="6"/>
  <c r="Q26" i="3" s="1"/>
  <c r="M13" i="3" l="1"/>
  <c r="M50" i="3"/>
  <c r="M49" i="3"/>
  <c r="M58" i="3"/>
  <c r="M53" i="3"/>
  <c r="M81" i="3"/>
  <c r="M82" i="3"/>
  <c r="M79" i="3"/>
  <c r="M61" i="3"/>
  <c r="M57" i="3"/>
  <c r="M60" i="3"/>
  <c r="M54" i="3"/>
  <c r="M80" i="3"/>
  <c r="M55" i="3"/>
  <c r="M52" i="3"/>
  <c r="M83" i="3"/>
  <c r="M56" i="3"/>
  <c r="M66" i="3"/>
  <c r="M59" i="3"/>
  <c r="M51" i="3"/>
  <c r="M63" i="3"/>
  <c r="N12" i="3"/>
  <c r="O11" i="3"/>
  <c r="Q27" i="3"/>
  <c r="Q34" i="3"/>
  <c r="P34" i="3"/>
  <c r="P27" i="3"/>
  <c r="O34" i="3"/>
  <c r="O27" i="3"/>
  <c r="N27" i="3"/>
  <c r="N34" i="3"/>
  <c r="P11" i="3" l="1"/>
  <c r="O12" i="3"/>
  <c r="N13" i="3"/>
  <c r="N46" i="3"/>
  <c r="N79" i="3" s="1"/>
  <c r="N31" i="3"/>
  <c r="Q37" i="26"/>
  <c r="Q40" i="26" s="1"/>
  <c r="R29" i="3"/>
  <c r="M29" i="3"/>
  <c r="D29" i="3"/>
  <c r="K29" i="3"/>
  <c r="H29" i="3"/>
  <c r="E29" i="3"/>
  <c r="H21" i="9"/>
  <c r="G29" i="3"/>
  <c r="L29" i="3"/>
  <c r="O5" i="1"/>
  <c r="I29" i="3"/>
  <c r="F29" i="3"/>
  <c r="J29" i="3"/>
  <c r="N41" i="3"/>
  <c r="Q41" i="3"/>
  <c r="O41" i="3"/>
  <c r="P41" i="3"/>
  <c r="N21" i="3" l="1"/>
  <c r="N39" i="3"/>
  <c r="Q55" i="26"/>
  <c r="N63" i="3"/>
  <c r="N56" i="3"/>
  <c r="N66" i="3"/>
  <c r="N62" i="3"/>
  <c r="N81" i="3"/>
  <c r="N83" i="3"/>
  <c r="N80" i="3"/>
  <c r="N59" i="3"/>
  <c r="N52" i="3"/>
  <c r="N61" i="3"/>
  <c r="N60" i="3"/>
  <c r="N82" i="3"/>
  <c r="N58" i="3"/>
  <c r="N53" i="3"/>
  <c r="N54" i="3"/>
  <c r="N51" i="3"/>
  <c r="N55" i="3"/>
  <c r="N50" i="3"/>
  <c r="N57" i="3"/>
  <c r="N49" i="3"/>
  <c r="O46" i="3"/>
  <c r="O13" i="3"/>
  <c r="O31" i="3"/>
  <c r="R37" i="26" s="1"/>
  <c r="R40" i="26" s="1"/>
  <c r="Q11" i="3"/>
  <c r="P12" i="3"/>
  <c r="F28" i="3"/>
  <c r="F31" i="3"/>
  <c r="G28" i="3"/>
  <c r="G31" i="3"/>
  <c r="K28" i="3"/>
  <c r="K31" i="3"/>
  <c r="I31" i="3"/>
  <c r="I28" i="3"/>
  <c r="D31" i="3"/>
  <c r="D28" i="3"/>
  <c r="J5" i="1"/>
  <c r="N5" i="1"/>
  <c r="M5" i="1"/>
  <c r="E31" i="3"/>
  <c r="E28" i="3"/>
  <c r="M28" i="3"/>
  <c r="M31" i="3"/>
  <c r="J28" i="3"/>
  <c r="J31" i="3"/>
  <c r="L28" i="3"/>
  <c r="L31" i="3"/>
  <c r="H28" i="3"/>
  <c r="H31" i="3"/>
  <c r="R28" i="3"/>
  <c r="O21" i="3" l="1"/>
  <c r="O39" i="3"/>
  <c r="O83" i="3"/>
  <c r="O82" i="3"/>
  <c r="O49" i="3"/>
  <c r="O60" i="3"/>
  <c r="O66" i="3"/>
  <c r="O81" i="3"/>
  <c r="O63" i="3"/>
  <c r="O61" i="3"/>
  <c r="O62" i="3"/>
  <c r="O50" i="3"/>
  <c r="O53" i="3"/>
  <c r="O52" i="3"/>
  <c r="O55" i="3"/>
  <c r="O56" i="3"/>
  <c r="O51" i="3"/>
  <c r="O54" i="3"/>
  <c r="O59" i="3"/>
  <c r="O58" i="3"/>
  <c r="O57" i="3"/>
  <c r="O79" i="3"/>
  <c r="O80" i="3"/>
  <c r="P46" i="3"/>
  <c r="P13" i="3"/>
  <c r="P31" i="3"/>
  <c r="R11" i="3"/>
  <c r="R12" i="3" s="1"/>
  <c r="Q12" i="3"/>
  <c r="R55" i="26"/>
  <c r="R6" i="6"/>
  <c r="R26" i="3" s="1"/>
  <c r="K6" i="6"/>
  <c r="K26" i="3" s="1"/>
  <c r="G6" i="6"/>
  <c r="G26" i="3" s="1"/>
  <c r="I6" i="6"/>
  <c r="I26" i="3" s="1"/>
  <c r="L6" i="6"/>
  <c r="L26" i="3" s="1"/>
  <c r="D6" i="6"/>
  <c r="D26" i="3" s="1"/>
  <c r="F6" i="6"/>
  <c r="F26" i="3" s="1"/>
  <c r="H6" i="6"/>
  <c r="H26" i="3" s="1"/>
  <c r="M6" i="6"/>
  <c r="M26" i="3" s="1"/>
  <c r="J6" i="6"/>
  <c r="J26" i="3" s="1"/>
  <c r="E6" i="6"/>
  <c r="E26" i="3" s="1"/>
  <c r="D31" i="9"/>
  <c r="D11" i="11" s="1"/>
  <c r="P21" i="3" l="1"/>
  <c r="P39" i="3"/>
  <c r="R46" i="3"/>
  <c r="R18" i="3"/>
  <c r="D19" i="9" s="1"/>
  <c r="R13" i="3"/>
  <c r="R31" i="3"/>
  <c r="S37" i="26"/>
  <c r="S40" i="26" s="1"/>
  <c r="Q46" i="3"/>
  <c r="Q13" i="3"/>
  <c r="Q31" i="3"/>
  <c r="P66" i="3"/>
  <c r="P62" i="3"/>
  <c r="P63" i="3"/>
  <c r="P61" i="3"/>
  <c r="P49" i="3"/>
  <c r="P83" i="3"/>
  <c r="P82" i="3"/>
  <c r="P60" i="3"/>
  <c r="P56" i="3"/>
  <c r="P53" i="3"/>
  <c r="P59" i="3"/>
  <c r="P54" i="3"/>
  <c r="P57" i="3"/>
  <c r="P58" i="3"/>
  <c r="P52" i="3"/>
  <c r="P55" i="3"/>
  <c r="P50" i="3"/>
  <c r="P51" i="3"/>
  <c r="P81" i="3"/>
  <c r="P80" i="3"/>
  <c r="P73" i="3"/>
  <c r="P79" i="3"/>
  <c r="H34" i="3"/>
  <c r="H27" i="3"/>
  <c r="I27" i="3"/>
  <c r="I34" i="3"/>
  <c r="E27" i="3"/>
  <c r="E34" i="3"/>
  <c r="F34" i="3"/>
  <c r="F27" i="3"/>
  <c r="G34" i="3"/>
  <c r="G27" i="3"/>
  <c r="J34" i="3"/>
  <c r="P75" i="3" s="1"/>
  <c r="J27" i="3"/>
  <c r="D34" i="3"/>
  <c r="D27" i="3"/>
  <c r="K27" i="3"/>
  <c r="K34" i="3"/>
  <c r="P76" i="3" s="1"/>
  <c r="M27" i="3"/>
  <c r="M34" i="3"/>
  <c r="P78" i="3" s="1"/>
  <c r="L27" i="3"/>
  <c r="L34" i="3"/>
  <c r="P77" i="3" s="1"/>
  <c r="R27" i="3"/>
  <c r="R34" i="3"/>
  <c r="U37" i="26" s="1"/>
  <c r="U40" i="26" s="1"/>
  <c r="Q21" i="3" l="1"/>
  <c r="Q39" i="3"/>
  <c r="R21" i="3"/>
  <c r="R39" i="3"/>
  <c r="L37" i="26"/>
  <c r="O74" i="3"/>
  <c r="S55" i="26"/>
  <c r="J37" i="26"/>
  <c r="O72" i="3"/>
  <c r="N37" i="26"/>
  <c r="O76" i="3"/>
  <c r="P72" i="3"/>
  <c r="I37" i="26"/>
  <c r="O71" i="3"/>
  <c r="K37" i="26"/>
  <c r="O73" i="3"/>
  <c r="P71" i="3"/>
  <c r="U55" i="26"/>
  <c r="H37" i="26"/>
  <c r="O70" i="3"/>
  <c r="P70" i="3"/>
  <c r="T37" i="26"/>
  <c r="T40" i="26" s="1"/>
  <c r="O37" i="26"/>
  <c r="O77" i="3"/>
  <c r="P37" i="26"/>
  <c r="O78" i="3"/>
  <c r="G37" i="26"/>
  <c r="O69" i="3"/>
  <c r="D18" i="9"/>
  <c r="H19" i="9"/>
  <c r="S5" i="1" s="1"/>
  <c r="P74" i="3"/>
  <c r="Q83" i="3"/>
  <c r="Q62" i="3"/>
  <c r="Q49" i="3"/>
  <c r="Q60" i="3"/>
  <c r="Q61" i="3"/>
  <c r="Q66" i="3"/>
  <c r="Q63" i="3"/>
  <c r="Q55" i="3"/>
  <c r="Q56" i="3"/>
  <c r="Q51" i="3"/>
  <c r="Q52" i="3"/>
  <c r="Q50" i="3"/>
  <c r="Q54" i="3"/>
  <c r="Q53" i="3"/>
  <c r="Q59" i="3"/>
  <c r="Q57" i="3"/>
  <c r="Q58" i="3"/>
  <c r="Q71" i="3"/>
  <c r="Q70" i="3"/>
  <c r="Q72" i="3"/>
  <c r="Q80" i="3"/>
  <c r="Q79" i="3"/>
  <c r="Q75" i="3"/>
  <c r="Q73" i="3"/>
  <c r="Q77" i="3"/>
  <c r="Q69" i="3"/>
  <c r="Q76" i="3"/>
  <c r="Q78" i="3"/>
  <c r="Q82" i="3"/>
  <c r="Q74" i="3"/>
  <c r="Q81" i="3"/>
  <c r="M37" i="26"/>
  <c r="O75" i="3"/>
  <c r="P69" i="3"/>
  <c r="R61" i="3"/>
  <c r="R62" i="3"/>
  <c r="R49" i="3"/>
  <c r="R60" i="3"/>
  <c r="R66" i="3"/>
  <c r="R63" i="3"/>
  <c r="R59" i="3"/>
  <c r="R52" i="3"/>
  <c r="R51" i="3"/>
  <c r="R50" i="3"/>
  <c r="R53" i="3"/>
  <c r="R58" i="3"/>
  <c r="R56" i="3"/>
  <c r="R57" i="3"/>
  <c r="R55" i="3"/>
  <c r="R54" i="3"/>
  <c r="R83" i="3"/>
  <c r="R76" i="3"/>
  <c r="R82" i="3"/>
  <c r="R80" i="3"/>
  <c r="R69" i="3"/>
  <c r="R72" i="3"/>
  <c r="R75" i="3"/>
  <c r="R78" i="3"/>
  <c r="R77" i="3"/>
  <c r="R73" i="3"/>
  <c r="R71" i="3"/>
  <c r="R70" i="3"/>
  <c r="R74" i="3"/>
  <c r="R79" i="3"/>
  <c r="R81" i="3"/>
  <c r="R41" i="3"/>
  <c r="M78" i="3"/>
  <c r="N78" i="3"/>
  <c r="M41" i="3"/>
  <c r="D30" i="9"/>
  <c r="D10" i="11" s="1"/>
  <c r="N70" i="3"/>
  <c r="K70" i="3"/>
  <c r="F70" i="3"/>
  <c r="M70" i="3"/>
  <c r="H70" i="3"/>
  <c r="J70" i="3"/>
  <c r="I70" i="3"/>
  <c r="L70" i="3"/>
  <c r="E41" i="3"/>
  <c r="E70" i="3"/>
  <c r="G70" i="3"/>
  <c r="J74" i="3"/>
  <c r="L74" i="3"/>
  <c r="K74" i="3"/>
  <c r="I74" i="3"/>
  <c r="M74" i="3"/>
  <c r="N74" i="3"/>
  <c r="I41" i="3"/>
  <c r="N69" i="3"/>
  <c r="F69" i="3"/>
  <c r="G69" i="3"/>
  <c r="D69" i="3"/>
  <c r="J69" i="3"/>
  <c r="K69" i="3"/>
  <c r="H69" i="3"/>
  <c r="E69" i="3"/>
  <c r="M69" i="3"/>
  <c r="D41" i="3"/>
  <c r="I69" i="3"/>
  <c r="L69" i="3"/>
  <c r="N72" i="3"/>
  <c r="G41" i="3"/>
  <c r="G72" i="3"/>
  <c r="L72" i="3"/>
  <c r="H72" i="3"/>
  <c r="K72" i="3"/>
  <c r="I72" i="3"/>
  <c r="M72" i="3"/>
  <c r="J72" i="3"/>
  <c r="M77" i="3"/>
  <c r="L41" i="3"/>
  <c r="N77" i="3"/>
  <c r="L77" i="3"/>
  <c r="M76" i="3"/>
  <c r="K76" i="3"/>
  <c r="K41" i="3"/>
  <c r="L76" i="3"/>
  <c r="N76" i="3"/>
  <c r="M75" i="3"/>
  <c r="K75" i="3"/>
  <c r="J75" i="3"/>
  <c r="L75" i="3"/>
  <c r="J41" i="3"/>
  <c r="N75" i="3"/>
  <c r="M71" i="3"/>
  <c r="I71" i="3"/>
  <c r="K71" i="3"/>
  <c r="N71" i="3"/>
  <c r="F71" i="3"/>
  <c r="H71" i="3"/>
  <c r="J71" i="3"/>
  <c r="L71" i="3"/>
  <c r="F41" i="3"/>
  <c r="G71" i="3"/>
  <c r="N73" i="3"/>
  <c r="I73" i="3"/>
  <c r="M73" i="3"/>
  <c r="J73" i="3"/>
  <c r="H41" i="3"/>
  <c r="K73" i="3"/>
  <c r="L73" i="3"/>
  <c r="H73" i="3"/>
  <c r="H6" i="9" l="1"/>
  <c r="R48" i="3" s="1"/>
  <c r="R47" i="3" s="1"/>
  <c r="R20" i="3" s="1"/>
  <c r="H5" i="1"/>
  <c r="H7" i="9"/>
  <c r="H11" i="9" s="1"/>
  <c r="H8" i="9"/>
  <c r="T55" i="26"/>
  <c r="R16" i="3"/>
  <c r="J48" i="3" l="1"/>
  <c r="J21" i="3" s="1"/>
  <c r="H20" i="9"/>
  <c r="K48" i="3"/>
  <c r="K21" i="3" s="1"/>
  <c r="D48" i="3"/>
  <c r="D21" i="3" s="1"/>
  <c r="M48" i="3"/>
  <c r="M21" i="3" s="1"/>
  <c r="G48" i="3"/>
  <c r="G21" i="3" s="1"/>
  <c r="L48" i="3"/>
  <c r="L21" i="3" s="1"/>
  <c r="F48" i="3"/>
  <c r="F21" i="3" s="1"/>
  <c r="H22" i="9"/>
  <c r="R68" i="3" s="1"/>
  <c r="R67" i="3" s="1"/>
  <c r="R38" i="3" s="1"/>
  <c r="E48" i="3"/>
  <c r="E21" i="3" s="1"/>
  <c r="I48" i="3"/>
  <c r="I21" i="3" s="1"/>
  <c r="H48" i="3"/>
  <c r="H21" i="3" s="1"/>
  <c r="N48" i="3"/>
  <c r="O48" i="3"/>
  <c r="P48" i="3"/>
  <c r="Q48" i="3"/>
  <c r="R37" i="3" l="1"/>
  <c r="R35" i="3"/>
  <c r="R33" i="3" s="1"/>
  <c r="R32" i="3"/>
  <c r="H12" i="9" s="1"/>
  <c r="I47" i="3"/>
  <c r="I20" i="3" s="1"/>
  <c r="I16" i="3"/>
  <c r="E47" i="3"/>
  <c r="E20" i="3" s="1"/>
  <c r="E16" i="3"/>
  <c r="K16" i="3"/>
  <c r="K47" i="3"/>
  <c r="K20" i="3" s="1"/>
  <c r="F68" i="3"/>
  <c r="F39" i="3" s="1"/>
  <c r="M68" i="3"/>
  <c r="M39" i="3" s="1"/>
  <c r="D68" i="3"/>
  <c r="D39" i="3" s="1"/>
  <c r="L68" i="3"/>
  <c r="L39" i="3" s="1"/>
  <c r="G68" i="3"/>
  <c r="G39" i="3" s="1"/>
  <c r="H68" i="3"/>
  <c r="H39" i="3" s="1"/>
  <c r="E68" i="3"/>
  <c r="E39" i="3" s="1"/>
  <c r="I68" i="3"/>
  <c r="I39" i="3" s="1"/>
  <c r="K68" i="3"/>
  <c r="K39" i="3" s="1"/>
  <c r="F37" i="26"/>
  <c r="F40" i="26" s="1"/>
  <c r="F50" i="26" s="1"/>
  <c r="J68" i="3"/>
  <c r="J39" i="3" s="1"/>
  <c r="N68" i="3"/>
  <c r="O68" i="3"/>
  <c r="P68" i="3"/>
  <c r="Q68" i="3"/>
  <c r="J47" i="3"/>
  <c r="J20" i="3" s="1"/>
  <c r="J16" i="3"/>
  <c r="L16" i="3"/>
  <c r="L47" i="3"/>
  <c r="L20" i="3" s="1"/>
  <c r="Q16" i="3"/>
  <c r="Q47" i="3"/>
  <c r="Q20" i="3" s="1"/>
  <c r="P16" i="3"/>
  <c r="P17" i="3" s="1"/>
  <c r="P47" i="3"/>
  <c r="P20" i="3" s="1"/>
  <c r="N16" i="3"/>
  <c r="N47" i="3"/>
  <c r="N20" i="3" s="1"/>
  <c r="D23" i="9"/>
  <c r="M47" i="3"/>
  <c r="M20" i="3" s="1"/>
  <c r="D22" i="9" s="1"/>
  <c r="D5" i="11" s="1"/>
  <c r="M16" i="3"/>
  <c r="F16" i="3"/>
  <c r="F47" i="3"/>
  <c r="F20" i="3" s="1"/>
  <c r="O16" i="3"/>
  <c r="O47" i="3"/>
  <c r="O20" i="3" s="1"/>
  <c r="G47" i="3"/>
  <c r="G20" i="3" s="1"/>
  <c r="G16" i="3"/>
  <c r="H47" i="3"/>
  <c r="H20" i="3" s="1"/>
  <c r="H16" i="3"/>
  <c r="D47" i="3"/>
  <c r="D20" i="3" s="1"/>
  <c r="D16" i="3"/>
  <c r="J17" i="3" l="1"/>
  <c r="J23" i="3" s="1"/>
  <c r="J24" i="3" s="1"/>
  <c r="E17" i="3"/>
  <c r="E23" i="3" s="1"/>
  <c r="E24" i="3" s="1"/>
  <c r="H17" i="3"/>
  <c r="H23" i="3" s="1"/>
  <c r="H24" i="3" s="1"/>
  <c r="O17" i="3"/>
  <c r="Q17" i="3"/>
  <c r="Q23" i="3" s="1"/>
  <c r="Q24" i="3" s="1"/>
  <c r="I17" i="3"/>
  <c r="I23" i="3" s="1"/>
  <c r="I24" i="3" s="1"/>
  <c r="N17" i="3"/>
  <c r="N23" i="3" s="1"/>
  <c r="N24" i="3" s="1"/>
  <c r="L17" i="3"/>
  <c r="L23" i="3" s="1"/>
  <c r="L24" i="3" s="1"/>
  <c r="D17" i="3"/>
  <c r="D23" i="3" s="1"/>
  <c r="D24" i="3" s="1"/>
  <c r="R17" i="3"/>
  <c r="G17" i="3"/>
  <c r="G23" i="3" s="1"/>
  <c r="G24" i="3" s="1"/>
  <c r="F17" i="3"/>
  <c r="F23" i="3" s="1"/>
  <c r="F24" i="3" s="1"/>
  <c r="M17" i="3"/>
  <c r="M23" i="3" s="1"/>
  <c r="M24" i="3" s="1"/>
  <c r="K17" i="3"/>
  <c r="K23" i="3" s="1"/>
  <c r="K24" i="3" s="1"/>
  <c r="N35" i="3"/>
  <c r="N67" i="3"/>
  <c r="N38" i="3" s="1"/>
  <c r="N32" i="3"/>
  <c r="H35" i="3"/>
  <c r="H32" i="3"/>
  <c r="H67" i="3"/>
  <c r="H38" i="3" s="1"/>
  <c r="P23" i="3"/>
  <c r="P24" i="3" s="1"/>
  <c r="G32" i="3"/>
  <c r="G67" i="3"/>
  <c r="G38" i="3" s="1"/>
  <c r="G35" i="3"/>
  <c r="O35" i="3"/>
  <c r="O32" i="3"/>
  <c r="O67" i="3"/>
  <c r="O38" i="3" s="1"/>
  <c r="O37" i="3"/>
  <c r="J35" i="3"/>
  <c r="J67" i="3"/>
  <c r="J38" i="3" s="1"/>
  <c r="J32" i="3"/>
  <c r="L35" i="3"/>
  <c r="L67" i="3"/>
  <c r="L38" i="3" s="1"/>
  <c r="L32" i="3"/>
  <c r="F49" i="26"/>
  <c r="F30" i="26" s="1"/>
  <c r="F65" i="26"/>
  <c r="F53" i="26"/>
  <c r="F56" i="26" s="1"/>
  <c r="F55" i="26"/>
  <c r="D35" i="3"/>
  <c r="D67" i="3"/>
  <c r="D38" i="3" s="1"/>
  <c r="D32" i="3"/>
  <c r="K35" i="3"/>
  <c r="K67" i="3"/>
  <c r="K38" i="3" s="1"/>
  <c r="K32" i="3"/>
  <c r="M32" i="3"/>
  <c r="M35" i="3"/>
  <c r="D27" i="9"/>
  <c r="D7" i="11" s="1"/>
  <c r="M67" i="3"/>
  <c r="M38" i="3" s="1"/>
  <c r="D26" i="9" s="1"/>
  <c r="D6" i="11" s="1"/>
  <c r="E35" i="3"/>
  <c r="E32" i="3"/>
  <c r="E67" i="3"/>
  <c r="E38" i="3" s="1"/>
  <c r="O23" i="3"/>
  <c r="O24" i="3" s="1"/>
  <c r="Q35" i="3"/>
  <c r="Q32" i="3"/>
  <c r="Q37" i="3"/>
  <c r="Q67" i="3"/>
  <c r="Q38" i="3" s="1"/>
  <c r="I32" i="3"/>
  <c r="I35" i="3"/>
  <c r="I67" i="3"/>
  <c r="I38" i="3" s="1"/>
  <c r="F35" i="3"/>
  <c r="F32" i="3"/>
  <c r="F67" i="3"/>
  <c r="F38" i="3" s="1"/>
  <c r="P35" i="3"/>
  <c r="P32" i="3"/>
  <c r="P37" i="3"/>
  <c r="P67" i="3"/>
  <c r="P38" i="3" s="1"/>
  <c r="E36" i="3" l="1"/>
  <c r="L36" i="3"/>
  <c r="N36" i="3"/>
  <c r="K36" i="3"/>
  <c r="G36" i="3"/>
  <c r="F36" i="3"/>
  <c r="J36" i="3"/>
  <c r="M36" i="3"/>
  <c r="D28" i="9" s="1"/>
  <c r="H36" i="3"/>
  <c r="I36" i="3"/>
  <c r="D36" i="3"/>
  <c r="R36" i="3"/>
  <c r="R23" i="3"/>
  <c r="R24" i="3" s="1"/>
  <c r="D24" i="9"/>
  <c r="Q36" i="3"/>
  <c r="Q33" i="3"/>
  <c r="F66" i="26"/>
  <c r="F22" i="26"/>
  <c r="F51" i="26"/>
  <c r="F52" i="26"/>
  <c r="P33" i="3"/>
  <c r="P36" i="3"/>
  <c r="O33" i="3"/>
  <c r="O36" i="3"/>
  <c r="N29" i="26"/>
  <c r="K29" i="26"/>
  <c r="I29" i="26"/>
  <c r="P29" i="26"/>
  <c r="M29" i="26"/>
  <c r="L29" i="26"/>
  <c r="H29" i="26"/>
  <c r="J29" i="26"/>
  <c r="O29" i="26"/>
  <c r="P35" i="26"/>
  <c r="P36" i="26" s="1"/>
  <c r="L35" i="26"/>
  <c r="L36" i="26" s="1"/>
  <c r="M35" i="26"/>
  <c r="M36" i="26" s="1"/>
  <c r="G29" i="26"/>
  <c r="N35" i="26"/>
  <c r="G35" i="26"/>
  <c r="G36" i="26" s="1"/>
  <c r="F36" i="26" s="1"/>
  <c r="K35" i="26"/>
  <c r="K36" i="26" s="1"/>
  <c r="H35" i="26"/>
  <c r="H36" i="26" s="1"/>
  <c r="J35" i="26"/>
  <c r="O35" i="26"/>
  <c r="I35" i="26"/>
  <c r="I36" i="26" s="1"/>
  <c r="L10" i="26"/>
  <c r="F78" i="26" l="1"/>
  <c r="F58" i="26"/>
  <c r="F59" i="26" s="1"/>
  <c r="F67" i="26" s="1"/>
  <c r="K40" i="26"/>
  <c r="K55" i="26" s="1"/>
  <c r="G46" i="26"/>
  <c r="N40" i="26"/>
  <c r="N55" i="26" s="1"/>
  <c r="N36" i="26"/>
  <c r="O40" i="26"/>
  <c r="O55" i="26" s="1"/>
  <c r="O36" i="26"/>
  <c r="J40" i="26"/>
  <c r="J55" i="26" s="1"/>
  <c r="J36" i="26"/>
  <c r="G40" i="26"/>
  <c r="G55" i="26" s="1"/>
  <c r="L40" i="26"/>
  <c r="H40" i="26"/>
  <c r="P40" i="26"/>
  <c r="D29" i="26"/>
  <c r="M40" i="26"/>
  <c r="I40" i="26"/>
  <c r="G48" i="26" l="1"/>
  <c r="G53" i="26" s="1"/>
  <c r="G56" i="26" s="1"/>
  <c r="F71" i="26"/>
  <c r="F72" i="26" s="1"/>
  <c r="F68" i="26"/>
  <c r="G63" i="26" s="1"/>
  <c r="F69" i="26"/>
  <c r="F80" i="26"/>
  <c r="F85" i="26"/>
  <c r="F79" i="26"/>
  <c r="F41" i="26"/>
  <c r="M55" i="26"/>
  <c r="H55" i="26"/>
  <c r="L55" i="26"/>
  <c r="D10" i="26"/>
  <c r="P55" i="26"/>
  <c r="I55" i="26"/>
  <c r="G49" i="26"/>
  <c r="G30" i="26" s="1"/>
  <c r="F42" i="26"/>
  <c r="G50" i="26" l="1"/>
  <c r="G52" i="26" s="1"/>
  <c r="F73" i="26"/>
  <c r="F74" i="26" s="1"/>
  <c r="G64" i="26"/>
  <c r="G65" i="26"/>
  <c r="F81" i="26"/>
  <c r="G70" i="26"/>
  <c r="D9" i="26"/>
  <c r="L5" i="9" s="1"/>
  <c r="H23" i="9"/>
  <c r="D8" i="26"/>
  <c r="L4" i="9" s="1"/>
  <c r="G22" i="26"/>
  <c r="G66" i="26"/>
  <c r="G47" i="26"/>
  <c r="F82" i="26" l="1"/>
  <c r="G51" i="26"/>
  <c r="H46" i="26" s="1"/>
  <c r="H49" i="26" s="1"/>
  <c r="F83" i="26"/>
  <c r="G78" i="26" s="1"/>
  <c r="F86" i="26"/>
  <c r="F87" i="26" s="1"/>
  <c r="F84" i="26"/>
  <c r="G58" i="26"/>
  <c r="H48" i="26"/>
  <c r="H50" i="26" s="1"/>
  <c r="H53" i="26" s="1"/>
  <c r="F88" i="26" l="1"/>
  <c r="F89" i="26" s="1"/>
  <c r="F93" i="26" s="1"/>
  <c r="F21" i="26" s="1"/>
  <c r="H56" i="26"/>
  <c r="G59" i="26"/>
  <c r="G67" i="26" s="1"/>
  <c r="H22" i="26"/>
  <c r="H30" i="26"/>
  <c r="H66" i="26"/>
  <c r="H47" i="26"/>
  <c r="G85" i="26"/>
  <c r="G80" i="26"/>
  <c r="G79" i="26"/>
  <c r="H51" i="26"/>
  <c r="I46" i="26" s="1"/>
  <c r="H52" i="26"/>
  <c r="F94" i="26" l="1"/>
  <c r="F95" i="26" s="1"/>
  <c r="F96" i="26" s="1"/>
  <c r="F24" i="26"/>
  <c r="H58" i="26"/>
  <c r="H59" i="26" s="1"/>
  <c r="I48" i="26"/>
  <c r="I50" i="26" s="1"/>
  <c r="I53" i="26" s="1"/>
  <c r="I49" i="26"/>
  <c r="G71" i="26"/>
  <c r="G72" i="26" s="1"/>
  <c r="G69" i="26"/>
  <c r="G68" i="26"/>
  <c r="H63" i="26" s="1"/>
  <c r="F28" i="26" l="1"/>
  <c r="F32" i="26" s="1"/>
  <c r="I56" i="26"/>
  <c r="I52" i="26"/>
  <c r="I51" i="26"/>
  <c r="J46" i="26" s="1"/>
  <c r="I66" i="26"/>
  <c r="I47" i="26"/>
  <c r="I22" i="26"/>
  <c r="I30" i="26"/>
  <c r="G81" i="26"/>
  <c r="H65" i="26"/>
  <c r="H70" i="26"/>
  <c r="H64" i="26"/>
  <c r="H67" i="26" s="1"/>
  <c r="H71" i="26" s="1"/>
  <c r="H72" i="26" s="1"/>
  <c r="H69" i="26" l="1"/>
  <c r="H68" i="26"/>
  <c r="I63" i="26" s="1"/>
  <c r="I58" i="26"/>
  <c r="I59" i="26" s="1"/>
  <c r="J49" i="26"/>
  <c r="J48" i="26"/>
  <c r="G73" i="26"/>
  <c r="I70" i="26" l="1"/>
  <c r="I65" i="26"/>
  <c r="I64" i="26"/>
  <c r="I67" i="26" s="1"/>
  <c r="I71" i="26" s="1"/>
  <c r="I72" i="26" s="1"/>
  <c r="H73" i="26"/>
  <c r="H74" i="26" s="1"/>
  <c r="J50" i="26"/>
  <c r="J22" i="26"/>
  <c r="J30" i="26"/>
  <c r="G74" i="26"/>
  <c r="G82" i="26" s="1"/>
  <c r="I69" i="26" l="1"/>
  <c r="I68" i="26"/>
  <c r="J63" i="26" s="1"/>
  <c r="J53" i="26"/>
  <c r="J52" i="26"/>
  <c r="G86" i="26"/>
  <c r="G87" i="26" s="1"/>
  <c r="G84" i="26"/>
  <c r="G83" i="26"/>
  <c r="H78" i="26" s="1"/>
  <c r="J51" i="26"/>
  <c r="K46" i="26" s="1"/>
  <c r="J56" i="26" l="1"/>
  <c r="K48" i="26"/>
  <c r="K50" i="26" s="1"/>
  <c r="K49" i="26"/>
  <c r="J65" i="26"/>
  <c r="J70" i="26"/>
  <c r="J64" i="26"/>
  <c r="H80" i="26"/>
  <c r="H85" i="26"/>
  <c r="H79" i="26"/>
  <c r="H81" i="26"/>
  <c r="I73" i="26"/>
  <c r="I74" i="26" s="1"/>
  <c r="J66" i="26"/>
  <c r="J47" i="26"/>
  <c r="H82" i="26" l="1"/>
  <c r="H86" i="26" s="1"/>
  <c r="H87" i="26" s="1"/>
  <c r="K53" i="26"/>
  <c r="K51" i="26"/>
  <c r="L46" i="26" s="1"/>
  <c r="K22" i="26"/>
  <c r="K30" i="26"/>
  <c r="J58" i="26"/>
  <c r="G88" i="26"/>
  <c r="G89" i="26" s="1"/>
  <c r="G93" i="26" s="1"/>
  <c r="G21" i="26" s="1"/>
  <c r="K52" i="26"/>
  <c r="K56" i="26" l="1"/>
  <c r="H84" i="26"/>
  <c r="H83" i="26"/>
  <c r="I78" i="26" s="1"/>
  <c r="J59" i="26"/>
  <c r="J67" i="26" s="1"/>
  <c r="L49" i="26"/>
  <c r="L48" i="26"/>
  <c r="L50" i="26" s="1"/>
  <c r="L53" i="26" s="1"/>
  <c r="G94" i="26"/>
  <c r="G28" i="26" s="1"/>
  <c r="K66" i="26"/>
  <c r="K47" i="26"/>
  <c r="H88" i="26" l="1"/>
  <c r="H89" i="26" s="1"/>
  <c r="H93" i="26" s="1"/>
  <c r="L56" i="26"/>
  <c r="L58" i="26" s="1"/>
  <c r="L59" i="26" s="1"/>
  <c r="I79" i="26"/>
  <c r="I81" i="26"/>
  <c r="I85" i="26"/>
  <c r="I80" i="26"/>
  <c r="G32" i="26"/>
  <c r="G95" i="26"/>
  <c r="G96" i="26" s="1"/>
  <c r="J71" i="26"/>
  <c r="J72" i="26" s="1"/>
  <c r="J68" i="26"/>
  <c r="K63" i="26" s="1"/>
  <c r="J69" i="26"/>
  <c r="L66" i="26"/>
  <c r="L47" i="26"/>
  <c r="G24" i="26"/>
  <c r="K58" i="26"/>
  <c r="K59" i="26" s="1"/>
  <c r="L51" i="26"/>
  <c r="M46" i="26" s="1"/>
  <c r="L22" i="26"/>
  <c r="L30" i="26"/>
  <c r="L52" i="26"/>
  <c r="H94" i="26" l="1"/>
  <c r="H21" i="26"/>
  <c r="H24" i="26" s="1"/>
  <c r="I82" i="26"/>
  <c r="I86" i="26" s="1"/>
  <c r="I87" i="26" s="1"/>
  <c r="M48" i="26"/>
  <c r="M50" i="26" s="1"/>
  <c r="M53" i="26" s="1"/>
  <c r="M56" i="26" s="1"/>
  <c r="M49" i="26"/>
  <c r="K64" i="26"/>
  <c r="K67" i="26" s="1"/>
  <c r="K71" i="26" s="1"/>
  <c r="K72" i="26" s="1"/>
  <c r="K65" i="26"/>
  <c r="K70" i="26"/>
  <c r="H95" i="26" l="1"/>
  <c r="H96" i="26" s="1"/>
  <c r="H28" i="26"/>
  <c r="H32" i="26" s="1"/>
  <c r="K73" i="26"/>
  <c r="K74" i="26" s="1"/>
  <c r="I88" i="26"/>
  <c r="I89" i="26" s="1"/>
  <c r="I93" i="26" s="1"/>
  <c r="I84" i="26"/>
  <c r="I83" i="26"/>
  <c r="J78" i="26" s="1"/>
  <c r="M58" i="26"/>
  <c r="M59" i="26" s="1"/>
  <c r="K69" i="26"/>
  <c r="K68" i="26"/>
  <c r="L63" i="26" s="1"/>
  <c r="M22" i="26"/>
  <c r="M30" i="26"/>
  <c r="M66" i="26"/>
  <c r="M47" i="26"/>
  <c r="M52" i="26"/>
  <c r="M51" i="26"/>
  <c r="N46" i="26" s="1"/>
  <c r="J73" i="26"/>
  <c r="I94" i="26" l="1"/>
  <c r="I28" i="26" s="1"/>
  <c r="I32" i="26" s="1"/>
  <c r="I21" i="26"/>
  <c r="I24" i="26" s="1"/>
  <c r="J80" i="26"/>
  <c r="J85" i="26"/>
  <c r="J81" i="26"/>
  <c r="J79" i="26"/>
  <c r="N48" i="26"/>
  <c r="N50" i="26" s="1"/>
  <c r="N53" i="26" s="1"/>
  <c r="N49" i="26"/>
  <c r="L70" i="26"/>
  <c r="L64" i="26"/>
  <c r="L65" i="26"/>
  <c r="J74" i="26"/>
  <c r="I95" i="26" l="1"/>
  <c r="I96" i="26" s="1"/>
  <c r="N56" i="26"/>
  <c r="J82" i="26"/>
  <c r="J84" i="26" s="1"/>
  <c r="N51" i="26"/>
  <c r="O46" i="26" s="1"/>
  <c r="N52" i="26"/>
  <c r="N66" i="26"/>
  <c r="N47" i="26"/>
  <c r="L67" i="26"/>
  <c r="N22" i="26"/>
  <c r="N30" i="26"/>
  <c r="N58" i="26"/>
  <c r="N59" i="26" s="1"/>
  <c r="O49" i="26" l="1"/>
  <c r="O22" i="26" s="1"/>
  <c r="J86" i="26"/>
  <c r="J87" i="26" s="1"/>
  <c r="J83" i="26"/>
  <c r="K78" i="26" s="1"/>
  <c r="O48" i="26"/>
  <c r="O50" i="26" s="1"/>
  <c r="O53" i="26" s="1"/>
  <c r="L71" i="26"/>
  <c r="L72" i="26" s="1"/>
  <c r="L69" i="26"/>
  <c r="L68" i="26"/>
  <c r="M63" i="26" s="1"/>
  <c r="O30" i="26" l="1"/>
  <c r="K85" i="26"/>
  <c r="J88" i="26"/>
  <c r="J89" i="26" s="1"/>
  <c r="J93" i="26" s="1"/>
  <c r="O66" i="26"/>
  <c r="O56" i="26"/>
  <c r="O58" i="26" s="1"/>
  <c r="O59" i="26" s="1"/>
  <c r="K80" i="26"/>
  <c r="K81" i="26"/>
  <c r="K79" i="26"/>
  <c r="O51" i="26"/>
  <c r="P46" i="26" s="1"/>
  <c r="P49" i="26" s="1"/>
  <c r="O47" i="26"/>
  <c r="O52" i="26"/>
  <c r="M65" i="26"/>
  <c r="M70" i="26"/>
  <c r="M64" i="26"/>
  <c r="M67" i="26" s="1"/>
  <c r="M71" i="26" s="1"/>
  <c r="M72" i="26" s="1"/>
  <c r="K82" i="26" l="1"/>
  <c r="K86" i="26" s="1"/>
  <c r="K87" i="26" s="1"/>
  <c r="K88" i="26" s="1"/>
  <c r="K89" i="26" s="1"/>
  <c r="K93" i="26" s="1"/>
  <c r="J94" i="26"/>
  <c r="J28" i="26" s="1"/>
  <c r="J21" i="26"/>
  <c r="J24" i="26" s="1"/>
  <c r="P48" i="26"/>
  <c r="P50" i="26" s="1"/>
  <c r="P53" i="26" s="1"/>
  <c r="P47" i="26" s="1"/>
  <c r="M73" i="26"/>
  <c r="M74" i="26" s="1"/>
  <c r="J95" i="26"/>
  <c r="J96" i="26" s="1"/>
  <c r="M69" i="26"/>
  <c r="M68" i="26"/>
  <c r="N63" i="26" s="1"/>
  <c r="P22" i="26"/>
  <c r="P30" i="26"/>
  <c r="L73" i="26"/>
  <c r="L74" i="26" s="1"/>
  <c r="J32" i="26"/>
  <c r="K84" i="26" l="1"/>
  <c r="K83" i="26"/>
  <c r="L78" i="26" s="1"/>
  <c r="L81" i="26" s="1"/>
  <c r="P56" i="26"/>
  <c r="P58" i="26" s="1"/>
  <c r="P59" i="26" s="1"/>
  <c r="P51" i="26"/>
  <c r="Q46" i="26" s="1"/>
  <c r="Q56" i="26" s="1"/>
  <c r="P52" i="26"/>
  <c r="K94" i="26"/>
  <c r="K28" i="26" s="1"/>
  <c r="K32" i="26" s="1"/>
  <c r="K21" i="26"/>
  <c r="K24" i="26" s="1"/>
  <c r="P66" i="26"/>
  <c r="N65" i="26"/>
  <c r="N64" i="26"/>
  <c r="N67" i="26" s="1"/>
  <c r="N70" i="26"/>
  <c r="L79" i="26" l="1"/>
  <c r="L85" i="26"/>
  <c r="L80" i="26"/>
  <c r="Q48" i="26"/>
  <c r="K95" i="26"/>
  <c r="K96" i="26" s="1"/>
  <c r="L82" i="26"/>
  <c r="L86" i="26" s="1"/>
  <c r="Q49" i="26"/>
  <c r="Q22" i="26" s="1"/>
  <c r="Q50" i="26"/>
  <c r="Q30" i="26"/>
  <c r="N69" i="26"/>
  <c r="N71" i="26"/>
  <c r="N72" i="26" s="1"/>
  <c r="N68" i="26"/>
  <c r="O63" i="26" s="1"/>
  <c r="L84" i="26" l="1"/>
  <c r="L83" i="26"/>
  <c r="M78" i="26" s="1"/>
  <c r="M79" i="26" s="1"/>
  <c r="L87" i="26"/>
  <c r="L88" i="26" s="1"/>
  <c r="L89" i="26" s="1"/>
  <c r="L93" i="26" s="1"/>
  <c r="Q53" i="26"/>
  <c r="Q52" i="26"/>
  <c r="Q51" i="26"/>
  <c r="R46" i="26" s="1"/>
  <c r="R56" i="26" s="1"/>
  <c r="M80" i="26"/>
  <c r="O64" i="26"/>
  <c r="O67" i="26" s="1"/>
  <c r="O71" i="26" s="1"/>
  <c r="O72" i="26" s="1"/>
  <c r="O70" i="26"/>
  <c r="O65" i="26"/>
  <c r="M85" i="26" l="1"/>
  <c r="M81" i="26"/>
  <c r="L21" i="26"/>
  <c r="L24" i="26" s="1"/>
  <c r="L94" i="26"/>
  <c r="L28" i="26" s="1"/>
  <c r="L32" i="26" s="1"/>
  <c r="M82" i="26"/>
  <c r="M83" i="26" s="1"/>
  <c r="N78" i="26" s="1"/>
  <c r="O73" i="26"/>
  <c r="O74" i="26" s="1"/>
  <c r="R49" i="26"/>
  <c r="R48" i="26"/>
  <c r="Q66" i="26"/>
  <c r="Q47" i="26"/>
  <c r="O69" i="26"/>
  <c r="O68" i="26"/>
  <c r="P63" i="26" s="1"/>
  <c r="N73" i="26"/>
  <c r="L95" i="26" l="1"/>
  <c r="L96" i="26" s="1"/>
  <c r="M84" i="26"/>
  <c r="M86" i="26"/>
  <c r="M87" i="26" s="1"/>
  <c r="M88" i="26" s="1"/>
  <c r="M89" i="26" s="1"/>
  <c r="M93" i="26" s="1"/>
  <c r="M21" i="26" s="1"/>
  <c r="N79" i="26"/>
  <c r="R50" i="26"/>
  <c r="R53" i="26" s="1"/>
  <c r="R30" i="26"/>
  <c r="R22" i="26"/>
  <c r="R52" i="26"/>
  <c r="Q58" i="26"/>
  <c r="Q59" i="26" s="1"/>
  <c r="N81" i="26"/>
  <c r="N80" i="26"/>
  <c r="N85" i="26"/>
  <c r="N74" i="26"/>
  <c r="P70" i="26"/>
  <c r="P65" i="26"/>
  <c r="P64" i="26"/>
  <c r="P67" i="26" s="1"/>
  <c r="P71" i="26" s="1"/>
  <c r="P72" i="26" s="1"/>
  <c r="R47" i="26" l="1"/>
  <c r="R66" i="26"/>
  <c r="N82" i="26"/>
  <c r="N86" i="26" s="1"/>
  <c r="N87" i="26" s="1"/>
  <c r="R51" i="26"/>
  <c r="S46" i="26" s="1"/>
  <c r="S56" i="26" s="1"/>
  <c r="M94" i="26"/>
  <c r="M28" i="26" s="1"/>
  <c r="M32" i="26" s="1"/>
  <c r="M24" i="26"/>
  <c r="P69" i="26"/>
  <c r="P73" i="26"/>
  <c r="P74" i="26" s="1"/>
  <c r="P68" i="26"/>
  <c r="Q63" i="26" s="1"/>
  <c r="Q72" i="26" s="1"/>
  <c r="S48" i="26" l="1"/>
  <c r="S49" i="26"/>
  <c r="N84" i="26"/>
  <c r="N83" i="26"/>
  <c r="O78" i="26" s="1"/>
  <c r="R58" i="26"/>
  <c r="R59" i="26" s="1"/>
  <c r="Q65" i="26"/>
  <c r="Q64" i="26"/>
  <c r="Q67" i="26" s="1"/>
  <c r="Q69" i="26" s="1"/>
  <c r="Q70" i="26"/>
  <c r="M95" i="26"/>
  <c r="M96" i="26" s="1"/>
  <c r="O80" i="26" l="1"/>
  <c r="O81" i="26"/>
  <c r="O85" i="26"/>
  <c r="O79" i="26"/>
  <c r="S30" i="26"/>
  <c r="S22" i="26"/>
  <c r="S50" i="26"/>
  <c r="S53" i="26" s="1"/>
  <c r="Q68" i="26"/>
  <c r="R63" i="26" s="1"/>
  <c r="R72" i="26" s="1"/>
  <c r="Q71" i="26"/>
  <c r="N88" i="26"/>
  <c r="N89" i="26" s="1"/>
  <c r="N93" i="26" s="1"/>
  <c r="N21" i="26" s="1"/>
  <c r="O82" i="26" l="1"/>
  <c r="O86" i="26" s="1"/>
  <c r="O87" i="26" s="1"/>
  <c r="R70" i="26"/>
  <c r="S47" i="26"/>
  <c r="S66" i="26"/>
  <c r="Q73" i="26"/>
  <c r="Q74" i="26" s="1"/>
  <c r="R65" i="26"/>
  <c r="R64" i="26"/>
  <c r="S51" i="26"/>
  <c r="T46" i="26" s="1"/>
  <c r="T56" i="26" s="1"/>
  <c r="S52" i="26"/>
  <c r="N94" i="26"/>
  <c r="N28" i="26" s="1"/>
  <c r="N32" i="26" s="1"/>
  <c r="N24" i="26"/>
  <c r="O88" i="26"/>
  <c r="O89" i="26" s="1"/>
  <c r="O93" i="26" s="1"/>
  <c r="O21" i="26" s="1"/>
  <c r="O84" i="26"/>
  <c r="O83" i="26"/>
  <c r="P78" i="26" s="1"/>
  <c r="R67" i="26" l="1"/>
  <c r="S58" i="26"/>
  <c r="S59" i="26" s="1"/>
  <c r="T49" i="26"/>
  <c r="T48" i="26"/>
  <c r="O94" i="26"/>
  <c r="O95" i="26" s="1"/>
  <c r="O96" i="26" s="1"/>
  <c r="O24" i="26"/>
  <c r="N95" i="26"/>
  <c r="N96" i="26" s="1"/>
  <c r="P81" i="26"/>
  <c r="P80" i="26"/>
  <c r="P79" i="26"/>
  <c r="P85" i="26"/>
  <c r="P82" i="26" l="1"/>
  <c r="P86" i="26" s="1"/>
  <c r="P87" i="26" s="1"/>
  <c r="T50" i="26"/>
  <c r="T53" i="26" s="1"/>
  <c r="T66" i="26" s="1"/>
  <c r="T52" i="26"/>
  <c r="T47" i="26"/>
  <c r="T58" i="26"/>
  <c r="T59" i="26" s="1"/>
  <c r="T22" i="26"/>
  <c r="T30" i="26"/>
  <c r="R71" i="26"/>
  <c r="R69" i="26"/>
  <c r="R68" i="26"/>
  <c r="S63" i="26" s="1"/>
  <c r="S72" i="26" s="1"/>
  <c r="O28" i="26"/>
  <c r="O32" i="26" s="1"/>
  <c r="P83" i="26" l="1"/>
  <c r="Q78" i="26" s="1"/>
  <c r="Q87" i="26" s="1"/>
  <c r="P84" i="26"/>
  <c r="P88" i="26"/>
  <c r="P89" i="26" s="1"/>
  <c r="P93" i="26" s="1"/>
  <c r="P21" i="26" s="1"/>
  <c r="T51" i="26"/>
  <c r="U46" i="26" s="1"/>
  <c r="U56" i="26" s="1"/>
  <c r="R73" i="26"/>
  <c r="R74" i="26" s="1"/>
  <c r="S65" i="26"/>
  <c r="S70" i="26"/>
  <c r="S64" i="26"/>
  <c r="S67" i="26" s="1"/>
  <c r="Q85" i="26" l="1"/>
  <c r="Q80" i="26"/>
  <c r="Q81" i="26"/>
  <c r="Q82" i="26" s="1"/>
  <c r="Q86" i="26" s="1"/>
  <c r="Q79" i="26"/>
  <c r="Q84" i="26"/>
  <c r="Q83" i="26"/>
  <c r="R78" i="26" s="1"/>
  <c r="R87" i="26" s="1"/>
  <c r="U48" i="26"/>
  <c r="U49" i="26"/>
  <c r="U50" i="26"/>
  <c r="U53" i="26" s="1"/>
  <c r="S69" i="26"/>
  <c r="S71" i="26"/>
  <c r="S68" i="26"/>
  <c r="T63" i="26" s="1"/>
  <c r="T72" i="26" s="1"/>
  <c r="P94" i="26"/>
  <c r="P95" i="26" s="1"/>
  <c r="P96" i="26" s="1"/>
  <c r="R81" i="26" l="1"/>
  <c r="R79" i="26"/>
  <c r="R80" i="26"/>
  <c r="R85" i="26"/>
  <c r="U51" i="26"/>
  <c r="U52" i="26"/>
  <c r="E52" i="26" s="1"/>
  <c r="U47" i="26"/>
  <c r="F47" i="26" s="1"/>
  <c r="U66" i="26"/>
  <c r="U58" i="26"/>
  <c r="U59" i="26" s="1"/>
  <c r="R82" i="26"/>
  <c r="R83" i="26" s="1"/>
  <c r="S78" i="26" s="1"/>
  <c r="S87" i="26" s="1"/>
  <c r="U22" i="26"/>
  <c r="D22" i="26" s="1"/>
  <c r="F36" i="9" s="1"/>
  <c r="U30" i="26"/>
  <c r="D30" i="26" s="1"/>
  <c r="D36" i="9" s="1"/>
  <c r="T70" i="26"/>
  <c r="T65" i="26"/>
  <c r="T64" i="26"/>
  <c r="Q88" i="26"/>
  <c r="Q89" i="26" s="1"/>
  <c r="Q93" i="26" s="1"/>
  <c r="S73" i="26"/>
  <c r="S74" i="26" s="1"/>
  <c r="P28" i="26"/>
  <c r="P32" i="26" s="1"/>
  <c r="P24" i="26"/>
  <c r="R84" i="26" l="1"/>
  <c r="R86" i="26"/>
  <c r="Q94" i="26"/>
  <c r="Q28" i="26" s="1"/>
  <c r="Q32" i="26" s="1"/>
  <c r="T67" i="26"/>
  <c r="T71" i="26" s="1"/>
  <c r="S85" i="26"/>
  <c r="S81" i="26"/>
  <c r="S80" i="26"/>
  <c r="S79" i="26"/>
  <c r="R88" i="26"/>
  <c r="R89" i="26" s="1"/>
  <c r="R93" i="26" s="1"/>
  <c r="S82" i="26" l="1"/>
  <c r="S86" i="26" s="1"/>
  <c r="S84" i="26"/>
  <c r="T68" i="26"/>
  <c r="U63" i="26" s="1"/>
  <c r="U72" i="26" s="1"/>
  <c r="R94" i="26"/>
  <c r="R95" i="26" s="1"/>
  <c r="R96" i="26" s="1"/>
  <c r="R24" i="26"/>
  <c r="S88" i="26"/>
  <c r="S89" i="26" s="1"/>
  <c r="S93" i="26" s="1"/>
  <c r="Q24" i="26"/>
  <c r="S83" i="26"/>
  <c r="T78" i="26" s="1"/>
  <c r="T87" i="26" s="1"/>
  <c r="Q95" i="26"/>
  <c r="Q96" i="26" s="1"/>
  <c r="T69" i="26"/>
  <c r="R28" i="26"/>
  <c r="R32" i="26" s="1"/>
  <c r="U70" i="26" l="1"/>
  <c r="U64" i="26"/>
  <c r="U67" i="26" s="1"/>
  <c r="U71" i="26" s="1"/>
  <c r="U65" i="26"/>
  <c r="U73" i="26"/>
  <c r="U74" i="26" s="1"/>
  <c r="U69" i="26"/>
  <c r="E69" i="26" s="1"/>
  <c r="S94" i="26"/>
  <c r="S28" i="26" s="1"/>
  <c r="S95" i="26"/>
  <c r="S96" i="26" s="1"/>
  <c r="U68" i="26"/>
  <c r="T80" i="26"/>
  <c r="T81" i="26"/>
  <c r="T85" i="26"/>
  <c r="T79" i="26"/>
  <c r="T82" i="26" s="1"/>
  <c r="T86" i="26" s="1"/>
  <c r="T73" i="26"/>
  <c r="T74" i="26" s="1"/>
  <c r="T84" i="26" l="1"/>
  <c r="S32" i="26"/>
  <c r="T88" i="26"/>
  <c r="T89" i="26" s="1"/>
  <c r="T93" i="26" s="1"/>
  <c r="T83" i="26"/>
  <c r="U78" i="26" s="1"/>
  <c r="U87" i="26" s="1"/>
  <c r="S24" i="26"/>
  <c r="T94" i="26" l="1"/>
  <c r="T95" i="26" s="1"/>
  <c r="T96" i="26" s="1"/>
  <c r="U85" i="26"/>
  <c r="U80" i="26"/>
  <c r="U81" i="26"/>
  <c r="U79" i="26"/>
  <c r="U82" i="26" s="1"/>
  <c r="U84" i="26" s="1"/>
  <c r="E84" i="26" s="1"/>
  <c r="T28" i="26"/>
  <c r="U83" i="26" l="1"/>
  <c r="T24" i="26"/>
  <c r="U86" i="26"/>
  <c r="T32" i="26"/>
  <c r="U88" i="26" l="1"/>
  <c r="U89" i="26" s="1"/>
  <c r="U93" i="26" s="1"/>
  <c r="U94" i="26" l="1"/>
  <c r="U28" i="26" s="1"/>
  <c r="U32" i="26" l="1"/>
  <c r="D28" i="26"/>
  <c r="U24" i="26"/>
  <c r="D21" i="26"/>
  <c r="D25" i="26" s="1"/>
  <c r="U95" i="26"/>
  <c r="U96" i="26" s="1"/>
  <c r="D24" i="26" l="1"/>
  <c r="F34" i="9" s="1"/>
  <c r="D32" i="26"/>
  <c r="D34" i="9" s="1"/>
  <c r="D33" i="26"/>
  <c r="D38" i="9" s="1"/>
  <c r="F35" i="9"/>
  <c r="F38" i="9"/>
  <c r="D23" i="26"/>
  <c r="D35" i="9"/>
  <c r="D31" i="26"/>
  <c r="D37" i="9" s="1"/>
  <c r="F37" i="9" l="1"/>
  <c r="L9" i="26"/>
  <c r="L8"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burton</author>
  </authors>
  <commentList>
    <comment ref="H4" authorId="0" shapeId="0" xr:uid="{00000000-0006-0000-0100-000001000000}">
      <text>
        <r>
          <rPr>
            <b/>
            <sz val="9"/>
            <color indexed="81"/>
            <rFont val="Tahoma"/>
            <family val="2"/>
          </rPr>
          <t>burton:</t>
        </r>
        <r>
          <rPr>
            <sz val="9"/>
            <color indexed="81"/>
            <rFont val="Tahoma"/>
            <family val="2"/>
          </rPr>
          <t xml:space="preserve">
Exclusing Lease-up and ARGUS included year one CapEx.</t>
        </r>
      </text>
    </comment>
    <comment ref="D7" authorId="0" shapeId="0" xr:uid="{00000000-0006-0000-0100-000002000000}">
      <text>
        <r>
          <rPr>
            <b/>
            <sz val="9"/>
            <color indexed="81"/>
            <rFont val="Tahoma"/>
            <family val="2"/>
          </rPr>
          <t>burton:</t>
        </r>
        <r>
          <rPr>
            <sz val="9"/>
            <color indexed="81"/>
            <rFont val="Tahoma"/>
            <family val="2"/>
          </rPr>
          <t xml:space="preserve">
Must start on first day of month.</t>
        </r>
      </text>
    </comment>
    <comment ref="D8" authorId="0" shapeId="0" xr:uid="{00000000-0006-0000-0100-000003000000}">
      <text>
        <r>
          <rPr>
            <b/>
            <sz val="9"/>
            <color indexed="81"/>
            <rFont val="Tahoma"/>
            <family val="2"/>
          </rPr>
          <t>burton:</t>
        </r>
        <r>
          <rPr>
            <sz val="9"/>
            <color indexed="81"/>
            <rFont val="Tahoma"/>
            <family val="2"/>
          </rPr>
          <t xml:space="preserve">
Minimum 1 year
Maximum 15 years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burton</author>
  </authors>
  <commentList>
    <comment ref="G4" authorId="0" shapeId="0" xr:uid="{00000000-0006-0000-0200-000001000000}">
      <text>
        <r>
          <rPr>
            <b/>
            <sz val="9"/>
            <color indexed="81"/>
            <rFont val="Tahoma"/>
            <family val="2"/>
          </rPr>
          <t>burton:</t>
        </r>
        <r>
          <rPr>
            <sz val="9"/>
            <color indexed="81"/>
            <rFont val="Tahoma"/>
            <family val="2"/>
          </rPr>
          <t xml:space="preserve">
Use formula Year 1 NOI ÷ Cap Rate UNLESS using broker guidance price.</t>
        </r>
      </text>
    </comment>
    <comment ref="S4" authorId="0" shapeId="0" xr:uid="{00000000-0006-0000-0200-000002000000}">
      <text>
        <r>
          <rPr>
            <b/>
            <sz val="9"/>
            <color indexed="81"/>
            <rFont val="Tahoma"/>
            <family val="2"/>
          </rPr>
          <t>burton:</t>
        </r>
        <r>
          <rPr>
            <sz val="9"/>
            <color indexed="81"/>
            <rFont val="Tahoma"/>
            <family val="2"/>
          </rPr>
          <t xml:space="preserve">
As a % of price.</t>
        </r>
      </text>
    </comment>
    <comment ref="W4" authorId="0" shapeId="0" xr:uid="{00000000-0006-0000-0200-000003000000}">
      <text>
        <r>
          <rPr>
            <b/>
            <sz val="9"/>
            <color indexed="81"/>
            <rFont val="Tahoma"/>
            <family val="2"/>
          </rPr>
          <t>burton:</t>
        </r>
        <r>
          <rPr>
            <sz val="9"/>
            <color indexed="81"/>
            <rFont val="Tahoma"/>
            <family val="2"/>
          </rPr>
          <t xml:space="preserve">
% of Loan Amount</t>
        </r>
      </text>
    </comment>
  </commentList>
</comments>
</file>

<file path=xl/sharedStrings.xml><?xml version="1.0" encoding="utf-8"?>
<sst xmlns="http://schemas.openxmlformats.org/spreadsheetml/2006/main" count="484" uniqueCount="291">
  <si>
    <t>#</t>
  </si>
  <si>
    <t>Property Name</t>
  </si>
  <si>
    <t>NRA</t>
  </si>
  <si>
    <t>City, State</t>
  </si>
  <si>
    <t>Occ. %</t>
  </si>
  <si>
    <t>Property Assumptions</t>
  </si>
  <si>
    <t>Price</t>
  </si>
  <si>
    <t>Cap Rate</t>
  </si>
  <si>
    <t>PSF</t>
  </si>
  <si>
    <t>Property Valuation</t>
  </si>
  <si>
    <t>Interest Rate</t>
  </si>
  <si>
    <t>Years I/O</t>
  </si>
  <si>
    <t>Amo Period</t>
  </si>
  <si>
    <t>Term</t>
  </si>
  <si>
    <t>LTV</t>
  </si>
  <si>
    <t>Financing Assumptions</t>
  </si>
  <si>
    <t>Analysis Start</t>
  </si>
  <si>
    <t>Analysis Period</t>
  </si>
  <si>
    <t>Year Ending</t>
  </si>
  <si>
    <t>-</t>
  </si>
  <si>
    <t>.</t>
  </si>
  <si>
    <t>Operating Expenses</t>
  </si>
  <si>
    <t>Net Operating Income</t>
  </si>
  <si>
    <t>Cap Rate at Sale</t>
  </si>
  <si>
    <t>Net Sales Price</t>
  </si>
  <si>
    <t>Net Sales Price PSF</t>
  </si>
  <si>
    <t>Free and Clear Return</t>
  </si>
  <si>
    <t>Avg. Free and Clear Return</t>
  </si>
  <si>
    <t>Loan Amount</t>
  </si>
  <si>
    <t>Unlevered Internal Rate of Return</t>
  </si>
  <si>
    <t>Portion of IRR from Income</t>
  </si>
  <si>
    <t>Portion of IRR from Sale</t>
  </si>
  <si>
    <t>Debt Service</t>
  </si>
  <si>
    <t>Avg. Cash-on-Cash Return</t>
  </si>
  <si>
    <t>Cash-on-Cash Return</t>
  </si>
  <si>
    <t>Levered Internal Rate of Return</t>
  </si>
  <si>
    <t>Unlevered Equity Multiple</t>
  </si>
  <si>
    <t>Levered Equity Multiple</t>
  </si>
  <si>
    <t>Loan Balance</t>
  </si>
  <si>
    <t>Permanent Financing</t>
  </si>
  <si>
    <t>Amo Payment</t>
  </si>
  <si>
    <t>I/O Payment</t>
  </si>
  <si>
    <t>Initial Loan Balance</t>
  </si>
  <si>
    <t>Upfront CapEx</t>
  </si>
  <si>
    <t>Net Cash on Sale</t>
  </si>
  <si>
    <t>Unlevered</t>
  </si>
  <si>
    <t>Year</t>
  </si>
  <si>
    <t>IRR</t>
  </si>
  <si>
    <t>Levered</t>
  </si>
  <si>
    <t>Internal Rate of Return Calculation (Hide/Unhide)</t>
  </si>
  <si>
    <t>Property Level Returns</t>
  </si>
  <si>
    <t>Unlevered All-In Basis</t>
  </si>
  <si>
    <t>Net Gain</t>
  </si>
  <si>
    <t>Discount Rate</t>
  </si>
  <si>
    <t>Unlevered CF w/Residual</t>
  </si>
  <si>
    <t>Unlevered IRR</t>
  </si>
  <si>
    <t>Levered IRR</t>
  </si>
  <si>
    <t>Min. DSCR</t>
  </si>
  <si>
    <t>Min. Debt Yield</t>
  </si>
  <si>
    <t>Purchase Price</t>
  </si>
  <si>
    <t>All-in-Basis</t>
  </si>
  <si>
    <t>Year 1 NOI</t>
  </si>
  <si>
    <t>Year 3 NOI</t>
  </si>
  <si>
    <t>Purchase Price Method</t>
  </si>
  <si>
    <t>Set Purchase Price</t>
  </si>
  <si>
    <t>Going-In Cap Rate</t>
  </si>
  <si>
    <t>Acquisition Cost</t>
  </si>
  <si>
    <t>Amo. Period</t>
  </si>
  <si>
    <t>Lender Fees (%)</t>
  </si>
  <si>
    <t>Lender Fees ($)</t>
  </si>
  <si>
    <t>Equity Req'd</t>
  </si>
  <si>
    <t>Acquisition Cost %</t>
  </si>
  <si>
    <t>Lender Fees %</t>
  </si>
  <si>
    <t>Property Metrics</t>
  </si>
  <si>
    <t>Capitalization</t>
  </si>
  <si>
    <t>LP Investors</t>
  </si>
  <si>
    <t>Sponsor</t>
  </si>
  <si>
    <t>Investor Returns</t>
  </si>
  <si>
    <t>Total Distributions</t>
  </si>
  <si>
    <t>Total Contributions</t>
  </si>
  <si>
    <t>Total Profit</t>
  </si>
  <si>
    <t>Equity Multiple</t>
  </si>
  <si>
    <t>Hurdle 2</t>
  </si>
  <si>
    <t>Hurdle 3</t>
  </si>
  <si>
    <t>Hurdle 4</t>
  </si>
  <si>
    <t>Sponsor %</t>
  </si>
  <si>
    <t>LP %</t>
  </si>
  <si>
    <t>%</t>
  </si>
  <si>
    <t>Amount</t>
  </si>
  <si>
    <t>Levered Before Tax Cash Flow</t>
  </si>
  <si>
    <t>Year 0</t>
  </si>
  <si>
    <t>Hurdle 1 (Preferred Return)</t>
  </si>
  <si>
    <t>Beginning Balance (LP Capital Account)</t>
  </si>
  <si>
    <t>Ending Balance (LP Capital Account)</t>
  </si>
  <si>
    <t>Contributions from LP</t>
  </si>
  <si>
    <t>Distribution to Sponsor</t>
  </si>
  <si>
    <t>Distribution to LP</t>
  </si>
  <si>
    <t>Cash Flow Remaining</t>
  </si>
  <si>
    <t>Distributions to LP (Hurdle 1)</t>
  </si>
  <si>
    <t>Prior Distributions</t>
  </si>
  <si>
    <t>Net Cash Flow For Distribution</t>
  </si>
  <si>
    <t>Summary of Investor Level Returns</t>
  </si>
  <si>
    <t>Total LP Distributions</t>
  </si>
  <si>
    <t>Total Sponsor Distributions</t>
  </si>
  <si>
    <t>LP IRR</t>
  </si>
  <si>
    <t>Total LP Contributions</t>
  </si>
  <si>
    <t>Total LP Profit</t>
  </si>
  <si>
    <t>LP Equity Multiple</t>
  </si>
  <si>
    <t>Sponsor Returns</t>
  </si>
  <si>
    <t>Limited Partner (LP) Returns</t>
  </si>
  <si>
    <t>Total Sponsor Contributions</t>
  </si>
  <si>
    <t>Total Sponsor Profit</t>
  </si>
  <si>
    <t>Sponsor IRR</t>
  </si>
  <si>
    <t>Sponsor Equity Multiple</t>
  </si>
  <si>
    <t>Limited Partner(s)</t>
  </si>
  <si>
    <t>Floating Summary Box</t>
  </si>
  <si>
    <t>Property Return Metrics</t>
  </si>
  <si>
    <t>Property Risk Metrics</t>
  </si>
  <si>
    <t>Property Summary</t>
  </si>
  <si>
    <t>Terminal Value</t>
  </si>
  <si>
    <t>Growth Rate</t>
  </si>
  <si>
    <t>Stabilized</t>
  </si>
  <si>
    <t>+ Other Income</t>
  </si>
  <si>
    <t>Potential Gross Income</t>
  </si>
  <si>
    <t>- Rent Abatement</t>
  </si>
  <si>
    <t>- Vacancy</t>
  </si>
  <si>
    <t>+ Base Rent</t>
  </si>
  <si>
    <t>Effective Gross Revenue</t>
  </si>
  <si>
    <t>- Marketing</t>
  </si>
  <si>
    <t>- Administrative</t>
  </si>
  <si>
    <t>- Utilities</t>
  </si>
  <si>
    <t>- Payroll</t>
  </si>
  <si>
    <t xml:space="preserve"> -Repair and maintenance</t>
  </si>
  <si>
    <t xml:space="preserve"> -Insurance</t>
  </si>
  <si>
    <t xml:space="preserve"> -Taxes</t>
  </si>
  <si>
    <t>- Mgmt (% of EGR)</t>
  </si>
  <si>
    <t>- Misc. CapEx</t>
  </si>
  <si>
    <t>Capital Expenditures</t>
  </si>
  <si>
    <t>Cash Flow From Operations</t>
  </si>
  <si>
    <t>Author: Spencer Burton</t>
  </si>
  <si>
    <t>Min. DSCR (NOI)</t>
  </si>
  <si>
    <t>Min. Debt Yield (NOI)</t>
  </si>
  <si>
    <t>Debt Coverage Ratio (NOI)</t>
  </si>
  <si>
    <t>Debt Yield (NOI)</t>
  </si>
  <si>
    <t>Apartment Units</t>
  </si>
  <si>
    <t>Replacement Cost (per unit)</t>
  </si>
  <si>
    <t>Price/Unit</t>
  </si>
  <si>
    <t>Multifamily Rent Roll</t>
  </si>
  <si>
    <t>Unit Name</t>
  </si>
  <si>
    <t>Beds</t>
  </si>
  <si>
    <t>Baths</t>
  </si>
  <si>
    <t>Sq. Ft.</t>
  </si>
  <si>
    <t>Rent/Mo.</t>
  </si>
  <si>
    <t># of Units</t>
  </si>
  <si>
    <t>Lease Term</t>
  </si>
  <si>
    <t>Renewal Probability</t>
  </si>
  <si>
    <t>Releasing Cost per Unit</t>
  </si>
  <si>
    <t>Free Rent Per Lease</t>
  </si>
  <si>
    <t>Days Vacant Between Leases</t>
  </si>
  <si>
    <t>Free Rent</t>
  </si>
  <si>
    <t>Days Vacant</t>
  </si>
  <si>
    <t>Releasing Cost</t>
  </si>
  <si>
    <t>Blended</t>
  </si>
  <si>
    <t>CapEx /Unit/Mo.</t>
  </si>
  <si>
    <t>Residential Units</t>
  </si>
  <si>
    <t>Units Remaining</t>
  </si>
  <si>
    <t>Month Ending</t>
  </si>
  <si>
    <t>Month</t>
  </si>
  <si>
    <t>Multifamily Rents</t>
  </si>
  <si>
    <t>Multifamily Annual Cash Flow</t>
  </si>
  <si>
    <t>Inflation</t>
  </si>
  <si>
    <t>Releasing Costs</t>
  </si>
  <si>
    <t>Other Income/Year</t>
  </si>
  <si>
    <t/>
  </si>
  <si>
    <t>Total</t>
  </si>
  <si>
    <t>Rent</t>
  </si>
  <si>
    <t>Other Income</t>
  </si>
  <si>
    <t>Multifamily Lease Expiration Tracking</t>
  </si>
  <si>
    <t>Multifamily Vacancy</t>
  </si>
  <si>
    <t>Multifamily Free Rent</t>
  </si>
  <si>
    <t>Multifamily Releasing Costs</t>
  </si>
  <si>
    <t>General Vacancy</t>
  </si>
  <si>
    <t>Property Vacancy</t>
  </si>
  <si>
    <t>- Releasing Costs</t>
  </si>
  <si>
    <t>Multifamily Capital Expenditures</t>
  </si>
  <si>
    <t>Phoenix, AZ</t>
  </si>
  <si>
    <t>Ratios</t>
  </si>
  <si>
    <t>Serrano Village</t>
  </si>
  <si>
    <t>Studio</t>
  </si>
  <si>
    <t>1bd/1ba</t>
  </si>
  <si>
    <t>2bd/2ba</t>
  </si>
  <si>
    <t>2bd/1.5ba</t>
  </si>
  <si>
    <t>3bd/2ba</t>
  </si>
  <si>
    <t>Year 1 per Unit</t>
  </si>
  <si>
    <t>LTC</t>
  </si>
  <si>
    <t>Current Occupancy</t>
  </si>
  <si>
    <t>v1.13</t>
  </si>
  <si>
    <t>Corrected error in debt service calculation</t>
  </si>
  <si>
    <t>Fixed minor formatting issues</t>
  </si>
  <si>
    <t>Moved Investor Returns inputs to the Property Summary tab</t>
  </si>
  <si>
    <t>Added a few ratios to the Annual Cash Flow tab</t>
  </si>
  <si>
    <t>Loan amount changed to an input cell</t>
  </si>
  <si>
    <t>Added LTV and LTC to the Property Summary tab</t>
  </si>
  <si>
    <t>V2.00</t>
  </si>
  <si>
    <t>Misc formatting improvements</t>
  </si>
  <si>
    <t>In-Place Rent/Mo.</t>
  </si>
  <si>
    <t>Market Rent/Mo</t>
  </si>
  <si>
    <t>Month to Roll to Market</t>
  </si>
  <si>
    <t>Added In-Place and Market Rent assumptions on MF Rent Roll tab for value-add opportunities</t>
  </si>
  <si>
    <t>Added 'Roll to Market Rent' assumption on MF Rent Roll tab for value-add opportunities</t>
  </si>
  <si>
    <t>Used Absolute Value formula to ensure OpEx is negative on Annual Cash Flow tab</t>
  </si>
  <si>
    <t>Removed $ USD signs to give the model a cleaner look; make it more compatible with other currencies</t>
  </si>
  <si>
    <t>v1.15</t>
  </si>
  <si>
    <t>Operating Expense Assumptions</t>
  </si>
  <si>
    <t>- Value Add Costs</t>
  </si>
  <si>
    <t>Property Renovation/Improvement Costs</t>
  </si>
  <si>
    <t>Initial Equity Required</t>
  </si>
  <si>
    <t>Total Equity Required</t>
  </si>
  <si>
    <t>Updated Investor Returns tab with waterfall that includes option for IRR or equity multiple hurdles</t>
  </si>
  <si>
    <t>Added 'Property Renovation/Improvement Costs' input on the Operating Expenses tab for value-add situations</t>
  </si>
  <si>
    <t>Renamed 'Operating Expenses' tab, 'Expenses' to reflect non-operating expense assumptions</t>
  </si>
  <si>
    <t>Return Threshold - Greater than:</t>
  </si>
  <si>
    <t>Req'd Return by LP to hit Hurdle 3</t>
  </si>
  <si>
    <t>Return Threshold - Up to:</t>
  </si>
  <si>
    <t>Req'd Return by LP to hit Hurdle 2</t>
  </si>
  <si>
    <t>Contributions from Sponsor</t>
  </si>
  <si>
    <t>Req'd Return by LP to hit Hurdle 1</t>
  </si>
  <si>
    <t>LP Return of Capital</t>
  </si>
  <si>
    <t>Return of Capital &amp; Hurdle 1 (Preferred Return)</t>
  </si>
  <si>
    <t>Adjusted Levered Before Tax Cash Flow</t>
  </si>
  <si>
    <t>Acquisition/Disposition Fees</t>
  </si>
  <si>
    <t>Asset Management Fees</t>
  </si>
  <si>
    <t>Net Levered Before Tax Cash Flow</t>
  </si>
  <si>
    <t>Total Sponsor Fees</t>
  </si>
  <si>
    <t>Pref</t>
  </si>
  <si>
    <t>Notes</t>
  </si>
  <si>
    <t>Distribution as %</t>
  </si>
  <si>
    <t>Promote Structure Incentive Breakdown</t>
  </si>
  <si>
    <t>Net BTCF:</t>
  </si>
  <si>
    <t>Total Equity</t>
  </si>
  <si>
    <t>Profit Dist.:</t>
  </si>
  <si>
    <t>Error Check:</t>
  </si>
  <si>
    <t>Equity Contributions</t>
  </si>
  <si>
    <t>Pari Passu</t>
  </si>
  <si>
    <t>Return of Capital</t>
  </si>
  <si>
    <t>Promote Structure Method</t>
  </si>
  <si>
    <t>[See Investor Returns tab for assumptions]</t>
  </si>
  <si>
    <t>Cash Flow after Financing</t>
  </si>
  <si>
    <t>Cash Flow from Operations</t>
  </si>
  <si>
    <t>Market Cap Rate (Yr. 1)</t>
  </si>
  <si>
    <t>Terminal Cap Year</t>
  </si>
  <si>
    <t>Terminal Cap Rate Growth/Yr</t>
  </si>
  <si>
    <t>v2.01</t>
  </si>
  <si>
    <t>Cleaned up Promote structure inputs language (Investor Returns tab) to make it more clear</t>
  </si>
  <si>
    <t>Sponsor Promote</t>
  </si>
  <si>
    <t>v2.02</t>
  </si>
  <si>
    <t>Fixed formula on Property Returns tab (R12) that caused model to error out when assuming a 15 year hold</t>
  </si>
  <si>
    <t>v2.1</t>
  </si>
  <si>
    <t>Added logic such that if LP is excluded from analysis, outputs result in NA instead of #Value! Errors</t>
  </si>
  <si>
    <t>Updated Equity Multiple logic on both property-level and partnership-level returns</t>
  </si>
  <si>
    <t>Disclaimer: This model may contain errors</t>
  </si>
  <si>
    <t>Changelog</t>
  </si>
  <si>
    <t xml:space="preserve">LEARN TO BUILD INSTITUTIONAL-QUALITY REAL ESTATE MODELS FROM SCRATCH
- CLICK HERE TO LEARN MORE - </t>
  </si>
  <si>
    <t>AdventuresinCRE.com and its affiliates do not provide tax, legal, investment, or accounting advice. This material has been prepared for informational purposes only, and is not intended to provide, and should not be relied on for, tax, legal or accounting advice. You should consult your own tax, legal and accounting advisors before engaging in any transaction. This model may contains errors. Verify all calculations being using this model to make investment decisions.</t>
  </si>
  <si>
    <t>Excel 365</t>
  </si>
  <si>
    <t>Excel 2016</t>
  </si>
  <si>
    <t>Browse our entire Library of Real Estate Models</t>
  </si>
  <si>
    <t>Excel 2013</t>
  </si>
  <si>
    <t>Compatibility</t>
  </si>
  <si>
    <t>Guides and Tutorials for Using the Model</t>
  </si>
  <si>
    <t>Visit this Model's Webpage</t>
  </si>
  <si>
    <t>https://www.adventuresincre.com/</t>
  </si>
  <si>
    <t>Important Links:</t>
  </si>
  <si>
    <t>Model Resources</t>
  </si>
  <si>
    <t>v2.2</t>
  </si>
  <si>
    <t>Apartment Acquisition Model (Original)</t>
  </si>
  <si>
    <t>NOT COMPATIBLE WITH MAC</t>
  </si>
  <si>
    <t>Download Our New Apartment Acquisition Model (Compatible with Mac)</t>
  </si>
  <si>
    <t>Added new Versions tab</t>
  </si>
  <si>
    <t>Fixed 'Capitalization' box on Property Summary tab; now properly links to Investor Returns tab</t>
  </si>
  <si>
    <t>Manual Input</t>
  </si>
  <si>
    <t>Updated default 'Purchase Price Method' to 'Manual Input' on Property Summary tab</t>
  </si>
  <si>
    <t>Updated default 'Loan Amount' to include formula linked to 'Purchase Price'</t>
  </si>
  <si>
    <t>Moved LTV and LTC metrics immediately below 'Loan Amount' input</t>
  </si>
  <si>
    <t>v2.3</t>
  </si>
  <si>
    <t>Improved Sponsor Distribution formula on Investor Returns tab to make it easier to audit</t>
  </si>
  <si>
    <t>SF</t>
  </si>
  <si>
    <t>Added option to toggle between SF and M2 (cell H2 on the Property Summary tab)</t>
  </si>
  <si>
    <t>Misc. formatting enhancements</t>
  </si>
  <si>
    <t>v2.4</t>
  </si>
  <si>
    <t>Updated the Loan Balance formula (Row 7 - Debt tab) to reflect monthly payments instead of annual, ensuring alignment with the amortization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</si>
</sst>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5" formatCode="&quot;$&quot;#,##0_);\(&quot;$&quot;#,##0\)"/>
    <numFmt numFmtId="6" formatCode="&quot;$&quot;#,##0_);[Red]\(&quot;$&quot;#,##0\)"/>
    <numFmt numFmtId="8" formatCode="&quot;$&quot;#,##0.00_);[Red]\(&quot;$&quot;#,##0.00\)"/>
    <numFmt numFmtId="41" formatCode="_(* #,##0_);_(* \(#,##0\);_(* &quot;-&quot;_);_(@_)"/>
    <numFmt numFmtId="164" formatCode="0.0%"/>
    <numFmt numFmtId="165" formatCode="0\ &quot;years&quot;"/>
    <numFmt numFmtId="166" formatCode="[$-409]d\-mmm\-yy;@"/>
    <numFmt numFmtId="167" formatCode="&quot;Year&quot;\ 0"/>
    <numFmt numFmtId="168" formatCode="0\ &quot;bps&quot;"/>
    <numFmt numFmtId="169" formatCode="0.00&quot;x&quot;"/>
    <numFmt numFmtId="170" formatCode="0.0\ &quot;years&quot;"/>
    <numFmt numFmtId="171" formatCode="0.00\ &quot;years&quot;"/>
    <numFmt numFmtId="172" formatCode="&quot;&gt;&quot;\ 0.0%\ \I\R\R&quot; to LP&quot;"/>
    <numFmt numFmtId="173" formatCode="&quot; up to &quot;0.0%\ \I\R\R&quot; to LP&quot;"/>
    <numFmt numFmtId="174" formatCode="&quot; Up to &quot;0.0%\ \I\R\R&quot; to LP&quot;"/>
    <numFmt numFmtId="175" formatCode="0.00&quot;X&quot;"/>
    <numFmt numFmtId="176" formatCode="#,##0\ &quot;SF&quot;"/>
    <numFmt numFmtId="177" formatCode="0\ &quot;days&quot;"/>
    <numFmt numFmtId="178" formatCode="0\ &quot;month(s)&quot;"/>
    <numFmt numFmtId="179" formatCode="0\ &quot;months&quot;"/>
    <numFmt numFmtId="180" formatCode="0.0"/>
    <numFmt numFmtId="181" formatCode="0\ &quot;units&quot;"/>
    <numFmt numFmtId="182" formatCode="0.0\ &quot;days&quot;"/>
    <numFmt numFmtId="183" formatCode="0.00\ &quot;month(s)&quot;"/>
    <numFmt numFmtId="184" formatCode="#,##0\ &quot;units&quot;"/>
    <numFmt numFmtId="185" formatCode="0.0%&quot; of PGI&quot;"/>
    <numFmt numFmtId="186" formatCode="0.0%&quot; of EGI&quot;"/>
    <numFmt numFmtId="187" formatCode="0.0%&quot; of NOI&quot;"/>
    <numFmt numFmtId="188" formatCode="&quot;Month&quot;\ 0"/>
    <numFmt numFmtId="189" formatCode="&quot;IRR Error Check -&quot;\ 0.0%"/>
    <numFmt numFmtId="190" formatCode="&quot;&gt;&quot;\ 0.00&quot;X EM to LP&quot;"/>
    <numFmt numFmtId="191" formatCode="0.000&quot;MM&quot;"/>
  </numFmts>
  <fonts count="36" x14ac:knownFonts="1">
    <font>
      <sz val="11"/>
      <color theme="1"/>
      <name val="Calibri"/>
      <family val="2"/>
      <scheme val="minor"/>
    </font>
    <font>
      <b/>
      <sz val="11"/>
      <color theme="1"/>
      <name val="Calibri"/>
      <family val="2"/>
      <scheme val="minor"/>
    </font>
    <font>
      <sz val="11"/>
      <color indexed="12"/>
      <name val="Calibri"/>
      <family val="2"/>
      <scheme val="minor"/>
    </font>
    <font>
      <b/>
      <sz val="12"/>
      <color theme="1"/>
      <name val="Calibri"/>
      <family val="2"/>
      <scheme val="minor"/>
    </font>
    <font>
      <i/>
      <sz val="11"/>
      <color theme="1"/>
      <name val="Calibri"/>
      <family val="2"/>
      <scheme val="minor"/>
    </font>
    <font>
      <b/>
      <i/>
      <sz val="11"/>
      <color theme="1"/>
      <name val="Calibri"/>
      <family val="2"/>
      <scheme val="minor"/>
    </font>
    <font>
      <sz val="9"/>
      <color indexed="81"/>
      <name val="Tahoma"/>
      <family val="2"/>
    </font>
    <font>
      <b/>
      <sz val="9"/>
      <color indexed="81"/>
      <name val="Tahoma"/>
      <family val="2"/>
    </font>
    <font>
      <sz val="11"/>
      <name val="Calibri"/>
      <family val="2"/>
      <scheme val="minor"/>
    </font>
    <font>
      <sz val="11"/>
      <color theme="0" tint="-4.9989318521683403E-2"/>
      <name val="Calibri"/>
      <family val="2"/>
      <scheme val="minor"/>
    </font>
    <font>
      <u/>
      <sz val="10"/>
      <color theme="1"/>
      <name val="Calibri"/>
      <family val="2"/>
      <scheme val="minor"/>
    </font>
    <font>
      <i/>
      <sz val="11"/>
      <name val="Calibri"/>
      <family val="2"/>
      <scheme val="minor"/>
    </font>
    <font>
      <sz val="12"/>
      <name val="Arial"/>
      <family val="2"/>
    </font>
    <font>
      <sz val="11"/>
      <color theme="0"/>
      <name val="Calibri"/>
      <family val="2"/>
      <scheme val="minor"/>
    </font>
    <font>
      <b/>
      <sz val="12"/>
      <name val="Calibri"/>
      <family val="2"/>
      <scheme val="minor"/>
    </font>
    <font>
      <b/>
      <sz val="11"/>
      <name val="Calibri"/>
      <family val="2"/>
      <scheme val="minor"/>
    </font>
    <font>
      <i/>
      <u/>
      <sz val="11"/>
      <color theme="1"/>
      <name val="Calibri"/>
      <family val="2"/>
      <scheme val="minor"/>
    </font>
    <font>
      <u/>
      <sz val="11"/>
      <color theme="10"/>
      <name val="Calibri"/>
      <family val="2"/>
      <scheme val="minor"/>
    </font>
    <font>
      <b/>
      <u/>
      <sz val="11"/>
      <color theme="1"/>
      <name val="Calibri"/>
      <family val="2"/>
      <scheme val="minor"/>
    </font>
    <font>
      <u/>
      <sz val="11"/>
      <color theme="1"/>
      <name val="Calibri"/>
      <family val="2"/>
      <scheme val="minor"/>
    </font>
    <font>
      <u/>
      <sz val="11"/>
      <name val="Calibri"/>
      <family val="2"/>
      <scheme val="minor"/>
    </font>
    <font>
      <u val="singleAccounting"/>
      <sz val="11"/>
      <color theme="1"/>
      <name val="Calibri"/>
      <family val="2"/>
      <scheme val="minor"/>
    </font>
    <font>
      <sz val="11"/>
      <color rgb="FFFF0000"/>
      <name val="Calibri"/>
      <family val="2"/>
      <scheme val="minor"/>
    </font>
    <font>
      <sz val="9"/>
      <color theme="1"/>
      <name val="Calibri"/>
      <family val="2"/>
      <scheme val="minor"/>
    </font>
    <font>
      <b/>
      <sz val="9"/>
      <color rgb="FFFF0000"/>
      <name val="Calibri"/>
      <family val="2"/>
      <scheme val="minor"/>
    </font>
    <font>
      <sz val="11"/>
      <color indexed="17"/>
      <name val="Calibri"/>
      <family val="2"/>
      <scheme val="minor"/>
    </font>
    <font>
      <u val="singleAccounting"/>
      <sz val="11"/>
      <color indexed="12"/>
      <name val="Calibri"/>
      <family val="2"/>
      <scheme val="minor"/>
    </font>
    <font>
      <sz val="10"/>
      <color theme="1"/>
      <name val="Calibri"/>
      <family val="2"/>
      <scheme val="minor"/>
    </font>
    <font>
      <b/>
      <u/>
      <sz val="10"/>
      <color theme="1"/>
      <name val="Calibri"/>
      <family val="2"/>
      <scheme val="minor"/>
    </font>
    <font>
      <b/>
      <sz val="12"/>
      <color theme="1" tint="0.34998626667073579"/>
      <name val="Calibri"/>
      <family val="2"/>
      <scheme val="minor"/>
    </font>
    <font>
      <sz val="9"/>
      <color theme="0"/>
      <name val="Calibri"/>
      <family val="2"/>
      <scheme val="minor"/>
    </font>
    <font>
      <sz val="12"/>
      <color theme="0"/>
      <name val="Calibri"/>
      <family val="2"/>
      <scheme val="minor"/>
    </font>
    <font>
      <b/>
      <u/>
      <sz val="10"/>
      <name val="Calibri"/>
      <family val="2"/>
      <scheme val="minor"/>
    </font>
    <font>
      <sz val="10"/>
      <name val="Calibri"/>
      <family val="2"/>
      <scheme val="minor"/>
    </font>
    <font>
      <b/>
      <sz val="10"/>
      <name val="Calibri"/>
      <family val="2"/>
      <scheme val="minor"/>
    </font>
    <font>
      <sz val="11"/>
      <color rgb="FF0000FF"/>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B606"/>
        <bgColor indexed="64"/>
      </patternFill>
    </fill>
    <fill>
      <patternFill patternType="solid">
        <fgColor theme="1" tint="0.34998626667073579"/>
        <bgColor indexed="64"/>
      </patternFill>
    </fill>
  </fills>
  <borders count="27">
    <border>
      <left/>
      <right/>
      <top/>
      <bottom/>
      <diagonal/>
    </border>
    <border>
      <left/>
      <right style="thin">
        <color indexed="64"/>
      </right>
      <top/>
      <bottom/>
      <diagonal/>
    </border>
    <border>
      <left style="thin">
        <color indexed="64"/>
      </left>
      <right/>
      <top/>
      <bottom/>
      <diagonal/>
    </border>
    <border>
      <left/>
      <right/>
      <top/>
      <bottom style="thin">
        <color auto="1"/>
      </bottom>
      <diagonal/>
    </border>
    <border>
      <left style="thick">
        <color theme="9"/>
      </left>
      <right/>
      <top style="thick">
        <color theme="9"/>
      </top>
      <bottom/>
      <diagonal/>
    </border>
    <border>
      <left/>
      <right/>
      <top style="thick">
        <color theme="9"/>
      </top>
      <bottom/>
      <diagonal/>
    </border>
    <border>
      <left/>
      <right style="thick">
        <color theme="9"/>
      </right>
      <top style="thick">
        <color theme="9"/>
      </top>
      <bottom/>
      <diagonal/>
    </border>
    <border>
      <left style="thick">
        <color theme="9"/>
      </left>
      <right/>
      <top/>
      <bottom/>
      <diagonal/>
    </border>
    <border>
      <left/>
      <right style="thick">
        <color theme="9"/>
      </right>
      <top/>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thin">
        <color indexed="64"/>
      </left>
      <right/>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indexed="64"/>
      </bottom>
      <diagonal/>
    </border>
    <border>
      <left style="hair">
        <color auto="1"/>
      </left>
      <right/>
      <top/>
      <bottom/>
      <diagonal/>
    </border>
    <border>
      <left/>
      <right style="hair">
        <color auto="1"/>
      </right>
      <top/>
      <bottom/>
      <diagonal/>
    </border>
    <border>
      <left/>
      <right/>
      <top style="thin">
        <color auto="1"/>
      </top>
      <bottom/>
      <diagonal/>
    </border>
    <border>
      <left style="hair">
        <color auto="1"/>
      </left>
      <right/>
      <top style="thin">
        <color auto="1"/>
      </top>
      <bottom/>
      <diagonal/>
    </border>
    <border>
      <left style="hair">
        <color auto="1"/>
      </left>
      <right/>
      <top/>
      <bottom style="thin">
        <color auto="1"/>
      </bottom>
      <diagonal/>
    </border>
    <border>
      <left/>
      <right style="hair">
        <color auto="1"/>
      </right>
      <top/>
      <bottom style="thin">
        <color auto="1"/>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s>
  <cellStyleXfs count="3">
    <xf numFmtId="0" fontId="0" fillId="0" borderId="0"/>
    <xf numFmtId="0" fontId="12" fillId="0" borderId="0"/>
    <xf numFmtId="0" fontId="17" fillId="0" borderId="0" applyNumberFormat="0" applyFill="0" applyBorder="0" applyAlignment="0" applyProtection="0"/>
  </cellStyleXfs>
  <cellXfs count="306">
    <xf numFmtId="0" fontId="0" fillId="0" borderId="0" xfId="0"/>
    <xf numFmtId="0" fontId="1" fillId="0" borderId="0" xfId="0" applyFont="1" applyAlignment="1">
      <alignment horizontal="center" wrapText="1"/>
    </xf>
    <xf numFmtId="0" fontId="0" fillId="2" borderId="0" xfId="0" applyFill="1"/>
    <xf numFmtId="0" fontId="3" fillId="2" borderId="0" xfId="0" applyFont="1" applyFill="1"/>
    <xf numFmtId="0" fontId="8" fillId="0" borderId="0" xfId="0" applyFont="1"/>
    <xf numFmtId="6" fontId="0" fillId="0" borderId="0" xfId="0" applyNumberFormat="1"/>
    <xf numFmtId="0" fontId="1" fillId="3" borderId="4" xfId="0" applyFont="1" applyFill="1" applyBorder="1"/>
    <xf numFmtId="0" fontId="0" fillId="3" borderId="5" xfId="0" applyFill="1" applyBorder="1"/>
    <xf numFmtId="0" fontId="0" fillId="3" borderId="6" xfId="0" applyFill="1" applyBorder="1"/>
    <xf numFmtId="0" fontId="0" fillId="3" borderId="7" xfId="0" applyFill="1" applyBorder="1" applyAlignment="1">
      <alignment horizontal="left" indent="1"/>
    </xf>
    <xf numFmtId="0" fontId="0" fillId="3" borderId="0" xfId="0" applyFill="1"/>
    <xf numFmtId="10" fontId="0" fillId="3" borderId="8" xfId="0" applyNumberFormat="1" applyFill="1" applyBorder="1"/>
    <xf numFmtId="175" fontId="0" fillId="3" borderId="8" xfId="0" applyNumberFormat="1" applyFill="1" applyBorder="1"/>
    <xf numFmtId="0" fontId="0" fillId="3" borderId="7" xfId="0" applyFill="1" applyBorder="1"/>
    <xf numFmtId="0" fontId="0" fillId="3" borderId="8" xfId="0" applyFill="1" applyBorder="1"/>
    <xf numFmtId="0" fontId="1" fillId="3" borderId="7" xfId="0" applyFont="1" applyFill="1" applyBorder="1"/>
    <xf numFmtId="0" fontId="0" fillId="3" borderId="9" xfId="0" applyFill="1" applyBorder="1" applyAlignment="1">
      <alignment horizontal="left" indent="1"/>
    </xf>
    <xf numFmtId="0" fontId="0" fillId="3" borderId="10" xfId="0" applyFill="1" applyBorder="1"/>
    <xf numFmtId="164" fontId="0" fillId="3" borderId="11" xfId="0" applyNumberFormat="1" applyFill="1" applyBorder="1"/>
    <xf numFmtId="0" fontId="0" fillId="0" borderId="1" xfId="0" applyBorder="1"/>
    <xf numFmtId="0" fontId="1" fillId="2" borderId="0" xfId="0" applyFont="1" applyFill="1" applyAlignment="1">
      <alignment horizontal="center" wrapText="1"/>
    </xf>
    <xf numFmtId="0" fontId="0" fillId="2" borderId="2" xfId="0" applyFill="1" applyBorder="1"/>
    <xf numFmtId="6" fontId="2" fillId="2" borderId="2" xfId="0" applyNumberFormat="1" applyFont="1" applyFill="1" applyBorder="1"/>
    <xf numFmtId="10" fontId="8" fillId="2" borderId="0" xfId="0" applyNumberFormat="1" applyFont="1" applyFill="1"/>
    <xf numFmtId="8" fontId="0" fillId="2" borderId="0" xfId="0" applyNumberFormat="1" applyFill="1"/>
    <xf numFmtId="6" fontId="0" fillId="2" borderId="0" xfId="0" applyNumberFormat="1" applyFill="1"/>
    <xf numFmtId="8" fontId="8" fillId="2" borderId="0" xfId="0" applyNumberFormat="1" applyFont="1" applyFill="1"/>
    <xf numFmtId="6" fontId="8" fillId="2" borderId="0" xfId="0" applyNumberFormat="1" applyFont="1" applyFill="1"/>
    <xf numFmtId="0" fontId="8" fillId="2" borderId="0" xfId="0" applyFont="1" applyFill="1"/>
    <xf numFmtId="176" fontId="0" fillId="2" borderId="0" xfId="0" applyNumberFormat="1" applyFill="1"/>
    <xf numFmtId="0" fontId="1" fillId="2" borderId="3" xfId="0" applyFont="1" applyFill="1" applyBorder="1" applyAlignment="1">
      <alignment horizontal="left" wrapText="1"/>
    </xf>
    <xf numFmtId="0" fontId="1" fillId="2" borderId="3" xfId="0" applyFont="1" applyFill="1" applyBorder="1" applyAlignment="1">
      <alignment horizontal="center" wrapText="1"/>
    </xf>
    <xf numFmtId="164" fontId="8" fillId="2" borderId="1" xfId="0" applyNumberFormat="1" applyFont="1" applyFill="1" applyBorder="1"/>
    <xf numFmtId="10" fontId="8" fillId="2" borderId="1" xfId="0" applyNumberFormat="1" applyFont="1" applyFill="1" applyBorder="1"/>
    <xf numFmtId="165" fontId="8" fillId="2" borderId="0" xfId="0" applyNumberFormat="1" applyFont="1" applyFill="1"/>
    <xf numFmtId="10" fontId="8" fillId="2" borderId="2" xfId="0" applyNumberFormat="1" applyFont="1" applyFill="1" applyBorder="1"/>
    <xf numFmtId="0" fontId="0" fillId="2" borderId="0" xfId="0" applyFill="1" applyProtection="1">
      <protection locked="0"/>
    </xf>
    <xf numFmtId="0" fontId="0" fillId="0" borderId="0" xfId="0" applyProtection="1">
      <protection locked="0"/>
    </xf>
    <xf numFmtId="0" fontId="0" fillId="2" borderId="0" xfId="0" applyFill="1" applyAlignment="1" applyProtection="1">
      <alignment horizontal="center"/>
      <protection locked="0"/>
    </xf>
    <xf numFmtId="167" fontId="0" fillId="2" borderId="0" xfId="0" applyNumberFormat="1" applyFill="1" applyAlignment="1" applyProtection="1">
      <alignment horizontal="center"/>
      <protection locked="0"/>
    </xf>
    <xf numFmtId="167" fontId="0" fillId="0" borderId="0" xfId="0" applyNumberForma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left"/>
      <protection locked="0"/>
    </xf>
    <xf numFmtId="166" fontId="0" fillId="2" borderId="0" xfId="0" applyNumberFormat="1" applyFill="1" applyAlignment="1" applyProtection="1">
      <alignment horizontal="center"/>
      <protection locked="0"/>
    </xf>
    <xf numFmtId="0" fontId="0" fillId="2" borderId="0" xfId="0" applyFill="1" applyAlignment="1" applyProtection="1">
      <alignment horizontal="right" indent="1"/>
      <protection locked="0"/>
    </xf>
    <xf numFmtId="0" fontId="1" fillId="2" borderId="0" xfId="0" applyFont="1" applyFill="1" applyAlignment="1" applyProtection="1">
      <alignment horizontal="left" indent="1"/>
      <protection locked="0"/>
    </xf>
    <xf numFmtId="38" fontId="0" fillId="2" borderId="0" xfId="0" applyNumberFormat="1" applyFill="1" applyAlignment="1" applyProtection="1">
      <alignment horizontal="left" indent="1"/>
      <protection locked="0"/>
    </xf>
    <xf numFmtId="0" fontId="0" fillId="2" borderId="0" xfId="0" applyFill="1" applyAlignment="1" applyProtection="1">
      <alignment horizontal="left" indent="1"/>
      <protection locked="0"/>
    </xf>
    <xf numFmtId="0" fontId="8" fillId="2" borderId="0" xfId="0" applyFont="1" applyFill="1" applyAlignment="1" applyProtection="1">
      <alignment horizontal="left" indent="1"/>
      <protection locked="0"/>
    </xf>
    <xf numFmtId="0" fontId="9" fillId="2" borderId="0" xfId="0" applyFont="1" applyFill="1" applyAlignment="1" applyProtection="1">
      <alignment horizontal="left"/>
      <protection locked="0"/>
    </xf>
    <xf numFmtId="0" fontId="8" fillId="2" borderId="0" xfId="0" applyFont="1" applyFill="1" applyProtection="1">
      <protection locked="0"/>
    </xf>
    <xf numFmtId="0" fontId="4" fillId="2" borderId="0" xfId="0" applyFont="1" applyFill="1" applyAlignment="1" applyProtection="1">
      <alignment horizontal="left"/>
      <protection locked="0"/>
    </xf>
    <xf numFmtId="0" fontId="11" fillId="2" borderId="0" xfId="0" applyFont="1" applyFill="1" applyAlignment="1" applyProtection="1">
      <alignment horizontal="left" indent="1"/>
      <protection locked="0"/>
    </xf>
    <xf numFmtId="3" fontId="11" fillId="0" borderId="0" xfId="0" applyNumberFormat="1" applyFont="1" applyAlignment="1" applyProtection="1">
      <alignment horizontal="center"/>
      <protection locked="0"/>
    </xf>
    <xf numFmtId="0" fontId="4" fillId="0" borderId="0" xfId="0" applyFont="1" applyProtection="1">
      <protection locked="0"/>
    </xf>
    <xf numFmtId="3" fontId="0" fillId="0" borderId="0" xfId="0" applyNumberFormat="1" applyAlignment="1" applyProtection="1">
      <alignment horizontal="center"/>
      <protection locked="0"/>
    </xf>
    <xf numFmtId="0" fontId="10" fillId="0" borderId="0" xfId="0" applyFont="1" applyProtection="1">
      <protection locked="0"/>
    </xf>
    <xf numFmtId="0" fontId="0" fillId="0" borderId="0" xfId="0" applyAlignment="1" applyProtection="1">
      <alignment horizontal="right"/>
      <protection locked="0"/>
    </xf>
    <xf numFmtId="0" fontId="1" fillId="2" borderId="0" xfId="0" applyFont="1" applyFill="1" applyProtection="1">
      <protection locked="0"/>
    </xf>
    <xf numFmtId="0" fontId="1" fillId="2" borderId="3" xfId="0" applyFont="1"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0" xfId="0" quotePrefix="1" applyFill="1" applyAlignment="1" applyProtection="1">
      <alignment horizontal="left" indent="1"/>
      <protection locked="0"/>
    </xf>
    <xf numFmtId="5" fontId="0" fillId="2" borderId="0" xfId="0" applyNumberFormat="1" applyFill="1" applyProtection="1">
      <protection locked="0"/>
    </xf>
    <xf numFmtId="5" fontId="0" fillId="0" borderId="0" xfId="0" applyNumberFormat="1" applyProtection="1">
      <protection locked="0"/>
    </xf>
    <xf numFmtId="5" fontId="15" fillId="2" borderId="0" xfId="0" applyNumberFormat="1" applyFont="1" applyFill="1" applyProtection="1">
      <protection locked="0"/>
    </xf>
    <xf numFmtId="164" fontId="2" fillId="2" borderId="0" xfId="0" applyNumberFormat="1" applyFont="1" applyFill="1" applyProtection="1">
      <protection locked="0"/>
    </xf>
    <xf numFmtId="5" fontId="8" fillId="2" borderId="0" xfId="0" applyNumberFormat="1" applyFont="1" applyFill="1" applyProtection="1">
      <protection locked="0"/>
    </xf>
    <xf numFmtId="10" fontId="8" fillId="2" borderId="0" xfId="0" applyNumberFormat="1" applyFont="1" applyFill="1" applyProtection="1">
      <protection locked="0"/>
    </xf>
    <xf numFmtId="0" fontId="1" fillId="2" borderId="0" xfId="0" applyFont="1" applyFill="1" applyAlignment="1" applyProtection="1">
      <alignment horizontal="left"/>
      <protection locked="0"/>
    </xf>
    <xf numFmtId="0" fontId="3" fillId="2" borderId="3" xfId="0" applyFont="1" applyFill="1" applyBorder="1" applyProtection="1">
      <protection locked="0"/>
    </xf>
    <xf numFmtId="0" fontId="0" fillId="0" borderId="0" xfId="0" applyAlignment="1" applyProtection="1">
      <alignment horizontal="left"/>
      <protection locked="0"/>
    </xf>
    <xf numFmtId="164" fontId="0" fillId="2" borderId="0" xfId="0" applyNumberFormat="1" applyFill="1" applyAlignment="1" applyProtection="1">
      <alignment horizontal="center"/>
      <protection locked="0"/>
    </xf>
    <xf numFmtId="0" fontId="8" fillId="0" borderId="0" xfId="0" applyFont="1" applyProtection="1">
      <protection locked="0"/>
    </xf>
    <xf numFmtId="165" fontId="8"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Protection="1">
      <protection locked="0"/>
    </xf>
    <xf numFmtId="169" fontId="0" fillId="0" borderId="0" xfId="0" applyNumberFormat="1" applyAlignment="1" applyProtection="1">
      <alignment horizontal="left"/>
      <protection locked="0"/>
    </xf>
    <xf numFmtId="10" fontId="0" fillId="0" borderId="0" xfId="0" applyNumberFormat="1" applyAlignment="1" applyProtection="1">
      <alignment horizontal="left"/>
      <protection locked="0"/>
    </xf>
    <xf numFmtId="0" fontId="0" fillId="0" borderId="0" xfId="0" applyAlignment="1">
      <alignment horizontal="center"/>
    </xf>
    <xf numFmtId="0" fontId="3" fillId="4" borderId="0" xfId="0" applyFont="1" applyFill="1" applyProtection="1">
      <protection locked="0"/>
    </xf>
    <xf numFmtId="0" fontId="0" fillId="4" borderId="0" xfId="0" applyFill="1" applyProtection="1">
      <protection locked="0"/>
    </xf>
    <xf numFmtId="0" fontId="0" fillId="4" borderId="3" xfId="0" applyFill="1" applyBorder="1" applyProtection="1">
      <protection locked="0"/>
    </xf>
    <xf numFmtId="0" fontId="3" fillId="4" borderId="3" xfId="0" applyFont="1" applyFill="1" applyBorder="1" applyProtection="1">
      <protection locked="0"/>
    </xf>
    <xf numFmtId="0" fontId="1" fillId="2" borderId="0" xfId="0" applyFont="1" applyFill="1" applyAlignment="1" applyProtection="1">
      <alignment horizontal="center" wrapText="1"/>
      <protection locked="0"/>
    </xf>
    <xf numFmtId="0" fontId="2" fillId="5" borderId="13" xfId="0" applyFont="1" applyFill="1" applyBorder="1" applyAlignment="1" applyProtection="1">
      <alignment horizontal="center"/>
      <protection locked="0"/>
    </xf>
    <xf numFmtId="0" fontId="0" fillId="4" borderId="0" xfId="0" applyFill="1" applyAlignment="1" applyProtection="1">
      <alignment horizontal="right"/>
      <protection locked="0"/>
    </xf>
    <xf numFmtId="0" fontId="0" fillId="4" borderId="0" xfId="0" applyFill="1" applyAlignment="1" applyProtection="1">
      <alignment horizontal="left"/>
      <protection locked="0"/>
    </xf>
    <xf numFmtId="181" fontId="0" fillId="4" borderId="0" xfId="0" applyNumberFormat="1" applyFill="1" applyProtection="1">
      <protection locked="0"/>
    </xf>
    <xf numFmtId="0" fontId="0" fillId="2" borderId="0" xfId="0" applyFill="1" applyAlignment="1" applyProtection="1">
      <alignment horizontal="right"/>
      <protection locked="0"/>
    </xf>
    <xf numFmtId="0" fontId="0" fillId="0" borderId="0" xfId="0" applyAlignment="1">
      <alignment horizontal="right"/>
    </xf>
    <xf numFmtId="0" fontId="0" fillId="0" borderId="3" xfId="0" applyBorder="1" applyAlignment="1">
      <alignment horizontal="right"/>
    </xf>
    <xf numFmtId="0" fontId="0" fillId="0" borderId="0" xfId="0" quotePrefix="1" applyProtection="1">
      <protection locked="0"/>
    </xf>
    <xf numFmtId="0" fontId="2" fillId="5" borderId="14" xfId="0" applyFont="1" applyFill="1" applyBorder="1" applyAlignment="1" applyProtection="1">
      <alignment horizontal="center"/>
      <protection locked="0"/>
    </xf>
    <xf numFmtId="0" fontId="8" fillId="4" borderId="0" xfId="0" applyFont="1" applyFill="1" applyProtection="1">
      <protection locked="0"/>
    </xf>
    <xf numFmtId="0" fontId="8" fillId="2" borderId="3" xfId="0" applyFont="1" applyFill="1" applyBorder="1" applyAlignment="1" applyProtection="1">
      <alignment horizontal="center"/>
      <protection locked="0"/>
    </xf>
    <xf numFmtId="0" fontId="15" fillId="2" borderId="0" xfId="0" applyFont="1" applyFill="1" applyProtection="1">
      <protection locked="0"/>
    </xf>
    <xf numFmtId="164" fontId="8" fillId="2" borderId="0" xfId="0" applyNumberFormat="1" applyFont="1" applyFill="1" applyProtection="1">
      <protection locked="0"/>
    </xf>
    <xf numFmtId="185" fontId="8" fillId="2" borderId="0" xfId="0" applyNumberFormat="1" applyFont="1" applyFill="1" applyProtection="1">
      <protection locked="0"/>
    </xf>
    <xf numFmtId="186" fontId="8" fillId="2" borderId="0" xfId="0" applyNumberFormat="1" applyFont="1" applyFill="1" applyProtection="1">
      <protection locked="0"/>
    </xf>
    <xf numFmtId="187" fontId="8" fillId="2" borderId="0" xfId="0" applyNumberFormat="1" applyFont="1" applyFill="1" applyProtection="1">
      <protection locked="0"/>
    </xf>
    <xf numFmtId="16" fontId="2" fillId="5" borderId="13" xfId="0" applyNumberFormat="1" applyFont="1" applyFill="1" applyBorder="1" applyAlignment="1" applyProtection="1">
      <alignment horizontal="center"/>
      <protection locked="0"/>
    </xf>
    <xf numFmtId="41" fontId="8" fillId="2" borderId="0" xfId="0" applyNumberFormat="1" applyFont="1" applyFill="1" applyAlignment="1" applyProtection="1">
      <alignment horizontal="center"/>
      <protection locked="0"/>
    </xf>
    <xf numFmtId="10" fontId="8" fillId="2" borderId="0" xfId="0" applyNumberFormat="1" applyFont="1" applyFill="1" applyAlignment="1" applyProtection="1">
      <alignment horizontal="right"/>
      <protection locked="0"/>
    </xf>
    <xf numFmtId="10" fontId="0" fillId="2" borderId="0" xfId="0" applyNumberFormat="1" applyFill="1" applyAlignment="1" applyProtection="1">
      <alignment horizontal="right"/>
      <protection locked="0"/>
    </xf>
    <xf numFmtId="41" fontId="8" fillId="2" borderId="0" xfId="0" applyNumberFormat="1" applyFont="1" applyFill="1" applyAlignment="1" applyProtection="1">
      <alignment horizontal="right"/>
      <protection locked="0"/>
    </xf>
    <xf numFmtId="41" fontId="0" fillId="2" borderId="0" xfId="0" applyNumberFormat="1" applyFill="1" applyAlignment="1" applyProtection="1">
      <alignment horizontal="right"/>
      <protection locked="0"/>
    </xf>
    <xf numFmtId="169" fontId="8" fillId="2" borderId="0" xfId="0" applyNumberFormat="1" applyFont="1" applyFill="1" applyAlignment="1" applyProtection="1">
      <alignment horizontal="right"/>
      <protection locked="0"/>
    </xf>
    <xf numFmtId="169" fontId="0" fillId="2" borderId="0" xfId="0" applyNumberFormat="1" applyFill="1" applyAlignment="1" applyProtection="1">
      <alignment horizontal="right"/>
      <protection locked="0"/>
    </xf>
    <xf numFmtId="41" fontId="15" fillId="2" borderId="0" xfId="0" applyNumberFormat="1" applyFont="1" applyFill="1" applyAlignment="1" applyProtection="1">
      <alignment horizontal="right"/>
      <protection locked="0"/>
    </xf>
    <xf numFmtId="0" fontId="3" fillId="2" borderId="0" xfId="0" applyFont="1" applyFill="1" applyAlignment="1" applyProtection="1">
      <alignment horizontal="right"/>
      <protection locked="0"/>
    </xf>
    <xf numFmtId="41" fontId="2" fillId="2" borderId="0" xfId="0" applyNumberFormat="1" applyFont="1" applyFill="1" applyAlignment="1" applyProtection="1">
      <alignment horizontal="right"/>
      <protection locked="0"/>
    </xf>
    <xf numFmtId="10" fontId="2" fillId="2" borderId="0" xfId="0" applyNumberFormat="1" applyFont="1" applyFill="1" applyAlignment="1" applyProtection="1">
      <alignment horizontal="right"/>
      <protection locked="0"/>
    </xf>
    <xf numFmtId="171" fontId="2" fillId="2" borderId="0" xfId="0" applyNumberFormat="1" applyFont="1" applyFill="1" applyAlignment="1" applyProtection="1">
      <alignment horizontal="right"/>
      <protection locked="0"/>
    </xf>
    <xf numFmtId="170" fontId="2" fillId="2" borderId="0" xfId="0" applyNumberFormat="1" applyFont="1" applyFill="1" applyAlignment="1" applyProtection="1">
      <alignment horizontal="right"/>
      <protection locked="0"/>
    </xf>
    <xf numFmtId="165" fontId="2" fillId="2" borderId="0" xfId="0" applyNumberFormat="1" applyFont="1" applyFill="1" applyAlignment="1" applyProtection="1">
      <alignment horizontal="right"/>
      <protection locked="0"/>
    </xf>
    <xf numFmtId="0" fontId="2" fillId="2" borderId="0" xfId="0" applyFont="1" applyFill="1" applyAlignment="1" applyProtection="1">
      <alignment horizontal="right"/>
      <protection locked="0"/>
    </xf>
    <xf numFmtId="164" fontId="2" fillId="2" borderId="0" xfId="0" applyNumberFormat="1" applyFont="1" applyFill="1" applyAlignment="1" applyProtection="1">
      <alignment horizontal="right"/>
      <protection locked="0"/>
    </xf>
    <xf numFmtId="166" fontId="2" fillId="2" borderId="0" xfId="0" applyNumberFormat="1" applyFont="1" applyFill="1" applyAlignment="1" applyProtection="1">
      <alignment horizontal="right"/>
      <protection locked="0"/>
    </xf>
    <xf numFmtId="167" fontId="2" fillId="2" borderId="0" xfId="0" applyNumberFormat="1" applyFont="1" applyFill="1" applyAlignment="1" applyProtection="1">
      <alignment horizontal="right"/>
      <protection locked="0"/>
    </xf>
    <xf numFmtId="168" fontId="2" fillId="2" borderId="0" xfId="0" applyNumberFormat="1" applyFont="1" applyFill="1" applyAlignment="1" applyProtection="1">
      <alignment horizontal="right"/>
      <protection locked="0"/>
    </xf>
    <xf numFmtId="6" fontId="2" fillId="2" borderId="0" xfId="0" applyNumberFormat="1" applyFont="1" applyFill="1" applyAlignment="1" applyProtection="1">
      <alignment horizontal="right"/>
      <protection locked="0"/>
    </xf>
    <xf numFmtId="184" fontId="2" fillId="2" borderId="0" xfId="0" applyNumberFormat="1" applyFont="1" applyFill="1" applyAlignment="1" applyProtection="1">
      <alignment horizontal="right"/>
      <protection locked="0"/>
    </xf>
    <xf numFmtId="0" fontId="1" fillId="2" borderId="0" xfId="0" applyFont="1" applyFill="1" applyAlignment="1" applyProtection="1">
      <alignment horizontal="right"/>
      <protection locked="0"/>
    </xf>
    <xf numFmtId="0" fontId="1" fillId="2" borderId="0" xfId="0" applyFont="1" applyFill="1" applyAlignment="1" applyProtection="1">
      <alignment horizontal="right" wrapText="1"/>
      <protection locked="0"/>
    </xf>
    <xf numFmtId="0" fontId="1" fillId="2" borderId="12" xfId="0" applyFont="1" applyFill="1" applyBorder="1" applyAlignment="1" applyProtection="1">
      <alignment horizontal="right" wrapText="1"/>
      <protection locked="0"/>
    </xf>
    <xf numFmtId="0" fontId="1" fillId="2" borderId="3" xfId="0" applyFont="1" applyFill="1" applyBorder="1" applyAlignment="1" applyProtection="1">
      <alignment horizontal="right" wrapText="1"/>
      <protection locked="0"/>
    </xf>
    <xf numFmtId="181" fontId="2" fillId="5" borderId="13" xfId="0" applyNumberFormat="1" applyFont="1" applyFill="1" applyBorder="1" applyAlignment="1" applyProtection="1">
      <alignment horizontal="right"/>
      <protection locked="0"/>
    </xf>
    <xf numFmtId="180" fontId="2" fillId="5" borderId="13" xfId="0" applyNumberFormat="1" applyFont="1" applyFill="1" applyBorder="1" applyAlignment="1" applyProtection="1">
      <alignment horizontal="right"/>
      <protection locked="0"/>
    </xf>
    <xf numFmtId="41" fontId="2" fillId="5" borderId="13" xfId="0" applyNumberFormat="1" applyFont="1" applyFill="1" applyBorder="1" applyAlignment="1" applyProtection="1">
      <alignment horizontal="right"/>
      <protection locked="0"/>
    </xf>
    <xf numFmtId="188" fontId="2" fillId="5" borderId="13" xfId="0" applyNumberFormat="1" applyFont="1" applyFill="1" applyBorder="1" applyAlignment="1" applyProtection="1">
      <alignment horizontal="right"/>
      <protection locked="0"/>
    </xf>
    <xf numFmtId="179" fontId="2" fillId="5" borderId="13" xfId="0" applyNumberFormat="1" applyFont="1" applyFill="1" applyBorder="1" applyAlignment="1" applyProtection="1">
      <alignment horizontal="right"/>
      <protection locked="0"/>
    </xf>
    <xf numFmtId="6" fontId="2" fillId="5" borderId="13" xfId="0" applyNumberFormat="1" applyFont="1" applyFill="1" applyBorder="1" applyAlignment="1" applyProtection="1">
      <alignment horizontal="right"/>
      <protection locked="0"/>
    </xf>
    <xf numFmtId="178" fontId="2" fillId="5" borderId="13" xfId="0" applyNumberFormat="1" applyFont="1" applyFill="1" applyBorder="1" applyAlignment="1" applyProtection="1">
      <alignment horizontal="right"/>
      <protection locked="0"/>
    </xf>
    <xf numFmtId="177" fontId="2" fillId="5" borderId="13" xfId="0" applyNumberFormat="1" applyFont="1" applyFill="1" applyBorder="1" applyAlignment="1" applyProtection="1">
      <alignment horizontal="right"/>
      <protection locked="0"/>
    </xf>
    <xf numFmtId="164" fontId="2" fillId="5" borderId="13" xfId="0" applyNumberFormat="1" applyFont="1" applyFill="1" applyBorder="1" applyAlignment="1" applyProtection="1">
      <alignment horizontal="right"/>
      <protection locked="0"/>
    </xf>
    <xf numFmtId="183" fontId="0" fillId="2" borderId="0" xfId="0" applyNumberFormat="1" applyFill="1" applyAlignment="1" applyProtection="1">
      <alignment horizontal="right"/>
      <protection locked="0"/>
    </xf>
    <xf numFmtId="182" fontId="0" fillId="2" borderId="0" xfId="0" applyNumberFormat="1" applyFill="1" applyAlignment="1" applyProtection="1">
      <alignment horizontal="right"/>
      <protection locked="0"/>
    </xf>
    <xf numFmtId="181" fontId="2" fillId="5" borderId="14" xfId="0" applyNumberFormat="1" applyFont="1" applyFill="1" applyBorder="1" applyAlignment="1" applyProtection="1">
      <alignment horizontal="right"/>
      <protection locked="0"/>
    </xf>
    <xf numFmtId="180" fontId="2" fillId="5" borderId="14" xfId="0" applyNumberFormat="1" applyFont="1" applyFill="1" applyBorder="1" applyAlignment="1" applyProtection="1">
      <alignment horizontal="right"/>
      <protection locked="0"/>
    </xf>
    <xf numFmtId="41" fontId="2" fillId="5" borderId="14" xfId="0" applyNumberFormat="1" applyFont="1" applyFill="1" applyBorder="1" applyAlignment="1" applyProtection="1">
      <alignment horizontal="right"/>
      <protection locked="0"/>
    </xf>
    <xf numFmtId="188" fontId="2" fillId="5" borderId="14" xfId="0" applyNumberFormat="1" applyFont="1" applyFill="1" applyBorder="1" applyAlignment="1" applyProtection="1">
      <alignment horizontal="right"/>
      <protection locked="0"/>
    </xf>
    <xf numFmtId="179" fontId="2" fillId="5" borderId="14" xfId="0" applyNumberFormat="1" applyFont="1" applyFill="1" applyBorder="1" applyAlignment="1" applyProtection="1">
      <alignment horizontal="right"/>
      <protection locked="0"/>
    </xf>
    <xf numFmtId="6" fontId="2" fillId="5" borderId="14" xfId="0" applyNumberFormat="1" applyFont="1" applyFill="1" applyBorder="1" applyAlignment="1" applyProtection="1">
      <alignment horizontal="right"/>
      <protection locked="0"/>
    </xf>
    <xf numFmtId="178" fontId="2" fillId="5" borderId="14" xfId="0" applyNumberFormat="1" applyFont="1" applyFill="1" applyBorder="1" applyAlignment="1" applyProtection="1">
      <alignment horizontal="right"/>
      <protection locked="0"/>
    </xf>
    <xf numFmtId="177" fontId="2" fillId="5" borderId="14" xfId="0" applyNumberFormat="1" applyFont="1" applyFill="1" applyBorder="1" applyAlignment="1" applyProtection="1">
      <alignment horizontal="right"/>
      <protection locked="0"/>
    </xf>
    <xf numFmtId="164" fontId="2" fillId="5" borderId="14" xfId="0" applyNumberFormat="1" applyFont="1" applyFill="1" applyBorder="1" applyAlignment="1" applyProtection="1">
      <alignment horizontal="right"/>
      <protection locked="0"/>
    </xf>
    <xf numFmtId="183" fontId="0" fillId="2" borderId="3" xfId="0" applyNumberFormat="1" applyFill="1" applyBorder="1" applyAlignment="1" applyProtection="1">
      <alignment horizontal="right"/>
      <protection locked="0"/>
    </xf>
    <xf numFmtId="182" fontId="0" fillId="2" borderId="3" xfId="0" applyNumberFormat="1" applyFill="1" applyBorder="1" applyAlignment="1" applyProtection="1">
      <alignment horizontal="right"/>
      <protection locked="0"/>
    </xf>
    <xf numFmtId="41" fontId="0" fillId="2" borderId="3" xfId="0" applyNumberFormat="1" applyFill="1" applyBorder="1" applyAlignment="1" applyProtection="1">
      <alignment horizontal="right"/>
      <protection locked="0"/>
    </xf>
    <xf numFmtId="41" fontId="0" fillId="0" borderId="0" xfId="0" applyNumberFormat="1" applyAlignment="1">
      <alignment horizontal="right"/>
    </xf>
    <xf numFmtId="41" fontId="0" fillId="2" borderId="0" xfId="0" applyNumberFormat="1" applyFill="1" applyProtection="1">
      <protection locked="0"/>
    </xf>
    <xf numFmtId="0" fontId="0" fillId="2" borderId="3" xfId="0" applyFill="1" applyBorder="1" applyAlignment="1" applyProtection="1">
      <alignment horizontal="right" wrapText="1"/>
      <protection locked="0"/>
    </xf>
    <xf numFmtId="167" fontId="0" fillId="2" borderId="0" xfId="0" applyNumberFormat="1" applyFill="1" applyAlignment="1" applyProtection="1">
      <alignment horizontal="right"/>
      <protection locked="0"/>
    </xf>
    <xf numFmtId="41" fontId="19" fillId="2" borderId="0" xfId="0" applyNumberFormat="1" applyFont="1" applyFill="1" applyAlignment="1" applyProtection="1">
      <alignment horizontal="right"/>
      <protection locked="0"/>
    </xf>
    <xf numFmtId="5" fontId="0" fillId="0" borderId="0" xfId="0" applyNumberFormat="1" applyAlignment="1" applyProtection="1">
      <alignment horizontal="right"/>
      <protection locked="0"/>
    </xf>
    <xf numFmtId="5" fontId="0" fillId="2" borderId="0" xfId="0" applyNumberFormat="1" applyFill="1" applyAlignment="1" applyProtection="1">
      <alignment horizontal="right"/>
      <protection locked="0"/>
    </xf>
    <xf numFmtId="41" fontId="20" fillId="2" borderId="0" xfId="0" applyNumberFormat="1" applyFont="1" applyFill="1" applyAlignment="1" applyProtection="1">
      <alignment horizontal="right"/>
      <protection locked="0"/>
    </xf>
    <xf numFmtId="166" fontId="0" fillId="2" borderId="0" xfId="0" applyNumberFormat="1" applyFill="1" applyAlignment="1" applyProtection="1">
      <alignment horizontal="right"/>
      <protection locked="0"/>
    </xf>
    <xf numFmtId="38" fontId="2" fillId="2" borderId="0" xfId="0" applyNumberFormat="1" applyFont="1" applyFill="1" applyAlignment="1" applyProtection="1">
      <alignment horizontal="right"/>
      <protection locked="0"/>
    </xf>
    <xf numFmtId="38" fontId="8" fillId="2" borderId="0" xfId="0" applyNumberFormat="1" applyFont="1" applyFill="1" applyAlignment="1" applyProtection="1">
      <alignment horizontal="right"/>
      <protection locked="0"/>
    </xf>
    <xf numFmtId="38" fontId="9" fillId="2" borderId="0" xfId="0" applyNumberFormat="1" applyFont="1" applyFill="1" applyAlignment="1" applyProtection="1">
      <alignment horizontal="right"/>
      <protection locked="0"/>
    </xf>
    <xf numFmtId="167" fontId="0" fillId="0" borderId="0" xfId="0" applyNumberFormat="1" applyAlignment="1" applyProtection="1">
      <alignment horizontal="right"/>
      <protection locked="0"/>
    </xf>
    <xf numFmtId="10" fontId="0" fillId="0" borderId="0" xfId="0" applyNumberFormat="1" applyAlignment="1" applyProtection="1">
      <alignment horizontal="right"/>
      <protection locked="0"/>
    </xf>
    <xf numFmtId="38" fontId="8" fillId="0" borderId="0" xfId="0" applyNumberFormat="1" applyFont="1" applyAlignment="1" applyProtection="1">
      <alignment horizontal="right"/>
      <protection locked="0"/>
    </xf>
    <xf numFmtId="38" fontId="0" fillId="0" borderId="0" xfId="0" applyNumberFormat="1" applyAlignment="1" applyProtection="1">
      <alignment horizontal="right"/>
      <protection locked="0"/>
    </xf>
    <xf numFmtId="41" fontId="11" fillId="2" borderId="0" xfId="0" applyNumberFormat="1" applyFont="1" applyFill="1" applyAlignment="1" applyProtection="1">
      <alignment horizontal="right"/>
      <protection locked="0"/>
    </xf>
    <xf numFmtId="41" fontId="21" fillId="2" borderId="0" xfId="0" applyNumberFormat="1" applyFont="1" applyFill="1" applyAlignment="1" applyProtection="1">
      <alignment horizontal="right"/>
      <protection locked="0"/>
    </xf>
    <xf numFmtId="41" fontId="0" fillId="0" borderId="0" xfId="0" applyNumberFormat="1" applyAlignment="1" applyProtection="1">
      <alignment horizontal="right"/>
      <protection locked="0"/>
    </xf>
    <xf numFmtId="41" fontId="8" fillId="2" borderId="0" xfId="0" applyNumberFormat="1" applyFont="1" applyFill="1" applyProtection="1">
      <protection locked="0"/>
    </xf>
    <xf numFmtId="181" fontId="0" fillId="2" borderId="0" xfId="0" applyNumberFormat="1" applyFill="1" applyAlignment="1" applyProtection="1">
      <alignment horizontal="right"/>
      <protection locked="0"/>
    </xf>
    <xf numFmtId="15" fontId="0" fillId="0" borderId="3" xfId="0" applyNumberFormat="1" applyBorder="1" applyAlignment="1">
      <alignment horizontal="right"/>
    </xf>
    <xf numFmtId="181" fontId="8" fillId="2" borderId="13" xfId="0" applyNumberFormat="1" applyFont="1" applyFill="1" applyBorder="1" applyAlignment="1" applyProtection="1">
      <alignment horizontal="right"/>
      <protection locked="0"/>
    </xf>
    <xf numFmtId="180" fontId="8" fillId="2" borderId="13" xfId="0" applyNumberFormat="1" applyFont="1" applyFill="1" applyBorder="1" applyAlignment="1" applyProtection="1">
      <alignment horizontal="right"/>
      <protection locked="0"/>
    </xf>
    <xf numFmtId="176" fontId="8" fillId="2" borderId="13" xfId="0" applyNumberFormat="1" applyFont="1" applyFill="1" applyBorder="1" applyAlignment="1" applyProtection="1">
      <alignment horizontal="right"/>
      <protection locked="0"/>
    </xf>
    <xf numFmtId="41" fontId="8" fillId="2" borderId="13" xfId="0" applyNumberFormat="1" applyFont="1" applyFill="1" applyBorder="1" applyAlignment="1" applyProtection="1">
      <alignment horizontal="right"/>
      <protection locked="0"/>
    </xf>
    <xf numFmtId="188" fontId="8" fillId="2" borderId="13" xfId="0" applyNumberFormat="1" applyFont="1" applyFill="1" applyBorder="1" applyAlignment="1" applyProtection="1">
      <alignment horizontal="right"/>
      <protection locked="0"/>
    </xf>
    <xf numFmtId="179" fontId="8" fillId="2" borderId="13" xfId="0" applyNumberFormat="1" applyFont="1" applyFill="1" applyBorder="1" applyAlignment="1" applyProtection="1">
      <alignment horizontal="right"/>
      <protection locked="0"/>
    </xf>
    <xf numFmtId="178" fontId="8" fillId="2" borderId="13" xfId="0" applyNumberFormat="1" applyFont="1" applyFill="1" applyBorder="1" applyAlignment="1" applyProtection="1">
      <alignment horizontal="right"/>
      <protection locked="0"/>
    </xf>
    <xf numFmtId="177" fontId="8" fillId="2" borderId="13" xfId="0" applyNumberFormat="1" applyFont="1" applyFill="1" applyBorder="1" applyAlignment="1" applyProtection="1">
      <alignment horizontal="right"/>
      <protection locked="0"/>
    </xf>
    <xf numFmtId="164" fontId="8" fillId="2" borderId="13" xfId="0" applyNumberFormat="1" applyFont="1" applyFill="1" applyBorder="1" applyAlignment="1" applyProtection="1">
      <alignment horizontal="right"/>
      <protection locked="0"/>
    </xf>
    <xf numFmtId="183" fontId="8" fillId="2" borderId="0" xfId="0" applyNumberFormat="1" applyFont="1" applyFill="1" applyAlignment="1" applyProtection="1">
      <alignment horizontal="right"/>
      <protection locked="0"/>
    </xf>
    <xf numFmtId="182" fontId="8" fillId="2" borderId="0" xfId="0" applyNumberFormat="1" applyFont="1" applyFill="1" applyAlignment="1" applyProtection="1">
      <alignment horizontal="right"/>
      <protection locked="0"/>
    </xf>
    <xf numFmtId="8" fontId="0" fillId="0" borderId="0" xfId="0" applyNumberFormat="1" applyAlignment="1">
      <alignment horizontal="right"/>
    </xf>
    <xf numFmtId="0" fontId="1" fillId="2" borderId="0" xfId="0" applyFont="1" applyFill="1" applyAlignment="1" applyProtection="1">
      <alignment horizontal="left" wrapText="1"/>
      <protection locked="0"/>
    </xf>
    <xf numFmtId="0" fontId="8" fillId="2" borderId="13" xfId="0" applyFont="1" applyFill="1" applyBorder="1" applyAlignment="1" applyProtection="1">
      <alignment horizontal="left"/>
      <protection locked="0"/>
    </xf>
    <xf numFmtId="0" fontId="0" fillId="0" borderId="0" xfId="0" applyAlignment="1">
      <alignment horizontal="left"/>
    </xf>
    <xf numFmtId="0" fontId="0" fillId="2" borderId="3" xfId="0" applyFill="1" applyBorder="1"/>
    <xf numFmtId="41" fontId="2" fillId="6" borderId="0" xfId="0" applyNumberFormat="1" applyFont="1" applyFill="1" applyAlignment="1" applyProtection="1">
      <alignment horizontal="right"/>
      <protection locked="0"/>
    </xf>
    <xf numFmtId="0" fontId="1" fillId="0" borderId="0" xfId="0" applyFont="1" applyAlignment="1" applyProtection="1">
      <alignment horizontal="left" indent="1"/>
      <protection locked="0"/>
    </xf>
    <xf numFmtId="0" fontId="1" fillId="0" borderId="0" xfId="0" applyFont="1" applyAlignment="1" applyProtection="1">
      <alignment horizontal="right"/>
      <protection locked="0"/>
    </xf>
    <xf numFmtId="174" fontId="8" fillId="0" borderId="0" xfId="0" applyNumberFormat="1" applyFont="1" applyAlignment="1" applyProtection="1">
      <alignment horizontal="left"/>
      <protection locked="0"/>
    </xf>
    <xf numFmtId="9" fontId="2" fillId="0" borderId="0" xfId="0" applyNumberFormat="1" applyFont="1" applyAlignment="1" applyProtection="1">
      <alignment horizontal="right"/>
      <protection locked="0"/>
    </xf>
    <xf numFmtId="9" fontId="8" fillId="0" borderId="0" xfId="0" applyNumberFormat="1" applyFont="1" applyAlignment="1" applyProtection="1">
      <alignment horizontal="right"/>
      <protection locked="0"/>
    </xf>
    <xf numFmtId="172" fontId="2" fillId="0" borderId="0" xfId="0" applyNumberFormat="1" applyFont="1" applyProtection="1">
      <protection locked="0"/>
    </xf>
    <xf numFmtId="173" fontId="8" fillId="0" borderId="0" xfId="0" applyNumberFormat="1" applyFont="1" applyAlignment="1" applyProtection="1">
      <alignment horizontal="left"/>
      <protection locked="0"/>
    </xf>
    <xf numFmtId="164" fontId="25" fillId="2" borderId="0" xfId="0" applyNumberFormat="1" applyFont="1" applyFill="1" applyAlignment="1" applyProtection="1">
      <alignment horizontal="center"/>
      <protection locked="0"/>
    </xf>
    <xf numFmtId="0" fontId="14" fillId="2" borderId="0" xfId="0" applyFont="1" applyFill="1"/>
    <xf numFmtId="0" fontId="13" fillId="2" borderId="0" xfId="0" applyFont="1" applyFill="1"/>
    <xf numFmtId="0" fontId="13" fillId="2" borderId="0" xfId="0" applyFont="1" applyFill="1" applyAlignment="1">
      <alignment horizontal="right"/>
    </xf>
    <xf numFmtId="0" fontId="2" fillId="2" borderId="0" xfId="0" applyFont="1" applyFill="1" applyAlignment="1">
      <alignment horizontal="right"/>
    </xf>
    <xf numFmtId="0" fontId="8" fillId="2" borderId="0" xfId="0" applyFont="1" applyFill="1" applyAlignment="1">
      <alignment horizontal="right"/>
    </xf>
    <xf numFmtId="0" fontId="0" fillId="2" borderId="0" xfId="0" applyFill="1" applyAlignment="1">
      <alignment horizontal="right"/>
    </xf>
    <xf numFmtId="0" fontId="1" fillId="2" borderId="0" xfId="0" applyFont="1" applyFill="1" applyAlignment="1">
      <alignment horizontal="right"/>
    </xf>
    <xf numFmtId="0" fontId="3" fillId="2" borderId="0" xfId="0" applyFont="1" applyFill="1" applyAlignment="1">
      <alignment horizontal="right"/>
    </xf>
    <xf numFmtId="164" fontId="2" fillId="2" borderId="0" xfId="0" applyNumberFormat="1" applyFont="1" applyFill="1" applyAlignment="1">
      <alignment horizontal="right"/>
    </xf>
    <xf numFmtId="3" fontId="8" fillId="2" borderId="0" xfId="0" applyNumberFormat="1" applyFont="1" applyFill="1" applyAlignment="1">
      <alignment horizontal="right"/>
    </xf>
    <xf numFmtId="9" fontId="2" fillId="2" borderId="0" xfId="0" applyNumberFormat="1" applyFont="1" applyFill="1" applyAlignment="1">
      <alignment horizontal="right"/>
    </xf>
    <xf numFmtId="0" fontId="23" fillId="2" borderId="26" xfId="0" applyFont="1" applyFill="1" applyBorder="1" applyAlignment="1">
      <alignment horizontal="right" vertical="center"/>
    </xf>
    <xf numFmtId="0" fontId="24" fillId="2" borderId="25" xfId="0" applyFont="1" applyFill="1" applyBorder="1" applyAlignment="1">
      <alignment horizontal="right" vertical="center"/>
    </xf>
    <xf numFmtId="164" fontId="0" fillId="2" borderId="0" xfId="0" applyNumberFormat="1" applyFill="1" applyAlignment="1">
      <alignment horizontal="right"/>
    </xf>
    <xf numFmtId="3" fontId="20" fillId="2" borderId="0" xfId="0" applyNumberFormat="1" applyFont="1" applyFill="1" applyAlignment="1">
      <alignment horizontal="right"/>
    </xf>
    <xf numFmtId="0" fontId="23" fillId="2" borderId="24" xfId="0" applyFont="1" applyFill="1" applyBorder="1" applyAlignment="1">
      <alignment horizontal="right" vertical="center"/>
    </xf>
    <xf numFmtId="191" fontId="23" fillId="2" borderId="23" xfId="0" applyNumberFormat="1" applyFont="1" applyFill="1" applyBorder="1" applyAlignment="1">
      <alignment horizontal="right" vertical="center"/>
    </xf>
    <xf numFmtId="164" fontId="0" fillId="2" borderId="0" xfId="0" applyNumberFormat="1" applyFill="1" applyAlignment="1">
      <alignment horizontal="center"/>
    </xf>
    <xf numFmtId="0" fontId="23" fillId="2" borderId="22" xfId="0" applyFont="1" applyFill="1" applyBorder="1" applyAlignment="1">
      <alignment horizontal="right" vertical="center"/>
    </xf>
    <xf numFmtId="191" fontId="23" fillId="2" borderId="21" xfId="0" applyNumberFormat="1" applyFont="1" applyFill="1" applyBorder="1" applyAlignment="1">
      <alignment horizontal="right" vertical="center"/>
    </xf>
    <xf numFmtId="6" fontId="8" fillId="2" borderId="0" xfId="0" applyNumberFormat="1" applyFont="1" applyFill="1" applyAlignment="1">
      <alignment horizontal="right"/>
    </xf>
    <xf numFmtId="0" fontId="0" fillId="2" borderId="15" xfId="0" applyFill="1" applyBorder="1" applyAlignment="1">
      <alignment horizontal="right"/>
    </xf>
    <xf numFmtId="0" fontId="3" fillId="2" borderId="3" xfId="0" applyFont="1" applyFill="1" applyBorder="1"/>
    <xf numFmtId="0" fontId="0" fillId="2" borderId="3" xfId="0" applyFill="1" applyBorder="1" applyAlignment="1">
      <alignment horizontal="right"/>
    </xf>
    <xf numFmtId="0" fontId="1" fillId="2" borderId="3" xfId="0" applyFont="1" applyFill="1" applyBorder="1" applyAlignment="1">
      <alignment horizontal="right"/>
    </xf>
    <xf numFmtId="0" fontId="1" fillId="2" borderId="19" xfId="0" applyFont="1" applyFill="1" applyBorder="1" applyAlignment="1">
      <alignment horizontal="right"/>
    </xf>
    <xf numFmtId="0" fontId="18" fillId="2" borderId="0" xfId="0" applyFont="1" applyFill="1" applyAlignment="1">
      <alignment horizontal="center"/>
    </xf>
    <xf numFmtId="0" fontId="18" fillId="2" borderId="0" xfId="0" applyFont="1" applyFill="1" applyAlignment="1">
      <alignment horizontal="right"/>
    </xf>
    <xf numFmtId="174" fontId="8" fillId="2" borderId="0" xfId="0" applyNumberFormat="1" applyFont="1" applyFill="1" applyAlignment="1">
      <alignment horizontal="left"/>
    </xf>
    <xf numFmtId="164" fontId="19" fillId="2" borderId="16" xfId="0" applyNumberFormat="1" applyFont="1" applyFill="1" applyBorder="1" applyAlignment="1">
      <alignment horizontal="right"/>
    </xf>
    <xf numFmtId="190" fontId="2" fillId="2" borderId="0" xfId="0" applyNumberFormat="1" applyFont="1" applyFill="1" applyAlignment="1">
      <alignment horizontal="right"/>
    </xf>
    <xf numFmtId="172" fontId="2" fillId="2" borderId="0" xfId="0" applyNumberFormat="1" applyFont="1" applyFill="1" applyAlignment="1" applyProtection="1">
      <alignment horizontal="right"/>
      <protection locked="0"/>
    </xf>
    <xf numFmtId="173" fontId="8" fillId="2" borderId="0" xfId="0" applyNumberFormat="1" applyFont="1" applyFill="1" applyAlignment="1">
      <alignment horizontal="left"/>
    </xf>
    <xf numFmtId="164" fontId="0" fillId="2" borderId="16" xfId="0" applyNumberFormat="1" applyFill="1" applyBorder="1" applyAlignment="1">
      <alignment horizontal="right"/>
    </xf>
    <xf numFmtId="164" fontId="8" fillId="2" borderId="0" xfId="0" applyNumberFormat="1" applyFont="1" applyFill="1" applyAlignment="1">
      <alignment horizontal="right"/>
    </xf>
    <xf numFmtId="172" fontId="2" fillId="2" borderId="0" xfId="0" applyNumberFormat="1" applyFont="1" applyFill="1"/>
    <xf numFmtId="9" fontId="8" fillId="2" borderId="0" xfId="0" applyNumberFormat="1" applyFont="1" applyFill="1" applyAlignment="1">
      <alignment horizontal="right"/>
    </xf>
    <xf numFmtId="10" fontId="0" fillId="2" borderId="0" xfId="0" applyNumberFormat="1" applyFill="1" applyAlignment="1">
      <alignment horizontal="right"/>
    </xf>
    <xf numFmtId="172" fontId="2" fillId="2" borderId="3" xfId="0" applyNumberFormat="1" applyFont="1" applyFill="1" applyBorder="1"/>
    <xf numFmtId="173" fontId="8" fillId="2" borderId="3" xfId="0" applyNumberFormat="1" applyFont="1" applyFill="1" applyBorder="1" applyAlignment="1">
      <alignment horizontal="left"/>
    </xf>
    <xf numFmtId="167" fontId="0" fillId="2" borderId="3" xfId="0" applyNumberFormat="1" applyFill="1" applyBorder="1" applyAlignment="1">
      <alignment horizontal="right"/>
    </xf>
    <xf numFmtId="0" fontId="5" fillId="2" borderId="0" xfId="0" applyFont="1" applyFill="1" applyAlignment="1">
      <alignment horizontal="left"/>
    </xf>
    <xf numFmtId="0" fontId="0" fillId="2" borderId="0" xfId="0" applyFill="1" applyAlignment="1">
      <alignment horizontal="left" indent="1"/>
    </xf>
    <xf numFmtId="3" fontId="8" fillId="2" borderId="0" xfId="0" applyNumberFormat="1" applyFont="1" applyFill="1"/>
    <xf numFmtId="169" fontId="8" fillId="2" borderId="0" xfId="0" applyNumberFormat="1" applyFont="1" applyFill="1"/>
    <xf numFmtId="0" fontId="22" fillId="2" borderId="0" xfId="0" applyFont="1" applyFill="1" applyAlignment="1">
      <alignment horizontal="left" indent="1"/>
    </xf>
    <xf numFmtId="0" fontId="22" fillId="2" borderId="0" xfId="0" applyFont="1" applyFill="1"/>
    <xf numFmtId="6" fontId="22" fillId="2" borderId="0" xfId="0" applyNumberFormat="1" applyFont="1" applyFill="1"/>
    <xf numFmtId="0" fontId="0" fillId="2" borderId="3" xfId="0" applyFill="1" applyBorder="1" applyAlignment="1">
      <alignment horizontal="center"/>
    </xf>
    <xf numFmtId="0" fontId="0" fillId="2" borderId="0" xfId="0" applyFill="1" applyAlignment="1">
      <alignment horizontal="left"/>
    </xf>
    <xf numFmtId="3" fontId="0" fillId="2" borderId="0" xfId="0" applyNumberFormat="1" applyFill="1"/>
    <xf numFmtId="3" fontId="25" fillId="2" borderId="0" xfId="0" applyNumberFormat="1" applyFont="1" applyFill="1" applyAlignment="1" applyProtection="1">
      <alignment horizontal="right"/>
      <protection locked="0"/>
    </xf>
    <xf numFmtId="0" fontId="2" fillId="2" borderId="0" xfId="0" applyFont="1" applyFill="1" applyAlignment="1">
      <alignment horizontal="left" indent="1"/>
    </xf>
    <xf numFmtId="3" fontId="2" fillId="2" borderId="0" xfId="0" applyNumberFormat="1" applyFont="1" applyFill="1" applyAlignment="1" applyProtection="1">
      <alignment horizontal="right"/>
      <protection locked="0"/>
    </xf>
    <xf numFmtId="3" fontId="8" fillId="2" borderId="0" xfId="0" applyNumberFormat="1" applyFont="1" applyFill="1" applyAlignment="1" applyProtection="1">
      <alignment horizontal="right"/>
      <protection locked="0"/>
    </xf>
    <xf numFmtId="175" fontId="0" fillId="2" borderId="0" xfId="0" applyNumberFormat="1" applyFill="1" applyAlignment="1">
      <alignment horizontal="right"/>
    </xf>
    <xf numFmtId="3" fontId="22" fillId="2" borderId="0" xfId="0" applyNumberFormat="1" applyFont="1" applyFill="1" applyAlignment="1">
      <alignment horizontal="right"/>
    </xf>
    <xf numFmtId="0" fontId="4" fillId="2" borderId="3" xfId="0" applyFont="1" applyFill="1" applyBorder="1" applyAlignment="1">
      <alignment horizontal="right"/>
    </xf>
    <xf numFmtId="164" fontId="4" fillId="2" borderId="3" xfId="0" applyNumberFormat="1" applyFont="1" applyFill="1" applyBorder="1" applyAlignment="1">
      <alignment horizontal="left"/>
    </xf>
    <xf numFmtId="3" fontId="0" fillId="2" borderId="0" xfId="0" applyNumberFormat="1" applyFill="1" applyAlignment="1">
      <alignment horizontal="right"/>
    </xf>
    <xf numFmtId="3" fontId="15" fillId="2" borderId="0" xfId="0" applyNumberFormat="1" applyFont="1" applyFill="1" applyAlignment="1">
      <alignment horizontal="right"/>
    </xf>
    <xf numFmtId="189" fontId="0" fillId="2" borderId="0" xfId="0" applyNumberFormat="1" applyFill="1" applyAlignment="1">
      <alignment horizontal="left"/>
    </xf>
    <xf numFmtId="166" fontId="8" fillId="2" borderId="0" xfId="0" applyNumberFormat="1" applyFont="1" applyFill="1" applyAlignment="1" applyProtection="1">
      <alignment horizontal="right"/>
      <protection locked="0"/>
    </xf>
    <xf numFmtId="166" fontId="25" fillId="2" borderId="0" xfId="0" applyNumberFormat="1" applyFont="1" applyFill="1" applyAlignment="1">
      <alignment horizontal="right"/>
    </xf>
    <xf numFmtId="0" fontId="1" fillId="4" borderId="3" xfId="0" applyFont="1" applyFill="1" applyBorder="1" applyAlignment="1" applyProtection="1">
      <alignment horizontal="right"/>
      <protection locked="0"/>
    </xf>
    <xf numFmtId="0" fontId="0" fillId="4" borderId="3" xfId="0" applyFill="1" applyBorder="1" applyAlignment="1" applyProtection="1">
      <alignment horizontal="right"/>
      <protection locked="0"/>
    </xf>
    <xf numFmtId="41" fontId="26" fillId="2" borderId="0" xfId="0" applyNumberFormat="1" applyFont="1" applyFill="1" applyAlignment="1" applyProtection="1">
      <alignment horizontal="right"/>
      <protection locked="0"/>
    </xf>
    <xf numFmtId="164" fontId="19" fillId="2" borderId="0" xfId="0" applyNumberFormat="1" applyFont="1" applyFill="1" applyAlignment="1">
      <alignment horizontal="left"/>
    </xf>
    <xf numFmtId="0" fontId="9" fillId="2" borderId="0" xfId="0" applyFont="1" applyFill="1" applyAlignment="1">
      <alignment horizontal="left"/>
    </xf>
    <xf numFmtId="10" fontId="8" fillId="2" borderId="0" xfId="0" applyNumberFormat="1" applyFont="1" applyFill="1" applyAlignment="1">
      <alignment horizontal="right"/>
    </xf>
    <xf numFmtId="169" fontId="8" fillId="2" borderId="0" xfId="0" applyNumberFormat="1" applyFont="1" applyFill="1" applyAlignment="1">
      <alignment horizontal="right"/>
    </xf>
    <xf numFmtId="0" fontId="27" fillId="0" borderId="0" xfId="0" applyFont="1"/>
    <xf numFmtId="0" fontId="27" fillId="0" borderId="0" xfId="0" applyFont="1" applyAlignment="1">
      <alignment horizontal="left" indent="1"/>
    </xf>
    <xf numFmtId="0" fontId="28" fillId="0" borderId="0" xfId="0" applyFont="1" applyAlignment="1">
      <alignment horizontal="left"/>
    </xf>
    <xf numFmtId="0" fontId="28" fillId="0" borderId="0" xfId="0" applyFont="1"/>
    <xf numFmtId="0" fontId="27" fillId="0" borderId="0" xfId="0" applyFont="1" applyAlignment="1">
      <alignment horizontal="left" indent="2"/>
    </xf>
    <xf numFmtId="0" fontId="27" fillId="7" borderId="0" xfId="0" applyFont="1" applyFill="1"/>
    <xf numFmtId="0" fontId="0" fillId="7" borderId="0" xfId="0" applyFill="1"/>
    <xf numFmtId="0" fontId="0" fillId="0" borderId="0" xfId="0" applyAlignment="1">
      <alignment horizontal="left" indent="1"/>
    </xf>
    <xf numFmtId="0" fontId="1" fillId="0" borderId="0" xfId="0" applyFont="1"/>
    <xf numFmtId="0" fontId="27" fillId="7" borderId="0" xfId="0" applyFont="1" applyFill="1" applyAlignment="1">
      <alignment horizontal="right"/>
    </xf>
    <xf numFmtId="0" fontId="13" fillId="9" borderId="0" xfId="0" applyFont="1" applyFill="1"/>
    <xf numFmtId="0" fontId="30" fillId="9" borderId="0" xfId="0" applyFont="1" applyFill="1" applyAlignment="1">
      <alignment horizontal="right"/>
    </xf>
    <xf numFmtId="0" fontId="31" fillId="9" borderId="0" xfId="0" applyFont="1" applyFill="1"/>
    <xf numFmtId="0" fontId="33" fillId="0" borderId="0" xfId="0" applyFont="1" applyAlignment="1">
      <alignment horizontal="left" indent="1"/>
    </xf>
    <xf numFmtId="0" fontId="33" fillId="0" borderId="0" xfId="0" applyFont="1" applyAlignment="1">
      <alignment horizontal="left" indent="2"/>
    </xf>
    <xf numFmtId="0" fontId="34" fillId="0" borderId="0" xfId="0" applyFont="1"/>
    <xf numFmtId="0" fontId="32" fillId="0" borderId="0" xfId="0" applyFont="1" applyAlignment="1">
      <alignment horizontal="left"/>
    </xf>
    <xf numFmtId="10" fontId="15" fillId="2" borderId="0" xfId="0" applyNumberFormat="1" applyFont="1" applyFill="1" applyAlignment="1">
      <alignment horizontal="right"/>
    </xf>
    <xf numFmtId="41" fontId="8" fillId="0" borderId="0" xfId="0" applyNumberFormat="1" applyFont="1" applyAlignment="1" applyProtection="1">
      <alignment horizontal="right"/>
      <protection locked="0"/>
    </xf>
    <xf numFmtId="0" fontId="35" fillId="4" borderId="3" xfId="0" applyFont="1" applyFill="1" applyBorder="1" applyAlignment="1" applyProtection="1">
      <alignment horizontal="right"/>
      <protection locked="0"/>
    </xf>
    <xf numFmtId="0" fontId="17" fillId="7" borderId="0" xfId="2" applyFill="1" applyAlignment="1">
      <alignment horizontal="right"/>
    </xf>
    <xf numFmtId="0" fontId="17" fillId="0" borderId="0" xfId="2"/>
    <xf numFmtId="0" fontId="29" fillId="8" borderId="0" xfId="2" applyFont="1" applyFill="1" applyAlignment="1">
      <alignment horizontal="center" vertical="center" wrapText="1"/>
    </xf>
    <xf numFmtId="0" fontId="23" fillId="0" borderId="0" xfId="0" applyFont="1" applyAlignment="1">
      <alignment wrapText="1"/>
    </xf>
    <xf numFmtId="0" fontId="17" fillId="0" borderId="0" xfId="2" applyAlignment="1">
      <alignment horizontal="left" vertical="center"/>
    </xf>
    <xf numFmtId="0" fontId="17" fillId="0" borderId="0" xfId="2" applyAlignment="1">
      <alignment horizontal="left"/>
    </xf>
    <xf numFmtId="0" fontId="3" fillId="4" borderId="3" xfId="0" applyFont="1" applyFill="1" applyBorder="1" applyAlignment="1" applyProtection="1">
      <alignment horizontal="left"/>
      <protection locked="0"/>
    </xf>
    <xf numFmtId="0" fontId="16" fillId="2" borderId="0" xfId="0" applyFont="1" applyFill="1" applyAlignment="1">
      <alignment horizontal="center"/>
    </xf>
    <xf numFmtId="0" fontId="18" fillId="2" borderId="2" xfId="0" applyFont="1" applyFill="1" applyBorder="1" applyAlignment="1" applyProtection="1">
      <alignment horizontal="right"/>
      <protection locked="0"/>
    </xf>
    <xf numFmtId="0" fontId="18" fillId="2" borderId="0" xfId="0" applyFont="1" applyFill="1" applyAlignment="1" applyProtection="1">
      <alignment horizontal="right"/>
      <protection locked="0"/>
    </xf>
    <xf numFmtId="0" fontId="4" fillId="2" borderId="15" xfId="0" applyFont="1" applyFill="1" applyBorder="1" applyAlignment="1">
      <alignment horizontal="right"/>
    </xf>
    <xf numFmtId="0" fontId="4" fillId="2" borderId="0" xfId="0" applyFont="1" applyFill="1" applyAlignment="1">
      <alignment horizontal="right"/>
    </xf>
    <xf numFmtId="0" fontId="18" fillId="2" borderId="0" xfId="0" applyFont="1" applyFill="1" applyAlignment="1">
      <alignment horizontal="right"/>
    </xf>
    <xf numFmtId="0" fontId="1" fillId="2" borderId="0" xfId="0" applyFont="1" applyFill="1" applyAlignment="1">
      <alignment horizontal="right" wrapText="1"/>
    </xf>
    <xf numFmtId="0" fontId="1" fillId="2" borderId="16" xfId="0" applyFont="1" applyFill="1" applyBorder="1" applyAlignment="1">
      <alignment horizontal="right" wrapText="1"/>
    </xf>
    <xf numFmtId="0" fontId="1" fillId="2" borderId="3" xfId="0" applyFont="1" applyFill="1" applyBorder="1" applyAlignment="1">
      <alignment horizontal="right" wrapText="1"/>
    </xf>
    <xf numFmtId="0" fontId="1" fillId="2" borderId="20" xfId="0" applyFont="1" applyFill="1" applyBorder="1" applyAlignment="1">
      <alignment horizontal="right" wrapText="1"/>
    </xf>
    <xf numFmtId="0" fontId="4" fillId="2" borderId="18" xfId="0" applyFont="1" applyFill="1" applyBorder="1" applyAlignment="1">
      <alignment horizontal="right"/>
    </xf>
    <xf numFmtId="0" fontId="4" fillId="2" borderId="17" xfId="0" applyFont="1" applyFill="1" applyBorder="1" applyAlignment="1">
      <alignment horizontal="right"/>
    </xf>
  </cellXfs>
  <cellStyles count="3">
    <cellStyle name="Hyperlink" xfId="2" builtinId="8"/>
    <cellStyle name="Normal" xfId="0" builtinId="0"/>
    <cellStyle name="Normal 2" xfId="1" xr:uid="{00000000-0005-0000-0000-000002000000}"/>
  </cellStyles>
  <dxfs count="27">
    <dxf>
      <fill>
        <patternFill>
          <bgColor rgb="FFFFFF00"/>
        </patternFill>
      </fill>
    </dxf>
    <dxf>
      <fill>
        <patternFill>
          <bgColor rgb="FFFFFF00"/>
        </patternFill>
      </fill>
    </dxf>
    <dxf>
      <fill>
        <patternFill>
          <bgColor rgb="FFFFFF00"/>
        </patternFill>
      </fill>
    </dxf>
    <dxf>
      <fill>
        <patternFill>
          <bgColor rgb="FFFFFF00"/>
        </patternFill>
      </fill>
    </dxf>
    <dxf>
      <font>
        <color theme="9" tint="-0.24994659260841701"/>
      </font>
    </dxf>
    <dxf>
      <numFmt numFmtId="192" formatCode="&quot; up to &quot;0.00&quot;X EM to LP&quot;"/>
    </dxf>
    <dxf>
      <numFmt numFmtId="192" formatCode="&quot; up to &quot;0.00&quot;X EM to LP&quot;"/>
    </dxf>
    <dxf>
      <numFmt numFmtId="192" formatCode="&quot; up to &quot;0.00&quot;X EM to LP&quot;"/>
    </dxf>
    <dxf>
      <numFmt numFmtId="192" formatCode="&quot; up to &quot;0.00&quot;X EM to LP&quot;"/>
    </dxf>
    <dxf>
      <font>
        <color theme="0" tint="-4.9989318521683403E-2"/>
      </font>
      <numFmt numFmtId="0" formatCode="General"/>
      <fill>
        <patternFill patternType="solid">
          <bgColor theme="0" tint="-4.9989318521683403E-2"/>
        </patternFill>
      </fill>
    </dxf>
    <dxf>
      <numFmt numFmtId="192" formatCode="&quot; up to &quot;0.00&quot;X EM to LP&quot;"/>
    </dxf>
    <dxf>
      <numFmt numFmtId="192" formatCode="&quot; up to &quot;0.00&quot;X EM to LP&quot;"/>
    </dxf>
    <dxf>
      <numFmt numFmtId="192" formatCode="&quot; up to &quot;0.00&quot;X EM to LP&quot;"/>
    </dxf>
    <dxf>
      <numFmt numFmtId="192" formatCode="&quot; up to &quot;0.00&quot;X EM to LP&quot;"/>
    </dxf>
    <dxf>
      <font>
        <color theme="0" tint="-4.9989318521683403E-2"/>
      </font>
      <fill>
        <patternFill patternType="solid">
          <bgColor theme="0" tint="-4.9989318521683403E-2"/>
        </patternFill>
      </fill>
    </dxf>
    <dxf>
      <numFmt numFmtId="192" formatCode="&quot; up to &quot;0.00&quot;X EM to LP&quot;"/>
    </dxf>
    <dxf>
      <numFmt numFmtId="192" formatCode="&quot; up to &quot;0.00&quot;X EM to LP&quot;"/>
    </dxf>
    <dxf>
      <numFmt numFmtId="192" formatCode="&quot; up to &quot;0.00&quot;X EM to LP&quot;"/>
    </dxf>
    <dxf>
      <fill>
        <patternFill patternType="none">
          <bgColor auto="1"/>
        </patternFill>
      </fill>
    </dxf>
    <dxf>
      <border>
        <bottom style="thin">
          <color auto="1"/>
        </bottom>
        <vertical/>
        <horizontal/>
      </border>
    </dxf>
    <dxf>
      <font>
        <color theme="0"/>
      </font>
      <fill>
        <patternFill patternType="none">
          <bgColor auto="1"/>
        </patternFill>
      </fill>
    </dxf>
    <dxf>
      <fill>
        <patternFill>
          <bgColor theme="0" tint="-4.9989318521683403E-2"/>
        </patternFill>
      </fill>
    </dxf>
    <dxf>
      <border>
        <bottom style="thin">
          <color auto="1"/>
        </bottom>
        <vertical/>
        <horizontal/>
      </border>
    </dxf>
    <dxf>
      <border>
        <bottom style="thin">
          <color auto="1"/>
        </bottom>
        <vertical/>
        <horizontal/>
      </border>
    </dxf>
    <dxf>
      <border>
        <bottom style="thin">
          <color auto="1"/>
        </bottom>
        <vertical/>
        <horizontal/>
      </border>
    </dxf>
    <dxf>
      <font>
        <color theme="0"/>
      </font>
      <fill>
        <patternFill>
          <bgColor theme="0"/>
        </patternFill>
      </fill>
      <border>
        <left/>
        <right/>
        <top/>
        <bottom/>
        <vertical/>
        <horizontal/>
      </border>
    </dxf>
    <dxf>
      <font>
        <color theme="0" tint="-0.24994659260841701"/>
      </font>
      <fill>
        <patternFill>
          <bgColor theme="0" tint="-0.24994659260841701"/>
        </patternFill>
      </fill>
      <border>
        <left/>
        <right/>
        <top/>
        <bottom/>
        <vertical/>
        <horizontal/>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_rels/drawing4.xml.rels><?xml version="1.0" encoding="UTF-8" standalone="yes"?>
<Relationships xmlns="http://schemas.openxmlformats.org/package/2006/relationships"><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hyperlink" Target="https://www.adventuresincre.com/real-estate-equity-waterfall-model/" TargetMode="External"/></Relationships>
</file>

<file path=xl/drawings/_rels/drawing8.x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13</xdr:col>
      <xdr:colOff>641222</xdr:colOff>
      <xdr:row>1</xdr:row>
      <xdr:rowOff>44199</xdr:rowOff>
    </xdr:from>
    <xdr:to>
      <xdr:col>22</xdr:col>
      <xdr:colOff>44823</xdr:colOff>
      <xdr:row>37</xdr:row>
      <xdr:rowOff>190498</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547222" y="167464"/>
          <a:ext cx="5241866" cy="708274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Edit blue font cells only.</a:t>
          </a:r>
        </a:p>
        <a:p>
          <a:endParaRPr lang="en-US" sz="1100"/>
        </a:p>
        <a:p>
          <a:r>
            <a:rPr lang="en-US" sz="1100"/>
            <a:t>- Purchase Price Method:</a:t>
          </a:r>
        </a:p>
        <a:p>
          <a:r>
            <a:rPr lang="en-US" sz="1100" baseline="0"/>
            <a:t>    - Manual Input = Purchase price manually set</a:t>
          </a:r>
        </a:p>
        <a:p>
          <a:r>
            <a:rPr lang="en-US" sz="1100" baseline="0"/>
            <a:t>    - Present Value = Purchase price set as present value of property cash flows through the end of analysis period, including exit value, discounted back at discount rate set in cell D12</a:t>
          </a:r>
        </a:p>
        <a:p>
          <a:r>
            <a:rPr lang="en-US" sz="1100" baseline="0"/>
            <a:t>    - Cap Year 1 NOI = Year 1 NOI capitalized at 'Market Cap Rate" set in cell D911 (Year 1 NOI ÷ Market Cap Rate)</a:t>
          </a:r>
        </a:p>
        <a:p>
          <a:r>
            <a:rPr lang="en-US" sz="1100" baseline="0"/>
            <a:t>    - Replacement cost = Replacement cost per unit(see cell D13) multiplied by the total number of apartment units (see cell H3)</a:t>
          </a:r>
        </a:p>
        <a:p>
          <a:endParaRPr lang="en-US" sz="1100" baseline="0"/>
        </a:p>
        <a:p>
          <a:r>
            <a:rPr lang="en-US" sz="1100" baseline="0"/>
            <a:t>- Analysis start = The date you anticipate closing on the property</a:t>
          </a:r>
        </a:p>
        <a:p>
          <a:r>
            <a:rPr lang="en-US" sz="1100" baseline="0"/>
            <a:t>- Analysis period = Duration you intend to hold the property</a:t>
          </a:r>
        </a:p>
        <a:p>
          <a:r>
            <a:rPr lang="en-US" sz="1100" baseline="0"/>
            <a:t>- Terminal cap year = Determines which year's NOI to be used for calculating exit value (typically either same as analysis period or one year after analysis period)</a:t>
          </a:r>
        </a:p>
        <a:p>
          <a:r>
            <a:rPr lang="en-US" sz="1100" baseline="0"/>
            <a:t>- Terminal Cap Rate Growth /Yr. = Used to determine exit cap rate; exit cap rate is calculated as the going-in cap rate plus the exit cap rate growth per year through to the end of the analysis period (e.g. if going-in cap rate is 6.00% and the exit cap rate growth per year is 5 basis points, then the exit cap rate in year 10 would be 6.50%)</a:t>
          </a:r>
        </a:p>
        <a:p>
          <a:r>
            <a:rPr lang="en-US" sz="1100" baseline="0"/>
            <a:t>- Market Cap Rate Yr. 1 = The market cap rate for this type of property in year one; use market reports, professional knowledge, broker guidance to set this value</a:t>
          </a:r>
        </a:p>
        <a:p>
          <a:r>
            <a:rPr lang="en-US" sz="1100" baseline="0"/>
            <a:t>- Discount rate = The discount rate  is used to calculate the DCF value; often the discount rate is the unlevered rate of return the acquirer wishes to obtain on the investment</a:t>
          </a:r>
        </a:p>
        <a:p>
          <a:r>
            <a:rPr lang="en-US" sz="1100" baseline="0"/>
            <a:t>- Replacement Cost (per unit) = The cost to develop/build this type of property today on a per unit basis</a:t>
          </a:r>
        </a:p>
        <a:p>
          <a:r>
            <a:rPr lang="en-US" sz="1100" baseline="0"/>
            <a:t>- Terminal value = the price at which the property is expected to sell at the end of the hold period</a:t>
          </a:r>
        </a:p>
        <a:p>
          <a:endParaRPr lang="en-US" sz="1100" baseline="0"/>
        </a:p>
        <a:p>
          <a:r>
            <a:rPr lang="en-US" sz="1100" baseline="0">
              <a:solidFill>
                <a:schemeClr val="dk1"/>
              </a:solidFill>
              <a:effectLst/>
              <a:latin typeface="+mn-lt"/>
              <a:ea typeface="+mn-ea"/>
              <a:cs typeface="+mn-cs"/>
            </a:rPr>
            <a:t>Acquisition Cost = Cost of acquisition (due diligence, closing costs, etc) as a % of purchase price; does NOT included lender fees</a:t>
          </a:r>
          <a:endParaRPr lang="en-US">
            <a:effectLst/>
          </a:endParaRPr>
        </a:p>
        <a:p>
          <a:r>
            <a:rPr lang="en-US" sz="1100" baseline="0">
              <a:solidFill>
                <a:schemeClr val="dk1"/>
              </a:solidFill>
              <a:effectLst/>
              <a:latin typeface="+mn-lt"/>
              <a:ea typeface="+mn-ea"/>
              <a:cs typeface="+mn-cs"/>
            </a:rPr>
            <a:t>Interest rate = Fixed mortgage interest rate</a:t>
          </a:r>
          <a:endParaRPr lang="en-US">
            <a:effectLst/>
          </a:endParaRPr>
        </a:p>
        <a:p>
          <a:r>
            <a:rPr lang="en-US" sz="1100" baseline="0">
              <a:solidFill>
                <a:schemeClr val="dk1"/>
              </a:solidFill>
              <a:effectLst/>
              <a:latin typeface="+mn-lt"/>
              <a:ea typeface="+mn-ea"/>
              <a:cs typeface="+mn-cs"/>
            </a:rPr>
            <a:t>Years I/O = # of years mortgage loan is interest-only; set to 0 if N/A</a:t>
          </a:r>
          <a:endParaRPr lang="en-US">
            <a:effectLst/>
          </a:endParaRPr>
        </a:p>
        <a:p>
          <a:r>
            <a:rPr lang="en-US" sz="1100" baseline="0">
              <a:solidFill>
                <a:schemeClr val="dk1"/>
              </a:solidFill>
              <a:effectLst/>
              <a:latin typeface="+mn-lt"/>
              <a:ea typeface="+mn-ea"/>
              <a:cs typeface="+mn-cs"/>
            </a:rPr>
            <a:t>Amo Period = Amortization period (e.g. 30 years)</a:t>
          </a:r>
          <a:endParaRPr lang="en-US">
            <a:effectLst/>
          </a:endParaRPr>
        </a:p>
        <a:p>
          <a:r>
            <a:rPr lang="en-US" sz="1100" baseline="0">
              <a:solidFill>
                <a:schemeClr val="dk1"/>
              </a:solidFill>
              <a:effectLst/>
              <a:latin typeface="+mn-lt"/>
              <a:ea typeface="+mn-ea"/>
              <a:cs typeface="+mn-cs"/>
            </a:rPr>
            <a:t>Term = Years to maturity; this is for reference only - does not affect calculations</a:t>
          </a:r>
          <a:endParaRPr lang="en-US">
            <a:effectLst/>
          </a:endParaRPr>
        </a:p>
        <a:p>
          <a:r>
            <a:rPr lang="en-US" sz="1100" baseline="0">
              <a:solidFill>
                <a:schemeClr val="dk1"/>
              </a:solidFill>
              <a:effectLst/>
              <a:latin typeface="+mn-lt"/>
              <a:ea typeface="+mn-ea"/>
              <a:cs typeface="+mn-cs"/>
            </a:rPr>
            <a:t>LTV = Loan-to-value; used to calculate loan amount</a:t>
          </a:r>
          <a:endParaRPr lang="en-US">
            <a:effectLst/>
          </a:endParaRPr>
        </a:p>
        <a:p>
          <a:r>
            <a:rPr lang="en-US" sz="1100" baseline="0">
              <a:solidFill>
                <a:schemeClr val="dk1"/>
              </a:solidFill>
              <a:effectLst/>
              <a:latin typeface="+mn-lt"/>
              <a:ea typeface="+mn-ea"/>
              <a:cs typeface="+mn-cs"/>
            </a:rPr>
            <a:t>Upfront CapEx = Amount needed to be spent on initial lease-up, deferred maintenance, renovation, or other "value-add" initiatives</a:t>
          </a:r>
          <a:endParaRPr lang="en-US">
            <a:effectLst/>
          </a:endParaRPr>
        </a:p>
        <a:p>
          <a:r>
            <a:rPr lang="en-US" sz="1100" baseline="0">
              <a:solidFill>
                <a:schemeClr val="dk1"/>
              </a:solidFill>
              <a:effectLst/>
              <a:latin typeface="+mn-lt"/>
              <a:ea typeface="+mn-ea"/>
              <a:cs typeface="+mn-cs"/>
            </a:rPr>
            <a:t>Lender Fees = cost to acquire financing (e.g. 1%)</a:t>
          </a:r>
          <a:endParaRPr lang="en-US">
            <a:effectLst/>
          </a:endParaRPr>
        </a:p>
        <a:p>
          <a:endParaRPr lang="en-US" sz="1100" baseline="0"/>
        </a:p>
        <a:p>
          <a:endParaRPr lang="en-US" sz="1100"/>
        </a:p>
      </xdr:txBody>
    </xdr:sp>
    <xdr:clientData/>
  </xdr:twoCellAnchor>
  <mc:AlternateContent xmlns:mc="http://schemas.openxmlformats.org/markup-compatibility/2006">
    <mc:Choice xmlns:a14="http://schemas.microsoft.com/office/drawing/2010/main" Requires="a14">
      <xdr:twoCellAnchor editAs="oneCell">
        <xdr:from>
          <xdr:col>12</xdr:col>
          <xdr:colOff>112060</xdr:colOff>
          <xdr:row>1</xdr:row>
          <xdr:rowOff>78441</xdr:rowOff>
        </xdr:from>
        <xdr:to>
          <xdr:col>13</xdr:col>
          <xdr:colOff>573742</xdr:colOff>
          <xdr:row>9</xdr:row>
          <xdr:rowOff>86286</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a:extLst>
                <a:ext uri="{84589F7E-364E-4C9E-8A38-B11213B215E9}">
                  <a14:cameraTool cellRange="'Raw Data'!$B$4:$D$11" spid="_x0000_s7414"/>
                </a:ext>
              </a:extLst>
            </xdr:cNvPicPr>
          </xdr:nvPicPr>
          <xdr:blipFill>
            <a:blip xmlns:r="http://schemas.openxmlformats.org/officeDocument/2006/relationships" r:embed="rId1"/>
            <a:srcRect/>
            <a:stretch>
              <a:fillRect/>
            </a:stretch>
          </xdr:blipFill>
          <xdr:spPr bwMode="auto">
            <a:xfrm>
              <a:off x="8852648" y="201706"/>
              <a:ext cx="1828800" cy="155425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24</xdr:col>
          <xdr:colOff>0</xdr:colOff>
          <xdr:row>1</xdr:row>
          <xdr:rowOff>0</xdr:rowOff>
        </xdr:from>
        <xdr:to>
          <xdr:col>26</xdr:col>
          <xdr:colOff>323850</xdr:colOff>
          <xdr:row>8</xdr:row>
          <xdr:rowOff>19050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a:extLst>
                <a:ext uri="{84589F7E-364E-4C9E-8A38-B11213B215E9}">
                  <a14:cameraTool cellRange="'Raw Data'!$B$4:$D$11" spid="_x0000_s1226"/>
                </a:ext>
              </a:extLst>
            </xdr:cNvPicPr>
          </xdr:nvPicPr>
          <xdr:blipFill>
            <a:blip xmlns:r="http://schemas.openxmlformats.org/officeDocument/2006/relationships" r:embed="rId1"/>
            <a:srcRect/>
            <a:stretch>
              <a:fillRect/>
            </a:stretch>
          </xdr:blipFill>
          <xdr:spPr bwMode="auto">
            <a:xfrm>
              <a:off x="15897225" y="190500"/>
              <a:ext cx="1838325" cy="15525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89648</xdr:colOff>
          <xdr:row>3</xdr:row>
          <xdr:rowOff>33618</xdr:rowOff>
        </xdr:from>
        <xdr:to>
          <xdr:col>21</xdr:col>
          <xdr:colOff>109258</xdr:colOff>
          <xdr:row>10</xdr:row>
          <xdr:rowOff>19051</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a:extLst>
                <a:ext uri="{84589F7E-364E-4C9E-8A38-B11213B215E9}">
                  <a14:cameraTool cellRange="'Raw Data'!$B$4:$D$11" spid="_x0000_s23650"/>
                </a:ext>
              </a:extLst>
            </xdr:cNvPicPr>
          </xdr:nvPicPr>
          <xdr:blipFill>
            <a:blip xmlns:r="http://schemas.openxmlformats.org/officeDocument/2006/relationships" r:embed="rId1"/>
            <a:srcRect/>
            <a:stretch>
              <a:fillRect/>
            </a:stretch>
          </xdr:blipFill>
          <xdr:spPr bwMode="auto">
            <a:xfrm>
              <a:off x="11116236" y="549089"/>
              <a:ext cx="1834963" cy="155425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104775</xdr:colOff>
          <xdr:row>2</xdr:row>
          <xdr:rowOff>6164</xdr:rowOff>
        </xdr:from>
        <xdr:to>
          <xdr:col>24</xdr:col>
          <xdr:colOff>124385</xdr:colOff>
          <xdr:row>9</xdr:row>
          <xdr:rowOff>36420</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a:extLst>
                <a:ext uri="{84589F7E-364E-4C9E-8A38-B11213B215E9}">
                  <a14:cameraTool cellRange="'Raw Data'!$B$4:$D$11" spid="_x0000_s18615"/>
                </a:ext>
              </a:extLst>
            </xdr:cNvPicPr>
          </xdr:nvPicPr>
          <xdr:blipFill>
            <a:blip xmlns:r="http://schemas.openxmlformats.org/officeDocument/2006/relationships" r:embed="rId1"/>
            <a:srcRect/>
            <a:stretch>
              <a:fillRect/>
            </a:stretch>
          </xdr:blipFill>
          <xdr:spPr bwMode="auto">
            <a:xfrm>
              <a:off x="14762069" y="331135"/>
              <a:ext cx="1834963" cy="155425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20</xdr:col>
          <xdr:colOff>44824</xdr:colOff>
          <xdr:row>3</xdr:row>
          <xdr:rowOff>6164</xdr:rowOff>
        </xdr:from>
        <xdr:to>
          <xdr:col>23</xdr:col>
          <xdr:colOff>64433</xdr:colOff>
          <xdr:row>11</xdr:row>
          <xdr:rowOff>36420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a:extLst>
                <a:ext uri="{84589F7E-364E-4C9E-8A38-B11213B215E9}">
                  <a14:cameraTool cellRange="'Raw Data'!$B$4:$D$11" spid="_x0000_s29796"/>
                </a:ext>
              </a:extLst>
            </xdr:cNvPicPr>
          </xdr:nvPicPr>
          <xdr:blipFill>
            <a:blip xmlns:r="http://schemas.openxmlformats.org/officeDocument/2006/relationships" r:embed="rId1"/>
            <a:srcRect/>
            <a:stretch>
              <a:fillRect/>
            </a:stretch>
          </xdr:blipFill>
          <xdr:spPr bwMode="auto">
            <a:xfrm>
              <a:off x="13570324" y="521635"/>
              <a:ext cx="1834963" cy="155425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20</xdr:col>
          <xdr:colOff>78441</xdr:colOff>
          <xdr:row>1</xdr:row>
          <xdr:rowOff>11207</xdr:rowOff>
        </xdr:from>
        <xdr:to>
          <xdr:col>23</xdr:col>
          <xdr:colOff>99172</xdr:colOff>
          <xdr:row>8</xdr:row>
          <xdr:rowOff>153522</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a:extLst>
                <a:ext uri="{84589F7E-364E-4C9E-8A38-B11213B215E9}">
                  <a14:cameraTool cellRange="'Raw Data'!$B$4:$D$11" spid="_x0000_s13513"/>
                </a:ext>
              </a:extLst>
            </xdr:cNvPicPr>
          </xdr:nvPicPr>
          <xdr:blipFill>
            <a:blip xmlns:r="http://schemas.openxmlformats.org/officeDocument/2006/relationships" r:embed="rId1"/>
            <a:srcRect/>
            <a:stretch>
              <a:fillRect/>
            </a:stretch>
          </xdr:blipFill>
          <xdr:spPr bwMode="auto">
            <a:xfrm>
              <a:off x="16259735" y="134472"/>
              <a:ext cx="1836084" cy="155425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4</xdr:col>
      <xdr:colOff>100854</xdr:colOff>
      <xdr:row>3</xdr:row>
      <xdr:rowOff>11204</xdr:rowOff>
    </xdr:from>
    <xdr:to>
      <xdr:col>7</xdr:col>
      <xdr:colOff>493059</xdr:colOff>
      <xdr:row>4</xdr:row>
      <xdr:rowOff>100853</xdr:rowOff>
    </xdr:to>
    <xdr:sp macro="" textlink="">
      <xdr:nvSpPr>
        <xdr:cNvPr id="4" name="TextBox 3">
          <a:hlinkClick xmlns:r="http://schemas.openxmlformats.org/officeDocument/2006/relationships" r:id="rId1"/>
          <a:extLst>
            <a:ext uri="{FF2B5EF4-FFF2-40B4-BE49-F238E27FC236}">
              <a16:creationId xmlns:a16="http://schemas.microsoft.com/office/drawing/2014/main" id="{8ECE0726-E53B-4529-9F10-43C20641D27C}"/>
            </a:ext>
          </a:extLst>
        </xdr:cNvPr>
        <xdr:cNvSpPr txBox="1"/>
      </xdr:nvSpPr>
      <xdr:spPr>
        <a:xfrm>
          <a:off x="4269442" y="392204"/>
          <a:ext cx="3171264" cy="29135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00FF"/>
              </a:solidFill>
            </a:rPr>
            <a:t>Click here to learn to use this module</a:t>
          </a:r>
          <a:endParaRPr lang="en-US" sz="1100" b="1" baseline="0">
            <a:solidFill>
              <a:srgbClr val="0000FF"/>
            </a:solidFill>
          </a:endParaRP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56028</xdr:colOff>
          <xdr:row>0</xdr:row>
          <xdr:rowOff>112058</xdr:rowOff>
        </xdr:from>
        <xdr:to>
          <xdr:col>21</xdr:col>
          <xdr:colOff>89085</xdr:colOff>
          <xdr:row>9</xdr:row>
          <xdr:rowOff>7843</xdr:rowOff>
        </xdr:to>
        <xdr:pic>
          <xdr:nvPicPr>
            <xdr:cNvPr id="3" name="Picture 2">
              <a:extLst>
                <a:ext uri="{FF2B5EF4-FFF2-40B4-BE49-F238E27FC236}">
                  <a16:creationId xmlns:a16="http://schemas.microsoft.com/office/drawing/2014/main" id="{00000000-0008-0000-0800-000003000000}"/>
                </a:ext>
              </a:extLst>
            </xdr:cNvPr>
            <xdr:cNvPicPr>
              <a:picLocks noChangeAspect="1" noChangeArrowheads="1"/>
              <a:extLst>
                <a:ext uri="{84589F7E-364E-4C9E-8A38-B11213B215E9}">
                  <a14:cameraTool cellRange="'Raw Data'!$B$4:$D$11" spid="_x0000_s14533"/>
                </a:ext>
              </a:extLst>
            </xdr:cNvPicPr>
          </xdr:nvPicPr>
          <xdr:blipFill>
            <a:blip xmlns:r="http://schemas.openxmlformats.org/officeDocument/2006/relationships" r:embed="rId1"/>
            <a:srcRect/>
            <a:stretch>
              <a:fillRect/>
            </a:stretch>
          </xdr:blipFill>
          <xdr:spPr bwMode="auto">
            <a:xfrm>
              <a:off x="13906499" y="112058"/>
              <a:ext cx="1848410" cy="155425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dventuresincre.com/multifamily-apartment-acquisition-model-in-excel/" TargetMode="External"/><Relationship Id="rId7" Type="http://schemas.openxmlformats.org/officeDocument/2006/relationships/hyperlink" Target="https://www.adventuresincre.com/a-cre-value-add-apartment-acquisition-model/" TargetMode="External"/><Relationship Id="rId2" Type="http://schemas.openxmlformats.org/officeDocument/2006/relationships/hyperlink" Target="https://www.adventuresincre.com/library-real-estate-excel-models/" TargetMode="External"/><Relationship Id="rId1" Type="http://schemas.openxmlformats.org/officeDocument/2006/relationships/hyperlink" Target="https://www.adventuresincre.com/" TargetMode="External"/><Relationship Id="rId6" Type="http://schemas.openxmlformats.org/officeDocument/2006/relationships/hyperlink" Target="https://www.adventuresincre.com/acre-disclaimer/" TargetMode="External"/><Relationship Id="rId5" Type="http://schemas.openxmlformats.org/officeDocument/2006/relationships/hyperlink" Target="https://www.adventuresincre.com/accelerator/" TargetMode="External"/><Relationship Id="rId4" Type="http://schemas.openxmlformats.org/officeDocument/2006/relationships/hyperlink" Target="https://www.adventuresincre.com/multifamily-apartment-acquisition-model-in-excel/"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M111"/>
  <sheetViews>
    <sheetView showGridLines="0" tabSelected="1" zoomScaleNormal="100" workbookViewId="0">
      <selection activeCell="F11" sqref="F11"/>
    </sheetView>
  </sheetViews>
  <sheetFormatPr defaultColWidth="0" defaultRowHeight="14.4" x14ac:dyDescent="0.3"/>
  <cols>
    <col min="1" max="1" width="1.88671875" customWidth="1"/>
    <col min="2" max="2" width="10.33203125" style="268" customWidth="1"/>
    <col min="3" max="3" width="10.33203125" style="267" customWidth="1"/>
    <col min="4" max="4" width="11.6640625" style="267" customWidth="1"/>
    <col min="5" max="6" width="10.33203125" style="267" customWidth="1"/>
    <col min="7" max="7" width="22.44140625" style="267" customWidth="1"/>
    <col min="8" max="8" width="10.33203125" style="267" customWidth="1"/>
    <col min="9" max="9" width="17.109375" style="267" customWidth="1"/>
    <col min="10" max="10" width="15.5546875" style="267" customWidth="1"/>
    <col min="11" max="11" width="3.33203125" style="267" customWidth="1"/>
    <col min="12" max="12" width="0.88671875" customWidth="1"/>
    <col min="13" max="13" width="0" hidden="1" customWidth="1"/>
    <col min="14" max="16384" width="10.33203125" hidden="1"/>
  </cols>
  <sheetData>
    <row r="1" spans="2:11" ht="5.0999999999999996" customHeight="1" x14ac:dyDescent="0.3">
      <c r="B1"/>
      <c r="C1"/>
      <c r="D1"/>
      <c r="E1"/>
      <c r="F1"/>
      <c r="G1"/>
      <c r="H1"/>
      <c r="I1"/>
      <c r="J1"/>
      <c r="K1"/>
    </row>
    <row r="2" spans="2:11" ht="15.6" x14ac:dyDescent="0.3">
      <c r="B2" s="279" t="s">
        <v>275</v>
      </c>
      <c r="C2" s="277"/>
      <c r="D2" s="277"/>
      <c r="E2" s="277"/>
      <c r="F2" s="277"/>
      <c r="G2" s="277"/>
      <c r="H2" s="277"/>
      <c r="I2" s="278"/>
      <c r="J2" s="277"/>
      <c r="K2" s="277"/>
    </row>
    <row r="3" spans="2:11" x14ac:dyDescent="0.3">
      <c r="B3" s="273" t="s">
        <v>273</v>
      </c>
      <c r="C3" s="272"/>
      <c r="D3" s="272"/>
      <c r="E3" s="272"/>
      <c r="F3" s="272"/>
      <c r="G3" s="272"/>
      <c r="H3" s="272"/>
      <c r="I3" s="272"/>
      <c r="J3" s="272"/>
      <c r="K3" s="276" t="str">
        <f>B16</f>
        <v>v2.4</v>
      </c>
    </row>
    <row r="4" spans="2:11" x14ac:dyDescent="0.3">
      <c r="B4" t="s">
        <v>139</v>
      </c>
      <c r="C4"/>
      <c r="D4"/>
      <c r="E4"/>
      <c r="F4"/>
      <c r="G4" s="275" t="s">
        <v>272</v>
      </c>
      <c r="H4"/>
      <c r="J4"/>
      <c r="K4"/>
    </row>
    <row r="5" spans="2:11" x14ac:dyDescent="0.3">
      <c r="B5" s="288" t="s">
        <v>271</v>
      </c>
      <c r="C5" s="288"/>
      <c r="D5" s="288"/>
      <c r="E5"/>
      <c r="F5"/>
      <c r="G5" s="288" t="s">
        <v>270</v>
      </c>
      <c r="H5" s="288"/>
      <c r="I5" s="288"/>
      <c r="J5" s="288"/>
      <c r="K5"/>
    </row>
    <row r="6" spans="2:11" x14ac:dyDescent="0.3">
      <c r="B6"/>
      <c r="C6"/>
      <c r="D6"/>
      <c r="E6"/>
      <c r="F6"/>
      <c r="G6" s="288" t="s">
        <v>269</v>
      </c>
      <c r="H6" s="288"/>
      <c r="I6" s="288"/>
      <c r="J6" s="288"/>
      <c r="K6"/>
    </row>
    <row r="7" spans="2:11" x14ac:dyDescent="0.3">
      <c r="B7" s="275" t="s">
        <v>268</v>
      </c>
      <c r="C7"/>
      <c r="D7"/>
      <c r="E7"/>
      <c r="F7"/>
      <c r="G7"/>
      <c r="H7"/>
      <c r="I7"/>
      <c r="J7"/>
      <c r="K7"/>
    </row>
    <row r="8" spans="2:11" x14ac:dyDescent="0.3">
      <c r="B8" s="274" t="s">
        <v>267</v>
      </c>
      <c r="C8"/>
      <c r="D8"/>
      <c r="E8"/>
      <c r="F8"/>
      <c r="G8" s="291" t="s">
        <v>266</v>
      </c>
      <c r="H8" s="291"/>
      <c r="I8" s="291"/>
      <c r="J8" s="291"/>
      <c r="K8" s="291"/>
    </row>
    <row r="9" spans="2:11" x14ac:dyDescent="0.3">
      <c r="B9" s="274" t="s">
        <v>265</v>
      </c>
      <c r="C9"/>
      <c r="D9"/>
      <c r="E9"/>
      <c r="F9"/>
      <c r="G9" s="288" t="s">
        <v>277</v>
      </c>
      <c r="H9" s="288"/>
      <c r="I9" s="288"/>
      <c r="J9" s="288"/>
      <c r="K9"/>
    </row>
    <row r="10" spans="2:11" x14ac:dyDescent="0.3">
      <c r="B10" s="274" t="s">
        <v>264</v>
      </c>
      <c r="C10"/>
      <c r="D10"/>
      <c r="E10"/>
      <c r="F10"/>
      <c r="G10" s="292"/>
      <c r="H10" s="292"/>
      <c r="I10" s="292"/>
      <c r="J10" s="292"/>
      <c r="K10" s="292"/>
    </row>
    <row r="11" spans="2:11" x14ac:dyDescent="0.3">
      <c r="B11" s="274" t="s">
        <v>276</v>
      </c>
      <c r="C11"/>
      <c r="D11"/>
      <c r="E11"/>
      <c r="F11"/>
      <c r="G11"/>
      <c r="H11"/>
      <c r="I11"/>
      <c r="J11"/>
      <c r="K11"/>
    </row>
    <row r="12" spans="2:11" x14ac:dyDescent="0.3">
      <c r="B12"/>
      <c r="C12"/>
      <c r="D12"/>
      <c r="E12"/>
      <c r="F12"/>
      <c r="G12"/>
      <c r="H12"/>
      <c r="I12"/>
      <c r="J12"/>
      <c r="K12"/>
    </row>
    <row r="13" spans="2:11" ht="36.75" customHeight="1" x14ac:dyDescent="0.3">
      <c r="B13" s="290" t="s">
        <v>263</v>
      </c>
      <c r="C13" s="290"/>
      <c r="D13" s="290"/>
      <c r="E13" s="290"/>
      <c r="F13" s="290"/>
      <c r="G13" s="290"/>
      <c r="H13" s="290"/>
      <c r="I13" s="290"/>
      <c r="J13" s="290"/>
      <c r="K13" s="290"/>
    </row>
    <row r="14" spans="2:11" ht="37.5" customHeight="1" x14ac:dyDescent="0.3">
      <c r="B14" s="289" t="s">
        <v>262</v>
      </c>
      <c r="C14" s="289"/>
      <c r="D14" s="289"/>
      <c r="E14" s="289"/>
      <c r="F14" s="289"/>
      <c r="G14" s="289"/>
      <c r="H14" s="289"/>
      <c r="I14" s="289"/>
      <c r="J14" s="289"/>
      <c r="K14" s="289"/>
    </row>
    <row r="15" spans="2:11" x14ac:dyDescent="0.3">
      <c r="B15" s="273" t="s">
        <v>261</v>
      </c>
      <c r="C15" s="272"/>
      <c r="D15" s="272"/>
      <c r="E15" s="272"/>
      <c r="F15" s="272"/>
      <c r="G15" s="272"/>
      <c r="H15" s="287" t="s">
        <v>260</v>
      </c>
      <c r="I15" s="287"/>
      <c r="J15" s="287"/>
      <c r="K15" s="287"/>
    </row>
    <row r="16" spans="2:11" x14ac:dyDescent="0.3">
      <c r="B16" s="283" t="s">
        <v>289</v>
      </c>
      <c r="H16"/>
    </row>
    <row r="17" spans="2:8" x14ac:dyDescent="0.3">
      <c r="B17" s="280" t="s">
        <v>290</v>
      </c>
      <c r="H17"/>
    </row>
    <row r="18" spans="2:8" x14ac:dyDescent="0.3">
      <c r="B18" s="283"/>
      <c r="H18"/>
    </row>
    <row r="19" spans="2:8" x14ac:dyDescent="0.3">
      <c r="B19" s="283" t="s">
        <v>284</v>
      </c>
      <c r="H19"/>
    </row>
    <row r="20" spans="2:8" x14ac:dyDescent="0.3">
      <c r="B20" s="280" t="s">
        <v>285</v>
      </c>
      <c r="H20"/>
    </row>
    <row r="21" spans="2:8" x14ac:dyDescent="0.3">
      <c r="B21" s="280" t="s">
        <v>287</v>
      </c>
      <c r="H21"/>
    </row>
    <row r="22" spans="2:8" x14ac:dyDescent="0.3">
      <c r="B22" s="280" t="s">
        <v>288</v>
      </c>
      <c r="H22"/>
    </row>
    <row r="23" spans="2:8" x14ac:dyDescent="0.3">
      <c r="B23" s="280"/>
      <c r="H23"/>
    </row>
    <row r="24" spans="2:8" x14ac:dyDescent="0.3">
      <c r="B24" s="283" t="s">
        <v>274</v>
      </c>
      <c r="H24"/>
    </row>
    <row r="25" spans="2:8" x14ac:dyDescent="0.3">
      <c r="B25" s="280" t="s">
        <v>278</v>
      </c>
      <c r="H25"/>
    </row>
    <row r="26" spans="2:8" x14ac:dyDescent="0.3">
      <c r="B26" s="280" t="s">
        <v>279</v>
      </c>
      <c r="H26"/>
    </row>
    <row r="27" spans="2:8" x14ac:dyDescent="0.3">
      <c r="B27" s="280" t="s">
        <v>281</v>
      </c>
      <c r="H27"/>
    </row>
    <row r="28" spans="2:8" x14ac:dyDescent="0.3">
      <c r="B28" s="280" t="s">
        <v>282</v>
      </c>
      <c r="H28"/>
    </row>
    <row r="29" spans="2:8" x14ac:dyDescent="0.3">
      <c r="B29" s="280" t="s">
        <v>283</v>
      </c>
      <c r="H29"/>
    </row>
    <row r="30" spans="2:8" x14ac:dyDescent="0.3">
      <c r="B30" s="280"/>
      <c r="H30"/>
    </row>
    <row r="31" spans="2:8" x14ac:dyDescent="0.3">
      <c r="B31" s="283" t="s">
        <v>257</v>
      </c>
      <c r="H31"/>
    </row>
    <row r="32" spans="2:8" x14ac:dyDescent="0.3">
      <c r="B32" s="280" t="s">
        <v>258</v>
      </c>
      <c r="H32"/>
    </row>
    <row r="33" spans="2:8" x14ac:dyDescent="0.3">
      <c r="B33" s="280" t="s">
        <v>259</v>
      </c>
      <c r="H33"/>
    </row>
    <row r="34" spans="2:8" x14ac:dyDescent="0.3">
      <c r="B34" s="280"/>
      <c r="H34"/>
    </row>
    <row r="35" spans="2:8" x14ac:dyDescent="0.3">
      <c r="B35" s="283" t="s">
        <v>255</v>
      </c>
      <c r="H35"/>
    </row>
    <row r="36" spans="2:8" x14ac:dyDescent="0.3">
      <c r="B36" s="280" t="s">
        <v>256</v>
      </c>
      <c r="H36"/>
    </row>
    <row r="37" spans="2:8" x14ac:dyDescent="0.3">
      <c r="B37" s="280"/>
      <c r="H37"/>
    </row>
    <row r="38" spans="2:8" x14ac:dyDescent="0.3">
      <c r="B38" s="283" t="s">
        <v>252</v>
      </c>
      <c r="H38"/>
    </row>
    <row r="39" spans="2:8" x14ac:dyDescent="0.3">
      <c r="B39" s="280" t="s">
        <v>253</v>
      </c>
      <c r="H39"/>
    </row>
    <row r="40" spans="2:8" x14ac:dyDescent="0.3">
      <c r="B40" s="281"/>
      <c r="H40"/>
    </row>
    <row r="41" spans="2:8" x14ac:dyDescent="0.3">
      <c r="B41" s="283" t="s">
        <v>203</v>
      </c>
      <c r="H41"/>
    </row>
    <row r="42" spans="2:8" x14ac:dyDescent="0.3">
      <c r="B42" s="280" t="s">
        <v>204</v>
      </c>
      <c r="H42"/>
    </row>
    <row r="43" spans="2:8" x14ac:dyDescent="0.3">
      <c r="B43" s="280" t="s">
        <v>208</v>
      </c>
      <c r="H43"/>
    </row>
    <row r="44" spans="2:8" x14ac:dyDescent="0.3">
      <c r="B44" s="280" t="s">
        <v>209</v>
      </c>
      <c r="H44"/>
    </row>
    <row r="45" spans="2:8" x14ac:dyDescent="0.3">
      <c r="B45" s="280" t="s">
        <v>210</v>
      </c>
      <c r="H45"/>
    </row>
    <row r="46" spans="2:8" x14ac:dyDescent="0.3">
      <c r="B46" s="280" t="s">
        <v>211</v>
      </c>
      <c r="H46"/>
    </row>
    <row r="47" spans="2:8" x14ac:dyDescent="0.3">
      <c r="B47" s="280" t="s">
        <v>218</v>
      </c>
      <c r="H47"/>
    </row>
    <row r="48" spans="2:8" x14ac:dyDescent="0.3">
      <c r="B48" s="280" t="s">
        <v>219</v>
      </c>
      <c r="H48"/>
    </row>
    <row r="49" spans="2:8" x14ac:dyDescent="0.3">
      <c r="B49" s="280" t="s">
        <v>220</v>
      </c>
      <c r="H49"/>
    </row>
    <row r="50" spans="2:8" x14ac:dyDescent="0.3">
      <c r="B50" s="280"/>
      <c r="H50"/>
    </row>
    <row r="51" spans="2:8" x14ac:dyDescent="0.3">
      <c r="B51" s="283" t="s">
        <v>212</v>
      </c>
      <c r="H51"/>
    </row>
    <row r="52" spans="2:8" x14ac:dyDescent="0.3">
      <c r="B52" s="280" t="s">
        <v>201</v>
      </c>
      <c r="H52"/>
    </row>
    <row r="53" spans="2:8" x14ac:dyDescent="0.3">
      <c r="B53" s="280" t="s">
        <v>202</v>
      </c>
      <c r="H53"/>
    </row>
    <row r="54" spans="2:8" x14ac:dyDescent="0.3">
      <c r="B54" s="280"/>
      <c r="H54"/>
    </row>
    <row r="55" spans="2:8" x14ac:dyDescent="0.3">
      <c r="B55" s="283" t="s">
        <v>196</v>
      </c>
      <c r="H55"/>
    </row>
    <row r="56" spans="2:8" x14ac:dyDescent="0.3">
      <c r="B56" s="280" t="s">
        <v>197</v>
      </c>
      <c r="H56"/>
    </row>
    <row r="57" spans="2:8" x14ac:dyDescent="0.3">
      <c r="B57" s="280" t="s">
        <v>198</v>
      </c>
      <c r="H57"/>
    </row>
    <row r="58" spans="2:8" x14ac:dyDescent="0.3">
      <c r="B58" s="280" t="s">
        <v>199</v>
      </c>
      <c r="H58"/>
    </row>
    <row r="59" spans="2:8" x14ac:dyDescent="0.3">
      <c r="B59" s="280" t="s">
        <v>200</v>
      </c>
      <c r="H59"/>
    </row>
    <row r="60" spans="2:8" x14ac:dyDescent="0.3">
      <c r="B60" s="282"/>
      <c r="H60"/>
    </row>
    <row r="61" spans="2:8" x14ac:dyDescent="0.3">
      <c r="B61" s="280"/>
      <c r="H61"/>
    </row>
    <row r="62" spans="2:8" x14ac:dyDescent="0.3">
      <c r="B62" s="280"/>
      <c r="H62"/>
    </row>
    <row r="63" spans="2:8" x14ac:dyDescent="0.3">
      <c r="B63" s="280"/>
      <c r="H63"/>
    </row>
    <row r="64" spans="2:8" x14ac:dyDescent="0.3">
      <c r="B64" s="280"/>
      <c r="H64"/>
    </row>
    <row r="65" spans="2:8" x14ac:dyDescent="0.3">
      <c r="B65" s="280"/>
      <c r="H65"/>
    </row>
    <row r="66" spans="2:8" x14ac:dyDescent="0.3">
      <c r="B66" s="280"/>
      <c r="H66"/>
    </row>
    <row r="67" spans="2:8" x14ac:dyDescent="0.3">
      <c r="B67" s="282"/>
      <c r="H67"/>
    </row>
    <row r="68" spans="2:8" x14ac:dyDescent="0.3">
      <c r="B68" s="280"/>
      <c r="H68"/>
    </row>
    <row r="69" spans="2:8" x14ac:dyDescent="0.3">
      <c r="H69"/>
    </row>
    <row r="70" spans="2:8" x14ac:dyDescent="0.3">
      <c r="H70"/>
    </row>
    <row r="71" spans="2:8" x14ac:dyDescent="0.3">
      <c r="H71"/>
    </row>
    <row r="72" spans="2:8" x14ac:dyDescent="0.3">
      <c r="H72"/>
    </row>
    <row r="73" spans="2:8" x14ac:dyDescent="0.3">
      <c r="H73"/>
    </row>
    <row r="74" spans="2:8" x14ac:dyDescent="0.3">
      <c r="H74"/>
    </row>
    <row r="75" spans="2:8" x14ac:dyDescent="0.3">
      <c r="H75"/>
    </row>
    <row r="76" spans="2:8" x14ac:dyDescent="0.3">
      <c r="B76" s="270"/>
      <c r="H76"/>
    </row>
    <row r="77" spans="2:8" x14ac:dyDescent="0.3">
      <c r="H77"/>
    </row>
    <row r="78" spans="2:8" x14ac:dyDescent="0.3">
      <c r="H78"/>
    </row>
    <row r="79" spans="2:8" x14ac:dyDescent="0.3">
      <c r="H79"/>
    </row>
    <row r="80" spans="2:8" x14ac:dyDescent="0.3">
      <c r="H80"/>
    </row>
    <row r="81" spans="2:8" x14ac:dyDescent="0.3">
      <c r="H81"/>
    </row>
    <row r="82" spans="2:8" x14ac:dyDescent="0.3">
      <c r="H82"/>
    </row>
    <row r="83" spans="2:8" x14ac:dyDescent="0.3">
      <c r="B83" s="270"/>
      <c r="H83"/>
    </row>
    <row r="84" spans="2:8" x14ac:dyDescent="0.3">
      <c r="H84"/>
    </row>
    <row r="85" spans="2:8" x14ac:dyDescent="0.3">
      <c r="H85"/>
    </row>
    <row r="86" spans="2:8" x14ac:dyDescent="0.3">
      <c r="B86" s="271"/>
      <c r="H86"/>
    </row>
    <row r="87" spans="2:8" x14ac:dyDescent="0.3">
      <c r="B87" s="271"/>
      <c r="H87"/>
    </row>
    <row r="88" spans="2:8" x14ac:dyDescent="0.3">
      <c r="B88" s="271"/>
      <c r="H88"/>
    </row>
    <row r="89" spans="2:8" x14ac:dyDescent="0.3">
      <c r="H89"/>
    </row>
    <row r="90" spans="2:8" x14ac:dyDescent="0.3">
      <c r="B90" s="270"/>
      <c r="H90"/>
    </row>
    <row r="91" spans="2:8" x14ac:dyDescent="0.3">
      <c r="H91"/>
    </row>
    <row r="92" spans="2:8" x14ac:dyDescent="0.3">
      <c r="H92"/>
    </row>
    <row r="93" spans="2:8" x14ac:dyDescent="0.3">
      <c r="B93" s="271"/>
      <c r="H93"/>
    </row>
    <row r="94" spans="2:8" x14ac:dyDescent="0.3">
      <c r="B94" s="271"/>
      <c r="H94"/>
    </row>
    <row r="95" spans="2:8" x14ac:dyDescent="0.3">
      <c r="B95" s="271"/>
      <c r="H95"/>
    </row>
    <row r="96" spans="2:8" x14ac:dyDescent="0.3">
      <c r="B96" s="271"/>
      <c r="H96"/>
    </row>
    <row r="97" spans="2:8" x14ac:dyDescent="0.3">
      <c r="H97"/>
    </row>
    <row r="98" spans="2:8" x14ac:dyDescent="0.3">
      <c r="H98"/>
    </row>
    <row r="99" spans="2:8" x14ac:dyDescent="0.3">
      <c r="B99" s="270"/>
      <c r="H99"/>
    </row>
    <row r="100" spans="2:8" x14ac:dyDescent="0.3">
      <c r="H100"/>
    </row>
    <row r="101" spans="2:8" x14ac:dyDescent="0.3">
      <c r="H101"/>
    </row>
    <row r="102" spans="2:8" x14ac:dyDescent="0.3">
      <c r="H102"/>
    </row>
    <row r="103" spans="2:8" x14ac:dyDescent="0.3">
      <c r="H103"/>
    </row>
    <row r="104" spans="2:8" x14ac:dyDescent="0.3">
      <c r="H104"/>
    </row>
    <row r="105" spans="2:8" x14ac:dyDescent="0.3">
      <c r="B105"/>
      <c r="H105"/>
    </row>
    <row r="106" spans="2:8" x14ac:dyDescent="0.3">
      <c r="B106" s="270"/>
    </row>
    <row r="111" spans="2:8" x14ac:dyDescent="0.3">
      <c r="B111" s="269"/>
    </row>
  </sheetData>
  <mergeCells count="9">
    <mergeCell ref="H15:K15"/>
    <mergeCell ref="B5:D5"/>
    <mergeCell ref="B14:K14"/>
    <mergeCell ref="B13:K13"/>
    <mergeCell ref="G5:J5"/>
    <mergeCell ref="G6:J6"/>
    <mergeCell ref="G9:J9"/>
    <mergeCell ref="G8:K8"/>
    <mergeCell ref="G10:K10"/>
  </mergeCells>
  <hyperlinks>
    <hyperlink ref="B5" r:id="rId1" xr:uid="{00000000-0004-0000-0000-000000000000}"/>
    <hyperlink ref="G8" r:id="rId2" xr:uid="{00000000-0004-0000-0000-000001000000}"/>
    <hyperlink ref="G5:J5" r:id="rId3" display="Visit this Model's Webpage" xr:uid="{00000000-0004-0000-0000-000002000000}"/>
    <hyperlink ref="G6:J6" r:id="rId4" display="Guides and Tutorials for Using the Model" xr:uid="{00000000-0004-0000-0000-000003000000}"/>
    <hyperlink ref="B14:K14" r:id="rId5" display="https://www.adventuresincre.com/accelerator/" xr:uid="{00000000-0004-0000-0000-000004000000}"/>
    <hyperlink ref="H15" r:id="rId6" xr:uid="{00000000-0004-0000-0000-000005000000}"/>
    <hyperlink ref="G9:J9" r:id="rId7" display="Download Our New Apartment Acquisition Model"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pageSetUpPr fitToPage="1"/>
  </sheetPr>
  <dimension ref="A1:Q50"/>
  <sheetViews>
    <sheetView showGridLines="0" zoomScale="85" zoomScaleNormal="85" zoomScaleSheetLayoutView="90" workbookViewId="0"/>
  </sheetViews>
  <sheetFormatPr defaultColWidth="9.109375" defaultRowHeight="14.4" zeroHeight="1" x14ac:dyDescent="0.3"/>
  <cols>
    <col min="1" max="1" width="1.6640625" style="37" customWidth="1"/>
    <col min="2" max="2" width="25.5546875" style="37" bestFit="1" customWidth="1"/>
    <col min="3" max="3" width="4.6640625" style="37" customWidth="1"/>
    <col min="4" max="4" width="14.5546875" style="70" bestFit="1" customWidth="1"/>
    <col min="5" max="5" width="4.44140625" style="37" customWidth="1"/>
    <col min="6" max="6" width="20.44140625" style="37" customWidth="1"/>
    <col min="7" max="7" width="4.6640625" style="37" customWidth="1"/>
    <col min="8" max="8" width="11.88671875" style="70" customWidth="1"/>
    <col min="9" max="9" width="3" style="37" customWidth="1"/>
    <col min="10" max="10" width="14.5546875" style="37" customWidth="1"/>
    <col min="11" max="11" width="6.109375" style="37" customWidth="1"/>
    <col min="12" max="12" width="16.109375" style="37" bestFit="1" customWidth="1"/>
    <col min="13" max="13" width="20.44140625" style="37" customWidth="1"/>
    <col min="14" max="14" width="16.44140625" style="37" bestFit="1" customWidth="1"/>
    <col min="15" max="15" width="8.44140625" style="37" bestFit="1" customWidth="1"/>
    <col min="16" max="16" width="10.109375" style="37" bestFit="1" customWidth="1"/>
    <col min="17" max="17" width="7.109375" style="37" bestFit="1" customWidth="1"/>
    <col min="18" max="16384" width="9.109375" style="37"/>
  </cols>
  <sheetData>
    <row r="1" spans="2:17" ht="9.9" customHeight="1" x14ac:dyDescent="0.3"/>
    <row r="2" spans="2:17" ht="15.6" x14ac:dyDescent="0.3">
      <c r="B2" s="293" t="s">
        <v>118</v>
      </c>
      <c r="C2" s="293"/>
      <c r="D2" s="293"/>
      <c r="E2" s="81"/>
      <c r="F2" s="81"/>
      <c r="G2" s="81"/>
      <c r="H2" s="286" t="s">
        <v>286</v>
      </c>
    </row>
    <row r="3" spans="2:17" ht="15.6" x14ac:dyDescent="0.3">
      <c r="B3" s="73" t="s">
        <v>1</v>
      </c>
      <c r="C3" s="73"/>
      <c r="D3" s="114" t="s">
        <v>187</v>
      </c>
      <c r="E3" s="36"/>
      <c r="F3" s="36" t="s">
        <v>144</v>
      </c>
      <c r="G3" s="36"/>
      <c r="H3" s="121">
        <v>124</v>
      </c>
      <c r="J3" s="69" t="s">
        <v>74</v>
      </c>
      <c r="K3" s="59" t="s">
        <v>87</v>
      </c>
      <c r="L3" s="59" t="s">
        <v>88</v>
      </c>
    </row>
    <row r="4" spans="2:17" x14ac:dyDescent="0.3">
      <c r="B4" s="73" t="s">
        <v>3</v>
      </c>
      <c r="C4" s="73"/>
      <c r="D4" s="115" t="s">
        <v>185</v>
      </c>
      <c r="E4" s="36"/>
      <c r="F4" s="36" t="s">
        <v>43</v>
      </c>
      <c r="G4" s="36"/>
      <c r="H4" s="120">
        <v>0</v>
      </c>
      <c r="J4" s="36" t="s">
        <v>76</v>
      </c>
      <c r="K4" s="195">
        <f>+'Investor Returns'!Equity_Share_Sponsor</f>
        <v>0.1</v>
      </c>
      <c r="L4" s="101">
        <f>+'Investor Returns'!D8</f>
        <v>300360.1291450896</v>
      </c>
    </row>
    <row r="5" spans="2:17" x14ac:dyDescent="0.3">
      <c r="B5" s="73" t="s">
        <v>195</v>
      </c>
      <c r="C5" s="73"/>
      <c r="D5" s="116">
        <v>0.93</v>
      </c>
      <c r="E5" s="36"/>
      <c r="F5" s="36" t="s">
        <v>66</v>
      </c>
      <c r="G5" s="36"/>
      <c r="H5" s="111">
        <v>0.01</v>
      </c>
      <c r="J5" s="36" t="s">
        <v>75</v>
      </c>
      <c r="K5" s="71">
        <f>1-K4</f>
        <v>0.9</v>
      </c>
      <c r="L5" s="101">
        <f>+'Investor Returns'!D9</f>
        <v>2703241.1623058063</v>
      </c>
    </row>
    <row r="6" spans="2:17" x14ac:dyDescent="0.3">
      <c r="B6" s="36" t="s">
        <v>63</v>
      </c>
      <c r="C6" s="36"/>
      <c r="D6" s="115" t="s">
        <v>280</v>
      </c>
      <c r="E6" s="36"/>
      <c r="F6" s="36" t="s">
        <v>60</v>
      </c>
      <c r="G6" s="36"/>
      <c r="H6" s="104">
        <f>((1+H5)*Purchase_Price)+(Debt*H29)+H4</f>
        <v>7369625</v>
      </c>
      <c r="J6" s="58" t="s">
        <v>246</v>
      </c>
      <c r="K6" s="36"/>
      <c r="L6" s="36"/>
    </row>
    <row r="7" spans="2:17" x14ac:dyDescent="0.3">
      <c r="B7" s="73" t="s">
        <v>16</v>
      </c>
      <c r="C7" s="73"/>
      <c r="D7" s="117">
        <v>42370</v>
      </c>
      <c r="E7" s="36"/>
      <c r="F7" s="36" t="s">
        <v>65</v>
      </c>
      <c r="G7" s="36"/>
      <c r="H7" s="103">
        <f>H9/D18</f>
        <v>6.0253587862068983E-2</v>
      </c>
    </row>
    <row r="8" spans="2:17" x14ac:dyDescent="0.3">
      <c r="B8" s="73" t="s">
        <v>17</v>
      </c>
      <c r="C8" s="73"/>
      <c r="D8" s="114">
        <v>10</v>
      </c>
      <c r="E8" s="36"/>
      <c r="F8" s="36" t="s">
        <v>146</v>
      </c>
      <c r="G8" s="36"/>
      <c r="H8" s="105">
        <f>Purchase_Price/Units</f>
        <v>58467.741935483871</v>
      </c>
    </row>
    <row r="9" spans="2:17" x14ac:dyDescent="0.3">
      <c r="B9" s="73" t="s">
        <v>250</v>
      </c>
      <c r="C9" s="73"/>
      <c r="D9" s="118">
        <f>MIN(Analysis_Period+1,15)</f>
        <v>11</v>
      </c>
      <c r="E9" s="36"/>
      <c r="F9" s="36" t="s">
        <v>61</v>
      </c>
      <c r="G9" s="36"/>
      <c r="H9" s="105">
        <f>'Property Returns'!D7</f>
        <v>436838.5120000001</v>
      </c>
    </row>
    <row r="10" spans="2:17" x14ac:dyDescent="0.3">
      <c r="B10" s="73" t="s">
        <v>251</v>
      </c>
      <c r="C10" s="73"/>
      <c r="D10" s="119">
        <v>0</v>
      </c>
      <c r="E10" s="36"/>
      <c r="F10" s="36" t="s">
        <v>62</v>
      </c>
      <c r="G10" s="36"/>
      <c r="H10" s="105">
        <f>'Property Returns'!F7</f>
        <v>581601.70567479928</v>
      </c>
    </row>
    <row r="11" spans="2:17" ht="15.6" x14ac:dyDescent="0.3">
      <c r="B11" s="73" t="s">
        <v>249</v>
      </c>
      <c r="C11" s="73"/>
      <c r="D11" s="111">
        <v>6.5000000000000002E-2</v>
      </c>
      <c r="E11" s="36"/>
      <c r="F11" s="36" t="str">
        <f>"Terminal Cap Rate (Yr. "&amp;Analysis_Period&amp;")"</f>
        <v>Terminal Cap Rate (Yr. 10)</v>
      </c>
      <c r="G11" s="36"/>
      <c r="H11" s="103">
        <f>H7+(Analysis_Period*(D10/10000))</f>
        <v>6.0253587862068983E-2</v>
      </c>
      <c r="J11" s="75"/>
      <c r="N11" s="189"/>
      <c r="O11" s="189"/>
      <c r="P11" s="189"/>
      <c r="Q11" s="189"/>
    </row>
    <row r="12" spans="2:17" x14ac:dyDescent="0.3">
      <c r="B12" s="73" t="s">
        <v>53</v>
      </c>
      <c r="C12" s="73"/>
      <c r="D12" s="111">
        <v>7.4999999999999997E-2</v>
      </c>
      <c r="E12" s="36"/>
      <c r="F12" s="36" t="s">
        <v>119</v>
      </c>
      <c r="G12" s="36"/>
      <c r="H12" s="104">
        <f>HLOOKUP(Analysis_Period,'Property Returns'!$D$3:$S$32,10,FALSE)</f>
        <v>9639357.4051448423</v>
      </c>
      <c r="M12" s="190"/>
      <c r="N12" s="191"/>
      <c r="O12" s="192"/>
      <c r="P12" s="162"/>
      <c r="Q12" s="162"/>
    </row>
    <row r="13" spans="2:17" x14ac:dyDescent="0.3">
      <c r="B13" s="73" t="s">
        <v>145</v>
      </c>
      <c r="C13" s="73"/>
      <c r="D13" s="110">
        <v>60000</v>
      </c>
      <c r="E13" s="36"/>
      <c r="F13" s="36"/>
      <c r="G13" s="36"/>
      <c r="H13" s="88"/>
      <c r="L13" s="193"/>
      <c r="M13" s="194"/>
      <c r="N13" s="191"/>
      <c r="O13" s="192"/>
      <c r="P13" s="162"/>
      <c r="Q13" s="162"/>
    </row>
    <row r="14" spans="2:17" x14ac:dyDescent="0.3">
      <c r="B14" s="36" t="s">
        <v>64</v>
      </c>
      <c r="C14" s="36"/>
      <c r="D14" s="120">
        <v>7250000</v>
      </c>
      <c r="E14" s="36"/>
      <c r="F14" s="36" t="s">
        <v>172</v>
      </c>
      <c r="G14" s="36"/>
      <c r="H14" s="110">
        <v>25000</v>
      </c>
      <c r="L14" s="193"/>
      <c r="M14" s="194"/>
      <c r="N14" s="191"/>
      <c r="O14" s="192"/>
      <c r="P14" s="162"/>
      <c r="Q14" s="162"/>
    </row>
    <row r="15" spans="2:17" x14ac:dyDescent="0.3">
      <c r="B15" s="36"/>
      <c r="C15" s="36"/>
      <c r="D15" s="120"/>
      <c r="E15" s="36"/>
      <c r="F15" s="36" t="s">
        <v>181</v>
      </c>
      <c r="G15" s="36"/>
      <c r="H15" s="111">
        <v>0.08</v>
      </c>
      <c r="L15" s="193"/>
      <c r="M15" s="194"/>
      <c r="N15" s="191"/>
      <c r="O15" s="192"/>
      <c r="P15" s="162"/>
      <c r="Q15" s="162"/>
    </row>
    <row r="16" spans="2:17" x14ac:dyDescent="0.3">
      <c r="D16" s="37"/>
      <c r="F16" s="91" t="s">
        <v>173</v>
      </c>
      <c r="G16" s="70"/>
    </row>
    <row r="17" spans="2:12" ht="15.6" x14ac:dyDescent="0.3">
      <c r="B17" s="293" t="s">
        <v>73</v>
      </c>
      <c r="C17" s="293"/>
      <c r="D17" s="293"/>
      <c r="E17" s="81"/>
      <c r="F17" s="293" t="s">
        <v>15</v>
      </c>
      <c r="G17" s="293"/>
      <c r="H17" s="293"/>
      <c r="I17" s="81"/>
      <c r="J17" s="293" t="s">
        <v>170</v>
      </c>
      <c r="K17" s="293"/>
      <c r="L17" s="293"/>
    </row>
    <row r="18" spans="2:12" x14ac:dyDescent="0.3">
      <c r="B18" s="58" t="s">
        <v>59</v>
      </c>
      <c r="C18" s="58"/>
      <c r="D18" s="108">
        <f>IF(D6="Manual Input",D14,IF(D6="Present Value",D19,IF(D6="Cap Year 1 NOI",H9/Exit_Cap_Yr_1,D20)))</f>
        <v>7250000</v>
      </c>
      <c r="E18" s="36"/>
      <c r="F18" s="36" t="s">
        <v>28</v>
      </c>
      <c r="G18" s="36"/>
      <c r="H18" s="110">
        <f>D14*0.65</f>
        <v>4712500</v>
      </c>
      <c r="I18" s="36"/>
      <c r="J18" s="36" t="s">
        <v>175</v>
      </c>
      <c r="K18" s="36"/>
      <c r="L18" s="111">
        <v>1.4999999999999999E-2</v>
      </c>
    </row>
    <row r="19" spans="2:12" x14ac:dyDescent="0.3">
      <c r="B19" s="36" t="str">
        <f>"Present Value @ "&amp;TEXT(Discount_Rate,"0.00%")</f>
        <v>Present Value @ 7.50%</v>
      </c>
      <c r="C19" s="36"/>
      <c r="D19" s="104">
        <f>NPV(Discount_Rate,'Property Returns'!$D$18:$R$18)</f>
        <v>7323615.8952020612</v>
      </c>
      <c r="E19" s="36"/>
      <c r="F19" s="36" t="s">
        <v>14</v>
      </c>
      <c r="G19" s="36"/>
      <c r="H19" s="102">
        <f>Debt/D19</f>
        <v>0.64346629689950174</v>
      </c>
      <c r="I19" s="36"/>
      <c r="J19" s="36" t="s">
        <v>176</v>
      </c>
      <c r="K19" s="36"/>
      <c r="L19" s="111">
        <v>0.01</v>
      </c>
    </row>
    <row r="20" spans="2:12" x14ac:dyDescent="0.3">
      <c r="B20" s="36" t="str">
        <f>"Replacement Cost @ "&amp;D13/1000&amp;"k/unit"</f>
        <v>Replacement Cost @ 60k/unit</v>
      </c>
      <c r="C20" s="36"/>
      <c r="D20" s="105">
        <f>'Property Summary'!D13*Units</f>
        <v>7440000</v>
      </c>
      <c r="E20" s="36"/>
      <c r="F20" s="36" t="s">
        <v>194</v>
      </c>
      <c r="G20" s="36"/>
      <c r="H20" s="102">
        <f>Debt/Basis</f>
        <v>0.63944909001475647</v>
      </c>
      <c r="I20" s="36"/>
      <c r="J20" s="36" t="s">
        <v>21</v>
      </c>
      <c r="K20" s="36"/>
      <c r="L20" s="111">
        <v>0.02</v>
      </c>
    </row>
    <row r="21" spans="2:12" ht="15.6" x14ac:dyDescent="0.3">
      <c r="B21" s="74"/>
      <c r="C21" s="74"/>
      <c r="D21" s="109"/>
      <c r="E21" s="36"/>
      <c r="F21" s="36" t="s">
        <v>69</v>
      </c>
      <c r="G21" s="36"/>
      <c r="H21" s="104">
        <f>Debt*'Property Summary'!H29</f>
        <v>47125</v>
      </c>
      <c r="I21" s="36"/>
      <c r="J21" s="36" t="s">
        <v>137</v>
      </c>
      <c r="K21" s="36"/>
      <c r="L21" s="111">
        <v>0.02</v>
      </c>
    </row>
    <row r="22" spans="2:12" ht="15.6" x14ac:dyDescent="0.3">
      <c r="B22" s="36" t="s">
        <v>55</v>
      </c>
      <c r="C22" s="36"/>
      <c r="D22" s="103">
        <f ca="1">HLOOKUP(Analysis_Period,'Property Returns'!$D$3:$T$39,18,FALSE)</f>
        <v>7.4209223862406581E-2</v>
      </c>
      <c r="E22" s="36"/>
      <c r="F22" s="36" t="s">
        <v>216</v>
      </c>
      <c r="G22" s="36"/>
      <c r="H22" s="104">
        <f>Basis-Debt</f>
        <v>2657125</v>
      </c>
      <c r="I22" s="36"/>
      <c r="J22" s="36" t="s">
        <v>171</v>
      </c>
      <c r="K22" s="74"/>
      <c r="L22" s="111">
        <v>0.02</v>
      </c>
    </row>
    <row r="23" spans="2:12" x14ac:dyDescent="0.3">
      <c r="B23" s="36" t="s">
        <v>36</v>
      </c>
      <c r="C23" s="36"/>
      <c r="D23" s="107">
        <f ca="1">HLOOKUP(Analysis_Period,'Property Returns'!$D$3:$T$39,19,FALSE)</f>
        <v>1.8657631826362211</v>
      </c>
      <c r="E23" s="36"/>
      <c r="F23" s="36" t="s">
        <v>217</v>
      </c>
      <c r="G23" s="36"/>
      <c r="H23" s="104">
        <f>Total_Equity</f>
        <v>3003601.2914508958</v>
      </c>
      <c r="I23" s="36"/>
      <c r="J23" s="36"/>
      <c r="K23" s="36"/>
      <c r="L23" s="112"/>
    </row>
    <row r="24" spans="2:12" ht="15.6" x14ac:dyDescent="0.3">
      <c r="B24" s="36" t="s">
        <v>27</v>
      </c>
      <c r="C24" s="36"/>
      <c r="D24" s="103">
        <f>HLOOKUP(Analysis_Period,'Property Returns'!$D$3:$T$39,15,FALSE)</f>
        <v>5.5777839302415221E-2</v>
      </c>
      <c r="E24" s="36"/>
      <c r="F24" s="74"/>
      <c r="G24" s="74"/>
      <c r="H24" s="109"/>
      <c r="I24" s="36"/>
      <c r="J24" s="36"/>
      <c r="K24" s="36"/>
      <c r="L24" s="113"/>
    </row>
    <row r="25" spans="2:12" x14ac:dyDescent="0.3">
      <c r="B25" s="36"/>
      <c r="C25" s="36"/>
      <c r="D25" s="88"/>
      <c r="E25" s="36"/>
      <c r="F25" s="36" t="s">
        <v>10</v>
      </c>
      <c r="G25" s="36"/>
      <c r="H25" s="111">
        <v>4.2500000000000003E-2</v>
      </c>
      <c r="I25" s="36"/>
      <c r="J25" s="36"/>
      <c r="K25" s="36"/>
      <c r="L25" s="112"/>
    </row>
    <row r="26" spans="2:12" x14ac:dyDescent="0.3">
      <c r="B26" s="36" t="s">
        <v>56</v>
      </c>
      <c r="C26" s="36"/>
      <c r="D26" s="103">
        <f ca="1">HLOOKUP(Analysis_Period,'Property Returns'!$D$3:$T$39,36,FALSE)</f>
        <v>0.10915007624475148</v>
      </c>
      <c r="E26" s="36"/>
      <c r="F26" s="36" t="s">
        <v>11</v>
      </c>
      <c r="G26" s="36"/>
      <c r="H26" s="112">
        <v>0</v>
      </c>
      <c r="I26" s="36"/>
      <c r="J26" s="36"/>
      <c r="K26" s="36"/>
      <c r="L26" s="111"/>
    </row>
    <row r="27" spans="2:12" x14ac:dyDescent="0.3">
      <c r="B27" s="36" t="s">
        <v>37</v>
      </c>
      <c r="C27" s="36"/>
      <c r="D27" s="107">
        <f ca="1">HLOOKUP(Analysis_Period,'Property Returns'!$D$3:$T$39,37,FALSE)</f>
        <v>2.5205638314235852</v>
      </c>
      <c r="E27" s="36"/>
      <c r="F27" s="36" t="s">
        <v>67</v>
      </c>
      <c r="G27" s="36"/>
      <c r="H27" s="113">
        <v>30</v>
      </c>
      <c r="I27" s="36"/>
      <c r="J27" s="36"/>
      <c r="K27" s="36"/>
      <c r="L27" s="111"/>
    </row>
    <row r="28" spans="2:12" x14ac:dyDescent="0.3">
      <c r="B28" s="36" t="s">
        <v>33</v>
      </c>
      <c r="C28" s="36"/>
      <c r="D28" s="103">
        <f>HLOOKUP(Analysis_Period,'Property Returns'!$D$3:$T$39,34,FALSE)</f>
        <v>5.0005080891419786E-2</v>
      </c>
      <c r="E28" s="36"/>
      <c r="F28" s="36" t="s">
        <v>13</v>
      </c>
      <c r="G28" s="36"/>
      <c r="H28" s="112">
        <v>10</v>
      </c>
      <c r="I28" s="36"/>
      <c r="J28" s="36"/>
      <c r="K28" s="36"/>
      <c r="L28" s="88"/>
    </row>
    <row r="29" spans="2:12" x14ac:dyDescent="0.3">
      <c r="B29" s="36"/>
      <c r="C29" s="36"/>
      <c r="D29" s="88"/>
      <c r="E29" s="36"/>
      <c r="F29" s="36" t="s">
        <v>68</v>
      </c>
      <c r="G29" s="36"/>
      <c r="H29" s="111">
        <v>0.01</v>
      </c>
      <c r="I29" s="36"/>
      <c r="J29" s="36"/>
      <c r="K29" s="36"/>
      <c r="L29" s="88"/>
    </row>
    <row r="30" spans="2:12" ht="15.6" x14ac:dyDescent="0.3">
      <c r="B30" s="36" t="s">
        <v>140</v>
      </c>
      <c r="C30" s="36"/>
      <c r="D30" s="107">
        <f>MIN('Property Returns'!$D$27:$R$27)</f>
        <v>1.5702769986236784</v>
      </c>
      <c r="E30" s="36"/>
      <c r="F30" s="74"/>
      <c r="G30" s="74"/>
      <c r="H30" s="109"/>
      <c r="I30" s="36"/>
      <c r="J30" s="36"/>
      <c r="K30" s="36"/>
      <c r="L30" s="88"/>
    </row>
    <row r="31" spans="2:12" ht="15.6" x14ac:dyDescent="0.3">
      <c r="B31" s="36" t="s">
        <v>141</v>
      </c>
      <c r="C31" s="36"/>
      <c r="D31" s="103">
        <f>MIN('Property Returns'!$D$28:$R$28)</f>
        <v>9.4287386876546239E-2</v>
      </c>
      <c r="E31" s="36"/>
      <c r="F31" s="74"/>
      <c r="G31" s="74"/>
      <c r="H31" s="109"/>
      <c r="I31" s="36"/>
      <c r="J31" s="36"/>
      <c r="K31" s="36"/>
      <c r="L31" s="88"/>
    </row>
    <row r="32" spans="2:12" x14ac:dyDescent="0.3"/>
    <row r="33" spans="1:8" s="75" customFormat="1" ht="15.6" x14ac:dyDescent="0.3">
      <c r="A33" s="37"/>
      <c r="B33" s="82" t="s">
        <v>77</v>
      </c>
      <c r="C33" s="82"/>
      <c r="D33" s="260" t="s">
        <v>76</v>
      </c>
      <c r="E33" s="261"/>
      <c r="F33" s="260" t="s">
        <v>114</v>
      </c>
      <c r="G33" s="82"/>
    </row>
    <row r="34" spans="1:8" x14ac:dyDescent="0.3">
      <c r="B34" s="36" t="s">
        <v>47</v>
      </c>
      <c r="C34" s="36"/>
      <c r="D34" s="102">
        <f>'Investor Returns'!D32</f>
        <v>0.14827582241567905</v>
      </c>
      <c r="E34" s="88"/>
      <c r="F34" s="103">
        <f>'Investor Returns'!D24</f>
        <v>0.10388158418086624</v>
      </c>
      <c r="G34" s="36"/>
      <c r="H34" s="37"/>
    </row>
    <row r="35" spans="1:8" x14ac:dyDescent="0.3">
      <c r="B35" s="36" t="s">
        <v>78</v>
      </c>
      <c r="C35" s="36"/>
      <c r="D35" s="104">
        <f>'Investor Returns'!D28</f>
        <v>1061225.0725800872</v>
      </c>
      <c r="E35" s="88"/>
      <c r="F35" s="105">
        <f>'Investor Returns'!D21</f>
        <v>6509543.706668213</v>
      </c>
      <c r="G35" s="36"/>
      <c r="H35" s="37"/>
    </row>
    <row r="36" spans="1:8" x14ac:dyDescent="0.3">
      <c r="B36" s="36" t="s">
        <v>79</v>
      </c>
      <c r="C36" s="36"/>
      <c r="D36" s="104">
        <f>'Investor Returns'!D30</f>
        <v>300360.1291450896</v>
      </c>
      <c r="E36" s="88"/>
      <c r="F36" s="105">
        <f>'Investor Returns'!D22</f>
        <v>2703241.1623058063</v>
      </c>
      <c r="G36" s="36"/>
      <c r="H36" s="37"/>
    </row>
    <row r="37" spans="1:8" x14ac:dyDescent="0.3">
      <c r="B37" s="42" t="s">
        <v>80</v>
      </c>
      <c r="C37" s="42"/>
      <c r="D37" s="104">
        <f>'Investor Returns'!D31</f>
        <v>760864.94343499769</v>
      </c>
      <c r="E37" s="88"/>
      <c r="F37" s="105">
        <f>'Investor Returns'!D23</f>
        <v>3806302.5443624067</v>
      </c>
      <c r="G37" s="36"/>
      <c r="H37" s="37"/>
    </row>
    <row r="38" spans="1:8" x14ac:dyDescent="0.3">
      <c r="B38" s="36" t="s">
        <v>81</v>
      </c>
      <c r="C38" s="36"/>
      <c r="D38" s="106">
        <f>'Investor Returns'!D33</f>
        <v>3.5331755769337154</v>
      </c>
      <c r="E38" s="88"/>
      <c r="F38" s="107">
        <f>'Investor Returns'!D25</f>
        <v>2.4080514152557937</v>
      </c>
      <c r="G38" s="36"/>
      <c r="H38" s="37"/>
    </row>
    <row r="39" spans="1:8" x14ac:dyDescent="0.3">
      <c r="D39" s="76"/>
    </row>
    <row r="40" spans="1:8" x14ac:dyDescent="0.3">
      <c r="D40" s="77"/>
    </row>
    <row r="41" spans="1:8" x14ac:dyDescent="0.3"/>
    <row r="42" spans="1:8" x14ac:dyDescent="0.3">
      <c r="D42" s="77"/>
    </row>
    <row r="43" spans="1:8" x14ac:dyDescent="0.3">
      <c r="D43" s="76"/>
    </row>
    <row r="44" spans="1:8" x14ac:dyDescent="0.3">
      <c r="D44" s="77"/>
    </row>
    <row r="45" spans="1:8" x14ac:dyDescent="0.3"/>
    <row r="46" spans="1:8" x14ac:dyDescent="0.3">
      <c r="D46" s="76"/>
    </row>
    <row r="47" spans="1:8" x14ac:dyDescent="0.3">
      <c r="D47" s="77"/>
    </row>
    <row r="48" spans="1:8" x14ac:dyDescent="0.3"/>
    <row r="49" x14ac:dyDescent="0.3"/>
    <row r="50" x14ac:dyDescent="0.3"/>
  </sheetData>
  <mergeCells count="4">
    <mergeCell ref="B2:D2"/>
    <mergeCell ref="B17:D17"/>
    <mergeCell ref="F17:H17"/>
    <mergeCell ref="J17:L17"/>
  </mergeCells>
  <conditionalFormatting sqref="B14:D15">
    <cfRule type="expression" dxfId="26" priority="1">
      <formula>$D$6&lt;&gt;"Manual Input"</formula>
    </cfRule>
  </conditionalFormatting>
  <dataValidations count="5">
    <dataValidation type="whole" allowBlank="1" showInputMessage="1" showErrorMessage="1" errorTitle="Invalid Year" error="Mininum of 1 year._x000a_Maximum of 15 years." sqref="D8" xr:uid="{00000000-0002-0000-0100-000000000000}">
      <formula1>1</formula1>
      <formula2>15</formula2>
    </dataValidation>
    <dataValidation type="list" allowBlank="1" showInputMessage="1" showErrorMessage="1" sqref="D6" xr:uid="{00000000-0002-0000-0100-000001000000}">
      <formula1>"Manual Input, Present Value, Cap Year 1 NOI, Replacement Cost"</formula1>
    </dataValidation>
    <dataValidation type="decimal" operator="greaterThan" allowBlank="1" showInputMessage="1" showErrorMessage="1" sqref="D13" xr:uid="{00000000-0002-0000-0100-000002000000}">
      <formula1>0</formula1>
    </dataValidation>
    <dataValidation type="whole" allowBlank="1" showInputMessage="1" showErrorMessage="1" errorTitle="Error!" error="Input a value that is greater than or equal to the analysis period but not more than 15." sqref="D9" xr:uid="{00000000-0002-0000-0100-000003000000}">
      <formula1>D8</formula1>
      <formula2>15</formula2>
    </dataValidation>
    <dataValidation type="list" allowBlank="1" showInputMessage="1" showErrorMessage="1" sqref="H2" xr:uid="{00000000-0002-0000-0100-000004000000}">
      <formula1>"SF, M2"</formula1>
    </dataValidation>
  </dataValidations>
  <pageMargins left="0.7" right="0.7" top="0.75" bottom="0.75" header="0.3" footer="0.3"/>
  <pageSetup scale="92" orientation="portrait" horizontalDpi="4294967294" verticalDpi="12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pageSetUpPr fitToPage="1"/>
  </sheetPr>
  <dimension ref="A1:AC6"/>
  <sheetViews>
    <sheetView showGridLines="0" zoomScale="85" zoomScaleNormal="85" zoomScaleSheetLayoutView="85" workbookViewId="0">
      <selection activeCell="O5" sqref="O5"/>
    </sheetView>
  </sheetViews>
  <sheetFormatPr defaultColWidth="9.109375" defaultRowHeight="14.4" x14ac:dyDescent="0.3"/>
  <cols>
    <col min="1" max="1" width="2.6640625" customWidth="1"/>
    <col min="2" max="2" width="2.88671875" hidden="1" customWidth="1"/>
    <col min="3" max="3" width="24" bestFit="1" customWidth="1"/>
    <col min="4" max="4" width="12.88671875" bestFit="1" customWidth="1"/>
    <col min="5" max="5" width="11.44140625" bestFit="1" customWidth="1"/>
    <col min="6" max="6" width="7.109375" bestFit="1" customWidth="1"/>
    <col min="7" max="7" width="12.6640625" hidden="1" customWidth="1"/>
    <col min="8" max="8" width="8.6640625" bestFit="1" customWidth="1"/>
    <col min="9" max="9" width="8.44140625" bestFit="1" customWidth="1"/>
    <col min="10" max="10" width="12.88671875" bestFit="1" customWidth="1"/>
    <col min="11" max="11" width="10.33203125" customWidth="1"/>
    <col min="12" max="12" width="12.88671875" bestFit="1" customWidth="1"/>
    <col min="13" max="13" width="14.33203125" bestFit="1" customWidth="1"/>
    <col min="14" max="14" width="12.109375" bestFit="1" customWidth="1"/>
    <col min="15" max="15" width="12.109375" customWidth="1"/>
    <col min="16" max="17" width="10.6640625" bestFit="1" customWidth="1"/>
    <col min="18" max="18" width="8.5546875" bestFit="1" customWidth="1"/>
    <col min="19" max="19" width="7.109375" customWidth="1"/>
    <col min="20" max="20" width="13.109375" hidden="1" customWidth="1"/>
    <col min="21" max="21" width="10.88671875" bestFit="1" customWidth="1"/>
    <col min="22" max="22" width="8.5546875" hidden="1" customWidth="1"/>
    <col min="24" max="24" width="2.6640625" customWidth="1"/>
    <col min="25" max="25" width="10.88671875" style="4" customWidth="1"/>
    <col min="26" max="26" width="11.88671875" style="4" bestFit="1" customWidth="1"/>
    <col min="27" max="27" width="8.6640625" style="4" bestFit="1" customWidth="1"/>
    <col min="28" max="28" width="8.44140625" style="4" bestFit="1" customWidth="1"/>
    <col min="29" max="29" width="9" style="4" bestFit="1" customWidth="1"/>
    <col min="30" max="30" width="11.6640625" bestFit="1" customWidth="1"/>
    <col min="31" max="31" width="12.44140625" bestFit="1" customWidth="1"/>
    <col min="32" max="32" width="9.109375" bestFit="1" customWidth="1"/>
    <col min="33" max="33" width="11.44140625" bestFit="1" customWidth="1"/>
    <col min="34" max="34" width="7.5546875" bestFit="1" customWidth="1"/>
    <col min="35" max="35" width="7.109375" customWidth="1"/>
    <col min="36" max="36" width="11.6640625" bestFit="1" customWidth="1"/>
  </cols>
  <sheetData>
    <row r="1" spans="1:29" x14ac:dyDescent="0.3">
      <c r="J1" s="5"/>
      <c r="T1" s="5"/>
      <c r="Y1"/>
      <c r="Z1"/>
      <c r="AA1"/>
      <c r="AB1"/>
      <c r="AC1"/>
    </row>
    <row r="2" spans="1:29" ht="15.6" x14ac:dyDescent="0.3">
      <c r="B2" s="2"/>
      <c r="C2" s="3" t="s">
        <v>5</v>
      </c>
      <c r="D2" s="2"/>
      <c r="E2" s="2"/>
      <c r="F2" s="2"/>
      <c r="G2" s="2"/>
      <c r="H2" s="2"/>
      <c r="I2" s="2"/>
      <c r="J2" s="2"/>
      <c r="K2" s="2"/>
      <c r="L2" s="2"/>
      <c r="M2" s="2"/>
      <c r="N2" s="2"/>
      <c r="O2" s="2"/>
      <c r="P2" s="2"/>
      <c r="Q2" s="2"/>
      <c r="R2" s="2"/>
      <c r="S2" s="2"/>
      <c r="T2" s="2"/>
      <c r="U2" s="2"/>
      <c r="V2" s="2"/>
      <c r="W2" s="2"/>
      <c r="Z2"/>
      <c r="AA2"/>
      <c r="AB2"/>
      <c r="AC2"/>
    </row>
    <row r="3" spans="1:29" x14ac:dyDescent="0.3">
      <c r="B3" s="294" t="s">
        <v>5</v>
      </c>
      <c r="C3" s="294"/>
      <c r="D3" s="294"/>
      <c r="E3" s="294"/>
      <c r="F3" s="294"/>
      <c r="G3" s="294" t="s">
        <v>9</v>
      </c>
      <c r="H3" s="294"/>
      <c r="I3" s="294"/>
      <c r="J3" s="294"/>
      <c r="K3" s="294"/>
      <c r="L3" s="294" t="s">
        <v>15</v>
      </c>
      <c r="M3" s="294"/>
      <c r="N3" s="294"/>
      <c r="O3" s="294"/>
      <c r="P3" s="294"/>
      <c r="Q3" s="294"/>
      <c r="R3" s="294"/>
      <c r="S3" s="294"/>
      <c r="T3" s="294"/>
      <c r="U3" s="294"/>
      <c r="V3" s="294"/>
      <c r="W3" s="294"/>
      <c r="Z3"/>
      <c r="AA3"/>
      <c r="AB3"/>
      <c r="AC3"/>
    </row>
    <row r="4" spans="1:29" s="1" customFormat="1" ht="28.8" x14ac:dyDescent="0.3">
      <c r="A4"/>
      <c r="B4" s="20" t="s">
        <v>0</v>
      </c>
      <c r="C4" s="30" t="s">
        <v>1</v>
      </c>
      <c r="D4" s="31" t="s">
        <v>3</v>
      </c>
      <c r="E4" s="31" t="s">
        <v>2</v>
      </c>
      <c r="F4" s="31" t="s">
        <v>4</v>
      </c>
      <c r="G4" s="31" t="s">
        <v>6</v>
      </c>
      <c r="H4" s="31" t="s">
        <v>7</v>
      </c>
      <c r="I4" s="31" t="s">
        <v>8</v>
      </c>
      <c r="J4" s="31" t="s">
        <v>70</v>
      </c>
      <c r="K4" s="31" t="s">
        <v>71</v>
      </c>
      <c r="L4" s="31" t="s">
        <v>10</v>
      </c>
      <c r="M4" s="31" t="s">
        <v>40</v>
      </c>
      <c r="N4" s="31" t="s">
        <v>41</v>
      </c>
      <c r="O4" s="31" t="s">
        <v>42</v>
      </c>
      <c r="P4" s="31" t="s">
        <v>11</v>
      </c>
      <c r="Q4" s="31" t="s">
        <v>12</v>
      </c>
      <c r="R4" s="31" t="s">
        <v>13</v>
      </c>
      <c r="S4" s="31" t="s">
        <v>14</v>
      </c>
      <c r="T4" s="31" t="s">
        <v>51</v>
      </c>
      <c r="U4" s="31" t="s">
        <v>43</v>
      </c>
      <c r="V4" s="31"/>
      <c r="W4" s="31" t="s">
        <v>72</v>
      </c>
    </row>
    <row r="5" spans="1:29" x14ac:dyDescent="0.3">
      <c r="A5" s="19"/>
      <c r="B5" s="21">
        <v>1</v>
      </c>
      <c r="C5" s="28" t="str">
        <f>Name</f>
        <v>Serrano Village</v>
      </c>
      <c r="D5" s="2" t="str">
        <f>'Property Summary'!D4</f>
        <v>Phoenix, AZ</v>
      </c>
      <c r="E5" s="29">
        <f>'Property Summary'!D5</f>
        <v>0.93</v>
      </c>
      <c r="F5" s="32" t="e">
        <f>'Property Summary'!#REF!</f>
        <v>#REF!</v>
      </c>
      <c r="G5" s="22">
        <v>15000000</v>
      </c>
      <c r="H5" s="23">
        <f>'Property Returns'!D7/Purchase_Price</f>
        <v>6.0253587862068983E-2</v>
      </c>
      <c r="I5" s="24">
        <f>IF(G5="","",G5/'Property Summary'!D5)</f>
        <v>16129032.258064516</v>
      </c>
      <c r="J5" s="25">
        <f>IF(B5="","",T5-O5+(O5*W5))</f>
        <v>10484625</v>
      </c>
      <c r="K5" s="33">
        <f>'Property Summary'!H5</f>
        <v>0.01</v>
      </c>
      <c r="L5" s="35">
        <f>'Property Summary'!H25</f>
        <v>4.2500000000000003E-2</v>
      </c>
      <c r="M5" s="26">
        <f t="shared" ref="M5" si="0">IF(B5="","",-PMT(L5/12,(Q5-P5)*12,O5)*12)</f>
        <v>278192.00840544805</v>
      </c>
      <c r="N5" s="27">
        <f t="shared" ref="N5" si="1">IF(B5="","",O5*L5)</f>
        <v>200281.25</v>
      </c>
      <c r="O5" s="27">
        <f>Debt</f>
        <v>4712500</v>
      </c>
      <c r="P5" s="34">
        <f>'Property Summary'!H26</f>
        <v>0</v>
      </c>
      <c r="Q5" s="34">
        <f>'Property Summary'!H27</f>
        <v>30</v>
      </c>
      <c r="R5" s="34">
        <f>'Property Summary'!H28</f>
        <v>10</v>
      </c>
      <c r="S5" s="23">
        <f>'Property Summary'!H19</f>
        <v>0.64346629689950174</v>
      </c>
      <c r="T5" s="27">
        <f>IF(B5="","",G5+(G5*K5)+U5)</f>
        <v>15150000</v>
      </c>
      <c r="U5" s="27">
        <f>'Property Summary'!H4</f>
        <v>0</v>
      </c>
      <c r="V5" s="27"/>
      <c r="W5" s="33">
        <f>'Property Summary'!H29</f>
        <v>0.01</v>
      </c>
      <c r="Z5"/>
      <c r="AA5"/>
      <c r="AB5"/>
      <c r="AC5"/>
    </row>
    <row r="6" spans="1:29" x14ac:dyDescent="0.3">
      <c r="B6" s="2"/>
      <c r="C6" s="2"/>
      <c r="D6" s="2"/>
      <c r="E6" s="2"/>
      <c r="F6" s="2"/>
      <c r="G6" s="2"/>
      <c r="H6" s="2"/>
      <c r="I6" s="2"/>
      <c r="J6" s="2"/>
      <c r="K6" s="2"/>
      <c r="L6" s="2"/>
      <c r="M6" s="2"/>
      <c r="N6" s="2"/>
      <c r="O6" s="2"/>
      <c r="P6" s="2"/>
      <c r="Q6" s="2"/>
      <c r="R6" s="2"/>
      <c r="S6" s="2"/>
      <c r="T6" s="2"/>
      <c r="U6" s="2"/>
      <c r="V6" s="2"/>
      <c r="W6" s="2"/>
    </row>
  </sheetData>
  <mergeCells count="3">
    <mergeCell ref="B3:F3"/>
    <mergeCell ref="G3:K3"/>
    <mergeCell ref="L3:W3"/>
  </mergeCells>
  <pageMargins left="0.7" right="0.7" top="0.75" bottom="0.75" header="0.3" footer="0.3"/>
  <pageSetup scale="38" orientation="portrait" horizontalDpi="4294967294" verticalDpi="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Z43"/>
  <sheetViews>
    <sheetView showGridLines="0" zoomScale="85" zoomScaleNormal="85" workbookViewId="0"/>
  </sheetViews>
  <sheetFormatPr defaultColWidth="0" defaultRowHeight="14.4" zeroHeight="1" x14ac:dyDescent="0.3"/>
  <cols>
    <col min="1" max="1" width="1.6640625" style="78" customWidth="1"/>
    <col min="2" max="2" width="12.88671875" style="78" customWidth="1"/>
    <col min="3" max="3" width="9.6640625" style="89" customWidth="1"/>
    <col min="4" max="4" width="5.33203125" style="89" bestFit="1" customWidth="1"/>
    <col min="5" max="5" width="5.88671875" style="89" bestFit="1" customWidth="1"/>
    <col min="6" max="6" width="9.109375" style="89" customWidth="1"/>
    <col min="7" max="7" width="9.5546875" style="149" bestFit="1" customWidth="1"/>
    <col min="8" max="8" width="9" style="149" bestFit="1" customWidth="1"/>
    <col min="9" max="9" width="13.33203125" style="89" bestFit="1" customWidth="1"/>
    <col min="10" max="10" width="10.6640625" style="89" bestFit="1" customWidth="1"/>
    <col min="11" max="11" width="10.88671875" style="89" customWidth="1"/>
    <col min="12" max="12" width="11.44140625" style="89" customWidth="1"/>
    <col min="13" max="13" width="14.6640625" style="89" customWidth="1"/>
    <col min="14" max="14" width="13.5546875" style="149" customWidth="1"/>
    <col min="15" max="15" width="10.88671875" style="89" bestFit="1" customWidth="1"/>
    <col min="16" max="16" width="13.5546875" style="89" bestFit="1" customWidth="1"/>
    <col min="17" max="17" width="10.88671875" style="89" bestFit="1" customWidth="1"/>
    <col min="18" max="18" width="10.88671875" style="149" bestFit="1" customWidth="1"/>
    <col min="19" max="26" width="9.109375" style="78" customWidth="1"/>
    <col min="27" max="16384" width="9.109375" style="78" hidden="1"/>
  </cols>
  <sheetData>
    <row r="1" spans="2:18" customFormat="1" ht="9.9" customHeight="1" x14ac:dyDescent="0.3"/>
    <row r="2" spans="2:18" customFormat="1" ht="15.6" x14ac:dyDescent="0.3">
      <c r="B2" s="79" t="s">
        <v>147</v>
      </c>
      <c r="C2" s="79"/>
      <c r="D2" s="80"/>
      <c r="E2" s="80"/>
      <c r="F2" s="80"/>
      <c r="G2" s="85" t="s">
        <v>164</v>
      </c>
      <c r="H2" s="85"/>
      <c r="I2" s="85"/>
      <c r="J2" s="80">
        <f>Units</f>
        <v>124</v>
      </c>
      <c r="K2" s="87">
        <f>J2-SUM($C$5:$C$38)</f>
        <v>0</v>
      </c>
      <c r="L2" s="86" t="s">
        <v>165</v>
      </c>
      <c r="M2" s="80"/>
      <c r="N2" s="80"/>
      <c r="O2" s="80"/>
      <c r="P2" s="80"/>
      <c r="Q2" s="80"/>
      <c r="R2" s="80"/>
    </row>
    <row r="3" spans="2:18" customFormat="1" x14ac:dyDescent="0.3">
      <c r="B3" s="58"/>
      <c r="C3" s="122"/>
      <c r="D3" s="88"/>
      <c r="E3" s="88"/>
      <c r="F3" s="88"/>
      <c r="G3" s="88"/>
      <c r="H3" s="88"/>
      <c r="I3" s="88"/>
      <c r="J3" s="88"/>
      <c r="K3" s="88"/>
      <c r="L3" s="88"/>
      <c r="M3" s="88"/>
      <c r="N3" s="88"/>
      <c r="O3" s="88"/>
      <c r="P3" s="295" t="s">
        <v>162</v>
      </c>
      <c r="Q3" s="296"/>
      <c r="R3" s="296"/>
    </row>
    <row r="4" spans="2:18" s="1" customFormat="1" ht="33.75" customHeight="1" x14ac:dyDescent="0.3">
      <c r="B4" s="83" t="s">
        <v>148</v>
      </c>
      <c r="C4" s="123" t="s">
        <v>153</v>
      </c>
      <c r="D4" s="123" t="s">
        <v>149</v>
      </c>
      <c r="E4" s="123" t="s">
        <v>150</v>
      </c>
      <c r="F4" s="123" t="str">
        <f>"Rentable Area ("&amp;'Property Summary'!H2&amp;")"</f>
        <v>Rentable Area (SF)</v>
      </c>
      <c r="G4" s="123" t="s">
        <v>205</v>
      </c>
      <c r="H4" s="123" t="s">
        <v>206</v>
      </c>
      <c r="I4" s="123" t="s">
        <v>207</v>
      </c>
      <c r="J4" s="123" t="s">
        <v>154</v>
      </c>
      <c r="K4" s="123" t="s">
        <v>163</v>
      </c>
      <c r="L4" s="123" t="s">
        <v>157</v>
      </c>
      <c r="M4" s="123" t="s">
        <v>158</v>
      </c>
      <c r="N4" s="123" t="s">
        <v>156</v>
      </c>
      <c r="O4" s="123" t="s">
        <v>155</v>
      </c>
      <c r="P4" s="124" t="s">
        <v>159</v>
      </c>
      <c r="Q4" s="125" t="s">
        <v>160</v>
      </c>
      <c r="R4" s="125" t="s">
        <v>161</v>
      </c>
    </row>
    <row r="5" spans="2:18" x14ac:dyDescent="0.3">
      <c r="B5" s="84" t="s">
        <v>188</v>
      </c>
      <c r="C5" s="126">
        <v>40</v>
      </c>
      <c r="D5" s="127">
        <v>0</v>
      </c>
      <c r="E5" s="127">
        <v>1</v>
      </c>
      <c r="F5" s="128">
        <v>430</v>
      </c>
      <c r="G5" s="128">
        <v>510</v>
      </c>
      <c r="H5" s="128">
        <v>630</v>
      </c>
      <c r="I5" s="129">
        <v>13</v>
      </c>
      <c r="J5" s="130">
        <v>12</v>
      </c>
      <c r="K5" s="131">
        <v>50</v>
      </c>
      <c r="L5" s="132">
        <v>0</v>
      </c>
      <c r="M5" s="133">
        <v>20</v>
      </c>
      <c r="N5" s="128">
        <v>300</v>
      </c>
      <c r="O5" s="134">
        <v>0.6</v>
      </c>
      <c r="P5" s="135">
        <f>IF(B5="","",(1-O5)*L5)</f>
        <v>0</v>
      </c>
      <c r="Q5" s="136">
        <f>IF(B5="","",(1-O5)*M5)</f>
        <v>8</v>
      </c>
      <c r="R5" s="105">
        <f>IF(B5="","",(1-O5)*N5)</f>
        <v>120</v>
      </c>
    </row>
    <row r="6" spans="2:18" x14ac:dyDescent="0.3">
      <c r="B6" s="100" t="s">
        <v>189</v>
      </c>
      <c r="C6" s="126">
        <v>24</v>
      </c>
      <c r="D6" s="127">
        <v>1</v>
      </c>
      <c r="E6" s="127">
        <v>1</v>
      </c>
      <c r="F6" s="128">
        <v>671</v>
      </c>
      <c r="G6" s="128">
        <v>660</v>
      </c>
      <c r="H6" s="128">
        <v>780</v>
      </c>
      <c r="I6" s="129">
        <v>16</v>
      </c>
      <c r="J6" s="130">
        <v>12</v>
      </c>
      <c r="K6" s="131">
        <v>50</v>
      </c>
      <c r="L6" s="132">
        <v>0</v>
      </c>
      <c r="M6" s="133">
        <v>20</v>
      </c>
      <c r="N6" s="128">
        <v>300</v>
      </c>
      <c r="O6" s="134">
        <v>0.6</v>
      </c>
      <c r="P6" s="135">
        <f t="shared" ref="P6:P38" si="0">IF(B6="","",(1-O6)*L6)</f>
        <v>0</v>
      </c>
      <c r="Q6" s="136">
        <f t="shared" ref="Q6:Q38" si="1">IF(B6="","",(1-O6)*M6)</f>
        <v>8</v>
      </c>
      <c r="R6" s="105">
        <f t="shared" ref="R6:R38" si="2">IF(B6="","",(1-O6)*N6)</f>
        <v>120</v>
      </c>
    </row>
    <row r="7" spans="2:18" x14ac:dyDescent="0.3">
      <c r="B7" s="84" t="s">
        <v>190</v>
      </c>
      <c r="C7" s="126">
        <v>24</v>
      </c>
      <c r="D7" s="127">
        <v>2</v>
      </c>
      <c r="E7" s="127">
        <v>2</v>
      </c>
      <c r="F7" s="128">
        <v>945</v>
      </c>
      <c r="G7" s="128">
        <v>850</v>
      </c>
      <c r="H7" s="128">
        <v>970</v>
      </c>
      <c r="I7" s="129">
        <v>19</v>
      </c>
      <c r="J7" s="130">
        <v>12</v>
      </c>
      <c r="K7" s="131">
        <v>60</v>
      </c>
      <c r="L7" s="132">
        <v>0</v>
      </c>
      <c r="M7" s="133">
        <v>25</v>
      </c>
      <c r="N7" s="128">
        <v>350</v>
      </c>
      <c r="O7" s="134">
        <v>0.6</v>
      </c>
      <c r="P7" s="135">
        <f t="shared" si="0"/>
        <v>0</v>
      </c>
      <c r="Q7" s="136">
        <f t="shared" si="1"/>
        <v>10</v>
      </c>
      <c r="R7" s="105">
        <f t="shared" si="2"/>
        <v>140</v>
      </c>
    </row>
    <row r="8" spans="2:18" x14ac:dyDescent="0.3">
      <c r="B8" s="84" t="s">
        <v>191</v>
      </c>
      <c r="C8" s="126">
        <v>12</v>
      </c>
      <c r="D8" s="127">
        <v>2</v>
      </c>
      <c r="E8" s="127">
        <v>1.5</v>
      </c>
      <c r="F8" s="128">
        <v>1025</v>
      </c>
      <c r="G8" s="128">
        <v>850</v>
      </c>
      <c r="H8" s="128">
        <v>970</v>
      </c>
      <c r="I8" s="129">
        <v>22</v>
      </c>
      <c r="J8" s="130">
        <v>12</v>
      </c>
      <c r="K8" s="131">
        <v>65</v>
      </c>
      <c r="L8" s="132">
        <v>0</v>
      </c>
      <c r="M8" s="133">
        <v>25</v>
      </c>
      <c r="N8" s="128">
        <v>350</v>
      </c>
      <c r="O8" s="134">
        <v>0.6</v>
      </c>
      <c r="P8" s="135">
        <f t="shared" si="0"/>
        <v>0</v>
      </c>
      <c r="Q8" s="136">
        <f t="shared" si="1"/>
        <v>10</v>
      </c>
      <c r="R8" s="105">
        <f t="shared" si="2"/>
        <v>140</v>
      </c>
    </row>
    <row r="9" spans="2:18" x14ac:dyDescent="0.3">
      <c r="B9" s="84" t="s">
        <v>192</v>
      </c>
      <c r="C9" s="126">
        <v>24</v>
      </c>
      <c r="D9" s="127">
        <v>3</v>
      </c>
      <c r="E9" s="127">
        <v>2</v>
      </c>
      <c r="F9" s="128">
        <v>1046</v>
      </c>
      <c r="G9" s="128">
        <v>1100</v>
      </c>
      <c r="H9" s="128">
        <v>1220</v>
      </c>
      <c r="I9" s="129">
        <v>25</v>
      </c>
      <c r="J9" s="130">
        <v>12</v>
      </c>
      <c r="K9" s="131">
        <v>70</v>
      </c>
      <c r="L9" s="132">
        <v>0</v>
      </c>
      <c r="M9" s="133">
        <v>30</v>
      </c>
      <c r="N9" s="128">
        <v>400</v>
      </c>
      <c r="O9" s="134">
        <v>0.6</v>
      </c>
      <c r="P9" s="135">
        <f t="shared" si="0"/>
        <v>0</v>
      </c>
      <c r="Q9" s="136">
        <f t="shared" si="1"/>
        <v>12</v>
      </c>
      <c r="R9" s="105">
        <f t="shared" si="2"/>
        <v>160</v>
      </c>
    </row>
    <row r="10" spans="2:18" x14ac:dyDescent="0.3">
      <c r="B10" s="84"/>
      <c r="C10" s="126"/>
      <c r="D10" s="127"/>
      <c r="E10" s="127"/>
      <c r="F10" s="128"/>
      <c r="G10" s="128"/>
      <c r="H10" s="128"/>
      <c r="I10" s="129"/>
      <c r="J10" s="130"/>
      <c r="K10" s="131"/>
      <c r="L10" s="132"/>
      <c r="M10" s="133"/>
      <c r="N10" s="128"/>
      <c r="O10" s="134"/>
      <c r="P10" s="135" t="str">
        <f t="shared" si="0"/>
        <v/>
      </c>
      <c r="Q10" s="136" t="str">
        <f t="shared" si="1"/>
        <v/>
      </c>
      <c r="R10" s="105" t="str">
        <f t="shared" si="2"/>
        <v/>
      </c>
    </row>
    <row r="11" spans="2:18" x14ac:dyDescent="0.3">
      <c r="B11" s="84"/>
      <c r="C11" s="126"/>
      <c r="D11" s="127"/>
      <c r="E11" s="127"/>
      <c r="F11" s="128"/>
      <c r="G11" s="128"/>
      <c r="H11" s="128"/>
      <c r="I11" s="129"/>
      <c r="J11" s="130"/>
      <c r="K11" s="131"/>
      <c r="L11" s="132"/>
      <c r="M11" s="133"/>
      <c r="N11" s="128"/>
      <c r="O11" s="134"/>
      <c r="P11" s="135" t="str">
        <f t="shared" si="0"/>
        <v/>
      </c>
      <c r="Q11" s="136" t="str">
        <f t="shared" si="1"/>
        <v/>
      </c>
      <c r="R11" s="105" t="str">
        <f t="shared" si="2"/>
        <v/>
      </c>
    </row>
    <row r="12" spans="2:18" x14ac:dyDescent="0.3">
      <c r="B12" s="84"/>
      <c r="C12" s="126"/>
      <c r="D12" s="127"/>
      <c r="E12" s="127"/>
      <c r="F12" s="128"/>
      <c r="G12" s="128"/>
      <c r="H12" s="128"/>
      <c r="I12" s="129"/>
      <c r="J12" s="130"/>
      <c r="K12" s="131"/>
      <c r="L12" s="132"/>
      <c r="M12" s="133"/>
      <c r="N12" s="128"/>
      <c r="O12" s="134"/>
      <c r="P12" s="135" t="str">
        <f t="shared" si="0"/>
        <v/>
      </c>
      <c r="Q12" s="136" t="str">
        <f t="shared" si="1"/>
        <v/>
      </c>
      <c r="R12" s="105" t="str">
        <f t="shared" si="2"/>
        <v/>
      </c>
    </row>
    <row r="13" spans="2:18" x14ac:dyDescent="0.3">
      <c r="B13" s="84"/>
      <c r="C13" s="126"/>
      <c r="D13" s="127"/>
      <c r="E13" s="127"/>
      <c r="F13" s="128"/>
      <c r="G13" s="128"/>
      <c r="H13" s="128"/>
      <c r="I13" s="129"/>
      <c r="J13" s="130"/>
      <c r="K13" s="131"/>
      <c r="L13" s="132"/>
      <c r="M13" s="133"/>
      <c r="N13" s="128"/>
      <c r="O13" s="134"/>
      <c r="P13" s="135" t="str">
        <f t="shared" si="0"/>
        <v/>
      </c>
      <c r="Q13" s="136" t="str">
        <f t="shared" si="1"/>
        <v/>
      </c>
      <c r="R13" s="105" t="str">
        <f t="shared" si="2"/>
        <v/>
      </c>
    </row>
    <row r="14" spans="2:18" x14ac:dyDescent="0.3">
      <c r="B14" s="84"/>
      <c r="C14" s="126"/>
      <c r="D14" s="127"/>
      <c r="E14" s="127"/>
      <c r="F14" s="128"/>
      <c r="G14" s="128"/>
      <c r="H14" s="128"/>
      <c r="I14" s="129"/>
      <c r="J14" s="130"/>
      <c r="K14" s="131"/>
      <c r="L14" s="132"/>
      <c r="M14" s="133"/>
      <c r="N14" s="128"/>
      <c r="O14" s="134"/>
      <c r="P14" s="135" t="str">
        <f t="shared" si="0"/>
        <v/>
      </c>
      <c r="Q14" s="136" t="str">
        <f t="shared" si="1"/>
        <v/>
      </c>
      <c r="R14" s="105" t="str">
        <f t="shared" si="2"/>
        <v/>
      </c>
    </row>
    <row r="15" spans="2:18" x14ac:dyDescent="0.3">
      <c r="B15" s="84"/>
      <c r="C15" s="126"/>
      <c r="D15" s="127"/>
      <c r="E15" s="127"/>
      <c r="F15" s="128"/>
      <c r="G15" s="128"/>
      <c r="H15" s="128"/>
      <c r="I15" s="129"/>
      <c r="J15" s="130"/>
      <c r="K15" s="131"/>
      <c r="L15" s="132"/>
      <c r="M15" s="133"/>
      <c r="N15" s="128"/>
      <c r="O15" s="134"/>
      <c r="P15" s="135" t="str">
        <f t="shared" si="0"/>
        <v/>
      </c>
      <c r="Q15" s="136" t="str">
        <f t="shared" si="1"/>
        <v/>
      </c>
      <c r="R15" s="105" t="str">
        <f t="shared" si="2"/>
        <v/>
      </c>
    </row>
    <row r="16" spans="2:18" x14ac:dyDescent="0.3">
      <c r="B16" s="84"/>
      <c r="C16" s="126"/>
      <c r="D16" s="127"/>
      <c r="E16" s="127"/>
      <c r="F16" s="128"/>
      <c r="G16" s="128"/>
      <c r="H16" s="128"/>
      <c r="I16" s="129"/>
      <c r="J16" s="130"/>
      <c r="K16" s="131"/>
      <c r="L16" s="132"/>
      <c r="M16" s="133"/>
      <c r="N16" s="128"/>
      <c r="O16" s="134"/>
      <c r="P16" s="135" t="str">
        <f t="shared" si="0"/>
        <v/>
      </c>
      <c r="Q16" s="136" t="str">
        <f t="shared" si="1"/>
        <v/>
      </c>
      <c r="R16" s="105" t="str">
        <f t="shared" si="2"/>
        <v/>
      </c>
    </row>
    <row r="17" spans="2:18" x14ac:dyDescent="0.3">
      <c r="B17" s="84"/>
      <c r="C17" s="126"/>
      <c r="D17" s="127"/>
      <c r="E17" s="127"/>
      <c r="F17" s="128"/>
      <c r="G17" s="128"/>
      <c r="H17" s="128"/>
      <c r="I17" s="129"/>
      <c r="J17" s="130"/>
      <c r="K17" s="131"/>
      <c r="L17" s="132"/>
      <c r="M17" s="133"/>
      <c r="N17" s="128"/>
      <c r="O17" s="134"/>
      <c r="P17" s="135" t="str">
        <f t="shared" si="0"/>
        <v/>
      </c>
      <c r="Q17" s="136" t="str">
        <f t="shared" si="1"/>
        <v/>
      </c>
      <c r="R17" s="105" t="str">
        <f t="shared" si="2"/>
        <v/>
      </c>
    </row>
    <row r="18" spans="2:18" x14ac:dyDescent="0.3">
      <c r="B18" s="84"/>
      <c r="C18" s="126"/>
      <c r="D18" s="127"/>
      <c r="E18" s="127"/>
      <c r="F18" s="128"/>
      <c r="G18" s="128"/>
      <c r="H18" s="128"/>
      <c r="I18" s="129"/>
      <c r="J18" s="130"/>
      <c r="K18" s="131"/>
      <c r="L18" s="132"/>
      <c r="M18" s="133"/>
      <c r="N18" s="128"/>
      <c r="O18" s="134"/>
      <c r="P18" s="135" t="str">
        <f t="shared" si="0"/>
        <v/>
      </c>
      <c r="Q18" s="136" t="str">
        <f t="shared" si="1"/>
        <v/>
      </c>
      <c r="R18" s="105" t="str">
        <f t="shared" si="2"/>
        <v/>
      </c>
    </row>
    <row r="19" spans="2:18" x14ac:dyDescent="0.3">
      <c r="B19" s="84"/>
      <c r="C19" s="126"/>
      <c r="D19" s="127"/>
      <c r="E19" s="127"/>
      <c r="F19" s="128"/>
      <c r="G19" s="128"/>
      <c r="H19" s="128"/>
      <c r="I19" s="129"/>
      <c r="J19" s="130"/>
      <c r="K19" s="131"/>
      <c r="L19" s="132"/>
      <c r="M19" s="133"/>
      <c r="N19" s="128"/>
      <c r="O19" s="134"/>
      <c r="P19" s="135" t="str">
        <f t="shared" si="0"/>
        <v/>
      </c>
      <c r="Q19" s="136" t="str">
        <f t="shared" si="1"/>
        <v/>
      </c>
      <c r="R19" s="105" t="str">
        <f t="shared" si="2"/>
        <v/>
      </c>
    </row>
    <row r="20" spans="2:18" x14ac:dyDescent="0.3">
      <c r="B20" s="84"/>
      <c r="C20" s="126"/>
      <c r="D20" s="127"/>
      <c r="E20" s="127"/>
      <c r="F20" s="128"/>
      <c r="G20" s="128"/>
      <c r="H20" s="128"/>
      <c r="I20" s="129"/>
      <c r="J20" s="130"/>
      <c r="K20" s="131"/>
      <c r="L20" s="132"/>
      <c r="M20" s="133"/>
      <c r="N20" s="128"/>
      <c r="O20" s="134"/>
      <c r="P20" s="135" t="str">
        <f t="shared" si="0"/>
        <v/>
      </c>
      <c r="Q20" s="136" t="str">
        <f t="shared" si="1"/>
        <v/>
      </c>
      <c r="R20" s="105" t="str">
        <f t="shared" si="2"/>
        <v/>
      </c>
    </row>
    <row r="21" spans="2:18" x14ac:dyDescent="0.3">
      <c r="B21" s="84"/>
      <c r="C21" s="126"/>
      <c r="D21" s="127"/>
      <c r="E21" s="127"/>
      <c r="F21" s="128"/>
      <c r="G21" s="128"/>
      <c r="H21" s="128"/>
      <c r="I21" s="129"/>
      <c r="J21" s="130"/>
      <c r="K21" s="131"/>
      <c r="L21" s="132"/>
      <c r="M21" s="133"/>
      <c r="N21" s="128"/>
      <c r="O21" s="134"/>
      <c r="P21" s="135" t="str">
        <f t="shared" si="0"/>
        <v/>
      </c>
      <c r="Q21" s="136" t="str">
        <f t="shared" si="1"/>
        <v/>
      </c>
      <c r="R21" s="105" t="str">
        <f t="shared" si="2"/>
        <v/>
      </c>
    </row>
    <row r="22" spans="2:18" x14ac:dyDescent="0.3">
      <c r="B22" s="84"/>
      <c r="C22" s="126"/>
      <c r="D22" s="127"/>
      <c r="E22" s="127"/>
      <c r="F22" s="128"/>
      <c r="G22" s="128"/>
      <c r="H22" s="128"/>
      <c r="I22" s="129"/>
      <c r="J22" s="130"/>
      <c r="K22" s="131"/>
      <c r="L22" s="132"/>
      <c r="M22" s="133"/>
      <c r="N22" s="128"/>
      <c r="O22" s="134"/>
      <c r="P22" s="135" t="str">
        <f t="shared" si="0"/>
        <v/>
      </c>
      <c r="Q22" s="136" t="str">
        <f t="shared" si="1"/>
        <v/>
      </c>
      <c r="R22" s="105" t="str">
        <f t="shared" si="2"/>
        <v/>
      </c>
    </row>
    <row r="23" spans="2:18" x14ac:dyDescent="0.3">
      <c r="B23" s="84"/>
      <c r="C23" s="126"/>
      <c r="D23" s="127"/>
      <c r="E23" s="127"/>
      <c r="F23" s="128"/>
      <c r="G23" s="128"/>
      <c r="H23" s="128"/>
      <c r="I23" s="129"/>
      <c r="J23" s="130"/>
      <c r="K23" s="131"/>
      <c r="L23" s="132"/>
      <c r="M23" s="133"/>
      <c r="N23" s="128"/>
      <c r="O23" s="134"/>
      <c r="P23" s="135" t="str">
        <f t="shared" si="0"/>
        <v/>
      </c>
      <c r="Q23" s="136" t="str">
        <f t="shared" si="1"/>
        <v/>
      </c>
      <c r="R23" s="105" t="str">
        <f t="shared" si="2"/>
        <v/>
      </c>
    </row>
    <row r="24" spans="2:18" x14ac:dyDescent="0.3">
      <c r="B24" s="84"/>
      <c r="C24" s="126"/>
      <c r="D24" s="127"/>
      <c r="E24" s="127"/>
      <c r="F24" s="128"/>
      <c r="G24" s="128"/>
      <c r="H24" s="128"/>
      <c r="I24" s="129"/>
      <c r="J24" s="130"/>
      <c r="K24" s="131"/>
      <c r="L24" s="132"/>
      <c r="M24" s="133"/>
      <c r="N24" s="128"/>
      <c r="O24" s="134"/>
      <c r="P24" s="135" t="str">
        <f t="shared" si="0"/>
        <v/>
      </c>
      <c r="Q24" s="136" t="str">
        <f t="shared" si="1"/>
        <v/>
      </c>
      <c r="R24" s="105" t="str">
        <f t="shared" si="2"/>
        <v/>
      </c>
    </row>
    <row r="25" spans="2:18" x14ac:dyDescent="0.3">
      <c r="B25" s="84"/>
      <c r="C25" s="126"/>
      <c r="D25" s="127"/>
      <c r="E25" s="127"/>
      <c r="F25" s="128"/>
      <c r="G25" s="128"/>
      <c r="H25" s="128"/>
      <c r="I25" s="129"/>
      <c r="J25" s="130"/>
      <c r="K25" s="131"/>
      <c r="L25" s="132"/>
      <c r="M25" s="133"/>
      <c r="N25" s="128"/>
      <c r="O25" s="134"/>
      <c r="P25" s="135" t="str">
        <f t="shared" si="0"/>
        <v/>
      </c>
      <c r="Q25" s="136" t="str">
        <f t="shared" si="1"/>
        <v/>
      </c>
      <c r="R25" s="105" t="str">
        <f t="shared" si="2"/>
        <v/>
      </c>
    </row>
    <row r="26" spans="2:18" x14ac:dyDescent="0.3">
      <c r="B26" s="84"/>
      <c r="C26" s="126"/>
      <c r="D26" s="127"/>
      <c r="E26" s="127"/>
      <c r="F26" s="128"/>
      <c r="G26" s="128"/>
      <c r="H26" s="128"/>
      <c r="I26" s="129"/>
      <c r="J26" s="130"/>
      <c r="K26" s="131"/>
      <c r="L26" s="132"/>
      <c r="M26" s="133"/>
      <c r="N26" s="128"/>
      <c r="O26" s="134"/>
      <c r="P26" s="135" t="str">
        <f t="shared" si="0"/>
        <v/>
      </c>
      <c r="Q26" s="136" t="str">
        <f t="shared" si="1"/>
        <v/>
      </c>
      <c r="R26" s="105" t="str">
        <f t="shared" si="2"/>
        <v/>
      </c>
    </row>
    <row r="27" spans="2:18" x14ac:dyDescent="0.3">
      <c r="B27" s="84"/>
      <c r="C27" s="126"/>
      <c r="D27" s="127"/>
      <c r="E27" s="127"/>
      <c r="F27" s="128"/>
      <c r="G27" s="128"/>
      <c r="H27" s="128"/>
      <c r="I27" s="129"/>
      <c r="J27" s="130"/>
      <c r="K27" s="131"/>
      <c r="L27" s="132"/>
      <c r="M27" s="133"/>
      <c r="N27" s="128"/>
      <c r="O27" s="134"/>
      <c r="P27" s="135" t="str">
        <f t="shared" si="0"/>
        <v/>
      </c>
      <c r="Q27" s="136" t="str">
        <f t="shared" si="1"/>
        <v/>
      </c>
      <c r="R27" s="105" t="str">
        <f t="shared" si="2"/>
        <v/>
      </c>
    </row>
    <row r="28" spans="2:18" x14ac:dyDescent="0.3">
      <c r="B28" s="84"/>
      <c r="C28" s="126"/>
      <c r="D28" s="127"/>
      <c r="E28" s="127"/>
      <c r="F28" s="128"/>
      <c r="G28" s="128"/>
      <c r="H28" s="128"/>
      <c r="I28" s="129"/>
      <c r="J28" s="130"/>
      <c r="K28" s="131"/>
      <c r="L28" s="132"/>
      <c r="M28" s="133"/>
      <c r="N28" s="128"/>
      <c r="O28" s="134"/>
      <c r="P28" s="135" t="str">
        <f t="shared" si="0"/>
        <v/>
      </c>
      <c r="Q28" s="136" t="str">
        <f t="shared" si="1"/>
        <v/>
      </c>
      <c r="R28" s="105" t="str">
        <f t="shared" si="2"/>
        <v/>
      </c>
    </row>
    <row r="29" spans="2:18" x14ac:dyDescent="0.3">
      <c r="B29" s="84"/>
      <c r="C29" s="126"/>
      <c r="D29" s="127"/>
      <c r="E29" s="127"/>
      <c r="F29" s="128"/>
      <c r="G29" s="128"/>
      <c r="H29" s="128"/>
      <c r="I29" s="129"/>
      <c r="J29" s="130"/>
      <c r="K29" s="131"/>
      <c r="L29" s="132"/>
      <c r="M29" s="133"/>
      <c r="N29" s="128"/>
      <c r="O29" s="134"/>
      <c r="P29" s="135" t="str">
        <f t="shared" si="0"/>
        <v/>
      </c>
      <c r="Q29" s="136" t="str">
        <f t="shared" si="1"/>
        <v/>
      </c>
      <c r="R29" s="105" t="str">
        <f t="shared" si="2"/>
        <v/>
      </c>
    </row>
    <row r="30" spans="2:18" x14ac:dyDescent="0.3">
      <c r="B30" s="84"/>
      <c r="C30" s="126"/>
      <c r="D30" s="127"/>
      <c r="E30" s="127"/>
      <c r="F30" s="128"/>
      <c r="G30" s="128"/>
      <c r="H30" s="128"/>
      <c r="I30" s="129"/>
      <c r="J30" s="130"/>
      <c r="K30" s="131"/>
      <c r="L30" s="132"/>
      <c r="M30" s="133"/>
      <c r="N30" s="128"/>
      <c r="O30" s="134"/>
      <c r="P30" s="135" t="str">
        <f t="shared" si="0"/>
        <v/>
      </c>
      <c r="Q30" s="136" t="str">
        <f t="shared" si="1"/>
        <v/>
      </c>
      <c r="R30" s="105" t="str">
        <f t="shared" si="2"/>
        <v/>
      </c>
    </row>
    <row r="31" spans="2:18" x14ac:dyDescent="0.3">
      <c r="B31" s="84"/>
      <c r="C31" s="126"/>
      <c r="D31" s="127"/>
      <c r="E31" s="127"/>
      <c r="F31" s="128"/>
      <c r="G31" s="128"/>
      <c r="H31" s="128"/>
      <c r="I31" s="129"/>
      <c r="J31" s="130"/>
      <c r="K31" s="131"/>
      <c r="L31" s="132"/>
      <c r="M31" s="133"/>
      <c r="N31" s="128"/>
      <c r="O31" s="134"/>
      <c r="P31" s="135" t="str">
        <f t="shared" si="0"/>
        <v/>
      </c>
      <c r="Q31" s="136" t="str">
        <f t="shared" si="1"/>
        <v/>
      </c>
      <c r="R31" s="105" t="str">
        <f t="shared" si="2"/>
        <v/>
      </c>
    </row>
    <row r="32" spans="2:18" x14ac:dyDescent="0.3">
      <c r="B32" s="84"/>
      <c r="C32" s="126"/>
      <c r="D32" s="127"/>
      <c r="E32" s="127"/>
      <c r="F32" s="128"/>
      <c r="G32" s="128"/>
      <c r="H32" s="128"/>
      <c r="I32" s="129"/>
      <c r="J32" s="130"/>
      <c r="K32" s="131"/>
      <c r="L32" s="132"/>
      <c r="M32" s="133"/>
      <c r="N32" s="128"/>
      <c r="O32" s="134"/>
      <c r="P32" s="135" t="str">
        <f t="shared" si="0"/>
        <v/>
      </c>
      <c r="Q32" s="136" t="str">
        <f t="shared" si="1"/>
        <v/>
      </c>
      <c r="R32" s="105" t="str">
        <f t="shared" si="2"/>
        <v/>
      </c>
    </row>
    <row r="33" spans="2:18" x14ac:dyDescent="0.3">
      <c r="B33" s="84"/>
      <c r="C33" s="126"/>
      <c r="D33" s="127"/>
      <c r="E33" s="127"/>
      <c r="F33" s="128"/>
      <c r="G33" s="128"/>
      <c r="H33" s="128"/>
      <c r="I33" s="129"/>
      <c r="J33" s="130"/>
      <c r="K33" s="131"/>
      <c r="L33" s="132"/>
      <c r="M33" s="133"/>
      <c r="N33" s="128"/>
      <c r="O33" s="134"/>
      <c r="P33" s="135" t="str">
        <f t="shared" si="0"/>
        <v/>
      </c>
      <c r="Q33" s="136" t="str">
        <f t="shared" si="1"/>
        <v/>
      </c>
      <c r="R33" s="105" t="str">
        <f t="shared" si="2"/>
        <v/>
      </c>
    </row>
    <row r="34" spans="2:18" x14ac:dyDescent="0.3">
      <c r="B34" s="84"/>
      <c r="C34" s="126"/>
      <c r="D34" s="127"/>
      <c r="E34" s="127"/>
      <c r="F34" s="128"/>
      <c r="G34" s="128"/>
      <c r="H34" s="128"/>
      <c r="I34" s="129"/>
      <c r="J34" s="130"/>
      <c r="K34" s="131"/>
      <c r="L34" s="132"/>
      <c r="M34" s="133"/>
      <c r="N34" s="128"/>
      <c r="O34" s="134"/>
      <c r="P34" s="135" t="str">
        <f t="shared" si="0"/>
        <v/>
      </c>
      <c r="Q34" s="136" t="str">
        <f t="shared" si="1"/>
        <v/>
      </c>
      <c r="R34" s="105" t="str">
        <f t="shared" si="2"/>
        <v/>
      </c>
    </row>
    <row r="35" spans="2:18" x14ac:dyDescent="0.3">
      <c r="B35" s="84"/>
      <c r="C35" s="126"/>
      <c r="D35" s="127"/>
      <c r="E35" s="127"/>
      <c r="F35" s="128"/>
      <c r="G35" s="128"/>
      <c r="H35" s="128"/>
      <c r="I35" s="129"/>
      <c r="J35" s="130"/>
      <c r="K35" s="131"/>
      <c r="L35" s="132"/>
      <c r="M35" s="133"/>
      <c r="N35" s="128"/>
      <c r="O35" s="134"/>
      <c r="P35" s="135" t="str">
        <f t="shared" si="0"/>
        <v/>
      </c>
      <c r="Q35" s="136" t="str">
        <f t="shared" si="1"/>
        <v/>
      </c>
      <c r="R35" s="105" t="str">
        <f t="shared" si="2"/>
        <v/>
      </c>
    </row>
    <row r="36" spans="2:18" x14ac:dyDescent="0.3">
      <c r="B36" s="84"/>
      <c r="C36" s="126"/>
      <c r="D36" s="127"/>
      <c r="E36" s="127"/>
      <c r="F36" s="128"/>
      <c r="G36" s="128"/>
      <c r="H36" s="128"/>
      <c r="I36" s="129"/>
      <c r="J36" s="130"/>
      <c r="K36" s="131"/>
      <c r="L36" s="132"/>
      <c r="M36" s="133"/>
      <c r="N36" s="128"/>
      <c r="O36" s="134"/>
      <c r="P36" s="135" t="str">
        <f t="shared" si="0"/>
        <v/>
      </c>
      <c r="Q36" s="136" t="str">
        <f t="shared" si="1"/>
        <v/>
      </c>
      <c r="R36" s="105" t="str">
        <f t="shared" si="2"/>
        <v/>
      </c>
    </row>
    <row r="37" spans="2:18" x14ac:dyDescent="0.3">
      <c r="B37" s="84"/>
      <c r="C37" s="126"/>
      <c r="D37" s="127"/>
      <c r="E37" s="127"/>
      <c r="F37" s="128"/>
      <c r="G37" s="128"/>
      <c r="H37" s="128"/>
      <c r="I37" s="129"/>
      <c r="J37" s="130"/>
      <c r="K37" s="131"/>
      <c r="L37" s="132"/>
      <c r="M37" s="133"/>
      <c r="N37" s="128"/>
      <c r="O37" s="134"/>
      <c r="P37" s="135" t="str">
        <f t="shared" si="0"/>
        <v/>
      </c>
      <c r="Q37" s="136" t="str">
        <f t="shared" si="1"/>
        <v/>
      </c>
      <c r="R37" s="105" t="str">
        <f t="shared" si="2"/>
        <v/>
      </c>
    </row>
    <row r="38" spans="2:18" x14ac:dyDescent="0.3">
      <c r="B38" s="92"/>
      <c r="C38" s="137"/>
      <c r="D38" s="138"/>
      <c r="E38" s="138"/>
      <c r="F38" s="139"/>
      <c r="G38" s="139"/>
      <c r="H38" s="139"/>
      <c r="I38" s="140"/>
      <c r="J38" s="141"/>
      <c r="K38" s="142"/>
      <c r="L38" s="143"/>
      <c r="M38" s="144"/>
      <c r="N38" s="139"/>
      <c r="O38" s="145"/>
      <c r="P38" s="146" t="str">
        <f t="shared" si="0"/>
        <v/>
      </c>
      <c r="Q38" s="147" t="str">
        <f t="shared" si="1"/>
        <v/>
      </c>
      <c r="R38" s="148" t="str">
        <f t="shared" si="2"/>
        <v/>
      </c>
    </row>
    <row r="39" spans="2:18" x14ac:dyDescent="0.3">
      <c r="F39" s="149"/>
    </row>
    <row r="40" spans="2:18" x14ac:dyDescent="0.3">
      <c r="F40" s="149"/>
    </row>
    <row r="41" spans="2:18" x14ac:dyDescent="0.3">
      <c r="F41" s="149"/>
    </row>
    <row r="42" spans="2:18" x14ac:dyDescent="0.3">
      <c r="F42" s="149"/>
    </row>
    <row r="43" spans="2:18" x14ac:dyDescent="0.3">
      <c r="F43" s="149"/>
    </row>
  </sheetData>
  <mergeCells count="1">
    <mergeCell ref="P3:R3"/>
  </mergeCells>
  <conditionalFormatting sqref="B5:R38">
    <cfRule type="expression" dxfId="25" priority="1">
      <formula>$B4=""</formula>
    </cfRule>
  </conditionalFormatting>
  <dataValidations count="1">
    <dataValidation type="whole" allowBlank="1" showInputMessage="1" showErrorMessage="1" sqref="I5:I38" xr:uid="{00000000-0002-0000-0300-000000000000}">
      <formula1>1</formula1>
      <formula2>180</formula2>
    </dataValidation>
  </dataValidations>
  <pageMargins left="0.7" right="0.7" top="0.75" bottom="0.75" header="0.3" footer="0.3"/>
  <pageSetup orientation="portrait" horizontalDpi="4294967294" verticalDpi="1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W25"/>
  <sheetViews>
    <sheetView showGridLines="0" zoomScale="85" zoomScaleNormal="85" workbookViewId="0"/>
  </sheetViews>
  <sheetFormatPr defaultColWidth="9.109375" defaultRowHeight="14.4" zeroHeight="1" x14ac:dyDescent="0.3"/>
  <cols>
    <col min="1" max="1" width="1.6640625" style="37" customWidth="1"/>
    <col min="2" max="2" width="12.88671875" style="37" customWidth="1"/>
    <col min="3" max="3" width="18.109375" style="37" customWidth="1"/>
    <col min="4" max="4" width="9.109375" style="37"/>
    <col min="5" max="5" width="9.6640625" style="57" customWidth="1"/>
    <col min="6" max="6" width="13.5546875" style="154" bestFit="1" customWidth="1"/>
    <col min="7" max="16" width="10.88671875" style="154" bestFit="1" customWidth="1"/>
    <col min="17" max="21" width="9.109375" style="154"/>
    <col min="22" max="16384" width="9.109375" style="63"/>
  </cols>
  <sheetData>
    <row r="1" spans="2:23" s="37" customFormat="1" ht="9.9" customHeight="1" x14ac:dyDescent="0.3">
      <c r="E1" s="57"/>
      <c r="F1" s="57"/>
      <c r="G1" s="57"/>
      <c r="H1" s="57"/>
      <c r="I1" s="57"/>
      <c r="J1" s="57"/>
      <c r="K1" s="57"/>
      <c r="L1" s="57"/>
      <c r="M1" s="57"/>
      <c r="N1" s="57"/>
      <c r="O1" s="57"/>
      <c r="P1" s="57"/>
      <c r="Q1" s="57"/>
      <c r="R1" s="57"/>
      <c r="S1" s="57"/>
      <c r="T1" s="57"/>
      <c r="U1" s="57"/>
    </row>
    <row r="2" spans="2:23" s="37" customFormat="1" ht="15.6" x14ac:dyDescent="0.3">
      <c r="B2" s="79" t="s">
        <v>213</v>
      </c>
      <c r="C2" s="80"/>
      <c r="D2" s="80"/>
      <c r="E2" s="85"/>
      <c r="F2" s="85"/>
      <c r="G2" s="85"/>
      <c r="H2" s="85"/>
      <c r="I2" s="85"/>
      <c r="J2" s="85"/>
      <c r="K2" s="85"/>
      <c r="L2" s="85"/>
      <c r="M2" s="85"/>
      <c r="N2" s="85"/>
      <c r="O2" s="85"/>
      <c r="P2" s="85"/>
      <c r="Q2" s="85"/>
      <c r="R2" s="85"/>
      <c r="S2" s="85"/>
      <c r="T2" s="85"/>
      <c r="U2" s="85"/>
    </row>
    <row r="3" spans="2:23" s="37" customFormat="1" x14ac:dyDescent="0.3">
      <c r="B3" s="58"/>
      <c r="C3" s="36"/>
      <c r="D3" s="36"/>
      <c r="E3" s="88"/>
      <c r="F3" s="88"/>
      <c r="G3" s="88"/>
      <c r="H3" s="88"/>
      <c r="I3" s="88"/>
      <c r="J3" s="88"/>
      <c r="K3" s="88"/>
      <c r="L3" s="88"/>
      <c r="M3" s="88"/>
      <c r="N3" s="88"/>
      <c r="O3" s="88"/>
      <c r="P3" s="88"/>
      <c r="Q3" s="88"/>
      <c r="R3" s="88"/>
      <c r="S3" s="88"/>
      <c r="T3" s="88"/>
      <c r="U3" s="88"/>
    </row>
    <row r="4" spans="2:23" s="37" customFormat="1" x14ac:dyDescent="0.3">
      <c r="B4" s="36"/>
      <c r="C4" s="36"/>
      <c r="D4" s="36"/>
      <c r="E4" s="88"/>
      <c r="F4" s="122" t="s">
        <v>121</v>
      </c>
      <c r="G4" s="88"/>
      <c r="H4" s="88"/>
      <c r="I4" s="88"/>
      <c r="J4" s="88"/>
      <c r="K4" s="88"/>
      <c r="L4" s="88"/>
      <c r="M4" s="88"/>
      <c r="N4" s="88"/>
      <c r="O4" s="88"/>
      <c r="P4" s="88"/>
      <c r="Q4" s="88"/>
      <c r="R4" s="88"/>
      <c r="S4" s="88"/>
      <c r="T4" s="88"/>
      <c r="U4" s="88"/>
    </row>
    <row r="5" spans="2:23" s="41" customFormat="1" ht="28.8" x14ac:dyDescent="0.3">
      <c r="B5" s="59" t="s">
        <v>120</v>
      </c>
      <c r="C5" s="60"/>
      <c r="D5" s="60"/>
      <c r="E5" s="151" t="s">
        <v>193</v>
      </c>
      <c r="F5" s="152">
        <f>'Property Returns'!D3</f>
        <v>1</v>
      </c>
      <c r="G5" s="152">
        <f>'Property Returns'!E3</f>
        <v>2</v>
      </c>
      <c r="H5" s="152">
        <f>'Property Returns'!F3</f>
        <v>3</v>
      </c>
      <c r="I5" s="152">
        <f>'Property Returns'!G3</f>
        <v>4</v>
      </c>
      <c r="J5" s="152">
        <f>'Property Returns'!H3</f>
        <v>5</v>
      </c>
      <c r="K5" s="152">
        <f>'Property Returns'!I3</f>
        <v>6</v>
      </c>
      <c r="L5" s="152">
        <f>'Property Returns'!J3</f>
        <v>7</v>
      </c>
      <c r="M5" s="152">
        <f>'Property Returns'!K3</f>
        <v>8</v>
      </c>
      <c r="N5" s="152">
        <f>'Property Returns'!L3</f>
        <v>9</v>
      </c>
      <c r="O5" s="152">
        <f>'Property Returns'!M3</f>
        <v>10</v>
      </c>
      <c r="P5" s="152">
        <f>'Property Returns'!N3</f>
        <v>11</v>
      </c>
      <c r="Q5" s="152" t="str">
        <f>'Property Returns'!O3</f>
        <v/>
      </c>
      <c r="R5" s="152" t="str">
        <f>'Property Returns'!P3</f>
        <v/>
      </c>
      <c r="S5" s="152" t="str">
        <f>'Property Returns'!Q3</f>
        <v/>
      </c>
      <c r="T5" s="152" t="str">
        <f>'Property Returns'!R3</f>
        <v/>
      </c>
      <c r="U5" s="152" t="str">
        <f>'Property Returns'!S3</f>
        <v/>
      </c>
      <c r="V5" s="40"/>
      <c r="W5" s="40"/>
    </row>
    <row r="6" spans="2:23" x14ac:dyDescent="0.3">
      <c r="B6" s="67">
        <f>'Property Summary'!$L$20</f>
        <v>0.02</v>
      </c>
      <c r="C6" s="61" t="s">
        <v>128</v>
      </c>
      <c r="D6" s="36"/>
      <c r="E6" s="105">
        <f t="shared" ref="E6:E13" si="0">F6/Units</f>
        <v>-200</v>
      </c>
      <c r="F6" s="110">
        <v>-24800</v>
      </c>
      <c r="G6" s="105">
        <f t="shared" ref="G6:U10" si="1">IF(G$5="","",-ABS((F6*(1+$B6))))</f>
        <v>-25296</v>
      </c>
      <c r="H6" s="105">
        <f t="shared" si="1"/>
        <v>-25801.920000000002</v>
      </c>
      <c r="I6" s="105">
        <f t="shared" si="1"/>
        <v>-26317.958400000003</v>
      </c>
      <c r="J6" s="105">
        <f t="shared" si="1"/>
        <v>-26844.317568000002</v>
      </c>
      <c r="K6" s="105">
        <f t="shared" si="1"/>
        <v>-27381.203919360003</v>
      </c>
      <c r="L6" s="105">
        <f t="shared" si="1"/>
        <v>-27928.827997747205</v>
      </c>
      <c r="M6" s="105">
        <f t="shared" si="1"/>
        <v>-28487.40455770215</v>
      </c>
      <c r="N6" s="105">
        <f t="shared" si="1"/>
        <v>-29057.152648856194</v>
      </c>
      <c r="O6" s="105">
        <f t="shared" si="1"/>
        <v>-29638.295701833318</v>
      </c>
      <c r="P6" s="105">
        <f t="shared" si="1"/>
        <v>-30231.061615869985</v>
      </c>
      <c r="Q6" s="105" t="str">
        <f t="shared" si="1"/>
        <v/>
      </c>
      <c r="R6" s="105" t="str">
        <f t="shared" si="1"/>
        <v/>
      </c>
      <c r="S6" s="105" t="str">
        <f t="shared" si="1"/>
        <v/>
      </c>
      <c r="T6" s="105" t="str">
        <f t="shared" si="1"/>
        <v/>
      </c>
      <c r="U6" s="105" t="str">
        <f t="shared" si="1"/>
        <v/>
      </c>
    </row>
    <row r="7" spans="2:23" x14ac:dyDescent="0.3">
      <c r="B7" s="67">
        <f>'Property Summary'!$L$20</f>
        <v>0.02</v>
      </c>
      <c r="C7" s="61" t="s">
        <v>129</v>
      </c>
      <c r="D7" s="36"/>
      <c r="E7" s="105">
        <f t="shared" si="0"/>
        <v>-250</v>
      </c>
      <c r="F7" s="110">
        <v>-31000</v>
      </c>
      <c r="G7" s="105">
        <f t="shared" si="1"/>
        <v>-31620</v>
      </c>
      <c r="H7" s="105">
        <f t="shared" si="1"/>
        <v>-32252.400000000001</v>
      </c>
      <c r="I7" s="105">
        <f t="shared" si="1"/>
        <v>-32897.448000000004</v>
      </c>
      <c r="J7" s="105">
        <f t="shared" si="1"/>
        <v>-33555.396960000005</v>
      </c>
      <c r="K7" s="105">
        <f t="shared" si="1"/>
        <v>-34226.504899200008</v>
      </c>
      <c r="L7" s="105">
        <f t="shared" si="1"/>
        <v>-34911.034997184011</v>
      </c>
      <c r="M7" s="105">
        <f t="shared" si="1"/>
        <v>-35609.255697127694</v>
      </c>
      <c r="N7" s="105">
        <f t="shared" si="1"/>
        <v>-36321.44081107025</v>
      </c>
      <c r="O7" s="105">
        <f t="shared" si="1"/>
        <v>-37047.869627291657</v>
      </c>
      <c r="P7" s="105">
        <f t="shared" si="1"/>
        <v>-37788.827019837488</v>
      </c>
      <c r="Q7" s="105" t="str">
        <f t="shared" si="1"/>
        <v/>
      </c>
      <c r="R7" s="105" t="str">
        <f t="shared" si="1"/>
        <v/>
      </c>
      <c r="S7" s="105" t="str">
        <f t="shared" si="1"/>
        <v/>
      </c>
      <c r="T7" s="105" t="str">
        <f t="shared" si="1"/>
        <v/>
      </c>
      <c r="U7" s="105" t="str">
        <f t="shared" si="1"/>
        <v/>
      </c>
    </row>
    <row r="8" spans="2:23" x14ac:dyDescent="0.3">
      <c r="B8" s="67">
        <f>'Property Summary'!$L$20</f>
        <v>0.02</v>
      </c>
      <c r="C8" s="61" t="s">
        <v>130</v>
      </c>
      <c r="D8" s="36"/>
      <c r="E8" s="105">
        <f t="shared" si="0"/>
        <v>-800</v>
      </c>
      <c r="F8" s="110">
        <v>-99200</v>
      </c>
      <c r="G8" s="105">
        <f t="shared" si="1"/>
        <v>-101184</v>
      </c>
      <c r="H8" s="105">
        <f t="shared" si="1"/>
        <v>-103207.68000000001</v>
      </c>
      <c r="I8" s="105">
        <f t="shared" si="1"/>
        <v>-105271.83360000001</v>
      </c>
      <c r="J8" s="105">
        <f t="shared" si="1"/>
        <v>-107377.27027200001</v>
      </c>
      <c r="K8" s="105">
        <f t="shared" si="1"/>
        <v>-109524.81567744001</v>
      </c>
      <c r="L8" s="105">
        <f t="shared" si="1"/>
        <v>-111715.31199098882</v>
      </c>
      <c r="M8" s="105">
        <f t="shared" si="1"/>
        <v>-113949.6182308086</v>
      </c>
      <c r="N8" s="105">
        <f t="shared" si="1"/>
        <v>-116228.61059542478</v>
      </c>
      <c r="O8" s="105">
        <f t="shared" si="1"/>
        <v>-118553.18280733327</v>
      </c>
      <c r="P8" s="105">
        <f t="shared" si="1"/>
        <v>-120924.24646347994</v>
      </c>
      <c r="Q8" s="105" t="str">
        <f t="shared" si="1"/>
        <v/>
      </c>
      <c r="R8" s="105" t="str">
        <f t="shared" si="1"/>
        <v/>
      </c>
      <c r="S8" s="105" t="str">
        <f t="shared" si="1"/>
        <v/>
      </c>
      <c r="T8" s="105" t="str">
        <f t="shared" si="1"/>
        <v/>
      </c>
      <c r="U8" s="105" t="str">
        <f t="shared" si="1"/>
        <v/>
      </c>
    </row>
    <row r="9" spans="2:23" x14ac:dyDescent="0.3">
      <c r="B9" s="67">
        <f>'Property Summary'!$L$20</f>
        <v>0.02</v>
      </c>
      <c r="C9" s="61" t="s">
        <v>131</v>
      </c>
      <c r="D9" s="36"/>
      <c r="E9" s="105">
        <f t="shared" si="0"/>
        <v>-1200</v>
      </c>
      <c r="F9" s="110">
        <v>-148800</v>
      </c>
      <c r="G9" s="105">
        <f t="shared" si="1"/>
        <v>-151776</v>
      </c>
      <c r="H9" s="105">
        <f t="shared" si="1"/>
        <v>-154811.51999999999</v>
      </c>
      <c r="I9" s="105">
        <f t="shared" si="1"/>
        <v>-157907.75039999999</v>
      </c>
      <c r="J9" s="105">
        <f t="shared" si="1"/>
        <v>-161065.90540799999</v>
      </c>
      <c r="K9" s="105">
        <f t="shared" si="1"/>
        <v>-164287.22351615998</v>
      </c>
      <c r="L9" s="105">
        <f t="shared" si="1"/>
        <v>-167572.96798648319</v>
      </c>
      <c r="M9" s="105">
        <f t="shared" si="1"/>
        <v>-170924.42734621285</v>
      </c>
      <c r="N9" s="105">
        <f t="shared" si="1"/>
        <v>-174342.91589313711</v>
      </c>
      <c r="O9" s="105">
        <f t="shared" si="1"/>
        <v>-177829.77421099987</v>
      </c>
      <c r="P9" s="105">
        <f t="shared" si="1"/>
        <v>-181386.36969521985</v>
      </c>
      <c r="Q9" s="105" t="str">
        <f t="shared" si="1"/>
        <v/>
      </c>
      <c r="R9" s="105" t="str">
        <f t="shared" si="1"/>
        <v/>
      </c>
      <c r="S9" s="105" t="str">
        <f t="shared" si="1"/>
        <v/>
      </c>
      <c r="T9" s="105" t="str">
        <f t="shared" si="1"/>
        <v/>
      </c>
      <c r="U9" s="105" t="str">
        <f t="shared" si="1"/>
        <v/>
      </c>
    </row>
    <row r="10" spans="2:23" x14ac:dyDescent="0.3">
      <c r="B10" s="67">
        <f>'Property Summary'!$L$20</f>
        <v>0.02</v>
      </c>
      <c r="C10" s="61" t="s">
        <v>132</v>
      </c>
      <c r="D10" s="36"/>
      <c r="E10" s="105">
        <f t="shared" si="0"/>
        <v>-700</v>
      </c>
      <c r="F10" s="110">
        <v>-86800</v>
      </c>
      <c r="G10" s="105">
        <f t="shared" si="1"/>
        <v>-88536</v>
      </c>
      <c r="H10" s="105">
        <f t="shared" si="1"/>
        <v>-90306.72</v>
      </c>
      <c r="I10" s="105">
        <f t="shared" si="1"/>
        <v>-92112.854399999997</v>
      </c>
      <c r="J10" s="105">
        <f t="shared" si="1"/>
        <v>-93955.111487999995</v>
      </c>
      <c r="K10" s="105">
        <f t="shared" si="1"/>
        <v>-95834.213717759994</v>
      </c>
      <c r="L10" s="105">
        <f t="shared" si="1"/>
        <v>-97750.897992115191</v>
      </c>
      <c r="M10" s="105">
        <f t="shared" si="1"/>
        <v>-99705.91595195749</v>
      </c>
      <c r="N10" s="105">
        <f t="shared" si="1"/>
        <v>-101700.03427099664</v>
      </c>
      <c r="O10" s="105">
        <f t="shared" si="1"/>
        <v>-103734.03495641657</v>
      </c>
      <c r="P10" s="105">
        <f t="shared" si="1"/>
        <v>-105808.7156555449</v>
      </c>
      <c r="Q10" s="105" t="str">
        <f t="shared" si="1"/>
        <v/>
      </c>
      <c r="R10" s="105" t="str">
        <f t="shared" si="1"/>
        <v/>
      </c>
      <c r="S10" s="105" t="str">
        <f t="shared" si="1"/>
        <v/>
      </c>
      <c r="T10" s="105" t="str">
        <f t="shared" si="1"/>
        <v/>
      </c>
      <c r="U10" s="105" t="str">
        <f t="shared" si="1"/>
        <v/>
      </c>
    </row>
    <row r="11" spans="2:23" x14ac:dyDescent="0.3">
      <c r="B11" s="67"/>
      <c r="C11" s="61" t="s">
        <v>135</v>
      </c>
      <c r="D11" s="65">
        <v>0.03</v>
      </c>
      <c r="E11" s="110">
        <f t="shared" si="0"/>
        <v>-255.08941935483872</v>
      </c>
      <c r="F11" s="104">
        <f>IF(F5="","",-$D11*'Annual Cash Flow'!E12)</f>
        <v>-31631.088000000003</v>
      </c>
      <c r="G11" s="104">
        <f>IF(G5="","",-$D11*'Annual Cash Flow'!F12)</f>
        <v>-34320.074640000006</v>
      </c>
      <c r="H11" s="104">
        <f>IF(H5="","",-$D11*'Annual Cash Flow'!G12)</f>
        <v>-36840.373165199977</v>
      </c>
      <c r="I11" s="104">
        <f>IF(I5="","",-$D11*'Annual Cash Flow'!H12)</f>
        <v>-37389.153387677979</v>
      </c>
      <c r="J11" s="104">
        <f>IF(J5="","",-$D11*'Annual Cash Flow'!I12)</f>
        <v>-37946.12705974315</v>
      </c>
      <c r="K11" s="104">
        <f>IF(K5="","",-$D11*'Annual Cash Flow'!J12)</f>
        <v>-38511.416700601803</v>
      </c>
      <c r="L11" s="104">
        <f>IF(L5="","",-$D11*'Annual Cash Flow'!K12)</f>
        <v>-39085.146663422922</v>
      </c>
      <c r="M11" s="104">
        <f>IF(M5="","",-$D11*'Annual Cash Flow'!L12)</f>
        <v>-39667.443162809504</v>
      </c>
      <c r="N11" s="104">
        <f>IF(N5="","",-$D11*'Annual Cash Flow'!M12)</f>
        <v>-40258.434302681242</v>
      </c>
      <c r="O11" s="104">
        <f>IF(O5="","",-$D11*'Annual Cash Flow'!N12)</f>
        <v>-40858.250104575352</v>
      </c>
      <c r="P11" s="104">
        <f>IF(P5="","",-$D11*'Annual Cash Flow'!O12)</f>
        <v>-41467.022536371434</v>
      </c>
      <c r="Q11" s="104" t="str">
        <f>IF(Q5="","",-$D11*'Annual Cash Flow'!P12)</f>
        <v/>
      </c>
      <c r="R11" s="104" t="str">
        <f>IF(R5="","",-$D11*'Annual Cash Flow'!Q12)</f>
        <v/>
      </c>
      <c r="S11" s="104" t="str">
        <f>IF(S5="","",-$D11*'Annual Cash Flow'!R12)</f>
        <v/>
      </c>
      <c r="T11" s="104" t="str">
        <f>IF(T5="","",-$D11*'Annual Cash Flow'!S12)</f>
        <v/>
      </c>
      <c r="U11" s="104" t="str">
        <f>IF(U5="","",-$D11*'Annual Cash Flow'!T12)</f>
        <v/>
      </c>
    </row>
    <row r="12" spans="2:23" x14ac:dyDescent="0.3">
      <c r="B12" s="67">
        <f>'Property Summary'!$L$20</f>
        <v>0.02</v>
      </c>
      <c r="C12" s="61" t="s">
        <v>133</v>
      </c>
      <c r="D12" s="36"/>
      <c r="E12" s="105">
        <f t="shared" si="0"/>
        <v>-225</v>
      </c>
      <c r="F12" s="110">
        <v>-27900</v>
      </c>
      <c r="G12" s="105">
        <f t="shared" ref="G12:U13" si="2">IF(G$5="","",-ABS((F12*(1+$B12))))</f>
        <v>-28458</v>
      </c>
      <c r="H12" s="105">
        <f t="shared" si="2"/>
        <v>-29027.16</v>
      </c>
      <c r="I12" s="105">
        <f t="shared" si="2"/>
        <v>-29607.7032</v>
      </c>
      <c r="J12" s="105">
        <f t="shared" si="2"/>
        <v>-30199.857264000002</v>
      </c>
      <c r="K12" s="105">
        <f t="shared" si="2"/>
        <v>-30803.854409280004</v>
      </c>
      <c r="L12" s="105">
        <f t="shared" si="2"/>
        <v>-31419.931497465604</v>
      </c>
      <c r="M12" s="105">
        <f t="shared" si="2"/>
        <v>-32048.330127414916</v>
      </c>
      <c r="N12" s="105">
        <f t="shared" si="2"/>
        <v>-32689.296729963215</v>
      </c>
      <c r="O12" s="105">
        <f t="shared" si="2"/>
        <v>-33343.082664562477</v>
      </c>
      <c r="P12" s="105">
        <f t="shared" si="2"/>
        <v>-34009.944317853726</v>
      </c>
      <c r="Q12" s="105" t="str">
        <f t="shared" si="2"/>
        <v/>
      </c>
      <c r="R12" s="105" t="str">
        <f t="shared" si="2"/>
        <v/>
      </c>
      <c r="S12" s="105" t="str">
        <f t="shared" si="2"/>
        <v/>
      </c>
      <c r="T12" s="105" t="str">
        <f t="shared" si="2"/>
        <v/>
      </c>
      <c r="U12" s="105" t="str">
        <f t="shared" si="2"/>
        <v/>
      </c>
    </row>
    <row r="13" spans="2:23" ht="16.2" x14ac:dyDescent="0.45">
      <c r="B13" s="67">
        <f>'Property Summary'!$L$20</f>
        <v>0.02</v>
      </c>
      <c r="C13" s="61" t="s">
        <v>134</v>
      </c>
      <c r="D13" s="36"/>
      <c r="E13" s="153">
        <f t="shared" si="0"/>
        <v>-1350</v>
      </c>
      <c r="F13" s="262">
        <v>-167400</v>
      </c>
      <c r="G13" s="166">
        <f t="shared" si="2"/>
        <v>-170748</v>
      </c>
      <c r="H13" s="166">
        <f t="shared" si="2"/>
        <v>-174162.96</v>
      </c>
      <c r="I13" s="166">
        <f t="shared" si="2"/>
        <v>-177646.21919999999</v>
      </c>
      <c r="J13" s="166">
        <f t="shared" si="2"/>
        <v>-181199.143584</v>
      </c>
      <c r="K13" s="166">
        <f t="shared" si="2"/>
        <v>-184823.12645568</v>
      </c>
      <c r="L13" s="166">
        <f t="shared" si="2"/>
        <v>-188519.58898479361</v>
      </c>
      <c r="M13" s="166">
        <f t="shared" si="2"/>
        <v>-192289.98076448948</v>
      </c>
      <c r="N13" s="166">
        <f t="shared" si="2"/>
        <v>-196135.78037977926</v>
      </c>
      <c r="O13" s="166">
        <f t="shared" si="2"/>
        <v>-200058.49598737486</v>
      </c>
      <c r="P13" s="166">
        <f t="shared" si="2"/>
        <v>-204059.66590712237</v>
      </c>
      <c r="Q13" s="105" t="str">
        <f t="shared" si="2"/>
        <v/>
      </c>
      <c r="R13" s="105" t="str">
        <f t="shared" si="2"/>
        <v/>
      </c>
      <c r="S13" s="105" t="str">
        <f t="shared" si="2"/>
        <v/>
      </c>
      <c r="T13" s="105" t="str">
        <f t="shared" si="2"/>
        <v/>
      </c>
      <c r="U13" s="105" t="str">
        <f t="shared" si="2"/>
        <v/>
      </c>
    </row>
    <row r="14" spans="2:23" x14ac:dyDescent="0.3">
      <c r="B14" s="67">
        <f>RATE(Analysis_Period-1,,-F14,LOOKUP(Analysis_Period,$F$5:$U$5,F14:U14))</f>
        <v>2.0468464943037057E-2</v>
      </c>
      <c r="C14" s="42" t="s">
        <v>21</v>
      </c>
      <c r="D14" s="36"/>
      <c r="E14" s="105">
        <f>-F14/Units</f>
        <v>4980.0894193548384</v>
      </c>
      <c r="F14" s="105">
        <f t="shared" ref="F14:U14" si="3">IF(F5="","",-ABS(F6)-ABS(F7)-ABS(F8)-ABS(F9)-ABS(F10)+F11-ABS(F12)-ABS(F13))</f>
        <v>-617531.08799999999</v>
      </c>
      <c r="G14" s="105">
        <f t="shared" si="3"/>
        <v>-631938.07464000001</v>
      </c>
      <c r="H14" s="105">
        <f t="shared" si="3"/>
        <v>-646410.73316519998</v>
      </c>
      <c r="I14" s="105">
        <f t="shared" si="3"/>
        <v>-659150.92058767797</v>
      </c>
      <c r="J14" s="105">
        <f t="shared" si="3"/>
        <v>-672143.12960374309</v>
      </c>
      <c r="K14" s="105">
        <f t="shared" si="3"/>
        <v>-685392.35929548182</v>
      </c>
      <c r="L14" s="105">
        <f t="shared" si="3"/>
        <v>-698903.70811020047</v>
      </c>
      <c r="M14" s="105">
        <f t="shared" si="3"/>
        <v>-712682.37583852268</v>
      </c>
      <c r="N14" s="105">
        <f t="shared" si="3"/>
        <v>-726733.66563190869</v>
      </c>
      <c r="O14" s="105">
        <f t="shared" si="3"/>
        <v>-741062.98606038745</v>
      </c>
      <c r="P14" s="105">
        <f t="shared" si="3"/>
        <v>-755675.85321129975</v>
      </c>
      <c r="Q14" s="105" t="str">
        <f t="shared" si="3"/>
        <v/>
      </c>
      <c r="R14" s="105" t="str">
        <f t="shared" si="3"/>
        <v/>
      </c>
      <c r="S14" s="105" t="str">
        <f t="shared" si="3"/>
        <v/>
      </c>
      <c r="T14" s="105" t="str">
        <f t="shared" si="3"/>
        <v/>
      </c>
      <c r="U14" s="105" t="str">
        <f t="shared" si="3"/>
        <v/>
      </c>
    </row>
    <row r="15" spans="2:23" x14ac:dyDescent="0.3">
      <c r="B15" s="36"/>
      <c r="C15" s="36"/>
      <c r="D15" s="36"/>
      <c r="E15" s="105"/>
      <c r="F15" s="105"/>
      <c r="G15" s="105"/>
      <c r="H15" s="105"/>
      <c r="I15" s="105"/>
      <c r="J15" s="105"/>
      <c r="K15" s="105"/>
      <c r="L15" s="105"/>
      <c r="M15" s="105"/>
      <c r="N15" s="105"/>
      <c r="O15" s="105"/>
      <c r="P15" s="105"/>
      <c r="Q15" s="105"/>
      <c r="R15" s="105"/>
      <c r="S15" s="105"/>
      <c r="T15" s="105"/>
      <c r="U15" s="105"/>
    </row>
    <row r="16" spans="2:23" x14ac:dyDescent="0.3"/>
    <row r="17" spans="2:21" x14ac:dyDescent="0.3"/>
    <row r="18" spans="2:21" x14ac:dyDescent="0.3">
      <c r="F18" s="152">
        <f>F5</f>
        <v>1</v>
      </c>
      <c r="G18" s="152">
        <f t="shared" ref="G18:U18" si="4">G5</f>
        <v>2</v>
      </c>
      <c r="H18" s="152">
        <f t="shared" si="4"/>
        <v>3</v>
      </c>
      <c r="I18" s="152">
        <f t="shared" si="4"/>
        <v>4</v>
      </c>
      <c r="J18" s="152">
        <f t="shared" si="4"/>
        <v>5</v>
      </c>
      <c r="K18" s="152">
        <f t="shared" si="4"/>
        <v>6</v>
      </c>
      <c r="L18" s="152">
        <f t="shared" si="4"/>
        <v>7</v>
      </c>
      <c r="M18" s="152">
        <f t="shared" si="4"/>
        <v>8</v>
      </c>
      <c r="N18" s="152">
        <f t="shared" si="4"/>
        <v>9</v>
      </c>
      <c r="O18" s="152">
        <f t="shared" si="4"/>
        <v>10</v>
      </c>
      <c r="P18" s="152">
        <f t="shared" si="4"/>
        <v>11</v>
      </c>
      <c r="Q18" s="152" t="str">
        <f t="shared" si="4"/>
        <v/>
      </c>
      <c r="R18" s="152" t="str">
        <f t="shared" si="4"/>
        <v/>
      </c>
      <c r="S18" s="152" t="str">
        <f t="shared" si="4"/>
        <v/>
      </c>
      <c r="T18" s="152" t="str">
        <f t="shared" si="4"/>
        <v/>
      </c>
      <c r="U18" s="152" t="str">
        <f t="shared" si="4"/>
        <v/>
      </c>
    </row>
    <row r="19" spans="2:21" x14ac:dyDescent="0.3">
      <c r="B19" s="188" t="s">
        <v>215</v>
      </c>
      <c r="F19" s="187">
        <v>350000</v>
      </c>
      <c r="G19" s="187">
        <v>200000</v>
      </c>
      <c r="H19" s="187">
        <v>0</v>
      </c>
      <c r="I19" s="187">
        <v>0</v>
      </c>
      <c r="J19" s="187">
        <v>0</v>
      </c>
      <c r="K19" s="187">
        <v>0</v>
      </c>
      <c r="L19" s="187">
        <v>0</v>
      </c>
      <c r="M19" s="187">
        <v>0</v>
      </c>
      <c r="N19" s="187">
        <v>0</v>
      </c>
      <c r="O19" s="187">
        <v>0</v>
      </c>
      <c r="P19" s="187">
        <v>0</v>
      </c>
      <c r="Q19" s="187"/>
      <c r="R19" s="187"/>
      <c r="S19" s="187"/>
      <c r="T19" s="187"/>
      <c r="U19" s="187"/>
    </row>
    <row r="20" spans="2:21" x14ac:dyDescent="0.3">
      <c r="B20" s="37" t="s">
        <v>174</v>
      </c>
      <c r="F20" s="167">
        <f>IF(F18="","",-ABS(F19))</f>
        <v>-350000</v>
      </c>
      <c r="G20" s="167">
        <f t="shared" ref="G20:U20" si="5">IF(G18="","",-ABS(G19))</f>
        <v>-200000</v>
      </c>
      <c r="H20" s="167">
        <f t="shared" si="5"/>
        <v>0</v>
      </c>
      <c r="I20" s="167">
        <f t="shared" si="5"/>
        <v>0</v>
      </c>
      <c r="J20" s="167">
        <f t="shared" si="5"/>
        <v>0</v>
      </c>
      <c r="K20" s="167">
        <f t="shared" si="5"/>
        <v>0</v>
      </c>
      <c r="L20" s="167">
        <f t="shared" si="5"/>
        <v>0</v>
      </c>
      <c r="M20" s="167">
        <f t="shared" si="5"/>
        <v>0</v>
      </c>
      <c r="N20" s="167">
        <f t="shared" si="5"/>
        <v>0</v>
      </c>
      <c r="O20" s="167">
        <f t="shared" si="5"/>
        <v>0</v>
      </c>
      <c r="P20" s="167">
        <f t="shared" si="5"/>
        <v>0</v>
      </c>
      <c r="Q20" s="167" t="str">
        <f t="shared" si="5"/>
        <v/>
      </c>
      <c r="R20" s="167" t="str">
        <f t="shared" si="5"/>
        <v/>
      </c>
      <c r="S20" s="167" t="str">
        <f t="shared" si="5"/>
        <v/>
      </c>
      <c r="T20" s="167" t="str">
        <f t="shared" si="5"/>
        <v/>
      </c>
      <c r="U20" s="167" t="str">
        <f t="shared" si="5"/>
        <v/>
      </c>
    </row>
    <row r="21" spans="2:21" x14ac:dyDescent="0.3"/>
    <row r="22" spans="2:21" x14ac:dyDescent="0.3"/>
    <row r="23" spans="2:21" x14ac:dyDescent="0.3"/>
    <row r="24" spans="2:21" x14ac:dyDescent="0.3"/>
    <row r="25" spans="2:21" x14ac:dyDescent="0.3"/>
  </sheetData>
  <conditionalFormatting sqref="F5:U5">
    <cfRule type="expression" dxfId="24" priority="2">
      <formula>F$5&lt;&gt;""</formula>
    </cfRule>
  </conditionalFormatting>
  <conditionalFormatting sqref="F18:U18">
    <cfRule type="expression" dxfId="23" priority="1">
      <formula>F$5&lt;&gt;""</formula>
    </cfRule>
  </conditionalFormatting>
  <pageMargins left="0.7" right="0.7" top="0.75" bottom="0.75" header="0.3" footer="0.3"/>
  <pageSetup orientation="portrait" horizontalDpi="4294967294" verticalDpi="1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A1:U41"/>
  <sheetViews>
    <sheetView showGridLines="0" zoomScale="85" zoomScaleNormal="85" workbookViewId="0"/>
  </sheetViews>
  <sheetFormatPr defaultColWidth="9.109375" defaultRowHeight="14.4" zeroHeight="1" x14ac:dyDescent="0.3"/>
  <cols>
    <col min="1" max="1" width="1.6640625" style="37" customWidth="1"/>
    <col min="2" max="2" width="12.88671875" style="37" customWidth="1"/>
    <col min="3" max="3" width="18.109375" style="37" customWidth="1"/>
    <col min="4" max="4" width="12.44140625" style="72" bestFit="1" customWidth="1"/>
    <col min="5" max="5" width="19.109375" style="57" bestFit="1" customWidth="1"/>
    <col min="6" max="6" width="13.5546875" style="154" bestFit="1" customWidth="1"/>
    <col min="7" max="15" width="11" style="154" bestFit="1" customWidth="1"/>
    <col min="16" max="18" width="10" style="154" bestFit="1" customWidth="1"/>
    <col min="19" max="19" width="10.88671875" style="154" bestFit="1" customWidth="1"/>
    <col min="20" max="20" width="10" style="63" hidden="1" customWidth="1"/>
    <col min="21" max="16384" width="9.109375" style="63"/>
  </cols>
  <sheetData>
    <row r="1" spans="2:21" s="37" customFormat="1" ht="9.9" customHeight="1" x14ac:dyDescent="0.3">
      <c r="D1" s="72"/>
      <c r="E1" s="57"/>
      <c r="F1" s="57"/>
      <c r="G1" s="57"/>
      <c r="H1" s="57"/>
      <c r="I1" s="57"/>
      <c r="J1" s="57"/>
      <c r="K1" s="57"/>
      <c r="L1" s="57"/>
      <c r="M1" s="57"/>
      <c r="N1" s="57"/>
      <c r="O1" s="57"/>
      <c r="P1" s="57"/>
      <c r="Q1" s="57"/>
      <c r="R1" s="57"/>
      <c r="S1" s="57"/>
    </row>
    <row r="2" spans="2:21" s="37" customFormat="1" ht="15.6" x14ac:dyDescent="0.3">
      <c r="B2" s="79" t="s">
        <v>169</v>
      </c>
      <c r="C2" s="80"/>
      <c r="D2" s="93"/>
      <c r="E2" s="85"/>
      <c r="F2" s="85"/>
      <c r="G2" s="85"/>
      <c r="H2" s="85"/>
      <c r="I2" s="85"/>
      <c r="J2" s="85"/>
      <c r="K2" s="85"/>
      <c r="L2" s="85"/>
      <c r="M2" s="85"/>
      <c r="N2" s="85"/>
      <c r="O2" s="85"/>
      <c r="P2" s="85"/>
      <c r="Q2" s="85"/>
      <c r="R2" s="85"/>
      <c r="S2" s="85"/>
      <c r="T2" s="80"/>
    </row>
    <row r="3" spans="2:21" s="37" customFormat="1" x14ac:dyDescent="0.3">
      <c r="B3" s="36"/>
      <c r="C3" s="36"/>
      <c r="D3" s="50"/>
      <c r="E3" s="88"/>
      <c r="F3" s="88"/>
      <c r="G3" s="88"/>
      <c r="H3" s="88"/>
      <c r="I3" s="88"/>
      <c r="J3" s="88"/>
      <c r="K3" s="88"/>
      <c r="L3" s="88"/>
      <c r="M3" s="88"/>
      <c r="N3" s="88"/>
      <c r="O3" s="88"/>
      <c r="P3" s="88"/>
      <c r="Q3" s="88"/>
      <c r="R3" s="88"/>
      <c r="S3" s="88"/>
      <c r="T3" s="36"/>
    </row>
    <row r="4" spans="2:21" s="37" customFormat="1" x14ac:dyDescent="0.3">
      <c r="B4" s="36"/>
      <c r="C4" s="36"/>
      <c r="D4" s="50"/>
      <c r="E4" s="122"/>
      <c r="F4" s="88"/>
      <c r="G4" s="88"/>
      <c r="H4" s="88"/>
      <c r="I4" s="88"/>
      <c r="J4" s="88"/>
      <c r="K4" s="88"/>
      <c r="L4" s="88"/>
      <c r="M4" s="88"/>
      <c r="N4" s="88"/>
      <c r="O4" s="88"/>
      <c r="P4" s="88"/>
      <c r="Q4" s="88"/>
      <c r="R4" s="88"/>
      <c r="S4" s="88"/>
      <c r="T4" s="36"/>
    </row>
    <row r="5" spans="2:21" s="41" customFormat="1" x14ac:dyDescent="0.3">
      <c r="B5" s="60"/>
      <c r="C5" s="60"/>
      <c r="D5" s="94" t="s">
        <v>186</v>
      </c>
      <c r="E5" s="152">
        <f>'Property Returns'!D3</f>
        <v>1</v>
      </c>
      <c r="F5" s="152">
        <f>'Property Returns'!E3</f>
        <v>2</v>
      </c>
      <c r="G5" s="152">
        <f>'Property Returns'!F3</f>
        <v>3</v>
      </c>
      <c r="H5" s="152">
        <f>'Property Returns'!G3</f>
        <v>4</v>
      </c>
      <c r="I5" s="152">
        <f>'Property Returns'!H3</f>
        <v>5</v>
      </c>
      <c r="J5" s="152">
        <f>'Property Returns'!I3</f>
        <v>6</v>
      </c>
      <c r="K5" s="152">
        <f>'Property Returns'!J3</f>
        <v>7</v>
      </c>
      <c r="L5" s="152">
        <f>'Property Returns'!K3</f>
        <v>8</v>
      </c>
      <c r="M5" s="152">
        <f>'Property Returns'!L3</f>
        <v>9</v>
      </c>
      <c r="N5" s="152">
        <f>'Property Returns'!M3</f>
        <v>10</v>
      </c>
      <c r="O5" s="152">
        <f>'Property Returns'!N3</f>
        <v>11</v>
      </c>
      <c r="P5" s="152" t="str">
        <f>'Property Returns'!O3</f>
        <v/>
      </c>
      <c r="Q5" s="152" t="str">
        <f>'Property Returns'!P3</f>
        <v/>
      </c>
      <c r="R5" s="152" t="str">
        <f>'Property Returns'!Q3</f>
        <v/>
      </c>
      <c r="S5" s="152" t="str">
        <f>'Property Returns'!R3</f>
        <v/>
      </c>
      <c r="T5" s="39" t="str">
        <f>'Property Returns'!S3</f>
        <v/>
      </c>
      <c r="U5" s="40"/>
    </row>
    <row r="6" spans="2:21" x14ac:dyDescent="0.3">
      <c r="B6" s="61" t="s">
        <v>126</v>
      </c>
      <c r="C6" s="36"/>
      <c r="D6" s="50"/>
      <c r="E6" s="104">
        <f>IF(E5="","",SUMIF('MF Rents'!$U$3:$GR$3,'Annual Cash Flow'!E5,'MF Rents'!$U$40:$GR$40))</f>
        <v>1118880</v>
      </c>
      <c r="F6" s="104">
        <f>IF(F5="","",SUMIF('MF Rents'!$U$3:$GR$3,'Annual Cash Flow'!F5,'MF Rents'!$U$40:$GR$40))</f>
        <v>1242360</v>
      </c>
      <c r="G6" s="104">
        <f>IF(G5="","",SUMIF('MF Rents'!$U$3:$GR$3,'Annual Cash Flow'!G5,'MF Rents'!$U$40:$GR$40))</f>
        <v>1336655.1239999991</v>
      </c>
      <c r="H6" s="104">
        <f>IF(H5="","",SUMIF('MF Rents'!$U$3:$GR$3,'Annual Cash Flow'!H5,'MF Rents'!$U$40:$GR$40))</f>
        <v>1356704.9508599993</v>
      </c>
      <c r="I6" s="104">
        <f>IF(I5="","",SUMIF('MF Rents'!$U$3:$GR$3,'Annual Cash Flow'!I5,'MF Rents'!$U$40:$GR$40))</f>
        <v>1377055.5251228993</v>
      </c>
      <c r="J6" s="104">
        <f>IF(J5="","",SUMIF('MF Rents'!$U$3:$GR$3,'Annual Cash Flow'!J5,'MF Rents'!$U$40:$GR$40))</f>
        <v>1397711.357999743</v>
      </c>
      <c r="K6" s="104">
        <f>IF(K5="","",SUMIF('MF Rents'!$U$3:$GR$3,'Annual Cash Flow'!K5,'MF Rents'!$U$40:$GR$40))</f>
        <v>1418677.028369738</v>
      </c>
      <c r="L6" s="104">
        <f>IF(L5="","",SUMIF('MF Rents'!$U$3:$GR$3,'Annual Cash Flow'!L5,'MF Rents'!$U$40:$GR$40))</f>
        <v>1439957.1837952838</v>
      </c>
      <c r="M6" s="104">
        <f>IF(M5="","",SUMIF('MF Rents'!$U$3:$GR$3,'Annual Cash Flow'!M5,'MF Rents'!$U$40:$GR$40))</f>
        <v>1461556.541552213</v>
      </c>
      <c r="N6" s="104">
        <f>IF(N5="","",SUMIF('MF Rents'!$U$3:$GR$3,'Annual Cash Flow'!N5,'MF Rents'!$U$40:$GR$40))</f>
        <v>1483479.8896754961</v>
      </c>
      <c r="O6" s="104">
        <f>IF(O5="","",SUMIF('MF Rents'!$U$3:$GR$3,'Annual Cash Flow'!O5,'MF Rents'!$U$40:$GR$40))</f>
        <v>1505732.088020629</v>
      </c>
      <c r="P6" s="104" t="str">
        <f>IF(P5="","",SUMIF('MF Rents'!$U$3:$GR$3,'Annual Cash Flow'!P5,'MF Rents'!$U$40:$GR$40))</f>
        <v/>
      </c>
      <c r="Q6" s="104" t="str">
        <f>IF(Q5="","",SUMIF('MF Rents'!$U$3:$GR$3,'Annual Cash Flow'!Q5,'MF Rents'!$U$40:$GR$40))</f>
        <v/>
      </c>
      <c r="R6" s="104" t="str">
        <f>IF(R5="","",SUMIF('MF Rents'!$U$3:$GR$3,'Annual Cash Flow'!R5,'MF Rents'!$U$40:$GR$40))</f>
        <v/>
      </c>
      <c r="S6" s="104" t="str">
        <f>IF(S5="","",SUMIF('MF Rents'!$U$3:$GR$3,'Annual Cash Flow'!S5,'MF Rents'!$U$40:$GR$40))</f>
        <v/>
      </c>
      <c r="T6" s="66" t="str">
        <f>IF(T5="","",SUMIF('MF Rents'!$U$3:$GR$3,'Annual Cash Flow'!T5,'MF Rents'!$U$40:$GR$40))</f>
        <v/>
      </c>
    </row>
    <row r="7" spans="2:21" x14ac:dyDescent="0.3">
      <c r="B7" s="61" t="s">
        <v>122</v>
      </c>
      <c r="C7" s="36"/>
      <c r="D7" s="97">
        <f>AVERAGE(E7:T7)/AVERAGE($E$8:$T$8)</f>
        <v>1.8743322584926614E-2</v>
      </c>
      <c r="E7" s="156">
        <f>IF(E5="","",'Property Summary'!$H$14*(1+'Property Summary'!$L$19)^('Annual Cash Flow'!E5-1))</f>
        <v>25000</v>
      </c>
      <c r="F7" s="156">
        <f>IF(F5="","",'Property Summary'!$H$14*(1+'Property Summary'!$L$19)^('Annual Cash Flow'!F5-1))</f>
        <v>25250</v>
      </c>
      <c r="G7" s="156">
        <f>IF(G5="","",'Property Summary'!$H$14*(1+'Property Summary'!$L$19)^('Annual Cash Flow'!G5-1))</f>
        <v>25502.5</v>
      </c>
      <c r="H7" s="156">
        <f>IF(H5="","",'Property Summary'!$H$14*(1+'Property Summary'!$L$19)^('Annual Cash Flow'!H5-1))</f>
        <v>25757.524999999998</v>
      </c>
      <c r="I7" s="156">
        <f>IF(I5="","",'Property Summary'!$H$14*(1+'Property Summary'!$L$19)^('Annual Cash Flow'!I5-1))</f>
        <v>26015.10025</v>
      </c>
      <c r="J7" s="156">
        <f>IF(J5="","",'Property Summary'!$H$14*(1+'Property Summary'!$L$19)^('Annual Cash Flow'!J5-1))</f>
        <v>26275.251252499998</v>
      </c>
      <c r="K7" s="156">
        <f>IF(K5="","",'Property Summary'!$H$14*(1+'Property Summary'!$L$19)^('Annual Cash Flow'!K5-1))</f>
        <v>26538.003765025005</v>
      </c>
      <c r="L7" s="156">
        <f>IF(L5="","",'Property Summary'!$H$14*(1+'Property Summary'!$L$19)^('Annual Cash Flow'!L5-1))</f>
        <v>26803.383802675246</v>
      </c>
      <c r="M7" s="156">
        <f>IF(M5="","",'Property Summary'!$H$14*(1+'Property Summary'!$L$19)^('Annual Cash Flow'!M5-1))</f>
        <v>27071.417640702006</v>
      </c>
      <c r="N7" s="156">
        <f>IF(N5="","",'Property Summary'!$H$14*(1+'Property Summary'!$L$19)^('Annual Cash Flow'!N5-1))</f>
        <v>27342.131817109028</v>
      </c>
      <c r="O7" s="156">
        <f>IF(O5="","",'Property Summary'!$H$14*(1+'Property Summary'!$L$19)^('Annual Cash Flow'!O5-1))</f>
        <v>27615.553135280119</v>
      </c>
      <c r="P7" s="156" t="str">
        <f>IF(P5="","",'Property Summary'!$H$14*(1+'Property Summary'!$L$19)^('Annual Cash Flow'!P5-1))</f>
        <v/>
      </c>
      <c r="Q7" s="156" t="str">
        <f>IF(Q5="","",'Property Summary'!$H$14*(1+'Property Summary'!$L$19)^('Annual Cash Flow'!Q5-1))</f>
        <v/>
      </c>
      <c r="R7" s="156" t="str">
        <f>IF(R5="","",'Property Summary'!$H$14*(1+'Property Summary'!$L$19)^('Annual Cash Flow'!R5-1))</f>
        <v/>
      </c>
      <c r="S7" s="156" t="str">
        <f>IF(S5="","",'Property Summary'!$H$14*(1+'Property Summary'!$L$19)^('Annual Cash Flow'!S5-1))</f>
        <v/>
      </c>
      <c r="T7" s="66" t="str">
        <f>IF(T5="","",'Property Summary'!$H$14*(1+'Property Summary'!$L$19)^('Annual Cash Flow'!T5-1))</f>
        <v/>
      </c>
    </row>
    <row r="8" spans="2:21" x14ac:dyDescent="0.3">
      <c r="B8" s="58" t="s">
        <v>123</v>
      </c>
      <c r="C8" s="58"/>
      <c r="D8" s="95"/>
      <c r="E8" s="108">
        <f>IF(E5="","",SUM(E6:E7))</f>
        <v>1143880</v>
      </c>
      <c r="F8" s="108">
        <f t="shared" ref="F8:T8" si="0">IF(F5="","",SUM(F6:F7))</f>
        <v>1267610</v>
      </c>
      <c r="G8" s="108">
        <f t="shared" si="0"/>
        <v>1362157.6239999991</v>
      </c>
      <c r="H8" s="108">
        <f t="shared" si="0"/>
        <v>1382462.4758599992</v>
      </c>
      <c r="I8" s="108">
        <f t="shared" si="0"/>
        <v>1403070.6253728992</v>
      </c>
      <c r="J8" s="108">
        <f t="shared" si="0"/>
        <v>1423986.6092522431</v>
      </c>
      <c r="K8" s="108">
        <f t="shared" si="0"/>
        <v>1445215.032134763</v>
      </c>
      <c r="L8" s="108">
        <f t="shared" si="0"/>
        <v>1466760.567597959</v>
      </c>
      <c r="M8" s="108">
        <f t="shared" si="0"/>
        <v>1488627.9591929151</v>
      </c>
      <c r="N8" s="108">
        <f t="shared" si="0"/>
        <v>1510822.0214926051</v>
      </c>
      <c r="O8" s="108">
        <f t="shared" si="0"/>
        <v>1533347.641155909</v>
      </c>
      <c r="P8" s="108" t="str">
        <f t="shared" si="0"/>
        <v/>
      </c>
      <c r="Q8" s="108" t="str">
        <f t="shared" si="0"/>
        <v/>
      </c>
      <c r="R8" s="108" t="str">
        <f t="shared" si="0"/>
        <v/>
      </c>
      <c r="S8" s="108" t="str">
        <f t="shared" si="0"/>
        <v/>
      </c>
      <c r="T8" s="64" t="str">
        <f t="shared" si="0"/>
        <v/>
      </c>
    </row>
    <row r="9" spans="2:21" x14ac:dyDescent="0.3">
      <c r="B9" s="36"/>
      <c r="C9" s="36"/>
      <c r="D9" s="50"/>
      <c r="E9" s="104"/>
      <c r="F9" s="104"/>
      <c r="G9" s="104"/>
      <c r="H9" s="104"/>
      <c r="I9" s="104"/>
      <c r="J9" s="104"/>
      <c r="K9" s="104"/>
      <c r="L9" s="104"/>
      <c r="M9" s="104"/>
      <c r="N9" s="104"/>
      <c r="O9" s="104"/>
      <c r="P9" s="104"/>
      <c r="Q9" s="104"/>
      <c r="R9" s="104"/>
      <c r="S9" s="104"/>
      <c r="T9" s="66"/>
    </row>
    <row r="10" spans="2:21" x14ac:dyDescent="0.3">
      <c r="B10" s="61" t="s">
        <v>124</v>
      </c>
      <c r="C10" s="36"/>
      <c r="D10" s="97">
        <f>-AVERAGE(E10:T10)/AVERAGE($E$8:$T$8)</f>
        <v>0</v>
      </c>
      <c r="E10" s="104">
        <f>IF(E5="","",-SUMIF('MF Free Rent'!$S$3:$GP$3,'Annual Cash Flow'!E5,'MF Free Rent'!$S$40:$GP$40))</f>
        <v>0</v>
      </c>
      <c r="F10" s="104">
        <f>IF(F5="","",-SUMIF('MF Free Rent'!$S$3:$GP$3,'Annual Cash Flow'!F5,'MF Free Rent'!$S$40:$GP$40))</f>
        <v>0</v>
      </c>
      <c r="G10" s="104">
        <f>IF(G5="","",-SUMIF('MF Free Rent'!$S$3:$GP$3,'Annual Cash Flow'!G5,'MF Free Rent'!$S$40:$GP$40))</f>
        <v>0</v>
      </c>
      <c r="H10" s="104">
        <f>IF(H5="","",-SUMIF('MF Free Rent'!$S$3:$GP$3,'Annual Cash Flow'!H5,'MF Free Rent'!$S$40:$GP$40))</f>
        <v>0</v>
      </c>
      <c r="I10" s="104">
        <f>IF(I5="","",-SUMIF('MF Free Rent'!$S$3:$GP$3,'Annual Cash Flow'!I5,'MF Free Rent'!$S$40:$GP$40))</f>
        <v>0</v>
      </c>
      <c r="J10" s="104">
        <f>IF(J5="","",-SUMIF('MF Free Rent'!$S$3:$GP$3,'Annual Cash Flow'!J5,'MF Free Rent'!$S$40:$GP$40))</f>
        <v>0</v>
      </c>
      <c r="K10" s="104">
        <f>IF(K5="","",-SUMIF('MF Free Rent'!$S$3:$GP$3,'Annual Cash Flow'!K5,'MF Free Rent'!$S$40:$GP$40))</f>
        <v>0</v>
      </c>
      <c r="L10" s="104">
        <f>IF(L5="","",-SUMIF('MF Free Rent'!$S$3:$GP$3,'Annual Cash Flow'!L5,'MF Free Rent'!$S$40:$GP$40))</f>
        <v>0</v>
      </c>
      <c r="M10" s="104">
        <f>IF(M5="","",-SUMIF('MF Free Rent'!$S$3:$GP$3,'Annual Cash Flow'!M5,'MF Free Rent'!$S$40:$GP$40))</f>
        <v>0</v>
      </c>
      <c r="N10" s="104">
        <f>IF(N5="","",-SUMIF('MF Free Rent'!$S$3:$GP$3,'Annual Cash Flow'!N5,'MF Free Rent'!$S$40:$GP$40))</f>
        <v>0</v>
      </c>
      <c r="O10" s="104">
        <f>IF(O5="","",-SUMIF('MF Free Rent'!$S$3:$GP$3,'Annual Cash Flow'!O5,'MF Free Rent'!$S$40:$GP$40))</f>
        <v>0</v>
      </c>
      <c r="P10" s="104" t="str">
        <f>IF(P5="","",-SUMIF('MF Free Rent'!$S$3:$GP$3,'Annual Cash Flow'!P5,'MF Free Rent'!$S$40:$GP$40))</f>
        <v/>
      </c>
      <c r="Q10" s="104" t="str">
        <f>IF(Q5="","",-SUMIF('MF Free Rent'!$S$3:$GP$3,'Annual Cash Flow'!Q5,'MF Free Rent'!$S$40:$GP$40))</f>
        <v/>
      </c>
      <c r="R10" s="104" t="str">
        <f>IF(R5="","",-SUMIF('MF Free Rent'!$S$3:$GP$3,'Annual Cash Flow'!R5,'MF Free Rent'!$S$40:$GP$40))</f>
        <v/>
      </c>
      <c r="S10" s="104" t="str">
        <f>IF(S5="","",-SUMIF('MF Free Rent'!$S$3:$GP$3,'Annual Cash Flow'!S5,'MF Free Rent'!$S$40:$GP$40))</f>
        <v/>
      </c>
      <c r="T10" s="66" t="str">
        <f>IF(T5="","",-SUMIF('MF Free Rent'!$S$3:$GP$3,'Annual Cash Flow'!T5,'MF Free Rent'!$S$40:$GP$40))</f>
        <v/>
      </c>
    </row>
    <row r="11" spans="2:21" x14ac:dyDescent="0.3">
      <c r="B11" s="61" t="s">
        <v>125</v>
      </c>
      <c r="C11" s="65"/>
      <c r="D11" s="97">
        <f>-AVERAGE(E11:T11)/AVERAGE($E$8:$T$8)</f>
        <v>9.6931682263267135E-2</v>
      </c>
      <c r="E11" s="156">
        <f>IF(E5="","",-SUMIF('MF Vacancy'!$S$3:$GP$3,'Annual Cash Flow'!E5,'MF Vacancy'!$S$40:$GP$40))</f>
        <v>-89510.39999999998</v>
      </c>
      <c r="F11" s="156">
        <f>IF(F5="","",-SUMIF('MF Vacancy'!$S$3:$GP$3,'Annual Cash Flow'!F5,'MF Vacancy'!$S$40:$GP$40))</f>
        <v>-123607.51199999997</v>
      </c>
      <c r="G11" s="156">
        <f>IF(G5="","",-SUMIF('MF Vacancy'!$S$3:$GP$3,'Annual Cash Flow'!G5,'MF Vacancy'!$S$40:$GP$40))</f>
        <v>-134145.18515999996</v>
      </c>
      <c r="H11" s="156">
        <f>IF(H5="","",-SUMIF('MF Vacancy'!$S$3:$GP$3,'Annual Cash Flow'!H5,'MF Vacancy'!$S$40:$GP$40))</f>
        <v>-136157.36293739991</v>
      </c>
      <c r="I11" s="156">
        <f>IF(I5="","",-SUMIF('MF Vacancy'!$S$3:$GP$3,'Annual Cash Flow'!I5,'MF Vacancy'!$S$40:$GP$40))</f>
        <v>-138199.72338146091</v>
      </c>
      <c r="J11" s="156">
        <f>IF(J5="","",-SUMIF('MF Vacancy'!$S$3:$GP$3,'Annual Cash Flow'!J5,'MF Vacancy'!$S$40:$GP$40))</f>
        <v>-140272.71923218286</v>
      </c>
      <c r="K11" s="156">
        <f>IF(K5="","",-SUMIF('MF Vacancy'!$S$3:$GP$3,'Annual Cash Flow'!K5,'MF Vacancy'!$S$40:$GP$40))</f>
        <v>-142376.81002066552</v>
      </c>
      <c r="L11" s="156">
        <f>IF(L5="","",-SUMIF('MF Vacancy'!$S$3:$GP$3,'Annual Cash Flow'!L5,'MF Vacancy'!$S$40:$GP$40))</f>
        <v>-144512.46217097549</v>
      </c>
      <c r="M11" s="156">
        <f>IF(M5="","",-SUMIF('MF Vacancy'!$S$3:$GP$3,'Annual Cash Flow'!M5,'MF Vacancy'!$S$40:$GP$40))</f>
        <v>-146680.14910354014</v>
      </c>
      <c r="N11" s="156">
        <f>IF(N5="","",-SUMIF('MF Vacancy'!$S$3:$GP$3,'Annual Cash Flow'!N5,'MF Vacancy'!$S$40:$GP$40))</f>
        <v>-148880.35134009318</v>
      </c>
      <c r="O11" s="156">
        <f>IF(O5="","",-SUMIF('MF Vacancy'!$S$3:$GP$3,'Annual Cash Flow'!O5,'MF Vacancy'!$S$40:$GP$40))</f>
        <v>-151113.55661019456</v>
      </c>
      <c r="P11" s="156" t="str">
        <f>IF(P5="","",-SUMIF('MF Vacancy'!$S$3:$GP$3,'Annual Cash Flow'!P5,'MF Vacancy'!$S$40:$GP$40))</f>
        <v/>
      </c>
      <c r="Q11" s="156" t="str">
        <f>IF(Q5="","",-SUMIF('MF Vacancy'!$S$3:$GP$3,'Annual Cash Flow'!Q5,'MF Vacancy'!$S$40:$GP$40))</f>
        <v/>
      </c>
      <c r="R11" s="156" t="str">
        <f>IF(R5="","",-SUMIF('MF Vacancy'!$S$3:$GP$3,'Annual Cash Flow'!R5,'MF Vacancy'!$S$40:$GP$40))</f>
        <v/>
      </c>
      <c r="S11" s="156" t="str">
        <f>IF(S5="","",-SUMIF('MF Vacancy'!$S$3:$GP$3,'Annual Cash Flow'!S5,'MF Vacancy'!$S$40:$GP$40))</f>
        <v/>
      </c>
      <c r="T11" s="66" t="str">
        <f>IF(T5="","",-SUMIF('MF Vacancy'!$S$3:$GP$3,'Annual Cash Flow'!T5,'MF Vacancy'!$S$40:$GP$40))</f>
        <v/>
      </c>
    </row>
    <row r="12" spans="2:21" x14ac:dyDescent="0.3">
      <c r="B12" s="68" t="s">
        <v>127</v>
      </c>
      <c r="C12" s="58"/>
      <c r="D12" s="97">
        <f>AVERAGE(E12:T12)/AVERAGE($E$8:$T$8)</f>
        <v>0.90306831773673291</v>
      </c>
      <c r="E12" s="108">
        <f>IF(E5="","",SUM(E8:E11))</f>
        <v>1054369.6000000001</v>
      </c>
      <c r="F12" s="108">
        <f t="shared" ref="F12:T12" si="1">IF(F5="","",SUM(F8:F11))</f>
        <v>1144002.4880000001</v>
      </c>
      <c r="G12" s="108">
        <f t="shared" si="1"/>
        <v>1228012.4388399993</v>
      </c>
      <c r="H12" s="108">
        <f t="shared" si="1"/>
        <v>1246305.1129225993</v>
      </c>
      <c r="I12" s="108">
        <f t="shared" si="1"/>
        <v>1264870.9019914384</v>
      </c>
      <c r="J12" s="108">
        <f t="shared" si="1"/>
        <v>1283713.8900200601</v>
      </c>
      <c r="K12" s="108">
        <f t="shared" si="1"/>
        <v>1302838.2221140973</v>
      </c>
      <c r="L12" s="108">
        <f t="shared" si="1"/>
        <v>1322248.1054269834</v>
      </c>
      <c r="M12" s="108">
        <f t="shared" si="1"/>
        <v>1341947.8100893749</v>
      </c>
      <c r="N12" s="108">
        <f t="shared" si="1"/>
        <v>1361941.6701525119</v>
      </c>
      <c r="O12" s="108">
        <f t="shared" si="1"/>
        <v>1382234.0845457145</v>
      </c>
      <c r="P12" s="108" t="str">
        <f t="shared" si="1"/>
        <v/>
      </c>
      <c r="Q12" s="108" t="str">
        <f t="shared" si="1"/>
        <v/>
      </c>
      <c r="R12" s="108" t="str">
        <f t="shared" si="1"/>
        <v/>
      </c>
      <c r="S12" s="108" t="str">
        <f t="shared" si="1"/>
        <v/>
      </c>
      <c r="T12" s="64" t="str">
        <f t="shared" si="1"/>
        <v/>
      </c>
    </row>
    <row r="13" spans="2:21" x14ac:dyDescent="0.3">
      <c r="B13" s="36"/>
      <c r="C13" s="36"/>
      <c r="D13" s="50"/>
      <c r="E13" s="104"/>
      <c r="F13" s="104"/>
      <c r="G13" s="104"/>
      <c r="H13" s="104"/>
      <c r="I13" s="104"/>
      <c r="J13" s="104"/>
      <c r="K13" s="104"/>
      <c r="L13" s="104"/>
      <c r="M13" s="104"/>
      <c r="N13" s="104"/>
      <c r="O13" s="104"/>
      <c r="P13" s="104"/>
      <c r="Q13" s="104"/>
      <c r="R13" s="104"/>
      <c r="S13" s="104"/>
      <c r="T13" s="66"/>
    </row>
    <row r="14" spans="2:21" x14ac:dyDescent="0.3">
      <c r="B14" s="61" t="s">
        <v>128</v>
      </c>
      <c r="C14" s="36"/>
      <c r="D14" s="50"/>
      <c r="E14" s="104">
        <f>-ABS(Expenses!F6)</f>
        <v>-24800</v>
      </c>
      <c r="F14" s="104">
        <f>Expenses!G6</f>
        <v>-25296</v>
      </c>
      <c r="G14" s="104">
        <f>Expenses!H6</f>
        <v>-25801.920000000002</v>
      </c>
      <c r="H14" s="104">
        <f>Expenses!I6</f>
        <v>-26317.958400000003</v>
      </c>
      <c r="I14" s="104">
        <f>Expenses!J6</f>
        <v>-26844.317568000002</v>
      </c>
      <c r="J14" s="104">
        <f>Expenses!K6</f>
        <v>-27381.203919360003</v>
      </c>
      <c r="K14" s="104">
        <f>Expenses!L6</f>
        <v>-27928.827997747205</v>
      </c>
      <c r="L14" s="104">
        <f>Expenses!M6</f>
        <v>-28487.40455770215</v>
      </c>
      <c r="M14" s="104">
        <f>Expenses!N6</f>
        <v>-29057.152648856194</v>
      </c>
      <c r="N14" s="104">
        <f>Expenses!O6</f>
        <v>-29638.295701833318</v>
      </c>
      <c r="O14" s="104">
        <f>Expenses!P6</f>
        <v>-30231.061615869985</v>
      </c>
      <c r="P14" s="104" t="str">
        <f>Expenses!Q6</f>
        <v/>
      </c>
      <c r="Q14" s="104" t="str">
        <f>Expenses!R6</f>
        <v/>
      </c>
      <c r="R14" s="104" t="str">
        <f>Expenses!S6</f>
        <v/>
      </c>
      <c r="S14" s="104" t="str">
        <f>Expenses!T6</f>
        <v/>
      </c>
      <c r="T14" s="66" t="str">
        <f>Expenses!U6</f>
        <v/>
      </c>
    </row>
    <row r="15" spans="2:21" x14ac:dyDescent="0.3">
      <c r="B15" s="61" t="s">
        <v>129</v>
      </c>
      <c r="C15" s="36"/>
      <c r="D15" s="50"/>
      <c r="E15" s="104">
        <f>-ABS(Expenses!F7)</f>
        <v>-31000</v>
      </c>
      <c r="F15" s="104">
        <f>Expenses!G7</f>
        <v>-31620</v>
      </c>
      <c r="G15" s="104">
        <f>Expenses!H7</f>
        <v>-32252.400000000001</v>
      </c>
      <c r="H15" s="104">
        <f>Expenses!I7</f>
        <v>-32897.448000000004</v>
      </c>
      <c r="I15" s="104">
        <f>Expenses!J7</f>
        <v>-33555.396960000005</v>
      </c>
      <c r="J15" s="104">
        <f>Expenses!K7</f>
        <v>-34226.504899200008</v>
      </c>
      <c r="K15" s="104">
        <f>Expenses!L7</f>
        <v>-34911.034997184011</v>
      </c>
      <c r="L15" s="104">
        <f>Expenses!M7</f>
        <v>-35609.255697127694</v>
      </c>
      <c r="M15" s="104">
        <f>Expenses!N7</f>
        <v>-36321.44081107025</v>
      </c>
      <c r="N15" s="104">
        <f>Expenses!O7</f>
        <v>-37047.869627291657</v>
      </c>
      <c r="O15" s="104">
        <f>Expenses!P7</f>
        <v>-37788.827019837488</v>
      </c>
      <c r="P15" s="104" t="str">
        <f>Expenses!Q7</f>
        <v/>
      </c>
      <c r="Q15" s="104" t="str">
        <f>Expenses!R7</f>
        <v/>
      </c>
      <c r="R15" s="104" t="str">
        <f>Expenses!S7</f>
        <v/>
      </c>
      <c r="S15" s="104" t="str">
        <f>Expenses!T7</f>
        <v/>
      </c>
      <c r="T15" s="66" t="str">
        <f>Expenses!U7</f>
        <v/>
      </c>
    </row>
    <row r="16" spans="2:21" x14ac:dyDescent="0.3">
      <c r="B16" s="61" t="s">
        <v>130</v>
      </c>
      <c r="C16" s="36"/>
      <c r="D16" s="50"/>
      <c r="E16" s="104">
        <f>-ABS(Expenses!F8)</f>
        <v>-99200</v>
      </c>
      <c r="F16" s="104">
        <f>Expenses!G8</f>
        <v>-101184</v>
      </c>
      <c r="G16" s="104">
        <f>Expenses!H8</f>
        <v>-103207.68000000001</v>
      </c>
      <c r="H16" s="104">
        <f>Expenses!I8</f>
        <v>-105271.83360000001</v>
      </c>
      <c r="I16" s="104">
        <f>Expenses!J8</f>
        <v>-107377.27027200001</v>
      </c>
      <c r="J16" s="104">
        <f>Expenses!K8</f>
        <v>-109524.81567744001</v>
      </c>
      <c r="K16" s="104">
        <f>Expenses!L8</f>
        <v>-111715.31199098882</v>
      </c>
      <c r="L16" s="104">
        <f>Expenses!M8</f>
        <v>-113949.6182308086</v>
      </c>
      <c r="M16" s="104">
        <f>Expenses!N8</f>
        <v>-116228.61059542478</v>
      </c>
      <c r="N16" s="104">
        <f>Expenses!O8</f>
        <v>-118553.18280733327</v>
      </c>
      <c r="O16" s="104">
        <f>Expenses!P8</f>
        <v>-120924.24646347994</v>
      </c>
      <c r="P16" s="104" t="str">
        <f>Expenses!Q8</f>
        <v/>
      </c>
      <c r="Q16" s="104" t="str">
        <f>Expenses!R8</f>
        <v/>
      </c>
      <c r="R16" s="104" t="str">
        <f>Expenses!S8</f>
        <v/>
      </c>
      <c r="S16" s="104" t="str">
        <f>Expenses!T8</f>
        <v/>
      </c>
      <c r="T16" s="66" t="str">
        <f>Expenses!U8</f>
        <v/>
      </c>
    </row>
    <row r="17" spans="2:20" x14ac:dyDescent="0.3">
      <c r="B17" s="61" t="s">
        <v>131</v>
      </c>
      <c r="C17" s="36"/>
      <c r="D17" s="50"/>
      <c r="E17" s="104">
        <f>-ABS(Expenses!F9)</f>
        <v>-148800</v>
      </c>
      <c r="F17" s="104">
        <f>Expenses!G9</f>
        <v>-151776</v>
      </c>
      <c r="G17" s="104">
        <f>Expenses!H9</f>
        <v>-154811.51999999999</v>
      </c>
      <c r="H17" s="104">
        <f>Expenses!I9</f>
        <v>-157907.75039999999</v>
      </c>
      <c r="I17" s="104">
        <f>Expenses!J9</f>
        <v>-161065.90540799999</v>
      </c>
      <c r="J17" s="104">
        <f>Expenses!K9</f>
        <v>-164287.22351615998</v>
      </c>
      <c r="K17" s="104">
        <f>Expenses!L9</f>
        <v>-167572.96798648319</v>
      </c>
      <c r="L17" s="104">
        <f>Expenses!M9</f>
        <v>-170924.42734621285</v>
      </c>
      <c r="M17" s="104">
        <f>Expenses!N9</f>
        <v>-174342.91589313711</v>
      </c>
      <c r="N17" s="104">
        <f>Expenses!O9</f>
        <v>-177829.77421099987</v>
      </c>
      <c r="O17" s="104">
        <f>Expenses!P9</f>
        <v>-181386.36969521985</v>
      </c>
      <c r="P17" s="104" t="str">
        <f>Expenses!Q9</f>
        <v/>
      </c>
      <c r="Q17" s="104" t="str">
        <f>Expenses!R9</f>
        <v/>
      </c>
      <c r="R17" s="104" t="str">
        <f>Expenses!S9</f>
        <v/>
      </c>
      <c r="S17" s="104" t="str">
        <f>Expenses!T9</f>
        <v/>
      </c>
      <c r="T17" s="66" t="str">
        <f>Expenses!U9</f>
        <v/>
      </c>
    </row>
    <row r="18" spans="2:20" x14ac:dyDescent="0.3">
      <c r="B18" s="61" t="s">
        <v>132</v>
      </c>
      <c r="C18" s="36"/>
      <c r="D18" s="50"/>
      <c r="E18" s="104">
        <f>-ABS(Expenses!F10)</f>
        <v>-86800</v>
      </c>
      <c r="F18" s="104">
        <f>Expenses!G10</f>
        <v>-88536</v>
      </c>
      <c r="G18" s="104">
        <f>Expenses!H10</f>
        <v>-90306.72</v>
      </c>
      <c r="H18" s="104">
        <f>Expenses!I10</f>
        <v>-92112.854399999997</v>
      </c>
      <c r="I18" s="104">
        <f>Expenses!J10</f>
        <v>-93955.111487999995</v>
      </c>
      <c r="J18" s="104">
        <f>Expenses!K10</f>
        <v>-95834.213717759994</v>
      </c>
      <c r="K18" s="104">
        <f>Expenses!L10</f>
        <v>-97750.897992115191</v>
      </c>
      <c r="L18" s="104">
        <f>Expenses!M10</f>
        <v>-99705.91595195749</v>
      </c>
      <c r="M18" s="104">
        <f>Expenses!N10</f>
        <v>-101700.03427099664</v>
      </c>
      <c r="N18" s="104">
        <f>Expenses!O10</f>
        <v>-103734.03495641657</v>
      </c>
      <c r="O18" s="104">
        <f>Expenses!P10</f>
        <v>-105808.7156555449</v>
      </c>
      <c r="P18" s="104" t="str">
        <f>Expenses!Q10</f>
        <v/>
      </c>
      <c r="Q18" s="104" t="str">
        <f>Expenses!R10</f>
        <v/>
      </c>
      <c r="R18" s="104" t="str">
        <f>Expenses!S10</f>
        <v/>
      </c>
      <c r="S18" s="104" t="str">
        <f>Expenses!T10</f>
        <v/>
      </c>
      <c r="T18" s="66" t="str">
        <f>Expenses!U10</f>
        <v/>
      </c>
    </row>
    <row r="19" spans="2:20" x14ac:dyDescent="0.3">
      <c r="B19" s="61" t="s">
        <v>135</v>
      </c>
      <c r="C19" s="65"/>
      <c r="D19" s="96"/>
      <c r="E19" s="104">
        <f>-ABS(Expenses!F11)</f>
        <v>-31631.088000000003</v>
      </c>
      <c r="F19" s="104">
        <f>Expenses!G11</f>
        <v>-34320.074640000006</v>
      </c>
      <c r="G19" s="104">
        <f>Expenses!H11</f>
        <v>-36840.373165199977</v>
      </c>
      <c r="H19" s="104">
        <f>Expenses!I11</f>
        <v>-37389.153387677979</v>
      </c>
      <c r="I19" s="104">
        <f>Expenses!J11</f>
        <v>-37946.12705974315</v>
      </c>
      <c r="J19" s="104">
        <f>Expenses!K11</f>
        <v>-38511.416700601803</v>
      </c>
      <c r="K19" s="104">
        <f>Expenses!L11</f>
        <v>-39085.146663422922</v>
      </c>
      <c r="L19" s="104">
        <f>Expenses!M11</f>
        <v>-39667.443162809504</v>
      </c>
      <c r="M19" s="104">
        <f>Expenses!N11</f>
        <v>-40258.434302681242</v>
      </c>
      <c r="N19" s="104">
        <f>Expenses!O11</f>
        <v>-40858.250104575352</v>
      </c>
      <c r="O19" s="104">
        <f>Expenses!P11</f>
        <v>-41467.022536371434</v>
      </c>
      <c r="P19" s="104" t="str">
        <f>Expenses!Q11</f>
        <v/>
      </c>
      <c r="Q19" s="104" t="str">
        <f>Expenses!R11</f>
        <v/>
      </c>
      <c r="R19" s="104" t="str">
        <f>Expenses!S11</f>
        <v/>
      </c>
      <c r="S19" s="104" t="str">
        <f>Expenses!T11</f>
        <v/>
      </c>
      <c r="T19" s="66" t="str">
        <f>Expenses!U11</f>
        <v/>
      </c>
    </row>
    <row r="20" spans="2:20" x14ac:dyDescent="0.3">
      <c r="B20" s="61" t="s">
        <v>133</v>
      </c>
      <c r="C20" s="36"/>
      <c r="D20" s="50"/>
      <c r="E20" s="104">
        <f>-ABS(Expenses!F12)</f>
        <v>-27900</v>
      </c>
      <c r="F20" s="104">
        <f>Expenses!G12</f>
        <v>-28458</v>
      </c>
      <c r="G20" s="104">
        <f>Expenses!H12</f>
        <v>-29027.16</v>
      </c>
      <c r="H20" s="104">
        <f>Expenses!I12</f>
        <v>-29607.7032</v>
      </c>
      <c r="I20" s="104">
        <f>Expenses!J12</f>
        <v>-30199.857264000002</v>
      </c>
      <c r="J20" s="104">
        <f>Expenses!K12</f>
        <v>-30803.854409280004</v>
      </c>
      <c r="K20" s="104">
        <f>Expenses!L12</f>
        <v>-31419.931497465604</v>
      </c>
      <c r="L20" s="104">
        <f>Expenses!M12</f>
        <v>-32048.330127414916</v>
      </c>
      <c r="M20" s="104">
        <f>Expenses!N12</f>
        <v>-32689.296729963215</v>
      </c>
      <c r="N20" s="104">
        <f>Expenses!O12</f>
        <v>-33343.082664562477</v>
      </c>
      <c r="O20" s="104">
        <f>Expenses!P12</f>
        <v>-34009.944317853726</v>
      </c>
      <c r="P20" s="104" t="str">
        <f>Expenses!Q12</f>
        <v/>
      </c>
      <c r="Q20" s="104" t="str">
        <f>Expenses!R12</f>
        <v/>
      </c>
      <c r="R20" s="104" t="str">
        <f>Expenses!S12</f>
        <v/>
      </c>
      <c r="S20" s="104" t="str">
        <f>Expenses!T12</f>
        <v/>
      </c>
      <c r="T20" s="66" t="str">
        <f>Expenses!U12</f>
        <v/>
      </c>
    </row>
    <row r="21" spans="2:20" x14ac:dyDescent="0.3">
      <c r="B21" s="61" t="s">
        <v>134</v>
      </c>
      <c r="C21" s="36"/>
      <c r="D21" s="50"/>
      <c r="E21" s="156">
        <f>-ABS(Expenses!F13)</f>
        <v>-167400</v>
      </c>
      <c r="F21" s="156">
        <f>Expenses!G13</f>
        <v>-170748</v>
      </c>
      <c r="G21" s="156">
        <f>Expenses!H13</f>
        <v>-174162.96</v>
      </c>
      <c r="H21" s="156">
        <f>Expenses!I13</f>
        <v>-177646.21919999999</v>
      </c>
      <c r="I21" s="156">
        <f>Expenses!J13</f>
        <v>-181199.143584</v>
      </c>
      <c r="J21" s="156">
        <f>Expenses!K13</f>
        <v>-184823.12645568</v>
      </c>
      <c r="K21" s="156">
        <f>Expenses!L13</f>
        <v>-188519.58898479361</v>
      </c>
      <c r="L21" s="156">
        <f>Expenses!M13</f>
        <v>-192289.98076448948</v>
      </c>
      <c r="M21" s="156">
        <f>Expenses!N13</f>
        <v>-196135.78037977926</v>
      </c>
      <c r="N21" s="156">
        <f>Expenses!O13</f>
        <v>-200058.49598737486</v>
      </c>
      <c r="O21" s="156">
        <f>Expenses!P13</f>
        <v>-204059.66590712237</v>
      </c>
      <c r="P21" s="156" t="str">
        <f>Expenses!Q13</f>
        <v/>
      </c>
      <c r="Q21" s="156" t="str">
        <f>Expenses!R13</f>
        <v/>
      </c>
      <c r="R21" s="156" t="str">
        <f>Expenses!S13</f>
        <v/>
      </c>
      <c r="S21" s="156" t="str">
        <f>Expenses!T13</f>
        <v/>
      </c>
      <c r="T21" s="66" t="str">
        <f>Expenses!U13</f>
        <v/>
      </c>
    </row>
    <row r="22" spans="2:20" x14ac:dyDescent="0.3">
      <c r="B22" s="42" t="s">
        <v>21</v>
      </c>
      <c r="C22" s="36"/>
      <c r="D22" s="98">
        <f>-AVERAGE(E22:T22)/AVERAGE($E$12:$T$12)</f>
        <v>0.54172857607937563</v>
      </c>
      <c r="E22" s="104">
        <f>Expenses!F14</f>
        <v>-617531.08799999999</v>
      </c>
      <c r="F22" s="104">
        <f>Expenses!G14</f>
        <v>-631938.07464000001</v>
      </c>
      <c r="G22" s="104">
        <f>Expenses!H14</f>
        <v>-646410.73316519998</v>
      </c>
      <c r="H22" s="104">
        <f>Expenses!I14</f>
        <v>-659150.92058767797</v>
      </c>
      <c r="I22" s="104">
        <f>Expenses!J14</f>
        <v>-672143.12960374309</v>
      </c>
      <c r="J22" s="104">
        <f>Expenses!K14</f>
        <v>-685392.35929548182</v>
      </c>
      <c r="K22" s="104">
        <f>Expenses!L14</f>
        <v>-698903.70811020047</v>
      </c>
      <c r="L22" s="104">
        <f>Expenses!M14</f>
        <v>-712682.37583852268</v>
      </c>
      <c r="M22" s="104">
        <f>Expenses!N14</f>
        <v>-726733.66563190869</v>
      </c>
      <c r="N22" s="104">
        <f>Expenses!O14</f>
        <v>-741062.98606038745</v>
      </c>
      <c r="O22" s="104">
        <f>Expenses!P14</f>
        <v>-755675.85321129975</v>
      </c>
      <c r="P22" s="104" t="str">
        <f>Expenses!Q14</f>
        <v/>
      </c>
      <c r="Q22" s="104" t="str">
        <f>Expenses!R14</f>
        <v/>
      </c>
      <c r="R22" s="104" t="str">
        <f>Expenses!S14</f>
        <v/>
      </c>
      <c r="S22" s="104" t="str">
        <f>Expenses!T14</f>
        <v/>
      </c>
      <c r="T22" s="66" t="str">
        <f>Expenses!U14</f>
        <v/>
      </c>
    </row>
    <row r="23" spans="2:20" x14ac:dyDescent="0.3">
      <c r="B23" s="36"/>
      <c r="C23" s="36"/>
      <c r="D23" s="50"/>
      <c r="E23" s="104"/>
      <c r="F23" s="104"/>
      <c r="G23" s="104"/>
      <c r="H23" s="104"/>
      <c r="I23" s="104"/>
      <c r="J23" s="104"/>
      <c r="K23" s="104"/>
      <c r="L23" s="104"/>
      <c r="M23" s="104"/>
      <c r="N23" s="104"/>
      <c r="O23" s="104"/>
      <c r="P23" s="104"/>
      <c r="Q23" s="104"/>
      <c r="R23" s="104"/>
      <c r="S23" s="104"/>
      <c r="T23" s="66"/>
    </row>
    <row r="24" spans="2:20" x14ac:dyDescent="0.3">
      <c r="B24" s="68" t="s">
        <v>22</v>
      </c>
      <c r="C24" s="58"/>
      <c r="D24" s="98">
        <f>AVERAGE(E24:T24)/AVERAGE($E$12:$T$12)</f>
        <v>0.45827142392062431</v>
      </c>
      <c r="E24" s="108">
        <f>IF(E5="","",E22+E12)</f>
        <v>436838.5120000001</v>
      </c>
      <c r="F24" s="108">
        <f t="shared" ref="F24:T24" si="2">IF(F5="","",F22+F12)</f>
        <v>512064.41336000012</v>
      </c>
      <c r="G24" s="108">
        <f t="shared" si="2"/>
        <v>581601.70567479928</v>
      </c>
      <c r="H24" s="108">
        <f t="shared" si="2"/>
        <v>587154.19233492133</v>
      </c>
      <c r="I24" s="108">
        <f t="shared" si="2"/>
        <v>592727.77238769527</v>
      </c>
      <c r="J24" s="108">
        <f t="shared" si="2"/>
        <v>598321.5307245783</v>
      </c>
      <c r="K24" s="108">
        <f t="shared" si="2"/>
        <v>603934.51400389685</v>
      </c>
      <c r="L24" s="108">
        <f t="shared" si="2"/>
        <v>609565.72958846076</v>
      </c>
      <c r="M24" s="108">
        <f t="shared" si="2"/>
        <v>615214.1444574662</v>
      </c>
      <c r="N24" s="108">
        <f t="shared" si="2"/>
        <v>620878.68409212446</v>
      </c>
      <c r="O24" s="108">
        <f t="shared" si="2"/>
        <v>626558.2313344148</v>
      </c>
      <c r="P24" s="108" t="str">
        <f t="shared" si="2"/>
        <v/>
      </c>
      <c r="Q24" s="108" t="str">
        <f t="shared" si="2"/>
        <v/>
      </c>
      <c r="R24" s="108" t="str">
        <f t="shared" si="2"/>
        <v/>
      </c>
      <c r="S24" s="108" t="str">
        <f t="shared" si="2"/>
        <v/>
      </c>
      <c r="T24" s="64" t="str">
        <f t="shared" si="2"/>
        <v/>
      </c>
    </row>
    <row r="25" spans="2:20" x14ac:dyDescent="0.3">
      <c r="B25" s="36"/>
      <c r="C25" s="36"/>
      <c r="D25" s="50"/>
      <c r="E25" s="104"/>
      <c r="F25" s="104"/>
      <c r="G25" s="104"/>
      <c r="H25" s="104"/>
      <c r="I25" s="104"/>
      <c r="J25" s="104"/>
      <c r="K25" s="104"/>
      <c r="L25" s="104"/>
      <c r="M25" s="104"/>
      <c r="N25" s="104"/>
      <c r="O25" s="104"/>
      <c r="P25" s="104"/>
      <c r="Q25" s="104"/>
      <c r="R25" s="104"/>
      <c r="S25" s="104"/>
      <c r="T25" s="66"/>
    </row>
    <row r="26" spans="2:20" x14ac:dyDescent="0.3">
      <c r="B26" s="61" t="s">
        <v>183</v>
      </c>
      <c r="C26" s="36"/>
      <c r="D26" s="98"/>
      <c r="E26" s="104">
        <f>IF(E5="","",-SUMIF('MF Releasing'!$S$3:$GP$3,'Annual Cash Flow'!E5,'MF Releasing'!$S$40:$GP$40))</f>
        <v>0</v>
      </c>
      <c r="F26" s="104">
        <f>IF(F5="","",-SUMIF('MF Releasing'!$S$3:$GP$3,'Annual Cash Flow'!F5,'MF Releasing'!$S$40:$GP$40))</f>
        <v>-16891.2</v>
      </c>
      <c r="G26" s="104">
        <f>IF(G5="","",-SUMIF('MF Releasing'!$S$3:$GP$3,'Annual Cash Flow'!G5,'MF Releasing'!$S$40:$GP$40))</f>
        <v>-17229.023999999998</v>
      </c>
      <c r="H26" s="104">
        <f>IF(H5="","",-SUMIF('MF Releasing'!$S$3:$GP$3,'Annual Cash Flow'!H5,'MF Releasing'!$S$40:$GP$40))</f>
        <v>-17573.604479999998</v>
      </c>
      <c r="I26" s="104">
        <f>IF(I5="","",-SUMIF('MF Releasing'!$S$3:$GP$3,'Annual Cash Flow'!I5,'MF Releasing'!$S$40:$GP$40))</f>
        <v>-17925.076569600002</v>
      </c>
      <c r="J26" s="104">
        <f>IF(J5="","",-SUMIF('MF Releasing'!$S$3:$GP$3,'Annual Cash Flow'!J5,'MF Releasing'!$S$40:$GP$40))</f>
        <v>-18283.578100992003</v>
      </c>
      <c r="K26" s="104">
        <f>IF(K5="","",-SUMIF('MF Releasing'!$S$3:$GP$3,'Annual Cash Flow'!K5,'MF Releasing'!$S$40:$GP$40))</f>
        <v>-18649.249663011844</v>
      </c>
      <c r="L26" s="104">
        <f>IF(L5="","",-SUMIF('MF Releasing'!$S$3:$GP$3,'Annual Cash Flow'!L5,'MF Releasing'!$S$40:$GP$40))</f>
        <v>-19022.234656272074</v>
      </c>
      <c r="M26" s="104">
        <f>IF(M5="","",-SUMIF('MF Releasing'!$S$3:$GP$3,'Annual Cash Flow'!M5,'MF Releasing'!$S$40:$GP$40))</f>
        <v>-19402.679349397516</v>
      </c>
      <c r="N26" s="104">
        <f>IF(N5="","",-SUMIF('MF Releasing'!$S$3:$GP$3,'Annual Cash Flow'!N5,'MF Releasing'!$S$40:$GP$40))</f>
        <v>-19790.732936385466</v>
      </c>
      <c r="O26" s="104">
        <f>IF(O5="","",-SUMIF('MF Releasing'!$S$3:$GP$3,'Annual Cash Flow'!O5,'MF Releasing'!$S$40:$GP$40))</f>
        <v>-20186.547595113178</v>
      </c>
      <c r="P26" s="104" t="str">
        <f>IF(P5="","",-SUMIF('MF Releasing'!$S$3:$GP$3,'Annual Cash Flow'!P5,'MF Releasing'!$S$40:$GP$40))</f>
        <v/>
      </c>
      <c r="Q26" s="104" t="str">
        <f>IF(Q5="","",-SUMIF('MF Releasing'!$S$3:$GP$3,'Annual Cash Flow'!Q5,'MF Releasing'!$S$40:$GP$40))</f>
        <v/>
      </c>
      <c r="R26" s="104" t="str">
        <f>IF(R5="","",-SUMIF('MF Releasing'!$S$3:$GP$3,'Annual Cash Flow'!R5,'MF Releasing'!$S$40:$GP$40))</f>
        <v/>
      </c>
      <c r="S26" s="104" t="str">
        <f>IF(S5="","",-SUMIF('MF Releasing'!$S$3:$GP$3,'Annual Cash Flow'!S5,'MF Releasing'!$S$40:$GP$40))</f>
        <v/>
      </c>
      <c r="T26" s="66" t="str">
        <f>IF(T5="","",-SUMIF('MF Releasing'!$S$3:$GP$3,'Annual Cash Flow'!T5,'MF Releasing'!$S$40:$GP$40))</f>
        <v/>
      </c>
    </row>
    <row r="27" spans="2:20" x14ac:dyDescent="0.3">
      <c r="B27" s="61" t="s">
        <v>214</v>
      </c>
      <c r="C27" s="36"/>
      <c r="D27" s="98"/>
      <c r="E27" s="168">
        <f>Expenses!F20</f>
        <v>-350000</v>
      </c>
      <c r="F27" s="168">
        <f>Expenses!G20</f>
        <v>-200000</v>
      </c>
      <c r="G27" s="168">
        <f>Expenses!H20</f>
        <v>0</v>
      </c>
      <c r="H27" s="168">
        <f>Expenses!I20</f>
        <v>0</v>
      </c>
      <c r="I27" s="168">
        <f>Expenses!J20</f>
        <v>0</v>
      </c>
      <c r="J27" s="168">
        <f>Expenses!K20</f>
        <v>0</v>
      </c>
      <c r="K27" s="168">
        <f>Expenses!L20</f>
        <v>0</v>
      </c>
      <c r="L27" s="168">
        <f>Expenses!M20</f>
        <v>0</v>
      </c>
      <c r="M27" s="168">
        <f>Expenses!N20</f>
        <v>0</v>
      </c>
      <c r="N27" s="168">
        <f>Expenses!O20</f>
        <v>0</v>
      </c>
      <c r="O27" s="168">
        <f>Expenses!P20</f>
        <v>0</v>
      </c>
      <c r="P27" s="168" t="str">
        <f>Expenses!Q20</f>
        <v/>
      </c>
      <c r="Q27" s="168" t="str">
        <f>Expenses!R20</f>
        <v/>
      </c>
      <c r="R27" s="168" t="str">
        <f>Expenses!S20</f>
        <v/>
      </c>
      <c r="S27" s="168" t="str">
        <f>Expenses!T20</f>
        <v/>
      </c>
      <c r="T27" s="66"/>
    </row>
    <row r="28" spans="2:20" x14ac:dyDescent="0.3">
      <c r="B28" s="61" t="s">
        <v>136</v>
      </c>
      <c r="C28" s="36"/>
      <c r="D28" s="98"/>
      <c r="E28" s="156">
        <f>IF(E5="","",-SUMIF('MF CapEx'!$S$3:$GP$3,'Annual Cash Flow'!E5,'MF CapEx'!$S$40:$GP$40))</f>
        <v>-85200</v>
      </c>
      <c r="F28" s="156">
        <f>IF(F5="","",-SUMIF('MF CapEx'!$S$3:$GP$3,'Annual Cash Flow'!F5,'MF CapEx'!$S$40:$GP$40))</f>
        <v>-86904.000000000015</v>
      </c>
      <c r="G28" s="156">
        <f>IF(G5="","",-SUMIF('MF CapEx'!$S$3:$GP$3,'Annual Cash Flow'!G5,'MF CapEx'!$S$40:$GP$40))</f>
        <v>-88642.079999999973</v>
      </c>
      <c r="H28" s="156">
        <f>IF(H5="","",-SUMIF('MF CapEx'!$S$3:$GP$3,'Annual Cash Flow'!H5,'MF CapEx'!$S$40:$GP$40))</f>
        <v>-90414.921599999958</v>
      </c>
      <c r="I28" s="156">
        <f>IF(I5="","",-SUMIF('MF CapEx'!$S$3:$GP$3,'Annual Cash Flow'!I5,'MF CapEx'!$S$40:$GP$40))</f>
        <v>-92223.220032000041</v>
      </c>
      <c r="J28" s="156">
        <f>IF(J5="","",-SUMIF('MF CapEx'!$S$3:$GP$3,'Annual Cash Flow'!J5,'MF CapEx'!$S$40:$GP$40))</f>
        <v>-94067.684432640017</v>
      </c>
      <c r="K28" s="156">
        <f>IF(K5="","",-SUMIF('MF CapEx'!$S$3:$GP$3,'Annual Cash Flow'!K5,'MF CapEx'!$S$40:$GP$40))</f>
        <v>-95949.038121292833</v>
      </c>
      <c r="L28" s="156">
        <f>IF(L5="","",-SUMIF('MF CapEx'!$S$3:$GP$3,'Annual Cash Flow'!L5,'MF CapEx'!$S$40:$GP$40))</f>
        <v>-97868.0188837186</v>
      </c>
      <c r="M28" s="156">
        <f>IF(M5="","",-SUMIF('MF CapEx'!$S$3:$GP$3,'Annual Cash Flow'!M5,'MF CapEx'!$S$40:$GP$40))</f>
        <v>-99825.379261393056</v>
      </c>
      <c r="N28" s="156">
        <f>IF(N5="","",-SUMIF('MF CapEx'!$S$3:$GP$3,'Annual Cash Flow'!N5,'MF CapEx'!$S$40:$GP$40))</f>
        <v>-101821.88684662087</v>
      </c>
      <c r="O28" s="156">
        <f>IF(O5="","",-SUMIF('MF CapEx'!$S$3:$GP$3,'Annual Cash Flow'!O5,'MF CapEx'!$S$40:$GP$40))</f>
        <v>-103858.3245835533</v>
      </c>
      <c r="P28" s="156" t="str">
        <f>IF(P5="","",-SUMIF('MF CapEx'!$S$3:$GP$3,'Annual Cash Flow'!P5,'MF CapEx'!$S$40:$GP$40))</f>
        <v/>
      </c>
      <c r="Q28" s="156" t="str">
        <f>IF(Q5="","",-SUMIF('MF CapEx'!$S$3:$GP$3,'Annual Cash Flow'!Q5,'MF CapEx'!$S$40:$GP$40))</f>
        <v/>
      </c>
      <c r="R28" s="156" t="str">
        <f>IF(R5="","",-SUMIF('MF CapEx'!$S$3:$GP$3,'Annual Cash Flow'!R5,'MF CapEx'!$S$40:$GP$40))</f>
        <v/>
      </c>
      <c r="S28" s="156" t="str">
        <f>IF(S5="","",-SUMIF('MF CapEx'!$S$3:$GP$3,'Annual Cash Flow'!S5,'MF CapEx'!$S$40:$GP$40))</f>
        <v/>
      </c>
      <c r="T28" s="66" t="str">
        <f>IF(T5="","",-SUMIF('MF CapEx'!$S$3:$GP$3,'Annual Cash Flow'!T5,'MF CapEx'!$S$40:$GP$40))</f>
        <v/>
      </c>
    </row>
    <row r="29" spans="2:20" x14ac:dyDescent="0.3">
      <c r="B29" s="36" t="s">
        <v>137</v>
      </c>
      <c r="C29" s="36"/>
      <c r="D29" s="98">
        <f>-AVERAGE(E29:T29)/AVERAGE($E$12:$T$12)</f>
        <v>0.12716529514028979</v>
      </c>
      <c r="E29" s="108">
        <f t="shared" ref="E29:T29" si="3">IF(E5="","",SUM(E26:E28))</f>
        <v>-435200</v>
      </c>
      <c r="F29" s="108">
        <f t="shared" si="3"/>
        <v>-303795.20000000001</v>
      </c>
      <c r="G29" s="108">
        <f t="shared" si="3"/>
        <v>-105871.10399999996</v>
      </c>
      <c r="H29" s="108">
        <f t="shared" si="3"/>
        <v>-107988.52607999995</v>
      </c>
      <c r="I29" s="108">
        <f t="shared" si="3"/>
        <v>-110148.29660160004</v>
      </c>
      <c r="J29" s="108">
        <f t="shared" si="3"/>
        <v>-112351.26253363202</v>
      </c>
      <c r="K29" s="108">
        <f t="shared" si="3"/>
        <v>-114598.28778430467</v>
      </c>
      <c r="L29" s="108">
        <f t="shared" si="3"/>
        <v>-116890.25353999068</v>
      </c>
      <c r="M29" s="108">
        <f t="shared" si="3"/>
        <v>-119228.05861079057</v>
      </c>
      <c r="N29" s="108">
        <f t="shared" si="3"/>
        <v>-121612.61978300633</v>
      </c>
      <c r="O29" s="108">
        <f t="shared" si="3"/>
        <v>-124044.87217866648</v>
      </c>
      <c r="P29" s="108" t="str">
        <f t="shared" si="3"/>
        <v/>
      </c>
      <c r="Q29" s="108" t="str">
        <f t="shared" si="3"/>
        <v/>
      </c>
      <c r="R29" s="108" t="str">
        <f t="shared" si="3"/>
        <v/>
      </c>
      <c r="S29" s="108" t="str">
        <f t="shared" si="3"/>
        <v/>
      </c>
      <c r="T29" s="64" t="str">
        <f t="shared" si="3"/>
        <v/>
      </c>
    </row>
    <row r="30" spans="2:20" x14ac:dyDescent="0.3">
      <c r="B30" s="36"/>
      <c r="C30" s="36"/>
      <c r="D30" s="50"/>
      <c r="E30" s="104"/>
      <c r="F30" s="104"/>
      <c r="G30" s="104"/>
      <c r="H30" s="104"/>
      <c r="I30" s="104"/>
      <c r="J30" s="104"/>
      <c r="K30" s="104"/>
      <c r="L30" s="104"/>
      <c r="M30" s="104"/>
      <c r="N30" s="104"/>
      <c r="O30" s="104"/>
      <c r="P30" s="104"/>
      <c r="Q30" s="104"/>
      <c r="R30" s="104"/>
      <c r="S30" s="104"/>
      <c r="T30" s="66"/>
    </row>
    <row r="31" spans="2:20" x14ac:dyDescent="0.3">
      <c r="B31" s="68" t="s">
        <v>138</v>
      </c>
      <c r="C31" s="58"/>
      <c r="D31" s="99">
        <f>AVERAGE(E31:T31)/AVERAGE($E$24:$T$24)</f>
        <v>0.72251096511242274</v>
      </c>
      <c r="E31" s="108">
        <f t="shared" ref="E31:T31" si="4">IF(E5="","",E29+E24)</f>
        <v>1638.5120000001043</v>
      </c>
      <c r="F31" s="108">
        <f t="shared" si="4"/>
        <v>208269.21336000011</v>
      </c>
      <c r="G31" s="108">
        <f t="shared" si="4"/>
        <v>475730.60167479934</v>
      </c>
      <c r="H31" s="108">
        <f t="shared" si="4"/>
        <v>479165.66625492135</v>
      </c>
      <c r="I31" s="108">
        <f t="shared" si="4"/>
        <v>482579.47578609525</v>
      </c>
      <c r="J31" s="108">
        <f t="shared" si="4"/>
        <v>485970.26819094631</v>
      </c>
      <c r="K31" s="108">
        <f t="shared" si="4"/>
        <v>489336.22621959215</v>
      </c>
      <c r="L31" s="108">
        <f t="shared" si="4"/>
        <v>492675.47604847007</v>
      </c>
      <c r="M31" s="108">
        <f t="shared" si="4"/>
        <v>495986.08584667562</v>
      </c>
      <c r="N31" s="108">
        <f t="shared" si="4"/>
        <v>499266.06430911814</v>
      </c>
      <c r="O31" s="108">
        <f t="shared" si="4"/>
        <v>502513.35915574833</v>
      </c>
      <c r="P31" s="108" t="str">
        <f t="shared" si="4"/>
        <v/>
      </c>
      <c r="Q31" s="108" t="str">
        <f t="shared" si="4"/>
        <v/>
      </c>
      <c r="R31" s="108" t="str">
        <f t="shared" si="4"/>
        <v/>
      </c>
      <c r="S31" s="108" t="str">
        <f t="shared" si="4"/>
        <v/>
      </c>
      <c r="T31" s="64" t="str">
        <f t="shared" si="4"/>
        <v/>
      </c>
    </row>
    <row r="32" spans="2:20" x14ac:dyDescent="0.3">
      <c r="B32" s="36"/>
      <c r="C32" s="36"/>
      <c r="D32" s="50"/>
      <c r="E32" s="155"/>
      <c r="F32" s="155"/>
      <c r="G32" s="155"/>
      <c r="H32" s="155"/>
      <c r="I32" s="155"/>
      <c r="J32" s="155"/>
      <c r="K32" s="155"/>
      <c r="L32" s="155"/>
      <c r="M32" s="155"/>
      <c r="N32" s="155"/>
      <c r="O32" s="155"/>
      <c r="P32" s="155"/>
      <c r="Q32" s="155"/>
      <c r="R32" s="155"/>
      <c r="S32" s="155"/>
      <c r="T32" s="62"/>
    </row>
    <row r="33" x14ac:dyDescent="0.3"/>
    <row r="34" x14ac:dyDescent="0.3"/>
    <row r="35" x14ac:dyDescent="0.3"/>
    <row r="36" x14ac:dyDescent="0.3"/>
    <row r="37" x14ac:dyDescent="0.3"/>
    <row r="38" x14ac:dyDescent="0.3"/>
    <row r="39" x14ac:dyDescent="0.3"/>
    <row r="40" x14ac:dyDescent="0.3"/>
    <row r="41" x14ac:dyDescent="0.3"/>
  </sheetData>
  <conditionalFormatting sqref="E5:T5">
    <cfRule type="expression" dxfId="22" priority="1">
      <formula>E$5&lt;&gt;""</formula>
    </cfRule>
  </conditionalFormatting>
  <pageMargins left="0.7" right="0.7" top="0.75" bottom="0.75" header="0.3" footer="0.3"/>
  <pageSetup orientation="portrait" horizontalDpi="4294967294" verticalDpi="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B1:U84"/>
  <sheetViews>
    <sheetView showGridLines="0" zoomScale="85" zoomScaleNormal="85" workbookViewId="0"/>
  </sheetViews>
  <sheetFormatPr defaultColWidth="9.109375" defaultRowHeight="14.4" zeroHeight="1" outlineLevelRow="1" x14ac:dyDescent="0.3"/>
  <cols>
    <col min="1" max="1" width="1.6640625" style="37" customWidth="1"/>
    <col min="2" max="2" width="16.88671875" style="37" customWidth="1"/>
    <col min="3" max="3" width="16.33203125" style="37" customWidth="1"/>
    <col min="4" max="4" width="16.109375" style="57" bestFit="1" customWidth="1"/>
    <col min="5" max="10" width="14.88671875" style="57" bestFit="1" customWidth="1"/>
    <col min="11" max="11" width="14.44140625" style="57" bestFit="1" customWidth="1"/>
    <col min="12" max="13" width="15.33203125" style="57" bestFit="1" customWidth="1"/>
    <col min="14" max="14" width="13" style="57" bestFit="1" customWidth="1"/>
    <col min="15" max="16" width="12.33203125" style="57" bestFit="1" customWidth="1"/>
    <col min="17" max="17" width="10.5546875" style="57" bestFit="1" customWidth="1"/>
    <col min="18" max="18" width="12.33203125" style="57" bestFit="1" customWidth="1"/>
    <col min="19" max="20" width="0" style="37" hidden="1" customWidth="1"/>
    <col min="21" max="16384" width="9.109375" style="37"/>
  </cols>
  <sheetData>
    <row r="1" spans="2:20" ht="9.9" customHeight="1" x14ac:dyDescent="0.3"/>
    <row r="2" spans="2:20" ht="15.6" x14ac:dyDescent="0.3">
      <c r="B2" s="79" t="s">
        <v>50</v>
      </c>
      <c r="C2" s="80"/>
      <c r="D2" s="85"/>
      <c r="E2" s="85"/>
      <c r="F2" s="85"/>
      <c r="G2" s="85"/>
      <c r="H2" s="85"/>
      <c r="I2" s="85"/>
      <c r="J2" s="85"/>
      <c r="K2" s="85"/>
      <c r="L2" s="85"/>
      <c r="M2" s="85"/>
      <c r="N2" s="85"/>
      <c r="O2" s="85"/>
      <c r="P2" s="85"/>
      <c r="Q2" s="85"/>
      <c r="R2" s="85"/>
    </row>
    <row r="3" spans="2:20" s="41" customFormat="1" x14ac:dyDescent="0.3">
      <c r="B3" s="38"/>
      <c r="C3" s="38"/>
      <c r="D3" s="152">
        <v>1</v>
      </c>
      <c r="E3" s="152">
        <f>IF(OR(D3="",D3=Analysis_Period),"",D3+1)</f>
        <v>2</v>
      </c>
      <c r="F3" s="152">
        <f t="shared" ref="F3:R3" si="0">IF(OR(E3="",E3=Cap_Year),"",E3+1)</f>
        <v>3</v>
      </c>
      <c r="G3" s="152">
        <f t="shared" si="0"/>
        <v>4</v>
      </c>
      <c r="H3" s="152">
        <f t="shared" si="0"/>
        <v>5</v>
      </c>
      <c r="I3" s="152">
        <f t="shared" si="0"/>
        <v>6</v>
      </c>
      <c r="J3" s="152">
        <f t="shared" si="0"/>
        <v>7</v>
      </c>
      <c r="K3" s="152">
        <f t="shared" si="0"/>
        <v>8</v>
      </c>
      <c r="L3" s="152">
        <f t="shared" si="0"/>
        <v>9</v>
      </c>
      <c r="M3" s="152">
        <f t="shared" si="0"/>
        <v>10</v>
      </c>
      <c r="N3" s="152">
        <f t="shared" si="0"/>
        <v>11</v>
      </c>
      <c r="O3" s="152" t="str">
        <f t="shared" si="0"/>
        <v/>
      </c>
      <c r="P3" s="152" t="str">
        <f t="shared" si="0"/>
        <v/>
      </c>
      <c r="Q3" s="152" t="str">
        <f t="shared" si="0"/>
        <v/>
      </c>
      <c r="R3" s="152" t="str">
        <f t="shared" si="0"/>
        <v/>
      </c>
      <c r="S3" s="40" t="str">
        <f>IF(OR(R3="",R3=Analysis_Period),"",R3+1)</f>
        <v/>
      </c>
      <c r="T3" s="40" t="str">
        <f>IF(OR(S3="",S3=Analysis_Period),"",S3+1)</f>
        <v/>
      </c>
    </row>
    <row r="4" spans="2:20" s="41" customFormat="1" x14ac:dyDescent="0.3">
      <c r="B4" s="49" t="s">
        <v>20</v>
      </c>
      <c r="C4" s="42" t="s">
        <v>18</v>
      </c>
      <c r="D4" s="157">
        <f>EOMONTH(Analysis_Start,11)</f>
        <v>42735</v>
      </c>
      <c r="E4" s="157">
        <f t="shared" ref="E4:R4" si="1">IF(E3="","",EOMONTH(Analysis_Start,(11*E3)+D3))</f>
        <v>43100</v>
      </c>
      <c r="F4" s="157">
        <f t="shared" si="1"/>
        <v>43465</v>
      </c>
      <c r="G4" s="157">
        <f t="shared" si="1"/>
        <v>43830</v>
      </c>
      <c r="H4" s="157">
        <f t="shared" si="1"/>
        <v>44196</v>
      </c>
      <c r="I4" s="157">
        <f t="shared" si="1"/>
        <v>44561</v>
      </c>
      <c r="J4" s="157">
        <f t="shared" si="1"/>
        <v>44926</v>
      </c>
      <c r="K4" s="157">
        <f t="shared" si="1"/>
        <v>45291</v>
      </c>
      <c r="L4" s="157">
        <f t="shared" si="1"/>
        <v>45657</v>
      </c>
      <c r="M4" s="157">
        <f t="shared" si="1"/>
        <v>46022</v>
      </c>
      <c r="N4" s="157">
        <f t="shared" si="1"/>
        <v>46387</v>
      </c>
      <c r="O4" s="157" t="str">
        <f t="shared" si="1"/>
        <v/>
      </c>
      <c r="P4" s="157" t="str">
        <f t="shared" si="1"/>
        <v/>
      </c>
      <c r="Q4" s="157" t="str">
        <f t="shared" si="1"/>
        <v/>
      </c>
      <c r="R4" s="157" t="str">
        <f t="shared" si="1"/>
        <v/>
      </c>
    </row>
    <row r="5" spans="2:20" collapsed="1" x14ac:dyDescent="0.3">
      <c r="B5" s="36" t="str">
        <f>'Annual Cash Flow'!B12</f>
        <v>Effective Gross Revenue</v>
      </c>
      <c r="C5" s="45"/>
      <c r="D5" s="105">
        <f>'Annual Cash Flow'!E12</f>
        <v>1054369.6000000001</v>
      </c>
      <c r="E5" s="105">
        <f>'Annual Cash Flow'!F12</f>
        <v>1144002.4880000001</v>
      </c>
      <c r="F5" s="105">
        <f>'Annual Cash Flow'!G12</f>
        <v>1228012.4388399993</v>
      </c>
      <c r="G5" s="105">
        <f>'Annual Cash Flow'!H12</f>
        <v>1246305.1129225993</v>
      </c>
      <c r="H5" s="105">
        <f>'Annual Cash Flow'!I12</f>
        <v>1264870.9019914384</v>
      </c>
      <c r="I5" s="105">
        <f>'Annual Cash Flow'!J12</f>
        <v>1283713.8900200601</v>
      </c>
      <c r="J5" s="105">
        <f>'Annual Cash Flow'!K12</f>
        <v>1302838.2221140973</v>
      </c>
      <c r="K5" s="105">
        <f>'Annual Cash Flow'!L12</f>
        <v>1322248.1054269834</v>
      </c>
      <c r="L5" s="105">
        <f>'Annual Cash Flow'!M12</f>
        <v>1341947.8100893749</v>
      </c>
      <c r="M5" s="105">
        <f>'Annual Cash Flow'!N12</f>
        <v>1361941.6701525119</v>
      </c>
      <c r="N5" s="105">
        <f>'Annual Cash Flow'!O12</f>
        <v>1382234.0845457145</v>
      </c>
      <c r="O5" s="105" t="str">
        <f>'Annual Cash Flow'!P12</f>
        <v/>
      </c>
      <c r="P5" s="105" t="str">
        <f>'Annual Cash Flow'!Q12</f>
        <v/>
      </c>
      <c r="Q5" s="105" t="str">
        <f>'Annual Cash Flow'!R12</f>
        <v/>
      </c>
      <c r="R5" s="105" t="str">
        <f>'Annual Cash Flow'!S12</f>
        <v/>
      </c>
    </row>
    <row r="6" spans="2:20" ht="16.2" x14ac:dyDescent="0.45">
      <c r="B6" s="47" t="str">
        <f>Expenses!C14</f>
        <v>Operating Expenses</v>
      </c>
      <c r="C6" s="47"/>
      <c r="D6" s="166">
        <f>'Annual Cash Flow'!E22</f>
        <v>-617531.08799999999</v>
      </c>
      <c r="E6" s="166">
        <f>Expenses!G14</f>
        <v>-631938.07464000001</v>
      </c>
      <c r="F6" s="166">
        <f>Expenses!H14</f>
        <v>-646410.73316519998</v>
      </c>
      <c r="G6" s="166">
        <f>Expenses!I14</f>
        <v>-659150.92058767797</v>
      </c>
      <c r="H6" s="166">
        <f>Expenses!J14</f>
        <v>-672143.12960374309</v>
      </c>
      <c r="I6" s="166">
        <f>Expenses!K14</f>
        <v>-685392.35929548182</v>
      </c>
      <c r="J6" s="166">
        <f>Expenses!L14</f>
        <v>-698903.70811020047</v>
      </c>
      <c r="K6" s="166">
        <f>Expenses!M14</f>
        <v>-712682.37583852268</v>
      </c>
      <c r="L6" s="166">
        <f>Expenses!N14</f>
        <v>-726733.66563190869</v>
      </c>
      <c r="M6" s="166">
        <f>Expenses!O14</f>
        <v>-741062.98606038745</v>
      </c>
      <c r="N6" s="166">
        <f>Expenses!P14</f>
        <v>-755675.85321129975</v>
      </c>
      <c r="O6" s="166" t="str">
        <f>Expenses!Q14</f>
        <v/>
      </c>
      <c r="P6" s="166" t="str">
        <f>Expenses!R14</f>
        <v/>
      </c>
      <c r="Q6" s="166" t="str">
        <f>Expenses!S14</f>
        <v/>
      </c>
      <c r="R6" s="166" t="str">
        <f>Expenses!T14</f>
        <v/>
      </c>
    </row>
    <row r="7" spans="2:20" x14ac:dyDescent="0.3">
      <c r="B7" s="36" t="str">
        <f>'Annual Cash Flow'!B24</f>
        <v>Net Operating Income</v>
      </c>
      <c r="C7" s="47"/>
      <c r="D7" s="105">
        <f>'Annual Cash Flow'!E24</f>
        <v>436838.5120000001</v>
      </c>
      <c r="E7" s="105">
        <f>'Annual Cash Flow'!F24</f>
        <v>512064.41336000012</v>
      </c>
      <c r="F7" s="105">
        <f>'Annual Cash Flow'!G24</f>
        <v>581601.70567479928</v>
      </c>
      <c r="G7" s="105">
        <f>'Annual Cash Flow'!H24</f>
        <v>587154.19233492133</v>
      </c>
      <c r="H7" s="105">
        <f>'Annual Cash Flow'!I24</f>
        <v>592727.77238769527</v>
      </c>
      <c r="I7" s="105">
        <f>'Annual Cash Flow'!J24</f>
        <v>598321.5307245783</v>
      </c>
      <c r="J7" s="105">
        <f>'Annual Cash Flow'!K24</f>
        <v>603934.51400389685</v>
      </c>
      <c r="K7" s="105">
        <f>'Annual Cash Flow'!L24</f>
        <v>609565.72958846076</v>
      </c>
      <c r="L7" s="105">
        <f>'Annual Cash Flow'!M24</f>
        <v>615214.1444574662</v>
      </c>
      <c r="M7" s="105">
        <f>'Annual Cash Flow'!N24</f>
        <v>620878.68409212446</v>
      </c>
      <c r="N7" s="105">
        <f>'Annual Cash Flow'!O24</f>
        <v>626558.2313344148</v>
      </c>
      <c r="O7" s="105" t="str">
        <f>'Annual Cash Flow'!P24</f>
        <v/>
      </c>
      <c r="P7" s="105" t="str">
        <f>'Annual Cash Flow'!Q24</f>
        <v/>
      </c>
      <c r="Q7" s="105" t="str">
        <f>'Annual Cash Flow'!R24</f>
        <v/>
      </c>
      <c r="R7" s="105" t="str">
        <f>'Annual Cash Flow'!S24</f>
        <v/>
      </c>
    </row>
    <row r="8" spans="2:20" ht="16.2" x14ac:dyDescent="0.45">
      <c r="B8" s="47" t="str">
        <f>'Annual Cash Flow'!B29</f>
        <v>Capital Expenditures</v>
      </c>
      <c r="C8" s="47"/>
      <c r="D8" s="166">
        <f>'Annual Cash Flow'!E29</f>
        <v>-435200</v>
      </c>
      <c r="E8" s="166">
        <f>'Annual Cash Flow'!F29</f>
        <v>-303795.20000000001</v>
      </c>
      <c r="F8" s="166">
        <f>'Annual Cash Flow'!G29</f>
        <v>-105871.10399999996</v>
      </c>
      <c r="G8" s="166">
        <f>'Annual Cash Flow'!H29</f>
        <v>-107988.52607999995</v>
      </c>
      <c r="H8" s="166">
        <f>'Annual Cash Flow'!I29</f>
        <v>-110148.29660160004</v>
      </c>
      <c r="I8" s="166">
        <f>'Annual Cash Flow'!J29</f>
        <v>-112351.26253363202</v>
      </c>
      <c r="J8" s="166">
        <f>'Annual Cash Flow'!K29</f>
        <v>-114598.28778430467</v>
      </c>
      <c r="K8" s="166">
        <f>'Annual Cash Flow'!L29</f>
        <v>-116890.25353999068</v>
      </c>
      <c r="L8" s="166">
        <f>'Annual Cash Flow'!M29</f>
        <v>-119228.05861079057</v>
      </c>
      <c r="M8" s="166">
        <f>'Annual Cash Flow'!N29</f>
        <v>-121612.61978300633</v>
      </c>
      <c r="N8" s="166">
        <f>'Annual Cash Flow'!O29</f>
        <v>-124044.87217866648</v>
      </c>
      <c r="O8" s="166" t="str">
        <f>'Annual Cash Flow'!P29</f>
        <v/>
      </c>
      <c r="P8" s="166" t="str">
        <f>'Annual Cash Flow'!Q29</f>
        <v/>
      </c>
      <c r="Q8" s="166" t="str">
        <f>'Annual Cash Flow'!R29</f>
        <v/>
      </c>
      <c r="R8" s="166" t="str">
        <f>'Annual Cash Flow'!S29</f>
        <v/>
      </c>
    </row>
    <row r="9" spans="2:20" x14ac:dyDescent="0.3">
      <c r="B9" s="36" t="str">
        <f>'Annual Cash Flow'!B31</f>
        <v>Cash Flow From Operations</v>
      </c>
      <c r="C9" s="50"/>
      <c r="D9" s="105">
        <f>'Annual Cash Flow'!E31</f>
        <v>1638.5120000001043</v>
      </c>
      <c r="E9" s="105">
        <f>'Annual Cash Flow'!F31</f>
        <v>208269.21336000011</v>
      </c>
      <c r="F9" s="105">
        <f>'Annual Cash Flow'!G31</f>
        <v>475730.60167479934</v>
      </c>
      <c r="G9" s="105">
        <f>'Annual Cash Flow'!H31</f>
        <v>479165.66625492135</v>
      </c>
      <c r="H9" s="105">
        <f>'Annual Cash Flow'!I31</f>
        <v>482579.47578609525</v>
      </c>
      <c r="I9" s="105">
        <f>'Annual Cash Flow'!J31</f>
        <v>485970.26819094631</v>
      </c>
      <c r="J9" s="105">
        <f>'Annual Cash Flow'!K31</f>
        <v>489336.22621959215</v>
      </c>
      <c r="K9" s="105">
        <f>'Annual Cash Flow'!L31</f>
        <v>492675.47604847007</v>
      </c>
      <c r="L9" s="105">
        <f>'Annual Cash Flow'!M31</f>
        <v>495986.08584667562</v>
      </c>
      <c r="M9" s="105">
        <f>'Annual Cash Flow'!N31</f>
        <v>499266.06430911814</v>
      </c>
      <c r="N9" s="105">
        <f>'Annual Cash Flow'!O31</f>
        <v>502513.35915574833</v>
      </c>
      <c r="O9" s="105" t="str">
        <f>'Annual Cash Flow'!P31</f>
        <v/>
      </c>
      <c r="P9" s="105" t="str">
        <f>'Annual Cash Flow'!Q31</f>
        <v/>
      </c>
      <c r="Q9" s="105" t="str">
        <f>'Annual Cash Flow'!R31</f>
        <v/>
      </c>
      <c r="R9" s="105" t="str">
        <f>'Annual Cash Flow'!S31</f>
        <v/>
      </c>
    </row>
    <row r="10" spans="2:20" x14ac:dyDescent="0.3">
      <c r="B10" s="36"/>
      <c r="C10" s="48"/>
      <c r="D10" s="158"/>
      <c r="E10" s="158"/>
      <c r="F10" s="158"/>
      <c r="G10" s="158"/>
      <c r="H10" s="158"/>
      <c r="I10" s="158"/>
      <c r="J10" s="158"/>
      <c r="K10" s="158"/>
      <c r="L10" s="158"/>
      <c r="M10" s="158"/>
      <c r="N10" s="158"/>
      <c r="O10" s="158"/>
      <c r="P10" s="158"/>
      <c r="Q10" s="158"/>
      <c r="R10" s="158"/>
    </row>
    <row r="11" spans="2:20" x14ac:dyDescent="0.3">
      <c r="B11" s="36" t="s">
        <v>23</v>
      </c>
      <c r="C11" s="48"/>
      <c r="D11" s="102">
        <f>Exit_Cap_Yr_1</f>
        <v>6.5000000000000002E-2</v>
      </c>
      <c r="E11" s="102">
        <f>IF(E5="","",IF(E3&gt;Analysis_Period,"",D11+'Property Summary'!$D$10/10000))</f>
        <v>6.5000000000000002E-2</v>
      </c>
      <c r="F11" s="102">
        <f>IF(F5="","",IF(F3&gt;Analysis_Period,"",E11+'Property Summary'!$D$10/10000))</f>
        <v>6.5000000000000002E-2</v>
      </c>
      <c r="G11" s="102">
        <f>IF(G5="","",IF(G3&gt;Analysis_Period,"",F11+'Property Summary'!$D$10/10000))</f>
        <v>6.5000000000000002E-2</v>
      </c>
      <c r="H11" s="102">
        <f>IF(H5="","",IF(H3&gt;Analysis_Period,"",G11+'Property Summary'!$D$10/10000))</f>
        <v>6.5000000000000002E-2</v>
      </c>
      <c r="I11" s="102">
        <f>IF(I5="","",IF(I3&gt;Analysis_Period,"",H11+'Property Summary'!$D$10/10000))</f>
        <v>6.5000000000000002E-2</v>
      </c>
      <c r="J11" s="102">
        <f>IF(J5="","",IF(J3&gt;Analysis_Period,"",I11+'Property Summary'!$D$10/10000))</f>
        <v>6.5000000000000002E-2</v>
      </c>
      <c r="K11" s="102">
        <f>IF(K5="","",IF(K3&gt;Analysis_Period,"",J11+'Property Summary'!$D$10/10000))</f>
        <v>6.5000000000000002E-2</v>
      </c>
      <c r="L11" s="102">
        <f>IF(L5="","",IF(L3&gt;Analysis_Period,"",K11+'Property Summary'!$D$10/10000))</f>
        <v>6.5000000000000002E-2</v>
      </c>
      <c r="M11" s="102">
        <f>IF(M5="","",IF(M3&gt;Analysis_Period,"",L11+'Property Summary'!$D$10/10000))</f>
        <v>6.5000000000000002E-2</v>
      </c>
      <c r="N11" s="102" t="str">
        <f>IF(N5="","",IF(N3&gt;Analysis_Period,"",M11+'Property Summary'!$D$10/10000))</f>
        <v/>
      </c>
      <c r="O11" s="102" t="str">
        <f>IF(O5="","",IF(O3&gt;Analysis_Period,"",N11+'Property Summary'!$D$10/10000))</f>
        <v/>
      </c>
      <c r="P11" s="102" t="str">
        <f>IF(P5="","",IF(P3&gt;Analysis_Period,"",O11+'Property Summary'!$D$10/10000))</f>
        <v/>
      </c>
      <c r="Q11" s="102" t="str">
        <f>IF(Q5="","",IF(Q3&gt;Analysis_Period,"",P11+'Property Summary'!$D$10/10000))</f>
        <v/>
      </c>
      <c r="R11" s="102" t="str">
        <f>IF(R5="","",IF(R3&gt;Analysis_Period,"",Q11+'Property Summary'!$D$10/10000))</f>
        <v/>
      </c>
    </row>
    <row r="12" spans="2:20" x14ac:dyDescent="0.3">
      <c r="B12" s="36" t="s">
        <v>24</v>
      </c>
      <c r="C12" s="48"/>
      <c r="D12" s="104">
        <f t="shared" ref="D12:Q12" si="2">IFERROR(HLOOKUP(Cap_Year-Analysis_Period+D3,$D$3:$R$9,5,FALSE)/D11,"")</f>
        <v>7877914.0516923089</v>
      </c>
      <c r="E12" s="104">
        <f t="shared" si="2"/>
        <v>8947718.5488430653</v>
      </c>
      <c r="F12" s="104">
        <f t="shared" si="2"/>
        <v>9033141.4205372501</v>
      </c>
      <c r="G12" s="104">
        <f t="shared" si="2"/>
        <v>9118888.8059645426</v>
      </c>
      <c r="H12" s="104">
        <f t="shared" si="2"/>
        <v>9204946.6265319735</v>
      </c>
      <c r="I12" s="104">
        <f t="shared" si="2"/>
        <v>9291300.2154445667</v>
      </c>
      <c r="J12" s="104">
        <f t="shared" si="2"/>
        <v>9377934.301360935</v>
      </c>
      <c r="K12" s="104">
        <f t="shared" si="2"/>
        <v>9464832.991653325</v>
      </c>
      <c r="L12" s="104">
        <f t="shared" si="2"/>
        <v>9551979.7552634533</v>
      </c>
      <c r="M12" s="104">
        <f t="shared" si="2"/>
        <v>9639357.4051448423</v>
      </c>
      <c r="N12" s="104" t="str">
        <f t="shared" si="2"/>
        <v/>
      </c>
      <c r="O12" s="104" t="str">
        <f t="shared" si="2"/>
        <v/>
      </c>
      <c r="P12" s="104" t="str">
        <f t="shared" si="2"/>
        <v/>
      </c>
      <c r="Q12" s="104" t="str">
        <f t="shared" si="2"/>
        <v/>
      </c>
      <c r="R12" s="104">
        <f>IFERROR(HLOOKUP(Cap_Year-Analysis_Period+R3,$D$3:$R$9,5,FALSE)/R11,0)</f>
        <v>0</v>
      </c>
    </row>
    <row r="13" spans="2:20" x14ac:dyDescent="0.3">
      <c r="B13" s="36" t="s">
        <v>25</v>
      </c>
      <c r="C13" s="50"/>
      <c r="D13" s="104">
        <f t="shared" ref="D13:R13" si="3">IFERROR(D12/Units,"")</f>
        <v>63531.56493300249</v>
      </c>
      <c r="E13" s="104">
        <f t="shared" si="3"/>
        <v>72159.020555186013</v>
      </c>
      <c r="F13" s="104">
        <f t="shared" si="3"/>
        <v>72847.914681752023</v>
      </c>
      <c r="G13" s="104">
        <f t="shared" si="3"/>
        <v>73539.425854552755</v>
      </c>
      <c r="H13" s="104">
        <f t="shared" si="3"/>
        <v>74233.44053654818</v>
      </c>
      <c r="I13" s="104">
        <f t="shared" si="3"/>
        <v>74929.840447133596</v>
      </c>
      <c r="J13" s="104">
        <f t="shared" si="3"/>
        <v>75628.502430330118</v>
      </c>
      <c r="K13" s="104">
        <f t="shared" si="3"/>
        <v>76329.298319784881</v>
      </c>
      <c r="L13" s="104">
        <f t="shared" si="3"/>
        <v>77032.094800511724</v>
      </c>
      <c r="M13" s="104">
        <f t="shared" si="3"/>
        <v>77736.753267297114</v>
      </c>
      <c r="N13" s="104" t="str">
        <f t="shared" si="3"/>
        <v/>
      </c>
      <c r="O13" s="104" t="str">
        <f t="shared" si="3"/>
        <v/>
      </c>
      <c r="P13" s="104" t="str">
        <f t="shared" si="3"/>
        <v/>
      </c>
      <c r="Q13" s="104" t="str">
        <f t="shared" si="3"/>
        <v/>
      </c>
      <c r="R13" s="104">
        <f t="shared" si="3"/>
        <v>0</v>
      </c>
    </row>
    <row r="14" spans="2:20" x14ac:dyDescent="0.3">
      <c r="B14" s="36"/>
      <c r="C14" s="48"/>
      <c r="D14" s="110"/>
      <c r="E14" s="110"/>
      <c r="F14" s="110"/>
      <c r="G14" s="110"/>
      <c r="H14" s="110"/>
      <c r="I14" s="110"/>
      <c r="J14" s="110"/>
      <c r="K14" s="110"/>
      <c r="L14" s="110"/>
      <c r="M14" s="110"/>
      <c r="N14" s="110"/>
      <c r="O14" s="110"/>
      <c r="P14" s="110"/>
      <c r="Q14" s="110"/>
      <c r="R14" s="110"/>
    </row>
    <row r="15" spans="2:20" x14ac:dyDescent="0.3">
      <c r="B15" s="36" t="s">
        <v>248</v>
      </c>
      <c r="C15" s="48"/>
      <c r="D15" s="104">
        <f>D9</f>
        <v>1638.5120000001043</v>
      </c>
      <c r="E15" s="104">
        <f t="shared" ref="E15:R15" si="4">IF(E3&gt;Analysis_Period,"",E9)</f>
        <v>208269.21336000011</v>
      </c>
      <c r="F15" s="104">
        <f t="shared" si="4"/>
        <v>475730.60167479934</v>
      </c>
      <c r="G15" s="104">
        <f t="shared" si="4"/>
        <v>479165.66625492135</v>
      </c>
      <c r="H15" s="104">
        <f t="shared" si="4"/>
        <v>482579.47578609525</v>
      </c>
      <c r="I15" s="104">
        <f t="shared" si="4"/>
        <v>485970.26819094631</v>
      </c>
      <c r="J15" s="104">
        <f t="shared" si="4"/>
        <v>489336.22621959215</v>
      </c>
      <c r="K15" s="104">
        <f t="shared" si="4"/>
        <v>492675.47604847007</v>
      </c>
      <c r="L15" s="104">
        <f t="shared" si="4"/>
        <v>495986.08584667562</v>
      </c>
      <c r="M15" s="104">
        <f t="shared" si="4"/>
        <v>499266.06430911814</v>
      </c>
      <c r="N15" s="104" t="str">
        <f t="shared" si="4"/>
        <v/>
      </c>
      <c r="O15" s="104" t="str">
        <f t="shared" si="4"/>
        <v/>
      </c>
      <c r="P15" s="104" t="str">
        <f t="shared" si="4"/>
        <v/>
      </c>
      <c r="Q15" s="104" t="str">
        <f t="shared" si="4"/>
        <v/>
      </c>
      <c r="R15" s="104" t="str">
        <f t="shared" si="4"/>
        <v/>
      </c>
    </row>
    <row r="16" spans="2:20" x14ac:dyDescent="0.3">
      <c r="B16" s="36" t="s">
        <v>26</v>
      </c>
      <c r="C16" s="48"/>
      <c r="D16" s="102">
        <f>IF(D9="","",D9/(-D48))</f>
        <v>2.2233315806436613E-4</v>
      </c>
      <c r="E16" s="102">
        <f t="shared" ref="E16:R16" si="5">IF(E9="","",IF(E3&gt;Analysis_Period,"",E9/(-E48)))</f>
        <v>2.826048996522891E-2</v>
      </c>
      <c r="F16" s="102">
        <f t="shared" si="5"/>
        <v>6.4552891317373587E-2</v>
      </c>
      <c r="G16" s="102">
        <f t="shared" si="5"/>
        <v>6.5019002494010394E-2</v>
      </c>
      <c r="H16" s="102">
        <f t="shared" si="5"/>
        <v>6.548222952810967E-2</v>
      </c>
      <c r="I16" s="102">
        <f t="shared" si="5"/>
        <v>6.5942333319666382E-2</v>
      </c>
      <c r="J16" s="102">
        <f t="shared" si="5"/>
        <v>6.6399067282201213E-2</v>
      </c>
      <c r="K16" s="102">
        <f t="shared" si="5"/>
        <v>6.68521771526326E-2</v>
      </c>
      <c r="L16" s="102">
        <f t="shared" si="5"/>
        <v>6.7301400796740074E-2</v>
      </c>
      <c r="M16" s="102">
        <f t="shared" si="5"/>
        <v>6.7746468010125099E-2</v>
      </c>
      <c r="N16" s="102" t="str">
        <f t="shared" si="5"/>
        <v/>
      </c>
      <c r="O16" s="102" t="str">
        <f t="shared" si="5"/>
        <v/>
      </c>
      <c r="P16" s="102" t="str">
        <f t="shared" si="5"/>
        <v/>
      </c>
      <c r="Q16" s="102" t="str">
        <f t="shared" si="5"/>
        <v/>
      </c>
      <c r="R16" s="102" t="str">
        <f t="shared" si="5"/>
        <v/>
      </c>
    </row>
    <row r="17" spans="2:19" x14ac:dyDescent="0.3">
      <c r="B17" s="47" t="s">
        <v>27</v>
      </c>
      <c r="C17" s="48"/>
      <c r="D17" s="102">
        <f>IF(D16="","",AVERAGE($D$16:D16))</f>
        <v>2.2233315806436613E-4</v>
      </c>
      <c r="E17" s="102">
        <f>IF(E16="","",AVERAGE($D$16:E16))</f>
        <v>1.4241411561646638E-2</v>
      </c>
      <c r="F17" s="102">
        <f>IF(F16="","",AVERAGE($D$16:F16))</f>
        <v>3.1011904813555619E-2</v>
      </c>
      <c r="G17" s="102">
        <f>IF(G16="","",AVERAGE($D$16:G16))</f>
        <v>3.9513679233669316E-2</v>
      </c>
      <c r="H17" s="102">
        <f>IF(H16="","",AVERAGE($D$16:H16))</f>
        <v>4.4707389292557388E-2</v>
      </c>
      <c r="I17" s="102">
        <f>IF(I16="","",AVERAGE($D$16:I16))</f>
        <v>4.8246546630408886E-2</v>
      </c>
      <c r="J17" s="102">
        <f>IF(J16="","",AVERAGE($D$16:J16))</f>
        <v>5.0839763866379215E-2</v>
      </c>
      <c r="K17" s="102">
        <f>IF(K16="","",AVERAGE($D$16:K16))</f>
        <v>5.2841315527160884E-2</v>
      </c>
      <c r="L17" s="102">
        <f>IF(L16="","",AVERAGE($D$16:L16))</f>
        <v>5.444799166822524E-2</v>
      </c>
      <c r="M17" s="102">
        <f>IF(M16="","",AVERAGE($D$16:M16))</f>
        <v>5.5777839302415221E-2</v>
      </c>
      <c r="N17" s="102" t="str">
        <f>IF(N16="","",AVERAGE($D$16:N16))</f>
        <v/>
      </c>
      <c r="O17" s="102" t="str">
        <f>IF(O16="","",AVERAGE($D$16:O16))</f>
        <v/>
      </c>
      <c r="P17" s="102" t="str">
        <f>IF(P16="","",AVERAGE($D$16:P16))</f>
        <v/>
      </c>
      <c r="Q17" s="102" t="str">
        <f>IF(Q16="","",AVERAGE($D$16:Q16))</f>
        <v/>
      </c>
      <c r="R17" s="102" t="str">
        <f>IF(R16="","",AVERAGE($D$16:R16))</f>
        <v/>
      </c>
    </row>
    <row r="18" spans="2:19" s="54" customFormat="1" x14ac:dyDescent="0.3">
      <c r="B18" s="51" t="s">
        <v>54</v>
      </c>
      <c r="C18" s="52"/>
      <c r="D18" s="165">
        <f t="shared" ref="D18:R18" si="6">IF(D3=Analysis_Period,D12+D15,D15)</f>
        <v>1638.5120000001043</v>
      </c>
      <c r="E18" s="165">
        <f t="shared" si="6"/>
        <v>208269.21336000011</v>
      </c>
      <c r="F18" s="165">
        <f t="shared" si="6"/>
        <v>475730.60167479934</v>
      </c>
      <c r="G18" s="165">
        <f t="shared" si="6"/>
        <v>479165.66625492135</v>
      </c>
      <c r="H18" s="165">
        <f t="shared" si="6"/>
        <v>482579.47578609525</v>
      </c>
      <c r="I18" s="165">
        <f t="shared" si="6"/>
        <v>485970.26819094631</v>
      </c>
      <c r="J18" s="165">
        <f t="shared" si="6"/>
        <v>489336.22621959215</v>
      </c>
      <c r="K18" s="165">
        <f t="shared" si="6"/>
        <v>492675.47604847007</v>
      </c>
      <c r="L18" s="165">
        <f t="shared" si="6"/>
        <v>495986.08584667562</v>
      </c>
      <c r="M18" s="165">
        <f t="shared" si="6"/>
        <v>10138623.469453961</v>
      </c>
      <c r="N18" s="165" t="str">
        <f t="shared" si="6"/>
        <v/>
      </c>
      <c r="O18" s="165" t="str">
        <f t="shared" si="6"/>
        <v/>
      </c>
      <c r="P18" s="165" t="str">
        <f t="shared" si="6"/>
        <v/>
      </c>
      <c r="Q18" s="165" t="str">
        <f t="shared" si="6"/>
        <v/>
      </c>
      <c r="R18" s="165" t="str">
        <f t="shared" si="6"/>
        <v/>
      </c>
      <c r="S18" s="53"/>
    </row>
    <row r="19" spans="2:19" x14ac:dyDescent="0.3">
      <c r="B19" s="36"/>
      <c r="C19" s="48"/>
      <c r="D19" s="158"/>
      <c r="E19" s="158"/>
      <c r="F19" s="158"/>
      <c r="G19" s="158"/>
      <c r="H19" s="158"/>
      <c r="I19" s="158"/>
      <c r="J19" s="158"/>
      <c r="K19" s="158"/>
      <c r="L19" s="158"/>
      <c r="M19" s="158"/>
      <c r="N19" s="158"/>
      <c r="O19" s="158"/>
      <c r="P19" s="158"/>
      <c r="Q19" s="158"/>
      <c r="R19" s="158"/>
    </row>
    <row r="20" spans="2:19" x14ac:dyDescent="0.3">
      <c r="B20" s="36" t="s">
        <v>29</v>
      </c>
      <c r="C20" s="50"/>
      <c r="D20" s="102">
        <f ca="1">D47</f>
        <v>6.9193149406151511E-2</v>
      </c>
      <c r="E20" s="102">
        <f t="shared" ref="E20:R20" ca="1" si="7">IF(E3&gt;Analysis_Period,"",E47)</f>
        <v>0.11473906547163204</v>
      </c>
      <c r="F20" s="102">
        <f t="shared" ca="1" si="7"/>
        <v>9.7393157598193669E-2</v>
      </c>
      <c r="G20" s="102">
        <f t="shared" ca="1" si="7"/>
        <v>8.901421537616816E-2</v>
      </c>
      <c r="H20" s="102">
        <f t="shared" ca="1" si="7"/>
        <v>8.4063449594216744E-2</v>
      </c>
      <c r="I20" s="102">
        <f t="shared" ca="1" si="7"/>
        <v>8.0784405504510826E-2</v>
      </c>
      <c r="J20" s="102">
        <f t="shared" ca="1" si="7"/>
        <v>7.8445543091817616E-2</v>
      </c>
      <c r="K20" s="102">
        <f t="shared" ca="1" si="7"/>
        <v>7.6687914663289947E-2</v>
      </c>
      <c r="L20" s="102">
        <f t="shared" ca="1" si="7"/>
        <v>7.5314764151588109E-2</v>
      </c>
      <c r="M20" s="102">
        <f t="shared" ca="1" si="7"/>
        <v>7.4209223862406581E-2</v>
      </c>
      <c r="N20" s="102" t="str">
        <f t="shared" si="7"/>
        <v/>
      </c>
      <c r="O20" s="102" t="str">
        <f t="shared" si="7"/>
        <v/>
      </c>
      <c r="P20" s="102" t="str">
        <f t="shared" si="7"/>
        <v/>
      </c>
      <c r="Q20" s="102" t="str">
        <f t="shared" si="7"/>
        <v/>
      </c>
      <c r="R20" s="102" t="str">
        <f t="shared" si="7"/>
        <v/>
      </c>
    </row>
    <row r="21" spans="2:19" x14ac:dyDescent="0.3">
      <c r="B21" s="36" t="s">
        <v>36</v>
      </c>
      <c r="C21" s="48"/>
      <c r="D21" s="106">
        <f ca="1">IF(D46="","",SUMIF(D48:D63,"&gt;0")/-SUMIF(D48:D63,"&lt;0"))</f>
        <v>1.0691931494061515</v>
      </c>
      <c r="E21" s="106">
        <f t="shared" ref="E21:R21" ca="1" si="8">IF(E46="","",SUMIF(E48:E63,"&gt;0")/-SUMIF(E48:E63,"&lt;0"))</f>
        <v>1.2426176737897878</v>
      </c>
      <c r="F21" s="106">
        <f t="shared" ca="1" si="8"/>
        <v>1.3187617752018657</v>
      </c>
      <c r="G21" s="106">
        <f t="shared" ca="1" si="8"/>
        <v>1.3954160217452398</v>
      </c>
      <c r="H21" s="106">
        <f t="shared" ca="1" si="8"/>
        <v>1.4725756189233223</v>
      </c>
      <c r="I21" s="106">
        <f t="shared" ca="1" si="8"/>
        <v>1.5502354533251459</v>
      </c>
      <c r="J21" s="106">
        <f t="shared" ca="1" si="8"/>
        <v>1.6283900829210836</v>
      </c>
      <c r="K21" s="106">
        <f t="shared" ca="1" si="8"/>
        <v>1.7070337271147649</v>
      </c>
      <c r="L21" s="106">
        <f t="shared" ca="1" si="8"/>
        <v>1.7861602565456116</v>
      </c>
      <c r="M21" s="106">
        <f t="shared" ca="1" si="8"/>
        <v>1.8657631826362211</v>
      </c>
      <c r="N21" s="106" t="str">
        <f t="shared" si="8"/>
        <v/>
      </c>
      <c r="O21" s="106" t="str">
        <f t="shared" si="8"/>
        <v/>
      </c>
      <c r="P21" s="106" t="str">
        <f t="shared" si="8"/>
        <v/>
      </c>
      <c r="Q21" s="106" t="str">
        <f t="shared" si="8"/>
        <v/>
      </c>
      <c r="R21" s="106" t="str">
        <f t="shared" si="8"/>
        <v/>
      </c>
    </row>
    <row r="22" spans="2:19" x14ac:dyDescent="0.3">
      <c r="B22" s="36"/>
      <c r="C22" s="48"/>
      <c r="D22" s="158"/>
      <c r="E22" s="158"/>
      <c r="F22" s="158"/>
      <c r="G22" s="158"/>
      <c r="H22" s="158"/>
      <c r="I22" s="158"/>
      <c r="J22" s="158"/>
      <c r="K22" s="158"/>
      <c r="L22" s="158"/>
      <c r="M22" s="158"/>
      <c r="N22" s="158"/>
      <c r="O22" s="158"/>
      <c r="P22" s="158"/>
      <c r="Q22" s="158"/>
      <c r="R22" s="158"/>
    </row>
    <row r="23" spans="2:19" x14ac:dyDescent="0.3">
      <c r="B23" s="36" t="s">
        <v>30</v>
      </c>
      <c r="C23" s="48"/>
      <c r="D23" s="102">
        <f ca="1">IFERROR(D17/D20,"")</f>
        <v>3.213225008147988E-3</v>
      </c>
      <c r="E23" s="102">
        <f t="shared" ref="E23:R23" ca="1" si="9">IFERROR(E17/E20,"")</f>
        <v>0.12411998915197429</v>
      </c>
      <c r="F23" s="102">
        <f t="shared" ca="1" si="9"/>
        <v>0.31841974917271593</v>
      </c>
      <c r="G23" s="102">
        <f t="shared" ca="1" si="9"/>
        <v>0.44390302230589951</v>
      </c>
      <c r="H23" s="102">
        <f t="shared" ca="1" si="9"/>
        <v>0.53182910656610849</v>
      </c>
      <c r="I23" s="102">
        <f t="shared" ca="1" si="9"/>
        <v>0.59722599094592466</v>
      </c>
      <c r="J23" s="102">
        <f t="shared" ca="1" si="9"/>
        <v>0.6480898960298247</v>
      </c>
      <c r="K23" s="102">
        <f t="shared" ca="1" si="9"/>
        <v>0.68904358345338745</v>
      </c>
      <c r="L23" s="102">
        <f t="shared" ca="1" si="9"/>
        <v>0.72293915119532559</v>
      </c>
      <c r="M23" s="102">
        <f t="shared" ca="1" si="9"/>
        <v>0.75162946597897973</v>
      </c>
      <c r="N23" s="102" t="str">
        <f t="shared" si="9"/>
        <v/>
      </c>
      <c r="O23" s="102" t="str">
        <f t="shared" si="9"/>
        <v/>
      </c>
      <c r="P23" s="102" t="str">
        <f t="shared" si="9"/>
        <v/>
      </c>
      <c r="Q23" s="102" t="str">
        <f t="shared" si="9"/>
        <v/>
      </c>
      <c r="R23" s="102" t="str">
        <f t="shared" si="9"/>
        <v/>
      </c>
    </row>
    <row r="24" spans="2:19" x14ac:dyDescent="0.3">
      <c r="B24" s="36" t="s">
        <v>31</v>
      </c>
      <c r="C24" s="48"/>
      <c r="D24" s="102">
        <f ca="1">IFERROR(1-D23,"")</f>
        <v>0.99678677499185198</v>
      </c>
      <c r="E24" s="102">
        <f t="shared" ref="E24:R24" ca="1" si="10">IFERROR(1-E23,"")</f>
        <v>0.87588001084802569</v>
      </c>
      <c r="F24" s="102">
        <f t="shared" ca="1" si="10"/>
        <v>0.68158025082728413</v>
      </c>
      <c r="G24" s="102">
        <f t="shared" ca="1" si="10"/>
        <v>0.55609697769410049</v>
      </c>
      <c r="H24" s="102">
        <f t="shared" ca="1" si="10"/>
        <v>0.46817089343389151</v>
      </c>
      <c r="I24" s="102">
        <f t="shared" ca="1" si="10"/>
        <v>0.40277400905407534</v>
      </c>
      <c r="J24" s="102">
        <f t="shared" ca="1" si="10"/>
        <v>0.3519101039701753</v>
      </c>
      <c r="K24" s="102">
        <f t="shared" ca="1" si="10"/>
        <v>0.31095641654661255</v>
      </c>
      <c r="L24" s="102">
        <f t="shared" ca="1" si="10"/>
        <v>0.27706084880467441</v>
      </c>
      <c r="M24" s="102">
        <f t="shared" ca="1" si="10"/>
        <v>0.24837053402102027</v>
      </c>
      <c r="N24" s="102" t="str">
        <f t="shared" si="10"/>
        <v/>
      </c>
      <c r="O24" s="102" t="str">
        <f t="shared" si="10"/>
        <v/>
      </c>
      <c r="P24" s="102" t="str">
        <f t="shared" si="10"/>
        <v/>
      </c>
      <c r="Q24" s="102" t="str">
        <f t="shared" si="10"/>
        <v/>
      </c>
      <c r="R24" s="102" t="str">
        <f t="shared" si="10"/>
        <v/>
      </c>
    </row>
    <row r="25" spans="2:19" collapsed="1" x14ac:dyDescent="0.3">
      <c r="B25" s="36"/>
      <c r="C25" s="50"/>
      <c r="D25" s="160"/>
      <c r="E25" s="160"/>
      <c r="F25" s="160"/>
      <c r="G25" s="160"/>
      <c r="H25" s="160"/>
      <c r="I25" s="160"/>
      <c r="J25" s="160"/>
      <c r="K25" s="160"/>
      <c r="L25" s="160"/>
      <c r="M25" s="160"/>
      <c r="N25" s="160"/>
      <c r="O25" s="160" t="e">
        <f>#REF!</f>
        <v>#REF!</v>
      </c>
      <c r="P25" s="160" t="e">
        <f>#REF!</f>
        <v>#REF!</v>
      </c>
      <c r="Q25" s="160" t="e">
        <f>#REF!</f>
        <v>#REF!</v>
      </c>
      <c r="R25" s="160" t="e">
        <f>#REF!</f>
        <v>#REF!</v>
      </c>
    </row>
    <row r="26" spans="2:19" x14ac:dyDescent="0.3">
      <c r="B26" s="36" t="s">
        <v>32</v>
      </c>
      <c r="C26" s="48"/>
      <c r="D26" s="104">
        <f>Debt!D6</f>
        <v>278192.00840544805</v>
      </c>
      <c r="E26" s="104">
        <f>Debt!E6</f>
        <v>278192.00840544805</v>
      </c>
      <c r="F26" s="104">
        <f>Debt!F6</f>
        <v>278192.00840544805</v>
      </c>
      <c r="G26" s="104">
        <f>Debt!G6</f>
        <v>278192.00840544805</v>
      </c>
      <c r="H26" s="104">
        <f>Debt!H6</f>
        <v>278192.00840544805</v>
      </c>
      <c r="I26" s="104">
        <f>Debt!I6</f>
        <v>278192.00840544805</v>
      </c>
      <c r="J26" s="104">
        <f>Debt!J6</f>
        <v>278192.00840544805</v>
      </c>
      <c r="K26" s="104">
        <f>Debt!K6</f>
        <v>278192.00840544805</v>
      </c>
      <c r="L26" s="104">
        <f>Debt!L6</f>
        <v>278192.00840544805</v>
      </c>
      <c r="M26" s="104">
        <f>Debt!M6</f>
        <v>278192.00840544805</v>
      </c>
      <c r="N26" s="104" t="str">
        <f>Debt!N6</f>
        <v/>
      </c>
      <c r="O26" s="104" t="str">
        <f>Debt!O6</f>
        <v/>
      </c>
      <c r="P26" s="104" t="str">
        <f>Debt!P6</f>
        <v/>
      </c>
      <c r="Q26" s="104" t="str">
        <f>Debt!Q6</f>
        <v/>
      </c>
      <c r="R26" s="104" t="str">
        <f>Debt!R6</f>
        <v/>
      </c>
    </row>
    <row r="27" spans="2:19" x14ac:dyDescent="0.3">
      <c r="B27" s="36" t="s">
        <v>142</v>
      </c>
      <c r="C27" s="48"/>
      <c r="D27" s="106">
        <f>IFERROR(D7/D26,"")</f>
        <v>1.5702769986236784</v>
      </c>
      <c r="E27" s="106">
        <f t="shared" ref="E27:R27" si="11">IFERROR(E7/E26,"")</f>
        <v>1.8406869999432089</v>
      </c>
      <c r="F27" s="106">
        <f t="shared" si="11"/>
        <v>2.0906485021207004</v>
      </c>
      <c r="G27" s="106">
        <f t="shared" si="11"/>
        <v>2.1106076903516926</v>
      </c>
      <c r="H27" s="106">
        <f t="shared" si="11"/>
        <v>2.1306427017264649</v>
      </c>
      <c r="I27" s="106">
        <f t="shared" si="11"/>
        <v>2.1507502467596438</v>
      </c>
      <c r="J27" s="106">
        <f t="shared" si="11"/>
        <v>2.1709268985315306</v>
      </c>
      <c r="K27" s="106">
        <f t="shared" si="11"/>
        <v>2.1911690888692084</v>
      </c>
      <c r="L27" s="106">
        <f t="shared" si="11"/>
        <v>2.2114731044352243</v>
      </c>
      <c r="M27" s="106">
        <f t="shared" si="11"/>
        <v>2.2318350827218274</v>
      </c>
      <c r="N27" s="106" t="str">
        <f t="shared" si="11"/>
        <v/>
      </c>
      <c r="O27" s="106" t="str">
        <f t="shared" si="11"/>
        <v/>
      </c>
      <c r="P27" s="106" t="str">
        <f t="shared" si="11"/>
        <v/>
      </c>
      <c r="Q27" s="106" t="str">
        <f t="shared" si="11"/>
        <v/>
      </c>
      <c r="R27" s="106" t="str">
        <f t="shared" si="11"/>
        <v/>
      </c>
    </row>
    <row r="28" spans="2:19" x14ac:dyDescent="0.3">
      <c r="B28" s="36" t="s">
        <v>143</v>
      </c>
      <c r="C28" s="48"/>
      <c r="D28" s="102">
        <f>IFERROR(D7/D29,"")</f>
        <v>9.4287386876546239E-2</v>
      </c>
      <c r="E28" s="102">
        <f t="shared" ref="E28:R28" si="12">IFERROR(E7/E29,"")</f>
        <v>0.1125375714845699</v>
      </c>
      <c r="F28" s="102">
        <f t="shared" si="12"/>
        <v>0.13029639245735167</v>
      </c>
      <c r="G28" s="102">
        <f t="shared" si="12"/>
        <v>0.13425415421633355</v>
      </c>
      <c r="H28" s="102">
        <f t="shared" si="12"/>
        <v>0.13851003973216264</v>
      </c>
      <c r="I28" s="102">
        <f t="shared" si="12"/>
        <v>0.14310170695291544</v>
      </c>
      <c r="J28" s="102">
        <f t="shared" si="12"/>
        <v>0.14807337683347346</v>
      </c>
      <c r="K28" s="102">
        <f t="shared" si="12"/>
        <v>0.1534773246176781</v>
      </c>
      <c r="L28" s="102">
        <f t="shared" si="12"/>
        <v>0.15937579717730835</v>
      </c>
      <c r="M28" s="102">
        <f t="shared" si="12"/>
        <v>0.16584350552814126</v>
      </c>
      <c r="N28" s="102" t="str">
        <f t="shared" si="12"/>
        <v/>
      </c>
      <c r="O28" s="102" t="str">
        <f t="shared" si="12"/>
        <v/>
      </c>
      <c r="P28" s="102" t="str">
        <f t="shared" si="12"/>
        <v/>
      </c>
      <c r="Q28" s="102" t="str">
        <f t="shared" si="12"/>
        <v/>
      </c>
      <c r="R28" s="102" t="str">
        <f t="shared" si="12"/>
        <v/>
      </c>
    </row>
    <row r="29" spans="2:19" x14ac:dyDescent="0.3">
      <c r="B29" s="36" t="s">
        <v>38</v>
      </c>
      <c r="C29" s="48"/>
      <c r="D29" s="104">
        <f>Debt!D7</f>
        <v>4633053.5448179087</v>
      </c>
      <c r="E29" s="104">
        <f>Debt!E7</f>
        <v>4550164.0616992489</v>
      </c>
      <c r="F29" s="104">
        <f>Debt!F7</f>
        <v>4463682.3376761405</v>
      </c>
      <c r="G29" s="104">
        <f>Debt!G7</f>
        <v>4373452.6932313526</v>
      </c>
      <c r="H29" s="104">
        <f>Debt!H7</f>
        <v>4279312.7020528987</v>
      </c>
      <c r="I29" s="104">
        <f>Debt!I7</f>
        <v>4181092.8986433633</v>
      </c>
      <c r="J29" s="104">
        <f>Debt!J7</f>
        <v>4078616.473257679</v>
      </c>
      <c r="K29" s="104">
        <f>Debt!K7</f>
        <v>3971698.9536202061</v>
      </c>
      <c r="L29" s="104">
        <f>Debt!L7</f>
        <v>3860147.8728481573</v>
      </c>
      <c r="M29" s="104">
        <f>Debt!M7</f>
        <v>3743762.4229835775</v>
      </c>
      <c r="N29" s="104" t="str">
        <f>Debt!N7</f>
        <v/>
      </c>
      <c r="O29" s="104" t="str">
        <f>Debt!O7</f>
        <v/>
      </c>
      <c r="P29" s="104" t="str">
        <f>Debt!P7</f>
        <v/>
      </c>
      <c r="Q29" s="104" t="str">
        <f>Debt!Q7</f>
        <v/>
      </c>
      <c r="R29" s="104" t="str">
        <f>Debt!R7</f>
        <v/>
      </c>
    </row>
    <row r="30" spans="2:19" x14ac:dyDescent="0.3">
      <c r="B30" s="36"/>
      <c r="C30" s="48"/>
      <c r="D30" s="159"/>
      <c r="E30" s="159"/>
      <c r="F30" s="159"/>
      <c r="G30" s="159"/>
      <c r="H30" s="159"/>
      <c r="I30" s="159"/>
      <c r="J30" s="159"/>
      <c r="K30" s="159"/>
      <c r="L30" s="159"/>
      <c r="M30" s="159"/>
      <c r="N30" s="159"/>
      <c r="O30" s="159"/>
      <c r="P30" s="159"/>
      <c r="Q30" s="159"/>
      <c r="R30" s="159"/>
    </row>
    <row r="31" spans="2:19" x14ac:dyDescent="0.3">
      <c r="B31" s="36" t="s">
        <v>44</v>
      </c>
      <c r="C31" s="48"/>
      <c r="D31" s="104">
        <f>IFERROR(D12-D29,"")</f>
        <v>3244860.5068744002</v>
      </c>
      <c r="E31" s="104">
        <f t="shared" ref="E31:R31" si="13">IFERROR(E12-E29,"")</f>
        <v>4397554.4871438164</v>
      </c>
      <c r="F31" s="104">
        <f t="shared" si="13"/>
        <v>4569459.0828611096</v>
      </c>
      <c r="G31" s="104">
        <f t="shared" si="13"/>
        <v>4745436.1127331899</v>
      </c>
      <c r="H31" s="104">
        <f t="shared" si="13"/>
        <v>4925633.9244790748</v>
      </c>
      <c r="I31" s="104">
        <f t="shared" si="13"/>
        <v>5110207.3168012034</v>
      </c>
      <c r="J31" s="104">
        <f t="shared" si="13"/>
        <v>5299317.8281032555</v>
      </c>
      <c r="K31" s="104">
        <f t="shared" si="13"/>
        <v>5493134.0380331185</v>
      </c>
      <c r="L31" s="104">
        <f t="shared" si="13"/>
        <v>5691831.8824152965</v>
      </c>
      <c r="M31" s="104">
        <f t="shared" si="13"/>
        <v>5895594.9821612649</v>
      </c>
      <c r="N31" s="104" t="str">
        <f t="shared" si="13"/>
        <v/>
      </c>
      <c r="O31" s="104" t="str">
        <f t="shared" si="13"/>
        <v/>
      </c>
      <c r="P31" s="104" t="str">
        <f t="shared" si="13"/>
        <v/>
      </c>
      <c r="Q31" s="104" t="str">
        <f t="shared" si="13"/>
        <v/>
      </c>
      <c r="R31" s="104" t="str">
        <f t="shared" si="13"/>
        <v/>
      </c>
    </row>
    <row r="32" spans="2:19" x14ac:dyDescent="0.3">
      <c r="B32" s="47" t="s">
        <v>52</v>
      </c>
      <c r="C32" s="48"/>
      <c r="D32" s="104">
        <f>IFERROR(D31-(-D68),"")</f>
        <v>587735.50687440019</v>
      </c>
      <c r="E32" s="104">
        <f t="shared" ref="E32:R32" si="14">IFERROR(E31-(-E68),"")</f>
        <v>1740429.4871438164</v>
      </c>
      <c r="F32" s="104">
        <f t="shared" si="14"/>
        <v>1912334.0828611096</v>
      </c>
      <c r="G32" s="104">
        <f t="shared" si="14"/>
        <v>2088311.1127331899</v>
      </c>
      <c r="H32" s="104">
        <f t="shared" si="14"/>
        <v>2268508.9244790748</v>
      </c>
      <c r="I32" s="104">
        <f t="shared" si="14"/>
        <v>2453082.3168012034</v>
      </c>
      <c r="J32" s="104">
        <f t="shared" si="14"/>
        <v>2642192.8281032555</v>
      </c>
      <c r="K32" s="104">
        <f t="shared" si="14"/>
        <v>2836009.0380331185</v>
      </c>
      <c r="L32" s="104">
        <f t="shared" si="14"/>
        <v>3034706.8824152965</v>
      </c>
      <c r="M32" s="104">
        <f t="shared" si="14"/>
        <v>3238469.9821612649</v>
      </c>
      <c r="N32" s="104" t="str">
        <f t="shared" si="14"/>
        <v/>
      </c>
      <c r="O32" s="104" t="str">
        <f t="shared" si="14"/>
        <v/>
      </c>
      <c r="P32" s="104" t="str">
        <f t="shared" si="14"/>
        <v/>
      </c>
      <c r="Q32" s="104" t="str">
        <f t="shared" si="14"/>
        <v/>
      </c>
      <c r="R32" s="104" t="str">
        <f t="shared" si="14"/>
        <v/>
      </c>
    </row>
    <row r="33" spans="2:21" collapsed="1" x14ac:dyDescent="0.3">
      <c r="B33" s="36"/>
      <c r="C33" s="50"/>
      <c r="D33" s="160"/>
      <c r="E33" s="160"/>
      <c r="F33" s="160"/>
      <c r="G33" s="160"/>
      <c r="H33" s="160"/>
      <c r="I33" s="160"/>
      <c r="J33" s="160"/>
      <c r="K33" s="160"/>
      <c r="L33" s="160"/>
      <c r="M33" s="160"/>
      <c r="N33" s="160"/>
      <c r="O33" s="160" t="str">
        <f t="shared" ref="O33:R33" si="15">O35</f>
        <v/>
      </c>
      <c r="P33" s="160" t="str">
        <f t="shared" si="15"/>
        <v/>
      </c>
      <c r="Q33" s="160" t="str">
        <f t="shared" si="15"/>
        <v/>
      </c>
      <c r="R33" s="160" t="str">
        <f t="shared" si="15"/>
        <v/>
      </c>
    </row>
    <row r="34" spans="2:21" x14ac:dyDescent="0.3">
      <c r="B34" s="36" t="s">
        <v>247</v>
      </c>
      <c r="C34" s="48"/>
      <c r="D34" s="104">
        <f>IFERROR(D9-D26,"")</f>
        <v>-276553.49640544795</v>
      </c>
      <c r="E34" s="104">
        <f t="shared" ref="E34:R34" si="16">IFERROR(E9-E26,"")</f>
        <v>-69922.795045447943</v>
      </c>
      <c r="F34" s="104">
        <f t="shared" si="16"/>
        <v>197538.59326935129</v>
      </c>
      <c r="G34" s="104">
        <f t="shared" si="16"/>
        <v>200973.6578494733</v>
      </c>
      <c r="H34" s="104">
        <f t="shared" si="16"/>
        <v>204387.4673806472</v>
      </c>
      <c r="I34" s="104">
        <f t="shared" si="16"/>
        <v>207778.25978549826</v>
      </c>
      <c r="J34" s="104">
        <f t="shared" si="16"/>
        <v>211144.2178141441</v>
      </c>
      <c r="K34" s="104">
        <f t="shared" si="16"/>
        <v>214483.46764302201</v>
      </c>
      <c r="L34" s="104">
        <f t="shared" si="16"/>
        <v>217794.07744122756</v>
      </c>
      <c r="M34" s="104">
        <f t="shared" si="16"/>
        <v>221074.05590367009</v>
      </c>
      <c r="N34" s="104" t="str">
        <f t="shared" si="16"/>
        <v/>
      </c>
      <c r="O34" s="104" t="str">
        <f t="shared" si="16"/>
        <v/>
      </c>
      <c r="P34" s="104" t="str">
        <f t="shared" si="16"/>
        <v/>
      </c>
      <c r="Q34" s="104" t="str">
        <f t="shared" si="16"/>
        <v/>
      </c>
      <c r="R34" s="104" t="str">
        <f t="shared" si="16"/>
        <v/>
      </c>
    </row>
    <row r="35" spans="2:21" x14ac:dyDescent="0.3">
      <c r="B35" s="36" t="s">
        <v>34</v>
      </c>
      <c r="C35" s="48"/>
      <c r="D35" s="102">
        <f>IF(D34="","",D34/(-D68))</f>
        <v>-0.10407997230293943</v>
      </c>
      <c r="E35" s="102">
        <f t="shared" ref="E35:R35" si="17">IF(E34="","",E34/(-E68))</f>
        <v>-2.6315207242959191E-2</v>
      </c>
      <c r="F35" s="102">
        <f t="shared" si="17"/>
        <v>7.4342980954735391E-2</v>
      </c>
      <c r="G35" s="102">
        <f t="shared" si="17"/>
        <v>7.5635755882569808E-2</v>
      </c>
      <c r="H35" s="102">
        <f t="shared" si="17"/>
        <v>7.6920531544675999E-2</v>
      </c>
      <c r="I35" s="102">
        <f t="shared" si="17"/>
        <v>7.8196644789198202E-2</v>
      </c>
      <c r="J35" s="102">
        <f t="shared" si="17"/>
        <v>7.9463411700294154E-2</v>
      </c>
      <c r="K35" s="102">
        <f t="shared" si="17"/>
        <v>8.0720127070808487E-2</v>
      </c>
      <c r="L35" s="102">
        <f t="shared" si="17"/>
        <v>8.1966063862719124E-2</v>
      </c>
      <c r="M35" s="102">
        <f t="shared" si="17"/>
        <v>8.3200472655095295E-2</v>
      </c>
      <c r="N35" s="102" t="str">
        <f t="shared" si="17"/>
        <v/>
      </c>
      <c r="O35" s="102" t="str">
        <f t="shared" si="17"/>
        <v/>
      </c>
      <c r="P35" s="102" t="str">
        <f t="shared" si="17"/>
        <v/>
      </c>
      <c r="Q35" s="102" t="str">
        <f t="shared" si="17"/>
        <v/>
      </c>
      <c r="R35" s="102" t="str">
        <f t="shared" si="17"/>
        <v/>
      </c>
    </row>
    <row r="36" spans="2:21" x14ac:dyDescent="0.3">
      <c r="B36" s="47" t="s">
        <v>33</v>
      </c>
      <c r="C36" s="48"/>
      <c r="D36" s="102">
        <f>IF(D35="","",AVERAGE($D$35:D35))</f>
        <v>-0.10407997230293943</v>
      </c>
      <c r="E36" s="102">
        <f>IF(E35="","",AVERAGE($D$35:E35))</f>
        <v>-6.5197589772949316E-2</v>
      </c>
      <c r="F36" s="102">
        <f>IF(F35="","",AVERAGE($D$35:F35))</f>
        <v>-1.8684066197054414E-2</v>
      </c>
      <c r="G36" s="102">
        <f>IF(G35="","",AVERAGE($D$35:G35))</f>
        <v>4.8958893228516417E-3</v>
      </c>
      <c r="H36" s="102">
        <f>IF(H35="","",AVERAGE($D$35:H35))</f>
        <v>1.9300817767216514E-2</v>
      </c>
      <c r="I36" s="102">
        <f>IF(I35="","",AVERAGE($D$35:I35))</f>
        <v>2.9116788937546795E-2</v>
      </c>
      <c r="J36" s="102">
        <f>IF(J35="","",AVERAGE($D$35:J35))</f>
        <v>3.6309163617939275E-2</v>
      </c>
      <c r="K36" s="102">
        <f>IF(K35="","",AVERAGE($D$35:K35))</f>
        <v>4.1860534049547926E-2</v>
      </c>
      <c r="L36" s="102">
        <f>IF(L35="","",AVERAGE($D$35:L35))</f>
        <v>4.6316704028789166E-2</v>
      </c>
      <c r="M36" s="102">
        <f>IF(M35="","",AVERAGE($D$35:M35))</f>
        <v>5.0005080891419786E-2</v>
      </c>
      <c r="N36" s="102" t="str">
        <f>IF(N35="","",AVERAGE($D$35:N35))</f>
        <v/>
      </c>
      <c r="O36" s="102" t="str">
        <f>IF(O35="","",AVERAGE($D$35:O35))</f>
        <v/>
      </c>
      <c r="P36" s="102" t="str">
        <f>IF(P35="","",AVERAGE($D$35:P35))</f>
        <v/>
      </c>
      <c r="Q36" s="102" t="str">
        <f>IF(Q35="","",AVERAGE($D$35:Q35))</f>
        <v/>
      </c>
      <c r="R36" s="102" t="str">
        <f>IF(R35="","",AVERAGE($D$35:R35))</f>
        <v/>
      </c>
    </row>
    <row r="37" spans="2:21" collapsed="1" x14ac:dyDescent="0.3">
      <c r="B37" s="36"/>
      <c r="C37" s="50"/>
      <c r="D37" s="160"/>
      <c r="E37" s="160"/>
      <c r="F37" s="160"/>
      <c r="G37" s="160"/>
      <c r="H37" s="160"/>
      <c r="I37" s="160"/>
      <c r="J37" s="160"/>
      <c r="K37" s="160"/>
      <c r="L37" s="160"/>
      <c r="M37" s="160"/>
      <c r="N37" s="160"/>
      <c r="O37" s="160" t="str">
        <f t="shared" ref="O37:R37" si="18">O39</f>
        <v/>
      </c>
      <c r="P37" s="160" t="str">
        <f t="shared" si="18"/>
        <v/>
      </c>
      <c r="Q37" s="160" t="str">
        <f t="shared" si="18"/>
        <v/>
      </c>
      <c r="R37" s="160" t="str">
        <f t="shared" si="18"/>
        <v/>
      </c>
    </row>
    <row r="38" spans="2:21" x14ac:dyDescent="0.3">
      <c r="B38" s="36" t="s">
        <v>35</v>
      </c>
      <c r="C38" s="48"/>
      <c r="D38" s="102">
        <f ca="1">D67</f>
        <v>0.11711229636127496</v>
      </c>
      <c r="E38" s="102">
        <f t="shared" ref="E38:R38" ca="1" si="19">E67</f>
        <v>0.22522181138782948</v>
      </c>
      <c r="F38" s="102">
        <f t="shared" ca="1" si="19"/>
        <v>0.17436362437168729</v>
      </c>
      <c r="G38" s="102">
        <f t="shared" ca="1" si="19"/>
        <v>0.15076410523600181</v>
      </c>
      <c r="H38" s="102">
        <f t="shared" ca="1" si="19"/>
        <v>0.13699265659488247</v>
      </c>
      <c r="I38" s="102">
        <f t="shared" ca="1" si="19"/>
        <v>0.12786839798508409</v>
      </c>
      <c r="J38" s="102">
        <f t="shared" ca="1" si="19"/>
        <v>0.12131219081931777</v>
      </c>
      <c r="K38" s="102">
        <f t="shared" ca="1" si="19"/>
        <v>0.11632809273447164</v>
      </c>
      <c r="L38" s="102">
        <f t="shared" ca="1" si="19"/>
        <v>0.11237913597391325</v>
      </c>
      <c r="M38" s="102">
        <f t="shared" ca="1" si="19"/>
        <v>0.10915007624475148</v>
      </c>
      <c r="N38" s="102" t="str">
        <f t="shared" si="19"/>
        <v/>
      </c>
      <c r="O38" s="102" t="str">
        <f t="shared" si="19"/>
        <v/>
      </c>
      <c r="P38" s="102" t="str">
        <f t="shared" si="19"/>
        <v/>
      </c>
      <c r="Q38" s="102" t="str">
        <f t="shared" si="19"/>
        <v/>
      </c>
      <c r="R38" s="102" t="str">
        <f t="shared" si="19"/>
        <v/>
      </c>
    </row>
    <row r="39" spans="2:21" x14ac:dyDescent="0.3">
      <c r="B39" s="36" t="s">
        <v>37</v>
      </c>
      <c r="C39" s="48"/>
      <c r="D39" s="106">
        <f ca="1">IF(D46="","",SUMIF(D68:D83,"&gt;0")/-SUMIF(D68:D83,"&lt;0"))</f>
        <v>1.1171122963612747</v>
      </c>
      <c r="E39" s="106">
        <f t="shared" ref="E39:R39" ca="1" si="20">IF(E46="","",SUMIF(E68:E83,"&gt;0")/-SUMIF(E68:E83,"&lt;0"))</f>
        <v>1.4751554055432086</v>
      </c>
      <c r="F39" s="106">
        <f t="shared" ca="1" si="20"/>
        <v>1.5870940293236298</v>
      </c>
      <c r="G39" s="106">
        <f t="shared" ca="1" si="20"/>
        <v>1.7125936050477655</v>
      </c>
      <c r="H39" s="106">
        <f t="shared" ca="1" si="20"/>
        <v>1.8406349933043136</v>
      </c>
      <c r="I39" s="106">
        <f t="shared" ca="1" si="20"/>
        <v>1.9712620686169959</v>
      </c>
      <c r="J39" s="106">
        <f t="shared" ca="1" si="20"/>
        <v>2.1045203443593303</v>
      </c>
      <c r="K39" s="106">
        <f t="shared" ca="1" si="20"/>
        <v>2.2404570543131523</v>
      </c>
      <c r="L39" s="106">
        <f t="shared" ca="1" si="20"/>
        <v>2.3791212382076194</v>
      </c>
      <c r="M39" s="106">
        <f t="shared" ca="1" si="20"/>
        <v>2.5205638314235852</v>
      </c>
      <c r="N39" s="106" t="str">
        <f t="shared" si="20"/>
        <v/>
      </c>
      <c r="O39" s="106" t="str">
        <f t="shared" si="20"/>
        <v/>
      </c>
      <c r="P39" s="106" t="str">
        <f t="shared" si="20"/>
        <v/>
      </c>
      <c r="Q39" s="106" t="str">
        <f t="shared" si="20"/>
        <v/>
      </c>
      <c r="R39" s="106" t="str">
        <f t="shared" si="20"/>
        <v/>
      </c>
    </row>
    <row r="40" spans="2:21" x14ac:dyDescent="0.3">
      <c r="B40" s="36"/>
      <c r="C40" s="36"/>
      <c r="D40" s="88"/>
      <c r="E40" s="88"/>
      <c r="F40" s="88"/>
      <c r="G40" s="88"/>
      <c r="H40" s="88"/>
      <c r="I40" s="88"/>
      <c r="J40" s="88"/>
      <c r="K40" s="88"/>
      <c r="L40" s="88"/>
      <c r="M40" s="88"/>
      <c r="N40" s="88"/>
      <c r="O40" s="88"/>
      <c r="P40" s="88"/>
      <c r="Q40" s="88"/>
      <c r="R40" s="88"/>
    </row>
    <row r="41" spans="2:21" x14ac:dyDescent="0.3">
      <c r="B41" s="36" t="s">
        <v>89</v>
      </c>
      <c r="C41" s="36"/>
      <c r="D41" s="105">
        <f t="shared" ref="D41:R41" si="21">IF(D3=Analysis_Period,D31+D34,D34)</f>
        <v>-276553.49640544795</v>
      </c>
      <c r="E41" s="105">
        <f t="shared" si="21"/>
        <v>-69922.795045447943</v>
      </c>
      <c r="F41" s="105">
        <f t="shared" si="21"/>
        <v>197538.59326935129</v>
      </c>
      <c r="G41" s="105">
        <f t="shared" si="21"/>
        <v>200973.6578494733</v>
      </c>
      <c r="H41" s="105">
        <f t="shared" si="21"/>
        <v>204387.4673806472</v>
      </c>
      <c r="I41" s="105">
        <f t="shared" si="21"/>
        <v>207778.25978549826</v>
      </c>
      <c r="J41" s="105">
        <f t="shared" si="21"/>
        <v>211144.2178141441</v>
      </c>
      <c r="K41" s="105">
        <f t="shared" si="21"/>
        <v>214483.46764302201</v>
      </c>
      <c r="L41" s="105">
        <f t="shared" si="21"/>
        <v>217794.07744122756</v>
      </c>
      <c r="M41" s="105">
        <f t="shared" si="21"/>
        <v>6116669.0380649352</v>
      </c>
      <c r="N41" s="105" t="str">
        <f t="shared" si="21"/>
        <v/>
      </c>
      <c r="O41" s="105" t="str">
        <f t="shared" si="21"/>
        <v/>
      </c>
      <c r="P41" s="105" t="str">
        <f t="shared" si="21"/>
        <v/>
      </c>
      <c r="Q41" s="105" t="str">
        <f t="shared" si="21"/>
        <v/>
      </c>
      <c r="R41" s="105" t="str">
        <f t="shared" si="21"/>
        <v/>
      </c>
      <c r="S41" s="55"/>
    </row>
    <row r="42" spans="2:21" x14ac:dyDescent="0.3"/>
    <row r="43" spans="2:21" x14ac:dyDescent="0.3"/>
    <row r="44" spans="2:21" x14ac:dyDescent="0.3">
      <c r="B44" s="56" t="s">
        <v>49</v>
      </c>
    </row>
    <row r="45" spans="2:21" outlineLevel="1" x14ac:dyDescent="0.3">
      <c r="B45" s="54" t="s">
        <v>45</v>
      </c>
    </row>
    <row r="46" spans="2:21" outlineLevel="1" x14ac:dyDescent="0.3">
      <c r="B46" s="57" t="s">
        <v>46</v>
      </c>
      <c r="C46" s="40"/>
      <c r="D46" s="161">
        <f>IF(D12="","",D3)</f>
        <v>1</v>
      </c>
      <c r="E46" s="161">
        <f t="shared" ref="E46:R46" si="22">IF(E12="","",E3)</f>
        <v>2</v>
      </c>
      <c r="F46" s="161">
        <f t="shared" si="22"/>
        <v>3</v>
      </c>
      <c r="G46" s="161">
        <f t="shared" si="22"/>
        <v>4</v>
      </c>
      <c r="H46" s="161">
        <f t="shared" si="22"/>
        <v>5</v>
      </c>
      <c r="I46" s="161">
        <f t="shared" si="22"/>
        <v>6</v>
      </c>
      <c r="J46" s="161">
        <f t="shared" si="22"/>
        <v>7</v>
      </c>
      <c r="K46" s="161">
        <f t="shared" si="22"/>
        <v>8</v>
      </c>
      <c r="L46" s="161">
        <f t="shared" si="22"/>
        <v>9</v>
      </c>
      <c r="M46" s="161">
        <f t="shared" si="22"/>
        <v>10</v>
      </c>
      <c r="N46" s="161" t="str">
        <f t="shared" si="22"/>
        <v/>
      </c>
      <c r="O46" s="161" t="str">
        <f t="shared" si="22"/>
        <v/>
      </c>
      <c r="P46" s="161" t="str">
        <f t="shared" si="22"/>
        <v/>
      </c>
      <c r="Q46" s="161" t="str">
        <f t="shared" si="22"/>
        <v/>
      </c>
      <c r="R46" s="161" t="str">
        <f t="shared" si="22"/>
        <v/>
      </c>
      <c r="S46" s="40"/>
      <c r="T46" s="40"/>
      <c r="U46" s="40"/>
    </row>
    <row r="47" spans="2:21" outlineLevel="1" x14ac:dyDescent="0.3">
      <c r="B47" s="57" t="s">
        <v>47</v>
      </c>
      <c r="C47" s="40"/>
      <c r="D47" s="162">
        <f ca="1">IF(D46="","",IRR(D48:D63))</f>
        <v>6.9193149406151511E-2</v>
      </c>
      <c r="E47" s="162">
        <f t="shared" ref="E47:R47" ca="1" si="23">IF(E46="","",IRR(E48:E63))</f>
        <v>0.11473906547163204</v>
      </c>
      <c r="F47" s="162">
        <f t="shared" ca="1" si="23"/>
        <v>9.7393157598193669E-2</v>
      </c>
      <c r="G47" s="162">
        <f t="shared" ca="1" si="23"/>
        <v>8.901421537616816E-2</v>
      </c>
      <c r="H47" s="162">
        <f t="shared" ca="1" si="23"/>
        <v>8.4063449594216744E-2</v>
      </c>
      <c r="I47" s="162">
        <f t="shared" ca="1" si="23"/>
        <v>8.0784405504510826E-2</v>
      </c>
      <c r="J47" s="162">
        <f t="shared" ca="1" si="23"/>
        <v>7.8445543091817616E-2</v>
      </c>
      <c r="K47" s="162">
        <f t="shared" ca="1" si="23"/>
        <v>7.6687914663289947E-2</v>
      </c>
      <c r="L47" s="162">
        <f t="shared" ca="1" si="23"/>
        <v>7.5314764151588109E-2</v>
      </c>
      <c r="M47" s="162">
        <f t="shared" ca="1" si="23"/>
        <v>7.4209223862406581E-2</v>
      </c>
      <c r="N47" s="162" t="str">
        <f t="shared" si="23"/>
        <v/>
      </c>
      <c r="O47" s="162" t="str">
        <f t="shared" si="23"/>
        <v/>
      </c>
      <c r="P47" s="162" t="str">
        <f t="shared" si="23"/>
        <v/>
      </c>
      <c r="Q47" s="162" t="str">
        <f t="shared" si="23"/>
        <v/>
      </c>
      <c r="R47" s="162" t="str">
        <f t="shared" si="23"/>
        <v/>
      </c>
      <c r="S47" s="40"/>
      <c r="T47" s="40"/>
      <c r="U47" s="40"/>
    </row>
    <row r="48" spans="2:21" outlineLevel="1" x14ac:dyDescent="0.3">
      <c r="B48" s="57">
        <v>0</v>
      </c>
      <c r="D48" s="285">
        <f t="shared" ref="D48:R48" si="24">IF(D46="","",-(Basis))</f>
        <v>-7369625</v>
      </c>
      <c r="E48" s="285">
        <f t="shared" si="24"/>
        <v>-7369625</v>
      </c>
      <c r="F48" s="285">
        <f t="shared" si="24"/>
        <v>-7369625</v>
      </c>
      <c r="G48" s="285">
        <f t="shared" si="24"/>
        <v>-7369625</v>
      </c>
      <c r="H48" s="285">
        <f t="shared" si="24"/>
        <v>-7369625</v>
      </c>
      <c r="I48" s="285">
        <f t="shared" si="24"/>
        <v>-7369625</v>
      </c>
      <c r="J48" s="285">
        <f t="shared" si="24"/>
        <v>-7369625</v>
      </c>
      <c r="K48" s="285">
        <f t="shared" si="24"/>
        <v>-7369625</v>
      </c>
      <c r="L48" s="285">
        <f t="shared" si="24"/>
        <v>-7369625</v>
      </c>
      <c r="M48" s="285">
        <f t="shared" si="24"/>
        <v>-7369625</v>
      </c>
      <c r="N48" s="163" t="str">
        <f t="shared" si="24"/>
        <v/>
      </c>
      <c r="O48" s="163" t="str">
        <f t="shared" si="24"/>
        <v/>
      </c>
      <c r="P48" s="163" t="str">
        <f t="shared" si="24"/>
        <v/>
      </c>
      <c r="Q48" s="163" t="str">
        <f t="shared" si="24"/>
        <v/>
      </c>
      <c r="R48" s="163" t="str">
        <f t="shared" si="24"/>
        <v/>
      </c>
    </row>
    <row r="49" spans="2:18" outlineLevel="1" x14ac:dyDescent="0.3">
      <c r="B49" s="37">
        <f>B48+1</f>
        <v>1</v>
      </c>
      <c r="D49" s="167">
        <f t="shared" ref="D49:D63" ca="1" si="25">IF($B49&gt;D$46,"",IF(D$46="","",IF(D$46=$B49,OFFSET($D$15,0,$B48)+OFFSET($D$12,0,$B48),OFFSET($D$15,0,$B48))))</f>
        <v>7879552.563692309</v>
      </c>
      <c r="E49" s="167">
        <f t="shared" ref="E49:R49" ca="1" si="26">IF($B49&gt;E$46,"",IF(E$46="","",IF(E$46=$B49,OFFSET($D$15,0,$B48)+OFFSET($D$12,0,$B48),OFFSET($D$15,0,$B48))))</f>
        <v>1638.5120000001043</v>
      </c>
      <c r="F49" s="167">
        <f t="shared" ca="1" si="26"/>
        <v>1638.5120000001043</v>
      </c>
      <c r="G49" s="167">
        <f t="shared" ca="1" si="26"/>
        <v>1638.5120000001043</v>
      </c>
      <c r="H49" s="167">
        <f t="shared" ca="1" si="26"/>
        <v>1638.5120000001043</v>
      </c>
      <c r="I49" s="167">
        <f t="shared" ca="1" si="26"/>
        <v>1638.5120000001043</v>
      </c>
      <c r="J49" s="167">
        <f t="shared" ca="1" si="26"/>
        <v>1638.5120000001043</v>
      </c>
      <c r="K49" s="167">
        <f t="shared" ca="1" si="26"/>
        <v>1638.5120000001043</v>
      </c>
      <c r="L49" s="167">
        <f t="shared" ca="1" si="26"/>
        <v>1638.5120000001043</v>
      </c>
      <c r="M49" s="167">
        <f t="shared" ca="1" si="26"/>
        <v>1638.5120000001043</v>
      </c>
      <c r="N49" s="164" t="str">
        <f t="shared" ca="1" si="26"/>
        <v/>
      </c>
      <c r="O49" s="164" t="str">
        <f t="shared" ca="1" si="26"/>
        <v/>
      </c>
      <c r="P49" s="164" t="str">
        <f t="shared" ca="1" si="26"/>
        <v/>
      </c>
      <c r="Q49" s="164" t="str">
        <f t="shared" ca="1" si="26"/>
        <v/>
      </c>
      <c r="R49" s="164" t="str">
        <f t="shared" ca="1" si="26"/>
        <v/>
      </c>
    </row>
    <row r="50" spans="2:18" outlineLevel="1" x14ac:dyDescent="0.3">
      <c r="B50" s="37">
        <f t="shared" ref="B50:B63" si="27">B49+1</f>
        <v>2</v>
      </c>
      <c r="D50" s="167" t="str">
        <f t="shared" ca="1" si="25"/>
        <v/>
      </c>
      <c r="E50" s="167">
        <f t="shared" ref="E50:E63" ca="1" si="28">IF($B50&gt;E$46,"",IF(E$46="","",IF(E$46=$B50,OFFSET($D$15,0,$B49)+OFFSET($D$12,0,$B49),OFFSET($D$15,0,$B49))))</f>
        <v>9155987.7622030657</v>
      </c>
      <c r="F50" s="167">
        <f t="shared" ref="F50:F63" ca="1" si="29">IF($B50&gt;F$46,"",IF(F$46="","",IF(F$46=$B50,OFFSET($D$15,0,$B49)+OFFSET($D$12,0,$B49),OFFSET($D$15,0,$B49))))</f>
        <v>208269.21336000011</v>
      </c>
      <c r="G50" s="167">
        <f t="shared" ref="G50:G63" ca="1" si="30">IF($B50&gt;G$46,"",IF(G$46="","",IF(G$46=$B50,OFFSET($D$15,0,$B49)+OFFSET($D$12,0,$B49),OFFSET($D$15,0,$B49))))</f>
        <v>208269.21336000011</v>
      </c>
      <c r="H50" s="167">
        <f t="shared" ref="H50:H63" ca="1" si="31">IF($B50&gt;H$46,"",IF(H$46="","",IF(H$46=$B50,OFFSET($D$15,0,$B49)+OFFSET($D$12,0,$B49),OFFSET($D$15,0,$B49))))</f>
        <v>208269.21336000011</v>
      </c>
      <c r="I50" s="167">
        <f t="shared" ref="I50:I63" ca="1" si="32">IF($B50&gt;I$46,"",IF(I$46="","",IF(I$46=$B50,OFFSET($D$15,0,$B49)+OFFSET($D$12,0,$B49),OFFSET($D$15,0,$B49))))</f>
        <v>208269.21336000011</v>
      </c>
      <c r="J50" s="167">
        <f t="shared" ref="J50:J63" ca="1" si="33">IF($B50&gt;J$46,"",IF(J$46="","",IF(J$46=$B50,OFFSET($D$15,0,$B49)+OFFSET($D$12,0,$B49),OFFSET($D$15,0,$B49))))</f>
        <v>208269.21336000011</v>
      </c>
      <c r="K50" s="167">
        <f t="shared" ref="K50:K63" ca="1" si="34">IF($B50&gt;K$46,"",IF(K$46="","",IF(K$46=$B50,OFFSET($D$15,0,$B49)+OFFSET($D$12,0,$B49),OFFSET($D$15,0,$B49))))</f>
        <v>208269.21336000011</v>
      </c>
      <c r="L50" s="167">
        <f t="shared" ref="L50:L63" ca="1" si="35">IF($B50&gt;L$46,"",IF(L$46="","",IF(L$46=$B50,OFFSET($D$15,0,$B49)+OFFSET($D$12,0,$B49),OFFSET($D$15,0,$B49))))</f>
        <v>208269.21336000011</v>
      </c>
      <c r="M50" s="167">
        <f t="shared" ref="M50:M63" ca="1" si="36">IF($B50&gt;M$46,"",IF(M$46="","",IF(M$46=$B50,OFFSET($D$15,0,$B49)+OFFSET($D$12,0,$B49),OFFSET($D$15,0,$B49))))</f>
        <v>208269.21336000011</v>
      </c>
      <c r="N50" s="164" t="str">
        <f t="shared" ref="N50:N63" ca="1" si="37">IF($B50&gt;N$46,"",IF(N$46="","",IF(N$46=$B50,OFFSET($D$15,0,$B49)+OFFSET($D$12,0,$B49),OFFSET($D$15,0,$B49))))</f>
        <v/>
      </c>
      <c r="O50" s="164" t="str">
        <f t="shared" ref="O50:O63" ca="1" si="38">IF($B50&gt;O$46,"",IF(O$46="","",IF(O$46=$B50,OFFSET($D$15,0,$B49)+OFFSET($D$12,0,$B49),OFFSET($D$15,0,$B49))))</f>
        <v/>
      </c>
      <c r="P50" s="164" t="str">
        <f t="shared" ref="P50:P63" ca="1" si="39">IF($B50&gt;P$46,"",IF(P$46="","",IF(P$46=$B50,OFFSET($D$15,0,$B49)+OFFSET($D$12,0,$B49),OFFSET($D$15,0,$B49))))</f>
        <v/>
      </c>
      <c r="Q50" s="164" t="str">
        <f t="shared" ref="Q50:Q63" ca="1" si="40">IF($B50&gt;Q$46,"",IF(Q$46="","",IF(Q$46=$B50,OFFSET($D$15,0,$B49)+OFFSET($D$12,0,$B49),OFFSET($D$15,0,$B49))))</f>
        <v/>
      </c>
      <c r="R50" s="164" t="str">
        <f t="shared" ref="R50:R63" ca="1" si="41">IF($B50&gt;R$46,"",IF(R$46="","",IF(R$46=$B50,OFFSET($D$15,0,$B49)+OFFSET($D$12,0,$B49),OFFSET($D$15,0,$B49))))</f>
        <v/>
      </c>
    </row>
    <row r="51" spans="2:18" outlineLevel="1" x14ac:dyDescent="0.3">
      <c r="B51" s="37">
        <f t="shared" si="27"/>
        <v>3</v>
      </c>
      <c r="D51" s="167" t="str">
        <f t="shared" ca="1" si="25"/>
        <v/>
      </c>
      <c r="E51" s="167" t="str">
        <f t="shared" ca="1" si="28"/>
        <v/>
      </c>
      <c r="F51" s="167">
        <f t="shared" ca="1" si="29"/>
        <v>9508872.022212049</v>
      </c>
      <c r="G51" s="167">
        <f t="shared" ca="1" si="30"/>
        <v>475730.60167479934</v>
      </c>
      <c r="H51" s="167">
        <f t="shared" ca="1" si="31"/>
        <v>475730.60167479934</v>
      </c>
      <c r="I51" s="167">
        <f t="shared" ca="1" si="32"/>
        <v>475730.60167479934</v>
      </c>
      <c r="J51" s="167">
        <f t="shared" ca="1" si="33"/>
        <v>475730.60167479934</v>
      </c>
      <c r="K51" s="167">
        <f t="shared" ca="1" si="34"/>
        <v>475730.60167479934</v>
      </c>
      <c r="L51" s="167">
        <f t="shared" ca="1" si="35"/>
        <v>475730.60167479934</v>
      </c>
      <c r="M51" s="167">
        <f t="shared" ca="1" si="36"/>
        <v>475730.60167479934</v>
      </c>
      <c r="N51" s="164" t="str">
        <f t="shared" ca="1" si="37"/>
        <v/>
      </c>
      <c r="O51" s="164" t="str">
        <f t="shared" ca="1" si="38"/>
        <v/>
      </c>
      <c r="P51" s="164" t="str">
        <f t="shared" ca="1" si="39"/>
        <v/>
      </c>
      <c r="Q51" s="164" t="str">
        <f t="shared" ca="1" si="40"/>
        <v/>
      </c>
      <c r="R51" s="164" t="str">
        <f t="shared" ca="1" si="41"/>
        <v/>
      </c>
    </row>
    <row r="52" spans="2:18" outlineLevel="1" x14ac:dyDescent="0.3">
      <c r="B52" s="37">
        <f t="shared" si="27"/>
        <v>4</v>
      </c>
      <c r="D52" s="167" t="str">
        <f t="shared" ca="1" si="25"/>
        <v/>
      </c>
      <c r="E52" s="167" t="str">
        <f t="shared" ca="1" si="28"/>
        <v/>
      </c>
      <c r="F52" s="167" t="str">
        <f t="shared" ca="1" si="29"/>
        <v/>
      </c>
      <c r="G52" s="167">
        <f t="shared" ca="1" si="30"/>
        <v>9598054.4722194634</v>
      </c>
      <c r="H52" s="167">
        <f t="shared" ca="1" si="31"/>
        <v>479165.66625492135</v>
      </c>
      <c r="I52" s="167">
        <f t="shared" ca="1" si="32"/>
        <v>479165.66625492135</v>
      </c>
      <c r="J52" s="167">
        <f t="shared" ca="1" si="33"/>
        <v>479165.66625492135</v>
      </c>
      <c r="K52" s="167">
        <f t="shared" ca="1" si="34"/>
        <v>479165.66625492135</v>
      </c>
      <c r="L52" s="167">
        <f t="shared" ca="1" si="35"/>
        <v>479165.66625492135</v>
      </c>
      <c r="M52" s="167">
        <f t="shared" ca="1" si="36"/>
        <v>479165.66625492135</v>
      </c>
      <c r="N52" s="164" t="str">
        <f t="shared" ca="1" si="37"/>
        <v/>
      </c>
      <c r="O52" s="164" t="str">
        <f t="shared" ca="1" si="38"/>
        <v/>
      </c>
      <c r="P52" s="164" t="str">
        <f t="shared" ca="1" si="39"/>
        <v/>
      </c>
      <c r="Q52" s="164" t="str">
        <f t="shared" ca="1" si="40"/>
        <v/>
      </c>
      <c r="R52" s="164" t="str">
        <f t="shared" ca="1" si="41"/>
        <v/>
      </c>
    </row>
    <row r="53" spans="2:18" outlineLevel="1" x14ac:dyDescent="0.3">
      <c r="B53" s="37">
        <f t="shared" si="27"/>
        <v>5</v>
      </c>
      <c r="D53" s="167" t="str">
        <f t="shared" ca="1" si="25"/>
        <v/>
      </c>
      <c r="E53" s="167" t="str">
        <f t="shared" ca="1" si="28"/>
        <v/>
      </c>
      <c r="F53" s="167" t="str">
        <f t="shared" ca="1" si="29"/>
        <v/>
      </c>
      <c r="G53" s="167" t="str">
        <f t="shared" ca="1" si="30"/>
        <v/>
      </c>
      <c r="H53" s="167">
        <f t="shared" ca="1" si="31"/>
        <v>9687526.102318069</v>
      </c>
      <c r="I53" s="167">
        <f t="shared" ca="1" si="32"/>
        <v>482579.47578609525</v>
      </c>
      <c r="J53" s="167">
        <f t="shared" ca="1" si="33"/>
        <v>482579.47578609525</v>
      </c>
      <c r="K53" s="167">
        <f t="shared" ca="1" si="34"/>
        <v>482579.47578609525</v>
      </c>
      <c r="L53" s="167">
        <f t="shared" ca="1" si="35"/>
        <v>482579.47578609525</v>
      </c>
      <c r="M53" s="167">
        <f t="shared" ca="1" si="36"/>
        <v>482579.47578609525</v>
      </c>
      <c r="N53" s="164" t="str">
        <f t="shared" ca="1" si="37"/>
        <v/>
      </c>
      <c r="O53" s="164" t="str">
        <f t="shared" ca="1" si="38"/>
        <v/>
      </c>
      <c r="P53" s="164" t="str">
        <f t="shared" ca="1" si="39"/>
        <v/>
      </c>
      <c r="Q53" s="164" t="str">
        <f t="shared" ca="1" si="40"/>
        <v/>
      </c>
      <c r="R53" s="164" t="str">
        <f t="shared" ca="1" si="41"/>
        <v/>
      </c>
    </row>
    <row r="54" spans="2:18" outlineLevel="1" x14ac:dyDescent="0.3">
      <c r="B54" s="37">
        <f t="shared" si="27"/>
        <v>6</v>
      </c>
      <c r="D54" s="167" t="str">
        <f t="shared" ca="1" si="25"/>
        <v/>
      </c>
      <c r="E54" s="167" t="str">
        <f t="shared" ca="1" si="28"/>
        <v/>
      </c>
      <c r="F54" s="167" t="str">
        <f t="shared" ca="1" si="29"/>
        <v/>
      </c>
      <c r="G54" s="167" t="str">
        <f t="shared" ca="1" si="30"/>
        <v/>
      </c>
      <c r="H54" s="167" t="str">
        <f t="shared" ca="1" si="31"/>
        <v/>
      </c>
      <c r="I54" s="167">
        <f t="shared" ca="1" si="32"/>
        <v>9777270.4836355131</v>
      </c>
      <c r="J54" s="167">
        <f t="shared" ca="1" si="33"/>
        <v>485970.26819094631</v>
      </c>
      <c r="K54" s="167">
        <f t="shared" ca="1" si="34"/>
        <v>485970.26819094631</v>
      </c>
      <c r="L54" s="167">
        <f t="shared" ca="1" si="35"/>
        <v>485970.26819094631</v>
      </c>
      <c r="M54" s="167">
        <f t="shared" ca="1" si="36"/>
        <v>485970.26819094631</v>
      </c>
      <c r="N54" s="164" t="str">
        <f t="shared" ca="1" si="37"/>
        <v/>
      </c>
      <c r="O54" s="164" t="str">
        <f t="shared" ca="1" si="38"/>
        <v/>
      </c>
      <c r="P54" s="164" t="str">
        <f t="shared" ca="1" si="39"/>
        <v/>
      </c>
      <c r="Q54" s="164" t="str">
        <f t="shared" ca="1" si="40"/>
        <v/>
      </c>
      <c r="R54" s="164" t="str">
        <f t="shared" ca="1" si="41"/>
        <v/>
      </c>
    </row>
    <row r="55" spans="2:18" outlineLevel="1" x14ac:dyDescent="0.3">
      <c r="B55" s="37">
        <f t="shared" si="27"/>
        <v>7</v>
      </c>
      <c r="D55" s="167" t="str">
        <f t="shared" ca="1" si="25"/>
        <v/>
      </c>
      <c r="E55" s="167" t="str">
        <f t="shared" ca="1" si="28"/>
        <v/>
      </c>
      <c r="F55" s="167" t="str">
        <f t="shared" ca="1" si="29"/>
        <v/>
      </c>
      <c r="G55" s="167" t="str">
        <f t="shared" ca="1" si="30"/>
        <v/>
      </c>
      <c r="H55" s="167" t="str">
        <f t="shared" ca="1" si="31"/>
        <v/>
      </c>
      <c r="I55" s="167" t="str">
        <f t="shared" ca="1" si="32"/>
        <v/>
      </c>
      <c r="J55" s="167">
        <f t="shared" ca="1" si="33"/>
        <v>9867270.5275805276</v>
      </c>
      <c r="K55" s="167">
        <f t="shared" ca="1" si="34"/>
        <v>489336.22621959215</v>
      </c>
      <c r="L55" s="167">
        <f t="shared" ca="1" si="35"/>
        <v>489336.22621959215</v>
      </c>
      <c r="M55" s="167">
        <f t="shared" ca="1" si="36"/>
        <v>489336.22621959215</v>
      </c>
      <c r="N55" s="164" t="str">
        <f t="shared" ca="1" si="37"/>
        <v/>
      </c>
      <c r="O55" s="164" t="str">
        <f t="shared" ca="1" si="38"/>
        <v/>
      </c>
      <c r="P55" s="164" t="str">
        <f t="shared" ca="1" si="39"/>
        <v/>
      </c>
      <c r="Q55" s="164" t="str">
        <f t="shared" ca="1" si="40"/>
        <v/>
      </c>
      <c r="R55" s="164" t="str">
        <f t="shared" ca="1" si="41"/>
        <v/>
      </c>
    </row>
    <row r="56" spans="2:18" outlineLevel="1" x14ac:dyDescent="0.3">
      <c r="B56" s="37">
        <f t="shared" si="27"/>
        <v>8</v>
      </c>
      <c r="D56" s="167" t="str">
        <f t="shared" ca="1" si="25"/>
        <v/>
      </c>
      <c r="E56" s="167" t="str">
        <f t="shared" ca="1" si="28"/>
        <v/>
      </c>
      <c r="F56" s="167" t="str">
        <f t="shared" ca="1" si="29"/>
        <v/>
      </c>
      <c r="G56" s="167" t="str">
        <f t="shared" ca="1" si="30"/>
        <v/>
      </c>
      <c r="H56" s="167" t="str">
        <f t="shared" ca="1" si="31"/>
        <v/>
      </c>
      <c r="I56" s="167" t="str">
        <f t="shared" ca="1" si="32"/>
        <v/>
      </c>
      <c r="J56" s="167" t="str">
        <f t="shared" ca="1" si="33"/>
        <v/>
      </c>
      <c r="K56" s="167">
        <f t="shared" ca="1" si="34"/>
        <v>9957508.4677017946</v>
      </c>
      <c r="L56" s="167">
        <f t="shared" ca="1" si="35"/>
        <v>492675.47604847007</v>
      </c>
      <c r="M56" s="167">
        <f t="shared" ca="1" si="36"/>
        <v>492675.47604847007</v>
      </c>
      <c r="N56" s="164" t="str">
        <f t="shared" ca="1" si="37"/>
        <v/>
      </c>
      <c r="O56" s="164" t="str">
        <f t="shared" ca="1" si="38"/>
        <v/>
      </c>
      <c r="P56" s="164" t="str">
        <f t="shared" ca="1" si="39"/>
        <v/>
      </c>
      <c r="Q56" s="164" t="str">
        <f t="shared" ca="1" si="40"/>
        <v/>
      </c>
      <c r="R56" s="164" t="str">
        <f t="shared" ca="1" si="41"/>
        <v/>
      </c>
    </row>
    <row r="57" spans="2:18" outlineLevel="1" x14ac:dyDescent="0.3">
      <c r="B57" s="37">
        <f t="shared" si="27"/>
        <v>9</v>
      </c>
      <c r="D57" s="167" t="str">
        <f t="shared" ca="1" si="25"/>
        <v/>
      </c>
      <c r="E57" s="167" t="str">
        <f t="shared" ca="1" si="28"/>
        <v/>
      </c>
      <c r="F57" s="167" t="str">
        <f t="shared" ca="1" si="29"/>
        <v/>
      </c>
      <c r="G57" s="167" t="str">
        <f t="shared" ca="1" si="30"/>
        <v/>
      </c>
      <c r="H57" s="167" t="str">
        <f t="shared" ca="1" si="31"/>
        <v/>
      </c>
      <c r="I57" s="167" t="str">
        <f t="shared" ca="1" si="32"/>
        <v/>
      </c>
      <c r="J57" s="167" t="str">
        <f t="shared" ca="1" si="33"/>
        <v/>
      </c>
      <c r="K57" s="167" t="str">
        <f t="shared" ca="1" si="34"/>
        <v/>
      </c>
      <c r="L57" s="167">
        <f t="shared" ca="1" si="35"/>
        <v>10047965.841110129</v>
      </c>
      <c r="M57" s="167">
        <f t="shared" ca="1" si="36"/>
        <v>495986.08584667562</v>
      </c>
      <c r="N57" s="164" t="str">
        <f t="shared" ca="1" si="37"/>
        <v/>
      </c>
      <c r="O57" s="164" t="str">
        <f t="shared" ca="1" si="38"/>
        <v/>
      </c>
      <c r="P57" s="164" t="str">
        <f t="shared" ca="1" si="39"/>
        <v/>
      </c>
      <c r="Q57" s="164" t="str">
        <f t="shared" ca="1" si="40"/>
        <v/>
      </c>
      <c r="R57" s="164" t="str">
        <f t="shared" ca="1" si="41"/>
        <v/>
      </c>
    </row>
    <row r="58" spans="2:18" outlineLevel="1" x14ac:dyDescent="0.3">
      <c r="B58" s="37">
        <f t="shared" si="27"/>
        <v>10</v>
      </c>
      <c r="D58" s="167" t="str">
        <f t="shared" ca="1" si="25"/>
        <v/>
      </c>
      <c r="E58" s="167" t="str">
        <f t="shared" ca="1" si="28"/>
        <v/>
      </c>
      <c r="F58" s="167" t="str">
        <f t="shared" ca="1" si="29"/>
        <v/>
      </c>
      <c r="G58" s="167" t="str">
        <f t="shared" ca="1" si="30"/>
        <v/>
      </c>
      <c r="H58" s="167" t="str">
        <f t="shared" ca="1" si="31"/>
        <v/>
      </c>
      <c r="I58" s="167" t="str">
        <f t="shared" ca="1" si="32"/>
        <v/>
      </c>
      <c r="J58" s="167" t="str">
        <f t="shared" ca="1" si="33"/>
        <v/>
      </c>
      <c r="K58" s="167" t="str">
        <f t="shared" ca="1" si="34"/>
        <v/>
      </c>
      <c r="L58" s="167" t="str">
        <f t="shared" ca="1" si="35"/>
        <v/>
      </c>
      <c r="M58" s="167">
        <f ca="1">IF($B58&gt;M$46,"",IF(M$46="","",IF(M$46=$B58,OFFSET($D$15,0,$B57)+OFFSET($D$12,0,$B57),OFFSET($D$15,0,$B57))))</f>
        <v>10138623.469453961</v>
      </c>
      <c r="N58" s="164" t="str">
        <f t="shared" ca="1" si="37"/>
        <v/>
      </c>
      <c r="O58" s="164" t="str">
        <f t="shared" ca="1" si="38"/>
        <v/>
      </c>
      <c r="P58" s="164" t="str">
        <f t="shared" ca="1" si="39"/>
        <v/>
      </c>
      <c r="Q58" s="164" t="str">
        <f t="shared" ca="1" si="40"/>
        <v/>
      </c>
      <c r="R58" s="164" t="str">
        <f t="shared" ca="1" si="41"/>
        <v/>
      </c>
    </row>
    <row r="59" spans="2:18" outlineLevel="1" x14ac:dyDescent="0.3">
      <c r="B59" s="37">
        <f t="shared" si="27"/>
        <v>11</v>
      </c>
      <c r="D59" s="167" t="str">
        <f t="shared" ca="1" si="25"/>
        <v/>
      </c>
      <c r="E59" s="167" t="str">
        <f t="shared" ca="1" si="28"/>
        <v/>
      </c>
      <c r="F59" s="167" t="str">
        <f t="shared" ca="1" si="29"/>
        <v/>
      </c>
      <c r="G59" s="167" t="str">
        <f t="shared" ca="1" si="30"/>
        <v/>
      </c>
      <c r="H59" s="167" t="str">
        <f t="shared" ca="1" si="31"/>
        <v/>
      </c>
      <c r="I59" s="167" t="str">
        <f t="shared" ca="1" si="32"/>
        <v/>
      </c>
      <c r="J59" s="167" t="str">
        <f t="shared" ca="1" si="33"/>
        <v/>
      </c>
      <c r="K59" s="167" t="str">
        <f t="shared" ca="1" si="34"/>
        <v/>
      </c>
      <c r="L59" s="167" t="str">
        <f t="shared" ca="1" si="35"/>
        <v/>
      </c>
      <c r="M59" s="167" t="str">
        <f t="shared" ca="1" si="36"/>
        <v/>
      </c>
      <c r="N59" s="164" t="str">
        <f t="shared" ca="1" si="37"/>
        <v/>
      </c>
      <c r="O59" s="164" t="str">
        <f t="shared" ca="1" si="38"/>
        <v/>
      </c>
      <c r="P59" s="164" t="str">
        <f t="shared" ca="1" si="39"/>
        <v/>
      </c>
      <c r="Q59" s="164" t="str">
        <f t="shared" ca="1" si="40"/>
        <v/>
      </c>
      <c r="R59" s="164" t="str">
        <f t="shared" ca="1" si="41"/>
        <v/>
      </c>
    </row>
    <row r="60" spans="2:18" outlineLevel="1" x14ac:dyDescent="0.3">
      <c r="B60" s="37">
        <f t="shared" si="27"/>
        <v>12</v>
      </c>
      <c r="D60" s="167" t="str">
        <f t="shared" ca="1" si="25"/>
        <v/>
      </c>
      <c r="E60" s="167" t="str">
        <f t="shared" ca="1" si="28"/>
        <v/>
      </c>
      <c r="F60" s="167" t="str">
        <f t="shared" ca="1" si="29"/>
        <v/>
      </c>
      <c r="G60" s="167" t="str">
        <f t="shared" ca="1" si="30"/>
        <v/>
      </c>
      <c r="H60" s="167" t="str">
        <f t="shared" ca="1" si="31"/>
        <v/>
      </c>
      <c r="I60" s="167" t="str">
        <f t="shared" ca="1" si="32"/>
        <v/>
      </c>
      <c r="J60" s="167" t="str">
        <f t="shared" ca="1" si="33"/>
        <v/>
      </c>
      <c r="K60" s="167" t="str">
        <f t="shared" ca="1" si="34"/>
        <v/>
      </c>
      <c r="L60" s="167" t="str">
        <f t="shared" ca="1" si="35"/>
        <v/>
      </c>
      <c r="M60" s="167" t="str">
        <f t="shared" ca="1" si="36"/>
        <v/>
      </c>
      <c r="N60" s="164" t="str">
        <f t="shared" ca="1" si="37"/>
        <v/>
      </c>
      <c r="O60" s="164" t="str">
        <f t="shared" ca="1" si="38"/>
        <v/>
      </c>
      <c r="P60" s="164" t="str">
        <f t="shared" ca="1" si="39"/>
        <v/>
      </c>
      <c r="Q60" s="164" t="str">
        <f t="shared" ca="1" si="40"/>
        <v/>
      </c>
      <c r="R60" s="164" t="str">
        <f t="shared" ca="1" si="41"/>
        <v/>
      </c>
    </row>
    <row r="61" spans="2:18" outlineLevel="1" x14ac:dyDescent="0.3">
      <c r="B61" s="37">
        <f t="shared" si="27"/>
        <v>13</v>
      </c>
      <c r="D61" s="167" t="str">
        <f t="shared" ca="1" si="25"/>
        <v/>
      </c>
      <c r="E61" s="167" t="str">
        <f t="shared" ca="1" si="28"/>
        <v/>
      </c>
      <c r="F61" s="167" t="str">
        <f t="shared" ca="1" si="29"/>
        <v/>
      </c>
      <c r="G61" s="167" t="str">
        <f t="shared" ca="1" si="30"/>
        <v/>
      </c>
      <c r="H61" s="167" t="str">
        <f t="shared" ca="1" si="31"/>
        <v/>
      </c>
      <c r="I61" s="167" t="str">
        <f t="shared" ca="1" si="32"/>
        <v/>
      </c>
      <c r="J61" s="167" t="str">
        <f t="shared" ca="1" si="33"/>
        <v/>
      </c>
      <c r="K61" s="167" t="str">
        <f t="shared" ca="1" si="34"/>
        <v/>
      </c>
      <c r="L61" s="167" t="str">
        <f t="shared" ca="1" si="35"/>
        <v/>
      </c>
      <c r="M61" s="167" t="str">
        <f t="shared" ca="1" si="36"/>
        <v/>
      </c>
      <c r="N61" s="164" t="str">
        <f t="shared" ca="1" si="37"/>
        <v/>
      </c>
      <c r="O61" s="164" t="str">
        <f t="shared" ca="1" si="38"/>
        <v/>
      </c>
      <c r="P61" s="164" t="str">
        <f t="shared" ca="1" si="39"/>
        <v/>
      </c>
      <c r="Q61" s="164" t="str">
        <f t="shared" ca="1" si="40"/>
        <v/>
      </c>
      <c r="R61" s="164" t="str">
        <f t="shared" ca="1" si="41"/>
        <v/>
      </c>
    </row>
    <row r="62" spans="2:18" outlineLevel="1" x14ac:dyDescent="0.3">
      <c r="B62" s="37">
        <f t="shared" si="27"/>
        <v>14</v>
      </c>
      <c r="D62" s="167" t="str">
        <f t="shared" ca="1" si="25"/>
        <v/>
      </c>
      <c r="E62" s="167" t="str">
        <f t="shared" ca="1" si="28"/>
        <v/>
      </c>
      <c r="F62" s="167" t="str">
        <f t="shared" ca="1" si="29"/>
        <v/>
      </c>
      <c r="G62" s="167" t="str">
        <f t="shared" ca="1" si="30"/>
        <v/>
      </c>
      <c r="H62" s="167" t="str">
        <f t="shared" ca="1" si="31"/>
        <v/>
      </c>
      <c r="I62" s="167" t="str">
        <f t="shared" ca="1" si="32"/>
        <v/>
      </c>
      <c r="J62" s="167" t="str">
        <f t="shared" ca="1" si="33"/>
        <v/>
      </c>
      <c r="K62" s="167" t="str">
        <f t="shared" ca="1" si="34"/>
        <v/>
      </c>
      <c r="L62" s="167" t="str">
        <f t="shared" ca="1" si="35"/>
        <v/>
      </c>
      <c r="M62" s="167" t="str">
        <f t="shared" ca="1" si="36"/>
        <v/>
      </c>
      <c r="N62" s="164" t="str">
        <f t="shared" ca="1" si="37"/>
        <v/>
      </c>
      <c r="O62" s="164" t="str">
        <f t="shared" ca="1" si="38"/>
        <v/>
      </c>
      <c r="P62" s="164" t="str">
        <f t="shared" ca="1" si="39"/>
        <v/>
      </c>
      <c r="Q62" s="164" t="str">
        <f t="shared" ca="1" si="40"/>
        <v/>
      </c>
      <c r="R62" s="164" t="str">
        <f t="shared" ca="1" si="41"/>
        <v/>
      </c>
    </row>
    <row r="63" spans="2:18" outlineLevel="1" x14ac:dyDescent="0.3">
      <c r="B63" s="37">
        <f t="shared" si="27"/>
        <v>15</v>
      </c>
      <c r="D63" s="167" t="str">
        <f t="shared" ca="1" si="25"/>
        <v/>
      </c>
      <c r="E63" s="167" t="str">
        <f t="shared" ca="1" si="28"/>
        <v/>
      </c>
      <c r="F63" s="167" t="str">
        <f t="shared" ca="1" si="29"/>
        <v/>
      </c>
      <c r="G63" s="167" t="str">
        <f t="shared" ca="1" si="30"/>
        <v/>
      </c>
      <c r="H63" s="167" t="str">
        <f t="shared" ca="1" si="31"/>
        <v/>
      </c>
      <c r="I63" s="167" t="str">
        <f t="shared" ca="1" si="32"/>
        <v/>
      </c>
      <c r="J63" s="167" t="str">
        <f t="shared" ca="1" si="33"/>
        <v/>
      </c>
      <c r="K63" s="167" t="str">
        <f t="shared" ca="1" si="34"/>
        <v/>
      </c>
      <c r="L63" s="167" t="str">
        <f t="shared" ca="1" si="35"/>
        <v/>
      </c>
      <c r="M63" s="167" t="str">
        <f t="shared" ca="1" si="36"/>
        <v/>
      </c>
      <c r="N63" s="164" t="str">
        <f t="shared" ca="1" si="37"/>
        <v/>
      </c>
      <c r="O63" s="164" t="str">
        <f t="shared" ca="1" si="38"/>
        <v/>
      </c>
      <c r="P63" s="164" t="str">
        <f t="shared" ca="1" si="39"/>
        <v/>
      </c>
      <c r="Q63" s="164" t="str">
        <f t="shared" ca="1" si="40"/>
        <v/>
      </c>
      <c r="R63" s="164" t="str">
        <f t="shared" ca="1" si="41"/>
        <v/>
      </c>
    </row>
    <row r="64" spans="2:18" outlineLevel="1" x14ac:dyDescent="0.3"/>
    <row r="65" spans="2:18" outlineLevel="1" x14ac:dyDescent="0.3">
      <c r="B65" s="54" t="s">
        <v>48</v>
      </c>
    </row>
    <row r="66" spans="2:18" outlineLevel="1" x14ac:dyDescent="0.3">
      <c r="B66" s="57" t="s">
        <v>46</v>
      </c>
      <c r="C66" s="40"/>
      <c r="D66" s="161">
        <f>D46</f>
        <v>1</v>
      </c>
      <c r="E66" s="161">
        <f t="shared" ref="E66:R66" si="42">E46</f>
        <v>2</v>
      </c>
      <c r="F66" s="161">
        <f t="shared" si="42"/>
        <v>3</v>
      </c>
      <c r="G66" s="161">
        <f t="shared" si="42"/>
        <v>4</v>
      </c>
      <c r="H66" s="161">
        <f t="shared" si="42"/>
        <v>5</v>
      </c>
      <c r="I66" s="161">
        <f t="shared" si="42"/>
        <v>6</v>
      </c>
      <c r="J66" s="161">
        <f t="shared" si="42"/>
        <v>7</v>
      </c>
      <c r="K66" s="161">
        <f t="shared" si="42"/>
        <v>8</v>
      </c>
      <c r="L66" s="161">
        <f t="shared" si="42"/>
        <v>9</v>
      </c>
      <c r="M66" s="161">
        <f t="shared" si="42"/>
        <v>10</v>
      </c>
      <c r="N66" s="161" t="str">
        <f t="shared" si="42"/>
        <v/>
      </c>
      <c r="O66" s="161" t="str">
        <f t="shared" si="42"/>
        <v/>
      </c>
      <c r="P66" s="161" t="str">
        <f t="shared" si="42"/>
        <v/>
      </c>
      <c r="Q66" s="161" t="str">
        <f t="shared" si="42"/>
        <v/>
      </c>
      <c r="R66" s="161" t="str">
        <f t="shared" si="42"/>
        <v/>
      </c>
    </row>
    <row r="67" spans="2:18" outlineLevel="1" x14ac:dyDescent="0.3">
      <c r="B67" s="57" t="s">
        <v>47</v>
      </c>
      <c r="C67" s="40"/>
      <c r="D67" s="162">
        <f ca="1">IF(D66="","",IRR(D68:D83))</f>
        <v>0.11711229636127496</v>
      </c>
      <c r="E67" s="162">
        <f t="shared" ref="E67" ca="1" si="43">IF(E66="","",IRR(E68:E83))</f>
        <v>0.22522181138782948</v>
      </c>
      <c r="F67" s="162">
        <f t="shared" ref="F67" ca="1" si="44">IF(F66="","",IRR(F68:F83))</f>
        <v>0.17436362437168729</v>
      </c>
      <c r="G67" s="162">
        <f t="shared" ref="G67" ca="1" si="45">IF(G66="","",IRR(G68:G83))</f>
        <v>0.15076410523600181</v>
      </c>
      <c r="H67" s="162">
        <f t="shared" ref="H67" ca="1" si="46">IF(H66="","",IRR(H68:H83))</f>
        <v>0.13699265659488247</v>
      </c>
      <c r="I67" s="162">
        <f t="shared" ref="I67" ca="1" si="47">IF(I66="","",IRR(I68:I83))</f>
        <v>0.12786839798508409</v>
      </c>
      <c r="J67" s="162">
        <f t="shared" ref="J67" ca="1" si="48">IF(J66="","",IRR(J68:J83))</f>
        <v>0.12131219081931777</v>
      </c>
      <c r="K67" s="162">
        <f t="shared" ref="K67" ca="1" si="49">IF(K66="","",IRR(K68:K83))</f>
        <v>0.11632809273447164</v>
      </c>
      <c r="L67" s="162">
        <f t="shared" ref="L67" ca="1" si="50">IF(L66="","",IRR(L68:L83))</f>
        <v>0.11237913597391325</v>
      </c>
      <c r="M67" s="162">
        <f t="shared" ref="M67" ca="1" si="51">IF(M66="","",IRR(M68:M83))</f>
        <v>0.10915007624475148</v>
      </c>
      <c r="N67" s="162" t="str">
        <f t="shared" ref="N67" si="52">IF(N66="","",IRR(N68:N83))</f>
        <v/>
      </c>
      <c r="O67" s="162" t="str">
        <f t="shared" ref="O67" si="53">IF(O66="","",IRR(O68:O83))</f>
        <v/>
      </c>
      <c r="P67" s="162" t="str">
        <f t="shared" ref="P67" si="54">IF(P66="","",IRR(P68:P83))</f>
        <v/>
      </c>
      <c r="Q67" s="162" t="str">
        <f t="shared" ref="Q67" si="55">IF(Q66="","",IRR(Q68:Q83))</f>
        <v/>
      </c>
      <c r="R67" s="162" t="str">
        <f t="shared" ref="R67" si="56">IF(R66="","",IRR(R68:R83))</f>
        <v/>
      </c>
    </row>
    <row r="68" spans="2:18" outlineLevel="1" x14ac:dyDescent="0.3">
      <c r="B68" s="57">
        <v>0</v>
      </c>
      <c r="D68" s="285">
        <f t="shared" ref="D68:R68" si="57">IF(D66="","",-(Initial_Equity))</f>
        <v>-2657125</v>
      </c>
      <c r="E68" s="285">
        <f t="shared" si="57"/>
        <v>-2657125</v>
      </c>
      <c r="F68" s="285">
        <f t="shared" si="57"/>
        <v>-2657125</v>
      </c>
      <c r="G68" s="285">
        <f t="shared" si="57"/>
        <v>-2657125</v>
      </c>
      <c r="H68" s="285">
        <f t="shared" si="57"/>
        <v>-2657125</v>
      </c>
      <c r="I68" s="285">
        <f t="shared" si="57"/>
        <v>-2657125</v>
      </c>
      <c r="J68" s="285">
        <f t="shared" si="57"/>
        <v>-2657125</v>
      </c>
      <c r="K68" s="285">
        <f t="shared" si="57"/>
        <v>-2657125</v>
      </c>
      <c r="L68" s="285">
        <f t="shared" si="57"/>
        <v>-2657125</v>
      </c>
      <c r="M68" s="285">
        <f t="shared" si="57"/>
        <v>-2657125</v>
      </c>
      <c r="N68" s="163" t="str">
        <f t="shared" si="57"/>
        <v/>
      </c>
      <c r="O68" s="163" t="str">
        <f t="shared" si="57"/>
        <v/>
      </c>
      <c r="P68" s="163" t="str">
        <f t="shared" si="57"/>
        <v/>
      </c>
      <c r="Q68" s="163" t="str">
        <f t="shared" si="57"/>
        <v/>
      </c>
      <c r="R68" s="163" t="str">
        <f t="shared" si="57"/>
        <v/>
      </c>
    </row>
    <row r="69" spans="2:18" outlineLevel="1" x14ac:dyDescent="0.3">
      <c r="B69" s="37">
        <f>B68+1</f>
        <v>1</v>
      </c>
      <c r="D69" s="167">
        <f ca="1">IF($B69&gt;D$46,"",IF(D$46="","",IF(D$46=$B69,OFFSET($D$34,0,$B68)+OFFSET($D$31,0,$B68),OFFSET($D$34,0,$B68))))</f>
        <v>2968307.0104689524</v>
      </c>
      <c r="E69" s="167">
        <f t="shared" ref="E69:R69" ca="1" si="58">IF($B69&gt;E$46,"",IF(E$46="","",IF(E$46=$B69,OFFSET($D$34,0,$B68)+OFFSET($D$31,0,$B68),OFFSET($D$34,0,$B68))))</f>
        <v>-276553.49640544795</v>
      </c>
      <c r="F69" s="167">
        <f t="shared" ca="1" si="58"/>
        <v>-276553.49640544795</v>
      </c>
      <c r="G69" s="167">
        <f t="shared" ca="1" si="58"/>
        <v>-276553.49640544795</v>
      </c>
      <c r="H69" s="167">
        <f t="shared" ca="1" si="58"/>
        <v>-276553.49640544795</v>
      </c>
      <c r="I69" s="167">
        <f t="shared" ca="1" si="58"/>
        <v>-276553.49640544795</v>
      </c>
      <c r="J69" s="167">
        <f t="shared" ca="1" si="58"/>
        <v>-276553.49640544795</v>
      </c>
      <c r="K69" s="167">
        <f t="shared" ca="1" si="58"/>
        <v>-276553.49640544795</v>
      </c>
      <c r="L69" s="167">
        <f t="shared" ca="1" si="58"/>
        <v>-276553.49640544795</v>
      </c>
      <c r="M69" s="167">
        <f t="shared" ca="1" si="58"/>
        <v>-276553.49640544795</v>
      </c>
      <c r="N69" s="164" t="str">
        <f t="shared" ca="1" si="58"/>
        <v/>
      </c>
      <c r="O69" s="164" t="str">
        <f t="shared" ca="1" si="58"/>
        <v/>
      </c>
      <c r="P69" s="164" t="str">
        <f t="shared" ca="1" si="58"/>
        <v/>
      </c>
      <c r="Q69" s="164" t="str">
        <f t="shared" ca="1" si="58"/>
        <v/>
      </c>
      <c r="R69" s="164" t="str">
        <f t="shared" ca="1" si="58"/>
        <v/>
      </c>
    </row>
    <row r="70" spans="2:18" outlineLevel="1" x14ac:dyDescent="0.3">
      <c r="B70" s="37">
        <f t="shared" ref="B70:B83" si="59">B69+1</f>
        <v>2</v>
      </c>
      <c r="D70" s="167" t="str">
        <f t="shared" ref="D70:D83" ca="1" si="60">IF($B70&gt;D$46,"",IF(D$46="","",IF(D$46=$B70,OFFSET($D$34,0,$B69)+OFFSET($D$31,0,$B69),OFFSET($D$34,0,$B69))))</f>
        <v/>
      </c>
      <c r="E70" s="167">
        <f t="shared" ref="E70:E83" ca="1" si="61">IF($B70&gt;E$46,"",IF(E$46="","",IF(E$46=$B70,OFFSET($D$34,0,$B69)+OFFSET($D$31,0,$B69),OFFSET($D$34,0,$B69))))</f>
        <v>4327631.6920983689</v>
      </c>
      <c r="F70" s="167">
        <f t="shared" ref="F70:F83" ca="1" si="62">IF($B70&gt;F$46,"",IF(F$46="","",IF(F$46=$B70,OFFSET($D$34,0,$B69)+OFFSET($D$31,0,$B69),OFFSET($D$34,0,$B69))))</f>
        <v>-69922.795045447943</v>
      </c>
      <c r="G70" s="167">
        <f t="shared" ref="G70:G83" ca="1" si="63">IF($B70&gt;G$46,"",IF(G$46="","",IF(G$46=$B70,OFFSET($D$34,0,$B69)+OFFSET($D$31,0,$B69),OFFSET($D$34,0,$B69))))</f>
        <v>-69922.795045447943</v>
      </c>
      <c r="H70" s="167">
        <f t="shared" ref="H70:H83" ca="1" si="64">IF($B70&gt;H$46,"",IF(H$46="","",IF(H$46=$B70,OFFSET($D$34,0,$B69)+OFFSET($D$31,0,$B69),OFFSET($D$34,0,$B69))))</f>
        <v>-69922.795045447943</v>
      </c>
      <c r="I70" s="167">
        <f t="shared" ref="I70:I83" ca="1" si="65">IF($B70&gt;I$46,"",IF(I$46="","",IF(I$46=$B70,OFFSET($D$34,0,$B69)+OFFSET($D$31,0,$B69),OFFSET($D$34,0,$B69))))</f>
        <v>-69922.795045447943</v>
      </c>
      <c r="J70" s="167">
        <f t="shared" ref="J70:J83" ca="1" si="66">IF($B70&gt;J$46,"",IF(J$46="","",IF(J$46=$B70,OFFSET($D$34,0,$B69)+OFFSET($D$31,0,$B69),OFFSET($D$34,0,$B69))))</f>
        <v>-69922.795045447943</v>
      </c>
      <c r="K70" s="167">
        <f t="shared" ref="K70:K83" ca="1" si="67">IF($B70&gt;K$46,"",IF(K$46="","",IF(K$46=$B70,OFFSET($D$34,0,$B69)+OFFSET($D$31,0,$B69),OFFSET($D$34,0,$B69))))</f>
        <v>-69922.795045447943</v>
      </c>
      <c r="L70" s="167">
        <f t="shared" ref="L70:L83" ca="1" si="68">IF($B70&gt;L$46,"",IF(L$46="","",IF(L$46=$B70,OFFSET($D$34,0,$B69)+OFFSET($D$31,0,$B69),OFFSET($D$34,0,$B69))))</f>
        <v>-69922.795045447943</v>
      </c>
      <c r="M70" s="167">
        <f t="shared" ref="M70:M83" ca="1" si="69">IF($B70&gt;M$46,"",IF(M$46="","",IF(M$46=$B70,OFFSET($D$34,0,$B69)+OFFSET($D$31,0,$B69),OFFSET($D$34,0,$B69))))</f>
        <v>-69922.795045447943</v>
      </c>
      <c r="N70" s="164" t="str">
        <f t="shared" ref="N70:N83" ca="1" si="70">IF($B70&gt;N$46,"",IF(N$46="","",IF(N$46=$B70,OFFSET($D$34,0,$B69)+OFFSET($D$31,0,$B69),OFFSET($D$34,0,$B69))))</f>
        <v/>
      </c>
      <c r="O70" s="164" t="str">
        <f t="shared" ref="O70:O83" ca="1" si="71">IF($B70&gt;O$46,"",IF(O$46="","",IF(O$46=$B70,OFFSET($D$34,0,$B69)+OFFSET($D$31,0,$B69),OFFSET($D$34,0,$B69))))</f>
        <v/>
      </c>
      <c r="P70" s="164" t="str">
        <f t="shared" ref="P70:P83" ca="1" si="72">IF($B70&gt;P$46,"",IF(P$46="","",IF(P$46=$B70,OFFSET($D$34,0,$B69)+OFFSET($D$31,0,$B69),OFFSET($D$34,0,$B69))))</f>
        <v/>
      </c>
      <c r="Q70" s="164" t="str">
        <f t="shared" ref="Q70:Q83" ca="1" si="73">IF($B70&gt;Q$46,"",IF(Q$46="","",IF(Q$46=$B70,OFFSET($D$34,0,$B69)+OFFSET($D$31,0,$B69),OFFSET($D$34,0,$B69))))</f>
        <v/>
      </c>
      <c r="R70" s="164" t="str">
        <f t="shared" ref="R70:R83" ca="1" si="74">IF($B70&gt;R$46,"",IF(R$46="","",IF(R$46=$B70,OFFSET($D$34,0,$B69)+OFFSET($D$31,0,$B69),OFFSET($D$34,0,$B69))))</f>
        <v/>
      </c>
    </row>
    <row r="71" spans="2:18" outlineLevel="1" x14ac:dyDescent="0.3">
      <c r="B71" s="37">
        <f t="shared" si="59"/>
        <v>3</v>
      </c>
      <c r="D71" s="167" t="str">
        <f t="shared" ca="1" si="60"/>
        <v/>
      </c>
      <c r="E71" s="167" t="str">
        <f t="shared" ca="1" si="61"/>
        <v/>
      </c>
      <c r="F71" s="167">
        <f t="shared" ca="1" si="62"/>
        <v>4766997.6761304606</v>
      </c>
      <c r="G71" s="167">
        <f t="shared" ca="1" si="63"/>
        <v>197538.59326935129</v>
      </c>
      <c r="H71" s="167">
        <f t="shared" ca="1" si="64"/>
        <v>197538.59326935129</v>
      </c>
      <c r="I71" s="167">
        <f t="shared" ca="1" si="65"/>
        <v>197538.59326935129</v>
      </c>
      <c r="J71" s="167">
        <f t="shared" ca="1" si="66"/>
        <v>197538.59326935129</v>
      </c>
      <c r="K71" s="167">
        <f t="shared" ca="1" si="67"/>
        <v>197538.59326935129</v>
      </c>
      <c r="L71" s="167">
        <f t="shared" ca="1" si="68"/>
        <v>197538.59326935129</v>
      </c>
      <c r="M71" s="167">
        <f t="shared" ca="1" si="69"/>
        <v>197538.59326935129</v>
      </c>
      <c r="N71" s="164" t="str">
        <f t="shared" ca="1" si="70"/>
        <v/>
      </c>
      <c r="O71" s="164" t="str">
        <f t="shared" ca="1" si="71"/>
        <v/>
      </c>
      <c r="P71" s="164" t="str">
        <f t="shared" ca="1" si="72"/>
        <v/>
      </c>
      <c r="Q71" s="164" t="str">
        <f t="shared" ca="1" si="73"/>
        <v/>
      </c>
      <c r="R71" s="164" t="str">
        <f t="shared" ca="1" si="74"/>
        <v/>
      </c>
    </row>
    <row r="72" spans="2:18" outlineLevel="1" x14ac:dyDescent="0.3">
      <c r="B72" s="37">
        <f t="shared" si="59"/>
        <v>4</v>
      </c>
      <c r="D72" s="167" t="str">
        <f t="shared" ca="1" si="60"/>
        <v/>
      </c>
      <c r="E72" s="167" t="str">
        <f t="shared" ca="1" si="61"/>
        <v/>
      </c>
      <c r="F72" s="167" t="str">
        <f t="shared" ca="1" si="62"/>
        <v/>
      </c>
      <c r="G72" s="167">
        <f t="shared" ca="1" si="63"/>
        <v>4946409.7705826629</v>
      </c>
      <c r="H72" s="167">
        <f t="shared" ca="1" si="64"/>
        <v>200973.6578494733</v>
      </c>
      <c r="I72" s="167">
        <f t="shared" ca="1" si="65"/>
        <v>200973.6578494733</v>
      </c>
      <c r="J72" s="167">
        <f t="shared" ca="1" si="66"/>
        <v>200973.6578494733</v>
      </c>
      <c r="K72" s="167">
        <f t="shared" ca="1" si="67"/>
        <v>200973.6578494733</v>
      </c>
      <c r="L72" s="167">
        <f t="shared" ca="1" si="68"/>
        <v>200973.6578494733</v>
      </c>
      <c r="M72" s="167">
        <f t="shared" ca="1" si="69"/>
        <v>200973.6578494733</v>
      </c>
      <c r="N72" s="164" t="str">
        <f t="shared" ca="1" si="70"/>
        <v/>
      </c>
      <c r="O72" s="164" t="str">
        <f t="shared" ca="1" si="71"/>
        <v/>
      </c>
      <c r="P72" s="164" t="str">
        <f t="shared" ca="1" si="72"/>
        <v/>
      </c>
      <c r="Q72" s="164" t="str">
        <f t="shared" ca="1" si="73"/>
        <v/>
      </c>
      <c r="R72" s="164" t="str">
        <f t="shared" ca="1" si="74"/>
        <v/>
      </c>
    </row>
    <row r="73" spans="2:18" outlineLevel="1" x14ac:dyDescent="0.3">
      <c r="B73" s="37">
        <f t="shared" si="59"/>
        <v>5</v>
      </c>
      <c r="D73" s="167" t="str">
        <f t="shared" ca="1" si="60"/>
        <v/>
      </c>
      <c r="E73" s="167" t="str">
        <f t="shared" ca="1" si="61"/>
        <v/>
      </c>
      <c r="F73" s="167" t="str">
        <f t="shared" ca="1" si="62"/>
        <v/>
      </c>
      <c r="G73" s="167" t="str">
        <f t="shared" ca="1" si="63"/>
        <v/>
      </c>
      <c r="H73" s="167">
        <f t="shared" ca="1" si="64"/>
        <v>5130021.3918597223</v>
      </c>
      <c r="I73" s="167">
        <f t="shared" ca="1" si="65"/>
        <v>204387.4673806472</v>
      </c>
      <c r="J73" s="167">
        <f t="shared" ca="1" si="66"/>
        <v>204387.4673806472</v>
      </c>
      <c r="K73" s="167">
        <f t="shared" ca="1" si="67"/>
        <v>204387.4673806472</v>
      </c>
      <c r="L73" s="167">
        <f t="shared" ca="1" si="68"/>
        <v>204387.4673806472</v>
      </c>
      <c r="M73" s="167">
        <f t="shared" ca="1" si="69"/>
        <v>204387.4673806472</v>
      </c>
      <c r="N73" s="164" t="str">
        <f t="shared" ca="1" si="70"/>
        <v/>
      </c>
      <c r="O73" s="164" t="str">
        <f t="shared" ca="1" si="71"/>
        <v/>
      </c>
      <c r="P73" s="164" t="str">
        <f t="shared" ca="1" si="72"/>
        <v/>
      </c>
      <c r="Q73" s="164" t="str">
        <f t="shared" ca="1" si="73"/>
        <v/>
      </c>
      <c r="R73" s="164" t="str">
        <f t="shared" ca="1" si="74"/>
        <v/>
      </c>
    </row>
    <row r="74" spans="2:18" outlineLevel="1" x14ac:dyDescent="0.3">
      <c r="B74" s="37">
        <f t="shared" si="59"/>
        <v>6</v>
      </c>
      <c r="D74" s="167" t="str">
        <f t="shared" ca="1" si="60"/>
        <v/>
      </c>
      <c r="E74" s="167" t="str">
        <f t="shared" ca="1" si="61"/>
        <v/>
      </c>
      <c r="F74" s="167" t="str">
        <f t="shared" ca="1" si="62"/>
        <v/>
      </c>
      <c r="G74" s="167" t="str">
        <f t="shared" ca="1" si="63"/>
        <v/>
      </c>
      <c r="H74" s="167" t="str">
        <f t="shared" ca="1" si="64"/>
        <v/>
      </c>
      <c r="I74" s="167">
        <f t="shared" ca="1" si="65"/>
        <v>5317985.5765867019</v>
      </c>
      <c r="J74" s="167">
        <f t="shared" ca="1" si="66"/>
        <v>207778.25978549826</v>
      </c>
      <c r="K74" s="167">
        <f t="shared" ca="1" si="67"/>
        <v>207778.25978549826</v>
      </c>
      <c r="L74" s="167">
        <f t="shared" ca="1" si="68"/>
        <v>207778.25978549826</v>
      </c>
      <c r="M74" s="167">
        <f t="shared" ca="1" si="69"/>
        <v>207778.25978549826</v>
      </c>
      <c r="N74" s="164" t="str">
        <f t="shared" ca="1" si="70"/>
        <v/>
      </c>
      <c r="O74" s="164" t="str">
        <f t="shared" ca="1" si="71"/>
        <v/>
      </c>
      <c r="P74" s="164" t="str">
        <f t="shared" ca="1" si="72"/>
        <v/>
      </c>
      <c r="Q74" s="164" t="str">
        <f t="shared" ca="1" si="73"/>
        <v/>
      </c>
      <c r="R74" s="164" t="str">
        <f t="shared" ca="1" si="74"/>
        <v/>
      </c>
    </row>
    <row r="75" spans="2:18" outlineLevel="1" x14ac:dyDescent="0.3">
      <c r="B75" s="37">
        <f t="shared" si="59"/>
        <v>7</v>
      </c>
      <c r="D75" s="167" t="str">
        <f t="shared" ca="1" si="60"/>
        <v/>
      </c>
      <c r="E75" s="167" t="str">
        <f t="shared" ca="1" si="61"/>
        <v/>
      </c>
      <c r="F75" s="167" t="str">
        <f t="shared" ca="1" si="62"/>
        <v/>
      </c>
      <c r="G75" s="167" t="str">
        <f t="shared" ca="1" si="63"/>
        <v/>
      </c>
      <c r="H75" s="167" t="str">
        <f t="shared" ca="1" si="64"/>
        <v/>
      </c>
      <c r="I75" s="167" t="str">
        <f t="shared" ca="1" si="65"/>
        <v/>
      </c>
      <c r="J75" s="167">
        <f t="shared" ca="1" si="66"/>
        <v>5510462.0459173992</v>
      </c>
      <c r="K75" s="167">
        <f t="shared" ca="1" si="67"/>
        <v>211144.2178141441</v>
      </c>
      <c r="L75" s="167">
        <f t="shared" ca="1" si="68"/>
        <v>211144.2178141441</v>
      </c>
      <c r="M75" s="167">
        <f t="shared" ca="1" si="69"/>
        <v>211144.2178141441</v>
      </c>
      <c r="N75" s="164" t="str">
        <f t="shared" ca="1" si="70"/>
        <v/>
      </c>
      <c r="O75" s="164" t="str">
        <f t="shared" ca="1" si="71"/>
        <v/>
      </c>
      <c r="P75" s="164" t="str">
        <f t="shared" ca="1" si="72"/>
        <v/>
      </c>
      <c r="Q75" s="164" t="str">
        <f t="shared" ca="1" si="73"/>
        <v/>
      </c>
      <c r="R75" s="164" t="str">
        <f t="shared" ca="1" si="74"/>
        <v/>
      </c>
    </row>
    <row r="76" spans="2:18" outlineLevel="1" x14ac:dyDescent="0.3">
      <c r="B76" s="37">
        <f t="shared" si="59"/>
        <v>8</v>
      </c>
      <c r="D76" s="167" t="str">
        <f t="shared" ca="1" si="60"/>
        <v/>
      </c>
      <c r="E76" s="167" t="str">
        <f t="shared" ca="1" si="61"/>
        <v/>
      </c>
      <c r="F76" s="167" t="str">
        <f t="shared" ca="1" si="62"/>
        <v/>
      </c>
      <c r="G76" s="167" t="str">
        <f t="shared" ca="1" si="63"/>
        <v/>
      </c>
      <c r="H76" s="167" t="str">
        <f t="shared" ca="1" si="64"/>
        <v/>
      </c>
      <c r="I76" s="167" t="str">
        <f t="shared" ca="1" si="65"/>
        <v/>
      </c>
      <c r="J76" s="167" t="str">
        <f t="shared" ca="1" si="66"/>
        <v/>
      </c>
      <c r="K76" s="167">
        <f t="shared" ca="1" si="67"/>
        <v>5707617.5056761401</v>
      </c>
      <c r="L76" s="167">
        <f t="shared" ca="1" si="68"/>
        <v>214483.46764302201</v>
      </c>
      <c r="M76" s="167">
        <f t="shared" ca="1" si="69"/>
        <v>214483.46764302201</v>
      </c>
      <c r="N76" s="164" t="str">
        <f t="shared" ca="1" si="70"/>
        <v/>
      </c>
      <c r="O76" s="164" t="str">
        <f t="shared" ca="1" si="71"/>
        <v/>
      </c>
      <c r="P76" s="164" t="str">
        <f t="shared" ca="1" si="72"/>
        <v/>
      </c>
      <c r="Q76" s="164" t="str">
        <f t="shared" ca="1" si="73"/>
        <v/>
      </c>
      <c r="R76" s="164" t="str">
        <f t="shared" ca="1" si="74"/>
        <v/>
      </c>
    </row>
    <row r="77" spans="2:18" outlineLevel="1" x14ac:dyDescent="0.3">
      <c r="B77" s="37">
        <f t="shared" si="59"/>
        <v>9</v>
      </c>
      <c r="D77" s="167" t="str">
        <f t="shared" ca="1" si="60"/>
        <v/>
      </c>
      <c r="E77" s="167" t="str">
        <f t="shared" ca="1" si="61"/>
        <v/>
      </c>
      <c r="F77" s="167" t="str">
        <f t="shared" ca="1" si="62"/>
        <v/>
      </c>
      <c r="G77" s="167" t="str">
        <f t="shared" ca="1" si="63"/>
        <v/>
      </c>
      <c r="H77" s="167" t="str">
        <f t="shared" ca="1" si="64"/>
        <v/>
      </c>
      <c r="I77" s="167" t="str">
        <f t="shared" ca="1" si="65"/>
        <v/>
      </c>
      <c r="J77" s="167" t="str">
        <f t="shared" ca="1" si="66"/>
        <v/>
      </c>
      <c r="K77" s="167" t="str">
        <f t="shared" ca="1" si="67"/>
        <v/>
      </c>
      <c r="L77" s="167">
        <f t="shared" ca="1" si="68"/>
        <v>5909625.9598565241</v>
      </c>
      <c r="M77" s="167">
        <f t="shared" ca="1" si="69"/>
        <v>217794.07744122756</v>
      </c>
      <c r="N77" s="164" t="str">
        <f t="shared" ca="1" si="70"/>
        <v/>
      </c>
      <c r="O77" s="164" t="str">
        <f t="shared" ca="1" si="71"/>
        <v/>
      </c>
      <c r="P77" s="164" t="str">
        <f t="shared" ca="1" si="72"/>
        <v/>
      </c>
      <c r="Q77" s="164" t="str">
        <f t="shared" ca="1" si="73"/>
        <v/>
      </c>
      <c r="R77" s="164" t="str">
        <f t="shared" ca="1" si="74"/>
        <v/>
      </c>
    </row>
    <row r="78" spans="2:18" outlineLevel="1" x14ac:dyDescent="0.3">
      <c r="B78" s="37">
        <f t="shared" si="59"/>
        <v>10</v>
      </c>
      <c r="D78" s="167" t="str">
        <f t="shared" ca="1" si="60"/>
        <v/>
      </c>
      <c r="E78" s="167" t="str">
        <f t="shared" ca="1" si="61"/>
        <v/>
      </c>
      <c r="F78" s="167" t="str">
        <f t="shared" ca="1" si="62"/>
        <v/>
      </c>
      <c r="G78" s="167" t="str">
        <f t="shared" ca="1" si="63"/>
        <v/>
      </c>
      <c r="H78" s="167" t="str">
        <f t="shared" ca="1" si="64"/>
        <v/>
      </c>
      <c r="I78" s="167" t="str">
        <f t="shared" ca="1" si="65"/>
        <v/>
      </c>
      <c r="J78" s="167" t="str">
        <f t="shared" ca="1" si="66"/>
        <v/>
      </c>
      <c r="K78" s="167" t="str">
        <f t="shared" ca="1" si="67"/>
        <v/>
      </c>
      <c r="L78" s="167" t="str">
        <f t="shared" ca="1" si="68"/>
        <v/>
      </c>
      <c r="M78" s="167">
        <f t="shared" ca="1" si="69"/>
        <v>6116669.0380649352</v>
      </c>
      <c r="N78" s="164" t="str">
        <f t="shared" ca="1" si="70"/>
        <v/>
      </c>
      <c r="O78" s="164" t="str">
        <f t="shared" ca="1" si="71"/>
        <v/>
      </c>
      <c r="P78" s="164" t="str">
        <f t="shared" ca="1" si="72"/>
        <v/>
      </c>
      <c r="Q78" s="164" t="str">
        <f t="shared" ca="1" si="73"/>
        <v/>
      </c>
      <c r="R78" s="164" t="str">
        <f t="shared" ca="1" si="74"/>
        <v/>
      </c>
    </row>
    <row r="79" spans="2:18" outlineLevel="1" x14ac:dyDescent="0.3">
      <c r="B79" s="37">
        <f t="shared" si="59"/>
        <v>11</v>
      </c>
      <c r="D79" s="167" t="str">
        <f t="shared" ca="1" si="60"/>
        <v/>
      </c>
      <c r="E79" s="167" t="str">
        <f t="shared" ca="1" si="61"/>
        <v/>
      </c>
      <c r="F79" s="167" t="str">
        <f t="shared" ca="1" si="62"/>
        <v/>
      </c>
      <c r="G79" s="167" t="str">
        <f t="shared" ca="1" si="63"/>
        <v/>
      </c>
      <c r="H79" s="167" t="str">
        <f t="shared" ca="1" si="64"/>
        <v/>
      </c>
      <c r="I79" s="167" t="str">
        <f t="shared" ca="1" si="65"/>
        <v/>
      </c>
      <c r="J79" s="167" t="str">
        <f t="shared" ca="1" si="66"/>
        <v/>
      </c>
      <c r="K79" s="167" t="str">
        <f t="shared" ca="1" si="67"/>
        <v/>
      </c>
      <c r="L79" s="167" t="str">
        <f t="shared" ca="1" si="68"/>
        <v/>
      </c>
      <c r="M79" s="167" t="str">
        <f t="shared" ca="1" si="69"/>
        <v/>
      </c>
      <c r="N79" s="164" t="str">
        <f t="shared" ca="1" si="70"/>
        <v/>
      </c>
      <c r="O79" s="164" t="str">
        <f t="shared" ca="1" si="71"/>
        <v/>
      </c>
      <c r="P79" s="164" t="str">
        <f t="shared" ca="1" si="72"/>
        <v/>
      </c>
      <c r="Q79" s="164" t="str">
        <f t="shared" ca="1" si="73"/>
        <v/>
      </c>
      <c r="R79" s="164" t="str">
        <f t="shared" ca="1" si="74"/>
        <v/>
      </c>
    </row>
    <row r="80" spans="2:18" outlineLevel="1" x14ac:dyDescent="0.3">
      <c r="B80" s="37">
        <f t="shared" si="59"/>
        <v>12</v>
      </c>
      <c r="D80" s="167" t="str">
        <f t="shared" ca="1" si="60"/>
        <v/>
      </c>
      <c r="E80" s="167" t="str">
        <f t="shared" ca="1" si="61"/>
        <v/>
      </c>
      <c r="F80" s="167" t="str">
        <f t="shared" ca="1" si="62"/>
        <v/>
      </c>
      <c r="G80" s="167" t="str">
        <f t="shared" ca="1" si="63"/>
        <v/>
      </c>
      <c r="H80" s="167" t="str">
        <f t="shared" ca="1" si="64"/>
        <v/>
      </c>
      <c r="I80" s="167" t="str">
        <f t="shared" ca="1" si="65"/>
        <v/>
      </c>
      <c r="J80" s="167" t="str">
        <f t="shared" ca="1" si="66"/>
        <v/>
      </c>
      <c r="K80" s="167" t="str">
        <f t="shared" ca="1" si="67"/>
        <v/>
      </c>
      <c r="L80" s="167" t="str">
        <f t="shared" ca="1" si="68"/>
        <v/>
      </c>
      <c r="M80" s="167" t="str">
        <f t="shared" ca="1" si="69"/>
        <v/>
      </c>
      <c r="N80" s="164" t="str">
        <f t="shared" ca="1" si="70"/>
        <v/>
      </c>
      <c r="O80" s="164" t="str">
        <f t="shared" ca="1" si="71"/>
        <v/>
      </c>
      <c r="P80" s="164" t="str">
        <f t="shared" ca="1" si="72"/>
        <v/>
      </c>
      <c r="Q80" s="164" t="str">
        <f t="shared" ca="1" si="73"/>
        <v/>
      </c>
      <c r="R80" s="164" t="str">
        <f t="shared" ca="1" si="74"/>
        <v/>
      </c>
    </row>
    <row r="81" spans="2:18" outlineLevel="1" x14ac:dyDescent="0.3">
      <c r="B81" s="37">
        <f t="shared" si="59"/>
        <v>13</v>
      </c>
      <c r="D81" s="167" t="str">
        <f t="shared" ca="1" si="60"/>
        <v/>
      </c>
      <c r="E81" s="167" t="str">
        <f t="shared" ca="1" si="61"/>
        <v/>
      </c>
      <c r="F81" s="167" t="str">
        <f t="shared" ca="1" si="62"/>
        <v/>
      </c>
      <c r="G81" s="167" t="str">
        <f t="shared" ca="1" si="63"/>
        <v/>
      </c>
      <c r="H81" s="167" t="str">
        <f t="shared" ca="1" si="64"/>
        <v/>
      </c>
      <c r="I81" s="167" t="str">
        <f t="shared" ca="1" si="65"/>
        <v/>
      </c>
      <c r="J81" s="167" t="str">
        <f t="shared" ca="1" si="66"/>
        <v/>
      </c>
      <c r="K81" s="167" t="str">
        <f t="shared" ca="1" si="67"/>
        <v/>
      </c>
      <c r="L81" s="167" t="str">
        <f t="shared" ca="1" si="68"/>
        <v/>
      </c>
      <c r="M81" s="167" t="str">
        <f t="shared" ca="1" si="69"/>
        <v/>
      </c>
      <c r="N81" s="164" t="str">
        <f t="shared" ca="1" si="70"/>
        <v/>
      </c>
      <c r="O81" s="164" t="str">
        <f t="shared" ca="1" si="71"/>
        <v/>
      </c>
      <c r="P81" s="164" t="str">
        <f t="shared" ca="1" si="72"/>
        <v/>
      </c>
      <c r="Q81" s="164" t="str">
        <f t="shared" ca="1" si="73"/>
        <v/>
      </c>
      <c r="R81" s="164" t="str">
        <f t="shared" ca="1" si="74"/>
        <v/>
      </c>
    </row>
    <row r="82" spans="2:18" outlineLevel="1" x14ac:dyDescent="0.3">
      <c r="B82" s="37">
        <f t="shared" si="59"/>
        <v>14</v>
      </c>
      <c r="D82" s="167" t="str">
        <f t="shared" ca="1" si="60"/>
        <v/>
      </c>
      <c r="E82" s="167" t="str">
        <f t="shared" ca="1" si="61"/>
        <v/>
      </c>
      <c r="F82" s="167" t="str">
        <f t="shared" ca="1" si="62"/>
        <v/>
      </c>
      <c r="G82" s="167" t="str">
        <f t="shared" ca="1" si="63"/>
        <v/>
      </c>
      <c r="H82" s="167" t="str">
        <f t="shared" ca="1" si="64"/>
        <v/>
      </c>
      <c r="I82" s="167" t="str">
        <f t="shared" ca="1" si="65"/>
        <v/>
      </c>
      <c r="J82" s="167" t="str">
        <f t="shared" ca="1" si="66"/>
        <v/>
      </c>
      <c r="K82" s="167" t="str">
        <f t="shared" ca="1" si="67"/>
        <v/>
      </c>
      <c r="L82" s="167" t="str">
        <f t="shared" ca="1" si="68"/>
        <v/>
      </c>
      <c r="M82" s="167" t="str">
        <f t="shared" ca="1" si="69"/>
        <v/>
      </c>
      <c r="N82" s="164" t="str">
        <f t="shared" ca="1" si="70"/>
        <v/>
      </c>
      <c r="O82" s="164" t="str">
        <f t="shared" ca="1" si="71"/>
        <v/>
      </c>
      <c r="P82" s="164" t="str">
        <f t="shared" ca="1" si="72"/>
        <v/>
      </c>
      <c r="Q82" s="164" t="str">
        <f t="shared" ca="1" si="73"/>
        <v/>
      </c>
      <c r="R82" s="164" t="str">
        <f t="shared" ca="1" si="74"/>
        <v/>
      </c>
    </row>
    <row r="83" spans="2:18" outlineLevel="1" x14ac:dyDescent="0.3">
      <c r="B83" s="37">
        <f t="shared" si="59"/>
        <v>15</v>
      </c>
      <c r="D83" s="167" t="str">
        <f t="shared" ca="1" si="60"/>
        <v/>
      </c>
      <c r="E83" s="167" t="str">
        <f t="shared" ca="1" si="61"/>
        <v/>
      </c>
      <c r="F83" s="167" t="str">
        <f t="shared" ca="1" si="62"/>
        <v/>
      </c>
      <c r="G83" s="167" t="str">
        <f t="shared" ca="1" si="63"/>
        <v/>
      </c>
      <c r="H83" s="167" t="str">
        <f t="shared" ca="1" si="64"/>
        <v/>
      </c>
      <c r="I83" s="167" t="str">
        <f t="shared" ca="1" si="65"/>
        <v/>
      </c>
      <c r="J83" s="167" t="str">
        <f t="shared" ca="1" si="66"/>
        <v/>
      </c>
      <c r="K83" s="167" t="str">
        <f t="shared" ca="1" si="67"/>
        <v/>
      </c>
      <c r="L83" s="167" t="str">
        <f t="shared" ca="1" si="68"/>
        <v/>
      </c>
      <c r="M83" s="167" t="str">
        <f t="shared" ca="1" si="69"/>
        <v/>
      </c>
      <c r="N83" s="164" t="str">
        <f t="shared" ca="1" si="70"/>
        <v/>
      </c>
      <c r="O83" s="164" t="str">
        <f t="shared" ca="1" si="71"/>
        <v/>
      </c>
      <c r="P83" s="164" t="str">
        <f t="shared" ca="1" si="72"/>
        <v/>
      </c>
      <c r="Q83" s="164" t="str">
        <f t="shared" ca="1" si="73"/>
        <v/>
      </c>
      <c r="R83" s="164" t="str">
        <f t="shared" ca="1" si="74"/>
        <v/>
      </c>
    </row>
    <row r="84" spans="2:18" x14ac:dyDescent="0.3"/>
  </sheetData>
  <conditionalFormatting sqref="B4:R4">
    <cfRule type="expression" dxfId="21" priority="6">
      <formula>B$4&lt;&gt;""</formula>
    </cfRule>
    <cfRule type="expression" dxfId="20" priority="7">
      <formula>B$4=""</formula>
    </cfRule>
    <cfRule type="expression" dxfId="19" priority="8">
      <formula>B4&lt;&gt;""</formula>
    </cfRule>
  </conditionalFormatting>
  <conditionalFormatting sqref="B4:R41">
    <cfRule type="expression" dxfId="18" priority="1">
      <formula>B$4=""</formula>
    </cfRule>
  </conditionalFormatting>
  <pageMargins left="0.7" right="0.7" top="0.75" bottom="0.75" header="0.3" footer="0.3"/>
  <pageSetup scale="36" orientation="portrait" horizontalDpi="4294967294" verticalDpi="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pageSetUpPr fitToPage="1"/>
  </sheetPr>
  <dimension ref="A1:AC97"/>
  <sheetViews>
    <sheetView showGridLines="0" zoomScale="85" zoomScaleNormal="85" zoomScaleSheetLayoutView="85" workbookViewId="0"/>
  </sheetViews>
  <sheetFormatPr defaultColWidth="0" defaultRowHeight="14.4" zeroHeight="1" x14ac:dyDescent="0.3"/>
  <cols>
    <col min="1" max="1" width="1.109375" customWidth="1"/>
    <col min="2" max="2" width="29.6640625" customWidth="1"/>
    <col min="3" max="3" width="15.44140625" customWidth="1"/>
    <col min="4" max="4" width="16.109375" bestFit="1" customWidth="1"/>
    <col min="5" max="5" width="20.44140625" customWidth="1"/>
    <col min="6" max="6" width="10.88671875" style="89" bestFit="1" customWidth="1"/>
    <col min="7" max="10" width="10.33203125" style="89" bestFit="1" customWidth="1"/>
    <col min="11" max="11" width="10.5546875" style="89" bestFit="1" customWidth="1"/>
    <col min="12" max="21" width="10.33203125" style="89" bestFit="1" customWidth="1"/>
    <col min="22" max="29" width="9.109375" customWidth="1"/>
    <col min="30" max="16384" width="9.109375" hidden="1"/>
  </cols>
  <sheetData>
    <row r="1" spans="2:21" ht="6.75" customHeight="1" x14ac:dyDescent="0.3"/>
    <row r="2" spans="2:21" ht="15.6" x14ac:dyDescent="0.3">
      <c r="B2" s="79" t="s">
        <v>50</v>
      </c>
      <c r="C2" s="80"/>
      <c r="D2" s="85"/>
      <c r="E2" s="85"/>
      <c r="F2" s="85"/>
      <c r="G2" s="85"/>
      <c r="H2" s="85"/>
      <c r="I2" s="85"/>
      <c r="J2" s="85"/>
      <c r="K2" s="85"/>
      <c r="L2" s="85"/>
      <c r="M2" s="85"/>
      <c r="N2" s="85"/>
      <c r="O2" s="85"/>
      <c r="P2" s="85"/>
      <c r="Q2" s="85"/>
      <c r="R2" s="85"/>
      <c r="S2" s="85"/>
      <c r="T2" s="85"/>
      <c r="U2" s="85"/>
    </row>
    <row r="3" spans="2:21" ht="5.0999999999999996" customHeight="1" x14ac:dyDescent="0.3">
      <c r="B3" s="196"/>
      <c r="C3" s="197"/>
      <c r="D3" s="197"/>
      <c r="E3" s="197"/>
      <c r="F3" s="198"/>
      <c r="G3" s="198"/>
      <c r="H3" s="198"/>
      <c r="I3" s="198"/>
      <c r="J3" s="198"/>
      <c r="K3" s="198"/>
      <c r="L3" s="198"/>
      <c r="M3" s="198"/>
      <c r="N3" s="198"/>
      <c r="O3" s="198"/>
      <c r="P3" s="198"/>
      <c r="Q3" s="198"/>
      <c r="R3" s="198"/>
      <c r="S3" s="198"/>
      <c r="T3" s="198"/>
      <c r="U3" s="198"/>
    </row>
    <row r="4" spans="2:21" ht="15.6" x14ac:dyDescent="0.3">
      <c r="B4" s="196" t="s">
        <v>245</v>
      </c>
      <c r="C4" s="197"/>
      <c r="D4" s="199" t="s">
        <v>47</v>
      </c>
      <c r="E4" s="197">
        <f>IF(D4="Equity Multiple",0,1)</f>
        <v>1</v>
      </c>
      <c r="F4" s="198"/>
      <c r="G4" s="198"/>
      <c r="H4" s="198"/>
      <c r="I4" s="198"/>
      <c r="J4" s="198"/>
      <c r="K4" s="198"/>
      <c r="L4" s="198"/>
      <c r="M4" s="198"/>
      <c r="N4" s="198"/>
      <c r="O4" s="198"/>
      <c r="P4" s="198"/>
      <c r="Q4" s="198"/>
      <c r="R4" s="198"/>
      <c r="S4" s="198"/>
      <c r="T4" s="198"/>
      <c r="U4" s="198"/>
    </row>
    <row r="5" spans="2:21" ht="15.6" x14ac:dyDescent="0.3">
      <c r="B5" s="196" t="s">
        <v>244</v>
      </c>
      <c r="C5" s="197"/>
      <c r="D5" s="200" t="s">
        <v>243</v>
      </c>
      <c r="E5" s="197"/>
      <c r="F5" s="198"/>
      <c r="G5" s="198"/>
      <c r="H5" s="198"/>
      <c r="I5" s="198"/>
      <c r="J5" s="198"/>
      <c r="K5" s="198"/>
      <c r="L5" s="198"/>
      <c r="M5" s="198"/>
      <c r="N5" s="198"/>
      <c r="O5" s="198"/>
      <c r="P5" s="198"/>
      <c r="Q5" s="198"/>
      <c r="R5" s="198"/>
      <c r="S5" s="198"/>
      <c r="T5" s="198"/>
      <c r="U5" s="198"/>
    </row>
    <row r="6" spans="2:21" ht="5.0999999999999996" customHeight="1" x14ac:dyDescent="0.3">
      <c r="B6" s="2"/>
      <c r="C6" s="2"/>
      <c r="D6" s="201"/>
      <c r="E6" s="2"/>
      <c r="F6" s="201"/>
      <c r="G6" s="201"/>
      <c r="H6" s="201"/>
      <c r="I6" s="201"/>
      <c r="J6" s="201"/>
      <c r="K6" s="201"/>
      <c r="L6" s="201"/>
      <c r="M6" s="198"/>
      <c r="N6" s="201"/>
      <c r="O6" s="201"/>
      <c r="P6" s="201"/>
      <c r="Q6" s="201"/>
      <c r="R6" s="201"/>
      <c r="S6" s="201"/>
      <c r="T6" s="201"/>
      <c r="U6" s="201"/>
    </row>
    <row r="7" spans="2:21" ht="16.2" thickBot="1" x14ac:dyDescent="0.35">
      <c r="B7" s="3" t="s">
        <v>242</v>
      </c>
      <c r="C7" s="202" t="s">
        <v>87</v>
      </c>
      <c r="D7" s="202" t="s">
        <v>88</v>
      </c>
      <c r="E7" s="2"/>
      <c r="F7" s="203"/>
      <c r="G7" s="201"/>
      <c r="H7" s="201"/>
      <c r="I7" s="201"/>
      <c r="J7" s="201"/>
      <c r="K7" s="201"/>
      <c r="L7" s="201"/>
      <c r="M7" s="198"/>
      <c r="N7" s="201"/>
      <c r="O7" s="201"/>
      <c r="P7" s="201"/>
      <c r="Q7" s="201"/>
      <c r="R7" s="201"/>
      <c r="S7" s="201"/>
      <c r="T7" s="201"/>
      <c r="U7" s="201"/>
    </row>
    <row r="8" spans="2:21" x14ac:dyDescent="0.3">
      <c r="B8" s="2" t="s">
        <v>76</v>
      </c>
      <c r="C8" s="204">
        <v>0.1</v>
      </c>
      <c r="D8" s="205">
        <f>Equity_Share_Sponsor*Total_Equity</f>
        <v>300360.1291450896</v>
      </c>
      <c r="E8" s="264" t="b">
        <f>Equity_Share_Sponsor=1</f>
        <v>0</v>
      </c>
      <c r="F8" s="201"/>
      <c r="G8" s="206"/>
      <c r="H8" s="201"/>
      <c r="I8" s="201"/>
      <c r="J8" s="201"/>
      <c r="K8" s="207" t="s">
        <v>241</v>
      </c>
      <c r="L8" s="208" t="str">
        <f>IF(ROUND(L10,0)=ROUND(L9,0),"OK","Error")</f>
        <v>OK</v>
      </c>
      <c r="M8" s="201"/>
      <c r="N8" s="201"/>
      <c r="O8" s="201"/>
      <c r="P8" s="201"/>
      <c r="Q8" s="201"/>
      <c r="R8" s="201"/>
      <c r="S8" s="201"/>
      <c r="T8" s="201"/>
      <c r="U8" s="201"/>
    </row>
    <row r="9" spans="2:21" x14ac:dyDescent="0.3">
      <c r="B9" s="2" t="s">
        <v>75</v>
      </c>
      <c r="C9" s="209">
        <f>1-C8</f>
        <v>0.9</v>
      </c>
      <c r="D9" s="210">
        <f>Total_Equity*Equity_Share_LP</f>
        <v>2703241.1623058063</v>
      </c>
      <c r="E9" s="2"/>
      <c r="F9" s="201"/>
      <c r="G9" s="206"/>
      <c r="H9" s="201"/>
      <c r="I9" s="201"/>
      <c r="J9" s="201"/>
      <c r="K9" s="211" t="s">
        <v>240</v>
      </c>
      <c r="L9" s="212">
        <f>(D23+D31)/1000000</f>
        <v>4.5671674877974047</v>
      </c>
      <c r="M9" s="201"/>
      <c r="N9" s="201"/>
      <c r="O9" s="201"/>
      <c r="P9" s="201"/>
      <c r="Q9" s="201"/>
      <c r="R9" s="201"/>
      <c r="S9" s="201"/>
      <c r="T9" s="201"/>
      <c r="U9" s="201"/>
    </row>
    <row r="10" spans="2:21" ht="15" thickBot="1" x14ac:dyDescent="0.35">
      <c r="B10" s="2" t="s">
        <v>239</v>
      </c>
      <c r="C10" s="213"/>
      <c r="D10" s="205">
        <f>-SUMIF(F40:U40,"&lt;0")</f>
        <v>3003601.2914508958</v>
      </c>
      <c r="E10" s="2"/>
      <c r="F10" s="201"/>
      <c r="G10" s="206"/>
      <c r="H10" s="201"/>
      <c r="I10" s="201"/>
      <c r="J10" s="201"/>
      <c r="K10" s="214" t="s">
        <v>238</v>
      </c>
      <c r="L10" s="215">
        <f>SUM(F37:U37)/1000000</f>
        <v>4.5671674877974038</v>
      </c>
      <c r="M10" s="201"/>
      <c r="N10" s="201"/>
      <c r="O10" s="201"/>
      <c r="P10" s="201"/>
      <c r="Q10" s="201"/>
      <c r="R10" s="201"/>
      <c r="S10" s="201"/>
      <c r="T10" s="201"/>
      <c r="U10" s="201"/>
    </row>
    <row r="11" spans="2:21" ht="5.0999999999999996" customHeight="1" x14ac:dyDescent="0.3">
      <c r="B11" s="2"/>
      <c r="C11" s="213"/>
      <c r="D11" s="216"/>
      <c r="E11" s="2"/>
      <c r="F11" s="201"/>
      <c r="G11" s="206"/>
      <c r="H11" s="201"/>
      <c r="I11" s="201"/>
      <c r="J11" s="201"/>
      <c r="K11" s="201"/>
      <c r="L11" s="201"/>
      <c r="M11" s="201"/>
      <c r="N11" s="201"/>
      <c r="O11" s="201"/>
      <c r="P11" s="201"/>
      <c r="Q11" s="201"/>
      <c r="R11" s="201"/>
      <c r="S11" s="201"/>
      <c r="T11" s="201"/>
      <c r="U11" s="201"/>
    </row>
    <row r="12" spans="2:21" x14ac:dyDescent="0.3">
      <c r="B12" s="2"/>
      <c r="C12" s="2"/>
      <c r="D12" s="201"/>
      <c r="E12" s="2"/>
      <c r="F12" s="300" t="s">
        <v>237</v>
      </c>
      <c r="G12" s="301"/>
      <c r="H12" s="299" t="s">
        <v>236</v>
      </c>
      <c r="I12" s="299"/>
      <c r="J12" s="217"/>
      <c r="K12" s="201"/>
      <c r="L12" s="201"/>
      <c r="M12" s="201"/>
      <c r="N12" s="201"/>
      <c r="O12" s="201"/>
      <c r="P12" s="201"/>
      <c r="Q12" s="201"/>
      <c r="R12" s="201"/>
      <c r="S12" s="201"/>
      <c r="T12" s="201"/>
      <c r="U12" s="201"/>
    </row>
    <row r="13" spans="2:21" ht="15.6" x14ac:dyDescent="0.3">
      <c r="B13" s="218" t="str">
        <f>IF(D4="Equity Multiple","Promote Structure (Equity Multiple Hurdles)","Promote Structure (IRR Hurdles)")</f>
        <v>Promote Structure (IRR Hurdles)</v>
      </c>
      <c r="C13" s="186"/>
      <c r="D13" s="219"/>
      <c r="E13" s="186"/>
      <c r="F13" s="302"/>
      <c r="G13" s="303"/>
      <c r="H13" s="220" t="s">
        <v>85</v>
      </c>
      <c r="I13" s="220" t="s">
        <v>86</v>
      </c>
      <c r="J13" s="221" t="s">
        <v>235</v>
      </c>
      <c r="K13" s="219"/>
      <c r="L13" s="219"/>
      <c r="M13" s="219"/>
      <c r="N13" s="219"/>
      <c r="O13" s="201"/>
      <c r="P13" s="201"/>
      <c r="Q13" s="201"/>
      <c r="R13" s="201"/>
      <c r="S13" s="201"/>
      <c r="T13" s="201"/>
      <c r="U13" s="201"/>
    </row>
    <row r="14" spans="2:21" x14ac:dyDescent="0.3">
      <c r="B14" s="2" t="s">
        <v>91</v>
      </c>
      <c r="C14" s="222" t="s">
        <v>81</v>
      </c>
      <c r="D14" s="223" t="s">
        <v>234</v>
      </c>
      <c r="E14" s="224">
        <f>IF($D$4="Equity Multiple",C15,D15)</f>
        <v>0.08</v>
      </c>
      <c r="F14" s="263" t="s">
        <v>254</v>
      </c>
      <c r="G14" s="225"/>
      <c r="H14" s="204">
        <f>Equity_Share_Sponsor</f>
        <v>0.1</v>
      </c>
      <c r="I14" s="209">
        <f>1-H14</f>
        <v>0.9</v>
      </c>
      <c r="J14" s="304" t="str">
        <f>IF(I14=Equity_Share_LP,"Pref prorata to LP/Sponsor, then Pro rata return of capital","Return of capital and Pref NOT pro rata")</f>
        <v>Pref prorata to LP/Sponsor, then Pro rata return of capital</v>
      </c>
      <c r="K14" s="305"/>
      <c r="L14" s="305"/>
      <c r="M14" s="305"/>
      <c r="N14" s="305"/>
      <c r="O14" s="201"/>
      <c r="P14" s="201"/>
      <c r="Q14" s="201"/>
      <c r="R14" s="201"/>
      <c r="S14" s="201"/>
      <c r="T14" s="201"/>
      <c r="U14" s="201"/>
    </row>
    <row r="15" spans="2:21" x14ac:dyDescent="0.3">
      <c r="B15" s="2" t="s">
        <v>82</v>
      </c>
      <c r="C15" s="226">
        <v>2</v>
      </c>
      <c r="D15" s="227">
        <v>0.08</v>
      </c>
      <c r="E15" s="228">
        <f>IF($D$4="Equity Multiple",C16,D16)</f>
        <v>0.12</v>
      </c>
      <c r="F15" s="204">
        <v>0.2</v>
      </c>
      <c r="G15" s="229"/>
      <c r="H15" s="230">
        <f>1-(Equity_Share_LP*(1-F15))</f>
        <v>0.27999999999999992</v>
      </c>
      <c r="I15" s="209">
        <f>1-H15</f>
        <v>0.72000000000000008</v>
      </c>
      <c r="J15" s="297" t="str">
        <f>IF(Equity_Share_Sponsor&lt;&gt;H14,TEXT(I14,"0.0%")&amp;"/"&amp;TEXT(H14,"0.0%")&amp;" to "&amp;(IF(D4="IRR",TEXT(E14,"0.0%"),TEXT(E14,"0.0X")))&amp;", then "&amp;TEXT(I15,"0.0%")&amp;"/"&amp;TEXT(H15,"0.0%")&amp;" to "&amp;(IF(D4="IRR",TEXT(E15,"0.0%"),TEXT(E15,"0.0X"))),"Prorata to LP/Sponsor to "&amp;(IF(D4="IRR",TEXT(E14,"0.0%"),TEXT(E14,"0.0X")))&amp;", then "&amp;TEXT(I15,"0.0%")&amp;"/"&amp;TEXT(H15,"0.0%")&amp;" to "&amp;(IF(D4="IRR",TEXT(E15,"0.0%"),TEXT(E15,"0.0X"))))</f>
        <v>Prorata to LP/Sponsor to 8.0%, then 72.0%/28.0% to 12.0%</v>
      </c>
      <c r="K15" s="298"/>
      <c r="L15" s="298"/>
      <c r="M15" s="298"/>
      <c r="N15" s="298"/>
      <c r="O15" s="201"/>
      <c r="P15" s="201"/>
      <c r="Q15" s="201"/>
      <c r="R15" s="201"/>
      <c r="S15" s="201"/>
      <c r="T15" s="201"/>
      <c r="U15" s="201"/>
    </row>
    <row r="16" spans="2:21" x14ac:dyDescent="0.3">
      <c r="B16" s="2" t="s">
        <v>83</v>
      </c>
      <c r="C16" s="226">
        <v>2.5</v>
      </c>
      <c r="D16" s="227">
        <v>0.12</v>
      </c>
      <c r="E16" s="228">
        <f>IF($D$4="Equity Multiple",C17,D17)</f>
        <v>0.15</v>
      </c>
      <c r="F16" s="204">
        <v>0.3</v>
      </c>
      <c r="G16" s="229"/>
      <c r="H16" s="230">
        <f>1-(Equity_Share_LP*(1-F16))</f>
        <v>0.37</v>
      </c>
      <c r="I16" s="209">
        <f>1-H16</f>
        <v>0.63</v>
      </c>
      <c r="J16" s="297" t="str">
        <f>TEXT(I15,"0.0%")&amp;"/"&amp;TEXT(H15,"0.0%")&amp;" to "&amp;(IF(D4="IRR",TEXT(E15,"0.0%"),TEXT(E15,"0.0X")))&amp;", then "&amp;TEXT(I16,"0.0%")&amp;"/"&amp;TEXT(H16,"0.0%")&amp;" to "&amp;(IF(D4="IRR",TEXT(E16,"0.0%"),TEXT(E16,"0.0X")))</f>
        <v>72.0%/28.0% to 12.0%, then 63.0%/37.0% to 15.0%</v>
      </c>
      <c r="K16" s="298"/>
      <c r="L16" s="298"/>
      <c r="M16" s="298"/>
      <c r="N16" s="298"/>
      <c r="O16" s="201"/>
      <c r="P16" s="201"/>
      <c r="Q16" s="201"/>
      <c r="R16" s="201"/>
      <c r="S16" s="201"/>
      <c r="T16" s="201"/>
      <c r="U16" s="201"/>
    </row>
    <row r="17" spans="2:21" x14ac:dyDescent="0.3">
      <c r="B17" s="2" t="s">
        <v>84</v>
      </c>
      <c r="C17" s="226">
        <v>3</v>
      </c>
      <c r="D17" s="227">
        <v>0.15</v>
      </c>
      <c r="E17" s="228"/>
      <c r="F17" s="204">
        <v>0.4</v>
      </c>
      <c r="G17" s="229"/>
      <c r="H17" s="230">
        <f>1-(Equity_Share_LP*(1-F17))</f>
        <v>0.45999999999999996</v>
      </c>
      <c r="I17" s="209">
        <f>1-H17</f>
        <v>0.54</v>
      </c>
      <c r="J17" s="297" t="str">
        <f>TEXT(I16,"0.0%")&amp;"/"&amp;TEXT(H16,"0.0%")&amp;" to "&amp;(IF(D4="IRR",TEXT(E16,"0.0%"),TEXT(E16,"0.0X")))&amp;", then "&amp;TEXT(I17,"0.0%")&amp;"/"&amp;TEXT(H17,"0.0%")&amp;" thereafter"</f>
        <v>63.0%/37.0% to 15.0%, then 54.0%/46.0% thereafter</v>
      </c>
      <c r="K17" s="298"/>
      <c r="L17" s="298"/>
      <c r="M17" s="298"/>
      <c r="N17" s="298"/>
      <c r="O17" s="201"/>
      <c r="P17" s="201"/>
      <c r="Q17" s="201"/>
      <c r="R17" s="201"/>
      <c r="S17" s="201"/>
      <c r="T17" s="201"/>
      <c r="U17" s="201"/>
    </row>
    <row r="18" spans="2:21" ht="5.0999999999999996" customHeight="1" x14ac:dyDescent="0.3">
      <c r="B18" s="2"/>
      <c r="C18" s="2"/>
      <c r="D18" s="231"/>
      <c r="E18" s="228"/>
      <c r="F18" s="206"/>
      <c r="G18" s="232"/>
      <c r="H18" s="233"/>
      <c r="I18" s="233"/>
      <c r="J18" s="201"/>
      <c r="K18" s="201"/>
      <c r="L18" s="201"/>
      <c r="M18" s="201"/>
      <c r="N18" s="201"/>
      <c r="O18" s="201"/>
      <c r="P18" s="201"/>
      <c r="Q18" s="201"/>
      <c r="R18" s="201"/>
      <c r="S18" s="201"/>
      <c r="T18" s="201"/>
      <c r="U18" s="201"/>
    </row>
    <row r="19" spans="2:21" ht="15.6" x14ac:dyDescent="0.3">
      <c r="B19" s="218" t="s">
        <v>101</v>
      </c>
      <c r="C19" s="186"/>
      <c r="D19" s="234"/>
      <c r="E19" s="235"/>
      <c r="F19" s="236">
        <v>0</v>
      </c>
      <c r="G19" s="236">
        <f t="shared" ref="G19:U19" si="0">IF(OR(F19="",F19=Analysis_Period),"",F19+1)</f>
        <v>1</v>
      </c>
      <c r="H19" s="236">
        <f t="shared" si="0"/>
        <v>2</v>
      </c>
      <c r="I19" s="236">
        <f t="shared" si="0"/>
        <v>3</v>
      </c>
      <c r="J19" s="236">
        <f t="shared" si="0"/>
        <v>4</v>
      </c>
      <c r="K19" s="236">
        <f t="shared" si="0"/>
        <v>5</v>
      </c>
      <c r="L19" s="236">
        <f t="shared" si="0"/>
        <v>6</v>
      </c>
      <c r="M19" s="236">
        <f t="shared" si="0"/>
        <v>7</v>
      </c>
      <c r="N19" s="236">
        <f t="shared" si="0"/>
        <v>8</v>
      </c>
      <c r="O19" s="236">
        <f t="shared" si="0"/>
        <v>9</v>
      </c>
      <c r="P19" s="236">
        <f t="shared" si="0"/>
        <v>10</v>
      </c>
      <c r="Q19" s="236" t="str">
        <f t="shared" si="0"/>
        <v/>
      </c>
      <c r="R19" s="236" t="str">
        <f t="shared" si="0"/>
        <v/>
      </c>
      <c r="S19" s="236" t="str">
        <f t="shared" si="0"/>
        <v/>
      </c>
      <c r="T19" s="236" t="str">
        <f t="shared" si="0"/>
        <v/>
      </c>
      <c r="U19" s="236" t="str">
        <f t="shared" si="0"/>
        <v/>
      </c>
    </row>
    <row r="20" spans="2:21" x14ac:dyDescent="0.3">
      <c r="B20" s="237" t="s">
        <v>109</v>
      </c>
      <c r="C20" s="2"/>
      <c r="D20" s="231"/>
      <c r="E20" s="228"/>
      <c r="F20" s="206"/>
      <c r="G20" s="232"/>
      <c r="H20" s="233"/>
      <c r="I20" s="233"/>
      <c r="J20" s="201"/>
      <c r="K20" s="201"/>
      <c r="L20" s="201"/>
      <c r="M20" s="201"/>
      <c r="N20" s="201"/>
      <c r="O20" s="201"/>
      <c r="P20" s="201"/>
      <c r="Q20" s="201"/>
      <c r="R20" s="201"/>
      <c r="S20" s="201"/>
      <c r="T20" s="201"/>
      <c r="U20" s="201"/>
    </row>
    <row r="21" spans="2:21" x14ac:dyDescent="0.3">
      <c r="B21" s="238" t="s">
        <v>102</v>
      </c>
      <c r="C21" s="2"/>
      <c r="D21" s="239">
        <f>SUM(F21:U21)</f>
        <v>6509543.706668213</v>
      </c>
      <c r="E21" s="228"/>
      <c r="F21" s="205">
        <f t="shared" ref="F21:U21" si="1">IF(F19="","",IF(GP_Only?,0,F53+F71+F86+F93))</f>
        <v>0</v>
      </c>
      <c r="G21" s="205">
        <f t="shared" si="1"/>
        <v>0</v>
      </c>
      <c r="H21" s="205">
        <f t="shared" si="1"/>
        <v>0</v>
      </c>
      <c r="I21" s="205">
        <f t="shared" si="1"/>
        <v>177784.73394241618</v>
      </c>
      <c r="J21" s="205">
        <f t="shared" si="1"/>
        <v>180876.29206452597</v>
      </c>
      <c r="K21" s="205">
        <f t="shared" si="1"/>
        <v>183948.72064258248</v>
      </c>
      <c r="L21" s="205">
        <f t="shared" si="1"/>
        <v>187000.43380694845</v>
      </c>
      <c r="M21" s="205">
        <f t="shared" si="1"/>
        <v>190029.7960327297</v>
      </c>
      <c r="N21" s="205">
        <f t="shared" si="1"/>
        <v>193035.12087871981</v>
      </c>
      <c r="O21" s="205">
        <f t="shared" si="1"/>
        <v>196014.66969710481</v>
      </c>
      <c r="P21" s="205">
        <f t="shared" si="1"/>
        <v>5200853.9396031853</v>
      </c>
      <c r="Q21" s="205" t="str">
        <f t="shared" si="1"/>
        <v/>
      </c>
      <c r="R21" s="205" t="str">
        <f t="shared" si="1"/>
        <v/>
      </c>
      <c r="S21" s="205" t="str">
        <f t="shared" si="1"/>
        <v/>
      </c>
      <c r="T21" s="205" t="str">
        <f t="shared" si="1"/>
        <v/>
      </c>
      <c r="U21" s="205" t="str">
        <f t="shared" si="1"/>
        <v/>
      </c>
    </row>
    <row r="22" spans="2:21" x14ac:dyDescent="0.3">
      <c r="B22" s="238" t="s">
        <v>105</v>
      </c>
      <c r="C22" s="2"/>
      <c r="D22" s="239">
        <f>SUM(F22:U22)</f>
        <v>2703241.1623058063</v>
      </c>
      <c r="E22" s="228"/>
      <c r="F22" s="205">
        <f t="shared" ref="F22:U22" si="2">F49</f>
        <v>2391412.5</v>
      </c>
      <c r="G22" s="205">
        <f t="shared" si="2"/>
        <v>248898.14676490315</v>
      </c>
      <c r="H22" s="205">
        <f t="shared" si="2"/>
        <v>62930.51554090315</v>
      </c>
      <c r="I22" s="205">
        <f t="shared" si="2"/>
        <v>0</v>
      </c>
      <c r="J22" s="205">
        <f t="shared" si="2"/>
        <v>0</v>
      </c>
      <c r="K22" s="205">
        <f t="shared" si="2"/>
        <v>0</v>
      </c>
      <c r="L22" s="205">
        <f t="shared" si="2"/>
        <v>0</v>
      </c>
      <c r="M22" s="205">
        <f t="shared" si="2"/>
        <v>0</v>
      </c>
      <c r="N22" s="205">
        <f t="shared" si="2"/>
        <v>0</v>
      </c>
      <c r="O22" s="205">
        <f t="shared" si="2"/>
        <v>0</v>
      </c>
      <c r="P22" s="205">
        <f t="shared" si="2"/>
        <v>0</v>
      </c>
      <c r="Q22" s="205" t="str">
        <f t="shared" si="2"/>
        <v/>
      </c>
      <c r="R22" s="205" t="str">
        <f t="shared" si="2"/>
        <v/>
      </c>
      <c r="S22" s="205" t="str">
        <f t="shared" si="2"/>
        <v/>
      </c>
      <c r="T22" s="205" t="str">
        <f t="shared" si="2"/>
        <v/>
      </c>
      <c r="U22" s="205" t="str">
        <f t="shared" si="2"/>
        <v/>
      </c>
    </row>
    <row r="23" spans="2:21" x14ac:dyDescent="0.3">
      <c r="B23" s="238" t="s">
        <v>106</v>
      </c>
      <c r="C23" s="2"/>
      <c r="D23" s="239">
        <f>D21-D22</f>
        <v>3806302.5443624067</v>
      </c>
      <c r="E23" s="228"/>
      <c r="F23" s="206"/>
      <c r="G23" s="232"/>
      <c r="H23" s="233"/>
      <c r="I23" s="233"/>
      <c r="J23" s="201"/>
      <c r="K23" s="201"/>
      <c r="L23" s="201"/>
      <c r="M23" s="201"/>
      <c r="N23" s="201"/>
      <c r="O23" s="201"/>
      <c r="P23" s="201"/>
      <c r="Q23" s="201"/>
      <c r="R23" s="201"/>
      <c r="S23" s="201"/>
      <c r="T23" s="201"/>
      <c r="U23" s="201"/>
    </row>
    <row r="24" spans="2:21" x14ac:dyDescent="0.3">
      <c r="B24" s="238" t="s">
        <v>104</v>
      </c>
      <c r="C24" s="2"/>
      <c r="D24" s="265">
        <f>IF(GP_Only?,"NA",IRR(F24:U24))</f>
        <v>0.10388158418086624</v>
      </c>
      <c r="E24" s="228"/>
      <c r="F24" s="205">
        <f t="shared" ref="F24:U24" si="3">IF(F19="","",(-F22)+F21)</f>
        <v>-2391412.5</v>
      </c>
      <c r="G24" s="205">
        <f t="shared" si="3"/>
        <v>-248898.14676490315</v>
      </c>
      <c r="H24" s="205">
        <f t="shared" si="3"/>
        <v>-62930.51554090315</v>
      </c>
      <c r="I24" s="205">
        <f t="shared" si="3"/>
        <v>177784.73394241618</v>
      </c>
      <c r="J24" s="205">
        <f t="shared" si="3"/>
        <v>180876.29206452597</v>
      </c>
      <c r="K24" s="205">
        <f t="shared" si="3"/>
        <v>183948.72064258248</v>
      </c>
      <c r="L24" s="205">
        <f t="shared" si="3"/>
        <v>187000.43380694845</v>
      </c>
      <c r="M24" s="205">
        <f t="shared" si="3"/>
        <v>190029.7960327297</v>
      </c>
      <c r="N24" s="205">
        <f t="shared" si="3"/>
        <v>193035.12087871981</v>
      </c>
      <c r="O24" s="205">
        <f t="shared" si="3"/>
        <v>196014.66969710481</v>
      </c>
      <c r="P24" s="205">
        <f t="shared" si="3"/>
        <v>5200853.9396031853</v>
      </c>
      <c r="Q24" s="205" t="str">
        <f t="shared" si="3"/>
        <v/>
      </c>
      <c r="R24" s="205" t="str">
        <f t="shared" si="3"/>
        <v/>
      </c>
      <c r="S24" s="205" t="str">
        <f t="shared" si="3"/>
        <v/>
      </c>
      <c r="T24" s="205" t="str">
        <f t="shared" si="3"/>
        <v/>
      </c>
      <c r="U24" s="205" t="str">
        <f t="shared" si="3"/>
        <v/>
      </c>
    </row>
    <row r="25" spans="2:21" x14ac:dyDescent="0.3">
      <c r="B25" s="238" t="s">
        <v>107</v>
      </c>
      <c r="C25" s="2"/>
      <c r="D25" s="266">
        <f>IF(GP_Only?,"NA",D21/D22)</f>
        <v>2.4080514152557937</v>
      </c>
      <c r="E25" s="228"/>
      <c r="F25" s="206"/>
      <c r="G25" s="232"/>
      <c r="H25" s="233"/>
      <c r="I25" s="233"/>
      <c r="J25" s="201"/>
      <c r="K25" s="201"/>
      <c r="L25" s="201"/>
      <c r="M25" s="201"/>
      <c r="N25" s="201"/>
      <c r="O25" s="201"/>
      <c r="P25" s="201"/>
      <c r="Q25" s="201"/>
      <c r="R25" s="201"/>
      <c r="S25" s="201"/>
      <c r="T25" s="201"/>
      <c r="U25" s="201"/>
    </row>
    <row r="26" spans="2:21" ht="5.0999999999999996" customHeight="1" x14ac:dyDescent="0.3">
      <c r="B26" s="238"/>
      <c r="C26" s="2"/>
      <c r="D26" s="231"/>
      <c r="E26" s="228"/>
      <c r="F26" s="206"/>
      <c r="G26" s="232"/>
      <c r="H26" s="233"/>
      <c r="I26" s="233"/>
      <c r="J26" s="201"/>
      <c r="K26" s="201"/>
      <c r="L26" s="201"/>
      <c r="M26" s="201"/>
      <c r="N26" s="201"/>
      <c r="O26" s="201"/>
      <c r="P26" s="201"/>
      <c r="Q26" s="201"/>
      <c r="R26" s="201"/>
      <c r="S26" s="201"/>
      <c r="T26" s="201"/>
      <c r="U26" s="201"/>
    </row>
    <row r="27" spans="2:21" x14ac:dyDescent="0.3">
      <c r="B27" s="237" t="s">
        <v>108</v>
      </c>
      <c r="C27" s="2"/>
      <c r="D27" s="231"/>
      <c r="E27" s="228"/>
      <c r="F27" s="206"/>
      <c r="G27" s="232"/>
      <c r="H27" s="233"/>
      <c r="I27" s="233"/>
      <c r="J27" s="201"/>
      <c r="K27" s="201"/>
      <c r="L27" s="201"/>
      <c r="M27" s="201"/>
      <c r="N27" s="201"/>
      <c r="O27" s="201"/>
      <c r="P27" s="201"/>
      <c r="Q27" s="201"/>
      <c r="R27" s="201"/>
      <c r="S27" s="201"/>
      <c r="T27" s="201"/>
      <c r="U27" s="201"/>
    </row>
    <row r="28" spans="2:21" x14ac:dyDescent="0.3">
      <c r="B28" s="238" t="s">
        <v>103</v>
      </c>
      <c r="C28" s="2"/>
      <c r="D28" s="239">
        <f>SUM(F28:U28)</f>
        <v>1061225.0725800872</v>
      </c>
      <c r="E28" s="228"/>
      <c r="F28" s="205">
        <f t="shared" ref="F28:U28" si="4">IF(F19="","",F56+F72+F87+F94)</f>
        <v>0</v>
      </c>
      <c r="G28" s="205">
        <f t="shared" si="4"/>
        <v>0</v>
      </c>
      <c r="H28" s="205">
        <f t="shared" si="4"/>
        <v>0</v>
      </c>
      <c r="I28" s="205">
        <f t="shared" si="4"/>
        <v>19753.85932693513</v>
      </c>
      <c r="J28" s="205">
        <f t="shared" si="4"/>
        <v>20097.365784947331</v>
      </c>
      <c r="K28" s="205">
        <f t="shared" si="4"/>
        <v>20438.746738064721</v>
      </c>
      <c r="L28" s="205">
        <f t="shared" si="4"/>
        <v>20777.825978549827</v>
      </c>
      <c r="M28" s="205">
        <f t="shared" si="4"/>
        <v>21114.42178141441</v>
      </c>
      <c r="N28" s="205">
        <f t="shared" si="4"/>
        <v>21448.346764302201</v>
      </c>
      <c r="O28" s="205">
        <f t="shared" si="4"/>
        <v>21779.407744122756</v>
      </c>
      <c r="P28" s="205">
        <f t="shared" si="4"/>
        <v>915815.09846175078</v>
      </c>
      <c r="Q28" s="205" t="str">
        <f t="shared" si="4"/>
        <v/>
      </c>
      <c r="R28" s="205" t="str">
        <f t="shared" si="4"/>
        <v/>
      </c>
      <c r="S28" s="205" t="str">
        <f t="shared" si="4"/>
        <v/>
      </c>
      <c r="T28" s="205" t="str">
        <f t="shared" si="4"/>
        <v/>
      </c>
      <c r="U28" s="205" t="str">
        <f t="shared" si="4"/>
        <v/>
      </c>
    </row>
    <row r="29" spans="2:21" x14ac:dyDescent="0.3">
      <c r="B29" s="238" t="s">
        <v>233</v>
      </c>
      <c r="C29" s="2"/>
      <c r="D29" s="239">
        <f>SUM(F29:U29)</f>
        <v>0</v>
      </c>
      <c r="E29" s="228"/>
      <c r="F29" s="205">
        <f t="shared" ref="F29:U29" si="5">IF(F19="","",SUM(F38:F39))</f>
        <v>0</v>
      </c>
      <c r="G29" s="205">
        <f t="shared" si="5"/>
        <v>0</v>
      </c>
      <c r="H29" s="205">
        <f t="shared" si="5"/>
        <v>0</v>
      </c>
      <c r="I29" s="205">
        <f t="shared" si="5"/>
        <v>0</v>
      </c>
      <c r="J29" s="205">
        <f t="shared" si="5"/>
        <v>0</v>
      </c>
      <c r="K29" s="205">
        <f t="shared" si="5"/>
        <v>0</v>
      </c>
      <c r="L29" s="205">
        <f t="shared" si="5"/>
        <v>0</v>
      </c>
      <c r="M29" s="205">
        <f t="shared" si="5"/>
        <v>0</v>
      </c>
      <c r="N29" s="205">
        <f t="shared" si="5"/>
        <v>0</v>
      </c>
      <c r="O29" s="205">
        <f t="shared" si="5"/>
        <v>0</v>
      </c>
      <c r="P29" s="205">
        <f t="shared" si="5"/>
        <v>0</v>
      </c>
      <c r="Q29" s="205" t="str">
        <f t="shared" si="5"/>
        <v/>
      </c>
      <c r="R29" s="205" t="str">
        <f t="shared" si="5"/>
        <v/>
      </c>
      <c r="S29" s="205" t="str">
        <f t="shared" si="5"/>
        <v/>
      </c>
      <c r="T29" s="205" t="str">
        <f t="shared" si="5"/>
        <v/>
      </c>
      <c r="U29" s="205" t="str">
        <f t="shared" si="5"/>
        <v/>
      </c>
    </row>
    <row r="30" spans="2:21" x14ac:dyDescent="0.3">
      <c r="B30" s="238" t="s">
        <v>110</v>
      </c>
      <c r="C30" s="2"/>
      <c r="D30" s="239">
        <f>SUM(F30:U30)</f>
        <v>300360.1291450896</v>
      </c>
      <c r="E30" s="228"/>
      <c r="F30" s="205">
        <f t="shared" ref="F30:U30" si="6">IF(F19="","",-(MIN(F40,0)+F49))</f>
        <v>265712.5</v>
      </c>
      <c r="G30" s="205">
        <f t="shared" si="6"/>
        <v>27655.349640544795</v>
      </c>
      <c r="H30" s="205">
        <f t="shared" si="6"/>
        <v>6992.2795045447929</v>
      </c>
      <c r="I30" s="205">
        <f t="shared" si="6"/>
        <v>0</v>
      </c>
      <c r="J30" s="205">
        <f t="shared" si="6"/>
        <v>0</v>
      </c>
      <c r="K30" s="205">
        <f t="shared" si="6"/>
        <v>0</v>
      </c>
      <c r="L30" s="205">
        <f t="shared" si="6"/>
        <v>0</v>
      </c>
      <c r="M30" s="205">
        <f t="shared" si="6"/>
        <v>0</v>
      </c>
      <c r="N30" s="205">
        <f t="shared" si="6"/>
        <v>0</v>
      </c>
      <c r="O30" s="205">
        <f t="shared" si="6"/>
        <v>0</v>
      </c>
      <c r="P30" s="205">
        <f t="shared" si="6"/>
        <v>0</v>
      </c>
      <c r="Q30" s="205" t="str">
        <f t="shared" si="6"/>
        <v/>
      </c>
      <c r="R30" s="205" t="str">
        <f t="shared" si="6"/>
        <v/>
      </c>
      <c r="S30" s="205" t="str">
        <f t="shared" si="6"/>
        <v/>
      </c>
      <c r="T30" s="205" t="str">
        <f t="shared" si="6"/>
        <v/>
      </c>
      <c r="U30" s="205" t="str">
        <f t="shared" si="6"/>
        <v/>
      </c>
    </row>
    <row r="31" spans="2:21" x14ac:dyDescent="0.3">
      <c r="B31" s="238" t="s">
        <v>111</v>
      </c>
      <c r="C31" s="2"/>
      <c r="D31" s="239">
        <f>+D28+D29-D30</f>
        <v>760864.94343499769</v>
      </c>
      <c r="E31" s="228"/>
      <c r="F31" s="206"/>
      <c r="G31" s="232"/>
      <c r="H31" s="233"/>
      <c r="I31" s="233"/>
      <c r="J31" s="201"/>
      <c r="K31" s="201"/>
      <c r="L31" s="201"/>
      <c r="M31" s="201"/>
      <c r="N31" s="201"/>
      <c r="O31" s="201"/>
      <c r="P31" s="201"/>
      <c r="Q31" s="201"/>
      <c r="R31" s="201"/>
      <c r="S31" s="201"/>
      <c r="T31" s="201"/>
      <c r="U31" s="201"/>
    </row>
    <row r="32" spans="2:21" x14ac:dyDescent="0.3">
      <c r="B32" s="238" t="s">
        <v>112</v>
      </c>
      <c r="C32" s="2"/>
      <c r="D32" s="23">
        <f>IRR(F32:U32)</f>
        <v>0.14827582241567905</v>
      </c>
      <c r="E32" s="228"/>
      <c r="F32" s="205">
        <f t="shared" ref="F32:U32" si="7">IF(F19="","",(-F30)+F28+F29)</f>
        <v>-265712.5</v>
      </c>
      <c r="G32" s="205">
        <f t="shared" si="7"/>
        <v>-27655.349640544795</v>
      </c>
      <c r="H32" s="205">
        <f t="shared" si="7"/>
        <v>-6992.2795045447929</v>
      </c>
      <c r="I32" s="205">
        <f t="shared" si="7"/>
        <v>19753.85932693513</v>
      </c>
      <c r="J32" s="205">
        <f t="shared" si="7"/>
        <v>20097.365784947331</v>
      </c>
      <c r="K32" s="205">
        <f t="shared" si="7"/>
        <v>20438.746738064721</v>
      </c>
      <c r="L32" s="205">
        <f t="shared" si="7"/>
        <v>20777.825978549827</v>
      </c>
      <c r="M32" s="205">
        <f t="shared" si="7"/>
        <v>21114.42178141441</v>
      </c>
      <c r="N32" s="205">
        <f t="shared" si="7"/>
        <v>21448.346764302201</v>
      </c>
      <c r="O32" s="205">
        <f t="shared" si="7"/>
        <v>21779.407744122756</v>
      </c>
      <c r="P32" s="205">
        <f t="shared" si="7"/>
        <v>915815.09846175078</v>
      </c>
      <c r="Q32" s="205" t="str">
        <f t="shared" si="7"/>
        <v/>
      </c>
      <c r="R32" s="205" t="str">
        <f t="shared" si="7"/>
        <v/>
      </c>
      <c r="S32" s="205" t="str">
        <f t="shared" si="7"/>
        <v/>
      </c>
      <c r="T32" s="205" t="str">
        <f t="shared" si="7"/>
        <v/>
      </c>
      <c r="U32" s="205" t="str">
        <f t="shared" si="7"/>
        <v/>
      </c>
    </row>
    <row r="33" spans="2:25" x14ac:dyDescent="0.3">
      <c r="B33" s="238" t="s">
        <v>113</v>
      </c>
      <c r="C33" s="2"/>
      <c r="D33" s="240">
        <f>SUMIF(F32:U32,"&gt;0")/-SUMIF(F32:U32,"&lt;0")</f>
        <v>3.5331755769337154</v>
      </c>
      <c r="E33" s="228"/>
      <c r="F33" s="206"/>
      <c r="G33" s="232"/>
      <c r="H33" s="233"/>
      <c r="I33" s="233"/>
      <c r="J33" s="201"/>
      <c r="K33" s="201"/>
      <c r="L33" s="201"/>
      <c r="M33" s="201"/>
      <c r="N33" s="201"/>
      <c r="O33" s="201"/>
      <c r="P33" s="201"/>
      <c r="Q33" s="201"/>
      <c r="R33" s="201"/>
      <c r="S33" s="201"/>
      <c r="T33" s="201"/>
      <c r="U33" s="201"/>
    </row>
    <row r="34" spans="2:25" ht="5.0999999999999996" customHeight="1" x14ac:dyDescent="0.3">
      <c r="B34" s="241"/>
      <c r="C34" s="242"/>
      <c r="D34" s="243"/>
      <c r="E34" s="2"/>
      <c r="F34" s="201"/>
      <c r="G34" s="201"/>
      <c r="H34" s="201"/>
      <c r="I34" s="201"/>
      <c r="J34" s="201"/>
      <c r="K34" s="201"/>
      <c r="L34" s="201"/>
      <c r="M34" s="201"/>
      <c r="N34" s="201"/>
      <c r="O34" s="201"/>
      <c r="P34" s="201"/>
      <c r="Q34" s="201"/>
      <c r="R34" s="201"/>
      <c r="S34" s="201"/>
      <c r="T34" s="201"/>
      <c r="U34" s="201"/>
    </row>
    <row r="35" spans="2:25" ht="15.6" x14ac:dyDescent="0.3">
      <c r="B35" s="218" t="s">
        <v>100</v>
      </c>
      <c r="C35" s="186"/>
      <c r="D35" s="186"/>
      <c r="E35" s="244"/>
      <c r="F35" s="219" t="s">
        <v>90</v>
      </c>
      <c r="G35" s="236">
        <f t="shared" ref="G35:U35" si="8">G19</f>
        <v>1</v>
      </c>
      <c r="H35" s="236">
        <f t="shared" si="8"/>
        <v>2</v>
      </c>
      <c r="I35" s="236">
        <f t="shared" si="8"/>
        <v>3</v>
      </c>
      <c r="J35" s="236">
        <f t="shared" si="8"/>
        <v>4</v>
      </c>
      <c r="K35" s="236">
        <f t="shared" si="8"/>
        <v>5</v>
      </c>
      <c r="L35" s="236">
        <f t="shared" si="8"/>
        <v>6</v>
      </c>
      <c r="M35" s="236">
        <f t="shared" si="8"/>
        <v>7</v>
      </c>
      <c r="N35" s="236">
        <f t="shared" si="8"/>
        <v>8</v>
      </c>
      <c r="O35" s="236">
        <f t="shared" si="8"/>
        <v>9</v>
      </c>
      <c r="P35" s="236">
        <f t="shared" si="8"/>
        <v>10</v>
      </c>
      <c r="Q35" s="236" t="str">
        <f t="shared" si="8"/>
        <v/>
      </c>
      <c r="R35" s="236" t="str">
        <f t="shared" si="8"/>
        <v/>
      </c>
      <c r="S35" s="236" t="str">
        <f t="shared" si="8"/>
        <v/>
      </c>
      <c r="T35" s="236" t="str">
        <f t="shared" si="8"/>
        <v/>
      </c>
      <c r="U35" s="236" t="str">
        <f t="shared" si="8"/>
        <v/>
      </c>
      <c r="V35" s="4"/>
      <c r="W35" s="4"/>
      <c r="X35" s="4"/>
      <c r="Y35" s="4"/>
    </row>
    <row r="36" spans="2:25" x14ac:dyDescent="0.3">
      <c r="B36" s="2"/>
      <c r="C36" s="2"/>
      <c r="D36" s="2"/>
      <c r="E36" s="245" t="s">
        <v>18</v>
      </c>
      <c r="F36" s="258">
        <f>EOMONTH(G36,-12)</f>
        <v>42369</v>
      </c>
      <c r="G36" s="259">
        <f>IF(G35="","",'Property Returns'!D4)</f>
        <v>42735</v>
      </c>
      <c r="H36" s="259">
        <f>IF(H35="","",'Property Returns'!E4)</f>
        <v>43100</v>
      </c>
      <c r="I36" s="259">
        <f>IF(I35="","",'Property Returns'!F4)</f>
        <v>43465</v>
      </c>
      <c r="J36" s="259">
        <f>IF(J35="","",'Property Returns'!G4)</f>
        <v>43830</v>
      </c>
      <c r="K36" s="259">
        <f>IF(K35="","",'Property Returns'!H4)</f>
        <v>44196</v>
      </c>
      <c r="L36" s="259">
        <f>IF(L35="","",'Property Returns'!I4)</f>
        <v>44561</v>
      </c>
      <c r="M36" s="259">
        <f>IF(M35="","",'Property Returns'!J4)</f>
        <v>44926</v>
      </c>
      <c r="N36" s="259">
        <f>IF(N35="","",'Property Returns'!K4)</f>
        <v>45291</v>
      </c>
      <c r="O36" s="259">
        <f>IF(O35="","",'Property Returns'!L4)</f>
        <v>45657</v>
      </c>
      <c r="P36" s="259">
        <f>IF(P35="","",'Property Returns'!M4)</f>
        <v>46022</v>
      </c>
      <c r="Q36" s="259" t="str">
        <f>IF(Q35="","",'Property Returns'!N4)</f>
        <v/>
      </c>
      <c r="R36" s="259" t="str">
        <f>IF(R35="","",'Property Returns'!O4)</f>
        <v/>
      </c>
      <c r="S36" s="259" t="str">
        <f>IF(S35="","",'Property Returns'!P4)</f>
        <v/>
      </c>
      <c r="T36" s="259" t="str">
        <f>IF(T35="","",'Property Returns'!Q4)</f>
        <v/>
      </c>
      <c r="U36" s="259" t="str">
        <f>IF(U35="","",'Property Returns'!R4)</f>
        <v/>
      </c>
      <c r="V36" s="4"/>
      <c r="W36" s="4"/>
      <c r="X36" s="4"/>
      <c r="Y36" s="4"/>
    </row>
    <row r="37" spans="2:25" x14ac:dyDescent="0.3">
      <c r="B37" s="28" t="s">
        <v>232</v>
      </c>
      <c r="C37" s="2"/>
      <c r="D37" s="2"/>
      <c r="E37" s="246"/>
      <c r="F37" s="247">
        <f>-Initial_Equity</f>
        <v>-2657125</v>
      </c>
      <c r="G37" s="247">
        <f>IF(G19="","",'Property Returns'!D34+(G19=Analysis_Period)*'Property Returns'!D31)</f>
        <v>-276553.49640544795</v>
      </c>
      <c r="H37" s="247">
        <f>IF(H19="","",'Property Returns'!E34+(H19=Analysis_Period)*'Property Returns'!E31)</f>
        <v>-69922.795045447943</v>
      </c>
      <c r="I37" s="247">
        <f>IF(I19="","",'Property Returns'!F34+(I19=Analysis_Period)*'Property Returns'!F31)</f>
        <v>197538.59326935129</v>
      </c>
      <c r="J37" s="247">
        <f>IF(J19="","",'Property Returns'!G34+(J19=Analysis_Period)*'Property Returns'!G31)</f>
        <v>200973.6578494733</v>
      </c>
      <c r="K37" s="247">
        <f>IF(K19="","",'Property Returns'!H34+(K19=Analysis_Period)*'Property Returns'!H31)</f>
        <v>204387.4673806472</v>
      </c>
      <c r="L37" s="247">
        <f>IF(L19="","",'Property Returns'!I34+(L19=Analysis_Period)*'Property Returns'!I31)</f>
        <v>207778.25978549826</v>
      </c>
      <c r="M37" s="247">
        <f>IF(M19="","",'Property Returns'!J34+(M19=Analysis_Period)*'Property Returns'!J31)</f>
        <v>211144.2178141441</v>
      </c>
      <c r="N37" s="247">
        <f>IF(N19="","",'Property Returns'!K34+(N19=Analysis_Period)*'Property Returns'!K31)</f>
        <v>214483.46764302201</v>
      </c>
      <c r="O37" s="247">
        <f>IF(O19="","",'Property Returns'!L34+(O19=Analysis_Period)*'Property Returns'!L31)</f>
        <v>217794.07744122756</v>
      </c>
      <c r="P37" s="247">
        <f>IF(P19="","",'Property Returns'!M34+(P19=Analysis_Period)*'Property Returns'!M31)</f>
        <v>6116669.0380649352</v>
      </c>
      <c r="Q37" s="247" t="str">
        <f>IF(Q19="","",'Property Returns'!N34+(Q19=Analysis_Period)*'Property Returns'!N31)</f>
        <v/>
      </c>
      <c r="R37" s="247" t="str">
        <f>IF(R19="","",'Property Returns'!O34+(R19=Analysis_Period)*'Property Returns'!O31)</f>
        <v/>
      </c>
      <c r="S37" s="247" t="str">
        <f>IF(S19="","",'Property Returns'!P34+(S19=Analysis_Period)*'Property Returns'!P31)</f>
        <v/>
      </c>
      <c r="T37" s="247" t="str">
        <f>IF(T19="","",'Property Returns'!Q34+(T19=Analysis_Period)*'Property Returns'!Q31)</f>
        <v/>
      </c>
      <c r="U37" s="247" t="str">
        <f>IF(U19="","",'Property Returns'!R34+(U19=Analysis_Period)*'Property Returns'!R31)</f>
        <v/>
      </c>
    </row>
    <row r="38" spans="2:25" x14ac:dyDescent="0.3">
      <c r="B38" s="248" t="s">
        <v>231</v>
      </c>
      <c r="C38" s="2"/>
      <c r="D38" s="2"/>
      <c r="E38" s="246"/>
      <c r="F38" s="249">
        <v>0</v>
      </c>
      <c r="G38" s="249">
        <v>0</v>
      </c>
      <c r="H38" s="249">
        <v>0</v>
      </c>
      <c r="I38" s="249">
        <v>0</v>
      </c>
      <c r="J38" s="249">
        <v>0</v>
      </c>
      <c r="K38" s="249">
        <v>0</v>
      </c>
      <c r="L38" s="249">
        <v>0</v>
      </c>
      <c r="M38" s="249">
        <v>0</v>
      </c>
      <c r="N38" s="249">
        <v>0</v>
      </c>
      <c r="O38" s="249">
        <v>0</v>
      </c>
      <c r="P38" s="249">
        <v>0</v>
      </c>
      <c r="Q38" s="249"/>
      <c r="R38" s="249"/>
      <c r="S38" s="249"/>
      <c r="T38" s="249"/>
      <c r="U38" s="249"/>
    </row>
    <row r="39" spans="2:25" x14ac:dyDescent="0.3">
      <c r="B39" s="248" t="s">
        <v>230</v>
      </c>
      <c r="C39" s="2"/>
      <c r="D39" s="2"/>
      <c r="E39" s="246"/>
      <c r="F39" s="249">
        <v>0</v>
      </c>
      <c r="G39" s="249">
        <v>0</v>
      </c>
      <c r="H39" s="249">
        <v>0</v>
      </c>
      <c r="I39" s="249">
        <v>0</v>
      </c>
      <c r="J39" s="249">
        <v>0</v>
      </c>
      <c r="K39" s="249">
        <v>0</v>
      </c>
      <c r="L39" s="249">
        <v>0</v>
      </c>
      <c r="M39" s="249">
        <v>0</v>
      </c>
      <c r="N39" s="249">
        <v>0</v>
      </c>
      <c r="O39" s="249">
        <v>0</v>
      </c>
      <c r="P39" s="249">
        <v>0</v>
      </c>
      <c r="Q39" s="249"/>
      <c r="R39" s="249"/>
      <c r="S39" s="249"/>
      <c r="T39" s="249"/>
      <c r="U39" s="249"/>
    </row>
    <row r="40" spans="2:25" x14ac:dyDescent="0.3">
      <c r="B40" s="2" t="s">
        <v>229</v>
      </c>
      <c r="C40" s="2"/>
      <c r="D40" s="2"/>
      <c r="E40" s="246"/>
      <c r="F40" s="250">
        <f t="shared" ref="F40:U40" si="9">IF(F35="","",F37-F38-F39)</f>
        <v>-2657125</v>
      </c>
      <c r="G40" s="250">
        <f t="shared" si="9"/>
        <v>-276553.49640544795</v>
      </c>
      <c r="H40" s="250">
        <f t="shared" si="9"/>
        <v>-69922.795045447943</v>
      </c>
      <c r="I40" s="250">
        <f t="shared" si="9"/>
        <v>197538.59326935129</v>
      </c>
      <c r="J40" s="250">
        <f t="shared" si="9"/>
        <v>200973.6578494733</v>
      </c>
      <c r="K40" s="250">
        <f t="shared" si="9"/>
        <v>204387.4673806472</v>
      </c>
      <c r="L40" s="250">
        <f t="shared" si="9"/>
        <v>207778.25978549826</v>
      </c>
      <c r="M40" s="250">
        <f t="shared" si="9"/>
        <v>211144.2178141441</v>
      </c>
      <c r="N40" s="250">
        <f t="shared" si="9"/>
        <v>214483.46764302201</v>
      </c>
      <c r="O40" s="250">
        <f t="shared" si="9"/>
        <v>217794.07744122756</v>
      </c>
      <c r="P40" s="250">
        <f t="shared" si="9"/>
        <v>6116669.0380649352</v>
      </c>
      <c r="Q40" s="250" t="str">
        <f t="shared" si="9"/>
        <v/>
      </c>
      <c r="R40" s="250" t="str">
        <f t="shared" si="9"/>
        <v/>
      </c>
      <c r="S40" s="250" t="str">
        <f t="shared" si="9"/>
        <v/>
      </c>
      <c r="T40" s="250" t="str">
        <f t="shared" si="9"/>
        <v/>
      </c>
      <c r="U40" s="250" t="str">
        <f t="shared" si="9"/>
        <v/>
      </c>
    </row>
    <row r="41" spans="2:25" x14ac:dyDescent="0.3">
      <c r="B41" s="2" t="s">
        <v>56</v>
      </c>
      <c r="C41" s="2"/>
      <c r="D41" s="2"/>
      <c r="E41" s="2"/>
      <c r="F41" s="233">
        <f>IRR(F40:U40)</f>
        <v>0.10915007624475148</v>
      </c>
      <c r="G41" s="201"/>
      <c r="H41" s="201"/>
      <c r="I41" s="201"/>
      <c r="J41" s="201"/>
      <c r="K41" s="201"/>
      <c r="L41" s="201"/>
      <c r="M41" s="201"/>
      <c r="N41" s="201"/>
      <c r="O41" s="201"/>
      <c r="P41" s="201"/>
      <c r="Q41" s="201"/>
      <c r="R41" s="201"/>
      <c r="S41" s="201"/>
      <c r="T41" s="201"/>
      <c r="U41" s="201"/>
    </row>
    <row r="42" spans="2:25" x14ac:dyDescent="0.3">
      <c r="B42" s="2" t="s">
        <v>81</v>
      </c>
      <c r="C42" s="2"/>
      <c r="D42" s="2"/>
      <c r="E42" s="2"/>
      <c r="F42" s="251">
        <f>SUMIF(F40:U40,"&gt;0")/-SUMIF(F40:U40,"&lt;0")</f>
        <v>2.5205638314235852</v>
      </c>
      <c r="G42" s="201"/>
      <c r="H42" s="201"/>
      <c r="I42" s="201"/>
      <c r="J42" s="201"/>
      <c r="K42" s="201"/>
      <c r="L42" s="201"/>
      <c r="M42" s="201"/>
      <c r="N42" s="201"/>
      <c r="O42" s="201"/>
      <c r="P42" s="201"/>
      <c r="Q42" s="201"/>
      <c r="R42" s="201"/>
      <c r="S42" s="201"/>
      <c r="T42" s="201"/>
      <c r="U42" s="201"/>
    </row>
    <row r="43" spans="2:25" ht="5.0999999999999996" customHeight="1" x14ac:dyDescent="0.3">
      <c r="B43" s="2"/>
      <c r="C43" s="2"/>
      <c r="D43" s="2"/>
      <c r="E43" s="201"/>
      <c r="F43" s="252"/>
      <c r="G43" s="201"/>
      <c r="H43" s="201"/>
      <c r="I43" s="201"/>
      <c r="J43" s="201"/>
      <c r="K43" s="201"/>
      <c r="L43" s="201"/>
      <c r="M43" s="201"/>
      <c r="N43" s="201"/>
      <c r="O43" s="201"/>
      <c r="P43" s="252"/>
      <c r="Q43" s="201"/>
      <c r="R43" s="201"/>
      <c r="S43" s="201"/>
      <c r="T43" s="201"/>
      <c r="U43" s="201"/>
    </row>
    <row r="44" spans="2:25" ht="15.6" x14ac:dyDescent="0.3">
      <c r="B44" s="3" t="s">
        <v>228</v>
      </c>
      <c r="C44" s="2"/>
      <c r="D44" s="2"/>
      <c r="E44" s="2"/>
      <c r="F44" s="201"/>
      <c r="G44" s="201"/>
      <c r="H44" s="201"/>
      <c r="I44" s="201"/>
      <c r="J44" s="201"/>
      <c r="K44" s="201"/>
      <c r="L44" s="201"/>
      <c r="M44" s="201"/>
      <c r="N44" s="201"/>
      <c r="O44" s="201"/>
      <c r="P44" s="201"/>
      <c r="Q44" s="201"/>
      <c r="R44" s="201"/>
      <c r="S44" s="201"/>
      <c r="T44" s="201"/>
      <c r="U44" s="201"/>
    </row>
    <row r="45" spans="2:25" x14ac:dyDescent="0.3">
      <c r="B45" s="253" t="s">
        <v>223</v>
      </c>
      <c r="C45" s="254">
        <f>E14</f>
        <v>0.08</v>
      </c>
      <c r="D45" s="186"/>
      <c r="E45" s="186"/>
      <c r="F45" s="219"/>
      <c r="G45" s="219"/>
      <c r="H45" s="219"/>
      <c r="I45" s="219"/>
      <c r="J45" s="219"/>
      <c r="K45" s="219"/>
      <c r="L45" s="219"/>
      <c r="M45" s="219"/>
      <c r="N45" s="219"/>
      <c r="O45" s="219"/>
      <c r="P45" s="219"/>
      <c r="Q45" s="219"/>
      <c r="R45" s="219"/>
      <c r="S45" s="219"/>
      <c r="T45" s="219"/>
      <c r="U45" s="219"/>
    </row>
    <row r="46" spans="2:25" x14ac:dyDescent="0.3">
      <c r="B46" s="2" t="s">
        <v>92</v>
      </c>
      <c r="C46" s="2"/>
      <c r="D46" s="2"/>
      <c r="E46" s="2"/>
      <c r="F46" s="255">
        <f t="shared" ref="F46:U46" si="10">IF(F35="","",E51)</f>
        <v>0</v>
      </c>
      <c r="G46" s="255">
        <f t="shared" si="10"/>
        <v>2391412.5</v>
      </c>
      <c r="H46" s="255">
        <f t="shared" si="10"/>
        <v>2831623.6467649033</v>
      </c>
      <c r="I46" s="255">
        <f t="shared" si="10"/>
        <v>3121084.0540469987</v>
      </c>
      <c r="J46" s="255">
        <f t="shared" si="10"/>
        <v>3192986.0444283425</v>
      </c>
      <c r="K46" s="255">
        <f t="shared" si="10"/>
        <v>3267548.6359180836</v>
      </c>
      <c r="L46" s="255">
        <f t="shared" si="10"/>
        <v>3345003.8061489477</v>
      </c>
      <c r="M46" s="255">
        <f t="shared" si="10"/>
        <v>3425603.6768339151</v>
      </c>
      <c r="N46" s="255">
        <f t="shared" si="10"/>
        <v>3509622.1749478988</v>
      </c>
      <c r="O46" s="255">
        <f t="shared" si="10"/>
        <v>3597356.8280650112</v>
      </c>
      <c r="P46" s="255">
        <f t="shared" si="10"/>
        <v>3689130.7046131073</v>
      </c>
      <c r="Q46" s="255" t="str">
        <f t="shared" si="10"/>
        <v/>
      </c>
      <c r="R46" s="255" t="str">
        <f t="shared" si="10"/>
        <v/>
      </c>
      <c r="S46" s="255" t="str">
        <f t="shared" si="10"/>
        <v/>
      </c>
      <c r="T46" s="255" t="str">
        <f t="shared" si="10"/>
        <v/>
      </c>
      <c r="U46" s="255" t="str">
        <f t="shared" si="10"/>
        <v/>
      </c>
    </row>
    <row r="47" spans="2:25" x14ac:dyDescent="0.3">
      <c r="B47" s="2" t="s">
        <v>227</v>
      </c>
      <c r="C47" s="2"/>
      <c r="D47" s="2"/>
      <c r="E47" s="2"/>
      <c r="F47" s="256" t="str">
        <f>IF(ROUND(SUM(G47:U47),0)=ROUND(SUM(F49:U49),0),"All Capital Returned","Capital Not Returned")</f>
        <v>All Capital Returned</v>
      </c>
      <c r="G47" s="255">
        <f t="shared" ref="G47:U47" si="11">IF(G35="","",G53-G48)</f>
        <v>-191313</v>
      </c>
      <c r="H47" s="255">
        <f t="shared" si="11"/>
        <v>-226529.89174119226</v>
      </c>
      <c r="I47" s="255">
        <f t="shared" si="11"/>
        <v>-71901.990381343727</v>
      </c>
      <c r="J47" s="255">
        <f t="shared" si="11"/>
        <v>-74562.591489741433</v>
      </c>
      <c r="K47" s="255">
        <f t="shared" si="11"/>
        <v>-77455.170230864198</v>
      </c>
      <c r="L47" s="255">
        <f t="shared" si="11"/>
        <v>-80599.870684967347</v>
      </c>
      <c r="M47" s="255">
        <f t="shared" si="11"/>
        <v>-84018.498113983514</v>
      </c>
      <c r="N47" s="255">
        <f t="shared" si="11"/>
        <v>-87734.653117112088</v>
      </c>
      <c r="O47" s="255">
        <f t="shared" si="11"/>
        <v>-91773.876548096101</v>
      </c>
      <c r="P47" s="255">
        <f t="shared" si="11"/>
        <v>3689130.7046131073</v>
      </c>
      <c r="Q47" s="255" t="str">
        <f t="shared" si="11"/>
        <v/>
      </c>
      <c r="R47" s="255" t="str">
        <f t="shared" si="11"/>
        <v/>
      </c>
      <c r="S47" s="255" t="str">
        <f t="shared" si="11"/>
        <v/>
      </c>
      <c r="T47" s="255" t="str">
        <f t="shared" si="11"/>
        <v/>
      </c>
      <c r="U47" s="255" t="str">
        <f t="shared" si="11"/>
        <v/>
      </c>
    </row>
    <row r="48" spans="2:25" x14ac:dyDescent="0.3">
      <c r="B48" s="2" t="s">
        <v>226</v>
      </c>
      <c r="C48" s="2"/>
      <c r="D48" s="2"/>
      <c r="E48" s="2"/>
      <c r="F48" s="255">
        <f t="shared" ref="F48:U48" si="12">IF(F46="","",IF($D$4="Equity Multiple",E49*$C45-E49,F46*Preferred_Return))</f>
        <v>0</v>
      </c>
      <c r="G48" s="255">
        <f t="shared" si="12"/>
        <v>191313</v>
      </c>
      <c r="H48" s="255">
        <f t="shared" si="12"/>
        <v>226529.89174119226</v>
      </c>
      <c r="I48" s="255">
        <f t="shared" si="12"/>
        <v>249686.7243237599</v>
      </c>
      <c r="J48" s="255">
        <f t="shared" si="12"/>
        <v>255438.88355426741</v>
      </c>
      <c r="K48" s="255">
        <f t="shared" si="12"/>
        <v>261403.89087344668</v>
      </c>
      <c r="L48" s="255">
        <f t="shared" si="12"/>
        <v>267600.3044919158</v>
      </c>
      <c r="M48" s="255">
        <f t="shared" si="12"/>
        <v>274048.29414671322</v>
      </c>
      <c r="N48" s="255">
        <f t="shared" si="12"/>
        <v>280769.7739958319</v>
      </c>
      <c r="O48" s="255">
        <f t="shared" si="12"/>
        <v>287788.54624520091</v>
      </c>
      <c r="P48" s="255">
        <f t="shared" si="12"/>
        <v>295130.45636904857</v>
      </c>
      <c r="Q48" s="255" t="str">
        <f t="shared" si="12"/>
        <v/>
      </c>
      <c r="R48" s="255" t="str">
        <f t="shared" si="12"/>
        <v/>
      </c>
      <c r="S48" s="255" t="str">
        <f t="shared" si="12"/>
        <v/>
      </c>
      <c r="T48" s="255" t="str">
        <f t="shared" si="12"/>
        <v/>
      </c>
      <c r="U48" s="255" t="str">
        <f t="shared" si="12"/>
        <v/>
      </c>
    </row>
    <row r="49" spans="2:21" x14ac:dyDescent="0.3">
      <c r="B49" s="2" t="s">
        <v>94</v>
      </c>
      <c r="C49" s="2"/>
      <c r="D49" s="2"/>
      <c r="E49" s="2"/>
      <c r="F49" s="255">
        <f t="shared" ref="F49:U49" si="13">IF(F46="","",-MIN(0,F40*Equity_Share_LP))</f>
        <v>2391412.5</v>
      </c>
      <c r="G49" s="255">
        <f t="shared" si="13"/>
        <v>248898.14676490315</v>
      </c>
      <c r="H49" s="255">
        <f t="shared" si="13"/>
        <v>62930.51554090315</v>
      </c>
      <c r="I49" s="255">
        <f t="shared" si="13"/>
        <v>0</v>
      </c>
      <c r="J49" s="255">
        <f t="shared" si="13"/>
        <v>0</v>
      </c>
      <c r="K49" s="255">
        <f t="shared" si="13"/>
        <v>0</v>
      </c>
      <c r="L49" s="255">
        <f t="shared" si="13"/>
        <v>0</v>
      </c>
      <c r="M49" s="255">
        <f t="shared" si="13"/>
        <v>0</v>
      </c>
      <c r="N49" s="255">
        <f t="shared" si="13"/>
        <v>0</v>
      </c>
      <c r="O49" s="255">
        <f t="shared" si="13"/>
        <v>0</v>
      </c>
      <c r="P49" s="255">
        <f t="shared" si="13"/>
        <v>0</v>
      </c>
      <c r="Q49" s="255" t="str">
        <f t="shared" si="13"/>
        <v/>
      </c>
      <c r="R49" s="255" t="str">
        <f t="shared" si="13"/>
        <v/>
      </c>
      <c r="S49" s="255" t="str">
        <f t="shared" si="13"/>
        <v/>
      </c>
      <c r="T49" s="255" t="str">
        <f t="shared" si="13"/>
        <v/>
      </c>
      <c r="U49" s="255" t="str">
        <f t="shared" si="13"/>
        <v/>
      </c>
    </row>
    <row r="50" spans="2:21" x14ac:dyDescent="0.3">
      <c r="B50" s="2" t="s">
        <v>98</v>
      </c>
      <c r="C50" s="2"/>
      <c r="D50" s="2"/>
      <c r="E50" s="2"/>
      <c r="F50" s="205">
        <f t="shared" ref="F50:U50" si="14">IF(F46="","",MIN(F46+F48,MAX(F40,0)*$I$14))</f>
        <v>0</v>
      </c>
      <c r="G50" s="205">
        <f t="shared" si="14"/>
        <v>0</v>
      </c>
      <c r="H50" s="205">
        <f t="shared" si="14"/>
        <v>0</v>
      </c>
      <c r="I50" s="205">
        <f t="shared" si="14"/>
        <v>177784.73394241618</v>
      </c>
      <c r="J50" s="205">
        <f t="shared" si="14"/>
        <v>180876.29206452597</v>
      </c>
      <c r="K50" s="205">
        <f t="shared" si="14"/>
        <v>183948.72064258248</v>
      </c>
      <c r="L50" s="205">
        <f t="shared" si="14"/>
        <v>187000.43380694845</v>
      </c>
      <c r="M50" s="205">
        <f t="shared" si="14"/>
        <v>190029.7960327297</v>
      </c>
      <c r="N50" s="205">
        <f t="shared" si="14"/>
        <v>193035.12087871981</v>
      </c>
      <c r="O50" s="205">
        <f t="shared" si="14"/>
        <v>196014.66969710481</v>
      </c>
      <c r="P50" s="205">
        <f t="shared" si="14"/>
        <v>3984261.1609821557</v>
      </c>
      <c r="Q50" s="205" t="str">
        <f t="shared" si="14"/>
        <v/>
      </c>
      <c r="R50" s="205" t="str">
        <f t="shared" si="14"/>
        <v/>
      </c>
      <c r="S50" s="205" t="str">
        <f t="shared" si="14"/>
        <v/>
      </c>
      <c r="T50" s="205" t="str">
        <f t="shared" si="14"/>
        <v/>
      </c>
      <c r="U50" s="205" t="str">
        <f t="shared" si="14"/>
        <v/>
      </c>
    </row>
    <row r="51" spans="2:21" x14ac:dyDescent="0.3">
      <c r="B51" s="2" t="s">
        <v>93</v>
      </c>
      <c r="C51" s="2"/>
      <c r="D51" s="2"/>
      <c r="E51" s="2"/>
      <c r="F51" s="255">
        <f>F46+F49-F50</f>
        <v>2391412.5</v>
      </c>
      <c r="G51" s="255">
        <f t="shared" ref="G51:U51" si="15">IF(G46="","",G46+G48+G49-G50)</f>
        <v>2831623.6467649033</v>
      </c>
      <c r="H51" s="255">
        <f t="shared" si="15"/>
        <v>3121084.0540469987</v>
      </c>
      <c r="I51" s="255">
        <f t="shared" si="15"/>
        <v>3192986.0444283425</v>
      </c>
      <c r="J51" s="255">
        <f t="shared" si="15"/>
        <v>3267548.6359180836</v>
      </c>
      <c r="K51" s="255">
        <f t="shared" si="15"/>
        <v>3345003.8061489477</v>
      </c>
      <c r="L51" s="255">
        <f t="shared" si="15"/>
        <v>3425603.6768339151</v>
      </c>
      <c r="M51" s="255">
        <f t="shared" si="15"/>
        <v>3509622.1749478988</v>
      </c>
      <c r="N51" s="255">
        <f t="shared" si="15"/>
        <v>3597356.8280650112</v>
      </c>
      <c r="O51" s="255">
        <f t="shared" si="15"/>
        <v>3689130.7046131073</v>
      </c>
      <c r="P51" s="255">
        <f t="shared" si="15"/>
        <v>0</v>
      </c>
      <c r="Q51" s="255" t="str">
        <f t="shared" si="15"/>
        <v/>
      </c>
      <c r="R51" s="255" t="str">
        <f t="shared" si="15"/>
        <v/>
      </c>
      <c r="S51" s="255" t="str">
        <f t="shared" si="15"/>
        <v/>
      </c>
      <c r="T51" s="255" t="str">
        <f t="shared" si="15"/>
        <v/>
      </c>
      <c r="U51" s="255" t="str">
        <f t="shared" si="15"/>
        <v/>
      </c>
    </row>
    <row r="52" spans="2:21" x14ac:dyDescent="0.3">
      <c r="B52" s="257">
        <f>C45</f>
        <v>0.08</v>
      </c>
      <c r="C52" s="2"/>
      <c r="D52" s="2"/>
      <c r="E52" s="284">
        <f>IF($D$4="IRR",IRR(F52:U52),SUMIF(F52:U52,"&gt;0")/-SUMIF(F52:U52,"&lt;0"))</f>
        <v>8.0000000000001847E-2</v>
      </c>
      <c r="F52" s="255">
        <f t="shared" ref="F52:U52" si="16">IF(F46="","",-F49+F50)</f>
        <v>-2391412.5</v>
      </c>
      <c r="G52" s="255">
        <f t="shared" si="16"/>
        <v>-248898.14676490315</v>
      </c>
      <c r="H52" s="255">
        <f t="shared" si="16"/>
        <v>-62930.51554090315</v>
      </c>
      <c r="I52" s="255">
        <f t="shared" si="16"/>
        <v>177784.73394241618</v>
      </c>
      <c r="J52" s="255">
        <f t="shared" si="16"/>
        <v>180876.29206452597</v>
      </c>
      <c r="K52" s="255">
        <f t="shared" si="16"/>
        <v>183948.72064258248</v>
      </c>
      <c r="L52" s="255">
        <f t="shared" si="16"/>
        <v>187000.43380694845</v>
      </c>
      <c r="M52" s="255">
        <f t="shared" si="16"/>
        <v>190029.7960327297</v>
      </c>
      <c r="N52" s="255">
        <f t="shared" si="16"/>
        <v>193035.12087871981</v>
      </c>
      <c r="O52" s="255">
        <f t="shared" si="16"/>
        <v>196014.66969710481</v>
      </c>
      <c r="P52" s="255">
        <f t="shared" si="16"/>
        <v>3984261.1609821557</v>
      </c>
      <c r="Q52" s="255" t="str">
        <f t="shared" si="16"/>
        <v/>
      </c>
      <c r="R52" s="255" t="str">
        <f t="shared" si="16"/>
        <v/>
      </c>
      <c r="S52" s="255" t="str">
        <f t="shared" si="16"/>
        <v/>
      </c>
      <c r="T52" s="255" t="str">
        <f t="shared" si="16"/>
        <v/>
      </c>
      <c r="U52" s="255" t="str">
        <f t="shared" si="16"/>
        <v/>
      </c>
    </row>
    <row r="53" spans="2:21" x14ac:dyDescent="0.3">
      <c r="B53" s="2" t="s">
        <v>96</v>
      </c>
      <c r="C53" s="2"/>
      <c r="D53" s="2"/>
      <c r="E53" s="2"/>
      <c r="F53" s="255">
        <f>MAX(F40,F48)</f>
        <v>0</v>
      </c>
      <c r="G53" s="255">
        <f>IF(G46="","",MIN(G46+G48,MAX(G40,0)*$I$14))</f>
        <v>0</v>
      </c>
      <c r="H53" s="255">
        <f t="shared" ref="H53:U53" si="17">H50</f>
        <v>0</v>
      </c>
      <c r="I53" s="255">
        <f t="shared" si="17"/>
        <v>177784.73394241618</v>
      </c>
      <c r="J53" s="255">
        <f t="shared" si="17"/>
        <v>180876.29206452597</v>
      </c>
      <c r="K53" s="255">
        <f t="shared" si="17"/>
        <v>183948.72064258248</v>
      </c>
      <c r="L53" s="255">
        <f t="shared" si="17"/>
        <v>187000.43380694845</v>
      </c>
      <c r="M53" s="255">
        <f t="shared" si="17"/>
        <v>190029.7960327297</v>
      </c>
      <c r="N53" s="255">
        <f t="shared" si="17"/>
        <v>193035.12087871981</v>
      </c>
      <c r="O53" s="255">
        <f t="shared" si="17"/>
        <v>196014.66969710481</v>
      </c>
      <c r="P53" s="255">
        <f t="shared" si="17"/>
        <v>3984261.1609821557</v>
      </c>
      <c r="Q53" s="255" t="str">
        <f t="shared" si="17"/>
        <v/>
      </c>
      <c r="R53" s="255" t="str">
        <f t="shared" si="17"/>
        <v/>
      </c>
      <c r="S53" s="255" t="str">
        <f t="shared" si="17"/>
        <v/>
      </c>
      <c r="T53" s="255" t="str">
        <f t="shared" si="17"/>
        <v/>
      </c>
      <c r="U53" s="255" t="str">
        <f t="shared" si="17"/>
        <v/>
      </c>
    </row>
    <row r="54" spans="2:21" ht="5.0999999999999996" customHeight="1" x14ac:dyDescent="0.3">
      <c r="B54" s="2"/>
      <c r="C54" s="2"/>
      <c r="D54" s="2"/>
      <c r="E54" s="2"/>
      <c r="F54" s="255"/>
      <c r="G54" s="255"/>
      <c r="H54" s="255"/>
      <c r="I54" s="255"/>
      <c r="J54" s="255"/>
      <c r="K54" s="255"/>
      <c r="L54" s="255"/>
      <c r="M54" s="255"/>
      <c r="N54" s="255"/>
      <c r="O54" s="255"/>
      <c r="P54" s="255"/>
      <c r="Q54" s="255"/>
      <c r="R54" s="255"/>
      <c r="S54" s="255"/>
      <c r="T54" s="255"/>
      <c r="U54" s="255"/>
    </row>
    <row r="55" spans="2:21" x14ac:dyDescent="0.3">
      <c r="B55" s="2" t="s">
        <v>225</v>
      </c>
      <c r="C55" s="2"/>
      <c r="D55" s="2"/>
      <c r="E55" s="2"/>
      <c r="F55" s="255">
        <f t="shared" ref="F55:U55" si="18">IF(F35="","",-MIN(0,F40*Equity_Share_Sponsor))</f>
        <v>265712.5</v>
      </c>
      <c r="G55" s="255">
        <f t="shared" si="18"/>
        <v>27655.349640544795</v>
      </c>
      <c r="H55" s="255">
        <f t="shared" si="18"/>
        <v>6992.2795045447947</v>
      </c>
      <c r="I55" s="255">
        <f t="shared" si="18"/>
        <v>0</v>
      </c>
      <c r="J55" s="255">
        <f t="shared" si="18"/>
        <v>0</v>
      </c>
      <c r="K55" s="255">
        <f t="shared" si="18"/>
        <v>0</v>
      </c>
      <c r="L55" s="255">
        <f t="shared" si="18"/>
        <v>0</v>
      </c>
      <c r="M55" s="255">
        <f t="shared" si="18"/>
        <v>0</v>
      </c>
      <c r="N55" s="255">
        <f t="shared" si="18"/>
        <v>0</v>
      </c>
      <c r="O55" s="255">
        <f t="shared" si="18"/>
        <v>0</v>
      </c>
      <c r="P55" s="255">
        <f t="shared" si="18"/>
        <v>0</v>
      </c>
      <c r="Q55" s="255" t="str">
        <f t="shared" si="18"/>
        <v/>
      </c>
      <c r="R55" s="255" t="str">
        <f t="shared" si="18"/>
        <v/>
      </c>
      <c r="S55" s="255" t="str">
        <f t="shared" si="18"/>
        <v/>
      </c>
      <c r="T55" s="255" t="str">
        <f t="shared" si="18"/>
        <v/>
      </c>
      <c r="U55" s="255" t="str">
        <f t="shared" si="18"/>
        <v/>
      </c>
    </row>
    <row r="56" spans="2:21" x14ac:dyDescent="0.3">
      <c r="B56" s="2" t="s">
        <v>95</v>
      </c>
      <c r="C56" s="2"/>
      <c r="D56" s="2"/>
      <c r="E56" s="2"/>
      <c r="F56" s="255">
        <f t="shared" ref="F56:U56" si="19">IF(F46="","",IF(GP_Only?,MAX(F40,0),F53/$I$14*$H$14))</f>
        <v>0</v>
      </c>
      <c r="G56" s="205">
        <f t="shared" si="19"/>
        <v>0</v>
      </c>
      <c r="H56" s="205">
        <f t="shared" si="19"/>
        <v>0</v>
      </c>
      <c r="I56" s="205">
        <f t="shared" si="19"/>
        <v>19753.85932693513</v>
      </c>
      <c r="J56" s="205">
        <f t="shared" si="19"/>
        <v>20097.365784947331</v>
      </c>
      <c r="K56" s="205">
        <f t="shared" si="19"/>
        <v>20438.746738064721</v>
      </c>
      <c r="L56" s="205">
        <f t="shared" si="19"/>
        <v>20777.825978549827</v>
      </c>
      <c r="M56" s="205">
        <f t="shared" si="19"/>
        <v>21114.42178141441</v>
      </c>
      <c r="N56" s="205">
        <f t="shared" si="19"/>
        <v>21448.346764302201</v>
      </c>
      <c r="O56" s="205">
        <f t="shared" si="19"/>
        <v>21779.407744122756</v>
      </c>
      <c r="P56" s="205">
        <f t="shared" si="19"/>
        <v>442695.68455357285</v>
      </c>
      <c r="Q56" s="205" t="str">
        <f t="shared" si="19"/>
        <v/>
      </c>
      <c r="R56" s="205" t="str">
        <f t="shared" si="19"/>
        <v/>
      </c>
      <c r="S56" s="205" t="str">
        <f t="shared" si="19"/>
        <v/>
      </c>
      <c r="T56" s="205" t="str">
        <f t="shared" si="19"/>
        <v/>
      </c>
      <c r="U56" s="205" t="str">
        <f t="shared" si="19"/>
        <v/>
      </c>
    </row>
    <row r="57" spans="2:21" ht="5.0999999999999996" customHeight="1" x14ac:dyDescent="0.3">
      <c r="B57" s="2"/>
      <c r="C57" s="2"/>
      <c r="D57" s="2"/>
      <c r="E57" s="2"/>
      <c r="F57" s="255"/>
      <c r="G57" s="205"/>
      <c r="H57" s="205"/>
      <c r="I57" s="205"/>
      <c r="J57" s="205"/>
      <c r="K57" s="205"/>
      <c r="L57" s="205"/>
      <c r="M57" s="205"/>
      <c r="N57" s="205"/>
      <c r="O57" s="205"/>
      <c r="P57" s="205"/>
      <c r="Q57" s="205"/>
      <c r="R57" s="205"/>
      <c r="S57" s="205"/>
      <c r="T57" s="205"/>
      <c r="U57" s="205"/>
    </row>
    <row r="58" spans="2:21" x14ac:dyDescent="0.3">
      <c r="B58" s="2" t="str">
        <f>"Total Distributions ("&amp;B44&amp;")"</f>
        <v>Total Distributions (Return of Capital &amp; Hurdle 1 (Preferred Return))</v>
      </c>
      <c r="C58" s="2"/>
      <c r="D58" s="2"/>
      <c r="E58" s="2"/>
      <c r="F58" s="255">
        <f t="shared" ref="F58:U58" si="20">IF(F46="","",F56+F53)</f>
        <v>0</v>
      </c>
      <c r="G58" s="255">
        <f t="shared" si="20"/>
        <v>0</v>
      </c>
      <c r="H58" s="255">
        <f t="shared" si="20"/>
        <v>0</v>
      </c>
      <c r="I58" s="255">
        <f t="shared" si="20"/>
        <v>197538.59326935132</v>
      </c>
      <c r="J58" s="255">
        <f t="shared" si="20"/>
        <v>200973.6578494733</v>
      </c>
      <c r="K58" s="255">
        <f t="shared" si="20"/>
        <v>204387.4673806472</v>
      </c>
      <c r="L58" s="255">
        <f t="shared" si="20"/>
        <v>207778.25978549829</v>
      </c>
      <c r="M58" s="255">
        <f t="shared" si="20"/>
        <v>211144.21781414413</v>
      </c>
      <c r="N58" s="255">
        <f t="shared" si="20"/>
        <v>214483.46764302201</v>
      </c>
      <c r="O58" s="255">
        <f t="shared" si="20"/>
        <v>217794.07744122756</v>
      </c>
      <c r="P58" s="255">
        <f t="shared" si="20"/>
        <v>4426956.8455357281</v>
      </c>
      <c r="Q58" s="255" t="str">
        <f t="shared" si="20"/>
        <v/>
      </c>
      <c r="R58" s="255" t="str">
        <f t="shared" si="20"/>
        <v/>
      </c>
      <c r="S58" s="255" t="str">
        <f t="shared" si="20"/>
        <v/>
      </c>
      <c r="T58" s="255" t="str">
        <f t="shared" si="20"/>
        <v/>
      </c>
      <c r="U58" s="255" t="str">
        <f t="shared" si="20"/>
        <v/>
      </c>
    </row>
    <row r="59" spans="2:21" x14ac:dyDescent="0.3">
      <c r="B59" s="2" t="s">
        <v>97</v>
      </c>
      <c r="C59" s="2"/>
      <c r="D59" s="2"/>
      <c r="E59" s="2"/>
      <c r="F59" s="255">
        <f t="shared" ref="F59:U59" si="21">IF(F46="","",MAX(F40-F58,0))</f>
        <v>0</v>
      </c>
      <c r="G59" s="255">
        <f t="shared" si="21"/>
        <v>0</v>
      </c>
      <c r="H59" s="255">
        <f t="shared" si="21"/>
        <v>0</v>
      </c>
      <c r="I59" s="255">
        <f t="shared" si="21"/>
        <v>0</v>
      </c>
      <c r="J59" s="255">
        <f t="shared" si="21"/>
        <v>0</v>
      </c>
      <c r="K59" s="255">
        <f t="shared" si="21"/>
        <v>0</v>
      </c>
      <c r="L59" s="255">
        <f t="shared" si="21"/>
        <v>0</v>
      </c>
      <c r="M59" s="255">
        <f t="shared" si="21"/>
        <v>0</v>
      </c>
      <c r="N59" s="255">
        <f t="shared" si="21"/>
        <v>0</v>
      </c>
      <c r="O59" s="255">
        <f t="shared" si="21"/>
        <v>0</v>
      </c>
      <c r="P59" s="255">
        <f t="shared" si="21"/>
        <v>1689712.1925292071</v>
      </c>
      <c r="Q59" s="255" t="str">
        <f t="shared" si="21"/>
        <v/>
      </c>
      <c r="R59" s="255" t="str">
        <f t="shared" si="21"/>
        <v/>
      </c>
      <c r="S59" s="255" t="str">
        <f t="shared" si="21"/>
        <v/>
      </c>
      <c r="T59" s="255" t="str">
        <f t="shared" si="21"/>
        <v/>
      </c>
      <c r="U59" s="255" t="str">
        <f t="shared" si="21"/>
        <v/>
      </c>
    </row>
    <row r="60" spans="2:21" ht="5.0999999999999996" customHeight="1" x14ac:dyDescent="0.3">
      <c r="B60" s="2"/>
      <c r="C60" s="2"/>
      <c r="D60" s="2"/>
      <c r="E60" s="2"/>
      <c r="F60" s="201"/>
      <c r="G60" s="201"/>
      <c r="H60" s="201"/>
      <c r="I60" s="201"/>
      <c r="J60" s="201"/>
      <c r="K60" s="201"/>
      <c r="L60" s="201"/>
      <c r="M60" s="201"/>
      <c r="N60" s="201"/>
      <c r="O60" s="201"/>
      <c r="P60" s="201"/>
      <c r="Q60" s="201"/>
      <c r="R60" s="201"/>
      <c r="S60" s="201"/>
      <c r="T60" s="201"/>
      <c r="U60" s="201"/>
    </row>
    <row r="61" spans="2:21" ht="15.6" x14ac:dyDescent="0.3">
      <c r="B61" s="3" t="s">
        <v>82</v>
      </c>
      <c r="C61" s="2"/>
      <c r="D61" s="2"/>
      <c r="E61" s="2"/>
      <c r="F61" s="201"/>
      <c r="G61" s="201"/>
      <c r="H61" s="201"/>
      <c r="I61" s="201"/>
      <c r="J61" s="201"/>
      <c r="K61" s="201"/>
      <c r="L61" s="201"/>
      <c r="M61" s="201"/>
      <c r="N61" s="201"/>
      <c r="O61" s="201"/>
      <c r="P61" s="201"/>
      <c r="Q61" s="201"/>
      <c r="R61" s="201"/>
      <c r="S61" s="201"/>
      <c r="T61" s="201"/>
      <c r="U61" s="201"/>
    </row>
    <row r="62" spans="2:21" x14ac:dyDescent="0.3">
      <c r="B62" s="253" t="s">
        <v>223</v>
      </c>
      <c r="C62" s="254">
        <f>E15</f>
        <v>0.12</v>
      </c>
      <c r="D62" s="186"/>
      <c r="E62" s="186"/>
      <c r="F62" s="219"/>
      <c r="G62" s="219"/>
      <c r="H62" s="219"/>
      <c r="I62" s="219"/>
      <c r="J62" s="219"/>
      <c r="K62" s="219"/>
      <c r="L62" s="219"/>
      <c r="M62" s="219"/>
      <c r="N62" s="219"/>
      <c r="O62" s="219"/>
      <c r="P62" s="219"/>
      <c r="Q62" s="219"/>
      <c r="R62" s="219"/>
      <c r="S62" s="219"/>
      <c r="T62" s="219"/>
      <c r="U62" s="219"/>
    </row>
    <row r="63" spans="2:21" x14ac:dyDescent="0.3">
      <c r="B63" s="2" t="s">
        <v>92</v>
      </c>
      <c r="C63" s="2"/>
      <c r="D63" s="2"/>
      <c r="E63" s="2"/>
      <c r="F63" s="255">
        <f t="shared" ref="F63:U63" si="22">IF(F35="","",E68)</f>
        <v>0</v>
      </c>
      <c r="G63" s="255">
        <f t="shared" si="22"/>
        <v>2391412.5</v>
      </c>
      <c r="H63" s="255">
        <f t="shared" si="22"/>
        <v>2927280.1467649033</v>
      </c>
      <c r="I63" s="255">
        <f t="shared" si="22"/>
        <v>3341484.2799175945</v>
      </c>
      <c r="J63" s="255">
        <f t="shared" si="22"/>
        <v>3564677.65956529</v>
      </c>
      <c r="K63" s="255">
        <f t="shared" si="22"/>
        <v>3811562.6866485989</v>
      </c>
      <c r="L63" s="255">
        <f t="shared" si="22"/>
        <v>4085001.4884038484</v>
      </c>
      <c r="M63" s="255">
        <f t="shared" si="22"/>
        <v>4388201.2332053622</v>
      </c>
      <c r="N63" s="255">
        <f t="shared" si="22"/>
        <v>4724755.5851572761</v>
      </c>
      <c r="O63" s="255">
        <f t="shared" si="22"/>
        <v>5098691.1344974292</v>
      </c>
      <c r="P63" s="255">
        <f t="shared" si="22"/>
        <v>5514519.4009400159</v>
      </c>
      <c r="Q63" s="255" t="str">
        <f t="shared" si="22"/>
        <v/>
      </c>
      <c r="R63" s="255" t="str">
        <f t="shared" si="22"/>
        <v/>
      </c>
      <c r="S63" s="255" t="str">
        <f t="shared" si="22"/>
        <v/>
      </c>
      <c r="T63" s="255" t="str">
        <f t="shared" si="22"/>
        <v/>
      </c>
      <c r="U63" s="255" t="str">
        <f t="shared" si="22"/>
        <v/>
      </c>
    </row>
    <row r="64" spans="2:21" x14ac:dyDescent="0.3">
      <c r="B64" s="2" t="s">
        <v>224</v>
      </c>
      <c r="C64" s="2"/>
      <c r="D64" s="2"/>
      <c r="E64" s="2"/>
      <c r="F64" s="255">
        <f t="shared" ref="F64:U64" si="23">IF(F63="","",IF($D$4="Equity Multiple",E65*$C62-E65,F63*$C62))</f>
        <v>0</v>
      </c>
      <c r="G64" s="255">
        <f t="shared" si="23"/>
        <v>286969.5</v>
      </c>
      <c r="H64" s="255">
        <f t="shared" si="23"/>
        <v>351273.61761178839</v>
      </c>
      <c r="I64" s="255">
        <f t="shared" si="23"/>
        <v>400978.11359011132</v>
      </c>
      <c r="J64" s="255">
        <f t="shared" si="23"/>
        <v>427761.31914783479</v>
      </c>
      <c r="K64" s="255">
        <f t="shared" si="23"/>
        <v>457387.52239783184</v>
      </c>
      <c r="L64" s="255">
        <f t="shared" si="23"/>
        <v>490200.17860846181</v>
      </c>
      <c r="M64" s="255">
        <f t="shared" si="23"/>
        <v>526584.14798464347</v>
      </c>
      <c r="N64" s="255">
        <f t="shared" si="23"/>
        <v>566970.67021887307</v>
      </c>
      <c r="O64" s="255">
        <f t="shared" si="23"/>
        <v>611842.9361396915</v>
      </c>
      <c r="P64" s="255">
        <f t="shared" si="23"/>
        <v>661742.32811280189</v>
      </c>
      <c r="Q64" s="255" t="str">
        <f t="shared" si="23"/>
        <v/>
      </c>
      <c r="R64" s="255" t="str">
        <f t="shared" si="23"/>
        <v/>
      </c>
      <c r="S64" s="255" t="str">
        <f t="shared" si="23"/>
        <v/>
      </c>
      <c r="T64" s="255" t="str">
        <f t="shared" si="23"/>
        <v/>
      </c>
      <c r="U64" s="255" t="str">
        <f t="shared" si="23"/>
        <v/>
      </c>
    </row>
    <row r="65" spans="2:21" x14ac:dyDescent="0.3">
      <c r="B65" s="2" t="s">
        <v>94</v>
      </c>
      <c r="C65" s="2"/>
      <c r="D65" s="2"/>
      <c r="E65" s="2"/>
      <c r="F65" s="255">
        <f t="shared" ref="F65:U65" si="24">IF(F63="","",-MIN(0,F$40*Equity_Share_LP))</f>
        <v>2391412.5</v>
      </c>
      <c r="G65" s="255">
        <f t="shared" si="24"/>
        <v>248898.14676490315</v>
      </c>
      <c r="H65" s="255">
        <f t="shared" si="24"/>
        <v>62930.51554090315</v>
      </c>
      <c r="I65" s="255">
        <f t="shared" si="24"/>
        <v>0</v>
      </c>
      <c r="J65" s="255">
        <f t="shared" si="24"/>
        <v>0</v>
      </c>
      <c r="K65" s="255">
        <f t="shared" si="24"/>
        <v>0</v>
      </c>
      <c r="L65" s="255">
        <f t="shared" si="24"/>
        <v>0</v>
      </c>
      <c r="M65" s="255">
        <f t="shared" si="24"/>
        <v>0</v>
      </c>
      <c r="N65" s="255">
        <f t="shared" si="24"/>
        <v>0</v>
      </c>
      <c r="O65" s="255">
        <f t="shared" si="24"/>
        <v>0</v>
      </c>
      <c r="P65" s="255">
        <f t="shared" si="24"/>
        <v>0</v>
      </c>
      <c r="Q65" s="255" t="str">
        <f t="shared" si="24"/>
        <v/>
      </c>
      <c r="R65" s="255" t="str">
        <f t="shared" si="24"/>
        <v/>
      </c>
      <c r="S65" s="255" t="str">
        <f t="shared" si="24"/>
        <v/>
      </c>
      <c r="T65" s="255" t="str">
        <f t="shared" si="24"/>
        <v/>
      </c>
      <c r="U65" s="255" t="str">
        <f t="shared" si="24"/>
        <v/>
      </c>
    </row>
    <row r="66" spans="2:21" x14ac:dyDescent="0.3">
      <c r="B66" s="2" t="s">
        <v>99</v>
      </c>
      <c r="C66" s="2"/>
      <c r="D66" s="2"/>
      <c r="E66" s="2"/>
      <c r="F66" s="255">
        <f t="shared" ref="F66:U66" si="25">F53</f>
        <v>0</v>
      </c>
      <c r="G66" s="255">
        <f t="shared" si="25"/>
        <v>0</v>
      </c>
      <c r="H66" s="255">
        <f t="shared" si="25"/>
        <v>0</v>
      </c>
      <c r="I66" s="255">
        <f t="shared" si="25"/>
        <v>177784.73394241618</v>
      </c>
      <c r="J66" s="255">
        <f t="shared" si="25"/>
        <v>180876.29206452597</v>
      </c>
      <c r="K66" s="255">
        <f t="shared" si="25"/>
        <v>183948.72064258248</v>
      </c>
      <c r="L66" s="255">
        <f t="shared" si="25"/>
        <v>187000.43380694845</v>
      </c>
      <c r="M66" s="255">
        <f t="shared" si="25"/>
        <v>190029.7960327297</v>
      </c>
      <c r="N66" s="255">
        <f t="shared" si="25"/>
        <v>193035.12087871981</v>
      </c>
      <c r="O66" s="255">
        <f t="shared" si="25"/>
        <v>196014.66969710481</v>
      </c>
      <c r="P66" s="255">
        <f t="shared" si="25"/>
        <v>3984261.1609821557</v>
      </c>
      <c r="Q66" s="255" t="str">
        <f t="shared" si="25"/>
        <v/>
      </c>
      <c r="R66" s="255" t="str">
        <f t="shared" si="25"/>
        <v/>
      </c>
      <c r="S66" s="255" t="str">
        <f t="shared" si="25"/>
        <v/>
      </c>
      <c r="T66" s="255" t="str">
        <f t="shared" si="25"/>
        <v/>
      </c>
      <c r="U66" s="255" t="str">
        <f t="shared" si="25"/>
        <v/>
      </c>
    </row>
    <row r="67" spans="2:21" x14ac:dyDescent="0.3">
      <c r="B67" s="2" t="str">
        <f>"Distributions to LP "&amp;B61</f>
        <v>Distributions to LP Hurdle 2</v>
      </c>
      <c r="C67" s="2"/>
      <c r="D67" s="2"/>
      <c r="E67" s="2"/>
      <c r="F67" s="255">
        <f t="shared" ref="F67:U67" si="26">IF(F63="","",MIN(F63+F64-F66,F59*$I$15))</f>
        <v>0</v>
      </c>
      <c r="G67" s="255">
        <f t="shared" si="26"/>
        <v>0</v>
      </c>
      <c r="H67" s="255">
        <f t="shared" si="26"/>
        <v>0</v>
      </c>
      <c r="I67" s="255">
        <f t="shared" si="26"/>
        <v>0</v>
      </c>
      <c r="J67" s="255">
        <f t="shared" si="26"/>
        <v>0</v>
      </c>
      <c r="K67" s="255">
        <f t="shared" si="26"/>
        <v>0</v>
      </c>
      <c r="L67" s="255">
        <f t="shared" si="26"/>
        <v>0</v>
      </c>
      <c r="M67" s="255">
        <f t="shared" si="26"/>
        <v>0</v>
      </c>
      <c r="N67" s="255">
        <f t="shared" si="26"/>
        <v>0</v>
      </c>
      <c r="O67" s="255">
        <f t="shared" si="26"/>
        <v>0</v>
      </c>
      <c r="P67" s="255">
        <f t="shared" si="26"/>
        <v>1216592.7786210293</v>
      </c>
      <c r="Q67" s="255" t="str">
        <f t="shared" si="26"/>
        <v/>
      </c>
      <c r="R67" s="255" t="str">
        <f t="shared" si="26"/>
        <v/>
      </c>
      <c r="S67" s="255" t="str">
        <f t="shared" si="26"/>
        <v/>
      </c>
      <c r="T67" s="255" t="str">
        <f t="shared" si="26"/>
        <v/>
      </c>
      <c r="U67" s="255" t="str">
        <f t="shared" si="26"/>
        <v/>
      </c>
    </row>
    <row r="68" spans="2:21" x14ac:dyDescent="0.3">
      <c r="B68" s="2" t="s">
        <v>93</v>
      </c>
      <c r="C68" s="2"/>
      <c r="D68" s="2"/>
      <c r="E68" s="2"/>
      <c r="F68" s="255">
        <f>F63+F65-F67</f>
        <v>2391412.5</v>
      </c>
      <c r="G68" s="255">
        <f t="shared" ref="G68:U68" si="27">IF(G63="","",G63+G64+G65-G66-G67)</f>
        <v>2927280.1467649033</v>
      </c>
      <c r="H68" s="255">
        <f t="shared" si="27"/>
        <v>3341484.2799175945</v>
      </c>
      <c r="I68" s="255">
        <f t="shared" si="27"/>
        <v>3564677.65956529</v>
      </c>
      <c r="J68" s="255">
        <f t="shared" si="27"/>
        <v>3811562.6866485989</v>
      </c>
      <c r="K68" s="255">
        <f t="shared" si="27"/>
        <v>4085001.4884038484</v>
      </c>
      <c r="L68" s="255">
        <f t="shared" si="27"/>
        <v>4388201.2332053622</v>
      </c>
      <c r="M68" s="255">
        <f t="shared" si="27"/>
        <v>4724755.5851572761</v>
      </c>
      <c r="N68" s="255">
        <f t="shared" si="27"/>
        <v>5098691.1344974292</v>
      </c>
      <c r="O68" s="255">
        <f t="shared" si="27"/>
        <v>5514519.4009400159</v>
      </c>
      <c r="P68" s="255">
        <f t="shared" si="27"/>
        <v>975407.7894496324</v>
      </c>
      <c r="Q68" s="255" t="str">
        <f t="shared" si="27"/>
        <v/>
      </c>
      <c r="R68" s="255" t="str">
        <f t="shared" si="27"/>
        <v/>
      </c>
      <c r="S68" s="255" t="str">
        <f t="shared" si="27"/>
        <v/>
      </c>
      <c r="T68" s="255" t="str">
        <f t="shared" si="27"/>
        <v/>
      </c>
      <c r="U68" s="255" t="str">
        <f t="shared" si="27"/>
        <v/>
      </c>
    </row>
    <row r="69" spans="2:21" x14ac:dyDescent="0.3">
      <c r="B69" s="257">
        <f>C62</f>
        <v>0.12</v>
      </c>
      <c r="C69" s="2"/>
      <c r="D69" s="2"/>
      <c r="E69" s="284">
        <f>IF($D$4="IRR",IRR(F69:U69),SUMIF(F69:U69,"&gt;0")/-SUMIF(F69:U69,"&lt;0"))</f>
        <v>0.10388158418086624</v>
      </c>
      <c r="F69" s="255">
        <f>IF(F63="","",-F65+F67)</f>
        <v>-2391412.5</v>
      </c>
      <c r="G69" s="255">
        <f t="shared" ref="G69:U69" si="28">IF(G63="","",-G65+G66+G67)</f>
        <v>-248898.14676490315</v>
      </c>
      <c r="H69" s="255">
        <f t="shared" si="28"/>
        <v>-62930.51554090315</v>
      </c>
      <c r="I69" s="255">
        <f t="shared" si="28"/>
        <v>177784.73394241618</v>
      </c>
      <c r="J69" s="255">
        <f t="shared" si="28"/>
        <v>180876.29206452597</v>
      </c>
      <c r="K69" s="255">
        <f t="shared" si="28"/>
        <v>183948.72064258248</v>
      </c>
      <c r="L69" s="255">
        <f t="shared" si="28"/>
        <v>187000.43380694845</v>
      </c>
      <c r="M69" s="255">
        <f t="shared" si="28"/>
        <v>190029.7960327297</v>
      </c>
      <c r="N69" s="255">
        <f t="shared" si="28"/>
        <v>193035.12087871981</v>
      </c>
      <c r="O69" s="255">
        <f t="shared" si="28"/>
        <v>196014.66969710481</v>
      </c>
      <c r="P69" s="255">
        <f t="shared" si="28"/>
        <v>5200853.9396031853</v>
      </c>
      <c r="Q69" s="255" t="str">
        <f t="shared" si="28"/>
        <v/>
      </c>
      <c r="R69" s="255" t="str">
        <f t="shared" si="28"/>
        <v/>
      </c>
      <c r="S69" s="255" t="str">
        <f t="shared" si="28"/>
        <v/>
      </c>
      <c r="T69" s="255" t="str">
        <f t="shared" si="28"/>
        <v/>
      </c>
      <c r="U69" s="255" t="str">
        <f t="shared" si="28"/>
        <v/>
      </c>
    </row>
    <row r="70" spans="2:21" ht="5.0999999999999996" customHeight="1" x14ac:dyDescent="0.3">
      <c r="B70" s="197" t="s">
        <v>20</v>
      </c>
      <c r="C70" s="197" t="s">
        <v>20</v>
      </c>
      <c r="D70" s="197" t="s">
        <v>20</v>
      </c>
      <c r="E70" s="197" t="s">
        <v>20</v>
      </c>
      <c r="F70" s="198" t="str">
        <f t="shared" ref="F70:U70" si="29">IF(F63="","",".")</f>
        <v>.</v>
      </c>
      <c r="G70" s="198" t="str">
        <f t="shared" si="29"/>
        <v>.</v>
      </c>
      <c r="H70" s="198" t="str">
        <f t="shared" si="29"/>
        <v>.</v>
      </c>
      <c r="I70" s="198" t="str">
        <f t="shared" si="29"/>
        <v>.</v>
      </c>
      <c r="J70" s="198" t="str">
        <f t="shared" si="29"/>
        <v>.</v>
      </c>
      <c r="K70" s="198" t="str">
        <f t="shared" si="29"/>
        <v>.</v>
      </c>
      <c r="L70" s="198" t="str">
        <f t="shared" si="29"/>
        <v>.</v>
      </c>
      <c r="M70" s="198" t="str">
        <f t="shared" si="29"/>
        <v>.</v>
      </c>
      <c r="N70" s="198" t="str">
        <f t="shared" si="29"/>
        <v>.</v>
      </c>
      <c r="O70" s="198" t="str">
        <f t="shared" si="29"/>
        <v>.</v>
      </c>
      <c r="P70" s="198" t="str">
        <f t="shared" si="29"/>
        <v>.</v>
      </c>
      <c r="Q70" s="198" t="str">
        <f t="shared" si="29"/>
        <v/>
      </c>
      <c r="R70" s="198" t="str">
        <f t="shared" si="29"/>
        <v/>
      </c>
      <c r="S70" s="198" t="str">
        <f t="shared" si="29"/>
        <v/>
      </c>
      <c r="T70" s="198" t="str">
        <f t="shared" si="29"/>
        <v/>
      </c>
      <c r="U70" s="198" t="str">
        <f t="shared" si="29"/>
        <v/>
      </c>
    </row>
    <row r="71" spans="2:21" x14ac:dyDescent="0.3">
      <c r="B71" s="2" t="s">
        <v>96</v>
      </c>
      <c r="C71" s="2"/>
      <c r="D71" s="2"/>
      <c r="E71" s="2"/>
      <c r="F71" s="255">
        <f t="shared" ref="F71:U71" si="30">IF(F63="","",F67)</f>
        <v>0</v>
      </c>
      <c r="G71" s="255">
        <f t="shared" si="30"/>
        <v>0</v>
      </c>
      <c r="H71" s="255">
        <f t="shared" si="30"/>
        <v>0</v>
      </c>
      <c r="I71" s="255">
        <f t="shared" si="30"/>
        <v>0</v>
      </c>
      <c r="J71" s="255">
        <f t="shared" si="30"/>
        <v>0</v>
      </c>
      <c r="K71" s="255">
        <f t="shared" si="30"/>
        <v>0</v>
      </c>
      <c r="L71" s="255">
        <f t="shared" si="30"/>
        <v>0</v>
      </c>
      <c r="M71" s="255">
        <f t="shared" si="30"/>
        <v>0</v>
      </c>
      <c r="N71" s="255">
        <f t="shared" si="30"/>
        <v>0</v>
      </c>
      <c r="O71" s="255">
        <f t="shared" si="30"/>
        <v>0</v>
      </c>
      <c r="P71" s="255">
        <f t="shared" si="30"/>
        <v>1216592.7786210293</v>
      </c>
      <c r="Q71" s="255" t="str">
        <f t="shared" si="30"/>
        <v/>
      </c>
      <c r="R71" s="255" t="str">
        <f t="shared" si="30"/>
        <v/>
      </c>
      <c r="S71" s="255" t="str">
        <f t="shared" si="30"/>
        <v/>
      </c>
      <c r="T71" s="255" t="str">
        <f t="shared" si="30"/>
        <v/>
      </c>
      <c r="U71" s="255" t="str">
        <f t="shared" si="30"/>
        <v/>
      </c>
    </row>
    <row r="72" spans="2:21" x14ac:dyDescent="0.3">
      <c r="B72" s="2" t="s">
        <v>95</v>
      </c>
      <c r="C72" s="2"/>
      <c r="D72" s="2"/>
      <c r="E72" s="2"/>
      <c r="F72" s="255">
        <f t="shared" ref="F72:U72" si="31">IF(F63="","",IF(GP_Only?,0,F71/$I$15*$H$15))</f>
        <v>0</v>
      </c>
      <c r="G72" s="255">
        <f t="shared" si="31"/>
        <v>0</v>
      </c>
      <c r="H72" s="255">
        <f t="shared" si="31"/>
        <v>0</v>
      </c>
      <c r="I72" s="255">
        <f t="shared" si="31"/>
        <v>0</v>
      </c>
      <c r="J72" s="255">
        <f t="shared" si="31"/>
        <v>0</v>
      </c>
      <c r="K72" s="255">
        <f t="shared" si="31"/>
        <v>0</v>
      </c>
      <c r="L72" s="255">
        <f t="shared" si="31"/>
        <v>0</v>
      </c>
      <c r="M72" s="255">
        <f t="shared" si="31"/>
        <v>0</v>
      </c>
      <c r="N72" s="255">
        <f t="shared" si="31"/>
        <v>0</v>
      </c>
      <c r="O72" s="255">
        <f t="shared" si="31"/>
        <v>0</v>
      </c>
      <c r="P72" s="255">
        <f t="shared" si="31"/>
        <v>473119.41390817793</v>
      </c>
      <c r="Q72" s="255" t="str">
        <f t="shared" si="31"/>
        <v/>
      </c>
      <c r="R72" s="255" t="str">
        <f t="shared" si="31"/>
        <v/>
      </c>
      <c r="S72" s="255" t="str">
        <f t="shared" si="31"/>
        <v/>
      </c>
      <c r="T72" s="255" t="str">
        <f t="shared" si="31"/>
        <v/>
      </c>
      <c r="U72" s="255" t="str">
        <f t="shared" si="31"/>
        <v/>
      </c>
    </row>
    <row r="73" spans="2:21" x14ac:dyDescent="0.3">
      <c r="B73" s="2" t="str">
        <f>"Total Distributions ("&amp;B61&amp;")"</f>
        <v>Total Distributions (Hurdle 2)</v>
      </c>
      <c r="C73" s="2"/>
      <c r="D73" s="2"/>
      <c r="E73" s="2"/>
      <c r="F73" s="255">
        <f t="shared" ref="F73:U73" si="32">IF(F63="","",F71+F72)</f>
        <v>0</v>
      </c>
      <c r="G73" s="255">
        <f t="shared" si="32"/>
        <v>0</v>
      </c>
      <c r="H73" s="255">
        <f t="shared" si="32"/>
        <v>0</v>
      </c>
      <c r="I73" s="255">
        <f t="shared" si="32"/>
        <v>0</v>
      </c>
      <c r="J73" s="255">
        <f t="shared" si="32"/>
        <v>0</v>
      </c>
      <c r="K73" s="255">
        <f t="shared" si="32"/>
        <v>0</v>
      </c>
      <c r="L73" s="255">
        <f t="shared" si="32"/>
        <v>0</v>
      </c>
      <c r="M73" s="255">
        <f t="shared" si="32"/>
        <v>0</v>
      </c>
      <c r="N73" s="255">
        <f t="shared" si="32"/>
        <v>0</v>
      </c>
      <c r="O73" s="255">
        <f t="shared" si="32"/>
        <v>0</v>
      </c>
      <c r="P73" s="255">
        <f t="shared" si="32"/>
        <v>1689712.1925292073</v>
      </c>
      <c r="Q73" s="255" t="str">
        <f t="shared" si="32"/>
        <v/>
      </c>
      <c r="R73" s="255" t="str">
        <f t="shared" si="32"/>
        <v/>
      </c>
      <c r="S73" s="255" t="str">
        <f t="shared" si="32"/>
        <v/>
      </c>
      <c r="T73" s="255" t="str">
        <f t="shared" si="32"/>
        <v/>
      </c>
      <c r="U73" s="255" t="str">
        <f t="shared" si="32"/>
        <v/>
      </c>
    </row>
    <row r="74" spans="2:21" x14ac:dyDescent="0.3">
      <c r="B74" s="2" t="s">
        <v>97</v>
      </c>
      <c r="C74" s="2"/>
      <c r="D74" s="2"/>
      <c r="E74" s="2"/>
      <c r="F74" s="255">
        <f t="shared" ref="F74:U74" si="33">IF(F63="","",MAX(F$40-F58-F73,0))</f>
        <v>0</v>
      </c>
      <c r="G74" s="255">
        <f t="shared" si="33"/>
        <v>0</v>
      </c>
      <c r="H74" s="255">
        <f t="shared" si="33"/>
        <v>0</v>
      </c>
      <c r="I74" s="255">
        <f t="shared" si="33"/>
        <v>0</v>
      </c>
      <c r="J74" s="255">
        <f t="shared" si="33"/>
        <v>0</v>
      </c>
      <c r="K74" s="255">
        <f t="shared" si="33"/>
        <v>0</v>
      </c>
      <c r="L74" s="255">
        <f t="shared" si="33"/>
        <v>0</v>
      </c>
      <c r="M74" s="255">
        <f t="shared" si="33"/>
        <v>0</v>
      </c>
      <c r="N74" s="255">
        <f t="shared" si="33"/>
        <v>0</v>
      </c>
      <c r="O74" s="255">
        <f t="shared" si="33"/>
        <v>0</v>
      </c>
      <c r="P74" s="255">
        <f t="shared" si="33"/>
        <v>0</v>
      </c>
      <c r="Q74" s="255" t="str">
        <f t="shared" si="33"/>
        <v/>
      </c>
      <c r="R74" s="255" t="str">
        <f t="shared" si="33"/>
        <v/>
      </c>
      <c r="S74" s="255" t="str">
        <f t="shared" si="33"/>
        <v/>
      </c>
      <c r="T74" s="255" t="str">
        <f t="shared" si="33"/>
        <v/>
      </c>
      <c r="U74" s="255" t="str">
        <f t="shared" si="33"/>
        <v/>
      </c>
    </row>
    <row r="75" spans="2:21" ht="5.0999999999999996" customHeight="1" x14ac:dyDescent="0.3">
      <c r="B75" s="2"/>
      <c r="C75" s="2"/>
      <c r="D75" s="2"/>
      <c r="E75" s="2"/>
      <c r="F75" s="201"/>
      <c r="G75" s="201"/>
      <c r="H75" s="201"/>
      <c r="I75" s="201"/>
      <c r="J75" s="201"/>
      <c r="K75" s="201"/>
      <c r="L75" s="201"/>
      <c r="M75" s="201"/>
      <c r="N75" s="201"/>
      <c r="O75" s="201"/>
      <c r="P75" s="201"/>
      <c r="Q75" s="201"/>
      <c r="R75" s="201"/>
      <c r="S75" s="201"/>
      <c r="T75" s="201"/>
      <c r="U75" s="201"/>
    </row>
    <row r="76" spans="2:21" ht="15.6" x14ac:dyDescent="0.3">
      <c r="B76" s="3" t="s">
        <v>83</v>
      </c>
      <c r="C76" s="2"/>
      <c r="D76" s="2"/>
      <c r="E76" s="2"/>
      <c r="F76" s="201"/>
      <c r="G76" s="201"/>
      <c r="H76" s="201"/>
      <c r="I76" s="201"/>
      <c r="J76" s="201"/>
      <c r="K76" s="201"/>
      <c r="L76" s="201"/>
      <c r="M76" s="201"/>
      <c r="N76" s="201"/>
      <c r="O76" s="201"/>
      <c r="P76" s="201"/>
      <c r="Q76" s="201"/>
      <c r="R76" s="201"/>
      <c r="S76" s="201"/>
      <c r="T76" s="201"/>
      <c r="U76" s="201"/>
    </row>
    <row r="77" spans="2:21" x14ac:dyDescent="0.3">
      <c r="B77" s="253" t="s">
        <v>223</v>
      </c>
      <c r="C77" s="254">
        <f>E16</f>
        <v>0.15</v>
      </c>
      <c r="D77" s="186"/>
      <c r="E77" s="186"/>
      <c r="F77" s="219"/>
      <c r="G77" s="219"/>
      <c r="H77" s="219"/>
      <c r="I77" s="219"/>
      <c r="J77" s="219"/>
      <c r="K77" s="219"/>
      <c r="L77" s="219"/>
      <c r="M77" s="219"/>
      <c r="N77" s="219"/>
      <c r="O77" s="219"/>
      <c r="P77" s="219"/>
      <c r="Q77" s="219"/>
      <c r="R77" s="219"/>
      <c r="S77" s="219"/>
      <c r="T77" s="219"/>
      <c r="U77" s="219"/>
    </row>
    <row r="78" spans="2:21" x14ac:dyDescent="0.3">
      <c r="B78" s="2" t="s">
        <v>92</v>
      </c>
      <c r="C78" s="2"/>
      <c r="D78" s="2"/>
      <c r="E78" s="2"/>
      <c r="F78" s="255">
        <f t="shared" ref="F78:U78" si="34">IF(F56="","",E83)</f>
        <v>0</v>
      </c>
      <c r="G78" s="255">
        <f t="shared" si="34"/>
        <v>2391412.5</v>
      </c>
      <c r="H78" s="255">
        <f t="shared" si="34"/>
        <v>2999022.5217649033</v>
      </c>
      <c r="I78" s="255">
        <f t="shared" si="34"/>
        <v>3511806.4155705418</v>
      </c>
      <c r="J78" s="255">
        <f t="shared" si="34"/>
        <v>3860792.6439637071</v>
      </c>
      <c r="K78" s="255">
        <f t="shared" si="34"/>
        <v>4259035.2484937375</v>
      </c>
      <c r="L78" s="255">
        <f t="shared" si="34"/>
        <v>4713941.8151252158</v>
      </c>
      <c r="M78" s="255">
        <f t="shared" si="34"/>
        <v>5234032.6535870498</v>
      </c>
      <c r="N78" s="255">
        <f t="shared" si="34"/>
        <v>5829107.7555923779</v>
      </c>
      <c r="O78" s="255">
        <f t="shared" si="34"/>
        <v>6510438.7980525149</v>
      </c>
      <c r="P78" s="255">
        <f t="shared" si="34"/>
        <v>7290989.948063287</v>
      </c>
      <c r="Q78" s="255" t="str">
        <f t="shared" si="34"/>
        <v/>
      </c>
      <c r="R78" s="255" t="str">
        <f t="shared" si="34"/>
        <v/>
      </c>
      <c r="S78" s="255" t="str">
        <f t="shared" si="34"/>
        <v/>
      </c>
      <c r="T78" s="255" t="str">
        <f t="shared" si="34"/>
        <v/>
      </c>
      <c r="U78" s="255" t="str">
        <f t="shared" si="34"/>
        <v/>
      </c>
    </row>
    <row r="79" spans="2:21" x14ac:dyDescent="0.3">
      <c r="B79" s="2" t="s">
        <v>222</v>
      </c>
      <c r="C79" s="2"/>
      <c r="D79" s="2"/>
      <c r="E79" s="2"/>
      <c r="F79" s="255">
        <f t="shared" ref="F79:U79" si="35">IF(F78="","",IF($D$4="Equity Multiple",E80*$C77-E80,F78*$C77))</f>
        <v>0</v>
      </c>
      <c r="G79" s="255">
        <f t="shared" si="35"/>
        <v>358711.875</v>
      </c>
      <c r="H79" s="255">
        <f t="shared" si="35"/>
        <v>449853.37826473551</v>
      </c>
      <c r="I79" s="255">
        <f t="shared" si="35"/>
        <v>526770.96233558119</v>
      </c>
      <c r="J79" s="255">
        <f t="shared" si="35"/>
        <v>579118.89659455605</v>
      </c>
      <c r="K79" s="255">
        <f t="shared" si="35"/>
        <v>638855.28727406065</v>
      </c>
      <c r="L79" s="255">
        <f t="shared" si="35"/>
        <v>707091.27226878237</v>
      </c>
      <c r="M79" s="255">
        <f t="shared" si="35"/>
        <v>785104.89803805749</v>
      </c>
      <c r="N79" s="255">
        <f t="shared" si="35"/>
        <v>874366.16333885666</v>
      </c>
      <c r="O79" s="255">
        <f t="shared" si="35"/>
        <v>976565.81970787724</v>
      </c>
      <c r="P79" s="255">
        <f t="shared" si="35"/>
        <v>1093648.4922094929</v>
      </c>
      <c r="Q79" s="255" t="str">
        <f t="shared" si="35"/>
        <v/>
      </c>
      <c r="R79" s="255" t="str">
        <f t="shared" si="35"/>
        <v/>
      </c>
      <c r="S79" s="255" t="str">
        <f t="shared" si="35"/>
        <v/>
      </c>
      <c r="T79" s="255" t="str">
        <f t="shared" si="35"/>
        <v/>
      </c>
      <c r="U79" s="255" t="str">
        <f t="shared" si="35"/>
        <v/>
      </c>
    </row>
    <row r="80" spans="2:21" x14ac:dyDescent="0.3">
      <c r="B80" s="2" t="s">
        <v>94</v>
      </c>
      <c r="C80" s="2"/>
      <c r="D80" s="2"/>
      <c r="E80" s="2"/>
      <c r="F80" s="255">
        <f t="shared" ref="F80:U80" si="36">IF(F78="","",-MIN(0,F$40*Equity_Share_LP))</f>
        <v>2391412.5</v>
      </c>
      <c r="G80" s="255">
        <f t="shared" si="36"/>
        <v>248898.14676490315</v>
      </c>
      <c r="H80" s="255">
        <f t="shared" si="36"/>
        <v>62930.51554090315</v>
      </c>
      <c r="I80" s="255">
        <f t="shared" si="36"/>
        <v>0</v>
      </c>
      <c r="J80" s="255">
        <f t="shared" si="36"/>
        <v>0</v>
      </c>
      <c r="K80" s="255">
        <f t="shared" si="36"/>
        <v>0</v>
      </c>
      <c r="L80" s="255">
        <f t="shared" si="36"/>
        <v>0</v>
      </c>
      <c r="M80" s="255">
        <f t="shared" si="36"/>
        <v>0</v>
      </c>
      <c r="N80" s="255">
        <f t="shared" si="36"/>
        <v>0</v>
      </c>
      <c r="O80" s="255">
        <f t="shared" si="36"/>
        <v>0</v>
      </c>
      <c r="P80" s="255">
        <f t="shared" si="36"/>
        <v>0</v>
      </c>
      <c r="Q80" s="255" t="str">
        <f t="shared" si="36"/>
        <v/>
      </c>
      <c r="R80" s="255" t="str">
        <f t="shared" si="36"/>
        <v/>
      </c>
      <c r="S80" s="255" t="str">
        <f t="shared" si="36"/>
        <v/>
      </c>
      <c r="T80" s="255" t="str">
        <f t="shared" si="36"/>
        <v/>
      </c>
      <c r="U80" s="255" t="str">
        <f t="shared" si="36"/>
        <v/>
      </c>
    </row>
    <row r="81" spans="2:21" x14ac:dyDescent="0.3">
      <c r="B81" s="2" t="s">
        <v>99</v>
      </c>
      <c r="C81" s="2"/>
      <c r="D81" s="2"/>
      <c r="E81" s="2"/>
      <c r="F81" s="255">
        <f t="shared" ref="F81:U81" si="37">IF(F78="","",F71+F53)</f>
        <v>0</v>
      </c>
      <c r="G81" s="255">
        <f t="shared" si="37"/>
        <v>0</v>
      </c>
      <c r="H81" s="255">
        <f t="shared" si="37"/>
        <v>0</v>
      </c>
      <c r="I81" s="255">
        <f t="shared" si="37"/>
        <v>177784.73394241618</v>
      </c>
      <c r="J81" s="255">
        <f t="shared" si="37"/>
        <v>180876.29206452597</v>
      </c>
      <c r="K81" s="255">
        <f t="shared" si="37"/>
        <v>183948.72064258248</v>
      </c>
      <c r="L81" s="255">
        <f t="shared" si="37"/>
        <v>187000.43380694845</v>
      </c>
      <c r="M81" s="255">
        <f t="shared" si="37"/>
        <v>190029.7960327297</v>
      </c>
      <c r="N81" s="255">
        <f t="shared" si="37"/>
        <v>193035.12087871981</v>
      </c>
      <c r="O81" s="255">
        <f t="shared" si="37"/>
        <v>196014.66969710481</v>
      </c>
      <c r="P81" s="255">
        <f t="shared" si="37"/>
        <v>5200853.9396031853</v>
      </c>
      <c r="Q81" s="255" t="str">
        <f t="shared" si="37"/>
        <v/>
      </c>
      <c r="R81" s="255" t="str">
        <f t="shared" si="37"/>
        <v/>
      </c>
      <c r="S81" s="255" t="str">
        <f t="shared" si="37"/>
        <v/>
      </c>
      <c r="T81" s="255" t="str">
        <f t="shared" si="37"/>
        <v/>
      </c>
      <c r="U81" s="255" t="str">
        <f t="shared" si="37"/>
        <v/>
      </c>
    </row>
    <row r="82" spans="2:21" x14ac:dyDescent="0.3">
      <c r="B82" s="2" t="str">
        <f>"Distributions to LP "&amp;B76</f>
        <v>Distributions to LP Hurdle 3</v>
      </c>
      <c r="C82" s="2"/>
      <c r="D82" s="2"/>
      <c r="E82" s="2"/>
      <c r="F82" s="255">
        <f t="shared" ref="F82:U82" si="38">IF(F78="","",MIN(F78+F79-F81,F74*$I$16))</f>
        <v>0</v>
      </c>
      <c r="G82" s="255">
        <f t="shared" si="38"/>
        <v>0</v>
      </c>
      <c r="H82" s="255">
        <f t="shared" si="38"/>
        <v>0</v>
      </c>
      <c r="I82" s="255">
        <f t="shared" si="38"/>
        <v>0</v>
      </c>
      <c r="J82" s="255">
        <f t="shared" si="38"/>
        <v>0</v>
      </c>
      <c r="K82" s="255">
        <f t="shared" si="38"/>
        <v>0</v>
      </c>
      <c r="L82" s="255">
        <f t="shared" si="38"/>
        <v>0</v>
      </c>
      <c r="M82" s="255">
        <f t="shared" si="38"/>
        <v>0</v>
      </c>
      <c r="N82" s="255">
        <f t="shared" si="38"/>
        <v>0</v>
      </c>
      <c r="O82" s="255">
        <f t="shared" si="38"/>
        <v>0</v>
      </c>
      <c r="P82" s="255">
        <f t="shared" si="38"/>
        <v>0</v>
      </c>
      <c r="Q82" s="255" t="str">
        <f t="shared" si="38"/>
        <v/>
      </c>
      <c r="R82" s="255" t="str">
        <f t="shared" si="38"/>
        <v/>
      </c>
      <c r="S82" s="255" t="str">
        <f t="shared" si="38"/>
        <v/>
      </c>
      <c r="T82" s="255" t="str">
        <f t="shared" si="38"/>
        <v/>
      </c>
      <c r="U82" s="255" t="str">
        <f t="shared" si="38"/>
        <v/>
      </c>
    </row>
    <row r="83" spans="2:21" x14ac:dyDescent="0.3">
      <c r="B83" s="2" t="s">
        <v>93</v>
      </c>
      <c r="C83" s="2"/>
      <c r="D83" s="2"/>
      <c r="E83" s="2"/>
      <c r="F83" s="255">
        <f>F78+F80-F82</f>
        <v>2391412.5</v>
      </c>
      <c r="G83" s="255">
        <f t="shared" ref="G83:U83" si="39">IF(G78="","",G78+G79+G80-G81-G82)</f>
        <v>2999022.5217649033</v>
      </c>
      <c r="H83" s="255">
        <f t="shared" si="39"/>
        <v>3511806.4155705418</v>
      </c>
      <c r="I83" s="255">
        <f t="shared" si="39"/>
        <v>3860792.6439637071</v>
      </c>
      <c r="J83" s="255">
        <f t="shared" si="39"/>
        <v>4259035.2484937375</v>
      </c>
      <c r="K83" s="255">
        <f t="shared" si="39"/>
        <v>4713941.8151252158</v>
      </c>
      <c r="L83" s="255">
        <f t="shared" si="39"/>
        <v>5234032.6535870498</v>
      </c>
      <c r="M83" s="255">
        <f t="shared" si="39"/>
        <v>5829107.7555923779</v>
      </c>
      <c r="N83" s="255">
        <f t="shared" si="39"/>
        <v>6510438.7980525149</v>
      </c>
      <c r="O83" s="255">
        <f t="shared" si="39"/>
        <v>7290989.948063287</v>
      </c>
      <c r="P83" s="255">
        <f t="shared" si="39"/>
        <v>3183784.5006695949</v>
      </c>
      <c r="Q83" s="255" t="str">
        <f t="shared" si="39"/>
        <v/>
      </c>
      <c r="R83" s="255" t="str">
        <f t="shared" si="39"/>
        <v/>
      </c>
      <c r="S83" s="255" t="str">
        <f t="shared" si="39"/>
        <v/>
      </c>
      <c r="T83" s="255" t="str">
        <f t="shared" si="39"/>
        <v/>
      </c>
      <c r="U83" s="255" t="str">
        <f t="shared" si="39"/>
        <v/>
      </c>
    </row>
    <row r="84" spans="2:21" x14ac:dyDescent="0.3">
      <c r="B84" s="257">
        <f>C77</f>
        <v>0.15</v>
      </c>
      <c r="C84" s="2"/>
      <c r="D84" s="2"/>
      <c r="E84" s="284">
        <f>IF($D$4="IRR",IRR(F84:U84),SUMIF(F84:U84,"&gt;0")/-SUMIF(F84:U84,"&lt;0"))</f>
        <v>0.10388158418086624</v>
      </c>
      <c r="F84" s="255">
        <f>IF(F78="","",-F80+F82)</f>
        <v>-2391412.5</v>
      </c>
      <c r="G84" s="255">
        <f t="shared" ref="G84:U84" si="40">IF(G78="","",-G80+G81+G82)</f>
        <v>-248898.14676490315</v>
      </c>
      <c r="H84" s="255">
        <f t="shared" si="40"/>
        <v>-62930.51554090315</v>
      </c>
      <c r="I84" s="255">
        <f t="shared" si="40"/>
        <v>177784.73394241618</v>
      </c>
      <c r="J84" s="255">
        <f t="shared" si="40"/>
        <v>180876.29206452597</v>
      </c>
      <c r="K84" s="255">
        <f t="shared" si="40"/>
        <v>183948.72064258248</v>
      </c>
      <c r="L84" s="255">
        <f t="shared" si="40"/>
        <v>187000.43380694845</v>
      </c>
      <c r="M84" s="255">
        <f t="shared" si="40"/>
        <v>190029.7960327297</v>
      </c>
      <c r="N84" s="255">
        <f t="shared" si="40"/>
        <v>193035.12087871981</v>
      </c>
      <c r="O84" s="255">
        <f t="shared" si="40"/>
        <v>196014.66969710481</v>
      </c>
      <c r="P84" s="255">
        <f t="shared" si="40"/>
        <v>5200853.9396031853</v>
      </c>
      <c r="Q84" s="255" t="str">
        <f t="shared" si="40"/>
        <v/>
      </c>
      <c r="R84" s="255" t="str">
        <f t="shared" si="40"/>
        <v/>
      </c>
      <c r="S84" s="255" t="str">
        <f t="shared" si="40"/>
        <v/>
      </c>
      <c r="T84" s="255" t="str">
        <f t="shared" si="40"/>
        <v/>
      </c>
      <c r="U84" s="255" t="str">
        <f t="shared" si="40"/>
        <v/>
      </c>
    </row>
    <row r="85" spans="2:21" ht="5.0999999999999996" customHeight="1" x14ac:dyDescent="0.3">
      <c r="B85" s="197" t="s">
        <v>20</v>
      </c>
      <c r="C85" s="197" t="s">
        <v>20</v>
      </c>
      <c r="D85" s="197" t="s">
        <v>20</v>
      </c>
      <c r="E85" s="197" t="s">
        <v>20</v>
      </c>
      <c r="F85" s="198" t="str">
        <f t="shared" ref="F85:U85" si="41">IF(F78="","",".")</f>
        <v>.</v>
      </c>
      <c r="G85" s="198" t="str">
        <f t="shared" si="41"/>
        <v>.</v>
      </c>
      <c r="H85" s="198" t="str">
        <f t="shared" si="41"/>
        <v>.</v>
      </c>
      <c r="I85" s="198" t="str">
        <f t="shared" si="41"/>
        <v>.</v>
      </c>
      <c r="J85" s="198" t="str">
        <f t="shared" si="41"/>
        <v>.</v>
      </c>
      <c r="K85" s="198" t="str">
        <f t="shared" si="41"/>
        <v>.</v>
      </c>
      <c r="L85" s="198" t="str">
        <f t="shared" si="41"/>
        <v>.</v>
      </c>
      <c r="M85" s="198" t="str">
        <f t="shared" si="41"/>
        <v>.</v>
      </c>
      <c r="N85" s="198" t="str">
        <f t="shared" si="41"/>
        <v>.</v>
      </c>
      <c r="O85" s="198" t="str">
        <f t="shared" si="41"/>
        <v>.</v>
      </c>
      <c r="P85" s="198" t="str">
        <f t="shared" si="41"/>
        <v>.</v>
      </c>
      <c r="Q85" s="198" t="str">
        <f t="shared" si="41"/>
        <v/>
      </c>
      <c r="R85" s="198" t="str">
        <f t="shared" si="41"/>
        <v/>
      </c>
      <c r="S85" s="198" t="str">
        <f t="shared" si="41"/>
        <v/>
      </c>
      <c r="T85" s="198" t="str">
        <f t="shared" si="41"/>
        <v/>
      </c>
      <c r="U85" s="198" t="str">
        <f t="shared" si="41"/>
        <v/>
      </c>
    </row>
    <row r="86" spans="2:21" x14ac:dyDescent="0.3">
      <c r="B86" s="2" t="s">
        <v>96</v>
      </c>
      <c r="C86" s="2"/>
      <c r="D86" s="2"/>
      <c r="E86" s="2"/>
      <c r="F86" s="255">
        <f t="shared" ref="F86:U86" si="42">IF(F78="","",F82)</f>
        <v>0</v>
      </c>
      <c r="G86" s="255">
        <f t="shared" si="42"/>
        <v>0</v>
      </c>
      <c r="H86" s="255">
        <f t="shared" si="42"/>
        <v>0</v>
      </c>
      <c r="I86" s="255">
        <f t="shared" si="42"/>
        <v>0</v>
      </c>
      <c r="J86" s="255">
        <f t="shared" si="42"/>
        <v>0</v>
      </c>
      <c r="K86" s="255">
        <f t="shared" si="42"/>
        <v>0</v>
      </c>
      <c r="L86" s="255">
        <f t="shared" si="42"/>
        <v>0</v>
      </c>
      <c r="M86" s="255">
        <f t="shared" si="42"/>
        <v>0</v>
      </c>
      <c r="N86" s="255">
        <f t="shared" si="42"/>
        <v>0</v>
      </c>
      <c r="O86" s="255">
        <f t="shared" si="42"/>
        <v>0</v>
      </c>
      <c r="P86" s="255">
        <f t="shared" si="42"/>
        <v>0</v>
      </c>
      <c r="Q86" s="255" t="str">
        <f t="shared" si="42"/>
        <v/>
      </c>
      <c r="R86" s="255" t="str">
        <f t="shared" si="42"/>
        <v/>
      </c>
      <c r="S86" s="255" t="str">
        <f t="shared" si="42"/>
        <v/>
      </c>
      <c r="T86" s="255" t="str">
        <f t="shared" si="42"/>
        <v/>
      </c>
      <c r="U86" s="255" t="str">
        <f t="shared" si="42"/>
        <v/>
      </c>
    </row>
    <row r="87" spans="2:21" x14ac:dyDescent="0.3">
      <c r="B87" s="2" t="s">
        <v>95</v>
      </c>
      <c r="C87" s="2"/>
      <c r="D87" s="2"/>
      <c r="E87" s="2"/>
      <c r="F87" s="255">
        <f t="shared" ref="F87:U87" si="43">IF(F78="","",IF(GP_Only?,0,F86/$I$16*$H$16))</f>
        <v>0</v>
      </c>
      <c r="G87" s="255">
        <f t="shared" si="43"/>
        <v>0</v>
      </c>
      <c r="H87" s="255">
        <f t="shared" si="43"/>
        <v>0</v>
      </c>
      <c r="I87" s="255">
        <f t="shared" si="43"/>
        <v>0</v>
      </c>
      <c r="J87" s="255">
        <f t="shared" si="43"/>
        <v>0</v>
      </c>
      <c r="K87" s="255">
        <f t="shared" si="43"/>
        <v>0</v>
      </c>
      <c r="L87" s="255">
        <f t="shared" si="43"/>
        <v>0</v>
      </c>
      <c r="M87" s="255">
        <f t="shared" si="43"/>
        <v>0</v>
      </c>
      <c r="N87" s="255">
        <f t="shared" si="43"/>
        <v>0</v>
      </c>
      <c r="O87" s="255">
        <f t="shared" si="43"/>
        <v>0</v>
      </c>
      <c r="P87" s="255">
        <f t="shared" si="43"/>
        <v>0</v>
      </c>
      <c r="Q87" s="255" t="str">
        <f t="shared" si="43"/>
        <v/>
      </c>
      <c r="R87" s="255" t="str">
        <f t="shared" si="43"/>
        <v/>
      </c>
      <c r="S87" s="255" t="str">
        <f t="shared" si="43"/>
        <v/>
      </c>
      <c r="T87" s="255" t="str">
        <f t="shared" si="43"/>
        <v/>
      </c>
      <c r="U87" s="255" t="str">
        <f t="shared" si="43"/>
        <v/>
      </c>
    </row>
    <row r="88" spans="2:21" x14ac:dyDescent="0.3">
      <c r="B88" s="2" t="str">
        <f>"Total Distributions ("&amp;B76&amp;")"</f>
        <v>Total Distributions (Hurdle 3)</v>
      </c>
      <c r="C88" s="2"/>
      <c r="D88" s="2"/>
      <c r="E88" s="2"/>
      <c r="F88" s="255">
        <f t="shared" ref="F88:U88" si="44">IF(F78="","",F86+F87)</f>
        <v>0</v>
      </c>
      <c r="G88" s="255">
        <f t="shared" si="44"/>
        <v>0</v>
      </c>
      <c r="H88" s="255">
        <f t="shared" si="44"/>
        <v>0</v>
      </c>
      <c r="I88" s="255">
        <f t="shared" si="44"/>
        <v>0</v>
      </c>
      <c r="J88" s="255">
        <f t="shared" si="44"/>
        <v>0</v>
      </c>
      <c r="K88" s="255">
        <f t="shared" si="44"/>
        <v>0</v>
      </c>
      <c r="L88" s="255">
        <f t="shared" si="44"/>
        <v>0</v>
      </c>
      <c r="M88" s="255">
        <f t="shared" si="44"/>
        <v>0</v>
      </c>
      <c r="N88" s="255">
        <f t="shared" si="44"/>
        <v>0</v>
      </c>
      <c r="O88" s="255">
        <f t="shared" si="44"/>
        <v>0</v>
      </c>
      <c r="P88" s="255">
        <f t="shared" si="44"/>
        <v>0</v>
      </c>
      <c r="Q88" s="255" t="str">
        <f t="shared" si="44"/>
        <v/>
      </c>
      <c r="R88" s="255" t="str">
        <f t="shared" si="44"/>
        <v/>
      </c>
      <c r="S88" s="255" t="str">
        <f t="shared" si="44"/>
        <v/>
      </c>
      <c r="T88" s="255" t="str">
        <f t="shared" si="44"/>
        <v/>
      </c>
      <c r="U88" s="255" t="str">
        <f t="shared" si="44"/>
        <v/>
      </c>
    </row>
    <row r="89" spans="2:21" x14ac:dyDescent="0.3">
      <c r="B89" s="2" t="s">
        <v>97</v>
      </c>
      <c r="C89" s="2"/>
      <c r="D89" s="2"/>
      <c r="E89" s="2"/>
      <c r="F89" s="255">
        <f t="shared" ref="F89:U89" si="45">IF(F78="","",MAX(F$40-F58-F73-F88,0))</f>
        <v>0</v>
      </c>
      <c r="G89" s="255">
        <f t="shared" si="45"/>
        <v>0</v>
      </c>
      <c r="H89" s="255">
        <f t="shared" si="45"/>
        <v>0</v>
      </c>
      <c r="I89" s="255">
        <f t="shared" si="45"/>
        <v>0</v>
      </c>
      <c r="J89" s="255">
        <f t="shared" si="45"/>
        <v>0</v>
      </c>
      <c r="K89" s="255">
        <f t="shared" si="45"/>
        <v>0</v>
      </c>
      <c r="L89" s="255">
        <f t="shared" si="45"/>
        <v>0</v>
      </c>
      <c r="M89" s="255">
        <f t="shared" si="45"/>
        <v>0</v>
      </c>
      <c r="N89" s="255">
        <f t="shared" si="45"/>
        <v>0</v>
      </c>
      <c r="O89" s="255">
        <f t="shared" si="45"/>
        <v>0</v>
      </c>
      <c r="P89" s="255">
        <f t="shared" si="45"/>
        <v>0</v>
      </c>
      <c r="Q89" s="255" t="str">
        <f t="shared" si="45"/>
        <v/>
      </c>
      <c r="R89" s="255" t="str">
        <f t="shared" si="45"/>
        <v/>
      </c>
      <c r="S89" s="255" t="str">
        <f t="shared" si="45"/>
        <v/>
      </c>
      <c r="T89" s="255" t="str">
        <f t="shared" si="45"/>
        <v/>
      </c>
      <c r="U89" s="255" t="str">
        <f t="shared" si="45"/>
        <v/>
      </c>
    </row>
    <row r="90" spans="2:21" ht="5.0999999999999996" customHeight="1" x14ac:dyDescent="0.3">
      <c r="B90" s="2"/>
      <c r="C90" s="2"/>
      <c r="D90" s="2"/>
      <c r="E90" s="2"/>
      <c r="F90" s="201"/>
      <c r="G90" s="201"/>
      <c r="H90" s="201"/>
      <c r="I90" s="201"/>
      <c r="J90" s="201"/>
      <c r="K90" s="201"/>
      <c r="L90" s="201"/>
      <c r="M90" s="201"/>
      <c r="N90" s="201"/>
      <c r="O90" s="201"/>
      <c r="P90" s="201"/>
      <c r="Q90" s="201"/>
      <c r="R90" s="201"/>
      <c r="S90" s="201"/>
      <c r="T90" s="201"/>
      <c r="U90" s="201"/>
    </row>
    <row r="91" spans="2:21" ht="15.6" x14ac:dyDescent="0.3">
      <c r="B91" s="3" t="s">
        <v>84</v>
      </c>
      <c r="C91" s="2"/>
      <c r="D91" s="2"/>
      <c r="E91" s="2"/>
      <c r="F91" s="201"/>
      <c r="G91" s="201"/>
      <c r="H91" s="201"/>
      <c r="I91" s="201"/>
      <c r="J91" s="201"/>
      <c r="K91" s="201"/>
      <c r="L91" s="201"/>
      <c r="M91" s="201"/>
      <c r="N91" s="201"/>
      <c r="O91" s="201"/>
      <c r="P91" s="201"/>
      <c r="Q91" s="201"/>
      <c r="R91" s="201"/>
      <c r="S91" s="201"/>
      <c r="T91" s="201"/>
      <c r="U91" s="201"/>
    </row>
    <row r="92" spans="2:21" x14ac:dyDescent="0.3">
      <c r="B92" s="253" t="s">
        <v>221</v>
      </c>
      <c r="C92" s="254">
        <f>C77</f>
        <v>0.15</v>
      </c>
      <c r="D92" s="186"/>
      <c r="E92" s="186"/>
      <c r="F92" s="219"/>
      <c r="G92" s="219"/>
      <c r="H92" s="219"/>
      <c r="I92" s="219"/>
      <c r="J92" s="219"/>
      <c r="K92" s="219"/>
      <c r="L92" s="219"/>
      <c r="M92" s="219"/>
      <c r="N92" s="219"/>
      <c r="O92" s="219"/>
      <c r="P92" s="219"/>
      <c r="Q92" s="219"/>
      <c r="R92" s="219"/>
      <c r="S92" s="219"/>
      <c r="T92" s="219"/>
      <c r="U92" s="219"/>
    </row>
    <row r="93" spans="2:21" x14ac:dyDescent="0.3">
      <c r="B93" s="2" t="s">
        <v>96</v>
      </c>
      <c r="C93" s="2"/>
      <c r="D93" s="2"/>
      <c r="E93" s="2"/>
      <c r="F93" s="255">
        <f t="shared" ref="F93:U93" si="46">IF(F78="","",F89*$I$17)</f>
        <v>0</v>
      </c>
      <c r="G93" s="255">
        <f t="shared" si="46"/>
        <v>0</v>
      </c>
      <c r="H93" s="255">
        <f t="shared" si="46"/>
        <v>0</v>
      </c>
      <c r="I93" s="255">
        <f t="shared" si="46"/>
        <v>0</v>
      </c>
      <c r="J93" s="255">
        <f t="shared" si="46"/>
        <v>0</v>
      </c>
      <c r="K93" s="255">
        <f t="shared" si="46"/>
        <v>0</v>
      </c>
      <c r="L93" s="255">
        <f t="shared" si="46"/>
        <v>0</v>
      </c>
      <c r="M93" s="255">
        <f t="shared" si="46"/>
        <v>0</v>
      </c>
      <c r="N93" s="255">
        <f t="shared" si="46"/>
        <v>0</v>
      </c>
      <c r="O93" s="255">
        <f t="shared" si="46"/>
        <v>0</v>
      </c>
      <c r="P93" s="255">
        <f t="shared" si="46"/>
        <v>0</v>
      </c>
      <c r="Q93" s="255" t="str">
        <f t="shared" si="46"/>
        <v/>
      </c>
      <c r="R93" s="255" t="str">
        <f t="shared" si="46"/>
        <v/>
      </c>
      <c r="S93" s="255" t="str">
        <f t="shared" si="46"/>
        <v/>
      </c>
      <c r="T93" s="255" t="str">
        <f t="shared" si="46"/>
        <v/>
      </c>
      <c r="U93" s="255" t="str">
        <f t="shared" si="46"/>
        <v/>
      </c>
    </row>
    <row r="94" spans="2:21" x14ac:dyDescent="0.3">
      <c r="B94" s="2" t="s">
        <v>95</v>
      </c>
      <c r="C94" s="2"/>
      <c r="D94" s="2"/>
      <c r="E94" s="2"/>
      <c r="F94" s="255">
        <f t="shared" ref="F94:U94" si="47">IF(F93="","",F89-F93)</f>
        <v>0</v>
      </c>
      <c r="G94" s="255">
        <f t="shared" si="47"/>
        <v>0</v>
      </c>
      <c r="H94" s="255">
        <f t="shared" si="47"/>
        <v>0</v>
      </c>
      <c r="I94" s="255">
        <f t="shared" si="47"/>
        <v>0</v>
      </c>
      <c r="J94" s="255">
        <f t="shared" si="47"/>
        <v>0</v>
      </c>
      <c r="K94" s="255">
        <f t="shared" si="47"/>
        <v>0</v>
      </c>
      <c r="L94" s="255">
        <f t="shared" si="47"/>
        <v>0</v>
      </c>
      <c r="M94" s="255">
        <f t="shared" si="47"/>
        <v>0</v>
      </c>
      <c r="N94" s="255">
        <f t="shared" si="47"/>
        <v>0</v>
      </c>
      <c r="O94" s="255">
        <f t="shared" si="47"/>
        <v>0</v>
      </c>
      <c r="P94" s="255">
        <f t="shared" si="47"/>
        <v>0</v>
      </c>
      <c r="Q94" s="255" t="str">
        <f t="shared" si="47"/>
        <v/>
      </c>
      <c r="R94" s="255" t="str">
        <f t="shared" si="47"/>
        <v/>
      </c>
      <c r="S94" s="255" t="str">
        <f t="shared" si="47"/>
        <v/>
      </c>
      <c r="T94" s="255" t="str">
        <f t="shared" si="47"/>
        <v/>
      </c>
      <c r="U94" s="255" t="str">
        <f t="shared" si="47"/>
        <v/>
      </c>
    </row>
    <row r="95" spans="2:21" x14ac:dyDescent="0.3">
      <c r="B95" s="2" t="str">
        <f>"Total Distributions ("&amp;B91&amp;")"</f>
        <v>Total Distributions (Hurdle 4)</v>
      </c>
      <c r="C95" s="2"/>
      <c r="D95" s="2"/>
      <c r="E95" s="2"/>
      <c r="F95" s="255">
        <f t="shared" ref="F95:U95" si="48">IF(F93="","",F93+F94)</f>
        <v>0</v>
      </c>
      <c r="G95" s="255">
        <f t="shared" si="48"/>
        <v>0</v>
      </c>
      <c r="H95" s="255">
        <f t="shared" si="48"/>
        <v>0</v>
      </c>
      <c r="I95" s="255">
        <f t="shared" si="48"/>
        <v>0</v>
      </c>
      <c r="J95" s="255">
        <f t="shared" si="48"/>
        <v>0</v>
      </c>
      <c r="K95" s="255">
        <f t="shared" si="48"/>
        <v>0</v>
      </c>
      <c r="L95" s="255">
        <f t="shared" si="48"/>
        <v>0</v>
      </c>
      <c r="M95" s="255">
        <f t="shared" si="48"/>
        <v>0</v>
      </c>
      <c r="N95" s="255">
        <f t="shared" si="48"/>
        <v>0</v>
      </c>
      <c r="O95" s="255">
        <f t="shared" si="48"/>
        <v>0</v>
      </c>
      <c r="P95" s="255">
        <f t="shared" si="48"/>
        <v>0</v>
      </c>
      <c r="Q95" s="255" t="str">
        <f t="shared" si="48"/>
        <v/>
      </c>
      <c r="R95" s="255" t="str">
        <f t="shared" si="48"/>
        <v/>
      </c>
      <c r="S95" s="255" t="str">
        <f t="shared" si="48"/>
        <v/>
      </c>
      <c r="T95" s="255" t="str">
        <f t="shared" si="48"/>
        <v/>
      </c>
      <c r="U95" s="255" t="str">
        <f t="shared" si="48"/>
        <v/>
      </c>
    </row>
    <row r="96" spans="2:21" x14ac:dyDescent="0.3">
      <c r="B96" s="2" t="s">
        <v>97</v>
      </c>
      <c r="C96" s="2"/>
      <c r="D96" s="2"/>
      <c r="E96" s="2"/>
      <c r="F96" s="255">
        <f t="shared" ref="F96:U96" si="49">IF(F93="","",F89-F95)</f>
        <v>0</v>
      </c>
      <c r="G96" s="255">
        <f t="shared" si="49"/>
        <v>0</v>
      </c>
      <c r="H96" s="255">
        <f t="shared" si="49"/>
        <v>0</v>
      </c>
      <c r="I96" s="255">
        <f t="shared" si="49"/>
        <v>0</v>
      </c>
      <c r="J96" s="255">
        <f t="shared" si="49"/>
        <v>0</v>
      </c>
      <c r="K96" s="255">
        <f t="shared" si="49"/>
        <v>0</v>
      </c>
      <c r="L96" s="255">
        <f t="shared" si="49"/>
        <v>0</v>
      </c>
      <c r="M96" s="255">
        <f t="shared" si="49"/>
        <v>0</v>
      </c>
      <c r="N96" s="255">
        <f t="shared" si="49"/>
        <v>0</v>
      </c>
      <c r="O96" s="255">
        <f t="shared" si="49"/>
        <v>0</v>
      </c>
      <c r="P96" s="255">
        <f t="shared" si="49"/>
        <v>0</v>
      </c>
      <c r="Q96" s="255" t="str">
        <f t="shared" si="49"/>
        <v/>
      </c>
      <c r="R96" s="255" t="str">
        <f t="shared" si="49"/>
        <v/>
      </c>
      <c r="S96" s="255" t="str">
        <f t="shared" si="49"/>
        <v/>
      </c>
      <c r="T96" s="255" t="str">
        <f t="shared" si="49"/>
        <v/>
      </c>
      <c r="U96" s="255" t="str">
        <f t="shared" si="49"/>
        <v/>
      </c>
    </row>
    <row r="97" ht="9.9" customHeight="1" x14ac:dyDescent="0.3"/>
  </sheetData>
  <sheetProtection selectLockedCells="1"/>
  <mergeCells count="6">
    <mergeCell ref="J17:N17"/>
    <mergeCell ref="H12:I12"/>
    <mergeCell ref="F12:G13"/>
    <mergeCell ref="J14:N14"/>
    <mergeCell ref="J15:N15"/>
    <mergeCell ref="J16:N16"/>
  </mergeCells>
  <conditionalFormatting sqref="B52">
    <cfRule type="expression" dxfId="17" priority="10">
      <formula>$C$4="Equity Multiple"</formula>
    </cfRule>
  </conditionalFormatting>
  <conditionalFormatting sqref="B69">
    <cfRule type="expression" dxfId="16" priority="8">
      <formula>$C$4="Equity Multiple"</formula>
    </cfRule>
  </conditionalFormatting>
  <conditionalFormatting sqref="B84">
    <cfRule type="expression" dxfId="15" priority="7">
      <formula>$C$4="Equity Multiple"</formula>
    </cfRule>
  </conditionalFormatting>
  <conditionalFormatting sqref="C14:C17">
    <cfRule type="expression" dxfId="14" priority="11">
      <formula>$D$4&lt;&gt;"Equity Multiple"</formula>
    </cfRule>
  </conditionalFormatting>
  <conditionalFormatting sqref="C45">
    <cfRule type="expression" dxfId="13" priority="6">
      <formula>$C$4="Equity Multiple"</formula>
    </cfRule>
  </conditionalFormatting>
  <conditionalFormatting sqref="C62">
    <cfRule type="expression" dxfId="12" priority="5">
      <formula>$C$4="Equity Multiple"</formula>
    </cfRule>
  </conditionalFormatting>
  <conditionalFormatting sqref="C77">
    <cfRule type="expression" dxfId="11" priority="4">
      <formula>$C$4="Equity Multiple"</formula>
    </cfRule>
  </conditionalFormatting>
  <conditionalFormatting sqref="C92">
    <cfRule type="expression" dxfId="10" priority="3">
      <formula>$C$4="Equity Multiple"</formula>
    </cfRule>
  </conditionalFormatting>
  <conditionalFormatting sqref="D14:D17">
    <cfRule type="expression" dxfId="9" priority="13">
      <formula>$D$4="Equity Multiple"</formula>
    </cfRule>
  </conditionalFormatting>
  <conditionalFormatting sqref="E14:E16">
    <cfRule type="expression" dxfId="8" priority="12">
      <formula>$D$4="Equity Multiple"</formula>
    </cfRule>
  </conditionalFormatting>
  <conditionalFormatting sqref="E52">
    <cfRule type="expression" dxfId="7" priority="9">
      <formula>$C$4="Equity Multiple"</formula>
    </cfRule>
  </conditionalFormatting>
  <conditionalFormatting sqref="E69">
    <cfRule type="expression" dxfId="6" priority="2">
      <formula>$C$4="Equity Multiple"</formula>
    </cfRule>
  </conditionalFormatting>
  <conditionalFormatting sqref="E84">
    <cfRule type="expression" dxfId="5" priority="1">
      <formula>$C$4="Equity Multiple"</formula>
    </cfRule>
  </conditionalFormatting>
  <conditionalFormatting sqref="L8">
    <cfRule type="expression" dxfId="4" priority="14">
      <formula>$L$8="OK"</formula>
    </cfRule>
  </conditionalFormatting>
  <dataValidations count="2">
    <dataValidation type="list" allowBlank="1" showInputMessage="1" showErrorMessage="1" sqref="D5" xr:uid="{00000000-0002-0000-0700-000000000000}">
      <formula1>"Pari Passu"</formula1>
    </dataValidation>
    <dataValidation type="list" allowBlank="1" showInputMessage="1" showErrorMessage="1" sqref="D4" xr:uid="{00000000-0002-0000-0700-000001000000}">
      <formula1>"IRR, Equity Multiple"</formula1>
    </dataValidation>
  </dataValidations>
  <pageMargins left="0.7" right="0.7" top="0.75" bottom="0.75" header="0.3" footer="0.3"/>
  <pageSetup scale="35" orientation="portrait" horizontalDpi="4294967294" verticalDpi="120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pageSetUpPr fitToPage="1"/>
  </sheetPr>
  <dimension ref="B1:T7"/>
  <sheetViews>
    <sheetView showGridLines="0" zoomScale="85" zoomScaleNormal="85" zoomScaleSheetLayoutView="55" workbookViewId="0"/>
  </sheetViews>
  <sheetFormatPr defaultColWidth="9.109375" defaultRowHeight="14.4" x14ac:dyDescent="0.3"/>
  <cols>
    <col min="1" max="1" width="1.6640625" style="37" customWidth="1"/>
    <col min="2" max="2" width="3.109375" style="37" bestFit="1" customWidth="1"/>
    <col min="3" max="3" width="23.88671875" style="37" customWidth="1"/>
    <col min="4" max="18" width="11.88671875" style="37" bestFit="1" customWidth="1"/>
    <col min="19" max="16384" width="9.109375" style="37"/>
  </cols>
  <sheetData>
    <row r="1" spans="2:20" ht="9.9" customHeight="1" x14ac:dyDescent="0.3"/>
    <row r="2" spans="2:20" ht="15.6" x14ac:dyDescent="0.3">
      <c r="B2" s="79" t="s">
        <v>39</v>
      </c>
      <c r="C2" s="80"/>
      <c r="D2" s="80"/>
      <c r="E2" s="80"/>
      <c r="F2" s="80"/>
      <c r="G2" s="80"/>
      <c r="H2" s="80"/>
      <c r="I2" s="80"/>
      <c r="J2" s="80"/>
      <c r="K2" s="80"/>
      <c r="L2" s="80"/>
      <c r="M2" s="80"/>
      <c r="N2" s="80"/>
      <c r="O2" s="80"/>
      <c r="P2" s="80"/>
      <c r="Q2" s="80"/>
      <c r="R2" s="80"/>
    </row>
    <row r="3" spans="2:20" s="41" customFormat="1" x14ac:dyDescent="0.3">
      <c r="B3" s="38"/>
      <c r="C3" s="38"/>
      <c r="D3" s="39">
        <v>1</v>
      </c>
      <c r="E3" s="39">
        <f t="shared" ref="E3:T3" si="0">IF(OR(D3="",D3=Analysis_Period),"",D3+1)</f>
        <v>2</v>
      </c>
      <c r="F3" s="39">
        <f t="shared" si="0"/>
        <v>3</v>
      </c>
      <c r="G3" s="39">
        <f t="shared" si="0"/>
        <v>4</v>
      </c>
      <c r="H3" s="39">
        <f t="shared" si="0"/>
        <v>5</v>
      </c>
      <c r="I3" s="39">
        <f t="shared" si="0"/>
        <v>6</v>
      </c>
      <c r="J3" s="39">
        <f t="shared" si="0"/>
        <v>7</v>
      </c>
      <c r="K3" s="39">
        <f t="shared" si="0"/>
        <v>8</v>
      </c>
      <c r="L3" s="39">
        <f t="shared" si="0"/>
        <v>9</v>
      </c>
      <c r="M3" s="39">
        <f t="shared" si="0"/>
        <v>10</v>
      </c>
      <c r="N3" s="39" t="str">
        <f t="shared" si="0"/>
        <v/>
      </c>
      <c r="O3" s="39" t="str">
        <f t="shared" si="0"/>
        <v/>
      </c>
      <c r="P3" s="39" t="str">
        <f t="shared" si="0"/>
        <v/>
      </c>
      <c r="Q3" s="39" t="str">
        <f t="shared" si="0"/>
        <v/>
      </c>
      <c r="R3" s="39" t="str">
        <f t="shared" si="0"/>
        <v/>
      </c>
      <c r="S3" s="40" t="str">
        <f t="shared" si="0"/>
        <v/>
      </c>
      <c r="T3" s="40" t="str">
        <f t="shared" si="0"/>
        <v/>
      </c>
    </row>
    <row r="4" spans="2:20" s="41" customFormat="1" x14ac:dyDescent="0.3">
      <c r="B4" s="38" t="s">
        <v>0</v>
      </c>
      <c r="C4" s="42" t="s">
        <v>18</v>
      </c>
      <c r="D4" s="43">
        <f>EOMONTH(Analysis_Start,11)</f>
        <v>42735</v>
      </c>
      <c r="E4" s="43">
        <f t="shared" ref="E4:R4" si="1">IF(E3="","",EOMONTH(Analysis_Start,(11*E3)+D3))</f>
        <v>43100</v>
      </c>
      <c r="F4" s="43">
        <f t="shared" si="1"/>
        <v>43465</v>
      </c>
      <c r="G4" s="43">
        <f t="shared" si="1"/>
        <v>43830</v>
      </c>
      <c r="H4" s="43">
        <f t="shared" si="1"/>
        <v>44196</v>
      </c>
      <c r="I4" s="43">
        <f t="shared" si="1"/>
        <v>44561</v>
      </c>
      <c r="J4" s="43">
        <f t="shared" si="1"/>
        <v>44926</v>
      </c>
      <c r="K4" s="43">
        <f t="shared" si="1"/>
        <v>45291</v>
      </c>
      <c r="L4" s="43">
        <f t="shared" si="1"/>
        <v>45657</v>
      </c>
      <c r="M4" s="43">
        <f t="shared" si="1"/>
        <v>46022</v>
      </c>
      <c r="N4" s="43" t="str">
        <f t="shared" si="1"/>
        <v/>
      </c>
      <c r="O4" s="43" t="str">
        <f t="shared" si="1"/>
        <v/>
      </c>
      <c r="P4" s="43" t="str">
        <f t="shared" si="1"/>
        <v/>
      </c>
      <c r="Q4" s="43" t="str">
        <f t="shared" si="1"/>
        <v/>
      </c>
      <c r="R4" s="43" t="str">
        <f t="shared" si="1"/>
        <v/>
      </c>
    </row>
    <row r="5" spans="2:20" collapsed="1" x14ac:dyDescent="0.3">
      <c r="B5" s="44" t="s">
        <v>19</v>
      </c>
      <c r="C5" s="45" t="str">
        <f>'Property Assumptions'!C5</f>
        <v>Serrano Village</v>
      </c>
      <c r="D5" s="46"/>
      <c r="E5" s="46"/>
      <c r="F5" s="46"/>
      <c r="G5" s="46"/>
      <c r="H5" s="46"/>
      <c r="I5" s="46"/>
      <c r="J5" s="46"/>
      <c r="K5" s="46"/>
      <c r="L5" s="46"/>
      <c r="M5" s="46"/>
      <c r="N5" s="46"/>
      <c r="O5" s="47"/>
      <c r="P5" s="47"/>
      <c r="Q5" s="47"/>
      <c r="R5" s="47"/>
    </row>
    <row r="6" spans="2:20" x14ac:dyDescent="0.3">
      <c r="B6" s="36"/>
      <c r="C6" s="48" t="s">
        <v>32</v>
      </c>
      <c r="D6" s="150">
        <f t="shared" ref="D6:R6" si="2">IF(D4="","",IF(VLOOKUP($C5,P_List_Table_2,14,FALSE)&lt;D$3,VLOOKUP($C5,P_List_Table_2,11,FALSE),VLOOKUP($C5,P_List_Table_2,12,FALSE)))</f>
        <v>278192.00840544805</v>
      </c>
      <c r="E6" s="150">
        <f t="shared" si="2"/>
        <v>278192.00840544805</v>
      </c>
      <c r="F6" s="150">
        <f t="shared" si="2"/>
        <v>278192.00840544805</v>
      </c>
      <c r="G6" s="150">
        <f t="shared" si="2"/>
        <v>278192.00840544805</v>
      </c>
      <c r="H6" s="150">
        <f t="shared" si="2"/>
        <v>278192.00840544805</v>
      </c>
      <c r="I6" s="150">
        <f t="shared" si="2"/>
        <v>278192.00840544805</v>
      </c>
      <c r="J6" s="150">
        <f t="shared" si="2"/>
        <v>278192.00840544805</v>
      </c>
      <c r="K6" s="150">
        <f t="shared" si="2"/>
        <v>278192.00840544805</v>
      </c>
      <c r="L6" s="150">
        <f t="shared" si="2"/>
        <v>278192.00840544805</v>
      </c>
      <c r="M6" s="150">
        <f t="shared" si="2"/>
        <v>278192.00840544805</v>
      </c>
      <c r="N6" s="150" t="str">
        <f t="shared" si="2"/>
        <v/>
      </c>
      <c r="O6" s="150" t="str">
        <f t="shared" si="2"/>
        <v/>
      </c>
      <c r="P6" s="150" t="str">
        <f t="shared" si="2"/>
        <v/>
      </c>
      <c r="Q6" s="150" t="str">
        <f t="shared" si="2"/>
        <v/>
      </c>
      <c r="R6" s="150" t="str">
        <f t="shared" si="2"/>
        <v/>
      </c>
    </row>
    <row r="7" spans="2:20" x14ac:dyDescent="0.3">
      <c r="B7" s="36"/>
      <c r="C7" s="48" t="s">
        <v>38</v>
      </c>
      <c r="D7" s="150">
        <f>IF(D3="","",IF(D3&lt;='Property Summary'!$H$26,Debt,-PV('Property Summary'!$H$25/12,(('Property Summary'!$H$27-Debt!D3)+'Property Summary'!$H$26)*12,PMT('Property Summary'!$H$25/12,'Property Summary'!$H$27*12,-Debt))))</f>
        <v>4633053.5448179087</v>
      </c>
      <c r="E7" s="150">
        <f>IF(E3="","",IF(E3&lt;='Property Summary'!$H$26,Debt,-PV('Property Summary'!$H$25/12,(('Property Summary'!$H$27-Debt!E3)+'Property Summary'!$H$26)*12,PMT('Property Summary'!$H$25/12,'Property Summary'!$H$27*12,-Debt))))</f>
        <v>4550164.0616992489</v>
      </c>
      <c r="F7" s="150">
        <f>IF(F3="","",IF(F3&lt;='Property Summary'!$H$26,Debt,-PV('Property Summary'!$H$25/12,(('Property Summary'!$H$27-Debt!F3)+'Property Summary'!$H$26)*12,PMT('Property Summary'!$H$25/12,'Property Summary'!$H$27*12,-Debt))))</f>
        <v>4463682.3376761405</v>
      </c>
      <c r="G7" s="150">
        <f>IF(G3="","",IF(G3&lt;='Property Summary'!$H$26,Debt,-PV('Property Summary'!$H$25/12,(('Property Summary'!$H$27-Debt!G3)+'Property Summary'!$H$26)*12,PMT('Property Summary'!$H$25/12,'Property Summary'!$H$27*12,-Debt))))</f>
        <v>4373452.6932313526</v>
      </c>
      <c r="H7" s="150">
        <f>IF(H3="","",IF(H3&lt;='Property Summary'!$H$26,Debt,-PV('Property Summary'!$H$25/12,(('Property Summary'!$H$27-Debt!H3)+'Property Summary'!$H$26)*12,PMT('Property Summary'!$H$25/12,'Property Summary'!$H$27*12,-Debt))))</f>
        <v>4279312.7020528987</v>
      </c>
      <c r="I7" s="150">
        <f>IF(I3="","",IF(I3&lt;='Property Summary'!$H$26,Debt,-PV('Property Summary'!$H$25/12,(('Property Summary'!$H$27-Debt!I3)+'Property Summary'!$H$26)*12,PMT('Property Summary'!$H$25/12,'Property Summary'!$H$27*12,-Debt))))</f>
        <v>4181092.8986433633</v>
      </c>
      <c r="J7" s="150">
        <f>IF(J3="","",IF(J3&lt;='Property Summary'!$H$26,Debt,-PV('Property Summary'!$H$25/12,(('Property Summary'!$H$27-Debt!J3)+'Property Summary'!$H$26)*12,PMT('Property Summary'!$H$25/12,'Property Summary'!$H$27*12,-Debt))))</f>
        <v>4078616.473257679</v>
      </c>
      <c r="K7" s="150">
        <f>IF(K3="","",IF(K3&lt;='Property Summary'!$H$26,Debt,-PV('Property Summary'!$H$25/12,(('Property Summary'!$H$27-Debt!K3)+'Property Summary'!$H$26)*12,PMT('Property Summary'!$H$25/12,'Property Summary'!$H$27*12,-Debt))))</f>
        <v>3971698.9536202061</v>
      </c>
      <c r="L7" s="150">
        <f>IF(L3="","",IF(L3&lt;='Property Summary'!$H$26,Debt,-PV('Property Summary'!$H$25/12,(('Property Summary'!$H$27-Debt!L3)+'Property Summary'!$H$26)*12,PMT('Property Summary'!$H$25/12,'Property Summary'!$H$27*12,-Debt))))</f>
        <v>3860147.8728481573</v>
      </c>
      <c r="M7" s="150">
        <f>IF(M3="","",IF(M3&lt;='Property Summary'!$H$26,Debt,-PV('Property Summary'!$H$25/12,(('Property Summary'!$H$27-Debt!M3)+'Property Summary'!$H$26)*12,PMT('Property Summary'!$H$25/12,'Property Summary'!$H$27*12,-Debt))))</f>
        <v>3743762.4229835775</v>
      </c>
      <c r="N7" s="150" t="str">
        <f>IF(N3="","",IF(N3&lt;='Property Summary'!$H$26,Debt,-PV('Property Summary'!$H$25/12,(('Property Summary'!$H$27-Debt!N3)+'Property Summary'!$H$26)*12,PMT('Property Summary'!$H$25/12,'Property Summary'!$H$27*12,-Debt))))</f>
        <v/>
      </c>
      <c r="O7" s="150" t="str">
        <f>IF(O3="","",IF(O3&lt;='Property Summary'!$H$26,Debt,-PV('Property Summary'!$H$25/12,(('Property Summary'!$H$27-Debt!O3)+'Property Summary'!$H$26)*12,PMT('Property Summary'!$H$25/12,'Property Summary'!$H$27*12,-Debt))))</f>
        <v/>
      </c>
      <c r="P7" s="150" t="str">
        <f>IF(P3="","",IF(P3&lt;='Property Summary'!$H$26,Debt,-PV('Property Summary'!$H$25/12,(('Property Summary'!$H$27-Debt!P3)+'Property Summary'!$H$26)*12,PMT('Property Summary'!$H$25/12,'Property Summary'!$H$27*12,-Debt))))</f>
        <v/>
      </c>
      <c r="Q7" s="150" t="str">
        <f>IF(Q3="","",IF(Q3&lt;='Property Summary'!$H$26,Debt,-PV('Property Summary'!$H$25/12,(('Property Summary'!$H$27-Debt!Q3)+'Property Summary'!$H$26)*12,PMT('Property Summary'!$H$25/12,'Property Summary'!$H$27*12,-Debt))))</f>
        <v/>
      </c>
      <c r="R7" s="150" t="str">
        <f>IF(R3="","",IF(R3&lt;='Property Summary'!$H$26,Debt,-PV('Property Summary'!$H$25/12,(('Property Summary'!$H$27-Debt!R3)+'Property Summary'!$H$26)*12,PMT('Property Summary'!$H$25/12,'Property Summary'!$H$27*12,-Debt))))</f>
        <v/>
      </c>
    </row>
  </sheetData>
  <pageMargins left="0.7" right="0.7" top="0.75" bottom="0.75" header="0.3" footer="0.3"/>
  <pageSetup scale="40" orientation="portrait" horizontalDpi="4294967294" verticalDpi="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
  <sheetViews>
    <sheetView topLeftCell="A1048576" workbookViewId="0"/>
  </sheetViews>
  <sheetFormatPr defaultColWidth="9.109375" defaultRowHeight="14.4" zeroHeight="1"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GR40"/>
  <sheetViews>
    <sheetView workbookViewId="0"/>
  </sheetViews>
  <sheetFormatPr defaultColWidth="9.109375" defaultRowHeight="14.4" x14ac:dyDescent="0.3"/>
  <cols>
    <col min="2" max="2" width="12.88671875" style="185" customWidth="1"/>
    <col min="3" max="3" width="12.88671875" style="89" customWidth="1"/>
    <col min="4" max="4" width="5.6640625" style="89" bestFit="1" customWidth="1"/>
    <col min="5" max="5" width="6.44140625" style="89" bestFit="1" customWidth="1"/>
    <col min="6" max="6" width="8.109375" style="89" bestFit="1" customWidth="1"/>
    <col min="7" max="9" width="9.5546875" style="89" bestFit="1" customWidth="1"/>
    <col min="10" max="10" width="10.88671875" style="89" bestFit="1" customWidth="1"/>
    <col min="11" max="11" width="10.88671875" style="89" customWidth="1"/>
    <col min="12" max="12" width="11.44140625" style="89" customWidth="1"/>
    <col min="13" max="13" width="17" style="89" customWidth="1"/>
    <col min="14" max="14" width="13.5546875" style="89" customWidth="1"/>
    <col min="15" max="15" width="10.88671875" style="89" bestFit="1" customWidth="1"/>
    <col min="16" max="16" width="13.5546875" style="89" bestFit="1" customWidth="1"/>
    <col min="17" max="18" width="10.88671875" style="89" bestFit="1" customWidth="1"/>
    <col min="19" max="20" width="9.109375" style="89"/>
    <col min="21" max="21" width="9.33203125" style="89" bestFit="1" customWidth="1"/>
    <col min="22" max="22" width="9.6640625" style="89" bestFit="1" customWidth="1"/>
    <col min="23" max="23" width="9.88671875" style="89" bestFit="1" customWidth="1"/>
    <col min="24" max="24" width="9.5546875" style="89" bestFit="1" customWidth="1"/>
    <col min="25" max="25" width="10.109375" style="89" bestFit="1" customWidth="1"/>
    <col min="26" max="26" width="9.44140625" style="89" bestFit="1" customWidth="1"/>
    <col min="27" max="27" width="8.88671875" style="89" bestFit="1" customWidth="1"/>
    <col min="28" max="28" width="9.88671875" style="89" bestFit="1" customWidth="1"/>
    <col min="29" max="29" width="9.6640625" style="89" bestFit="1" customWidth="1"/>
    <col min="30" max="30" width="9.44140625" style="89" bestFit="1" customWidth="1"/>
    <col min="31" max="31" width="10" style="89" bestFit="1" customWidth="1"/>
    <col min="32" max="32" width="9.6640625" style="89" bestFit="1" customWidth="1"/>
    <col min="33" max="33" width="9.33203125" style="89" bestFit="1" customWidth="1"/>
    <col min="34" max="34" width="9.6640625" style="89" bestFit="1" customWidth="1"/>
    <col min="35" max="35" width="9.88671875" style="89" bestFit="1" customWidth="1"/>
    <col min="36" max="36" width="9.5546875" style="89" bestFit="1" customWidth="1"/>
    <col min="37" max="37" width="10.109375" style="89" bestFit="1" customWidth="1"/>
    <col min="38" max="38" width="9.44140625" style="89" bestFit="1" customWidth="1"/>
    <col min="39" max="39" width="8.88671875" style="89" bestFit="1" customWidth="1"/>
    <col min="40" max="40" width="9.88671875" style="89" bestFit="1" customWidth="1"/>
    <col min="41" max="41" width="9.6640625" style="89" bestFit="1" customWidth="1"/>
    <col min="42" max="42" width="9.44140625" style="89" bestFit="1" customWidth="1"/>
    <col min="43" max="43" width="10" style="89" bestFit="1" customWidth="1"/>
    <col min="44" max="44" width="9.6640625" style="89" bestFit="1" customWidth="1"/>
    <col min="45" max="45" width="9.33203125" style="89" bestFit="1" customWidth="1"/>
    <col min="46" max="46" width="9.6640625" style="89" bestFit="1" customWidth="1"/>
    <col min="47" max="47" width="9.88671875" style="89" bestFit="1" customWidth="1"/>
    <col min="48" max="48" width="9.5546875" style="89" bestFit="1" customWidth="1"/>
    <col min="49" max="49" width="10.109375" style="89" bestFit="1" customWidth="1"/>
    <col min="50" max="50" width="9.44140625" style="89" bestFit="1" customWidth="1"/>
    <col min="51" max="51" width="8.88671875" style="89" bestFit="1" customWidth="1"/>
    <col min="52" max="52" width="9.88671875" style="89" bestFit="1" customWidth="1"/>
    <col min="53" max="53" width="9.6640625" style="89" bestFit="1" customWidth="1"/>
    <col min="54" max="54" width="9.44140625" style="89" bestFit="1" customWidth="1"/>
    <col min="55" max="55" width="10" style="89" bestFit="1" customWidth="1"/>
    <col min="56" max="56" width="9.6640625" style="89" bestFit="1" customWidth="1"/>
    <col min="57" max="57" width="9.33203125" style="89" bestFit="1" customWidth="1"/>
    <col min="58" max="58" width="9.6640625" style="89" bestFit="1" customWidth="1"/>
    <col min="59" max="59" width="9.88671875" style="89" bestFit="1" customWidth="1"/>
    <col min="60" max="60" width="9.5546875" style="89" bestFit="1" customWidth="1"/>
    <col min="61" max="61" width="10.109375" style="89" bestFit="1" customWidth="1"/>
    <col min="62" max="62" width="9.44140625" style="89" bestFit="1" customWidth="1"/>
    <col min="63" max="63" width="8.88671875" style="89" bestFit="1" customWidth="1"/>
    <col min="64" max="64" width="9.88671875" style="89" bestFit="1" customWidth="1"/>
    <col min="65" max="65" width="9.6640625" style="89" bestFit="1" customWidth="1"/>
    <col min="66" max="66" width="9.44140625" style="89" bestFit="1" customWidth="1"/>
    <col min="67" max="67" width="10" style="89" bestFit="1" customWidth="1"/>
    <col min="68" max="68" width="9.6640625" style="89" bestFit="1" customWidth="1"/>
    <col min="69" max="69" width="9.33203125" style="89" bestFit="1" customWidth="1"/>
    <col min="70" max="70" width="9.6640625" style="89" bestFit="1" customWidth="1"/>
    <col min="71" max="71" width="9.88671875" style="89" bestFit="1" customWidth="1"/>
    <col min="72" max="72" width="9.5546875" style="89" bestFit="1" customWidth="1"/>
    <col min="73" max="73" width="10.109375" style="89" bestFit="1" customWidth="1"/>
    <col min="74" max="74" width="9.44140625" style="89" bestFit="1" customWidth="1"/>
    <col min="75" max="75" width="8.88671875" style="89" bestFit="1" customWidth="1"/>
    <col min="76" max="76" width="9.88671875" style="89" bestFit="1" customWidth="1"/>
    <col min="77" max="77" width="9.6640625" style="89" bestFit="1" customWidth="1"/>
    <col min="78" max="78" width="9.44140625" style="89" bestFit="1" customWidth="1"/>
    <col min="79" max="79" width="10" style="89" bestFit="1" customWidth="1"/>
    <col min="80" max="80" width="9.6640625" style="89" bestFit="1" customWidth="1"/>
    <col min="81" max="81" width="9.33203125" style="89" bestFit="1" customWidth="1"/>
    <col min="82" max="82" width="9.6640625" style="89" bestFit="1" customWidth="1"/>
    <col min="83" max="83" width="9.88671875" style="89" bestFit="1" customWidth="1"/>
    <col min="84" max="84" width="9.5546875" style="89" bestFit="1" customWidth="1"/>
    <col min="85" max="85" width="10.109375" style="89" bestFit="1" customWidth="1"/>
    <col min="86" max="86" width="9.44140625" style="89" bestFit="1" customWidth="1"/>
    <col min="87" max="87" width="8.88671875" style="89" bestFit="1" customWidth="1"/>
    <col min="88" max="88" width="9.88671875" style="89" bestFit="1" customWidth="1"/>
    <col min="89" max="89" width="9.6640625" style="89" bestFit="1" customWidth="1"/>
    <col min="90" max="90" width="9.44140625" style="89" bestFit="1" customWidth="1"/>
    <col min="91" max="91" width="10" style="89" bestFit="1" customWidth="1"/>
    <col min="92" max="92" width="9.6640625" style="89" bestFit="1" customWidth="1"/>
    <col min="93" max="93" width="9.33203125" style="89" bestFit="1" customWidth="1"/>
    <col min="94" max="94" width="9.6640625" style="89" bestFit="1" customWidth="1"/>
    <col min="95" max="95" width="9.88671875" style="89" bestFit="1" customWidth="1"/>
    <col min="96" max="96" width="9.5546875" style="89" bestFit="1" customWidth="1"/>
    <col min="97" max="97" width="10.109375" style="89" bestFit="1" customWidth="1"/>
    <col min="98" max="98" width="9.44140625" style="89" bestFit="1" customWidth="1"/>
    <col min="99" max="99" width="8.88671875" style="89" bestFit="1" customWidth="1"/>
    <col min="100" max="100" width="9.88671875" style="89" bestFit="1" customWidth="1"/>
    <col min="101" max="101" width="9.6640625" style="89" bestFit="1" customWidth="1"/>
    <col min="102" max="102" width="9.44140625" style="89" bestFit="1" customWidth="1"/>
    <col min="103" max="103" width="10" style="89" bestFit="1" customWidth="1"/>
    <col min="104" max="104" width="9.6640625" style="89" bestFit="1" customWidth="1"/>
    <col min="105" max="105" width="9.33203125" style="89" bestFit="1" customWidth="1"/>
    <col min="106" max="106" width="9.6640625" style="89" bestFit="1" customWidth="1"/>
    <col min="107" max="107" width="9.88671875" style="89" bestFit="1" customWidth="1"/>
    <col min="108" max="108" width="9.5546875" style="89" bestFit="1" customWidth="1"/>
    <col min="109" max="109" width="10.109375" style="89" bestFit="1" customWidth="1"/>
    <col min="110" max="110" width="9.44140625" style="89" bestFit="1" customWidth="1"/>
    <col min="111" max="111" width="8.88671875" style="89" bestFit="1" customWidth="1"/>
    <col min="112" max="112" width="9.88671875" style="89" bestFit="1" customWidth="1"/>
    <col min="113" max="113" width="9.6640625" style="89" bestFit="1" customWidth="1"/>
    <col min="114" max="114" width="9.44140625" style="89" bestFit="1" customWidth="1"/>
    <col min="115" max="115" width="10" style="89" bestFit="1" customWidth="1"/>
    <col min="116" max="116" width="9.6640625" style="89" bestFit="1" customWidth="1"/>
    <col min="117" max="117" width="9.33203125" style="89" bestFit="1" customWidth="1"/>
    <col min="118" max="118" width="9.6640625" style="89" bestFit="1" customWidth="1"/>
    <col min="119" max="119" width="9.88671875" style="89" bestFit="1" customWidth="1"/>
    <col min="120" max="120" width="9.5546875" style="89" bestFit="1" customWidth="1"/>
    <col min="121" max="121" width="10.109375" style="89" bestFit="1" customWidth="1"/>
    <col min="122" max="122" width="9.44140625" style="89" bestFit="1" customWidth="1"/>
    <col min="123" max="123" width="8.88671875" style="89" bestFit="1" customWidth="1"/>
    <col min="124" max="124" width="9.88671875" style="89" bestFit="1" customWidth="1"/>
    <col min="125" max="125" width="9.6640625" style="89" bestFit="1" customWidth="1"/>
    <col min="126" max="126" width="9.44140625" style="89" bestFit="1" customWidth="1"/>
    <col min="127" max="127" width="10" style="89" bestFit="1" customWidth="1"/>
    <col min="128" max="128" width="9.6640625" style="89" bestFit="1" customWidth="1"/>
    <col min="129" max="129" width="9.33203125" style="89" bestFit="1" customWidth="1"/>
    <col min="130" max="130" width="9.6640625" style="89" bestFit="1" customWidth="1"/>
    <col min="131" max="131" width="9.88671875" style="89" bestFit="1" customWidth="1"/>
    <col min="132" max="132" width="9.5546875" style="89" bestFit="1" customWidth="1"/>
    <col min="133" max="133" width="10.109375" style="89" bestFit="1" customWidth="1"/>
    <col min="134" max="134" width="9.44140625" style="89" bestFit="1" customWidth="1"/>
    <col min="135" max="135" width="8.88671875" style="89" bestFit="1" customWidth="1"/>
    <col min="136" max="136" width="9.88671875" style="89" bestFit="1" customWidth="1"/>
    <col min="137" max="137" width="9.6640625" style="89" bestFit="1" customWidth="1"/>
    <col min="138" max="138" width="9.44140625" style="89" bestFit="1" customWidth="1"/>
    <col min="139" max="139" width="10" style="89" bestFit="1" customWidth="1"/>
    <col min="140" max="140" width="9.6640625" style="89" bestFit="1" customWidth="1"/>
    <col min="141" max="141" width="9.33203125" style="89" bestFit="1" customWidth="1"/>
    <col min="142" max="142" width="9.6640625" style="89" bestFit="1" customWidth="1"/>
    <col min="143" max="143" width="9.88671875" style="89" bestFit="1" customWidth="1"/>
    <col min="144" max="144" width="9.5546875" style="89" bestFit="1" customWidth="1"/>
    <col min="145" max="145" width="10.109375" style="89" bestFit="1" customWidth="1"/>
    <col min="146" max="146" width="9.44140625" style="89" bestFit="1" customWidth="1"/>
    <col min="147" max="147" width="8.88671875" style="89" bestFit="1" customWidth="1"/>
    <col min="148" max="148" width="9.88671875" style="89" bestFit="1" customWidth="1"/>
    <col min="149" max="149" width="9.6640625" style="89" bestFit="1" customWidth="1"/>
    <col min="150" max="150" width="9.44140625" style="89" bestFit="1" customWidth="1"/>
    <col min="151" max="151" width="10" style="89" bestFit="1" customWidth="1"/>
    <col min="152" max="152" width="9.6640625" style="89" bestFit="1" customWidth="1"/>
    <col min="153" max="153" width="9.33203125" style="89" bestFit="1" customWidth="1"/>
    <col min="154" max="154" width="9.6640625" style="89" bestFit="1" customWidth="1"/>
    <col min="155" max="155" width="9.88671875" style="89" bestFit="1" customWidth="1"/>
    <col min="156" max="156" width="9.5546875" style="89" bestFit="1" customWidth="1"/>
    <col min="157" max="157" width="10.109375" style="89" bestFit="1" customWidth="1"/>
    <col min="158" max="158" width="9.44140625" style="89" bestFit="1" customWidth="1"/>
    <col min="159" max="159" width="8.88671875" style="89" bestFit="1" customWidth="1"/>
    <col min="160" max="160" width="9.88671875" style="89" bestFit="1" customWidth="1"/>
    <col min="161" max="161" width="9.6640625" style="89" bestFit="1" customWidth="1"/>
    <col min="162" max="162" width="9.44140625" style="89" bestFit="1" customWidth="1"/>
    <col min="163" max="163" width="10" style="89" bestFit="1" customWidth="1"/>
    <col min="164" max="164" width="9.6640625" style="89" bestFit="1" customWidth="1"/>
    <col min="165" max="165" width="9.33203125" style="89" bestFit="1" customWidth="1"/>
    <col min="166" max="166" width="9.6640625" style="89" bestFit="1" customWidth="1"/>
    <col min="167" max="167" width="9.88671875" style="89" bestFit="1" customWidth="1"/>
    <col min="168" max="168" width="9.5546875" style="89" bestFit="1" customWidth="1"/>
    <col min="169" max="169" width="10.109375" style="89" bestFit="1" customWidth="1"/>
    <col min="170" max="170" width="9.44140625" style="89" bestFit="1" customWidth="1"/>
    <col min="171" max="171" width="8.88671875" style="89" bestFit="1" customWidth="1"/>
    <col min="172" max="172" width="9.88671875" style="89" bestFit="1" customWidth="1"/>
    <col min="173" max="173" width="9.6640625" style="89" bestFit="1" customWidth="1"/>
    <col min="174" max="174" width="9.44140625" style="89" bestFit="1" customWidth="1"/>
    <col min="175" max="175" width="10" style="89" bestFit="1" customWidth="1"/>
    <col min="176" max="176" width="9.6640625" style="89" bestFit="1" customWidth="1"/>
    <col min="177" max="177" width="9.33203125" style="89" bestFit="1" customWidth="1"/>
    <col min="178" max="178" width="9.6640625" style="89" bestFit="1" customWidth="1"/>
    <col min="179" max="179" width="9.88671875" style="89" bestFit="1" customWidth="1"/>
    <col min="180" max="180" width="9.5546875" style="89" bestFit="1" customWidth="1"/>
    <col min="181" max="181" width="10.109375" style="89" bestFit="1" customWidth="1"/>
    <col min="182" max="182" width="9.44140625" style="89" bestFit="1" customWidth="1"/>
    <col min="183" max="183" width="8.88671875" style="89" bestFit="1" customWidth="1"/>
    <col min="184" max="184" width="9.88671875" style="89" bestFit="1" customWidth="1"/>
    <col min="185" max="185" width="9.6640625" style="89" bestFit="1" customWidth="1"/>
    <col min="186" max="186" width="9.44140625" style="89" bestFit="1" customWidth="1"/>
    <col min="187" max="187" width="10" style="89" bestFit="1" customWidth="1"/>
    <col min="188" max="188" width="9.6640625" style="89" bestFit="1" customWidth="1"/>
    <col min="189" max="189" width="9.33203125" style="89" bestFit="1" customWidth="1"/>
    <col min="190" max="190" width="9.6640625" style="89" bestFit="1" customWidth="1"/>
    <col min="191" max="191" width="9.88671875" style="89" bestFit="1" customWidth="1"/>
    <col min="192" max="192" width="9.5546875" style="89" bestFit="1" customWidth="1"/>
    <col min="193" max="193" width="10.109375" style="89" bestFit="1" customWidth="1"/>
    <col min="194" max="194" width="9.44140625" style="89" bestFit="1" customWidth="1"/>
    <col min="195" max="195" width="8.88671875" style="89" bestFit="1" customWidth="1"/>
    <col min="196" max="196" width="9.88671875" style="89" bestFit="1" customWidth="1"/>
    <col min="197" max="197" width="9.6640625" style="89" bestFit="1" customWidth="1"/>
    <col min="198" max="198" width="9.44140625" style="89" bestFit="1" customWidth="1"/>
    <col min="199" max="199" width="10" style="89" bestFit="1" customWidth="1"/>
    <col min="200" max="200" width="9.6640625" style="89" bestFit="1" customWidth="1"/>
  </cols>
  <sheetData>
    <row r="3" spans="2:200" ht="15.6" x14ac:dyDescent="0.3">
      <c r="B3" s="74" t="s">
        <v>168</v>
      </c>
      <c r="C3" s="109"/>
      <c r="D3" s="88"/>
      <c r="E3" s="88"/>
      <c r="F3" s="88"/>
      <c r="G3" s="88"/>
      <c r="H3" s="88"/>
      <c r="I3" s="88"/>
      <c r="J3" s="88"/>
      <c r="K3" s="169"/>
      <c r="L3" s="88"/>
      <c r="M3" s="88"/>
      <c r="N3" s="88"/>
      <c r="O3" s="88"/>
      <c r="P3" s="88"/>
      <c r="Q3" s="88"/>
      <c r="R3" s="88"/>
      <c r="T3" s="89" t="s">
        <v>46</v>
      </c>
      <c r="U3" s="89">
        <f>ROUNDUP(U4/12,0)</f>
        <v>1</v>
      </c>
      <c r="V3" s="89">
        <f t="shared" ref="V3:CG3" si="0">ROUNDUP(V4/12,0)</f>
        <v>1</v>
      </c>
      <c r="W3" s="89">
        <f t="shared" si="0"/>
        <v>1</v>
      </c>
      <c r="X3" s="89">
        <f t="shared" si="0"/>
        <v>1</v>
      </c>
      <c r="Y3" s="89">
        <f t="shared" si="0"/>
        <v>1</v>
      </c>
      <c r="Z3" s="89">
        <f t="shared" si="0"/>
        <v>1</v>
      </c>
      <c r="AA3" s="89">
        <f t="shared" si="0"/>
        <v>1</v>
      </c>
      <c r="AB3" s="89">
        <f t="shared" si="0"/>
        <v>1</v>
      </c>
      <c r="AC3" s="89">
        <f t="shared" si="0"/>
        <v>1</v>
      </c>
      <c r="AD3" s="89">
        <f t="shared" si="0"/>
        <v>1</v>
      </c>
      <c r="AE3" s="89">
        <f t="shared" si="0"/>
        <v>1</v>
      </c>
      <c r="AF3" s="89">
        <f t="shared" si="0"/>
        <v>1</v>
      </c>
      <c r="AG3" s="89">
        <f t="shared" si="0"/>
        <v>2</v>
      </c>
      <c r="AH3" s="89">
        <f t="shared" si="0"/>
        <v>2</v>
      </c>
      <c r="AI3" s="89">
        <f t="shared" si="0"/>
        <v>2</v>
      </c>
      <c r="AJ3" s="89">
        <f t="shared" si="0"/>
        <v>2</v>
      </c>
      <c r="AK3" s="89">
        <f t="shared" si="0"/>
        <v>2</v>
      </c>
      <c r="AL3" s="89">
        <f t="shared" si="0"/>
        <v>2</v>
      </c>
      <c r="AM3" s="89">
        <f t="shared" si="0"/>
        <v>2</v>
      </c>
      <c r="AN3" s="89">
        <f t="shared" si="0"/>
        <v>2</v>
      </c>
      <c r="AO3" s="89">
        <f t="shared" si="0"/>
        <v>2</v>
      </c>
      <c r="AP3" s="89">
        <f t="shared" si="0"/>
        <v>2</v>
      </c>
      <c r="AQ3" s="89">
        <f t="shared" si="0"/>
        <v>2</v>
      </c>
      <c r="AR3" s="89">
        <f t="shared" si="0"/>
        <v>2</v>
      </c>
      <c r="AS3" s="89">
        <f t="shared" si="0"/>
        <v>3</v>
      </c>
      <c r="AT3" s="89">
        <f t="shared" si="0"/>
        <v>3</v>
      </c>
      <c r="AU3" s="89">
        <f t="shared" si="0"/>
        <v>3</v>
      </c>
      <c r="AV3" s="89">
        <f t="shared" si="0"/>
        <v>3</v>
      </c>
      <c r="AW3" s="89">
        <f t="shared" si="0"/>
        <v>3</v>
      </c>
      <c r="AX3" s="89">
        <f t="shared" si="0"/>
        <v>3</v>
      </c>
      <c r="AY3" s="89">
        <f t="shared" si="0"/>
        <v>3</v>
      </c>
      <c r="AZ3" s="89">
        <f t="shared" si="0"/>
        <v>3</v>
      </c>
      <c r="BA3" s="89">
        <f t="shared" si="0"/>
        <v>3</v>
      </c>
      <c r="BB3" s="89">
        <f t="shared" si="0"/>
        <v>3</v>
      </c>
      <c r="BC3" s="89">
        <f t="shared" si="0"/>
        <v>3</v>
      </c>
      <c r="BD3" s="89">
        <f t="shared" si="0"/>
        <v>3</v>
      </c>
      <c r="BE3" s="89">
        <f t="shared" si="0"/>
        <v>4</v>
      </c>
      <c r="BF3" s="89">
        <f t="shared" si="0"/>
        <v>4</v>
      </c>
      <c r="BG3" s="89">
        <f t="shared" si="0"/>
        <v>4</v>
      </c>
      <c r="BH3" s="89">
        <f t="shared" si="0"/>
        <v>4</v>
      </c>
      <c r="BI3" s="89">
        <f t="shared" si="0"/>
        <v>4</v>
      </c>
      <c r="BJ3" s="89">
        <f t="shared" si="0"/>
        <v>4</v>
      </c>
      <c r="BK3" s="89">
        <f t="shared" si="0"/>
        <v>4</v>
      </c>
      <c r="BL3" s="89">
        <f t="shared" si="0"/>
        <v>4</v>
      </c>
      <c r="BM3" s="89">
        <f t="shared" si="0"/>
        <v>4</v>
      </c>
      <c r="BN3" s="89">
        <f t="shared" si="0"/>
        <v>4</v>
      </c>
      <c r="BO3" s="89">
        <f t="shared" si="0"/>
        <v>4</v>
      </c>
      <c r="BP3" s="89">
        <f t="shared" si="0"/>
        <v>4</v>
      </c>
      <c r="BQ3" s="89">
        <f t="shared" si="0"/>
        <v>5</v>
      </c>
      <c r="BR3" s="89">
        <f t="shared" si="0"/>
        <v>5</v>
      </c>
      <c r="BS3" s="89">
        <f t="shared" si="0"/>
        <v>5</v>
      </c>
      <c r="BT3" s="89">
        <f t="shared" si="0"/>
        <v>5</v>
      </c>
      <c r="BU3" s="89">
        <f t="shared" si="0"/>
        <v>5</v>
      </c>
      <c r="BV3" s="89">
        <f t="shared" si="0"/>
        <v>5</v>
      </c>
      <c r="BW3" s="89">
        <f t="shared" si="0"/>
        <v>5</v>
      </c>
      <c r="BX3" s="89">
        <f t="shared" si="0"/>
        <v>5</v>
      </c>
      <c r="BY3" s="89">
        <f t="shared" si="0"/>
        <v>5</v>
      </c>
      <c r="BZ3" s="89">
        <f t="shared" si="0"/>
        <v>5</v>
      </c>
      <c r="CA3" s="89">
        <f t="shared" si="0"/>
        <v>5</v>
      </c>
      <c r="CB3" s="89">
        <f t="shared" si="0"/>
        <v>5</v>
      </c>
      <c r="CC3" s="89">
        <f t="shared" si="0"/>
        <v>6</v>
      </c>
      <c r="CD3" s="89">
        <f t="shared" si="0"/>
        <v>6</v>
      </c>
      <c r="CE3" s="89">
        <f t="shared" si="0"/>
        <v>6</v>
      </c>
      <c r="CF3" s="89">
        <f t="shared" si="0"/>
        <v>6</v>
      </c>
      <c r="CG3" s="89">
        <f t="shared" si="0"/>
        <v>6</v>
      </c>
      <c r="CH3" s="89">
        <f t="shared" ref="CH3:ES3" si="1">ROUNDUP(CH4/12,0)</f>
        <v>6</v>
      </c>
      <c r="CI3" s="89">
        <f t="shared" si="1"/>
        <v>6</v>
      </c>
      <c r="CJ3" s="89">
        <f t="shared" si="1"/>
        <v>6</v>
      </c>
      <c r="CK3" s="89">
        <f t="shared" si="1"/>
        <v>6</v>
      </c>
      <c r="CL3" s="89">
        <f t="shared" si="1"/>
        <v>6</v>
      </c>
      <c r="CM3" s="89">
        <f t="shared" si="1"/>
        <v>6</v>
      </c>
      <c r="CN3" s="89">
        <f t="shared" si="1"/>
        <v>6</v>
      </c>
      <c r="CO3" s="89">
        <f t="shared" si="1"/>
        <v>7</v>
      </c>
      <c r="CP3" s="89">
        <f t="shared" si="1"/>
        <v>7</v>
      </c>
      <c r="CQ3" s="89">
        <f t="shared" si="1"/>
        <v>7</v>
      </c>
      <c r="CR3" s="89">
        <f t="shared" si="1"/>
        <v>7</v>
      </c>
      <c r="CS3" s="89">
        <f t="shared" si="1"/>
        <v>7</v>
      </c>
      <c r="CT3" s="89">
        <f t="shared" si="1"/>
        <v>7</v>
      </c>
      <c r="CU3" s="89">
        <f t="shared" si="1"/>
        <v>7</v>
      </c>
      <c r="CV3" s="89">
        <f t="shared" si="1"/>
        <v>7</v>
      </c>
      <c r="CW3" s="89">
        <f t="shared" si="1"/>
        <v>7</v>
      </c>
      <c r="CX3" s="89">
        <f t="shared" si="1"/>
        <v>7</v>
      </c>
      <c r="CY3" s="89">
        <f t="shared" si="1"/>
        <v>7</v>
      </c>
      <c r="CZ3" s="89">
        <f t="shared" si="1"/>
        <v>7</v>
      </c>
      <c r="DA3" s="89">
        <f t="shared" si="1"/>
        <v>8</v>
      </c>
      <c r="DB3" s="89">
        <f t="shared" si="1"/>
        <v>8</v>
      </c>
      <c r="DC3" s="89">
        <f t="shared" si="1"/>
        <v>8</v>
      </c>
      <c r="DD3" s="89">
        <f t="shared" si="1"/>
        <v>8</v>
      </c>
      <c r="DE3" s="89">
        <f t="shared" si="1"/>
        <v>8</v>
      </c>
      <c r="DF3" s="89">
        <f t="shared" si="1"/>
        <v>8</v>
      </c>
      <c r="DG3" s="89">
        <f t="shared" si="1"/>
        <v>8</v>
      </c>
      <c r="DH3" s="89">
        <f t="shared" si="1"/>
        <v>8</v>
      </c>
      <c r="DI3" s="89">
        <f t="shared" si="1"/>
        <v>8</v>
      </c>
      <c r="DJ3" s="89">
        <f t="shared" si="1"/>
        <v>8</v>
      </c>
      <c r="DK3" s="89">
        <f t="shared" si="1"/>
        <v>8</v>
      </c>
      <c r="DL3" s="89">
        <f t="shared" si="1"/>
        <v>8</v>
      </c>
      <c r="DM3" s="89">
        <f t="shared" si="1"/>
        <v>9</v>
      </c>
      <c r="DN3" s="89">
        <f t="shared" si="1"/>
        <v>9</v>
      </c>
      <c r="DO3" s="89">
        <f t="shared" si="1"/>
        <v>9</v>
      </c>
      <c r="DP3" s="89">
        <f t="shared" si="1"/>
        <v>9</v>
      </c>
      <c r="DQ3" s="89">
        <f t="shared" si="1"/>
        <v>9</v>
      </c>
      <c r="DR3" s="89">
        <f t="shared" si="1"/>
        <v>9</v>
      </c>
      <c r="DS3" s="89">
        <f t="shared" si="1"/>
        <v>9</v>
      </c>
      <c r="DT3" s="89">
        <f t="shared" si="1"/>
        <v>9</v>
      </c>
      <c r="DU3" s="89">
        <f t="shared" si="1"/>
        <v>9</v>
      </c>
      <c r="DV3" s="89">
        <f t="shared" si="1"/>
        <v>9</v>
      </c>
      <c r="DW3" s="89">
        <f t="shared" si="1"/>
        <v>9</v>
      </c>
      <c r="DX3" s="89">
        <f t="shared" si="1"/>
        <v>9</v>
      </c>
      <c r="DY3" s="89">
        <f t="shared" si="1"/>
        <v>10</v>
      </c>
      <c r="DZ3" s="89">
        <f t="shared" si="1"/>
        <v>10</v>
      </c>
      <c r="EA3" s="89">
        <f t="shared" si="1"/>
        <v>10</v>
      </c>
      <c r="EB3" s="89">
        <f t="shared" si="1"/>
        <v>10</v>
      </c>
      <c r="EC3" s="89">
        <f t="shared" si="1"/>
        <v>10</v>
      </c>
      <c r="ED3" s="89">
        <f t="shared" si="1"/>
        <v>10</v>
      </c>
      <c r="EE3" s="89">
        <f t="shared" si="1"/>
        <v>10</v>
      </c>
      <c r="EF3" s="89">
        <f t="shared" si="1"/>
        <v>10</v>
      </c>
      <c r="EG3" s="89">
        <f t="shared" si="1"/>
        <v>10</v>
      </c>
      <c r="EH3" s="89">
        <f t="shared" si="1"/>
        <v>10</v>
      </c>
      <c r="EI3" s="89">
        <f t="shared" si="1"/>
        <v>10</v>
      </c>
      <c r="EJ3" s="89">
        <f t="shared" si="1"/>
        <v>10</v>
      </c>
      <c r="EK3" s="89">
        <f t="shared" si="1"/>
        <v>11</v>
      </c>
      <c r="EL3" s="89">
        <f t="shared" si="1"/>
        <v>11</v>
      </c>
      <c r="EM3" s="89">
        <f t="shared" si="1"/>
        <v>11</v>
      </c>
      <c r="EN3" s="89">
        <f t="shared" si="1"/>
        <v>11</v>
      </c>
      <c r="EO3" s="89">
        <f t="shared" si="1"/>
        <v>11</v>
      </c>
      <c r="EP3" s="89">
        <f t="shared" si="1"/>
        <v>11</v>
      </c>
      <c r="EQ3" s="89">
        <f t="shared" si="1"/>
        <v>11</v>
      </c>
      <c r="ER3" s="89">
        <f t="shared" si="1"/>
        <v>11</v>
      </c>
      <c r="ES3" s="89">
        <f t="shared" si="1"/>
        <v>11</v>
      </c>
      <c r="ET3" s="89">
        <f t="shared" ref="ET3:GR3" si="2">ROUNDUP(ET4/12,0)</f>
        <v>11</v>
      </c>
      <c r="EU3" s="89">
        <f t="shared" si="2"/>
        <v>11</v>
      </c>
      <c r="EV3" s="89">
        <f t="shared" si="2"/>
        <v>11</v>
      </c>
      <c r="EW3" s="89">
        <f t="shared" si="2"/>
        <v>12</v>
      </c>
      <c r="EX3" s="89">
        <f t="shared" si="2"/>
        <v>12</v>
      </c>
      <c r="EY3" s="89">
        <f t="shared" si="2"/>
        <v>12</v>
      </c>
      <c r="EZ3" s="89">
        <f t="shared" si="2"/>
        <v>12</v>
      </c>
      <c r="FA3" s="89">
        <f t="shared" si="2"/>
        <v>12</v>
      </c>
      <c r="FB3" s="89">
        <f t="shared" si="2"/>
        <v>12</v>
      </c>
      <c r="FC3" s="89">
        <f t="shared" si="2"/>
        <v>12</v>
      </c>
      <c r="FD3" s="89">
        <f t="shared" si="2"/>
        <v>12</v>
      </c>
      <c r="FE3" s="89">
        <f t="shared" si="2"/>
        <v>12</v>
      </c>
      <c r="FF3" s="89">
        <f t="shared" si="2"/>
        <v>12</v>
      </c>
      <c r="FG3" s="89">
        <f t="shared" si="2"/>
        <v>12</v>
      </c>
      <c r="FH3" s="89">
        <f t="shared" si="2"/>
        <v>12</v>
      </c>
      <c r="FI3" s="89">
        <f t="shared" si="2"/>
        <v>13</v>
      </c>
      <c r="FJ3" s="89">
        <f t="shared" si="2"/>
        <v>13</v>
      </c>
      <c r="FK3" s="89">
        <f t="shared" si="2"/>
        <v>13</v>
      </c>
      <c r="FL3" s="89">
        <f t="shared" si="2"/>
        <v>13</v>
      </c>
      <c r="FM3" s="89">
        <f t="shared" si="2"/>
        <v>13</v>
      </c>
      <c r="FN3" s="89">
        <f t="shared" si="2"/>
        <v>13</v>
      </c>
      <c r="FO3" s="89">
        <f t="shared" si="2"/>
        <v>13</v>
      </c>
      <c r="FP3" s="89">
        <f t="shared" si="2"/>
        <v>13</v>
      </c>
      <c r="FQ3" s="89">
        <f t="shared" si="2"/>
        <v>13</v>
      </c>
      <c r="FR3" s="89">
        <f t="shared" si="2"/>
        <v>13</v>
      </c>
      <c r="FS3" s="89">
        <f t="shared" si="2"/>
        <v>13</v>
      </c>
      <c r="FT3" s="89">
        <f t="shared" si="2"/>
        <v>13</v>
      </c>
      <c r="FU3" s="89">
        <f t="shared" si="2"/>
        <v>14</v>
      </c>
      <c r="FV3" s="89">
        <f t="shared" si="2"/>
        <v>14</v>
      </c>
      <c r="FW3" s="89">
        <f t="shared" si="2"/>
        <v>14</v>
      </c>
      <c r="FX3" s="89">
        <f t="shared" si="2"/>
        <v>14</v>
      </c>
      <c r="FY3" s="89">
        <f t="shared" si="2"/>
        <v>14</v>
      </c>
      <c r="FZ3" s="89">
        <f t="shared" si="2"/>
        <v>14</v>
      </c>
      <c r="GA3" s="89">
        <f t="shared" si="2"/>
        <v>14</v>
      </c>
      <c r="GB3" s="89">
        <f t="shared" si="2"/>
        <v>14</v>
      </c>
      <c r="GC3" s="89">
        <f t="shared" si="2"/>
        <v>14</v>
      </c>
      <c r="GD3" s="89">
        <f t="shared" si="2"/>
        <v>14</v>
      </c>
      <c r="GE3" s="89">
        <f t="shared" si="2"/>
        <v>14</v>
      </c>
      <c r="GF3" s="89">
        <f t="shared" si="2"/>
        <v>14</v>
      </c>
      <c r="GG3" s="89">
        <f t="shared" si="2"/>
        <v>15</v>
      </c>
      <c r="GH3" s="89">
        <f t="shared" si="2"/>
        <v>15</v>
      </c>
      <c r="GI3" s="89">
        <f t="shared" si="2"/>
        <v>15</v>
      </c>
      <c r="GJ3" s="89">
        <f t="shared" si="2"/>
        <v>15</v>
      </c>
      <c r="GK3" s="89">
        <f t="shared" si="2"/>
        <v>15</v>
      </c>
      <c r="GL3" s="89">
        <f t="shared" si="2"/>
        <v>15</v>
      </c>
      <c r="GM3" s="89">
        <f t="shared" si="2"/>
        <v>15</v>
      </c>
      <c r="GN3" s="89">
        <f t="shared" si="2"/>
        <v>15</v>
      </c>
      <c r="GO3" s="89">
        <f t="shared" si="2"/>
        <v>15</v>
      </c>
      <c r="GP3" s="89">
        <f t="shared" si="2"/>
        <v>15</v>
      </c>
      <c r="GQ3" s="89">
        <f t="shared" si="2"/>
        <v>15</v>
      </c>
      <c r="GR3" s="89">
        <f t="shared" si="2"/>
        <v>15</v>
      </c>
    </row>
    <row r="4" spans="2:200" x14ac:dyDescent="0.3">
      <c r="B4" s="68"/>
      <c r="C4" s="122"/>
      <c r="D4" s="88"/>
      <c r="E4" s="88"/>
      <c r="F4" s="88"/>
      <c r="G4" s="88"/>
      <c r="H4" s="88"/>
      <c r="I4" s="88"/>
      <c r="J4" s="88"/>
      <c r="K4" s="88"/>
      <c r="L4" s="88"/>
      <c r="M4" s="88"/>
      <c r="N4" s="88"/>
      <c r="O4" s="88"/>
      <c r="P4" s="295" t="s">
        <v>162</v>
      </c>
      <c r="Q4" s="296"/>
      <c r="R4" s="296"/>
      <c r="T4" s="89" t="s">
        <v>167</v>
      </c>
      <c r="U4" s="89">
        <v>1</v>
      </c>
      <c r="V4" s="89">
        <f>U4+1</f>
        <v>2</v>
      </c>
      <c r="W4" s="89">
        <f t="shared" ref="W4:CH4" si="3">V4+1</f>
        <v>3</v>
      </c>
      <c r="X4" s="89">
        <f t="shared" si="3"/>
        <v>4</v>
      </c>
      <c r="Y4" s="89">
        <f t="shared" si="3"/>
        <v>5</v>
      </c>
      <c r="Z4" s="89">
        <f t="shared" si="3"/>
        <v>6</v>
      </c>
      <c r="AA4" s="89">
        <f t="shared" si="3"/>
        <v>7</v>
      </c>
      <c r="AB4" s="89">
        <f t="shared" si="3"/>
        <v>8</v>
      </c>
      <c r="AC4" s="89">
        <f t="shared" si="3"/>
        <v>9</v>
      </c>
      <c r="AD4" s="89">
        <f t="shared" si="3"/>
        <v>10</v>
      </c>
      <c r="AE4" s="89">
        <f t="shared" si="3"/>
        <v>11</v>
      </c>
      <c r="AF4" s="89">
        <f t="shared" si="3"/>
        <v>12</v>
      </c>
      <c r="AG4" s="89">
        <f t="shared" si="3"/>
        <v>13</v>
      </c>
      <c r="AH4" s="89">
        <f t="shared" si="3"/>
        <v>14</v>
      </c>
      <c r="AI4" s="89">
        <f t="shared" si="3"/>
        <v>15</v>
      </c>
      <c r="AJ4" s="89">
        <f t="shared" si="3"/>
        <v>16</v>
      </c>
      <c r="AK4" s="89">
        <f t="shared" si="3"/>
        <v>17</v>
      </c>
      <c r="AL4" s="89">
        <f t="shared" si="3"/>
        <v>18</v>
      </c>
      <c r="AM4" s="89">
        <f t="shared" si="3"/>
        <v>19</v>
      </c>
      <c r="AN4" s="89">
        <f t="shared" si="3"/>
        <v>20</v>
      </c>
      <c r="AO4" s="89">
        <f t="shared" si="3"/>
        <v>21</v>
      </c>
      <c r="AP4" s="89">
        <f t="shared" si="3"/>
        <v>22</v>
      </c>
      <c r="AQ4" s="89">
        <f t="shared" si="3"/>
        <v>23</v>
      </c>
      <c r="AR4" s="89">
        <f t="shared" si="3"/>
        <v>24</v>
      </c>
      <c r="AS4" s="89">
        <f t="shared" si="3"/>
        <v>25</v>
      </c>
      <c r="AT4" s="89">
        <f t="shared" si="3"/>
        <v>26</v>
      </c>
      <c r="AU4" s="89">
        <f t="shared" si="3"/>
        <v>27</v>
      </c>
      <c r="AV4" s="89">
        <f t="shared" si="3"/>
        <v>28</v>
      </c>
      <c r="AW4" s="89">
        <f t="shared" si="3"/>
        <v>29</v>
      </c>
      <c r="AX4" s="89">
        <f t="shared" si="3"/>
        <v>30</v>
      </c>
      <c r="AY4" s="89">
        <f t="shared" si="3"/>
        <v>31</v>
      </c>
      <c r="AZ4" s="89">
        <f t="shared" si="3"/>
        <v>32</v>
      </c>
      <c r="BA4" s="89">
        <f t="shared" si="3"/>
        <v>33</v>
      </c>
      <c r="BB4" s="89">
        <f t="shared" si="3"/>
        <v>34</v>
      </c>
      <c r="BC4" s="89">
        <f t="shared" si="3"/>
        <v>35</v>
      </c>
      <c r="BD4" s="89">
        <f t="shared" si="3"/>
        <v>36</v>
      </c>
      <c r="BE4" s="89">
        <f t="shared" si="3"/>
        <v>37</v>
      </c>
      <c r="BF4" s="89">
        <f t="shared" si="3"/>
        <v>38</v>
      </c>
      <c r="BG4" s="89">
        <f t="shared" si="3"/>
        <v>39</v>
      </c>
      <c r="BH4" s="89">
        <f t="shared" si="3"/>
        <v>40</v>
      </c>
      <c r="BI4" s="89">
        <f t="shared" si="3"/>
        <v>41</v>
      </c>
      <c r="BJ4" s="89">
        <f t="shared" si="3"/>
        <v>42</v>
      </c>
      <c r="BK4" s="89">
        <f t="shared" si="3"/>
        <v>43</v>
      </c>
      <c r="BL4" s="89">
        <f t="shared" si="3"/>
        <v>44</v>
      </c>
      <c r="BM4" s="89">
        <f t="shared" si="3"/>
        <v>45</v>
      </c>
      <c r="BN4" s="89">
        <f t="shared" si="3"/>
        <v>46</v>
      </c>
      <c r="BO4" s="89">
        <f t="shared" si="3"/>
        <v>47</v>
      </c>
      <c r="BP4" s="89">
        <f t="shared" si="3"/>
        <v>48</v>
      </c>
      <c r="BQ4" s="89">
        <f t="shared" si="3"/>
        <v>49</v>
      </c>
      <c r="BR4" s="89">
        <f t="shared" si="3"/>
        <v>50</v>
      </c>
      <c r="BS4" s="89">
        <f t="shared" si="3"/>
        <v>51</v>
      </c>
      <c r="BT4" s="89">
        <f t="shared" si="3"/>
        <v>52</v>
      </c>
      <c r="BU4" s="89">
        <f t="shared" si="3"/>
        <v>53</v>
      </c>
      <c r="BV4" s="89">
        <f t="shared" si="3"/>
        <v>54</v>
      </c>
      <c r="BW4" s="89">
        <f t="shared" si="3"/>
        <v>55</v>
      </c>
      <c r="BX4" s="89">
        <f t="shared" si="3"/>
        <v>56</v>
      </c>
      <c r="BY4" s="89">
        <f t="shared" si="3"/>
        <v>57</v>
      </c>
      <c r="BZ4" s="89">
        <f t="shared" si="3"/>
        <v>58</v>
      </c>
      <c r="CA4" s="89">
        <f t="shared" si="3"/>
        <v>59</v>
      </c>
      <c r="CB4" s="89">
        <f t="shared" si="3"/>
        <v>60</v>
      </c>
      <c r="CC4" s="89">
        <f t="shared" si="3"/>
        <v>61</v>
      </c>
      <c r="CD4" s="89">
        <f t="shared" si="3"/>
        <v>62</v>
      </c>
      <c r="CE4" s="89">
        <f t="shared" si="3"/>
        <v>63</v>
      </c>
      <c r="CF4" s="89">
        <f t="shared" si="3"/>
        <v>64</v>
      </c>
      <c r="CG4" s="89">
        <f t="shared" si="3"/>
        <v>65</v>
      </c>
      <c r="CH4" s="89">
        <f t="shared" si="3"/>
        <v>66</v>
      </c>
      <c r="CI4" s="89">
        <f t="shared" ref="CI4:ET4" si="4">CH4+1</f>
        <v>67</v>
      </c>
      <c r="CJ4" s="89">
        <f t="shared" si="4"/>
        <v>68</v>
      </c>
      <c r="CK4" s="89">
        <f t="shared" si="4"/>
        <v>69</v>
      </c>
      <c r="CL4" s="89">
        <f t="shared" si="4"/>
        <v>70</v>
      </c>
      <c r="CM4" s="89">
        <f t="shared" si="4"/>
        <v>71</v>
      </c>
      <c r="CN4" s="89">
        <f t="shared" si="4"/>
        <v>72</v>
      </c>
      <c r="CO4" s="89">
        <f t="shared" si="4"/>
        <v>73</v>
      </c>
      <c r="CP4" s="89">
        <f t="shared" si="4"/>
        <v>74</v>
      </c>
      <c r="CQ4" s="89">
        <f t="shared" si="4"/>
        <v>75</v>
      </c>
      <c r="CR4" s="89">
        <f t="shared" si="4"/>
        <v>76</v>
      </c>
      <c r="CS4" s="89">
        <f t="shared" si="4"/>
        <v>77</v>
      </c>
      <c r="CT4" s="89">
        <f t="shared" si="4"/>
        <v>78</v>
      </c>
      <c r="CU4" s="89">
        <f t="shared" si="4"/>
        <v>79</v>
      </c>
      <c r="CV4" s="89">
        <f t="shared" si="4"/>
        <v>80</v>
      </c>
      <c r="CW4" s="89">
        <f t="shared" si="4"/>
        <v>81</v>
      </c>
      <c r="CX4" s="89">
        <f t="shared" si="4"/>
        <v>82</v>
      </c>
      <c r="CY4" s="89">
        <f t="shared" si="4"/>
        <v>83</v>
      </c>
      <c r="CZ4" s="89">
        <f t="shared" si="4"/>
        <v>84</v>
      </c>
      <c r="DA4" s="89">
        <f t="shared" si="4"/>
        <v>85</v>
      </c>
      <c r="DB4" s="89">
        <f t="shared" si="4"/>
        <v>86</v>
      </c>
      <c r="DC4" s="89">
        <f t="shared" si="4"/>
        <v>87</v>
      </c>
      <c r="DD4" s="89">
        <f t="shared" si="4"/>
        <v>88</v>
      </c>
      <c r="DE4" s="89">
        <f t="shared" si="4"/>
        <v>89</v>
      </c>
      <c r="DF4" s="89">
        <f t="shared" si="4"/>
        <v>90</v>
      </c>
      <c r="DG4" s="89">
        <f t="shared" si="4"/>
        <v>91</v>
      </c>
      <c r="DH4" s="89">
        <f t="shared" si="4"/>
        <v>92</v>
      </c>
      <c r="DI4" s="89">
        <f t="shared" si="4"/>
        <v>93</v>
      </c>
      <c r="DJ4" s="89">
        <f t="shared" si="4"/>
        <v>94</v>
      </c>
      <c r="DK4" s="89">
        <f t="shared" si="4"/>
        <v>95</v>
      </c>
      <c r="DL4" s="89">
        <f t="shared" si="4"/>
        <v>96</v>
      </c>
      <c r="DM4" s="89">
        <f t="shared" si="4"/>
        <v>97</v>
      </c>
      <c r="DN4" s="89">
        <f t="shared" si="4"/>
        <v>98</v>
      </c>
      <c r="DO4" s="89">
        <f t="shared" si="4"/>
        <v>99</v>
      </c>
      <c r="DP4" s="89">
        <f t="shared" si="4"/>
        <v>100</v>
      </c>
      <c r="DQ4" s="89">
        <f t="shared" si="4"/>
        <v>101</v>
      </c>
      <c r="DR4" s="89">
        <f t="shared" si="4"/>
        <v>102</v>
      </c>
      <c r="DS4" s="89">
        <f t="shared" si="4"/>
        <v>103</v>
      </c>
      <c r="DT4" s="89">
        <f t="shared" si="4"/>
        <v>104</v>
      </c>
      <c r="DU4" s="89">
        <f t="shared" si="4"/>
        <v>105</v>
      </c>
      <c r="DV4" s="89">
        <f t="shared" si="4"/>
        <v>106</v>
      </c>
      <c r="DW4" s="89">
        <f t="shared" si="4"/>
        <v>107</v>
      </c>
      <c r="DX4" s="89">
        <f t="shared" si="4"/>
        <v>108</v>
      </c>
      <c r="DY4" s="89">
        <f t="shared" si="4"/>
        <v>109</v>
      </c>
      <c r="DZ4" s="89">
        <f t="shared" si="4"/>
        <v>110</v>
      </c>
      <c r="EA4" s="89">
        <f t="shared" si="4"/>
        <v>111</v>
      </c>
      <c r="EB4" s="89">
        <f t="shared" si="4"/>
        <v>112</v>
      </c>
      <c r="EC4" s="89">
        <f t="shared" si="4"/>
        <v>113</v>
      </c>
      <c r="ED4" s="89">
        <f t="shared" si="4"/>
        <v>114</v>
      </c>
      <c r="EE4" s="89">
        <f t="shared" si="4"/>
        <v>115</v>
      </c>
      <c r="EF4" s="89">
        <f t="shared" si="4"/>
        <v>116</v>
      </c>
      <c r="EG4" s="89">
        <f t="shared" si="4"/>
        <v>117</v>
      </c>
      <c r="EH4" s="89">
        <f t="shared" si="4"/>
        <v>118</v>
      </c>
      <c r="EI4" s="89">
        <f t="shared" si="4"/>
        <v>119</v>
      </c>
      <c r="EJ4" s="89">
        <f t="shared" si="4"/>
        <v>120</v>
      </c>
      <c r="EK4" s="89">
        <f t="shared" si="4"/>
        <v>121</v>
      </c>
      <c r="EL4" s="89">
        <f t="shared" si="4"/>
        <v>122</v>
      </c>
      <c r="EM4" s="89">
        <f t="shared" si="4"/>
        <v>123</v>
      </c>
      <c r="EN4" s="89">
        <f t="shared" si="4"/>
        <v>124</v>
      </c>
      <c r="EO4" s="89">
        <f t="shared" si="4"/>
        <v>125</v>
      </c>
      <c r="EP4" s="89">
        <f t="shared" si="4"/>
        <v>126</v>
      </c>
      <c r="EQ4" s="89">
        <f t="shared" si="4"/>
        <v>127</v>
      </c>
      <c r="ER4" s="89">
        <f t="shared" si="4"/>
        <v>128</v>
      </c>
      <c r="ES4" s="89">
        <f t="shared" si="4"/>
        <v>129</v>
      </c>
      <c r="ET4" s="89">
        <f t="shared" si="4"/>
        <v>130</v>
      </c>
      <c r="EU4" s="89">
        <f t="shared" ref="EU4:GR4" si="5">ET4+1</f>
        <v>131</v>
      </c>
      <c r="EV4" s="89">
        <f t="shared" si="5"/>
        <v>132</v>
      </c>
      <c r="EW4" s="89">
        <f t="shared" si="5"/>
        <v>133</v>
      </c>
      <c r="EX4" s="89">
        <f t="shared" si="5"/>
        <v>134</v>
      </c>
      <c r="EY4" s="89">
        <f t="shared" si="5"/>
        <v>135</v>
      </c>
      <c r="EZ4" s="89">
        <f t="shared" si="5"/>
        <v>136</v>
      </c>
      <c r="FA4" s="89">
        <f t="shared" si="5"/>
        <v>137</v>
      </c>
      <c r="FB4" s="89">
        <f t="shared" si="5"/>
        <v>138</v>
      </c>
      <c r="FC4" s="89">
        <f t="shared" si="5"/>
        <v>139</v>
      </c>
      <c r="FD4" s="89">
        <f t="shared" si="5"/>
        <v>140</v>
      </c>
      <c r="FE4" s="89">
        <f t="shared" si="5"/>
        <v>141</v>
      </c>
      <c r="FF4" s="89">
        <f t="shared" si="5"/>
        <v>142</v>
      </c>
      <c r="FG4" s="89">
        <f t="shared" si="5"/>
        <v>143</v>
      </c>
      <c r="FH4" s="89">
        <f t="shared" si="5"/>
        <v>144</v>
      </c>
      <c r="FI4" s="89">
        <f t="shared" si="5"/>
        <v>145</v>
      </c>
      <c r="FJ4" s="89">
        <f t="shared" si="5"/>
        <v>146</v>
      </c>
      <c r="FK4" s="89">
        <f t="shared" si="5"/>
        <v>147</v>
      </c>
      <c r="FL4" s="89">
        <f t="shared" si="5"/>
        <v>148</v>
      </c>
      <c r="FM4" s="89">
        <f t="shared" si="5"/>
        <v>149</v>
      </c>
      <c r="FN4" s="89">
        <f t="shared" si="5"/>
        <v>150</v>
      </c>
      <c r="FO4" s="89">
        <f t="shared" si="5"/>
        <v>151</v>
      </c>
      <c r="FP4" s="89">
        <f t="shared" si="5"/>
        <v>152</v>
      </c>
      <c r="FQ4" s="89">
        <f t="shared" si="5"/>
        <v>153</v>
      </c>
      <c r="FR4" s="89">
        <f t="shared" si="5"/>
        <v>154</v>
      </c>
      <c r="FS4" s="89">
        <f t="shared" si="5"/>
        <v>155</v>
      </c>
      <c r="FT4" s="89">
        <f t="shared" si="5"/>
        <v>156</v>
      </c>
      <c r="FU4" s="89">
        <f t="shared" si="5"/>
        <v>157</v>
      </c>
      <c r="FV4" s="89">
        <f t="shared" si="5"/>
        <v>158</v>
      </c>
      <c r="FW4" s="89">
        <f t="shared" si="5"/>
        <v>159</v>
      </c>
      <c r="FX4" s="89">
        <f t="shared" si="5"/>
        <v>160</v>
      </c>
      <c r="FY4" s="89">
        <f t="shared" si="5"/>
        <v>161</v>
      </c>
      <c r="FZ4" s="89">
        <f t="shared" si="5"/>
        <v>162</v>
      </c>
      <c r="GA4" s="89">
        <f t="shared" si="5"/>
        <v>163</v>
      </c>
      <c r="GB4" s="89">
        <f t="shared" si="5"/>
        <v>164</v>
      </c>
      <c r="GC4" s="89">
        <f t="shared" si="5"/>
        <v>165</v>
      </c>
      <c r="GD4" s="89">
        <f t="shared" si="5"/>
        <v>166</v>
      </c>
      <c r="GE4" s="89">
        <f t="shared" si="5"/>
        <v>167</v>
      </c>
      <c r="GF4" s="89">
        <f t="shared" si="5"/>
        <v>168</v>
      </c>
      <c r="GG4" s="89">
        <f t="shared" si="5"/>
        <v>169</v>
      </c>
      <c r="GH4" s="89">
        <f t="shared" si="5"/>
        <v>170</v>
      </c>
      <c r="GI4" s="89">
        <f t="shared" si="5"/>
        <v>171</v>
      </c>
      <c r="GJ4" s="89">
        <f t="shared" si="5"/>
        <v>172</v>
      </c>
      <c r="GK4" s="89">
        <f t="shared" si="5"/>
        <v>173</v>
      </c>
      <c r="GL4" s="89">
        <f t="shared" si="5"/>
        <v>174</v>
      </c>
      <c r="GM4" s="89">
        <f t="shared" si="5"/>
        <v>175</v>
      </c>
      <c r="GN4" s="89">
        <f t="shared" si="5"/>
        <v>176</v>
      </c>
      <c r="GO4" s="89">
        <f t="shared" si="5"/>
        <v>177</v>
      </c>
      <c r="GP4" s="89">
        <f t="shared" si="5"/>
        <v>178</v>
      </c>
      <c r="GQ4" s="89">
        <f t="shared" si="5"/>
        <v>179</v>
      </c>
      <c r="GR4" s="89">
        <f t="shared" si="5"/>
        <v>180</v>
      </c>
    </row>
    <row r="5" spans="2:200" ht="28.8" x14ac:dyDescent="0.3">
      <c r="B5" s="183" t="s">
        <v>148</v>
      </c>
      <c r="C5" s="123" t="s">
        <v>153</v>
      </c>
      <c r="D5" s="123" t="s">
        <v>149</v>
      </c>
      <c r="E5" s="123" t="s">
        <v>150</v>
      </c>
      <c r="F5" s="123" t="s">
        <v>151</v>
      </c>
      <c r="G5" s="123" t="s">
        <v>152</v>
      </c>
      <c r="H5" s="123" t="s">
        <v>152</v>
      </c>
      <c r="I5" s="123" t="s">
        <v>152</v>
      </c>
      <c r="J5" s="123" t="s">
        <v>154</v>
      </c>
      <c r="K5" s="123" t="s">
        <v>163</v>
      </c>
      <c r="L5" s="123" t="s">
        <v>157</v>
      </c>
      <c r="M5" s="123" t="s">
        <v>158</v>
      </c>
      <c r="N5" s="123" t="s">
        <v>156</v>
      </c>
      <c r="O5" s="123" t="s">
        <v>155</v>
      </c>
      <c r="P5" s="124" t="s">
        <v>159</v>
      </c>
      <c r="Q5" s="125" t="s">
        <v>160</v>
      </c>
      <c r="R5" s="125" t="s">
        <v>161</v>
      </c>
      <c r="S5" s="90"/>
      <c r="T5" s="90" t="s">
        <v>166</v>
      </c>
      <c r="U5" s="170">
        <f>EOMONTH(Analysis_Start,0)</f>
        <v>42400</v>
      </c>
      <c r="V5" s="170">
        <f>EOMONTH(U5,1)</f>
        <v>42429</v>
      </c>
      <c r="W5" s="170">
        <f t="shared" ref="W5:CH5" si="6">EOMONTH(V5,1)</f>
        <v>42460</v>
      </c>
      <c r="X5" s="170">
        <f t="shared" si="6"/>
        <v>42490</v>
      </c>
      <c r="Y5" s="170">
        <f t="shared" si="6"/>
        <v>42521</v>
      </c>
      <c r="Z5" s="170">
        <f t="shared" si="6"/>
        <v>42551</v>
      </c>
      <c r="AA5" s="170">
        <f t="shared" si="6"/>
        <v>42582</v>
      </c>
      <c r="AB5" s="170">
        <f t="shared" si="6"/>
        <v>42613</v>
      </c>
      <c r="AC5" s="170">
        <f t="shared" si="6"/>
        <v>42643</v>
      </c>
      <c r="AD5" s="170">
        <f t="shared" si="6"/>
        <v>42674</v>
      </c>
      <c r="AE5" s="170">
        <f t="shared" si="6"/>
        <v>42704</v>
      </c>
      <c r="AF5" s="170">
        <f t="shared" si="6"/>
        <v>42735</v>
      </c>
      <c r="AG5" s="170">
        <f t="shared" si="6"/>
        <v>42766</v>
      </c>
      <c r="AH5" s="170">
        <f t="shared" si="6"/>
        <v>42794</v>
      </c>
      <c r="AI5" s="170">
        <f t="shared" si="6"/>
        <v>42825</v>
      </c>
      <c r="AJ5" s="170">
        <f t="shared" si="6"/>
        <v>42855</v>
      </c>
      <c r="AK5" s="170">
        <f t="shared" si="6"/>
        <v>42886</v>
      </c>
      <c r="AL5" s="170">
        <f t="shared" si="6"/>
        <v>42916</v>
      </c>
      <c r="AM5" s="170">
        <f t="shared" si="6"/>
        <v>42947</v>
      </c>
      <c r="AN5" s="170">
        <f t="shared" si="6"/>
        <v>42978</v>
      </c>
      <c r="AO5" s="170">
        <f t="shared" si="6"/>
        <v>43008</v>
      </c>
      <c r="AP5" s="170">
        <f t="shared" si="6"/>
        <v>43039</v>
      </c>
      <c r="AQ5" s="170">
        <f t="shared" si="6"/>
        <v>43069</v>
      </c>
      <c r="AR5" s="170">
        <f t="shared" si="6"/>
        <v>43100</v>
      </c>
      <c r="AS5" s="170">
        <f t="shared" si="6"/>
        <v>43131</v>
      </c>
      <c r="AT5" s="170">
        <f t="shared" si="6"/>
        <v>43159</v>
      </c>
      <c r="AU5" s="170">
        <f t="shared" si="6"/>
        <v>43190</v>
      </c>
      <c r="AV5" s="170">
        <f t="shared" si="6"/>
        <v>43220</v>
      </c>
      <c r="AW5" s="170">
        <f t="shared" si="6"/>
        <v>43251</v>
      </c>
      <c r="AX5" s="170">
        <f t="shared" si="6"/>
        <v>43281</v>
      </c>
      <c r="AY5" s="170">
        <f t="shared" si="6"/>
        <v>43312</v>
      </c>
      <c r="AZ5" s="170">
        <f t="shared" si="6"/>
        <v>43343</v>
      </c>
      <c r="BA5" s="170">
        <f t="shared" si="6"/>
        <v>43373</v>
      </c>
      <c r="BB5" s="170">
        <f t="shared" si="6"/>
        <v>43404</v>
      </c>
      <c r="BC5" s="170">
        <f t="shared" si="6"/>
        <v>43434</v>
      </c>
      <c r="BD5" s="170">
        <f t="shared" si="6"/>
        <v>43465</v>
      </c>
      <c r="BE5" s="170">
        <f t="shared" si="6"/>
        <v>43496</v>
      </c>
      <c r="BF5" s="170">
        <f t="shared" si="6"/>
        <v>43524</v>
      </c>
      <c r="BG5" s="170">
        <f t="shared" si="6"/>
        <v>43555</v>
      </c>
      <c r="BH5" s="170">
        <f t="shared" si="6"/>
        <v>43585</v>
      </c>
      <c r="BI5" s="170">
        <f t="shared" si="6"/>
        <v>43616</v>
      </c>
      <c r="BJ5" s="170">
        <f t="shared" si="6"/>
        <v>43646</v>
      </c>
      <c r="BK5" s="170">
        <f t="shared" si="6"/>
        <v>43677</v>
      </c>
      <c r="BL5" s="170">
        <f t="shared" si="6"/>
        <v>43708</v>
      </c>
      <c r="BM5" s="170">
        <f t="shared" si="6"/>
        <v>43738</v>
      </c>
      <c r="BN5" s="170">
        <f t="shared" si="6"/>
        <v>43769</v>
      </c>
      <c r="BO5" s="170">
        <f t="shared" si="6"/>
        <v>43799</v>
      </c>
      <c r="BP5" s="170">
        <f t="shared" si="6"/>
        <v>43830</v>
      </c>
      <c r="BQ5" s="170">
        <f t="shared" si="6"/>
        <v>43861</v>
      </c>
      <c r="BR5" s="170">
        <f t="shared" si="6"/>
        <v>43890</v>
      </c>
      <c r="BS5" s="170">
        <f t="shared" si="6"/>
        <v>43921</v>
      </c>
      <c r="BT5" s="170">
        <f t="shared" si="6"/>
        <v>43951</v>
      </c>
      <c r="BU5" s="170">
        <f t="shared" si="6"/>
        <v>43982</v>
      </c>
      <c r="BV5" s="170">
        <f t="shared" si="6"/>
        <v>44012</v>
      </c>
      <c r="BW5" s="170">
        <f t="shared" si="6"/>
        <v>44043</v>
      </c>
      <c r="BX5" s="170">
        <f t="shared" si="6"/>
        <v>44074</v>
      </c>
      <c r="BY5" s="170">
        <f t="shared" si="6"/>
        <v>44104</v>
      </c>
      <c r="BZ5" s="170">
        <f t="shared" si="6"/>
        <v>44135</v>
      </c>
      <c r="CA5" s="170">
        <f t="shared" si="6"/>
        <v>44165</v>
      </c>
      <c r="CB5" s="170">
        <f t="shared" si="6"/>
        <v>44196</v>
      </c>
      <c r="CC5" s="170">
        <f t="shared" si="6"/>
        <v>44227</v>
      </c>
      <c r="CD5" s="170">
        <f t="shared" si="6"/>
        <v>44255</v>
      </c>
      <c r="CE5" s="170">
        <f t="shared" si="6"/>
        <v>44286</v>
      </c>
      <c r="CF5" s="170">
        <f t="shared" si="6"/>
        <v>44316</v>
      </c>
      <c r="CG5" s="170">
        <f t="shared" si="6"/>
        <v>44347</v>
      </c>
      <c r="CH5" s="170">
        <f t="shared" si="6"/>
        <v>44377</v>
      </c>
      <c r="CI5" s="170">
        <f t="shared" ref="CI5:ET5" si="7">EOMONTH(CH5,1)</f>
        <v>44408</v>
      </c>
      <c r="CJ5" s="170">
        <f t="shared" si="7"/>
        <v>44439</v>
      </c>
      <c r="CK5" s="170">
        <f t="shared" si="7"/>
        <v>44469</v>
      </c>
      <c r="CL5" s="170">
        <f t="shared" si="7"/>
        <v>44500</v>
      </c>
      <c r="CM5" s="170">
        <f t="shared" si="7"/>
        <v>44530</v>
      </c>
      <c r="CN5" s="170">
        <f t="shared" si="7"/>
        <v>44561</v>
      </c>
      <c r="CO5" s="170">
        <f t="shared" si="7"/>
        <v>44592</v>
      </c>
      <c r="CP5" s="170">
        <f t="shared" si="7"/>
        <v>44620</v>
      </c>
      <c r="CQ5" s="170">
        <f t="shared" si="7"/>
        <v>44651</v>
      </c>
      <c r="CR5" s="170">
        <f t="shared" si="7"/>
        <v>44681</v>
      </c>
      <c r="CS5" s="170">
        <f t="shared" si="7"/>
        <v>44712</v>
      </c>
      <c r="CT5" s="170">
        <f t="shared" si="7"/>
        <v>44742</v>
      </c>
      <c r="CU5" s="170">
        <f t="shared" si="7"/>
        <v>44773</v>
      </c>
      <c r="CV5" s="170">
        <f t="shared" si="7"/>
        <v>44804</v>
      </c>
      <c r="CW5" s="170">
        <f t="shared" si="7"/>
        <v>44834</v>
      </c>
      <c r="CX5" s="170">
        <f t="shared" si="7"/>
        <v>44865</v>
      </c>
      <c r="CY5" s="170">
        <f t="shared" si="7"/>
        <v>44895</v>
      </c>
      <c r="CZ5" s="170">
        <f t="shared" si="7"/>
        <v>44926</v>
      </c>
      <c r="DA5" s="170">
        <f t="shared" si="7"/>
        <v>44957</v>
      </c>
      <c r="DB5" s="170">
        <f t="shared" si="7"/>
        <v>44985</v>
      </c>
      <c r="DC5" s="170">
        <f t="shared" si="7"/>
        <v>45016</v>
      </c>
      <c r="DD5" s="170">
        <f t="shared" si="7"/>
        <v>45046</v>
      </c>
      <c r="DE5" s="170">
        <f t="shared" si="7"/>
        <v>45077</v>
      </c>
      <c r="DF5" s="170">
        <f t="shared" si="7"/>
        <v>45107</v>
      </c>
      <c r="DG5" s="170">
        <f t="shared" si="7"/>
        <v>45138</v>
      </c>
      <c r="DH5" s="170">
        <f t="shared" si="7"/>
        <v>45169</v>
      </c>
      <c r="DI5" s="170">
        <f t="shared" si="7"/>
        <v>45199</v>
      </c>
      <c r="DJ5" s="170">
        <f t="shared" si="7"/>
        <v>45230</v>
      </c>
      <c r="DK5" s="170">
        <f t="shared" si="7"/>
        <v>45260</v>
      </c>
      <c r="DL5" s="170">
        <f t="shared" si="7"/>
        <v>45291</v>
      </c>
      <c r="DM5" s="170">
        <f t="shared" si="7"/>
        <v>45322</v>
      </c>
      <c r="DN5" s="170">
        <f t="shared" si="7"/>
        <v>45351</v>
      </c>
      <c r="DO5" s="170">
        <f t="shared" si="7"/>
        <v>45382</v>
      </c>
      <c r="DP5" s="170">
        <f t="shared" si="7"/>
        <v>45412</v>
      </c>
      <c r="DQ5" s="170">
        <f t="shared" si="7"/>
        <v>45443</v>
      </c>
      <c r="DR5" s="170">
        <f t="shared" si="7"/>
        <v>45473</v>
      </c>
      <c r="DS5" s="170">
        <f t="shared" si="7"/>
        <v>45504</v>
      </c>
      <c r="DT5" s="170">
        <f t="shared" si="7"/>
        <v>45535</v>
      </c>
      <c r="DU5" s="170">
        <f t="shared" si="7"/>
        <v>45565</v>
      </c>
      <c r="DV5" s="170">
        <f t="shared" si="7"/>
        <v>45596</v>
      </c>
      <c r="DW5" s="170">
        <f t="shared" si="7"/>
        <v>45626</v>
      </c>
      <c r="DX5" s="170">
        <f t="shared" si="7"/>
        <v>45657</v>
      </c>
      <c r="DY5" s="170">
        <f t="shared" si="7"/>
        <v>45688</v>
      </c>
      <c r="DZ5" s="170">
        <f t="shared" si="7"/>
        <v>45716</v>
      </c>
      <c r="EA5" s="170">
        <f t="shared" si="7"/>
        <v>45747</v>
      </c>
      <c r="EB5" s="170">
        <f t="shared" si="7"/>
        <v>45777</v>
      </c>
      <c r="EC5" s="170">
        <f t="shared" si="7"/>
        <v>45808</v>
      </c>
      <c r="ED5" s="170">
        <f t="shared" si="7"/>
        <v>45838</v>
      </c>
      <c r="EE5" s="170">
        <f t="shared" si="7"/>
        <v>45869</v>
      </c>
      <c r="EF5" s="170">
        <f t="shared" si="7"/>
        <v>45900</v>
      </c>
      <c r="EG5" s="170">
        <f t="shared" si="7"/>
        <v>45930</v>
      </c>
      <c r="EH5" s="170">
        <f t="shared" si="7"/>
        <v>45961</v>
      </c>
      <c r="EI5" s="170">
        <f t="shared" si="7"/>
        <v>45991</v>
      </c>
      <c r="EJ5" s="170">
        <f t="shared" si="7"/>
        <v>46022</v>
      </c>
      <c r="EK5" s="170">
        <f t="shared" si="7"/>
        <v>46053</v>
      </c>
      <c r="EL5" s="170">
        <f t="shared" si="7"/>
        <v>46081</v>
      </c>
      <c r="EM5" s="170">
        <f t="shared" si="7"/>
        <v>46112</v>
      </c>
      <c r="EN5" s="170">
        <f t="shared" si="7"/>
        <v>46142</v>
      </c>
      <c r="EO5" s="170">
        <f t="shared" si="7"/>
        <v>46173</v>
      </c>
      <c r="EP5" s="170">
        <f t="shared" si="7"/>
        <v>46203</v>
      </c>
      <c r="EQ5" s="170">
        <f t="shared" si="7"/>
        <v>46234</v>
      </c>
      <c r="ER5" s="170">
        <f t="shared" si="7"/>
        <v>46265</v>
      </c>
      <c r="ES5" s="170">
        <f t="shared" si="7"/>
        <v>46295</v>
      </c>
      <c r="ET5" s="170">
        <f t="shared" si="7"/>
        <v>46326</v>
      </c>
      <c r="EU5" s="170">
        <f t="shared" ref="EU5:GR5" si="8">EOMONTH(ET5,1)</f>
        <v>46356</v>
      </c>
      <c r="EV5" s="170">
        <f t="shared" si="8"/>
        <v>46387</v>
      </c>
      <c r="EW5" s="170">
        <f t="shared" si="8"/>
        <v>46418</v>
      </c>
      <c r="EX5" s="170">
        <f t="shared" si="8"/>
        <v>46446</v>
      </c>
      <c r="EY5" s="170">
        <f t="shared" si="8"/>
        <v>46477</v>
      </c>
      <c r="EZ5" s="170">
        <f t="shared" si="8"/>
        <v>46507</v>
      </c>
      <c r="FA5" s="170">
        <f t="shared" si="8"/>
        <v>46538</v>
      </c>
      <c r="FB5" s="170">
        <f t="shared" si="8"/>
        <v>46568</v>
      </c>
      <c r="FC5" s="170">
        <f t="shared" si="8"/>
        <v>46599</v>
      </c>
      <c r="FD5" s="170">
        <f t="shared" si="8"/>
        <v>46630</v>
      </c>
      <c r="FE5" s="170">
        <f t="shared" si="8"/>
        <v>46660</v>
      </c>
      <c r="FF5" s="170">
        <f t="shared" si="8"/>
        <v>46691</v>
      </c>
      <c r="FG5" s="170">
        <f t="shared" si="8"/>
        <v>46721</v>
      </c>
      <c r="FH5" s="170">
        <f t="shared" si="8"/>
        <v>46752</v>
      </c>
      <c r="FI5" s="170">
        <f t="shared" si="8"/>
        <v>46783</v>
      </c>
      <c r="FJ5" s="170">
        <f t="shared" si="8"/>
        <v>46812</v>
      </c>
      <c r="FK5" s="170">
        <f t="shared" si="8"/>
        <v>46843</v>
      </c>
      <c r="FL5" s="170">
        <f t="shared" si="8"/>
        <v>46873</v>
      </c>
      <c r="FM5" s="170">
        <f t="shared" si="8"/>
        <v>46904</v>
      </c>
      <c r="FN5" s="170">
        <f t="shared" si="8"/>
        <v>46934</v>
      </c>
      <c r="FO5" s="170">
        <f t="shared" si="8"/>
        <v>46965</v>
      </c>
      <c r="FP5" s="170">
        <f t="shared" si="8"/>
        <v>46996</v>
      </c>
      <c r="FQ5" s="170">
        <f t="shared" si="8"/>
        <v>47026</v>
      </c>
      <c r="FR5" s="170">
        <f t="shared" si="8"/>
        <v>47057</v>
      </c>
      <c r="FS5" s="170">
        <f t="shared" si="8"/>
        <v>47087</v>
      </c>
      <c r="FT5" s="170">
        <f t="shared" si="8"/>
        <v>47118</v>
      </c>
      <c r="FU5" s="170">
        <f t="shared" si="8"/>
        <v>47149</v>
      </c>
      <c r="FV5" s="170">
        <f t="shared" si="8"/>
        <v>47177</v>
      </c>
      <c r="FW5" s="170">
        <f t="shared" si="8"/>
        <v>47208</v>
      </c>
      <c r="FX5" s="170">
        <f t="shared" si="8"/>
        <v>47238</v>
      </c>
      <c r="FY5" s="170">
        <f t="shared" si="8"/>
        <v>47269</v>
      </c>
      <c r="FZ5" s="170">
        <f t="shared" si="8"/>
        <v>47299</v>
      </c>
      <c r="GA5" s="170">
        <f t="shared" si="8"/>
        <v>47330</v>
      </c>
      <c r="GB5" s="170">
        <f t="shared" si="8"/>
        <v>47361</v>
      </c>
      <c r="GC5" s="170">
        <f t="shared" si="8"/>
        <v>47391</v>
      </c>
      <c r="GD5" s="170">
        <f t="shared" si="8"/>
        <v>47422</v>
      </c>
      <c r="GE5" s="170">
        <f t="shared" si="8"/>
        <v>47452</v>
      </c>
      <c r="GF5" s="170">
        <f t="shared" si="8"/>
        <v>47483</v>
      </c>
      <c r="GG5" s="170">
        <f t="shared" si="8"/>
        <v>47514</v>
      </c>
      <c r="GH5" s="170">
        <f t="shared" si="8"/>
        <v>47542</v>
      </c>
      <c r="GI5" s="170">
        <f t="shared" si="8"/>
        <v>47573</v>
      </c>
      <c r="GJ5" s="170">
        <f t="shared" si="8"/>
        <v>47603</v>
      </c>
      <c r="GK5" s="170">
        <f t="shared" si="8"/>
        <v>47634</v>
      </c>
      <c r="GL5" s="170">
        <f t="shared" si="8"/>
        <v>47664</v>
      </c>
      <c r="GM5" s="170">
        <f t="shared" si="8"/>
        <v>47695</v>
      </c>
      <c r="GN5" s="170">
        <f t="shared" si="8"/>
        <v>47726</v>
      </c>
      <c r="GO5" s="170">
        <f t="shared" si="8"/>
        <v>47756</v>
      </c>
      <c r="GP5" s="170">
        <f t="shared" si="8"/>
        <v>47787</v>
      </c>
      <c r="GQ5" s="170">
        <f t="shared" si="8"/>
        <v>47817</v>
      </c>
      <c r="GR5" s="170">
        <f t="shared" si="8"/>
        <v>47848</v>
      </c>
    </row>
    <row r="6" spans="2:200" x14ac:dyDescent="0.3">
      <c r="B6" s="184" t="str">
        <f>'MF Rent Roll'!B5</f>
        <v>Studio</v>
      </c>
      <c r="C6" s="171">
        <f>'MF Rent Roll'!C5</f>
        <v>40</v>
      </c>
      <c r="D6" s="172">
        <f>'MF Rent Roll'!D5</f>
        <v>0</v>
      </c>
      <c r="E6" s="172">
        <f>'MF Rent Roll'!E5</f>
        <v>1</v>
      </c>
      <c r="F6" s="173">
        <f>'MF Rent Roll'!F5</f>
        <v>430</v>
      </c>
      <c r="G6" s="174">
        <f>'MF Rent Roll'!G5</f>
        <v>510</v>
      </c>
      <c r="H6" s="174">
        <f>IF('MF Rent Roll'!H5="",G6,'MF Rent Roll'!H5)</f>
        <v>630</v>
      </c>
      <c r="I6" s="175">
        <f>IF('MF Rent Roll'!I5="",1,'MF Rent Roll'!I5)</f>
        <v>13</v>
      </c>
      <c r="J6" s="176">
        <f>'MF Rent Roll'!J5</f>
        <v>12</v>
      </c>
      <c r="K6" s="174">
        <f>'MF Rent Roll'!K5</f>
        <v>50</v>
      </c>
      <c r="L6" s="177">
        <f>'MF Rent Roll'!L5</f>
        <v>0</v>
      </c>
      <c r="M6" s="178">
        <f>'MF Rent Roll'!M5</f>
        <v>20</v>
      </c>
      <c r="N6" s="174">
        <f>'MF Rent Roll'!N5</f>
        <v>300</v>
      </c>
      <c r="O6" s="179">
        <f>'MF Rent Roll'!O5</f>
        <v>0.6</v>
      </c>
      <c r="P6" s="180">
        <f>'MF Rent Roll'!P5</f>
        <v>0</v>
      </c>
      <c r="Q6" s="181">
        <f>'MF Rent Roll'!Q5</f>
        <v>8</v>
      </c>
      <c r="R6" s="104">
        <f>'MF Rent Roll'!R5</f>
        <v>120</v>
      </c>
      <c r="U6" s="149">
        <f>IF(OR($B6="",$B6=0),"",($G6*(U$4&lt;$I6)+$H6*(U$4&gt;=$I6))*$C6*(1+'Property Summary'!$L$18)^('MF Rents'!U$3-1))</f>
        <v>20400</v>
      </c>
      <c r="V6" s="149">
        <f>IF(OR($B6="",$B6=0),"",($G6*(V$4&lt;$I6)+$H6*(V$4&gt;=$I6))*$C6*(1+'Property Summary'!$L$18)^('MF Rents'!V$3-1))</f>
        <v>20400</v>
      </c>
      <c r="W6" s="149">
        <f>IF(OR($B6="",$B6=0),"",($G6*(W$4&lt;$I6)+$H6*(W$4&gt;=$I6))*$C6*(1+'Property Summary'!$L$18)^('MF Rents'!W$3-1))</f>
        <v>20400</v>
      </c>
      <c r="X6" s="149">
        <f>IF(OR($B6="",$B6=0),"",($G6*(X$4&lt;$I6)+$H6*(X$4&gt;=$I6))*$C6*(1+'Property Summary'!$L$18)^('MF Rents'!X$3-1))</f>
        <v>20400</v>
      </c>
      <c r="Y6" s="149">
        <f>IF(OR($B6="",$B6=0),"",($G6*(Y$4&lt;$I6)+$H6*(Y$4&gt;=$I6))*$C6*(1+'Property Summary'!$L$18)^('MF Rents'!Y$3-1))</f>
        <v>20400</v>
      </c>
      <c r="Z6" s="149">
        <f>IF(OR($B6="",$B6=0),"",($G6*(Z$4&lt;$I6)+$H6*(Z$4&gt;=$I6))*$C6*(1+'Property Summary'!$L$18)^('MF Rents'!Z$3-1))</f>
        <v>20400</v>
      </c>
      <c r="AA6" s="149">
        <f>IF(OR($B6="",$B6=0),"",($G6*(AA$4&lt;$I6)+$H6*(AA$4&gt;=$I6))*$C6*(1+'Property Summary'!$L$18)^('MF Rents'!AA$3-1))</f>
        <v>20400</v>
      </c>
      <c r="AB6" s="149">
        <f>IF(OR($B6="",$B6=0),"",($G6*(AB$4&lt;$I6)+$H6*(AB$4&gt;=$I6))*$C6*(1+'Property Summary'!$L$18)^('MF Rents'!AB$3-1))</f>
        <v>20400</v>
      </c>
      <c r="AC6" s="149">
        <f>IF(OR($B6="",$B6=0),"",($G6*(AC$4&lt;$I6)+$H6*(AC$4&gt;=$I6))*$C6*(1+'Property Summary'!$L$18)^('MF Rents'!AC$3-1))</f>
        <v>20400</v>
      </c>
      <c r="AD6" s="149">
        <f>IF(OR($B6="",$B6=0),"",($G6*(AD$4&lt;$I6)+$H6*(AD$4&gt;=$I6))*$C6*(1+'Property Summary'!$L$18)^('MF Rents'!AD$3-1))</f>
        <v>20400</v>
      </c>
      <c r="AE6" s="149">
        <f>IF(OR($B6="",$B6=0),"",($G6*(AE$4&lt;$I6)+$H6*(AE$4&gt;=$I6))*$C6*(1+'Property Summary'!$L$18)^('MF Rents'!AE$3-1))</f>
        <v>20400</v>
      </c>
      <c r="AF6" s="149">
        <f>IF(OR($B6="",$B6=0),"",($G6*(AF$4&lt;$I6)+$H6*(AF$4&gt;=$I6))*$C6*(1+'Property Summary'!$L$18)^('MF Rents'!AF$3-1))</f>
        <v>20400</v>
      </c>
      <c r="AG6" s="149">
        <f>IF(OR($B6="",$B6=0),"",($G6*(AG$4&lt;$I6)+$H6*(AG$4&gt;=$I6))*$C6*(1+'Property Summary'!$L$18)^('MF Rents'!AG$3-1))</f>
        <v>25577.999999999996</v>
      </c>
      <c r="AH6" s="149">
        <f>IF(OR($B6="",$B6=0),"",($G6*(AH$4&lt;$I6)+$H6*(AH$4&gt;=$I6))*$C6*(1+'Property Summary'!$L$18)^('MF Rents'!AH$3-1))</f>
        <v>25577.999999999996</v>
      </c>
      <c r="AI6" s="149">
        <f>IF(OR($B6="",$B6=0),"",($G6*(AI$4&lt;$I6)+$H6*(AI$4&gt;=$I6))*$C6*(1+'Property Summary'!$L$18)^('MF Rents'!AI$3-1))</f>
        <v>25577.999999999996</v>
      </c>
      <c r="AJ6" s="149">
        <f>IF(OR($B6="",$B6=0),"",($G6*(AJ$4&lt;$I6)+$H6*(AJ$4&gt;=$I6))*$C6*(1+'Property Summary'!$L$18)^('MF Rents'!AJ$3-1))</f>
        <v>25577.999999999996</v>
      </c>
      <c r="AK6" s="149">
        <f>IF(OR($B6="",$B6=0),"",($G6*(AK$4&lt;$I6)+$H6*(AK$4&gt;=$I6))*$C6*(1+'Property Summary'!$L$18)^('MF Rents'!AK$3-1))</f>
        <v>25577.999999999996</v>
      </c>
      <c r="AL6" s="149">
        <f>IF(OR($B6="",$B6=0),"",($G6*(AL$4&lt;$I6)+$H6*(AL$4&gt;=$I6))*$C6*(1+'Property Summary'!$L$18)^('MF Rents'!AL$3-1))</f>
        <v>25577.999999999996</v>
      </c>
      <c r="AM6" s="149">
        <f>IF(OR($B6="",$B6=0),"",($G6*(AM$4&lt;$I6)+$H6*(AM$4&gt;=$I6))*$C6*(1+'Property Summary'!$L$18)^('MF Rents'!AM$3-1))</f>
        <v>25577.999999999996</v>
      </c>
      <c r="AN6" s="149">
        <f>IF(OR($B6="",$B6=0),"",($G6*(AN$4&lt;$I6)+$H6*(AN$4&gt;=$I6))*$C6*(1+'Property Summary'!$L$18)^('MF Rents'!AN$3-1))</f>
        <v>25577.999999999996</v>
      </c>
      <c r="AO6" s="149">
        <f>IF(OR($B6="",$B6=0),"",($G6*(AO$4&lt;$I6)+$H6*(AO$4&gt;=$I6))*$C6*(1+'Property Summary'!$L$18)^('MF Rents'!AO$3-1))</f>
        <v>25577.999999999996</v>
      </c>
      <c r="AP6" s="149">
        <f>IF(OR($B6="",$B6=0),"",($G6*(AP$4&lt;$I6)+$H6*(AP$4&gt;=$I6))*$C6*(1+'Property Summary'!$L$18)^('MF Rents'!AP$3-1))</f>
        <v>25577.999999999996</v>
      </c>
      <c r="AQ6" s="149">
        <f>IF(OR($B6="",$B6=0),"",($G6*(AQ$4&lt;$I6)+$H6*(AQ$4&gt;=$I6))*$C6*(1+'Property Summary'!$L$18)^('MF Rents'!AQ$3-1))</f>
        <v>25577.999999999996</v>
      </c>
      <c r="AR6" s="149">
        <f>IF(OR($B6="",$B6=0),"",($G6*(AR$4&lt;$I6)+$H6*(AR$4&gt;=$I6))*$C6*(1+'Property Summary'!$L$18)^('MF Rents'!AR$3-1))</f>
        <v>25577.999999999996</v>
      </c>
      <c r="AS6" s="149">
        <f>IF(OR($B6="",$B6=0),"",($G6*(AS$4&lt;$I6)+$H6*(AS$4&gt;=$I6))*$C6*(1+'Property Summary'!$L$18)^('MF Rents'!AS$3-1))</f>
        <v>25961.669999999995</v>
      </c>
      <c r="AT6" s="149">
        <f>IF(OR($B6="",$B6=0),"",($G6*(AT$4&lt;$I6)+$H6*(AT$4&gt;=$I6))*$C6*(1+'Property Summary'!$L$18)^('MF Rents'!AT$3-1))</f>
        <v>25961.669999999995</v>
      </c>
      <c r="AU6" s="149">
        <f>IF(OR($B6="",$B6=0),"",($G6*(AU$4&lt;$I6)+$H6*(AU$4&gt;=$I6))*$C6*(1+'Property Summary'!$L$18)^('MF Rents'!AU$3-1))</f>
        <v>25961.669999999995</v>
      </c>
      <c r="AV6" s="149">
        <f>IF(OR($B6="",$B6=0),"",($G6*(AV$4&lt;$I6)+$H6*(AV$4&gt;=$I6))*$C6*(1+'Property Summary'!$L$18)^('MF Rents'!AV$3-1))</f>
        <v>25961.669999999995</v>
      </c>
      <c r="AW6" s="149">
        <f>IF(OR($B6="",$B6=0),"",($G6*(AW$4&lt;$I6)+$H6*(AW$4&gt;=$I6))*$C6*(1+'Property Summary'!$L$18)^('MF Rents'!AW$3-1))</f>
        <v>25961.669999999995</v>
      </c>
      <c r="AX6" s="149">
        <f>IF(OR($B6="",$B6=0),"",($G6*(AX$4&lt;$I6)+$H6*(AX$4&gt;=$I6))*$C6*(1+'Property Summary'!$L$18)^('MF Rents'!AX$3-1))</f>
        <v>25961.669999999995</v>
      </c>
      <c r="AY6" s="149">
        <f>IF(OR($B6="",$B6=0),"",($G6*(AY$4&lt;$I6)+$H6*(AY$4&gt;=$I6))*$C6*(1+'Property Summary'!$L$18)^('MF Rents'!AY$3-1))</f>
        <v>25961.669999999995</v>
      </c>
      <c r="AZ6" s="149">
        <f>IF(OR($B6="",$B6=0),"",($G6*(AZ$4&lt;$I6)+$H6*(AZ$4&gt;=$I6))*$C6*(1+'Property Summary'!$L$18)^('MF Rents'!AZ$3-1))</f>
        <v>25961.669999999995</v>
      </c>
      <c r="BA6" s="149">
        <f>IF(OR($B6="",$B6=0),"",($G6*(BA$4&lt;$I6)+$H6*(BA$4&gt;=$I6))*$C6*(1+'Property Summary'!$L$18)^('MF Rents'!BA$3-1))</f>
        <v>25961.669999999995</v>
      </c>
      <c r="BB6" s="149">
        <f>IF(OR($B6="",$B6=0),"",($G6*(BB$4&lt;$I6)+$H6*(BB$4&gt;=$I6))*$C6*(1+'Property Summary'!$L$18)^('MF Rents'!BB$3-1))</f>
        <v>25961.669999999995</v>
      </c>
      <c r="BC6" s="149">
        <f>IF(OR($B6="",$B6=0),"",($G6*(BC$4&lt;$I6)+$H6*(BC$4&gt;=$I6))*$C6*(1+'Property Summary'!$L$18)^('MF Rents'!BC$3-1))</f>
        <v>25961.669999999995</v>
      </c>
      <c r="BD6" s="149">
        <f>IF(OR($B6="",$B6=0),"",($G6*(BD$4&lt;$I6)+$H6*(BD$4&gt;=$I6))*$C6*(1+'Property Summary'!$L$18)^('MF Rents'!BD$3-1))</f>
        <v>25961.669999999995</v>
      </c>
      <c r="BE6" s="149">
        <f>IF(OR($B6="",$B6=0),"",($G6*(BE$4&lt;$I6)+$H6*(BE$4&gt;=$I6))*$C6*(1+'Property Summary'!$L$18)^('MF Rents'!BE$3-1))</f>
        <v>26351.095049999989</v>
      </c>
      <c r="BF6" s="149">
        <f>IF(OR($B6="",$B6=0),"",($G6*(BF$4&lt;$I6)+$H6*(BF$4&gt;=$I6))*$C6*(1+'Property Summary'!$L$18)^('MF Rents'!BF$3-1))</f>
        <v>26351.095049999989</v>
      </c>
      <c r="BG6" s="149">
        <f>IF(OR($B6="",$B6=0),"",($G6*(BG$4&lt;$I6)+$H6*(BG$4&gt;=$I6))*$C6*(1+'Property Summary'!$L$18)^('MF Rents'!BG$3-1))</f>
        <v>26351.095049999989</v>
      </c>
      <c r="BH6" s="149">
        <f>IF(OR($B6="",$B6=0),"",($G6*(BH$4&lt;$I6)+$H6*(BH$4&gt;=$I6))*$C6*(1+'Property Summary'!$L$18)^('MF Rents'!BH$3-1))</f>
        <v>26351.095049999989</v>
      </c>
      <c r="BI6" s="149">
        <f>IF(OR($B6="",$B6=0),"",($G6*(BI$4&lt;$I6)+$H6*(BI$4&gt;=$I6))*$C6*(1+'Property Summary'!$L$18)^('MF Rents'!BI$3-1))</f>
        <v>26351.095049999989</v>
      </c>
      <c r="BJ6" s="149">
        <f>IF(OR($B6="",$B6=0),"",($G6*(BJ$4&lt;$I6)+$H6*(BJ$4&gt;=$I6))*$C6*(1+'Property Summary'!$L$18)^('MF Rents'!BJ$3-1))</f>
        <v>26351.095049999989</v>
      </c>
      <c r="BK6" s="149">
        <f>IF(OR($B6="",$B6=0),"",($G6*(BK$4&lt;$I6)+$H6*(BK$4&gt;=$I6))*$C6*(1+'Property Summary'!$L$18)^('MF Rents'!BK$3-1))</f>
        <v>26351.095049999989</v>
      </c>
      <c r="BL6" s="149">
        <f>IF(OR($B6="",$B6=0),"",($G6*(BL$4&lt;$I6)+$H6*(BL$4&gt;=$I6))*$C6*(1+'Property Summary'!$L$18)^('MF Rents'!BL$3-1))</f>
        <v>26351.095049999989</v>
      </c>
      <c r="BM6" s="149">
        <f>IF(OR($B6="",$B6=0),"",($G6*(BM$4&lt;$I6)+$H6*(BM$4&gt;=$I6))*$C6*(1+'Property Summary'!$L$18)^('MF Rents'!BM$3-1))</f>
        <v>26351.095049999989</v>
      </c>
      <c r="BN6" s="149">
        <f>IF(OR($B6="",$B6=0),"",($G6*(BN$4&lt;$I6)+$H6*(BN$4&gt;=$I6))*$C6*(1+'Property Summary'!$L$18)^('MF Rents'!BN$3-1))</f>
        <v>26351.095049999989</v>
      </c>
      <c r="BO6" s="149">
        <f>IF(OR($B6="",$B6=0),"",($G6*(BO$4&lt;$I6)+$H6*(BO$4&gt;=$I6))*$C6*(1+'Property Summary'!$L$18)^('MF Rents'!BO$3-1))</f>
        <v>26351.095049999989</v>
      </c>
      <c r="BP6" s="149">
        <f>IF(OR($B6="",$B6=0),"",($G6*(BP$4&lt;$I6)+$H6*(BP$4&gt;=$I6))*$C6*(1+'Property Summary'!$L$18)^('MF Rents'!BP$3-1))</f>
        <v>26351.095049999989</v>
      </c>
      <c r="BQ6" s="149">
        <f>IF(OR($B6="",$B6=0),"",($G6*(BQ$4&lt;$I6)+$H6*(BQ$4&gt;=$I6))*$C6*(1+'Property Summary'!$L$18)^('MF Rents'!BQ$3-1))</f>
        <v>26746.361475749985</v>
      </c>
      <c r="BR6" s="149">
        <f>IF(OR($B6="",$B6=0),"",($G6*(BR$4&lt;$I6)+$H6*(BR$4&gt;=$I6))*$C6*(1+'Property Summary'!$L$18)^('MF Rents'!BR$3-1))</f>
        <v>26746.361475749985</v>
      </c>
      <c r="BS6" s="149">
        <f>IF(OR($B6="",$B6=0),"",($G6*(BS$4&lt;$I6)+$H6*(BS$4&gt;=$I6))*$C6*(1+'Property Summary'!$L$18)^('MF Rents'!BS$3-1))</f>
        <v>26746.361475749985</v>
      </c>
      <c r="BT6" s="149">
        <f>IF(OR($B6="",$B6=0),"",($G6*(BT$4&lt;$I6)+$H6*(BT$4&gt;=$I6))*$C6*(1+'Property Summary'!$L$18)^('MF Rents'!BT$3-1))</f>
        <v>26746.361475749985</v>
      </c>
      <c r="BU6" s="149">
        <f>IF(OR($B6="",$B6=0),"",($G6*(BU$4&lt;$I6)+$H6*(BU$4&gt;=$I6))*$C6*(1+'Property Summary'!$L$18)^('MF Rents'!BU$3-1))</f>
        <v>26746.361475749985</v>
      </c>
      <c r="BV6" s="149">
        <f>IF(OR($B6="",$B6=0),"",($G6*(BV$4&lt;$I6)+$H6*(BV$4&gt;=$I6))*$C6*(1+'Property Summary'!$L$18)^('MF Rents'!BV$3-1))</f>
        <v>26746.361475749985</v>
      </c>
      <c r="BW6" s="149">
        <f>IF(OR($B6="",$B6=0),"",($G6*(BW$4&lt;$I6)+$H6*(BW$4&gt;=$I6))*$C6*(1+'Property Summary'!$L$18)^('MF Rents'!BW$3-1))</f>
        <v>26746.361475749985</v>
      </c>
      <c r="BX6" s="149">
        <f>IF(OR($B6="",$B6=0),"",($G6*(BX$4&lt;$I6)+$H6*(BX$4&gt;=$I6))*$C6*(1+'Property Summary'!$L$18)^('MF Rents'!BX$3-1))</f>
        <v>26746.361475749985</v>
      </c>
      <c r="BY6" s="149">
        <f>IF(OR($B6="",$B6=0),"",($G6*(BY$4&lt;$I6)+$H6*(BY$4&gt;=$I6))*$C6*(1+'Property Summary'!$L$18)^('MF Rents'!BY$3-1))</f>
        <v>26746.361475749985</v>
      </c>
      <c r="BZ6" s="149">
        <f>IF(OR($B6="",$B6=0),"",($G6*(BZ$4&lt;$I6)+$H6*(BZ$4&gt;=$I6))*$C6*(1+'Property Summary'!$L$18)^('MF Rents'!BZ$3-1))</f>
        <v>26746.361475749985</v>
      </c>
      <c r="CA6" s="149">
        <f>IF(OR($B6="",$B6=0),"",($G6*(CA$4&lt;$I6)+$H6*(CA$4&gt;=$I6))*$C6*(1+'Property Summary'!$L$18)^('MF Rents'!CA$3-1))</f>
        <v>26746.361475749985</v>
      </c>
      <c r="CB6" s="149">
        <f>IF(OR($B6="",$B6=0),"",($G6*(CB$4&lt;$I6)+$H6*(CB$4&gt;=$I6))*$C6*(1+'Property Summary'!$L$18)^('MF Rents'!CB$3-1))</f>
        <v>26746.361475749985</v>
      </c>
      <c r="CC6" s="149">
        <f>IF(OR($B6="",$B6=0),"",($G6*(CC$4&lt;$I6)+$H6*(CC$4&gt;=$I6))*$C6*(1+'Property Summary'!$L$18)^('MF Rents'!CC$3-1))</f>
        <v>27147.556897886232</v>
      </c>
      <c r="CD6" s="149">
        <f>IF(OR($B6="",$B6=0),"",($G6*(CD$4&lt;$I6)+$H6*(CD$4&gt;=$I6))*$C6*(1+'Property Summary'!$L$18)^('MF Rents'!CD$3-1))</f>
        <v>27147.556897886232</v>
      </c>
      <c r="CE6" s="149">
        <f>IF(OR($B6="",$B6=0),"",($G6*(CE$4&lt;$I6)+$H6*(CE$4&gt;=$I6))*$C6*(1+'Property Summary'!$L$18)^('MF Rents'!CE$3-1))</f>
        <v>27147.556897886232</v>
      </c>
      <c r="CF6" s="149">
        <f>IF(OR($B6="",$B6=0),"",($G6*(CF$4&lt;$I6)+$H6*(CF$4&gt;=$I6))*$C6*(1+'Property Summary'!$L$18)^('MF Rents'!CF$3-1))</f>
        <v>27147.556897886232</v>
      </c>
      <c r="CG6" s="149">
        <f>IF(OR($B6="",$B6=0),"",($G6*(CG$4&lt;$I6)+$H6*(CG$4&gt;=$I6))*$C6*(1+'Property Summary'!$L$18)^('MF Rents'!CG$3-1))</f>
        <v>27147.556897886232</v>
      </c>
      <c r="CH6" s="149">
        <f>IF(OR($B6="",$B6=0),"",($G6*(CH$4&lt;$I6)+$H6*(CH$4&gt;=$I6))*$C6*(1+'Property Summary'!$L$18)^('MF Rents'!CH$3-1))</f>
        <v>27147.556897886232</v>
      </c>
      <c r="CI6" s="149">
        <f>IF(OR($B6="",$B6=0),"",($G6*(CI$4&lt;$I6)+$H6*(CI$4&gt;=$I6))*$C6*(1+'Property Summary'!$L$18)^('MF Rents'!CI$3-1))</f>
        <v>27147.556897886232</v>
      </c>
      <c r="CJ6" s="149">
        <f>IF(OR($B6="",$B6=0),"",($G6*(CJ$4&lt;$I6)+$H6*(CJ$4&gt;=$I6))*$C6*(1+'Property Summary'!$L$18)^('MF Rents'!CJ$3-1))</f>
        <v>27147.556897886232</v>
      </c>
      <c r="CK6" s="149">
        <f>IF(OR($B6="",$B6=0),"",($G6*(CK$4&lt;$I6)+$H6*(CK$4&gt;=$I6))*$C6*(1+'Property Summary'!$L$18)^('MF Rents'!CK$3-1))</f>
        <v>27147.556897886232</v>
      </c>
      <c r="CL6" s="149">
        <f>IF(OR($B6="",$B6=0),"",($G6*(CL$4&lt;$I6)+$H6*(CL$4&gt;=$I6))*$C6*(1+'Property Summary'!$L$18)^('MF Rents'!CL$3-1))</f>
        <v>27147.556897886232</v>
      </c>
      <c r="CM6" s="149">
        <f>IF(OR($B6="",$B6=0),"",($G6*(CM$4&lt;$I6)+$H6*(CM$4&gt;=$I6))*$C6*(1+'Property Summary'!$L$18)^('MF Rents'!CM$3-1))</f>
        <v>27147.556897886232</v>
      </c>
      <c r="CN6" s="149">
        <f>IF(OR($B6="",$B6=0),"",($G6*(CN$4&lt;$I6)+$H6*(CN$4&gt;=$I6))*$C6*(1+'Property Summary'!$L$18)^('MF Rents'!CN$3-1))</f>
        <v>27147.556897886232</v>
      </c>
      <c r="CO6" s="149">
        <f>IF(OR($B6="",$B6=0),"",($G6*(CO$4&lt;$I6)+$H6*(CO$4&gt;=$I6))*$C6*(1+'Property Summary'!$L$18)^('MF Rents'!CO$3-1))</f>
        <v>27554.770251354519</v>
      </c>
      <c r="CP6" s="149">
        <f>IF(OR($B6="",$B6=0),"",($G6*(CP$4&lt;$I6)+$H6*(CP$4&gt;=$I6))*$C6*(1+'Property Summary'!$L$18)^('MF Rents'!CP$3-1))</f>
        <v>27554.770251354519</v>
      </c>
      <c r="CQ6" s="149">
        <f>IF(OR($B6="",$B6=0),"",($G6*(CQ$4&lt;$I6)+$H6*(CQ$4&gt;=$I6))*$C6*(1+'Property Summary'!$L$18)^('MF Rents'!CQ$3-1))</f>
        <v>27554.770251354519</v>
      </c>
      <c r="CR6" s="149">
        <f>IF(OR($B6="",$B6=0),"",($G6*(CR$4&lt;$I6)+$H6*(CR$4&gt;=$I6))*$C6*(1+'Property Summary'!$L$18)^('MF Rents'!CR$3-1))</f>
        <v>27554.770251354519</v>
      </c>
      <c r="CS6" s="149">
        <f>IF(OR($B6="",$B6=0),"",($G6*(CS$4&lt;$I6)+$H6*(CS$4&gt;=$I6))*$C6*(1+'Property Summary'!$L$18)^('MF Rents'!CS$3-1))</f>
        <v>27554.770251354519</v>
      </c>
      <c r="CT6" s="149">
        <f>IF(OR($B6="",$B6=0),"",($G6*(CT$4&lt;$I6)+$H6*(CT$4&gt;=$I6))*$C6*(1+'Property Summary'!$L$18)^('MF Rents'!CT$3-1))</f>
        <v>27554.770251354519</v>
      </c>
      <c r="CU6" s="149">
        <f>IF(OR($B6="",$B6=0),"",($G6*(CU$4&lt;$I6)+$H6*(CU$4&gt;=$I6))*$C6*(1+'Property Summary'!$L$18)^('MF Rents'!CU$3-1))</f>
        <v>27554.770251354519</v>
      </c>
      <c r="CV6" s="149">
        <f>IF(OR($B6="",$B6=0),"",($G6*(CV$4&lt;$I6)+$H6*(CV$4&gt;=$I6))*$C6*(1+'Property Summary'!$L$18)^('MF Rents'!CV$3-1))</f>
        <v>27554.770251354519</v>
      </c>
      <c r="CW6" s="149">
        <f>IF(OR($B6="",$B6=0),"",($G6*(CW$4&lt;$I6)+$H6*(CW$4&gt;=$I6))*$C6*(1+'Property Summary'!$L$18)^('MF Rents'!CW$3-1))</f>
        <v>27554.770251354519</v>
      </c>
      <c r="CX6" s="149">
        <f>IF(OR($B6="",$B6=0),"",($G6*(CX$4&lt;$I6)+$H6*(CX$4&gt;=$I6))*$C6*(1+'Property Summary'!$L$18)^('MF Rents'!CX$3-1))</f>
        <v>27554.770251354519</v>
      </c>
      <c r="CY6" s="149">
        <f>IF(OR($B6="",$B6=0),"",($G6*(CY$4&lt;$I6)+$H6*(CY$4&gt;=$I6))*$C6*(1+'Property Summary'!$L$18)^('MF Rents'!CY$3-1))</f>
        <v>27554.770251354519</v>
      </c>
      <c r="CZ6" s="149">
        <f>IF(OR($B6="",$B6=0),"",($G6*(CZ$4&lt;$I6)+$H6*(CZ$4&gt;=$I6))*$C6*(1+'Property Summary'!$L$18)^('MF Rents'!CZ$3-1))</f>
        <v>27554.770251354519</v>
      </c>
      <c r="DA6" s="149">
        <f>IF(OR($B6="",$B6=0),"",($G6*(DA$4&lt;$I6)+$H6*(DA$4&gt;=$I6))*$C6*(1+'Property Summary'!$L$18)^('MF Rents'!DA$3-1))</f>
        <v>27968.091805124834</v>
      </c>
      <c r="DB6" s="149">
        <f>IF(OR($B6="",$B6=0),"",($G6*(DB$4&lt;$I6)+$H6*(DB$4&gt;=$I6))*$C6*(1+'Property Summary'!$L$18)^('MF Rents'!DB$3-1))</f>
        <v>27968.091805124834</v>
      </c>
      <c r="DC6" s="149">
        <f>IF(OR($B6="",$B6=0),"",($G6*(DC$4&lt;$I6)+$H6*(DC$4&gt;=$I6))*$C6*(1+'Property Summary'!$L$18)^('MF Rents'!DC$3-1))</f>
        <v>27968.091805124834</v>
      </c>
      <c r="DD6" s="149">
        <f>IF(OR($B6="",$B6=0),"",($G6*(DD$4&lt;$I6)+$H6*(DD$4&gt;=$I6))*$C6*(1+'Property Summary'!$L$18)^('MF Rents'!DD$3-1))</f>
        <v>27968.091805124834</v>
      </c>
      <c r="DE6" s="149">
        <f>IF(OR($B6="",$B6=0),"",($G6*(DE$4&lt;$I6)+$H6*(DE$4&gt;=$I6))*$C6*(1+'Property Summary'!$L$18)^('MF Rents'!DE$3-1))</f>
        <v>27968.091805124834</v>
      </c>
      <c r="DF6" s="149">
        <f>IF(OR($B6="",$B6=0),"",($G6*(DF$4&lt;$I6)+$H6*(DF$4&gt;=$I6))*$C6*(1+'Property Summary'!$L$18)^('MF Rents'!DF$3-1))</f>
        <v>27968.091805124834</v>
      </c>
      <c r="DG6" s="149">
        <f>IF(OR($B6="",$B6=0),"",($G6*(DG$4&lt;$I6)+$H6*(DG$4&gt;=$I6))*$C6*(1+'Property Summary'!$L$18)^('MF Rents'!DG$3-1))</f>
        <v>27968.091805124834</v>
      </c>
      <c r="DH6" s="149">
        <f>IF(OR($B6="",$B6=0),"",($G6*(DH$4&lt;$I6)+$H6*(DH$4&gt;=$I6))*$C6*(1+'Property Summary'!$L$18)^('MF Rents'!DH$3-1))</f>
        <v>27968.091805124834</v>
      </c>
      <c r="DI6" s="149">
        <f>IF(OR($B6="",$B6=0),"",($G6*(DI$4&lt;$I6)+$H6*(DI$4&gt;=$I6))*$C6*(1+'Property Summary'!$L$18)^('MF Rents'!DI$3-1))</f>
        <v>27968.091805124834</v>
      </c>
      <c r="DJ6" s="149">
        <f>IF(OR($B6="",$B6=0),"",($G6*(DJ$4&lt;$I6)+$H6*(DJ$4&gt;=$I6))*$C6*(1+'Property Summary'!$L$18)^('MF Rents'!DJ$3-1))</f>
        <v>27968.091805124834</v>
      </c>
      <c r="DK6" s="149">
        <f>IF(OR($B6="",$B6=0),"",($G6*(DK$4&lt;$I6)+$H6*(DK$4&gt;=$I6))*$C6*(1+'Property Summary'!$L$18)^('MF Rents'!DK$3-1))</f>
        <v>27968.091805124834</v>
      </c>
      <c r="DL6" s="149">
        <f>IF(OR($B6="",$B6=0),"",($G6*(DL$4&lt;$I6)+$H6*(DL$4&gt;=$I6))*$C6*(1+'Property Summary'!$L$18)^('MF Rents'!DL$3-1))</f>
        <v>27968.091805124834</v>
      </c>
      <c r="DM6" s="149">
        <f>IF(OR($B6="",$B6=0),"",($G6*(DM$4&lt;$I6)+$H6*(DM$4&gt;=$I6))*$C6*(1+'Property Summary'!$L$18)^('MF Rents'!DM$3-1))</f>
        <v>28387.613182201705</v>
      </c>
      <c r="DN6" s="149">
        <f>IF(OR($B6="",$B6=0),"",($G6*(DN$4&lt;$I6)+$H6*(DN$4&gt;=$I6))*$C6*(1+'Property Summary'!$L$18)^('MF Rents'!DN$3-1))</f>
        <v>28387.613182201705</v>
      </c>
      <c r="DO6" s="149">
        <f>IF(OR($B6="",$B6=0),"",($G6*(DO$4&lt;$I6)+$H6*(DO$4&gt;=$I6))*$C6*(1+'Property Summary'!$L$18)^('MF Rents'!DO$3-1))</f>
        <v>28387.613182201705</v>
      </c>
      <c r="DP6" s="149">
        <f>IF(OR($B6="",$B6=0),"",($G6*(DP$4&lt;$I6)+$H6*(DP$4&gt;=$I6))*$C6*(1+'Property Summary'!$L$18)^('MF Rents'!DP$3-1))</f>
        <v>28387.613182201705</v>
      </c>
      <c r="DQ6" s="149">
        <f>IF(OR($B6="",$B6=0),"",($G6*(DQ$4&lt;$I6)+$H6*(DQ$4&gt;=$I6))*$C6*(1+'Property Summary'!$L$18)^('MF Rents'!DQ$3-1))</f>
        <v>28387.613182201705</v>
      </c>
      <c r="DR6" s="149">
        <f>IF(OR($B6="",$B6=0),"",($G6*(DR$4&lt;$I6)+$H6*(DR$4&gt;=$I6))*$C6*(1+'Property Summary'!$L$18)^('MF Rents'!DR$3-1))</f>
        <v>28387.613182201705</v>
      </c>
      <c r="DS6" s="149">
        <f>IF(OR($B6="",$B6=0),"",($G6*(DS$4&lt;$I6)+$H6*(DS$4&gt;=$I6))*$C6*(1+'Property Summary'!$L$18)^('MF Rents'!DS$3-1))</f>
        <v>28387.613182201705</v>
      </c>
      <c r="DT6" s="149">
        <f>IF(OR($B6="",$B6=0),"",($G6*(DT$4&lt;$I6)+$H6*(DT$4&gt;=$I6))*$C6*(1+'Property Summary'!$L$18)^('MF Rents'!DT$3-1))</f>
        <v>28387.613182201705</v>
      </c>
      <c r="DU6" s="149">
        <f>IF(OR($B6="",$B6=0),"",($G6*(DU$4&lt;$I6)+$H6*(DU$4&gt;=$I6))*$C6*(1+'Property Summary'!$L$18)^('MF Rents'!DU$3-1))</f>
        <v>28387.613182201705</v>
      </c>
      <c r="DV6" s="149">
        <f>IF(OR($B6="",$B6=0),"",($G6*(DV$4&lt;$I6)+$H6*(DV$4&gt;=$I6))*$C6*(1+'Property Summary'!$L$18)^('MF Rents'!DV$3-1))</f>
        <v>28387.613182201705</v>
      </c>
      <c r="DW6" s="149">
        <f>IF(OR($B6="",$B6=0),"",($G6*(DW$4&lt;$I6)+$H6*(DW$4&gt;=$I6))*$C6*(1+'Property Summary'!$L$18)^('MF Rents'!DW$3-1))</f>
        <v>28387.613182201705</v>
      </c>
      <c r="DX6" s="149">
        <f>IF(OR($B6="",$B6=0),"",($G6*(DX$4&lt;$I6)+$H6*(DX$4&gt;=$I6))*$C6*(1+'Property Summary'!$L$18)^('MF Rents'!DX$3-1))</f>
        <v>28387.613182201705</v>
      </c>
      <c r="DY6" s="149">
        <f>IF(OR($B6="",$B6=0),"",($G6*(DY$4&lt;$I6)+$H6*(DY$4&gt;=$I6))*$C6*(1+'Property Summary'!$L$18)^('MF Rents'!DY$3-1))</f>
        <v>28813.427379934725</v>
      </c>
      <c r="DZ6" s="149">
        <f>IF(OR($B6="",$B6=0),"",($G6*(DZ$4&lt;$I6)+$H6*(DZ$4&gt;=$I6))*$C6*(1+'Property Summary'!$L$18)^('MF Rents'!DZ$3-1))</f>
        <v>28813.427379934725</v>
      </c>
      <c r="EA6" s="149">
        <f>IF(OR($B6="",$B6=0),"",($G6*(EA$4&lt;$I6)+$H6*(EA$4&gt;=$I6))*$C6*(1+'Property Summary'!$L$18)^('MF Rents'!EA$3-1))</f>
        <v>28813.427379934725</v>
      </c>
      <c r="EB6" s="149">
        <f>IF(OR($B6="",$B6=0),"",($G6*(EB$4&lt;$I6)+$H6*(EB$4&gt;=$I6))*$C6*(1+'Property Summary'!$L$18)^('MF Rents'!EB$3-1))</f>
        <v>28813.427379934725</v>
      </c>
      <c r="EC6" s="149">
        <f>IF(OR($B6="",$B6=0),"",($G6*(EC$4&lt;$I6)+$H6*(EC$4&gt;=$I6))*$C6*(1+'Property Summary'!$L$18)^('MF Rents'!EC$3-1))</f>
        <v>28813.427379934725</v>
      </c>
      <c r="ED6" s="149">
        <f>IF(OR($B6="",$B6=0),"",($G6*(ED$4&lt;$I6)+$H6*(ED$4&gt;=$I6))*$C6*(1+'Property Summary'!$L$18)^('MF Rents'!ED$3-1))</f>
        <v>28813.427379934725</v>
      </c>
      <c r="EE6" s="149">
        <f>IF(OR($B6="",$B6=0),"",($G6*(EE$4&lt;$I6)+$H6*(EE$4&gt;=$I6))*$C6*(1+'Property Summary'!$L$18)^('MF Rents'!EE$3-1))</f>
        <v>28813.427379934725</v>
      </c>
      <c r="EF6" s="149">
        <f>IF(OR($B6="",$B6=0),"",($G6*(EF$4&lt;$I6)+$H6*(EF$4&gt;=$I6))*$C6*(1+'Property Summary'!$L$18)^('MF Rents'!EF$3-1))</f>
        <v>28813.427379934725</v>
      </c>
      <c r="EG6" s="149">
        <f>IF(OR($B6="",$B6=0),"",($G6*(EG$4&lt;$I6)+$H6*(EG$4&gt;=$I6))*$C6*(1+'Property Summary'!$L$18)^('MF Rents'!EG$3-1))</f>
        <v>28813.427379934725</v>
      </c>
      <c r="EH6" s="149">
        <f>IF(OR($B6="",$B6=0),"",($G6*(EH$4&lt;$I6)+$H6*(EH$4&gt;=$I6))*$C6*(1+'Property Summary'!$L$18)^('MF Rents'!EH$3-1))</f>
        <v>28813.427379934725</v>
      </c>
      <c r="EI6" s="149">
        <f>IF(OR($B6="",$B6=0),"",($G6*(EI$4&lt;$I6)+$H6*(EI$4&gt;=$I6))*$C6*(1+'Property Summary'!$L$18)^('MF Rents'!EI$3-1))</f>
        <v>28813.427379934725</v>
      </c>
      <c r="EJ6" s="149">
        <f>IF(OR($B6="",$B6=0),"",($G6*(EJ$4&lt;$I6)+$H6*(EJ$4&gt;=$I6))*$C6*(1+'Property Summary'!$L$18)^('MF Rents'!EJ$3-1))</f>
        <v>28813.427379934725</v>
      </c>
      <c r="EK6" s="149">
        <f>IF(OR($B6="",$B6=0),"",($G6*(EK$4&lt;$I6)+$H6*(EK$4&gt;=$I6))*$C6*(1+'Property Summary'!$L$18)^('MF Rents'!EK$3-1))</f>
        <v>29245.628790633742</v>
      </c>
      <c r="EL6" s="149">
        <f>IF(OR($B6="",$B6=0),"",($G6*(EL$4&lt;$I6)+$H6*(EL$4&gt;=$I6))*$C6*(1+'Property Summary'!$L$18)^('MF Rents'!EL$3-1))</f>
        <v>29245.628790633742</v>
      </c>
      <c r="EM6" s="149">
        <f>IF(OR($B6="",$B6=0),"",($G6*(EM$4&lt;$I6)+$H6*(EM$4&gt;=$I6))*$C6*(1+'Property Summary'!$L$18)^('MF Rents'!EM$3-1))</f>
        <v>29245.628790633742</v>
      </c>
      <c r="EN6" s="149">
        <f>IF(OR($B6="",$B6=0),"",($G6*(EN$4&lt;$I6)+$H6*(EN$4&gt;=$I6))*$C6*(1+'Property Summary'!$L$18)^('MF Rents'!EN$3-1))</f>
        <v>29245.628790633742</v>
      </c>
      <c r="EO6" s="149">
        <f>IF(OR($B6="",$B6=0),"",($G6*(EO$4&lt;$I6)+$H6*(EO$4&gt;=$I6))*$C6*(1+'Property Summary'!$L$18)^('MF Rents'!EO$3-1))</f>
        <v>29245.628790633742</v>
      </c>
      <c r="EP6" s="149">
        <f>IF(OR($B6="",$B6=0),"",($G6*(EP$4&lt;$I6)+$H6*(EP$4&gt;=$I6))*$C6*(1+'Property Summary'!$L$18)^('MF Rents'!EP$3-1))</f>
        <v>29245.628790633742</v>
      </c>
      <c r="EQ6" s="149">
        <f>IF(OR($B6="",$B6=0),"",($G6*(EQ$4&lt;$I6)+$H6*(EQ$4&gt;=$I6))*$C6*(1+'Property Summary'!$L$18)^('MF Rents'!EQ$3-1))</f>
        <v>29245.628790633742</v>
      </c>
      <c r="ER6" s="149">
        <f>IF(OR($B6="",$B6=0),"",($G6*(ER$4&lt;$I6)+$H6*(ER$4&gt;=$I6))*$C6*(1+'Property Summary'!$L$18)^('MF Rents'!ER$3-1))</f>
        <v>29245.628790633742</v>
      </c>
      <c r="ES6" s="149">
        <f>IF(OR($B6="",$B6=0),"",($G6*(ES$4&lt;$I6)+$H6*(ES$4&gt;=$I6))*$C6*(1+'Property Summary'!$L$18)^('MF Rents'!ES$3-1))</f>
        <v>29245.628790633742</v>
      </c>
      <c r="ET6" s="149">
        <f>IF(OR($B6="",$B6=0),"",($G6*(ET$4&lt;$I6)+$H6*(ET$4&gt;=$I6))*$C6*(1+'Property Summary'!$L$18)^('MF Rents'!ET$3-1))</f>
        <v>29245.628790633742</v>
      </c>
      <c r="EU6" s="149">
        <f>IF(OR($B6="",$B6=0),"",($G6*(EU$4&lt;$I6)+$H6*(EU$4&gt;=$I6))*$C6*(1+'Property Summary'!$L$18)^('MF Rents'!EU$3-1))</f>
        <v>29245.628790633742</v>
      </c>
      <c r="EV6" s="149">
        <f>IF(OR($B6="",$B6=0),"",($G6*(EV$4&lt;$I6)+$H6*(EV$4&gt;=$I6))*$C6*(1+'Property Summary'!$L$18)^('MF Rents'!EV$3-1))</f>
        <v>29245.628790633742</v>
      </c>
      <c r="EW6" s="149">
        <f>IF(OR($B6="",$B6=0),"",($G6*(EW$4&lt;$I6)+$H6*(EW$4&gt;=$I6))*$C6*(1+'Property Summary'!$L$18)^('MF Rents'!EW$3-1))</f>
        <v>29684.313222493245</v>
      </c>
      <c r="EX6" s="149">
        <f>IF(OR($B6="",$B6=0),"",($G6*(EX$4&lt;$I6)+$H6*(EX$4&gt;=$I6))*$C6*(1+'Property Summary'!$L$18)^('MF Rents'!EX$3-1))</f>
        <v>29684.313222493245</v>
      </c>
      <c r="EY6" s="149">
        <f>IF(OR($B6="",$B6=0),"",($G6*(EY$4&lt;$I6)+$H6*(EY$4&gt;=$I6))*$C6*(1+'Property Summary'!$L$18)^('MF Rents'!EY$3-1))</f>
        <v>29684.313222493245</v>
      </c>
      <c r="EZ6" s="149">
        <f>IF(OR($B6="",$B6=0),"",($G6*(EZ$4&lt;$I6)+$H6*(EZ$4&gt;=$I6))*$C6*(1+'Property Summary'!$L$18)^('MF Rents'!EZ$3-1))</f>
        <v>29684.313222493245</v>
      </c>
      <c r="FA6" s="149">
        <f>IF(OR($B6="",$B6=0),"",($G6*(FA$4&lt;$I6)+$H6*(FA$4&gt;=$I6))*$C6*(1+'Property Summary'!$L$18)^('MF Rents'!FA$3-1))</f>
        <v>29684.313222493245</v>
      </c>
      <c r="FB6" s="149">
        <f>IF(OR($B6="",$B6=0),"",($G6*(FB$4&lt;$I6)+$H6*(FB$4&gt;=$I6))*$C6*(1+'Property Summary'!$L$18)^('MF Rents'!FB$3-1))</f>
        <v>29684.313222493245</v>
      </c>
      <c r="FC6" s="149">
        <f>IF(OR($B6="",$B6=0),"",($G6*(FC$4&lt;$I6)+$H6*(FC$4&gt;=$I6))*$C6*(1+'Property Summary'!$L$18)^('MF Rents'!FC$3-1))</f>
        <v>29684.313222493245</v>
      </c>
      <c r="FD6" s="149">
        <f>IF(OR($B6="",$B6=0),"",($G6*(FD$4&lt;$I6)+$H6*(FD$4&gt;=$I6))*$C6*(1+'Property Summary'!$L$18)^('MF Rents'!FD$3-1))</f>
        <v>29684.313222493245</v>
      </c>
      <c r="FE6" s="149">
        <f>IF(OR($B6="",$B6=0),"",($G6*(FE$4&lt;$I6)+$H6*(FE$4&gt;=$I6))*$C6*(1+'Property Summary'!$L$18)^('MF Rents'!FE$3-1))</f>
        <v>29684.313222493245</v>
      </c>
      <c r="FF6" s="149">
        <f>IF(OR($B6="",$B6=0),"",($G6*(FF$4&lt;$I6)+$H6*(FF$4&gt;=$I6))*$C6*(1+'Property Summary'!$L$18)^('MF Rents'!FF$3-1))</f>
        <v>29684.313222493245</v>
      </c>
      <c r="FG6" s="149">
        <f>IF(OR($B6="",$B6=0),"",($G6*(FG$4&lt;$I6)+$H6*(FG$4&gt;=$I6))*$C6*(1+'Property Summary'!$L$18)^('MF Rents'!FG$3-1))</f>
        <v>29684.313222493245</v>
      </c>
      <c r="FH6" s="149">
        <f>IF(OR($B6="",$B6=0),"",($G6*(FH$4&lt;$I6)+$H6*(FH$4&gt;=$I6))*$C6*(1+'Property Summary'!$L$18)^('MF Rents'!FH$3-1))</f>
        <v>29684.313222493245</v>
      </c>
      <c r="FI6" s="149">
        <f>IF(OR($B6="",$B6=0),"",($G6*(FI$4&lt;$I6)+$H6*(FI$4&gt;=$I6))*$C6*(1+'Property Summary'!$L$18)^('MF Rents'!FI$3-1))</f>
        <v>30129.577920830638</v>
      </c>
      <c r="FJ6" s="149">
        <f>IF(OR($B6="",$B6=0),"",($G6*(FJ$4&lt;$I6)+$H6*(FJ$4&gt;=$I6))*$C6*(1+'Property Summary'!$L$18)^('MF Rents'!FJ$3-1))</f>
        <v>30129.577920830638</v>
      </c>
      <c r="FK6" s="149">
        <f>IF(OR($B6="",$B6=0),"",($G6*(FK$4&lt;$I6)+$H6*(FK$4&gt;=$I6))*$C6*(1+'Property Summary'!$L$18)^('MF Rents'!FK$3-1))</f>
        <v>30129.577920830638</v>
      </c>
      <c r="FL6" s="149">
        <f>IF(OR($B6="",$B6=0),"",($G6*(FL$4&lt;$I6)+$H6*(FL$4&gt;=$I6))*$C6*(1+'Property Summary'!$L$18)^('MF Rents'!FL$3-1))</f>
        <v>30129.577920830638</v>
      </c>
      <c r="FM6" s="149">
        <f>IF(OR($B6="",$B6=0),"",($G6*(FM$4&lt;$I6)+$H6*(FM$4&gt;=$I6))*$C6*(1+'Property Summary'!$L$18)^('MF Rents'!FM$3-1))</f>
        <v>30129.577920830638</v>
      </c>
      <c r="FN6" s="149">
        <f>IF(OR($B6="",$B6=0),"",($G6*(FN$4&lt;$I6)+$H6*(FN$4&gt;=$I6))*$C6*(1+'Property Summary'!$L$18)^('MF Rents'!FN$3-1))</f>
        <v>30129.577920830638</v>
      </c>
      <c r="FO6" s="149">
        <f>IF(OR($B6="",$B6=0),"",($G6*(FO$4&lt;$I6)+$H6*(FO$4&gt;=$I6))*$C6*(1+'Property Summary'!$L$18)^('MF Rents'!FO$3-1))</f>
        <v>30129.577920830638</v>
      </c>
      <c r="FP6" s="149">
        <f>IF(OR($B6="",$B6=0),"",($G6*(FP$4&lt;$I6)+$H6*(FP$4&gt;=$I6))*$C6*(1+'Property Summary'!$L$18)^('MF Rents'!FP$3-1))</f>
        <v>30129.577920830638</v>
      </c>
      <c r="FQ6" s="149">
        <f>IF(OR($B6="",$B6=0),"",($G6*(FQ$4&lt;$I6)+$H6*(FQ$4&gt;=$I6))*$C6*(1+'Property Summary'!$L$18)^('MF Rents'!FQ$3-1))</f>
        <v>30129.577920830638</v>
      </c>
      <c r="FR6" s="149">
        <f>IF(OR($B6="",$B6=0),"",($G6*(FR$4&lt;$I6)+$H6*(FR$4&gt;=$I6))*$C6*(1+'Property Summary'!$L$18)^('MF Rents'!FR$3-1))</f>
        <v>30129.577920830638</v>
      </c>
      <c r="FS6" s="149">
        <f>IF(OR($B6="",$B6=0),"",($G6*(FS$4&lt;$I6)+$H6*(FS$4&gt;=$I6))*$C6*(1+'Property Summary'!$L$18)^('MF Rents'!FS$3-1))</f>
        <v>30129.577920830638</v>
      </c>
      <c r="FT6" s="149">
        <f>IF(OR($B6="",$B6=0),"",($G6*(FT$4&lt;$I6)+$H6*(FT$4&gt;=$I6))*$C6*(1+'Property Summary'!$L$18)^('MF Rents'!FT$3-1))</f>
        <v>30129.577920830638</v>
      </c>
      <c r="FU6" s="149">
        <f>IF(OR($B6="",$B6=0),"",($G6*(FU$4&lt;$I6)+$H6*(FU$4&gt;=$I6))*$C6*(1+'Property Summary'!$L$18)^('MF Rents'!FU$3-1))</f>
        <v>30581.521589643096</v>
      </c>
      <c r="FV6" s="149">
        <f>IF(OR($B6="",$B6=0),"",($G6*(FV$4&lt;$I6)+$H6*(FV$4&gt;=$I6))*$C6*(1+'Property Summary'!$L$18)^('MF Rents'!FV$3-1))</f>
        <v>30581.521589643096</v>
      </c>
      <c r="FW6" s="149">
        <f>IF(OR($B6="",$B6=0),"",($G6*(FW$4&lt;$I6)+$H6*(FW$4&gt;=$I6))*$C6*(1+'Property Summary'!$L$18)^('MF Rents'!FW$3-1))</f>
        <v>30581.521589643096</v>
      </c>
      <c r="FX6" s="149">
        <f>IF(OR($B6="",$B6=0),"",($G6*(FX$4&lt;$I6)+$H6*(FX$4&gt;=$I6))*$C6*(1+'Property Summary'!$L$18)^('MF Rents'!FX$3-1))</f>
        <v>30581.521589643096</v>
      </c>
      <c r="FY6" s="149">
        <f>IF(OR($B6="",$B6=0),"",($G6*(FY$4&lt;$I6)+$H6*(FY$4&gt;=$I6))*$C6*(1+'Property Summary'!$L$18)^('MF Rents'!FY$3-1))</f>
        <v>30581.521589643096</v>
      </c>
      <c r="FZ6" s="149">
        <f>IF(OR($B6="",$B6=0),"",($G6*(FZ$4&lt;$I6)+$H6*(FZ$4&gt;=$I6))*$C6*(1+'Property Summary'!$L$18)^('MF Rents'!FZ$3-1))</f>
        <v>30581.521589643096</v>
      </c>
      <c r="GA6" s="149">
        <f>IF(OR($B6="",$B6=0),"",($G6*(GA$4&lt;$I6)+$H6*(GA$4&gt;=$I6))*$C6*(1+'Property Summary'!$L$18)^('MF Rents'!GA$3-1))</f>
        <v>30581.521589643096</v>
      </c>
      <c r="GB6" s="149">
        <f>IF(OR($B6="",$B6=0),"",($G6*(GB$4&lt;$I6)+$H6*(GB$4&gt;=$I6))*$C6*(1+'Property Summary'!$L$18)^('MF Rents'!GB$3-1))</f>
        <v>30581.521589643096</v>
      </c>
      <c r="GC6" s="149">
        <f>IF(OR($B6="",$B6=0),"",($G6*(GC$4&lt;$I6)+$H6*(GC$4&gt;=$I6))*$C6*(1+'Property Summary'!$L$18)^('MF Rents'!GC$3-1))</f>
        <v>30581.521589643096</v>
      </c>
      <c r="GD6" s="149">
        <f>IF(OR($B6="",$B6=0),"",($G6*(GD$4&lt;$I6)+$H6*(GD$4&gt;=$I6))*$C6*(1+'Property Summary'!$L$18)^('MF Rents'!GD$3-1))</f>
        <v>30581.521589643096</v>
      </c>
      <c r="GE6" s="149">
        <f>IF(OR($B6="",$B6=0),"",($G6*(GE$4&lt;$I6)+$H6*(GE$4&gt;=$I6))*$C6*(1+'Property Summary'!$L$18)^('MF Rents'!GE$3-1))</f>
        <v>30581.521589643096</v>
      </c>
      <c r="GF6" s="149">
        <f>IF(OR($B6="",$B6=0),"",($G6*(GF$4&lt;$I6)+$H6*(GF$4&gt;=$I6))*$C6*(1+'Property Summary'!$L$18)^('MF Rents'!GF$3-1))</f>
        <v>30581.521589643096</v>
      </c>
      <c r="GG6" s="149">
        <f>IF(OR($B6="",$B6=0),"",($G6*(GG$4&lt;$I6)+$H6*(GG$4&gt;=$I6))*$C6*(1+'Property Summary'!$L$18)^('MF Rents'!GG$3-1))</f>
        <v>31040.244413487733</v>
      </c>
      <c r="GH6" s="149">
        <f>IF(OR($B6="",$B6=0),"",($G6*(GH$4&lt;$I6)+$H6*(GH$4&gt;=$I6))*$C6*(1+'Property Summary'!$L$18)^('MF Rents'!GH$3-1))</f>
        <v>31040.244413487733</v>
      </c>
      <c r="GI6" s="149">
        <f>IF(OR($B6="",$B6=0),"",($G6*(GI$4&lt;$I6)+$H6*(GI$4&gt;=$I6))*$C6*(1+'Property Summary'!$L$18)^('MF Rents'!GI$3-1))</f>
        <v>31040.244413487733</v>
      </c>
      <c r="GJ6" s="149">
        <f>IF(OR($B6="",$B6=0),"",($G6*(GJ$4&lt;$I6)+$H6*(GJ$4&gt;=$I6))*$C6*(1+'Property Summary'!$L$18)^('MF Rents'!GJ$3-1))</f>
        <v>31040.244413487733</v>
      </c>
      <c r="GK6" s="149">
        <f>IF(OR($B6="",$B6=0),"",($G6*(GK$4&lt;$I6)+$H6*(GK$4&gt;=$I6))*$C6*(1+'Property Summary'!$L$18)^('MF Rents'!GK$3-1))</f>
        <v>31040.244413487733</v>
      </c>
      <c r="GL6" s="149">
        <f>IF(OR($B6="",$B6=0),"",($G6*(GL$4&lt;$I6)+$H6*(GL$4&gt;=$I6))*$C6*(1+'Property Summary'!$L$18)^('MF Rents'!GL$3-1))</f>
        <v>31040.244413487733</v>
      </c>
      <c r="GM6" s="149">
        <f>IF(OR($B6="",$B6=0),"",($G6*(GM$4&lt;$I6)+$H6*(GM$4&gt;=$I6))*$C6*(1+'Property Summary'!$L$18)^('MF Rents'!GM$3-1))</f>
        <v>31040.244413487733</v>
      </c>
      <c r="GN6" s="149">
        <f>IF(OR($B6="",$B6=0),"",($G6*(GN$4&lt;$I6)+$H6*(GN$4&gt;=$I6))*$C6*(1+'Property Summary'!$L$18)^('MF Rents'!GN$3-1))</f>
        <v>31040.244413487733</v>
      </c>
      <c r="GO6" s="149">
        <f>IF(OR($B6="",$B6=0),"",($G6*(GO$4&lt;$I6)+$H6*(GO$4&gt;=$I6))*$C6*(1+'Property Summary'!$L$18)^('MF Rents'!GO$3-1))</f>
        <v>31040.244413487733</v>
      </c>
      <c r="GP6" s="149">
        <f>IF(OR($B6="",$B6=0),"",($G6*(GP$4&lt;$I6)+$H6*(GP$4&gt;=$I6))*$C6*(1+'Property Summary'!$L$18)^('MF Rents'!GP$3-1))</f>
        <v>31040.244413487733</v>
      </c>
      <c r="GQ6" s="149">
        <f>IF(OR($B6="",$B6=0),"",($G6*(GQ$4&lt;$I6)+$H6*(GQ$4&gt;=$I6))*$C6*(1+'Property Summary'!$L$18)^('MF Rents'!GQ$3-1))</f>
        <v>31040.244413487733</v>
      </c>
      <c r="GR6" s="149">
        <f>IF(OR($B6="",$B6=0),"",($G6*(GR$4&lt;$I6)+$H6*(GR$4&gt;=$I6))*$C6*(1+'Property Summary'!$L$18)^('MF Rents'!GR$3-1))</f>
        <v>31040.244413487733</v>
      </c>
    </row>
    <row r="7" spans="2:200" x14ac:dyDescent="0.3">
      <c r="B7" s="184" t="str">
        <f>'MF Rent Roll'!B6</f>
        <v>1bd/1ba</v>
      </c>
      <c r="C7" s="171">
        <f>'MF Rent Roll'!C6</f>
        <v>24</v>
      </c>
      <c r="D7" s="172">
        <f>'MF Rent Roll'!D6</f>
        <v>1</v>
      </c>
      <c r="E7" s="172">
        <f>'MF Rent Roll'!E6</f>
        <v>1</v>
      </c>
      <c r="F7" s="173">
        <f>'MF Rent Roll'!F6</f>
        <v>671</v>
      </c>
      <c r="G7" s="174">
        <f>'MF Rent Roll'!G6</f>
        <v>660</v>
      </c>
      <c r="H7" s="174">
        <f>IF('MF Rent Roll'!H6="",G7,'MF Rent Roll'!H6)</f>
        <v>780</v>
      </c>
      <c r="I7" s="175">
        <f>IF('MF Rent Roll'!I6="",1,'MF Rent Roll'!I6)</f>
        <v>16</v>
      </c>
      <c r="J7" s="176">
        <f>'MF Rent Roll'!J6</f>
        <v>12</v>
      </c>
      <c r="K7" s="174">
        <f>'MF Rent Roll'!K6</f>
        <v>50</v>
      </c>
      <c r="L7" s="177">
        <f>'MF Rent Roll'!L6</f>
        <v>0</v>
      </c>
      <c r="M7" s="178">
        <f>'MF Rent Roll'!M6</f>
        <v>20</v>
      </c>
      <c r="N7" s="174">
        <f>'MF Rent Roll'!N6</f>
        <v>300</v>
      </c>
      <c r="O7" s="179">
        <f>'MF Rent Roll'!O6</f>
        <v>0.6</v>
      </c>
      <c r="P7" s="180">
        <f>'MF Rent Roll'!P6</f>
        <v>0</v>
      </c>
      <c r="Q7" s="181">
        <f>'MF Rent Roll'!Q6</f>
        <v>8</v>
      </c>
      <c r="R7" s="104">
        <f>'MF Rent Roll'!R6</f>
        <v>120</v>
      </c>
      <c r="U7" s="149">
        <f>IF(OR($B7="",$B7=0),"",($G7*(U$4&lt;$I7)+$H7*(U$4&gt;=$I7))*$C7*(1+'Property Summary'!$L$18)^('MF Rents'!U$3-1))</f>
        <v>15840</v>
      </c>
      <c r="V7" s="149">
        <f>IF(OR($B7="",$B7=0),"",($G7*(V$4&lt;$I7)+$H7*(V$4&gt;=$I7))*$C7*(1+'Property Summary'!$L$18)^('MF Rents'!V$3-1))</f>
        <v>15840</v>
      </c>
      <c r="W7" s="149">
        <f>IF(OR($B7="",$B7=0),"",($G7*(W$4&lt;$I7)+$H7*(W$4&gt;=$I7))*$C7*(1+'Property Summary'!$L$18)^('MF Rents'!W$3-1))</f>
        <v>15840</v>
      </c>
      <c r="X7" s="149">
        <f>IF(OR($B7="",$B7=0),"",($G7*(X$4&lt;$I7)+$H7*(X$4&gt;=$I7))*$C7*(1+'Property Summary'!$L$18)^('MF Rents'!X$3-1))</f>
        <v>15840</v>
      </c>
      <c r="Y7" s="149">
        <f>IF(OR($B7="",$B7=0),"",($G7*(Y$4&lt;$I7)+$H7*(Y$4&gt;=$I7))*$C7*(1+'Property Summary'!$L$18)^('MF Rents'!Y$3-1))</f>
        <v>15840</v>
      </c>
      <c r="Z7" s="149">
        <f>IF(OR($B7="",$B7=0),"",($G7*(Z$4&lt;$I7)+$H7*(Z$4&gt;=$I7))*$C7*(1+'Property Summary'!$L$18)^('MF Rents'!Z$3-1))</f>
        <v>15840</v>
      </c>
      <c r="AA7" s="149">
        <f>IF(OR($B7="",$B7=0),"",($G7*(AA$4&lt;$I7)+$H7*(AA$4&gt;=$I7))*$C7*(1+'Property Summary'!$L$18)^('MF Rents'!AA$3-1))</f>
        <v>15840</v>
      </c>
      <c r="AB7" s="149">
        <f>IF(OR($B7="",$B7=0),"",($G7*(AB$4&lt;$I7)+$H7*(AB$4&gt;=$I7))*$C7*(1+'Property Summary'!$L$18)^('MF Rents'!AB$3-1))</f>
        <v>15840</v>
      </c>
      <c r="AC7" s="149">
        <f>IF(OR($B7="",$B7=0),"",($G7*(AC$4&lt;$I7)+$H7*(AC$4&gt;=$I7))*$C7*(1+'Property Summary'!$L$18)^('MF Rents'!AC$3-1))</f>
        <v>15840</v>
      </c>
      <c r="AD7" s="149">
        <f>IF(OR($B7="",$B7=0),"",($G7*(AD$4&lt;$I7)+$H7*(AD$4&gt;=$I7))*$C7*(1+'Property Summary'!$L$18)^('MF Rents'!AD$3-1))</f>
        <v>15840</v>
      </c>
      <c r="AE7" s="149">
        <f>IF(OR($B7="",$B7=0),"",($G7*(AE$4&lt;$I7)+$H7*(AE$4&gt;=$I7))*$C7*(1+'Property Summary'!$L$18)^('MF Rents'!AE$3-1))</f>
        <v>15840</v>
      </c>
      <c r="AF7" s="149">
        <f>IF(OR($B7="",$B7=0),"",($G7*(AF$4&lt;$I7)+$H7*(AF$4&gt;=$I7))*$C7*(1+'Property Summary'!$L$18)^('MF Rents'!AF$3-1))</f>
        <v>15840</v>
      </c>
      <c r="AG7" s="149">
        <f>IF(OR($B7="",$B7=0),"",($G7*(AG$4&lt;$I7)+$H7*(AG$4&gt;=$I7))*$C7*(1+'Property Summary'!$L$18)^('MF Rents'!AG$3-1))</f>
        <v>16077.599999999999</v>
      </c>
      <c r="AH7" s="149">
        <f>IF(OR($B7="",$B7=0),"",($G7*(AH$4&lt;$I7)+$H7*(AH$4&gt;=$I7))*$C7*(1+'Property Summary'!$L$18)^('MF Rents'!AH$3-1))</f>
        <v>16077.599999999999</v>
      </c>
      <c r="AI7" s="149">
        <f>IF(OR($B7="",$B7=0),"",($G7*(AI$4&lt;$I7)+$H7*(AI$4&gt;=$I7))*$C7*(1+'Property Summary'!$L$18)^('MF Rents'!AI$3-1))</f>
        <v>16077.599999999999</v>
      </c>
      <c r="AJ7" s="149">
        <f>IF(OR($B7="",$B7=0),"",($G7*(AJ$4&lt;$I7)+$H7*(AJ$4&gt;=$I7))*$C7*(1+'Property Summary'!$L$18)^('MF Rents'!AJ$3-1))</f>
        <v>19000.8</v>
      </c>
      <c r="AK7" s="149">
        <f>IF(OR($B7="",$B7=0),"",($G7*(AK$4&lt;$I7)+$H7*(AK$4&gt;=$I7))*$C7*(1+'Property Summary'!$L$18)^('MF Rents'!AK$3-1))</f>
        <v>19000.8</v>
      </c>
      <c r="AL7" s="149">
        <f>IF(OR($B7="",$B7=0),"",($G7*(AL$4&lt;$I7)+$H7*(AL$4&gt;=$I7))*$C7*(1+'Property Summary'!$L$18)^('MF Rents'!AL$3-1))</f>
        <v>19000.8</v>
      </c>
      <c r="AM7" s="149">
        <f>IF(OR($B7="",$B7=0),"",($G7*(AM$4&lt;$I7)+$H7*(AM$4&gt;=$I7))*$C7*(1+'Property Summary'!$L$18)^('MF Rents'!AM$3-1))</f>
        <v>19000.8</v>
      </c>
      <c r="AN7" s="149">
        <f>IF(OR($B7="",$B7=0),"",($G7*(AN$4&lt;$I7)+$H7*(AN$4&gt;=$I7))*$C7*(1+'Property Summary'!$L$18)^('MF Rents'!AN$3-1))</f>
        <v>19000.8</v>
      </c>
      <c r="AO7" s="149">
        <f>IF(OR($B7="",$B7=0),"",($G7*(AO$4&lt;$I7)+$H7*(AO$4&gt;=$I7))*$C7*(1+'Property Summary'!$L$18)^('MF Rents'!AO$3-1))</f>
        <v>19000.8</v>
      </c>
      <c r="AP7" s="149">
        <f>IF(OR($B7="",$B7=0),"",($G7*(AP$4&lt;$I7)+$H7*(AP$4&gt;=$I7))*$C7*(1+'Property Summary'!$L$18)^('MF Rents'!AP$3-1))</f>
        <v>19000.8</v>
      </c>
      <c r="AQ7" s="149">
        <f>IF(OR($B7="",$B7=0),"",($G7*(AQ$4&lt;$I7)+$H7*(AQ$4&gt;=$I7))*$C7*(1+'Property Summary'!$L$18)^('MF Rents'!AQ$3-1))</f>
        <v>19000.8</v>
      </c>
      <c r="AR7" s="149">
        <f>IF(OR($B7="",$B7=0),"",($G7*(AR$4&lt;$I7)+$H7*(AR$4&gt;=$I7))*$C7*(1+'Property Summary'!$L$18)^('MF Rents'!AR$3-1))</f>
        <v>19000.8</v>
      </c>
      <c r="AS7" s="149">
        <f>IF(OR($B7="",$B7=0),"",($G7*(AS$4&lt;$I7)+$H7*(AS$4&gt;=$I7))*$C7*(1+'Property Summary'!$L$18)^('MF Rents'!AS$3-1))</f>
        <v>19285.811999999994</v>
      </c>
      <c r="AT7" s="149">
        <f>IF(OR($B7="",$B7=0),"",($G7*(AT$4&lt;$I7)+$H7*(AT$4&gt;=$I7))*$C7*(1+'Property Summary'!$L$18)^('MF Rents'!AT$3-1))</f>
        <v>19285.811999999994</v>
      </c>
      <c r="AU7" s="149">
        <f>IF(OR($B7="",$B7=0),"",($G7*(AU$4&lt;$I7)+$H7*(AU$4&gt;=$I7))*$C7*(1+'Property Summary'!$L$18)^('MF Rents'!AU$3-1))</f>
        <v>19285.811999999994</v>
      </c>
      <c r="AV7" s="149">
        <f>IF(OR($B7="",$B7=0),"",($G7*(AV$4&lt;$I7)+$H7*(AV$4&gt;=$I7))*$C7*(1+'Property Summary'!$L$18)^('MF Rents'!AV$3-1))</f>
        <v>19285.811999999994</v>
      </c>
      <c r="AW7" s="149">
        <f>IF(OR($B7="",$B7=0),"",($G7*(AW$4&lt;$I7)+$H7*(AW$4&gt;=$I7))*$C7*(1+'Property Summary'!$L$18)^('MF Rents'!AW$3-1))</f>
        <v>19285.811999999994</v>
      </c>
      <c r="AX7" s="149">
        <f>IF(OR($B7="",$B7=0),"",($G7*(AX$4&lt;$I7)+$H7*(AX$4&gt;=$I7))*$C7*(1+'Property Summary'!$L$18)^('MF Rents'!AX$3-1))</f>
        <v>19285.811999999994</v>
      </c>
      <c r="AY7" s="149">
        <f>IF(OR($B7="",$B7=0),"",($G7*(AY$4&lt;$I7)+$H7*(AY$4&gt;=$I7))*$C7*(1+'Property Summary'!$L$18)^('MF Rents'!AY$3-1))</f>
        <v>19285.811999999994</v>
      </c>
      <c r="AZ7" s="149">
        <f>IF(OR($B7="",$B7=0),"",($G7*(AZ$4&lt;$I7)+$H7*(AZ$4&gt;=$I7))*$C7*(1+'Property Summary'!$L$18)^('MF Rents'!AZ$3-1))</f>
        <v>19285.811999999994</v>
      </c>
      <c r="BA7" s="149">
        <f>IF(OR($B7="",$B7=0),"",($G7*(BA$4&lt;$I7)+$H7*(BA$4&gt;=$I7))*$C7*(1+'Property Summary'!$L$18)^('MF Rents'!BA$3-1))</f>
        <v>19285.811999999994</v>
      </c>
      <c r="BB7" s="149">
        <f>IF(OR($B7="",$B7=0),"",($G7*(BB$4&lt;$I7)+$H7*(BB$4&gt;=$I7))*$C7*(1+'Property Summary'!$L$18)^('MF Rents'!BB$3-1))</f>
        <v>19285.811999999994</v>
      </c>
      <c r="BC7" s="149">
        <f>IF(OR($B7="",$B7=0),"",($G7*(BC$4&lt;$I7)+$H7*(BC$4&gt;=$I7))*$C7*(1+'Property Summary'!$L$18)^('MF Rents'!BC$3-1))</f>
        <v>19285.811999999994</v>
      </c>
      <c r="BD7" s="149">
        <f>IF(OR($B7="",$B7=0),"",($G7*(BD$4&lt;$I7)+$H7*(BD$4&gt;=$I7))*$C7*(1+'Property Summary'!$L$18)^('MF Rents'!BD$3-1))</f>
        <v>19285.811999999994</v>
      </c>
      <c r="BE7" s="149">
        <f>IF(OR($B7="",$B7=0),"",($G7*(BE$4&lt;$I7)+$H7*(BE$4&gt;=$I7))*$C7*(1+'Property Summary'!$L$18)^('MF Rents'!BE$3-1))</f>
        <v>19575.099179999994</v>
      </c>
      <c r="BF7" s="149">
        <f>IF(OR($B7="",$B7=0),"",($G7*(BF$4&lt;$I7)+$H7*(BF$4&gt;=$I7))*$C7*(1+'Property Summary'!$L$18)^('MF Rents'!BF$3-1))</f>
        <v>19575.099179999994</v>
      </c>
      <c r="BG7" s="149">
        <f>IF(OR($B7="",$B7=0),"",($G7*(BG$4&lt;$I7)+$H7*(BG$4&gt;=$I7))*$C7*(1+'Property Summary'!$L$18)^('MF Rents'!BG$3-1))</f>
        <v>19575.099179999994</v>
      </c>
      <c r="BH7" s="149">
        <f>IF(OR($B7="",$B7=0),"",($G7*(BH$4&lt;$I7)+$H7*(BH$4&gt;=$I7))*$C7*(1+'Property Summary'!$L$18)^('MF Rents'!BH$3-1))</f>
        <v>19575.099179999994</v>
      </c>
      <c r="BI7" s="149">
        <f>IF(OR($B7="",$B7=0),"",($G7*(BI$4&lt;$I7)+$H7*(BI$4&gt;=$I7))*$C7*(1+'Property Summary'!$L$18)^('MF Rents'!BI$3-1))</f>
        <v>19575.099179999994</v>
      </c>
      <c r="BJ7" s="149">
        <f>IF(OR($B7="",$B7=0),"",($G7*(BJ$4&lt;$I7)+$H7*(BJ$4&gt;=$I7))*$C7*(1+'Property Summary'!$L$18)^('MF Rents'!BJ$3-1))</f>
        <v>19575.099179999994</v>
      </c>
      <c r="BK7" s="149">
        <f>IF(OR($B7="",$B7=0),"",($G7*(BK$4&lt;$I7)+$H7*(BK$4&gt;=$I7))*$C7*(1+'Property Summary'!$L$18)^('MF Rents'!BK$3-1))</f>
        <v>19575.099179999994</v>
      </c>
      <c r="BL7" s="149">
        <f>IF(OR($B7="",$B7=0),"",($G7*(BL$4&lt;$I7)+$H7*(BL$4&gt;=$I7))*$C7*(1+'Property Summary'!$L$18)^('MF Rents'!BL$3-1))</f>
        <v>19575.099179999994</v>
      </c>
      <c r="BM7" s="149">
        <f>IF(OR($B7="",$B7=0),"",($G7*(BM$4&lt;$I7)+$H7*(BM$4&gt;=$I7))*$C7*(1+'Property Summary'!$L$18)^('MF Rents'!BM$3-1))</f>
        <v>19575.099179999994</v>
      </c>
      <c r="BN7" s="149">
        <f>IF(OR($B7="",$B7=0),"",($G7*(BN$4&lt;$I7)+$H7*(BN$4&gt;=$I7))*$C7*(1+'Property Summary'!$L$18)^('MF Rents'!BN$3-1))</f>
        <v>19575.099179999994</v>
      </c>
      <c r="BO7" s="149">
        <f>IF(OR($B7="",$B7=0),"",($G7*(BO$4&lt;$I7)+$H7*(BO$4&gt;=$I7))*$C7*(1+'Property Summary'!$L$18)^('MF Rents'!BO$3-1))</f>
        <v>19575.099179999994</v>
      </c>
      <c r="BP7" s="149">
        <f>IF(OR($B7="",$B7=0),"",($G7*(BP$4&lt;$I7)+$H7*(BP$4&gt;=$I7))*$C7*(1+'Property Summary'!$L$18)^('MF Rents'!BP$3-1))</f>
        <v>19575.099179999994</v>
      </c>
      <c r="BQ7" s="149">
        <f>IF(OR($B7="",$B7=0),"",($G7*(BQ$4&lt;$I7)+$H7*(BQ$4&gt;=$I7))*$C7*(1+'Property Summary'!$L$18)^('MF Rents'!BQ$3-1))</f>
        <v>19868.72566769999</v>
      </c>
      <c r="BR7" s="149">
        <f>IF(OR($B7="",$B7=0),"",($G7*(BR$4&lt;$I7)+$H7*(BR$4&gt;=$I7))*$C7*(1+'Property Summary'!$L$18)^('MF Rents'!BR$3-1))</f>
        <v>19868.72566769999</v>
      </c>
      <c r="BS7" s="149">
        <f>IF(OR($B7="",$B7=0),"",($G7*(BS$4&lt;$I7)+$H7*(BS$4&gt;=$I7))*$C7*(1+'Property Summary'!$L$18)^('MF Rents'!BS$3-1))</f>
        <v>19868.72566769999</v>
      </c>
      <c r="BT7" s="149">
        <f>IF(OR($B7="",$B7=0),"",($G7*(BT$4&lt;$I7)+$H7*(BT$4&gt;=$I7))*$C7*(1+'Property Summary'!$L$18)^('MF Rents'!BT$3-1))</f>
        <v>19868.72566769999</v>
      </c>
      <c r="BU7" s="149">
        <f>IF(OR($B7="",$B7=0),"",($G7*(BU$4&lt;$I7)+$H7*(BU$4&gt;=$I7))*$C7*(1+'Property Summary'!$L$18)^('MF Rents'!BU$3-1))</f>
        <v>19868.72566769999</v>
      </c>
      <c r="BV7" s="149">
        <f>IF(OR($B7="",$B7=0),"",($G7*(BV$4&lt;$I7)+$H7*(BV$4&gt;=$I7))*$C7*(1+'Property Summary'!$L$18)^('MF Rents'!BV$3-1))</f>
        <v>19868.72566769999</v>
      </c>
      <c r="BW7" s="149">
        <f>IF(OR($B7="",$B7=0),"",($G7*(BW$4&lt;$I7)+$H7*(BW$4&gt;=$I7))*$C7*(1+'Property Summary'!$L$18)^('MF Rents'!BW$3-1))</f>
        <v>19868.72566769999</v>
      </c>
      <c r="BX7" s="149">
        <f>IF(OR($B7="",$B7=0),"",($G7*(BX$4&lt;$I7)+$H7*(BX$4&gt;=$I7))*$C7*(1+'Property Summary'!$L$18)^('MF Rents'!BX$3-1))</f>
        <v>19868.72566769999</v>
      </c>
      <c r="BY7" s="149">
        <f>IF(OR($B7="",$B7=0),"",($G7*(BY$4&lt;$I7)+$H7*(BY$4&gt;=$I7))*$C7*(1+'Property Summary'!$L$18)^('MF Rents'!BY$3-1))</f>
        <v>19868.72566769999</v>
      </c>
      <c r="BZ7" s="149">
        <f>IF(OR($B7="",$B7=0),"",($G7*(BZ$4&lt;$I7)+$H7*(BZ$4&gt;=$I7))*$C7*(1+'Property Summary'!$L$18)^('MF Rents'!BZ$3-1))</f>
        <v>19868.72566769999</v>
      </c>
      <c r="CA7" s="149">
        <f>IF(OR($B7="",$B7=0),"",($G7*(CA$4&lt;$I7)+$H7*(CA$4&gt;=$I7))*$C7*(1+'Property Summary'!$L$18)^('MF Rents'!CA$3-1))</f>
        <v>19868.72566769999</v>
      </c>
      <c r="CB7" s="149">
        <f>IF(OR($B7="",$B7=0),"",($G7*(CB$4&lt;$I7)+$H7*(CB$4&gt;=$I7))*$C7*(1+'Property Summary'!$L$18)^('MF Rents'!CB$3-1))</f>
        <v>19868.72566769999</v>
      </c>
      <c r="CC7" s="149">
        <f>IF(OR($B7="",$B7=0),"",($G7*(CC$4&lt;$I7)+$H7*(CC$4&gt;=$I7))*$C7*(1+'Property Summary'!$L$18)^('MF Rents'!CC$3-1))</f>
        <v>20166.756552715487</v>
      </c>
      <c r="CD7" s="149">
        <f>IF(OR($B7="",$B7=0),"",($G7*(CD$4&lt;$I7)+$H7*(CD$4&gt;=$I7))*$C7*(1+'Property Summary'!$L$18)^('MF Rents'!CD$3-1))</f>
        <v>20166.756552715487</v>
      </c>
      <c r="CE7" s="149">
        <f>IF(OR($B7="",$B7=0),"",($G7*(CE$4&lt;$I7)+$H7*(CE$4&gt;=$I7))*$C7*(1+'Property Summary'!$L$18)^('MF Rents'!CE$3-1))</f>
        <v>20166.756552715487</v>
      </c>
      <c r="CF7" s="149">
        <f>IF(OR($B7="",$B7=0),"",($G7*(CF$4&lt;$I7)+$H7*(CF$4&gt;=$I7))*$C7*(1+'Property Summary'!$L$18)^('MF Rents'!CF$3-1))</f>
        <v>20166.756552715487</v>
      </c>
      <c r="CG7" s="149">
        <f>IF(OR($B7="",$B7=0),"",($G7*(CG$4&lt;$I7)+$H7*(CG$4&gt;=$I7))*$C7*(1+'Property Summary'!$L$18)^('MF Rents'!CG$3-1))</f>
        <v>20166.756552715487</v>
      </c>
      <c r="CH7" s="149">
        <f>IF(OR($B7="",$B7=0),"",($G7*(CH$4&lt;$I7)+$H7*(CH$4&gt;=$I7))*$C7*(1+'Property Summary'!$L$18)^('MF Rents'!CH$3-1))</f>
        <v>20166.756552715487</v>
      </c>
      <c r="CI7" s="149">
        <f>IF(OR($B7="",$B7=0),"",($G7*(CI$4&lt;$I7)+$H7*(CI$4&gt;=$I7))*$C7*(1+'Property Summary'!$L$18)^('MF Rents'!CI$3-1))</f>
        <v>20166.756552715487</v>
      </c>
      <c r="CJ7" s="149">
        <f>IF(OR($B7="",$B7=0),"",($G7*(CJ$4&lt;$I7)+$H7*(CJ$4&gt;=$I7))*$C7*(1+'Property Summary'!$L$18)^('MF Rents'!CJ$3-1))</f>
        <v>20166.756552715487</v>
      </c>
      <c r="CK7" s="149">
        <f>IF(OR($B7="",$B7=0),"",($G7*(CK$4&lt;$I7)+$H7*(CK$4&gt;=$I7))*$C7*(1+'Property Summary'!$L$18)^('MF Rents'!CK$3-1))</f>
        <v>20166.756552715487</v>
      </c>
      <c r="CL7" s="149">
        <f>IF(OR($B7="",$B7=0),"",($G7*(CL$4&lt;$I7)+$H7*(CL$4&gt;=$I7))*$C7*(1+'Property Summary'!$L$18)^('MF Rents'!CL$3-1))</f>
        <v>20166.756552715487</v>
      </c>
      <c r="CM7" s="149">
        <f>IF(OR($B7="",$B7=0),"",($G7*(CM$4&lt;$I7)+$H7*(CM$4&gt;=$I7))*$C7*(1+'Property Summary'!$L$18)^('MF Rents'!CM$3-1))</f>
        <v>20166.756552715487</v>
      </c>
      <c r="CN7" s="149">
        <f>IF(OR($B7="",$B7=0),"",($G7*(CN$4&lt;$I7)+$H7*(CN$4&gt;=$I7))*$C7*(1+'Property Summary'!$L$18)^('MF Rents'!CN$3-1))</f>
        <v>20166.756552715487</v>
      </c>
      <c r="CO7" s="149">
        <f>IF(OR($B7="",$B7=0),"",($G7*(CO$4&lt;$I7)+$H7*(CO$4&gt;=$I7))*$C7*(1+'Property Summary'!$L$18)^('MF Rents'!CO$3-1))</f>
        <v>20469.257901006215</v>
      </c>
      <c r="CP7" s="149">
        <f>IF(OR($B7="",$B7=0),"",($G7*(CP$4&lt;$I7)+$H7*(CP$4&gt;=$I7))*$C7*(1+'Property Summary'!$L$18)^('MF Rents'!CP$3-1))</f>
        <v>20469.257901006215</v>
      </c>
      <c r="CQ7" s="149">
        <f>IF(OR($B7="",$B7=0),"",($G7*(CQ$4&lt;$I7)+$H7*(CQ$4&gt;=$I7))*$C7*(1+'Property Summary'!$L$18)^('MF Rents'!CQ$3-1))</f>
        <v>20469.257901006215</v>
      </c>
      <c r="CR7" s="149">
        <f>IF(OR($B7="",$B7=0),"",($G7*(CR$4&lt;$I7)+$H7*(CR$4&gt;=$I7))*$C7*(1+'Property Summary'!$L$18)^('MF Rents'!CR$3-1))</f>
        <v>20469.257901006215</v>
      </c>
      <c r="CS7" s="149">
        <f>IF(OR($B7="",$B7=0),"",($G7*(CS$4&lt;$I7)+$H7*(CS$4&gt;=$I7))*$C7*(1+'Property Summary'!$L$18)^('MF Rents'!CS$3-1))</f>
        <v>20469.257901006215</v>
      </c>
      <c r="CT7" s="149">
        <f>IF(OR($B7="",$B7=0),"",($G7*(CT$4&lt;$I7)+$H7*(CT$4&gt;=$I7))*$C7*(1+'Property Summary'!$L$18)^('MF Rents'!CT$3-1))</f>
        <v>20469.257901006215</v>
      </c>
      <c r="CU7" s="149">
        <f>IF(OR($B7="",$B7=0),"",($G7*(CU$4&lt;$I7)+$H7*(CU$4&gt;=$I7))*$C7*(1+'Property Summary'!$L$18)^('MF Rents'!CU$3-1))</f>
        <v>20469.257901006215</v>
      </c>
      <c r="CV7" s="149">
        <f>IF(OR($B7="",$B7=0),"",($G7*(CV$4&lt;$I7)+$H7*(CV$4&gt;=$I7))*$C7*(1+'Property Summary'!$L$18)^('MF Rents'!CV$3-1))</f>
        <v>20469.257901006215</v>
      </c>
      <c r="CW7" s="149">
        <f>IF(OR($B7="",$B7=0),"",($G7*(CW$4&lt;$I7)+$H7*(CW$4&gt;=$I7))*$C7*(1+'Property Summary'!$L$18)^('MF Rents'!CW$3-1))</f>
        <v>20469.257901006215</v>
      </c>
      <c r="CX7" s="149">
        <f>IF(OR($B7="",$B7=0),"",($G7*(CX$4&lt;$I7)+$H7*(CX$4&gt;=$I7))*$C7*(1+'Property Summary'!$L$18)^('MF Rents'!CX$3-1))</f>
        <v>20469.257901006215</v>
      </c>
      <c r="CY7" s="149">
        <f>IF(OR($B7="",$B7=0),"",($G7*(CY$4&lt;$I7)+$H7*(CY$4&gt;=$I7))*$C7*(1+'Property Summary'!$L$18)^('MF Rents'!CY$3-1))</f>
        <v>20469.257901006215</v>
      </c>
      <c r="CZ7" s="149">
        <f>IF(OR($B7="",$B7=0),"",($G7*(CZ$4&lt;$I7)+$H7*(CZ$4&gt;=$I7))*$C7*(1+'Property Summary'!$L$18)^('MF Rents'!CZ$3-1))</f>
        <v>20469.257901006215</v>
      </c>
      <c r="DA7" s="149">
        <f>IF(OR($B7="",$B7=0),"",($G7*(DA$4&lt;$I7)+$H7*(DA$4&gt;=$I7))*$C7*(1+'Property Summary'!$L$18)^('MF Rents'!DA$3-1))</f>
        <v>20776.296769521305</v>
      </c>
      <c r="DB7" s="149">
        <f>IF(OR($B7="",$B7=0),"",($G7*(DB$4&lt;$I7)+$H7*(DB$4&gt;=$I7))*$C7*(1+'Property Summary'!$L$18)^('MF Rents'!DB$3-1))</f>
        <v>20776.296769521305</v>
      </c>
      <c r="DC7" s="149">
        <f>IF(OR($B7="",$B7=0),"",($G7*(DC$4&lt;$I7)+$H7*(DC$4&gt;=$I7))*$C7*(1+'Property Summary'!$L$18)^('MF Rents'!DC$3-1))</f>
        <v>20776.296769521305</v>
      </c>
      <c r="DD7" s="149">
        <f>IF(OR($B7="",$B7=0),"",($G7*(DD$4&lt;$I7)+$H7*(DD$4&gt;=$I7))*$C7*(1+'Property Summary'!$L$18)^('MF Rents'!DD$3-1))</f>
        <v>20776.296769521305</v>
      </c>
      <c r="DE7" s="149">
        <f>IF(OR($B7="",$B7=0),"",($G7*(DE$4&lt;$I7)+$H7*(DE$4&gt;=$I7))*$C7*(1+'Property Summary'!$L$18)^('MF Rents'!DE$3-1))</f>
        <v>20776.296769521305</v>
      </c>
      <c r="DF7" s="149">
        <f>IF(OR($B7="",$B7=0),"",($G7*(DF$4&lt;$I7)+$H7*(DF$4&gt;=$I7))*$C7*(1+'Property Summary'!$L$18)^('MF Rents'!DF$3-1))</f>
        <v>20776.296769521305</v>
      </c>
      <c r="DG7" s="149">
        <f>IF(OR($B7="",$B7=0),"",($G7*(DG$4&lt;$I7)+$H7*(DG$4&gt;=$I7))*$C7*(1+'Property Summary'!$L$18)^('MF Rents'!DG$3-1))</f>
        <v>20776.296769521305</v>
      </c>
      <c r="DH7" s="149">
        <f>IF(OR($B7="",$B7=0),"",($G7*(DH$4&lt;$I7)+$H7*(DH$4&gt;=$I7))*$C7*(1+'Property Summary'!$L$18)^('MF Rents'!DH$3-1))</f>
        <v>20776.296769521305</v>
      </c>
      <c r="DI7" s="149">
        <f>IF(OR($B7="",$B7=0),"",($G7*(DI$4&lt;$I7)+$H7*(DI$4&gt;=$I7))*$C7*(1+'Property Summary'!$L$18)^('MF Rents'!DI$3-1))</f>
        <v>20776.296769521305</v>
      </c>
      <c r="DJ7" s="149">
        <f>IF(OR($B7="",$B7=0),"",($G7*(DJ$4&lt;$I7)+$H7*(DJ$4&gt;=$I7))*$C7*(1+'Property Summary'!$L$18)^('MF Rents'!DJ$3-1))</f>
        <v>20776.296769521305</v>
      </c>
      <c r="DK7" s="149">
        <f>IF(OR($B7="",$B7=0),"",($G7*(DK$4&lt;$I7)+$H7*(DK$4&gt;=$I7))*$C7*(1+'Property Summary'!$L$18)^('MF Rents'!DK$3-1))</f>
        <v>20776.296769521305</v>
      </c>
      <c r="DL7" s="149">
        <f>IF(OR($B7="",$B7=0),"",($G7*(DL$4&lt;$I7)+$H7*(DL$4&gt;=$I7))*$C7*(1+'Property Summary'!$L$18)^('MF Rents'!DL$3-1))</f>
        <v>20776.296769521305</v>
      </c>
      <c r="DM7" s="149">
        <f>IF(OR($B7="",$B7=0),"",($G7*(DM$4&lt;$I7)+$H7*(DM$4&gt;=$I7))*$C7*(1+'Property Summary'!$L$18)^('MF Rents'!DM$3-1))</f>
        <v>21087.941221064124</v>
      </c>
      <c r="DN7" s="149">
        <f>IF(OR($B7="",$B7=0),"",($G7*(DN$4&lt;$I7)+$H7*(DN$4&gt;=$I7))*$C7*(1+'Property Summary'!$L$18)^('MF Rents'!DN$3-1))</f>
        <v>21087.941221064124</v>
      </c>
      <c r="DO7" s="149">
        <f>IF(OR($B7="",$B7=0),"",($G7*(DO$4&lt;$I7)+$H7*(DO$4&gt;=$I7))*$C7*(1+'Property Summary'!$L$18)^('MF Rents'!DO$3-1))</f>
        <v>21087.941221064124</v>
      </c>
      <c r="DP7" s="149">
        <f>IF(OR($B7="",$B7=0),"",($G7*(DP$4&lt;$I7)+$H7*(DP$4&gt;=$I7))*$C7*(1+'Property Summary'!$L$18)^('MF Rents'!DP$3-1))</f>
        <v>21087.941221064124</v>
      </c>
      <c r="DQ7" s="149">
        <f>IF(OR($B7="",$B7=0),"",($G7*(DQ$4&lt;$I7)+$H7*(DQ$4&gt;=$I7))*$C7*(1+'Property Summary'!$L$18)^('MF Rents'!DQ$3-1))</f>
        <v>21087.941221064124</v>
      </c>
      <c r="DR7" s="149">
        <f>IF(OR($B7="",$B7=0),"",($G7*(DR$4&lt;$I7)+$H7*(DR$4&gt;=$I7))*$C7*(1+'Property Summary'!$L$18)^('MF Rents'!DR$3-1))</f>
        <v>21087.941221064124</v>
      </c>
      <c r="DS7" s="149">
        <f>IF(OR($B7="",$B7=0),"",($G7*(DS$4&lt;$I7)+$H7*(DS$4&gt;=$I7))*$C7*(1+'Property Summary'!$L$18)^('MF Rents'!DS$3-1))</f>
        <v>21087.941221064124</v>
      </c>
      <c r="DT7" s="149">
        <f>IF(OR($B7="",$B7=0),"",($G7*(DT$4&lt;$I7)+$H7*(DT$4&gt;=$I7))*$C7*(1+'Property Summary'!$L$18)^('MF Rents'!DT$3-1))</f>
        <v>21087.941221064124</v>
      </c>
      <c r="DU7" s="149">
        <f>IF(OR($B7="",$B7=0),"",($G7*(DU$4&lt;$I7)+$H7*(DU$4&gt;=$I7))*$C7*(1+'Property Summary'!$L$18)^('MF Rents'!DU$3-1))</f>
        <v>21087.941221064124</v>
      </c>
      <c r="DV7" s="149">
        <f>IF(OR($B7="",$B7=0),"",($G7*(DV$4&lt;$I7)+$H7*(DV$4&gt;=$I7))*$C7*(1+'Property Summary'!$L$18)^('MF Rents'!DV$3-1))</f>
        <v>21087.941221064124</v>
      </c>
      <c r="DW7" s="149">
        <f>IF(OR($B7="",$B7=0),"",($G7*(DW$4&lt;$I7)+$H7*(DW$4&gt;=$I7))*$C7*(1+'Property Summary'!$L$18)^('MF Rents'!DW$3-1))</f>
        <v>21087.941221064124</v>
      </c>
      <c r="DX7" s="149">
        <f>IF(OR($B7="",$B7=0),"",($G7*(DX$4&lt;$I7)+$H7*(DX$4&gt;=$I7))*$C7*(1+'Property Summary'!$L$18)^('MF Rents'!DX$3-1))</f>
        <v>21087.941221064124</v>
      </c>
      <c r="DY7" s="149">
        <f>IF(OR($B7="",$B7=0),"",($G7*(DY$4&lt;$I7)+$H7*(DY$4&gt;=$I7))*$C7*(1+'Property Summary'!$L$18)^('MF Rents'!DY$3-1))</f>
        <v>21404.260339380082</v>
      </c>
      <c r="DZ7" s="149">
        <f>IF(OR($B7="",$B7=0),"",($G7*(DZ$4&lt;$I7)+$H7*(DZ$4&gt;=$I7))*$C7*(1+'Property Summary'!$L$18)^('MF Rents'!DZ$3-1))</f>
        <v>21404.260339380082</v>
      </c>
      <c r="EA7" s="149">
        <f>IF(OR($B7="",$B7=0),"",($G7*(EA$4&lt;$I7)+$H7*(EA$4&gt;=$I7))*$C7*(1+'Property Summary'!$L$18)^('MF Rents'!EA$3-1))</f>
        <v>21404.260339380082</v>
      </c>
      <c r="EB7" s="149">
        <f>IF(OR($B7="",$B7=0),"",($G7*(EB$4&lt;$I7)+$H7*(EB$4&gt;=$I7))*$C7*(1+'Property Summary'!$L$18)^('MF Rents'!EB$3-1))</f>
        <v>21404.260339380082</v>
      </c>
      <c r="EC7" s="149">
        <f>IF(OR($B7="",$B7=0),"",($G7*(EC$4&lt;$I7)+$H7*(EC$4&gt;=$I7))*$C7*(1+'Property Summary'!$L$18)^('MF Rents'!EC$3-1))</f>
        <v>21404.260339380082</v>
      </c>
      <c r="ED7" s="149">
        <f>IF(OR($B7="",$B7=0),"",($G7*(ED$4&lt;$I7)+$H7*(ED$4&gt;=$I7))*$C7*(1+'Property Summary'!$L$18)^('MF Rents'!ED$3-1))</f>
        <v>21404.260339380082</v>
      </c>
      <c r="EE7" s="149">
        <f>IF(OR($B7="",$B7=0),"",($G7*(EE$4&lt;$I7)+$H7*(EE$4&gt;=$I7))*$C7*(1+'Property Summary'!$L$18)^('MF Rents'!EE$3-1))</f>
        <v>21404.260339380082</v>
      </c>
      <c r="EF7" s="149">
        <f>IF(OR($B7="",$B7=0),"",($G7*(EF$4&lt;$I7)+$H7*(EF$4&gt;=$I7))*$C7*(1+'Property Summary'!$L$18)^('MF Rents'!EF$3-1))</f>
        <v>21404.260339380082</v>
      </c>
      <c r="EG7" s="149">
        <f>IF(OR($B7="",$B7=0),"",($G7*(EG$4&lt;$I7)+$H7*(EG$4&gt;=$I7))*$C7*(1+'Property Summary'!$L$18)^('MF Rents'!EG$3-1))</f>
        <v>21404.260339380082</v>
      </c>
      <c r="EH7" s="149">
        <f>IF(OR($B7="",$B7=0),"",($G7*(EH$4&lt;$I7)+$H7*(EH$4&gt;=$I7))*$C7*(1+'Property Summary'!$L$18)^('MF Rents'!EH$3-1))</f>
        <v>21404.260339380082</v>
      </c>
      <c r="EI7" s="149">
        <f>IF(OR($B7="",$B7=0),"",($G7*(EI$4&lt;$I7)+$H7*(EI$4&gt;=$I7))*$C7*(1+'Property Summary'!$L$18)^('MF Rents'!EI$3-1))</f>
        <v>21404.260339380082</v>
      </c>
      <c r="EJ7" s="149">
        <f>IF(OR($B7="",$B7=0),"",($G7*(EJ$4&lt;$I7)+$H7*(EJ$4&gt;=$I7))*$C7*(1+'Property Summary'!$L$18)^('MF Rents'!EJ$3-1))</f>
        <v>21404.260339380082</v>
      </c>
      <c r="EK7" s="149">
        <f>IF(OR($B7="",$B7=0),"",($G7*(EK$4&lt;$I7)+$H7*(EK$4&gt;=$I7))*$C7*(1+'Property Summary'!$L$18)^('MF Rents'!EK$3-1))</f>
        <v>21725.324244470779</v>
      </c>
      <c r="EL7" s="149">
        <f>IF(OR($B7="",$B7=0),"",($G7*(EL$4&lt;$I7)+$H7*(EL$4&gt;=$I7))*$C7*(1+'Property Summary'!$L$18)^('MF Rents'!EL$3-1))</f>
        <v>21725.324244470779</v>
      </c>
      <c r="EM7" s="149">
        <f>IF(OR($B7="",$B7=0),"",($G7*(EM$4&lt;$I7)+$H7*(EM$4&gt;=$I7))*$C7*(1+'Property Summary'!$L$18)^('MF Rents'!EM$3-1))</f>
        <v>21725.324244470779</v>
      </c>
      <c r="EN7" s="149">
        <f>IF(OR($B7="",$B7=0),"",($G7*(EN$4&lt;$I7)+$H7*(EN$4&gt;=$I7))*$C7*(1+'Property Summary'!$L$18)^('MF Rents'!EN$3-1))</f>
        <v>21725.324244470779</v>
      </c>
      <c r="EO7" s="149">
        <f>IF(OR($B7="",$B7=0),"",($G7*(EO$4&lt;$I7)+$H7*(EO$4&gt;=$I7))*$C7*(1+'Property Summary'!$L$18)^('MF Rents'!EO$3-1))</f>
        <v>21725.324244470779</v>
      </c>
      <c r="EP7" s="149">
        <f>IF(OR($B7="",$B7=0),"",($G7*(EP$4&lt;$I7)+$H7*(EP$4&gt;=$I7))*$C7*(1+'Property Summary'!$L$18)^('MF Rents'!EP$3-1))</f>
        <v>21725.324244470779</v>
      </c>
      <c r="EQ7" s="149">
        <f>IF(OR($B7="",$B7=0),"",($G7*(EQ$4&lt;$I7)+$H7*(EQ$4&gt;=$I7))*$C7*(1+'Property Summary'!$L$18)^('MF Rents'!EQ$3-1))</f>
        <v>21725.324244470779</v>
      </c>
      <c r="ER7" s="149">
        <f>IF(OR($B7="",$B7=0),"",($G7*(ER$4&lt;$I7)+$H7*(ER$4&gt;=$I7))*$C7*(1+'Property Summary'!$L$18)^('MF Rents'!ER$3-1))</f>
        <v>21725.324244470779</v>
      </c>
      <c r="ES7" s="149">
        <f>IF(OR($B7="",$B7=0),"",($G7*(ES$4&lt;$I7)+$H7*(ES$4&gt;=$I7))*$C7*(1+'Property Summary'!$L$18)^('MF Rents'!ES$3-1))</f>
        <v>21725.324244470779</v>
      </c>
      <c r="ET7" s="149">
        <f>IF(OR($B7="",$B7=0),"",($G7*(ET$4&lt;$I7)+$H7*(ET$4&gt;=$I7))*$C7*(1+'Property Summary'!$L$18)^('MF Rents'!ET$3-1))</f>
        <v>21725.324244470779</v>
      </c>
      <c r="EU7" s="149">
        <f>IF(OR($B7="",$B7=0),"",($G7*(EU$4&lt;$I7)+$H7*(EU$4&gt;=$I7))*$C7*(1+'Property Summary'!$L$18)^('MF Rents'!EU$3-1))</f>
        <v>21725.324244470779</v>
      </c>
      <c r="EV7" s="149">
        <f>IF(OR($B7="",$B7=0),"",($G7*(EV$4&lt;$I7)+$H7*(EV$4&gt;=$I7))*$C7*(1+'Property Summary'!$L$18)^('MF Rents'!EV$3-1))</f>
        <v>21725.324244470779</v>
      </c>
      <c r="EW7" s="149">
        <f>IF(OR($B7="",$B7=0),"",($G7*(EW$4&lt;$I7)+$H7*(EW$4&gt;=$I7))*$C7*(1+'Property Summary'!$L$18)^('MF Rents'!EW$3-1))</f>
        <v>22051.204108137841</v>
      </c>
      <c r="EX7" s="149">
        <f>IF(OR($B7="",$B7=0),"",($G7*(EX$4&lt;$I7)+$H7*(EX$4&gt;=$I7))*$C7*(1+'Property Summary'!$L$18)^('MF Rents'!EX$3-1))</f>
        <v>22051.204108137841</v>
      </c>
      <c r="EY7" s="149">
        <f>IF(OR($B7="",$B7=0),"",($G7*(EY$4&lt;$I7)+$H7*(EY$4&gt;=$I7))*$C7*(1+'Property Summary'!$L$18)^('MF Rents'!EY$3-1))</f>
        <v>22051.204108137841</v>
      </c>
      <c r="EZ7" s="149">
        <f>IF(OR($B7="",$B7=0),"",($G7*(EZ$4&lt;$I7)+$H7*(EZ$4&gt;=$I7))*$C7*(1+'Property Summary'!$L$18)^('MF Rents'!EZ$3-1))</f>
        <v>22051.204108137841</v>
      </c>
      <c r="FA7" s="149">
        <f>IF(OR($B7="",$B7=0),"",($G7*(FA$4&lt;$I7)+$H7*(FA$4&gt;=$I7))*$C7*(1+'Property Summary'!$L$18)^('MF Rents'!FA$3-1))</f>
        <v>22051.204108137841</v>
      </c>
      <c r="FB7" s="149">
        <f>IF(OR($B7="",$B7=0),"",($G7*(FB$4&lt;$I7)+$H7*(FB$4&gt;=$I7))*$C7*(1+'Property Summary'!$L$18)^('MF Rents'!FB$3-1))</f>
        <v>22051.204108137841</v>
      </c>
      <c r="FC7" s="149">
        <f>IF(OR($B7="",$B7=0),"",($G7*(FC$4&lt;$I7)+$H7*(FC$4&gt;=$I7))*$C7*(1+'Property Summary'!$L$18)^('MF Rents'!FC$3-1))</f>
        <v>22051.204108137841</v>
      </c>
      <c r="FD7" s="149">
        <f>IF(OR($B7="",$B7=0),"",($G7*(FD$4&lt;$I7)+$H7*(FD$4&gt;=$I7))*$C7*(1+'Property Summary'!$L$18)^('MF Rents'!FD$3-1))</f>
        <v>22051.204108137841</v>
      </c>
      <c r="FE7" s="149">
        <f>IF(OR($B7="",$B7=0),"",($G7*(FE$4&lt;$I7)+$H7*(FE$4&gt;=$I7))*$C7*(1+'Property Summary'!$L$18)^('MF Rents'!FE$3-1))</f>
        <v>22051.204108137841</v>
      </c>
      <c r="FF7" s="149">
        <f>IF(OR($B7="",$B7=0),"",($G7*(FF$4&lt;$I7)+$H7*(FF$4&gt;=$I7))*$C7*(1+'Property Summary'!$L$18)^('MF Rents'!FF$3-1))</f>
        <v>22051.204108137841</v>
      </c>
      <c r="FG7" s="149">
        <f>IF(OR($B7="",$B7=0),"",($G7*(FG$4&lt;$I7)+$H7*(FG$4&gt;=$I7))*$C7*(1+'Property Summary'!$L$18)^('MF Rents'!FG$3-1))</f>
        <v>22051.204108137841</v>
      </c>
      <c r="FH7" s="149">
        <f>IF(OR($B7="",$B7=0),"",($G7*(FH$4&lt;$I7)+$H7*(FH$4&gt;=$I7))*$C7*(1+'Property Summary'!$L$18)^('MF Rents'!FH$3-1))</f>
        <v>22051.204108137841</v>
      </c>
      <c r="FI7" s="149">
        <f>IF(OR($B7="",$B7=0),"",($G7*(FI$4&lt;$I7)+$H7*(FI$4&gt;=$I7))*$C7*(1+'Property Summary'!$L$18)^('MF Rents'!FI$3-1))</f>
        <v>22381.972169759902</v>
      </c>
      <c r="FJ7" s="149">
        <f>IF(OR($B7="",$B7=0),"",($G7*(FJ$4&lt;$I7)+$H7*(FJ$4&gt;=$I7))*$C7*(1+'Property Summary'!$L$18)^('MF Rents'!FJ$3-1))</f>
        <v>22381.972169759902</v>
      </c>
      <c r="FK7" s="149">
        <f>IF(OR($B7="",$B7=0),"",($G7*(FK$4&lt;$I7)+$H7*(FK$4&gt;=$I7))*$C7*(1+'Property Summary'!$L$18)^('MF Rents'!FK$3-1))</f>
        <v>22381.972169759902</v>
      </c>
      <c r="FL7" s="149">
        <f>IF(OR($B7="",$B7=0),"",($G7*(FL$4&lt;$I7)+$H7*(FL$4&gt;=$I7))*$C7*(1+'Property Summary'!$L$18)^('MF Rents'!FL$3-1))</f>
        <v>22381.972169759902</v>
      </c>
      <c r="FM7" s="149">
        <f>IF(OR($B7="",$B7=0),"",($G7*(FM$4&lt;$I7)+$H7*(FM$4&gt;=$I7))*$C7*(1+'Property Summary'!$L$18)^('MF Rents'!FM$3-1))</f>
        <v>22381.972169759902</v>
      </c>
      <c r="FN7" s="149">
        <f>IF(OR($B7="",$B7=0),"",($G7*(FN$4&lt;$I7)+$H7*(FN$4&gt;=$I7))*$C7*(1+'Property Summary'!$L$18)^('MF Rents'!FN$3-1))</f>
        <v>22381.972169759902</v>
      </c>
      <c r="FO7" s="149">
        <f>IF(OR($B7="",$B7=0),"",($G7*(FO$4&lt;$I7)+$H7*(FO$4&gt;=$I7))*$C7*(1+'Property Summary'!$L$18)^('MF Rents'!FO$3-1))</f>
        <v>22381.972169759902</v>
      </c>
      <c r="FP7" s="149">
        <f>IF(OR($B7="",$B7=0),"",($G7*(FP$4&lt;$I7)+$H7*(FP$4&gt;=$I7))*$C7*(1+'Property Summary'!$L$18)^('MF Rents'!FP$3-1))</f>
        <v>22381.972169759902</v>
      </c>
      <c r="FQ7" s="149">
        <f>IF(OR($B7="",$B7=0),"",($G7*(FQ$4&lt;$I7)+$H7*(FQ$4&gt;=$I7))*$C7*(1+'Property Summary'!$L$18)^('MF Rents'!FQ$3-1))</f>
        <v>22381.972169759902</v>
      </c>
      <c r="FR7" s="149">
        <f>IF(OR($B7="",$B7=0),"",($G7*(FR$4&lt;$I7)+$H7*(FR$4&gt;=$I7))*$C7*(1+'Property Summary'!$L$18)^('MF Rents'!FR$3-1))</f>
        <v>22381.972169759902</v>
      </c>
      <c r="FS7" s="149">
        <f>IF(OR($B7="",$B7=0),"",($G7*(FS$4&lt;$I7)+$H7*(FS$4&gt;=$I7))*$C7*(1+'Property Summary'!$L$18)^('MF Rents'!FS$3-1))</f>
        <v>22381.972169759902</v>
      </c>
      <c r="FT7" s="149">
        <f>IF(OR($B7="",$B7=0),"",($G7*(FT$4&lt;$I7)+$H7*(FT$4&gt;=$I7))*$C7*(1+'Property Summary'!$L$18)^('MF Rents'!FT$3-1))</f>
        <v>22381.972169759902</v>
      </c>
      <c r="FU7" s="149">
        <f>IF(OR($B7="",$B7=0),"",($G7*(FU$4&lt;$I7)+$H7*(FU$4&gt;=$I7))*$C7*(1+'Property Summary'!$L$18)^('MF Rents'!FU$3-1))</f>
        <v>22717.7017523063</v>
      </c>
      <c r="FV7" s="149">
        <f>IF(OR($B7="",$B7=0),"",($G7*(FV$4&lt;$I7)+$H7*(FV$4&gt;=$I7))*$C7*(1+'Property Summary'!$L$18)^('MF Rents'!FV$3-1))</f>
        <v>22717.7017523063</v>
      </c>
      <c r="FW7" s="149">
        <f>IF(OR($B7="",$B7=0),"",($G7*(FW$4&lt;$I7)+$H7*(FW$4&gt;=$I7))*$C7*(1+'Property Summary'!$L$18)^('MF Rents'!FW$3-1))</f>
        <v>22717.7017523063</v>
      </c>
      <c r="FX7" s="149">
        <f>IF(OR($B7="",$B7=0),"",($G7*(FX$4&lt;$I7)+$H7*(FX$4&gt;=$I7))*$C7*(1+'Property Summary'!$L$18)^('MF Rents'!FX$3-1))</f>
        <v>22717.7017523063</v>
      </c>
      <c r="FY7" s="149">
        <f>IF(OR($B7="",$B7=0),"",($G7*(FY$4&lt;$I7)+$H7*(FY$4&gt;=$I7))*$C7*(1+'Property Summary'!$L$18)^('MF Rents'!FY$3-1))</f>
        <v>22717.7017523063</v>
      </c>
      <c r="FZ7" s="149">
        <f>IF(OR($B7="",$B7=0),"",($G7*(FZ$4&lt;$I7)+$H7*(FZ$4&gt;=$I7))*$C7*(1+'Property Summary'!$L$18)^('MF Rents'!FZ$3-1))</f>
        <v>22717.7017523063</v>
      </c>
      <c r="GA7" s="149">
        <f>IF(OR($B7="",$B7=0),"",($G7*(GA$4&lt;$I7)+$H7*(GA$4&gt;=$I7))*$C7*(1+'Property Summary'!$L$18)^('MF Rents'!GA$3-1))</f>
        <v>22717.7017523063</v>
      </c>
      <c r="GB7" s="149">
        <f>IF(OR($B7="",$B7=0),"",($G7*(GB$4&lt;$I7)+$H7*(GB$4&gt;=$I7))*$C7*(1+'Property Summary'!$L$18)^('MF Rents'!GB$3-1))</f>
        <v>22717.7017523063</v>
      </c>
      <c r="GC7" s="149">
        <f>IF(OR($B7="",$B7=0),"",($G7*(GC$4&lt;$I7)+$H7*(GC$4&gt;=$I7))*$C7*(1+'Property Summary'!$L$18)^('MF Rents'!GC$3-1))</f>
        <v>22717.7017523063</v>
      </c>
      <c r="GD7" s="149">
        <f>IF(OR($B7="",$B7=0),"",($G7*(GD$4&lt;$I7)+$H7*(GD$4&gt;=$I7))*$C7*(1+'Property Summary'!$L$18)^('MF Rents'!GD$3-1))</f>
        <v>22717.7017523063</v>
      </c>
      <c r="GE7" s="149">
        <f>IF(OR($B7="",$B7=0),"",($G7*(GE$4&lt;$I7)+$H7*(GE$4&gt;=$I7))*$C7*(1+'Property Summary'!$L$18)^('MF Rents'!GE$3-1))</f>
        <v>22717.7017523063</v>
      </c>
      <c r="GF7" s="149">
        <f>IF(OR($B7="",$B7=0),"",($G7*(GF$4&lt;$I7)+$H7*(GF$4&gt;=$I7))*$C7*(1+'Property Summary'!$L$18)^('MF Rents'!GF$3-1))</f>
        <v>22717.7017523063</v>
      </c>
      <c r="GG7" s="149">
        <f>IF(OR($B7="",$B7=0),"",($G7*(GG$4&lt;$I7)+$H7*(GG$4&gt;=$I7))*$C7*(1+'Property Summary'!$L$18)^('MF Rents'!GG$3-1))</f>
        <v>23058.467278590888</v>
      </c>
      <c r="GH7" s="149">
        <f>IF(OR($B7="",$B7=0),"",($G7*(GH$4&lt;$I7)+$H7*(GH$4&gt;=$I7))*$C7*(1+'Property Summary'!$L$18)^('MF Rents'!GH$3-1))</f>
        <v>23058.467278590888</v>
      </c>
      <c r="GI7" s="149">
        <f>IF(OR($B7="",$B7=0),"",($G7*(GI$4&lt;$I7)+$H7*(GI$4&gt;=$I7))*$C7*(1+'Property Summary'!$L$18)^('MF Rents'!GI$3-1))</f>
        <v>23058.467278590888</v>
      </c>
      <c r="GJ7" s="149">
        <f>IF(OR($B7="",$B7=0),"",($G7*(GJ$4&lt;$I7)+$H7*(GJ$4&gt;=$I7))*$C7*(1+'Property Summary'!$L$18)^('MF Rents'!GJ$3-1))</f>
        <v>23058.467278590888</v>
      </c>
      <c r="GK7" s="149">
        <f>IF(OR($B7="",$B7=0),"",($G7*(GK$4&lt;$I7)+$H7*(GK$4&gt;=$I7))*$C7*(1+'Property Summary'!$L$18)^('MF Rents'!GK$3-1))</f>
        <v>23058.467278590888</v>
      </c>
      <c r="GL7" s="149">
        <f>IF(OR($B7="",$B7=0),"",($G7*(GL$4&lt;$I7)+$H7*(GL$4&gt;=$I7))*$C7*(1+'Property Summary'!$L$18)^('MF Rents'!GL$3-1))</f>
        <v>23058.467278590888</v>
      </c>
      <c r="GM7" s="149">
        <f>IF(OR($B7="",$B7=0),"",($G7*(GM$4&lt;$I7)+$H7*(GM$4&gt;=$I7))*$C7*(1+'Property Summary'!$L$18)^('MF Rents'!GM$3-1))</f>
        <v>23058.467278590888</v>
      </c>
      <c r="GN7" s="149">
        <f>IF(OR($B7="",$B7=0),"",($G7*(GN$4&lt;$I7)+$H7*(GN$4&gt;=$I7))*$C7*(1+'Property Summary'!$L$18)^('MF Rents'!GN$3-1))</f>
        <v>23058.467278590888</v>
      </c>
      <c r="GO7" s="149">
        <f>IF(OR($B7="",$B7=0),"",($G7*(GO$4&lt;$I7)+$H7*(GO$4&gt;=$I7))*$C7*(1+'Property Summary'!$L$18)^('MF Rents'!GO$3-1))</f>
        <v>23058.467278590888</v>
      </c>
      <c r="GP7" s="149">
        <f>IF(OR($B7="",$B7=0),"",($G7*(GP$4&lt;$I7)+$H7*(GP$4&gt;=$I7))*$C7*(1+'Property Summary'!$L$18)^('MF Rents'!GP$3-1))</f>
        <v>23058.467278590888</v>
      </c>
      <c r="GQ7" s="149">
        <f>IF(OR($B7="",$B7=0),"",($G7*(GQ$4&lt;$I7)+$H7*(GQ$4&gt;=$I7))*$C7*(1+'Property Summary'!$L$18)^('MF Rents'!GQ$3-1))</f>
        <v>23058.467278590888</v>
      </c>
      <c r="GR7" s="149">
        <f>IF(OR($B7="",$B7=0),"",($G7*(GR$4&lt;$I7)+$H7*(GR$4&gt;=$I7))*$C7*(1+'Property Summary'!$L$18)^('MF Rents'!GR$3-1))</f>
        <v>23058.467278590888</v>
      </c>
    </row>
    <row r="8" spans="2:200" x14ac:dyDescent="0.3">
      <c r="B8" s="184" t="str">
        <f>'MF Rent Roll'!B7</f>
        <v>2bd/2ba</v>
      </c>
      <c r="C8" s="171">
        <f>'MF Rent Roll'!C7</f>
        <v>24</v>
      </c>
      <c r="D8" s="172">
        <f>'MF Rent Roll'!D7</f>
        <v>2</v>
      </c>
      <c r="E8" s="172">
        <f>'MF Rent Roll'!E7</f>
        <v>2</v>
      </c>
      <c r="F8" s="173">
        <f>'MF Rent Roll'!F7</f>
        <v>945</v>
      </c>
      <c r="G8" s="174">
        <f>'MF Rent Roll'!G7</f>
        <v>850</v>
      </c>
      <c r="H8" s="174">
        <f>IF('MF Rent Roll'!H7="",G8,'MF Rent Roll'!H7)</f>
        <v>970</v>
      </c>
      <c r="I8" s="175">
        <f>IF('MF Rent Roll'!I7="",1,'MF Rent Roll'!I7)</f>
        <v>19</v>
      </c>
      <c r="J8" s="176">
        <f>'MF Rent Roll'!J7</f>
        <v>12</v>
      </c>
      <c r="K8" s="174">
        <f>'MF Rent Roll'!K7</f>
        <v>60</v>
      </c>
      <c r="L8" s="177">
        <f>'MF Rent Roll'!L7</f>
        <v>0</v>
      </c>
      <c r="M8" s="178">
        <f>'MF Rent Roll'!M7</f>
        <v>25</v>
      </c>
      <c r="N8" s="174">
        <f>'MF Rent Roll'!N7</f>
        <v>350</v>
      </c>
      <c r="O8" s="179">
        <f>'MF Rent Roll'!O7</f>
        <v>0.6</v>
      </c>
      <c r="P8" s="180">
        <f>'MF Rent Roll'!P7</f>
        <v>0</v>
      </c>
      <c r="Q8" s="181">
        <f>'MF Rent Roll'!Q7</f>
        <v>10</v>
      </c>
      <c r="R8" s="104">
        <f>'MF Rent Roll'!R7</f>
        <v>140</v>
      </c>
      <c r="U8" s="149">
        <f>IF(OR($B8="",$B8=0),"",($G8*(U$4&lt;$I8)+$H8*(U$4&gt;=$I8))*$C8*(1+'Property Summary'!$L$18)^('MF Rents'!U$3-1))</f>
        <v>20400</v>
      </c>
      <c r="V8" s="149">
        <f>IF(OR($B8="",$B8=0),"",($G8*(V$4&lt;$I8)+$H8*(V$4&gt;=$I8))*$C8*(1+'Property Summary'!$L$18)^('MF Rents'!V$3-1))</f>
        <v>20400</v>
      </c>
      <c r="W8" s="149">
        <f>IF(OR($B8="",$B8=0),"",($G8*(W$4&lt;$I8)+$H8*(W$4&gt;=$I8))*$C8*(1+'Property Summary'!$L$18)^('MF Rents'!W$3-1))</f>
        <v>20400</v>
      </c>
      <c r="X8" s="149">
        <f>IF(OR($B8="",$B8=0),"",($G8*(X$4&lt;$I8)+$H8*(X$4&gt;=$I8))*$C8*(1+'Property Summary'!$L$18)^('MF Rents'!X$3-1))</f>
        <v>20400</v>
      </c>
      <c r="Y8" s="149">
        <f>IF(OR($B8="",$B8=0),"",($G8*(Y$4&lt;$I8)+$H8*(Y$4&gt;=$I8))*$C8*(1+'Property Summary'!$L$18)^('MF Rents'!Y$3-1))</f>
        <v>20400</v>
      </c>
      <c r="Z8" s="149">
        <f>IF(OR($B8="",$B8=0),"",($G8*(Z$4&lt;$I8)+$H8*(Z$4&gt;=$I8))*$C8*(1+'Property Summary'!$L$18)^('MF Rents'!Z$3-1))</f>
        <v>20400</v>
      </c>
      <c r="AA8" s="149">
        <f>IF(OR($B8="",$B8=0),"",($G8*(AA$4&lt;$I8)+$H8*(AA$4&gt;=$I8))*$C8*(1+'Property Summary'!$L$18)^('MF Rents'!AA$3-1))</f>
        <v>20400</v>
      </c>
      <c r="AB8" s="149">
        <f>IF(OR($B8="",$B8=0),"",($G8*(AB$4&lt;$I8)+$H8*(AB$4&gt;=$I8))*$C8*(1+'Property Summary'!$L$18)^('MF Rents'!AB$3-1))</f>
        <v>20400</v>
      </c>
      <c r="AC8" s="149">
        <f>IF(OR($B8="",$B8=0),"",($G8*(AC$4&lt;$I8)+$H8*(AC$4&gt;=$I8))*$C8*(1+'Property Summary'!$L$18)^('MF Rents'!AC$3-1))</f>
        <v>20400</v>
      </c>
      <c r="AD8" s="149">
        <f>IF(OR($B8="",$B8=0),"",($G8*(AD$4&lt;$I8)+$H8*(AD$4&gt;=$I8))*$C8*(1+'Property Summary'!$L$18)^('MF Rents'!AD$3-1))</f>
        <v>20400</v>
      </c>
      <c r="AE8" s="149">
        <f>IF(OR($B8="",$B8=0),"",($G8*(AE$4&lt;$I8)+$H8*(AE$4&gt;=$I8))*$C8*(1+'Property Summary'!$L$18)^('MF Rents'!AE$3-1))</f>
        <v>20400</v>
      </c>
      <c r="AF8" s="149">
        <f>IF(OR($B8="",$B8=0),"",($G8*(AF$4&lt;$I8)+$H8*(AF$4&gt;=$I8))*$C8*(1+'Property Summary'!$L$18)^('MF Rents'!AF$3-1))</f>
        <v>20400</v>
      </c>
      <c r="AG8" s="149">
        <f>IF(OR($B8="",$B8=0),"",($G8*(AG$4&lt;$I8)+$H8*(AG$4&gt;=$I8))*$C8*(1+'Property Summary'!$L$18)^('MF Rents'!AG$3-1))</f>
        <v>20705.999999999996</v>
      </c>
      <c r="AH8" s="149">
        <f>IF(OR($B8="",$B8=0),"",($G8*(AH$4&lt;$I8)+$H8*(AH$4&gt;=$I8))*$C8*(1+'Property Summary'!$L$18)^('MF Rents'!AH$3-1))</f>
        <v>20705.999999999996</v>
      </c>
      <c r="AI8" s="149">
        <f>IF(OR($B8="",$B8=0),"",($G8*(AI$4&lt;$I8)+$H8*(AI$4&gt;=$I8))*$C8*(1+'Property Summary'!$L$18)^('MF Rents'!AI$3-1))</f>
        <v>20705.999999999996</v>
      </c>
      <c r="AJ8" s="149">
        <f>IF(OR($B8="",$B8=0),"",($G8*(AJ$4&lt;$I8)+$H8*(AJ$4&gt;=$I8))*$C8*(1+'Property Summary'!$L$18)^('MF Rents'!AJ$3-1))</f>
        <v>20705.999999999996</v>
      </c>
      <c r="AK8" s="149">
        <f>IF(OR($B8="",$B8=0),"",($G8*(AK$4&lt;$I8)+$H8*(AK$4&gt;=$I8))*$C8*(1+'Property Summary'!$L$18)^('MF Rents'!AK$3-1))</f>
        <v>20705.999999999996</v>
      </c>
      <c r="AL8" s="149">
        <f>IF(OR($B8="",$B8=0),"",($G8*(AL$4&lt;$I8)+$H8*(AL$4&gt;=$I8))*$C8*(1+'Property Summary'!$L$18)^('MF Rents'!AL$3-1))</f>
        <v>20705.999999999996</v>
      </c>
      <c r="AM8" s="149">
        <f>IF(OR($B8="",$B8=0),"",($G8*(AM$4&lt;$I8)+$H8*(AM$4&gt;=$I8))*$C8*(1+'Property Summary'!$L$18)^('MF Rents'!AM$3-1))</f>
        <v>23629.199999999997</v>
      </c>
      <c r="AN8" s="149">
        <f>IF(OR($B8="",$B8=0),"",($G8*(AN$4&lt;$I8)+$H8*(AN$4&gt;=$I8))*$C8*(1+'Property Summary'!$L$18)^('MF Rents'!AN$3-1))</f>
        <v>23629.199999999997</v>
      </c>
      <c r="AO8" s="149">
        <f>IF(OR($B8="",$B8=0),"",($G8*(AO$4&lt;$I8)+$H8*(AO$4&gt;=$I8))*$C8*(1+'Property Summary'!$L$18)^('MF Rents'!AO$3-1))</f>
        <v>23629.199999999997</v>
      </c>
      <c r="AP8" s="149">
        <f>IF(OR($B8="",$B8=0),"",($G8*(AP$4&lt;$I8)+$H8*(AP$4&gt;=$I8))*$C8*(1+'Property Summary'!$L$18)^('MF Rents'!AP$3-1))</f>
        <v>23629.199999999997</v>
      </c>
      <c r="AQ8" s="149">
        <f>IF(OR($B8="",$B8=0),"",($G8*(AQ$4&lt;$I8)+$H8*(AQ$4&gt;=$I8))*$C8*(1+'Property Summary'!$L$18)^('MF Rents'!AQ$3-1))</f>
        <v>23629.199999999997</v>
      </c>
      <c r="AR8" s="149">
        <f>IF(OR($B8="",$B8=0),"",($G8*(AR$4&lt;$I8)+$H8*(AR$4&gt;=$I8))*$C8*(1+'Property Summary'!$L$18)^('MF Rents'!AR$3-1))</f>
        <v>23629.199999999997</v>
      </c>
      <c r="AS8" s="149">
        <f>IF(OR($B8="",$B8=0),"",($G8*(AS$4&lt;$I8)+$H8*(AS$4&gt;=$I8))*$C8*(1+'Property Summary'!$L$18)^('MF Rents'!AS$3-1))</f>
        <v>23983.637999999995</v>
      </c>
      <c r="AT8" s="149">
        <f>IF(OR($B8="",$B8=0),"",($G8*(AT$4&lt;$I8)+$H8*(AT$4&gt;=$I8))*$C8*(1+'Property Summary'!$L$18)^('MF Rents'!AT$3-1))</f>
        <v>23983.637999999995</v>
      </c>
      <c r="AU8" s="149">
        <f>IF(OR($B8="",$B8=0),"",($G8*(AU$4&lt;$I8)+$H8*(AU$4&gt;=$I8))*$C8*(1+'Property Summary'!$L$18)^('MF Rents'!AU$3-1))</f>
        <v>23983.637999999995</v>
      </c>
      <c r="AV8" s="149">
        <f>IF(OR($B8="",$B8=0),"",($G8*(AV$4&lt;$I8)+$H8*(AV$4&gt;=$I8))*$C8*(1+'Property Summary'!$L$18)^('MF Rents'!AV$3-1))</f>
        <v>23983.637999999995</v>
      </c>
      <c r="AW8" s="149">
        <f>IF(OR($B8="",$B8=0),"",($G8*(AW$4&lt;$I8)+$H8*(AW$4&gt;=$I8))*$C8*(1+'Property Summary'!$L$18)^('MF Rents'!AW$3-1))</f>
        <v>23983.637999999995</v>
      </c>
      <c r="AX8" s="149">
        <f>IF(OR($B8="",$B8=0),"",($G8*(AX$4&lt;$I8)+$H8*(AX$4&gt;=$I8))*$C8*(1+'Property Summary'!$L$18)^('MF Rents'!AX$3-1))</f>
        <v>23983.637999999995</v>
      </c>
      <c r="AY8" s="149">
        <f>IF(OR($B8="",$B8=0),"",($G8*(AY$4&lt;$I8)+$H8*(AY$4&gt;=$I8))*$C8*(1+'Property Summary'!$L$18)^('MF Rents'!AY$3-1))</f>
        <v>23983.637999999995</v>
      </c>
      <c r="AZ8" s="149">
        <f>IF(OR($B8="",$B8=0),"",($G8*(AZ$4&lt;$I8)+$H8*(AZ$4&gt;=$I8))*$C8*(1+'Property Summary'!$L$18)^('MF Rents'!AZ$3-1))</f>
        <v>23983.637999999995</v>
      </c>
      <c r="BA8" s="149">
        <f>IF(OR($B8="",$B8=0),"",($G8*(BA$4&lt;$I8)+$H8*(BA$4&gt;=$I8))*$C8*(1+'Property Summary'!$L$18)^('MF Rents'!BA$3-1))</f>
        <v>23983.637999999995</v>
      </c>
      <c r="BB8" s="149">
        <f>IF(OR($B8="",$B8=0),"",($G8*(BB$4&lt;$I8)+$H8*(BB$4&gt;=$I8))*$C8*(1+'Property Summary'!$L$18)^('MF Rents'!BB$3-1))</f>
        <v>23983.637999999995</v>
      </c>
      <c r="BC8" s="149">
        <f>IF(OR($B8="",$B8=0),"",($G8*(BC$4&lt;$I8)+$H8*(BC$4&gt;=$I8))*$C8*(1+'Property Summary'!$L$18)^('MF Rents'!BC$3-1))</f>
        <v>23983.637999999995</v>
      </c>
      <c r="BD8" s="149">
        <f>IF(OR($B8="",$B8=0),"",($G8*(BD$4&lt;$I8)+$H8*(BD$4&gt;=$I8))*$C8*(1+'Property Summary'!$L$18)^('MF Rents'!BD$3-1))</f>
        <v>23983.637999999995</v>
      </c>
      <c r="BE8" s="149">
        <f>IF(OR($B8="",$B8=0),"",($G8*(BE$4&lt;$I8)+$H8*(BE$4&gt;=$I8))*$C8*(1+'Property Summary'!$L$18)^('MF Rents'!BE$3-1))</f>
        <v>24343.392569999989</v>
      </c>
      <c r="BF8" s="149">
        <f>IF(OR($B8="",$B8=0),"",($G8*(BF$4&lt;$I8)+$H8*(BF$4&gt;=$I8))*$C8*(1+'Property Summary'!$L$18)^('MF Rents'!BF$3-1))</f>
        <v>24343.392569999989</v>
      </c>
      <c r="BG8" s="149">
        <f>IF(OR($B8="",$B8=0),"",($G8*(BG$4&lt;$I8)+$H8*(BG$4&gt;=$I8))*$C8*(1+'Property Summary'!$L$18)^('MF Rents'!BG$3-1))</f>
        <v>24343.392569999989</v>
      </c>
      <c r="BH8" s="149">
        <f>IF(OR($B8="",$B8=0),"",($G8*(BH$4&lt;$I8)+$H8*(BH$4&gt;=$I8))*$C8*(1+'Property Summary'!$L$18)^('MF Rents'!BH$3-1))</f>
        <v>24343.392569999989</v>
      </c>
      <c r="BI8" s="149">
        <f>IF(OR($B8="",$B8=0),"",($G8*(BI$4&lt;$I8)+$H8*(BI$4&gt;=$I8))*$C8*(1+'Property Summary'!$L$18)^('MF Rents'!BI$3-1))</f>
        <v>24343.392569999989</v>
      </c>
      <c r="BJ8" s="149">
        <f>IF(OR($B8="",$B8=0),"",($G8*(BJ$4&lt;$I8)+$H8*(BJ$4&gt;=$I8))*$C8*(1+'Property Summary'!$L$18)^('MF Rents'!BJ$3-1))</f>
        <v>24343.392569999989</v>
      </c>
      <c r="BK8" s="149">
        <f>IF(OR($B8="",$B8=0),"",($G8*(BK$4&lt;$I8)+$H8*(BK$4&gt;=$I8))*$C8*(1+'Property Summary'!$L$18)^('MF Rents'!BK$3-1))</f>
        <v>24343.392569999989</v>
      </c>
      <c r="BL8" s="149">
        <f>IF(OR($B8="",$B8=0),"",($G8*(BL$4&lt;$I8)+$H8*(BL$4&gt;=$I8))*$C8*(1+'Property Summary'!$L$18)^('MF Rents'!BL$3-1))</f>
        <v>24343.392569999989</v>
      </c>
      <c r="BM8" s="149">
        <f>IF(OR($B8="",$B8=0),"",($G8*(BM$4&lt;$I8)+$H8*(BM$4&gt;=$I8))*$C8*(1+'Property Summary'!$L$18)^('MF Rents'!BM$3-1))</f>
        <v>24343.392569999989</v>
      </c>
      <c r="BN8" s="149">
        <f>IF(OR($B8="",$B8=0),"",($G8*(BN$4&lt;$I8)+$H8*(BN$4&gt;=$I8))*$C8*(1+'Property Summary'!$L$18)^('MF Rents'!BN$3-1))</f>
        <v>24343.392569999989</v>
      </c>
      <c r="BO8" s="149">
        <f>IF(OR($B8="",$B8=0),"",($G8*(BO$4&lt;$I8)+$H8*(BO$4&gt;=$I8))*$C8*(1+'Property Summary'!$L$18)^('MF Rents'!BO$3-1))</f>
        <v>24343.392569999989</v>
      </c>
      <c r="BP8" s="149">
        <f>IF(OR($B8="",$B8=0),"",($G8*(BP$4&lt;$I8)+$H8*(BP$4&gt;=$I8))*$C8*(1+'Property Summary'!$L$18)^('MF Rents'!BP$3-1))</f>
        <v>24343.392569999989</v>
      </c>
      <c r="BQ8" s="149">
        <f>IF(OR($B8="",$B8=0),"",($G8*(BQ$4&lt;$I8)+$H8*(BQ$4&gt;=$I8))*$C8*(1+'Property Summary'!$L$18)^('MF Rents'!BQ$3-1))</f>
        <v>24708.543458549986</v>
      </c>
      <c r="BR8" s="149">
        <f>IF(OR($B8="",$B8=0),"",($G8*(BR$4&lt;$I8)+$H8*(BR$4&gt;=$I8))*$C8*(1+'Property Summary'!$L$18)^('MF Rents'!BR$3-1))</f>
        <v>24708.543458549986</v>
      </c>
      <c r="BS8" s="149">
        <f>IF(OR($B8="",$B8=0),"",($G8*(BS$4&lt;$I8)+$H8*(BS$4&gt;=$I8))*$C8*(1+'Property Summary'!$L$18)^('MF Rents'!BS$3-1))</f>
        <v>24708.543458549986</v>
      </c>
      <c r="BT8" s="149">
        <f>IF(OR($B8="",$B8=0),"",($G8*(BT$4&lt;$I8)+$H8*(BT$4&gt;=$I8))*$C8*(1+'Property Summary'!$L$18)^('MF Rents'!BT$3-1))</f>
        <v>24708.543458549986</v>
      </c>
      <c r="BU8" s="149">
        <f>IF(OR($B8="",$B8=0),"",($G8*(BU$4&lt;$I8)+$H8*(BU$4&gt;=$I8))*$C8*(1+'Property Summary'!$L$18)^('MF Rents'!BU$3-1))</f>
        <v>24708.543458549986</v>
      </c>
      <c r="BV8" s="149">
        <f>IF(OR($B8="",$B8=0),"",($G8*(BV$4&lt;$I8)+$H8*(BV$4&gt;=$I8))*$C8*(1+'Property Summary'!$L$18)^('MF Rents'!BV$3-1))</f>
        <v>24708.543458549986</v>
      </c>
      <c r="BW8" s="149">
        <f>IF(OR($B8="",$B8=0),"",($G8*(BW$4&lt;$I8)+$H8*(BW$4&gt;=$I8))*$C8*(1+'Property Summary'!$L$18)^('MF Rents'!BW$3-1))</f>
        <v>24708.543458549986</v>
      </c>
      <c r="BX8" s="149">
        <f>IF(OR($B8="",$B8=0),"",($G8*(BX$4&lt;$I8)+$H8*(BX$4&gt;=$I8))*$C8*(1+'Property Summary'!$L$18)^('MF Rents'!BX$3-1))</f>
        <v>24708.543458549986</v>
      </c>
      <c r="BY8" s="149">
        <f>IF(OR($B8="",$B8=0),"",($G8*(BY$4&lt;$I8)+$H8*(BY$4&gt;=$I8))*$C8*(1+'Property Summary'!$L$18)^('MF Rents'!BY$3-1))</f>
        <v>24708.543458549986</v>
      </c>
      <c r="BZ8" s="149">
        <f>IF(OR($B8="",$B8=0),"",($G8*(BZ$4&lt;$I8)+$H8*(BZ$4&gt;=$I8))*$C8*(1+'Property Summary'!$L$18)^('MF Rents'!BZ$3-1))</f>
        <v>24708.543458549986</v>
      </c>
      <c r="CA8" s="149">
        <f>IF(OR($B8="",$B8=0),"",($G8*(CA$4&lt;$I8)+$H8*(CA$4&gt;=$I8))*$C8*(1+'Property Summary'!$L$18)^('MF Rents'!CA$3-1))</f>
        <v>24708.543458549986</v>
      </c>
      <c r="CB8" s="149">
        <f>IF(OR($B8="",$B8=0),"",($G8*(CB$4&lt;$I8)+$H8*(CB$4&gt;=$I8))*$C8*(1+'Property Summary'!$L$18)^('MF Rents'!CB$3-1))</f>
        <v>24708.543458549986</v>
      </c>
      <c r="CC8" s="149">
        <f>IF(OR($B8="",$B8=0),"",($G8*(CC$4&lt;$I8)+$H8*(CC$4&gt;=$I8))*$C8*(1+'Property Summary'!$L$18)^('MF Rents'!CC$3-1))</f>
        <v>25079.171610428235</v>
      </c>
      <c r="CD8" s="149">
        <f>IF(OR($B8="",$B8=0),"",($G8*(CD$4&lt;$I8)+$H8*(CD$4&gt;=$I8))*$C8*(1+'Property Summary'!$L$18)^('MF Rents'!CD$3-1))</f>
        <v>25079.171610428235</v>
      </c>
      <c r="CE8" s="149">
        <f>IF(OR($B8="",$B8=0),"",($G8*(CE$4&lt;$I8)+$H8*(CE$4&gt;=$I8))*$C8*(1+'Property Summary'!$L$18)^('MF Rents'!CE$3-1))</f>
        <v>25079.171610428235</v>
      </c>
      <c r="CF8" s="149">
        <f>IF(OR($B8="",$B8=0),"",($G8*(CF$4&lt;$I8)+$H8*(CF$4&gt;=$I8))*$C8*(1+'Property Summary'!$L$18)^('MF Rents'!CF$3-1))</f>
        <v>25079.171610428235</v>
      </c>
      <c r="CG8" s="149">
        <f>IF(OR($B8="",$B8=0),"",($G8*(CG$4&lt;$I8)+$H8*(CG$4&gt;=$I8))*$C8*(1+'Property Summary'!$L$18)^('MF Rents'!CG$3-1))</f>
        <v>25079.171610428235</v>
      </c>
      <c r="CH8" s="149">
        <f>IF(OR($B8="",$B8=0),"",($G8*(CH$4&lt;$I8)+$H8*(CH$4&gt;=$I8))*$C8*(1+'Property Summary'!$L$18)^('MF Rents'!CH$3-1))</f>
        <v>25079.171610428235</v>
      </c>
      <c r="CI8" s="149">
        <f>IF(OR($B8="",$B8=0),"",($G8*(CI$4&lt;$I8)+$H8*(CI$4&gt;=$I8))*$C8*(1+'Property Summary'!$L$18)^('MF Rents'!CI$3-1))</f>
        <v>25079.171610428235</v>
      </c>
      <c r="CJ8" s="149">
        <f>IF(OR($B8="",$B8=0),"",($G8*(CJ$4&lt;$I8)+$H8*(CJ$4&gt;=$I8))*$C8*(1+'Property Summary'!$L$18)^('MF Rents'!CJ$3-1))</f>
        <v>25079.171610428235</v>
      </c>
      <c r="CK8" s="149">
        <f>IF(OR($B8="",$B8=0),"",($G8*(CK$4&lt;$I8)+$H8*(CK$4&gt;=$I8))*$C8*(1+'Property Summary'!$L$18)^('MF Rents'!CK$3-1))</f>
        <v>25079.171610428235</v>
      </c>
      <c r="CL8" s="149">
        <f>IF(OR($B8="",$B8=0),"",($G8*(CL$4&lt;$I8)+$H8*(CL$4&gt;=$I8))*$C8*(1+'Property Summary'!$L$18)^('MF Rents'!CL$3-1))</f>
        <v>25079.171610428235</v>
      </c>
      <c r="CM8" s="149">
        <f>IF(OR($B8="",$B8=0),"",($G8*(CM$4&lt;$I8)+$H8*(CM$4&gt;=$I8))*$C8*(1+'Property Summary'!$L$18)^('MF Rents'!CM$3-1))</f>
        <v>25079.171610428235</v>
      </c>
      <c r="CN8" s="149">
        <f>IF(OR($B8="",$B8=0),"",($G8*(CN$4&lt;$I8)+$H8*(CN$4&gt;=$I8))*$C8*(1+'Property Summary'!$L$18)^('MF Rents'!CN$3-1))</f>
        <v>25079.171610428235</v>
      </c>
      <c r="CO8" s="149">
        <f>IF(OR($B8="",$B8=0),"",($G8*(CO$4&lt;$I8)+$H8*(CO$4&gt;=$I8))*$C8*(1+'Property Summary'!$L$18)^('MF Rents'!CO$3-1))</f>
        <v>25455.359184584653</v>
      </c>
      <c r="CP8" s="149">
        <f>IF(OR($B8="",$B8=0),"",($G8*(CP$4&lt;$I8)+$H8*(CP$4&gt;=$I8))*$C8*(1+'Property Summary'!$L$18)^('MF Rents'!CP$3-1))</f>
        <v>25455.359184584653</v>
      </c>
      <c r="CQ8" s="149">
        <f>IF(OR($B8="",$B8=0),"",($G8*(CQ$4&lt;$I8)+$H8*(CQ$4&gt;=$I8))*$C8*(1+'Property Summary'!$L$18)^('MF Rents'!CQ$3-1))</f>
        <v>25455.359184584653</v>
      </c>
      <c r="CR8" s="149">
        <f>IF(OR($B8="",$B8=0),"",($G8*(CR$4&lt;$I8)+$H8*(CR$4&gt;=$I8))*$C8*(1+'Property Summary'!$L$18)^('MF Rents'!CR$3-1))</f>
        <v>25455.359184584653</v>
      </c>
      <c r="CS8" s="149">
        <f>IF(OR($B8="",$B8=0),"",($G8*(CS$4&lt;$I8)+$H8*(CS$4&gt;=$I8))*$C8*(1+'Property Summary'!$L$18)^('MF Rents'!CS$3-1))</f>
        <v>25455.359184584653</v>
      </c>
      <c r="CT8" s="149">
        <f>IF(OR($B8="",$B8=0),"",($G8*(CT$4&lt;$I8)+$H8*(CT$4&gt;=$I8))*$C8*(1+'Property Summary'!$L$18)^('MF Rents'!CT$3-1))</f>
        <v>25455.359184584653</v>
      </c>
      <c r="CU8" s="149">
        <f>IF(OR($B8="",$B8=0),"",($G8*(CU$4&lt;$I8)+$H8*(CU$4&gt;=$I8))*$C8*(1+'Property Summary'!$L$18)^('MF Rents'!CU$3-1))</f>
        <v>25455.359184584653</v>
      </c>
      <c r="CV8" s="149">
        <f>IF(OR($B8="",$B8=0),"",($G8*(CV$4&lt;$I8)+$H8*(CV$4&gt;=$I8))*$C8*(1+'Property Summary'!$L$18)^('MF Rents'!CV$3-1))</f>
        <v>25455.359184584653</v>
      </c>
      <c r="CW8" s="149">
        <f>IF(OR($B8="",$B8=0),"",($G8*(CW$4&lt;$I8)+$H8*(CW$4&gt;=$I8))*$C8*(1+'Property Summary'!$L$18)^('MF Rents'!CW$3-1))</f>
        <v>25455.359184584653</v>
      </c>
      <c r="CX8" s="149">
        <f>IF(OR($B8="",$B8=0),"",($G8*(CX$4&lt;$I8)+$H8*(CX$4&gt;=$I8))*$C8*(1+'Property Summary'!$L$18)^('MF Rents'!CX$3-1))</f>
        <v>25455.359184584653</v>
      </c>
      <c r="CY8" s="149">
        <f>IF(OR($B8="",$B8=0),"",($G8*(CY$4&lt;$I8)+$H8*(CY$4&gt;=$I8))*$C8*(1+'Property Summary'!$L$18)^('MF Rents'!CY$3-1))</f>
        <v>25455.359184584653</v>
      </c>
      <c r="CZ8" s="149">
        <f>IF(OR($B8="",$B8=0),"",($G8*(CZ$4&lt;$I8)+$H8*(CZ$4&gt;=$I8))*$C8*(1+'Property Summary'!$L$18)^('MF Rents'!CZ$3-1))</f>
        <v>25455.359184584653</v>
      </c>
      <c r="DA8" s="149">
        <f>IF(OR($B8="",$B8=0),"",($G8*(DA$4&lt;$I8)+$H8*(DA$4&gt;=$I8))*$C8*(1+'Property Summary'!$L$18)^('MF Rents'!DA$3-1))</f>
        <v>25837.189572353418</v>
      </c>
      <c r="DB8" s="149">
        <f>IF(OR($B8="",$B8=0),"",($G8*(DB$4&lt;$I8)+$H8*(DB$4&gt;=$I8))*$C8*(1+'Property Summary'!$L$18)^('MF Rents'!DB$3-1))</f>
        <v>25837.189572353418</v>
      </c>
      <c r="DC8" s="149">
        <f>IF(OR($B8="",$B8=0),"",($G8*(DC$4&lt;$I8)+$H8*(DC$4&gt;=$I8))*$C8*(1+'Property Summary'!$L$18)^('MF Rents'!DC$3-1))</f>
        <v>25837.189572353418</v>
      </c>
      <c r="DD8" s="149">
        <f>IF(OR($B8="",$B8=0),"",($G8*(DD$4&lt;$I8)+$H8*(DD$4&gt;=$I8))*$C8*(1+'Property Summary'!$L$18)^('MF Rents'!DD$3-1))</f>
        <v>25837.189572353418</v>
      </c>
      <c r="DE8" s="149">
        <f>IF(OR($B8="",$B8=0),"",($G8*(DE$4&lt;$I8)+$H8*(DE$4&gt;=$I8))*$C8*(1+'Property Summary'!$L$18)^('MF Rents'!DE$3-1))</f>
        <v>25837.189572353418</v>
      </c>
      <c r="DF8" s="149">
        <f>IF(OR($B8="",$B8=0),"",($G8*(DF$4&lt;$I8)+$H8*(DF$4&gt;=$I8))*$C8*(1+'Property Summary'!$L$18)^('MF Rents'!DF$3-1))</f>
        <v>25837.189572353418</v>
      </c>
      <c r="DG8" s="149">
        <f>IF(OR($B8="",$B8=0),"",($G8*(DG$4&lt;$I8)+$H8*(DG$4&gt;=$I8))*$C8*(1+'Property Summary'!$L$18)^('MF Rents'!DG$3-1))</f>
        <v>25837.189572353418</v>
      </c>
      <c r="DH8" s="149">
        <f>IF(OR($B8="",$B8=0),"",($G8*(DH$4&lt;$I8)+$H8*(DH$4&gt;=$I8))*$C8*(1+'Property Summary'!$L$18)^('MF Rents'!DH$3-1))</f>
        <v>25837.189572353418</v>
      </c>
      <c r="DI8" s="149">
        <f>IF(OR($B8="",$B8=0),"",($G8*(DI$4&lt;$I8)+$H8*(DI$4&gt;=$I8))*$C8*(1+'Property Summary'!$L$18)^('MF Rents'!DI$3-1))</f>
        <v>25837.189572353418</v>
      </c>
      <c r="DJ8" s="149">
        <f>IF(OR($B8="",$B8=0),"",($G8*(DJ$4&lt;$I8)+$H8*(DJ$4&gt;=$I8))*$C8*(1+'Property Summary'!$L$18)^('MF Rents'!DJ$3-1))</f>
        <v>25837.189572353418</v>
      </c>
      <c r="DK8" s="149">
        <f>IF(OR($B8="",$B8=0),"",($G8*(DK$4&lt;$I8)+$H8*(DK$4&gt;=$I8))*$C8*(1+'Property Summary'!$L$18)^('MF Rents'!DK$3-1))</f>
        <v>25837.189572353418</v>
      </c>
      <c r="DL8" s="149">
        <f>IF(OR($B8="",$B8=0),"",($G8*(DL$4&lt;$I8)+$H8*(DL$4&gt;=$I8))*$C8*(1+'Property Summary'!$L$18)^('MF Rents'!DL$3-1))</f>
        <v>25837.189572353418</v>
      </c>
      <c r="DM8" s="149">
        <f>IF(OR($B8="",$B8=0),"",($G8*(DM$4&lt;$I8)+$H8*(DM$4&gt;=$I8))*$C8*(1+'Property Summary'!$L$18)^('MF Rents'!DM$3-1))</f>
        <v>26224.747415938717</v>
      </c>
      <c r="DN8" s="149">
        <f>IF(OR($B8="",$B8=0),"",($G8*(DN$4&lt;$I8)+$H8*(DN$4&gt;=$I8))*$C8*(1+'Property Summary'!$L$18)^('MF Rents'!DN$3-1))</f>
        <v>26224.747415938717</v>
      </c>
      <c r="DO8" s="149">
        <f>IF(OR($B8="",$B8=0),"",($G8*(DO$4&lt;$I8)+$H8*(DO$4&gt;=$I8))*$C8*(1+'Property Summary'!$L$18)^('MF Rents'!DO$3-1))</f>
        <v>26224.747415938717</v>
      </c>
      <c r="DP8" s="149">
        <f>IF(OR($B8="",$B8=0),"",($G8*(DP$4&lt;$I8)+$H8*(DP$4&gt;=$I8))*$C8*(1+'Property Summary'!$L$18)^('MF Rents'!DP$3-1))</f>
        <v>26224.747415938717</v>
      </c>
      <c r="DQ8" s="149">
        <f>IF(OR($B8="",$B8=0),"",($G8*(DQ$4&lt;$I8)+$H8*(DQ$4&gt;=$I8))*$C8*(1+'Property Summary'!$L$18)^('MF Rents'!DQ$3-1))</f>
        <v>26224.747415938717</v>
      </c>
      <c r="DR8" s="149">
        <f>IF(OR($B8="",$B8=0),"",($G8*(DR$4&lt;$I8)+$H8*(DR$4&gt;=$I8))*$C8*(1+'Property Summary'!$L$18)^('MF Rents'!DR$3-1))</f>
        <v>26224.747415938717</v>
      </c>
      <c r="DS8" s="149">
        <f>IF(OR($B8="",$B8=0),"",($G8*(DS$4&lt;$I8)+$H8*(DS$4&gt;=$I8))*$C8*(1+'Property Summary'!$L$18)^('MF Rents'!DS$3-1))</f>
        <v>26224.747415938717</v>
      </c>
      <c r="DT8" s="149">
        <f>IF(OR($B8="",$B8=0),"",($G8*(DT$4&lt;$I8)+$H8*(DT$4&gt;=$I8))*$C8*(1+'Property Summary'!$L$18)^('MF Rents'!DT$3-1))</f>
        <v>26224.747415938717</v>
      </c>
      <c r="DU8" s="149">
        <f>IF(OR($B8="",$B8=0),"",($G8*(DU$4&lt;$I8)+$H8*(DU$4&gt;=$I8))*$C8*(1+'Property Summary'!$L$18)^('MF Rents'!DU$3-1))</f>
        <v>26224.747415938717</v>
      </c>
      <c r="DV8" s="149">
        <f>IF(OR($B8="",$B8=0),"",($G8*(DV$4&lt;$I8)+$H8*(DV$4&gt;=$I8))*$C8*(1+'Property Summary'!$L$18)^('MF Rents'!DV$3-1))</f>
        <v>26224.747415938717</v>
      </c>
      <c r="DW8" s="149">
        <f>IF(OR($B8="",$B8=0),"",($G8*(DW$4&lt;$I8)+$H8*(DW$4&gt;=$I8))*$C8*(1+'Property Summary'!$L$18)^('MF Rents'!DW$3-1))</f>
        <v>26224.747415938717</v>
      </c>
      <c r="DX8" s="149">
        <f>IF(OR($B8="",$B8=0),"",($G8*(DX$4&lt;$I8)+$H8*(DX$4&gt;=$I8))*$C8*(1+'Property Summary'!$L$18)^('MF Rents'!DX$3-1))</f>
        <v>26224.747415938717</v>
      </c>
      <c r="DY8" s="149">
        <f>IF(OR($B8="",$B8=0),"",($G8*(DY$4&lt;$I8)+$H8*(DY$4&gt;=$I8))*$C8*(1+'Property Summary'!$L$18)^('MF Rents'!DY$3-1))</f>
        <v>26618.118627177795</v>
      </c>
      <c r="DZ8" s="149">
        <f>IF(OR($B8="",$B8=0),"",($G8*(DZ$4&lt;$I8)+$H8*(DZ$4&gt;=$I8))*$C8*(1+'Property Summary'!$L$18)^('MF Rents'!DZ$3-1))</f>
        <v>26618.118627177795</v>
      </c>
      <c r="EA8" s="149">
        <f>IF(OR($B8="",$B8=0),"",($G8*(EA$4&lt;$I8)+$H8*(EA$4&gt;=$I8))*$C8*(1+'Property Summary'!$L$18)^('MF Rents'!EA$3-1))</f>
        <v>26618.118627177795</v>
      </c>
      <c r="EB8" s="149">
        <f>IF(OR($B8="",$B8=0),"",($G8*(EB$4&lt;$I8)+$H8*(EB$4&gt;=$I8))*$C8*(1+'Property Summary'!$L$18)^('MF Rents'!EB$3-1))</f>
        <v>26618.118627177795</v>
      </c>
      <c r="EC8" s="149">
        <f>IF(OR($B8="",$B8=0),"",($G8*(EC$4&lt;$I8)+$H8*(EC$4&gt;=$I8))*$C8*(1+'Property Summary'!$L$18)^('MF Rents'!EC$3-1))</f>
        <v>26618.118627177795</v>
      </c>
      <c r="ED8" s="149">
        <f>IF(OR($B8="",$B8=0),"",($G8*(ED$4&lt;$I8)+$H8*(ED$4&gt;=$I8))*$C8*(1+'Property Summary'!$L$18)^('MF Rents'!ED$3-1))</f>
        <v>26618.118627177795</v>
      </c>
      <c r="EE8" s="149">
        <f>IF(OR($B8="",$B8=0),"",($G8*(EE$4&lt;$I8)+$H8*(EE$4&gt;=$I8))*$C8*(1+'Property Summary'!$L$18)^('MF Rents'!EE$3-1))</f>
        <v>26618.118627177795</v>
      </c>
      <c r="EF8" s="149">
        <f>IF(OR($B8="",$B8=0),"",($G8*(EF$4&lt;$I8)+$H8*(EF$4&gt;=$I8))*$C8*(1+'Property Summary'!$L$18)^('MF Rents'!EF$3-1))</f>
        <v>26618.118627177795</v>
      </c>
      <c r="EG8" s="149">
        <f>IF(OR($B8="",$B8=0),"",($G8*(EG$4&lt;$I8)+$H8*(EG$4&gt;=$I8))*$C8*(1+'Property Summary'!$L$18)^('MF Rents'!EG$3-1))</f>
        <v>26618.118627177795</v>
      </c>
      <c r="EH8" s="149">
        <f>IF(OR($B8="",$B8=0),"",($G8*(EH$4&lt;$I8)+$H8*(EH$4&gt;=$I8))*$C8*(1+'Property Summary'!$L$18)^('MF Rents'!EH$3-1))</f>
        <v>26618.118627177795</v>
      </c>
      <c r="EI8" s="149">
        <f>IF(OR($B8="",$B8=0),"",($G8*(EI$4&lt;$I8)+$H8*(EI$4&gt;=$I8))*$C8*(1+'Property Summary'!$L$18)^('MF Rents'!EI$3-1))</f>
        <v>26618.118627177795</v>
      </c>
      <c r="EJ8" s="149">
        <f>IF(OR($B8="",$B8=0),"",($G8*(EJ$4&lt;$I8)+$H8*(EJ$4&gt;=$I8))*$C8*(1+'Property Summary'!$L$18)^('MF Rents'!EJ$3-1))</f>
        <v>26618.118627177795</v>
      </c>
      <c r="EK8" s="149">
        <f>IF(OR($B8="",$B8=0),"",($G8*(EK$4&lt;$I8)+$H8*(EK$4&gt;=$I8))*$C8*(1+'Property Summary'!$L$18)^('MF Rents'!EK$3-1))</f>
        <v>27017.390406585459</v>
      </c>
      <c r="EL8" s="149">
        <f>IF(OR($B8="",$B8=0),"",($G8*(EL$4&lt;$I8)+$H8*(EL$4&gt;=$I8))*$C8*(1+'Property Summary'!$L$18)^('MF Rents'!EL$3-1))</f>
        <v>27017.390406585459</v>
      </c>
      <c r="EM8" s="149">
        <f>IF(OR($B8="",$B8=0),"",($G8*(EM$4&lt;$I8)+$H8*(EM$4&gt;=$I8))*$C8*(1+'Property Summary'!$L$18)^('MF Rents'!EM$3-1))</f>
        <v>27017.390406585459</v>
      </c>
      <c r="EN8" s="149">
        <f>IF(OR($B8="",$B8=0),"",($G8*(EN$4&lt;$I8)+$H8*(EN$4&gt;=$I8))*$C8*(1+'Property Summary'!$L$18)^('MF Rents'!EN$3-1))</f>
        <v>27017.390406585459</v>
      </c>
      <c r="EO8" s="149">
        <f>IF(OR($B8="",$B8=0),"",($G8*(EO$4&lt;$I8)+$H8*(EO$4&gt;=$I8))*$C8*(1+'Property Summary'!$L$18)^('MF Rents'!EO$3-1))</f>
        <v>27017.390406585459</v>
      </c>
      <c r="EP8" s="149">
        <f>IF(OR($B8="",$B8=0),"",($G8*(EP$4&lt;$I8)+$H8*(EP$4&gt;=$I8))*$C8*(1+'Property Summary'!$L$18)^('MF Rents'!EP$3-1))</f>
        <v>27017.390406585459</v>
      </c>
      <c r="EQ8" s="149">
        <f>IF(OR($B8="",$B8=0),"",($G8*(EQ$4&lt;$I8)+$H8*(EQ$4&gt;=$I8))*$C8*(1+'Property Summary'!$L$18)^('MF Rents'!EQ$3-1))</f>
        <v>27017.390406585459</v>
      </c>
      <c r="ER8" s="149">
        <f>IF(OR($B8="",$B8=0),"",($G8*(ER$4&lt;$I8)+$H8*(ER$4&gt;=$I8))*$C8*(1+'Property Summary'!$L$18)^('MF Rents'!ER$3-1))</f>
        <v>27017.390406585459</v>
      </c>
      <c r="ES8" s="149">
        <f>IF(OR($B8="",$B8=0),"",($G8*(ES$4&lt;$I8)+$H8*(ES$4&gt;=$I8))*$C8*(1+'Property Summary'!$L$18)^('MF Rents'!ES$3-1))</f>
        <v>27017.390406585459</v>
      </c>
      <c r="ET8" s="149">
        <f>IF(OR($B8="",$B8=0),"",($G8*(ET$4&lt;$I8)+$H8*(ET$4&gt;=$I8))*$C8*(1+'Property Summary'!$L$18)^('MF Rents'!ET$3-1))</f>
        <v>27017.390406585459</v>
      </c>
      <c r="EU8" s="149">
        <f>IF(OR($B8="",$B8=0),"",($G8*(EU$4&lt;$I8)+$H8*(EU$4&gt;=$I8))*$C8*(1+'Property Summary'!$L$18)^('MF Rents'!EU$3-1))</f>
        <v>27017.390406585459</v>
      </c>
      <c r="EV8" s="149">
        <f>IF(OR($B8="",$B8=0),"",($G8*(EV$4&lt;$I8)+$H8*(EV$4&gt;=$I8))*$C8*(1+'Property Summary'!$L$18)^('MF Rents'!EV$3-1))</f>
        <v>27017.390406585459</v>
      </c>
      <c r="EW8" s="149">
        <f>IF(OR($B8="",$B8=0),"",($G8*(EW$4&lt;$I8)+$H8*(EW$4&gt;=$I8))*$C8*(1+'Property Summary'!$L$18)^('MF Rents'!EW$3-1))</f>
        <v>27422.651262684238</v>
      </c>
      <c r="EX8" s="149">
        <f>IF(OR($B8="",$B8=0),"",($G8*(EX$4&lt;$I8)+$H8*(EX$4&gt;=$I8))*$C8*(1+'Property Summary'!$L$18)^('MF Rents'!EX$3-1))</f>
        <v>27422.651262684238</v>
      </c>
      <c r="EY8" s="149">
        <f>IF(OR($B8="",$B8=0),"",($G8*(EY$4&lt;$I8)+$H8*(EY$4&gt;=$I8))*$C8*(1+'Property Summary'!$L$18)^('MF Rents'!EY$3-1))</f>
        <v>27422.651262684238</v>
      </c>
      <c r="EZ8" s="149">
        <f>IF(OR($B8="",$B8=0),"",($G8*(EZ$4&lt;$I8)+$H8*(EZ$4&gt;=$I8))*$C8*(1+'Property Summary'!$L$18)^('MF Rents'!EZ$3-1))</f>
        <v>27422.651262684238</v>
      </c>
      <c r="FA8" s="149">
        <f>IF(OR($B8="",$B8=0),"",($G8*(FA$4&lt;$I8)+$H8*(FA$4&gt;=$I8))*$C8*(1+'Property Summary'!$L$18)^('MF Rents'!FA$3-1))</f>
        <v>27422.651262684238</v>
      </c>
      <c r="FB8" s="149">
        <f>IF(OR($B8="",$B8=0),"",($G8*(FB$4&lt;$I8)+$H8*(FB$4&gt;=$I8))*$C8*(1+'Property Summary'!$L$18)^('MF Rents'!FB$3-1))</f>
        <v>27422.651262684238</v>
      </c>
      <c r="FC8" s="149">
        <f>IF(OR($B8="",$B8=0),"",($G8*(FC$4&lt;$I8)+$H8*(FC$4&gt;=$I8))*$C8*(1+'Property Summary'!$L$18)^('MF Rents'!FC$3-1))</f>
        <v>27422.651262684238</v>
      </c>
      <c r="FD8" s="149">
        <f>IF(OR($B8="",$B8=0),"",($G8*(FD$4&lt;$I8)+$H8*(FD$4&gt;=$I8))*$C8*(1+'Property Summary'!$L$18)^('MF Rents'!FD$3-1))</f>
        <v>27422.651262684238</v>
      </c>
      <c r="FE8" s="149">
        <f>IF(OR($B8="",$B8=0),"",($G8*(FE$4&lt;$I8)+$H8*(FE$4&gt;=$I8))*$C8*(1+'Property Summary'!$L$18)^('MF Rents'!FE$3-1))</f>
        <v>27422.651262684238</v>
      </c>
      <c r="FF8" s="149">
        <f>IF(OR($B8="",$B8=0),"",($G8*(FF$4&lt;$I8)+$H8*(FF$4&gt;=$I8))*$C8*(1+'Property Summary'!$L$18)^('MF Rents'!FF$3-1))</f>
        <v>27422.651262684238</v>
      </c>
      <c r="FG8" s="149">
        <f>IF(OR($B8="",$B8=0),"",($G8*(FG$4&lt;$I8)+$H8*(FG$4&gt;=$I8))*$C8*(1+'Property Summary'!$L$18)^('MF Rents'!FG$3-1))</f>
        <v>27422.651262684238</v>
      </c>
      <c r="FH8" s="149">
        <f>IF(OR($B8="",$B8=0),"",($G8*(FH$4&lt;$I8)+$H8*(FH$4&gt;=$I8))*$C8*(1+'Property Summary'!$L$18)^('MF Rents'!FH$3-1))</f>
        <v>27422.651262684238</v>
      </c>
      <c r="FI8" s="149">
        <f>IF(OR($B8="",$B8=0),"",($G8*(FI$4&lt;$I8)+$H8*(FI$4&gt;=$I8))*$C8*(1+'Property Summary'!$L$18)^('MF Rents'!FI$3-1))</f>
        <v>27833.991031624493</v>
      </c>
      <c r="FJ8" s="149">
        <f>IF(OR($B8="",$B8=0),"",($G8*(FJ$4&lt;$I8)+$H8*(FJ$4&gt;=$I8))*$C8*(1+'Property Summary'!$L$18)^('MF Rents'!FJ$3-1))</f>
        <v>27833.991031624493</v>
      </c>
      <c r="FK8" s="149">
        <f>IF(OR($B8="",$B8=0),"",($G8*(FK$4&lt;$I8)+$H8*(FK$4&gt;=$I8))*$C8*(1+'Property Summary'!$L$18)^('MF Rents'!FK$3-1))</f>
        <v>27833.991031624493</v>
      </c>
      <c r="FL8" s="149">
        <f>IF(OR($B8="",$B8=0),"",($G8*(FL$4&lt;$I8)+$H8*(FL$4&gt;=$I8))*$C8*(1+'Property Summary'!$L$18)^('MF Rents'!FL$3-1))</f>
        <v>27833.991031624493</v>
      </c>
      <c r="FM8" s="149">
        <f>IF(OR($B8="",$B8=0),"",($G8*(FM$4&lt;$I8)+$H8*(FM$4&gt;=$I8))*$C8*(1+'Property Summary'!$L$18)^('MF Rents'!FM$3-1))</f>
        <v>27833.991031624493</v>
      </c>
      <c r="FN8" s="149">
        <f>IF(OR($B8="",$B8=0),"",($G8*(FN$4&lt;$I8)+$H8*(FN$4&gt;=$I8))*$C8*(1+'Property Summary'!$L$18)^('MF Rents'!FN$3-1))</f>
        <v>27833.991031624493</v>
      </c>
      <c r="FO8" s="149">
        <f>IF(OR($B8="",$B8=0),"",($G8*(FO$4&lt;$I8)+$H8*(FO$4&gt;=$I8))*$C8*(1+'Property Summary'!$L$18)^('MF Rents'!FO$3-1))</f>
        <v>27833.991031624493</v>
      </c>
      <c r="FP8" s="149">
        <f>IF(OR($B8="",$B8=0),"",($G8*(FP$4&lt;$I8)+$H8*(FP$4&gt;=$I8))*$C8*(1+'Property Summary'!$L$18)^('MF Rents'!FP$3-1))</f>
        <v>27833.991031624493</v>
      </c>
      <c r="FQ8" s="149">
        <f>IF(OR($B8="",$B8=0),"",($G8*(FQ$4&lt;$I8)+$H8*(FQ$4&gt;=$I8))*$C8*(1+'Property Summary'!$L$18)^('MF Rents'!FQ$3-1))</f>
        <v>27833.991031624493</v>
      </c>
      <c r="FR8" s="149">
        <f>IF(OR($B8="",$B8=0),"",($G8*(FR$4&lt;$I8)+$H8*(FR$4&gt;=$I8))*$C8*(1+'Property Summary'!$L$18)^('MF Rents'!FR$3-1))</f>
        <v>27833.991031624493</v>
      </c>
      <c r="FS8" s="149">
        <f>IF(OR($B8="",$B8=0),"",($G8*(FS$4&lt;$I8)+$H8*(FS$4&gt;=$I8))*$C8*(1+'Property Summary'!$L$18)^('MF Rents'!FS$3-1))</f>
        <v>27833.991031624493</v>
      </c>
      <c r="FT8" s="149">
        <f>IF(OR($B8="",$B8=0),"",($G8*(FT$4&lt;$I8)+$H8*(FT$4&gt;=$I8))*$C8*(1+'Property Summary'!$L$18)^('MF Rents'!FT$3-1))</f>
        <v>27833.991031624493</v>
      </c>
      <c r="FU8" s="149">
        <f>IF(OR($B8="",$B8=0),"",($G8*(FU$4&lt;$I8)+$H8*(FU$4&gt;=$I8))*$C8*(1+'Property Summary'!$L$18)^('MF Rents'!FU$3-1))</f>
        <v>28251.50089709886</v>
      </c>
      <c r="FV8" s="149">
        <f>IF(OR($B8="",$B8=0),"",($G8*(FV$4&lt;$I8)+$H8*(FV$4&gt;=$I8))*$C8*(1+'Property Summary'!$L$18)^('MF Rents'!FV$3-1))</f>
        <v>28251.50089709886</v>
      </c>
      <c r="FW8" s="149">
        <f>IF(OR($B8="",$B8=0),"",($G8*(FW$4&lt;$I8)+$H8*(FW$4&gt;=$I8))*$C8*(1+'Property Summary'!$L$18)^('MF Rents'!FW$3-1))</f>
        <v>28251.50089709886</v>
      </c>
      <c r="FX8" s="149">
        <f>IF(OR($B8="",$B8=0),"",($G8*(FX$4&lt;$I8)+$H8*(FX$4&gt;=$I8))*$C8*(1+'Property Summary'!$L$18)^('MF Rents'!FX$3-1))</f>
        <v>28251.50089709886</v>
      </c>
      <c r="FY8" s="149">
        <f>IF(OR($B8="",$B8=0),"",($G8*(FY$4&lt;$I8)+$H8*(FY$4&gt;=$I8))*$C8*(1+'Property Summary'!$L$18)^('MF Rents'!FY$3-1))</f>
        <v>28251.50089709886</v>
      </c>
      <c r="FZ8" s="149">
        <f>IF(OR($B8="",$B8=0),"",($G8*(FZ$4&lt;$I8)+$H8*(FZ$4&gt;=$I8))*$C8*(1+'Property Summary'!$L$18)^('MF Rents'!FZ$3-1))</f>
        <v>28251.50089709886</v>
      </c>
      <c r="GA8" s="149">
        <f>IF(OR($B8="",$B8=0),"",($G8*(GA$4&lt;$I8)+$H8*(GA$4&gt;=$I8))*$C8*(1+'Property Summary'!$L$18)^('MF Rents'!GA$3-1))</f>
        <v>28251.50089709886</v>
      </c>
      <c r="GB8" s="149">
        <f>IF(OR($B8="",$B8=0),"",($G8*(GB$4&lt;$I8)+$H8*(GB$4&gt;=$I8))*$C8*(1+'Property Summary'!$L$18)^('MF Rents'!GB$3-1))</f>
        <v>28251.50089709886</v>
      </c>
      <c r="GC8" s="149">
        <f>IF(OR($B8="",$B8=0),"",($G8*(GC$4&lt;$I8)+$H8*(GC$4&gt;=$I8))*$C8*(1+'Property Summary'!$L$18)^('MF Rents'!GC$3-1))</f>
        <v>28251.50089709886</v>
      </c>
      <c r="GD8" s="149">
        <f>IF(OR($B8="",$B8=0),"",($G8*(GD$4&lt;$I8)+$H8*(GD$4&gt;=$I8))*$C8*(1+'Property Summary'!$L$18)^('MF Rents'!GD$3-1))</f>
        <v>28251.50089709886</v>
      </c>
      <c r="GE8" s="149">
        <f>IF(OR($B8="",$B8=0),"",($G8*(GE$4&lt;$I8)+$H8*(GE$4&gt;=$I8))*$C8*(1+'Property Summary'!$L$18)^('MF Rents'!GE$3-1))</f>
        <v>28251.50089709886</v>
      </c>
      <c r="GF8" s="149">
        <f>IF(OR($B8="",$B8=0),"",($G8*(GF$4&lt;$I8)+$H8*(GF$4&gt;=$I8))*$C8*(1+'Property Summary'!$L$18)^('MF Rents'!GF$3-1))</f>
        <v>28251.50089709886</v>
      </c>
      <c r="GG8" s="149">
        <f>IF(OR($B8="",$B8=0),"",($G8*(GG$4&lt;$I8)+$H8*(GG$4&gt;=$I8))*$C8*(1+'Property Summary'!$L$18)^('MF Rents'!GG$3-1))</f>
        <v>28675.273410555335</v>
      </c>
      <c r="GH8" s="149">
        <f>IF(OR($B8="",$B8=0),"",($G8*(GH$4&lt;$I8)+$H8*(GH$4&gt;=$I8))*$C8*(1+'Property Summary'!$L$18)^('MF Rents'!GH$3-1))</f>
        <v>28675.273410555335</v>
      </c>
      <c r="GI8" s="149">
        <f>IF(OR($B8="",$B8=0),"",($G8*(GI$4&lt;$I8)+$H8*(GI$4&gt;=$I8))*$C8*(1+'Property Summary'!$L$18)^('MF Rents'!GI$3-1))</f>
        <v>28675.273410555335</v>
      </c>
      <c r="GJ8" s="149">
        <f>IF(OR($B8="",$B8=0),"",($G8*(GJ$4&lt;$I8)+$H8*(GJ$4&gt;=$I8))*$C8*(1+'Property Summary'!$L$18)^('MF Rents'!GJ$3-1))</f>
        <v>28675.273410555335</v>
      </c>
      <c r="GK8" s="149">
        <f>IF(OR($B8="",$B8=0),"",($G8*(GK$4&lt;$I8)+$H8*(GK$4&gt;=$I8))*$C8*(1+'Property Summary'!$L$18)^('MF Rents'!GK$3-1))</f>
        <v>28675.273410555335</v>
      </c>
      <c r="GL8" s="149">
        <f>IF(OR($B8="",$B8=0),"",($G8*(GL$4&lt;$I8)+$H8*(GL$4&gt;=$I8))*$C8*(1+'Property Summary'!$L$18)^('MF Rents'!GL$3-1))</f>
        <v>28675.273410555335</v>
      </c>
      <c r="GM8" s="149">
        <f>IF(OR($B8="",$B8=0),"",($G8*(GM$4&lt;$I8)+$H8*(GM$4&gt;=$I8))*$C8*(1+'Property Summary'!$L$18)^('MF Rents'!GM$3-1))</f>
        <v>28675.273410555335</v>
      </c>
      <c r="GN8" s="149">
        <f>IF(OR($B8="",$B8=0),"",($G8*(GN$4&lt;$I8)+$H8*(GN$4&gt;=$I8))*$C8*(1+'Property Summary'!$L$18)^('MF Rents'!GN$3-1))</f>
        <v>28675.273410555335</v>
      </c>
      <c r="GO8" s="149">
        <f>IF(OR($B8="",$B8=0),"",($G8*(GO$4&lt;$I8)+$H8*(GO$4&gt;=$I8))*$C8*(1+'Property Summary'!$L$18)^('MF Rents'!GO$3-1))</f>
        <v>28675.273410555335</v>
      </c>
      <c r="GP8" s="149">
        <f>IF(OR($B8="",$B8=0),"",($G8*(GP$4&lt;$I8)+$H8*(GP$4&gt;=$I8))*$C8*(1+'Property Summary'!$L$18)^('MF Rents'!GP$3-1))</f>
        <v>28675.273410555335</v>
      </c>
      <c r="GQ8" s="149">
        <f>IF(OR($B8="",$B8=0),"",($G8*(GQ$4&lt;$I8)+$H8*(GQ$4&gt;=$I8))*$C8*(1+'Property Summary'!$L$18)^('MF Rents'!GQ$3-1))</f>
        <v>28675.273410555335</v>
      </c>
      <c r="GR8" s="149">
        <f>IF(OR($B8="",$B8=0),"",($G8*(GR$4&lt;$I8)+$H8*(GR$4&gt;=$I8))*$C8*(1+'Property Summary'!$L$18)^('MF Rents'!GR$3-1))</f>
        <v>28675.273410555335</v>
      </c>
    </row>
    <row r="9" spans="2:200" x14ac:dyDescent="0.3">
      <c r="B9" s="184" t="str">
        <f>'MF Rent Roll'!B8</f>
        <v>2bd/1.5ba</v>
      </c>
      <c r="C9" s="171">
        <f>'MF Rent Roll'!C8</f>
        <v>12</v>
      </c>
      <c r="D9" s="172">
        <f>'MF Rent Roll'!D8</f>
        <v>2</v>
      </c>
      <c r="E9" s="172">
        <f>'MF Rent Roll'!E8</f>
        <v>1.5</v>
      </c>
      <c r="F9" s="173">
        <f>'MF Rent Roll'!F8</f>
        <v>1025</v>
      </c>
      <c r="G9" s="174">
        <f>'MF Rent Roll'!G8</f>
        <v>850</v>
      </c>
      <c r="H9" s="174">
        <f>IF('MF Rent Roll'!H8="",G9,'MF Rent Roll'!H8)</f>
        <v>970</v>
      </c>
      <c r="I9" s="175">
        <f>IF('MF Rent Roll'!I8="",1,'MF Rent Roll'!I8)</f>
        <v>22</v>
      </c>
      <c r="J9" s="176">
        <f>'MF Rent Roll'!J8</f>
        <v>12</v>
      </c>
      <c r="K9" s="174">
        <f>'MF Rent Roll'!K8</f>
        <v>65</v>
      </c>
      <c r="L9" s="177">
        <f>'MF Rent Roll'!L8</f>
        <v>0</v>
      </c>
      <c r="M9" s="178">
        <f>'MF Rent Roll'!M8</f>
        <v>25</v>
      </c>
      <c r="N9" s="174">
        <f>'MF Rent Roll'!N8</f>
        <v>350</v>
      </c>
      <c r="O9" s="179">
        <f>'MF Rent Roll'!O8</f>
        <v>0.6</v>
      </c>
      <c r="P9" s="180">
        <f>'MF Rent Roll'!P8</f>
        <v>0</v>
      </c>
      <c r="Q9" s="181">
        <f>'MF Rent Roll'!Q8</f>
        <v>10</v>
      </c>
      <c r="R9" s="104">
        <f>'MF Rent Roll'!R8</f>
        <v>140</v>
      </c>
      <c r="U9" s="149">
        <f>IF(OR($B9="",$B9=0),"",($G9*(U$4&lt;$I9)+$H9*(U$4&gt;=$I9))*$C9*(1+'Property Summary'!$L$18)^('MF Rents'!U$3-1))</f>
        <v>10200</v>
      </c>
      <c r="V9" s="149">
        <f>IF(OR($B9="",$B9=0),"",($G9*(V$4&lt;$I9)+$H9*(V$4&gt;=$I9))*$C9*(1+'Property Summary'!$L$18)^('MF Rents'!V$3-1))</f>
        <v>10200</v>
      </c>
      <c r="W9" s="149">
        <f>IF(OR($B9="",$B9=0),"",($G9*(W$4&lt;$I9)+$H9*(W$4&gt;=$I9))*$C9*(1+'Property Summary'!$L$18)^('MF Rents'!W$3-1))</f>
        <v>10200</v>
      </c>
      <c r="X9" s="149">
        <f>IF(OR($B9="",$B9=0),"",($G9*(X$4&lt;$I9)+$H9*(X$4&gt;=$I9))*$C9*(1+'Property Summary'!$L$18)^('MF Rents'!X$3-1))</f>
        <v>10200</v>
      </c>
      <c r="Y9" s="149">
        <f>IF(OR($B9="",$B9=0),"",($G9*(Y$4&lt;$I9)+$H9*(Y$4&gt;=$I9))*$C9*(1+'Property Summary'!$L$18)^('MF Rents'!Y$3-1))</f>
        <v>10200</v>
      </c>
      <c r="Z9" s="149">
        <f>IF(OR($B9="",$B9=0),"",($G9*(Z$4&lt;$I9)+$H9*(Z$4&gt;=$I9))*$C9*(1+'Property Summary'!$L$18)^('MF Rents'!Z$3-1))</f>
        <v>10200</v>
      </c>
      <c r="AA9" s="149">
        <f>IF(OR($B9="",$B9=0),"",($G9*(AA$4&lt;$I9)+$H9*(AA$4&gt;=$I9))*$C9*(1+'Property Summary'!$L$18)^('MF Rents'!AA$3-1))</f>
        <v>10200</v>
      </c>
      <c r="AB9" s="149">
        <f>IF(OR($B9="",$B9=0),"",($G9*(AB$4&lt;$I9)+$H9*(AB$4&gt;=$I9))*$C9*(1+'Property Summary'!$L$18)^('MF Rents'!AB$3-1))</f>
        <v>10200</v>
      </c>
      <c r="AC9" s="149">
        <f>IF(OR($B9="",$B9=0),"",($G9*(AC$4&lt;$I9)+$H9*(AC$4&gt;=$I9))*$C9*(1+'Property Summary'!$L$18)^('MF Rents'!AC$3-1))</f>
        <v>10200</v>
      </c>
      <c r="AD9" s="149">
        <f>IF(OR($B9="",$B9=0),"",($G9*(AD$4&lt;$I9)+$H9*(AD$4&gt;=$I9))*$C9*(1+'Property Summary'!$L$18)^('MF Rents'!AD$3-1))</f>
        <v>10200</v>
      </c>
      <c r="AE9" s="149">
        <f>IF(OR($B9="",$B9=0),"",($G9*(AE$4&lt;$I9)+$H9*(AE$4&gt;=$I9))*$C9*(1+'Property Summary'!$L$18)^('MF Rents'!AE$3-1))</f>
        <v>10200</v>
      </c>
      <c r="AF9" s="149">
        <f>IF(OR($B9="",$B9=0),"",($G9*(AF$4&lt;$I9)+$H9*(AF$4&gt;=$I9))*$C9*(1+'Property Summary'!$L$18)^('MF Rents'!AF$3-1))</f>
        <v>10200</v>
      </c>
      <c r="AG9" s="149">
        <f>IF(OR($B9="",$B9=0),"",($G9*(AG$4&lt;$I9)+$H9*(AG$4&gt;=$I9))*$C9*(1+'Property Summary'!$L$18)^('MF Rents'!AG$3-1))</f>
        <v>10352.999999999998</v>
      </c>
      <c r="AH9" s="149">
        <f>IF(OR($B9="",$B9=0),"",($G9*(AH$4&lt;$I9)+$H9*(AH$4&gt;=$I9))*$C9*(1+'Property Summary'!$L$18)^('MF Rents'!AH$3-1))</f>
        <v>10352.999999999998</v>
      </c>
      <c r="AI9" s="149">
        <f>IF(OR($B9="",$B9=0),"",($G9*(AI$4&lt;$I9)+$H9*(AI$4&gt;=$I9))*$C9*(1+'Property Summary'!$L$18)^('MF Rents'!AI$3-1))</f>
        <v>10352.999999999998</v>
      </c>
      <c r="AJ9" s="149">
        <f>IF(OR($B9="",$B9=0),"",($G9*(AJ$4&lt;$I9)+$H9*(AJ$4&gt;=$I9))*$C9*(1+'Property Summary'!$L$18)^('MF Rents'!AJ$3-1))</f>
        <v>10352.999999999998</v>
      </c>
      <c r="AK9" s="149">
        <f>IF(OR($B9="",$B9=0),"",($G9*(AK$4&lt;$I9)+$H9*(AK$4&gt;=$I9))*$C9*(1+'Property Summary'!$L$18)^('MF Rents'!AK$3-1))</f>
        <v>10352.999999999998</v>
      </c>
      <c r="AL9" s="149">
        <f>IF(OR($B9="",$B9=0),"",($G9*(AL$4&lt;$I9)+$H9*(AL$4&gt;=$I9))*$C9*(1+'Property Summary'!$L$18)^('MF Rents'!AL$3-1))</f>
        <v>10352.999999999998</v>
      </c>
      <c r="AM9" s="149">
        <f>IF(OR($B9="",$B9=0),"",($G9*(AM$4&lt;$I9)+$H9*(AM$4&gt;=$I9))*$C9*(1+'Property Summary'!$L$18)^('MF Rents'!AM$3-1))</f>
        <v>10352.999999999998</v>
      </c>
      <c r="AN9" s="149">
        <f>IF(OR($B9="",$B9=0),"",($G9*(AN$4&lt;$I9)+$H9*(AN$4&gt;=$I9))*$C9*(1+'Property Summary'!$L$18)^('MF Rents'!AN$3-1))</f>
        <v>10352.999999999998</v>
      </c>
      <c r="AO9" s="149">
        <f>IF(OR($B9="",$B9=0),"",($G9*(AO$4&lt;$I9)+$H9*(AO$4&gt;=$I9))*$C9*(1+'Property Summary'!$L$18)^('MF Rents'!AO$3-1))</f>
        <v>10352.999999999998</v>
      </c>
      <c r="AP9" s="149">
        <f>IF(OR($B9="",$B9=0),"",($G9*(AP$4&lt;$I9)+$H9*(AP$4&gt;=$I9))*$C9*(1+'Property Summary'!$L$18)^('MF Rents'!AP$3-1))</f>
        <v>11814.599999999999</v>
      </c>
      <c r="AQ9" s="149">
        <f>IF(OR($B9="",$B9=0),"",($G9*(AQ$4&lt;$I9)+$H9*(AQ$4&gt;=$I9))*$C9*(1+'Property Summary'!$L$18)^('MF Rents'!AQ$3-1))</f>
        <v>11814.599999999999</v>
      </c>
      <c r="AR9" s="149">
        <f>IF(OR($B9="",$B9=0),"",($G9*(AR$4&lt;$I9)+$H9*(AR$4&gt;=$I9))*$C9*(1+'Property Summary'!$L$18)^('MF Rents'!AR$3-1))</f>
        <v>11814.599999999999</v>
      </c>
      <c r="AS9" s="149">
        <f>IF(OR($B9="",$B9=0),"",($G9*(AS$4&lt;$I9)+$H9*(AS$4&gt;=$I9))*$C9*(1+'Property Summary'!$L$18)^('MF Rents'!AS$3-1))</f>
        <v>11991.818999999998</v>
      </c>
      <c r="AT9" s="149">
        <f>IF(OR($B9="",$B9=0),"",($G9*(AT$4&lt;$I9)+$H9*(AT$4&gt;=$I9))*$C9*(1+'Property Summary'!$L$18)^('MF Rents'!AT$3-1))</f>
        <v>11991.818999999998</v>
      </c>
      <c r="AU9" s="149">
        <f>IF(OR($B9="",$B9=0),"",($G9*(AU$4&lt;$I9)+$H9*(AU$4&gt;=$I9))*$C9*(1+'Property Summary'!$L$18)^('MF Rents'!AU$3-1))</f>
        <v>11991.818999999998</v>
      </c>
      <c r="AV9" s="149">
        <f>IF(OR($B9="",$B9=0),"",($G9*(AV$4&lt;$I9)+$H9*(AV$4&gt;=$I9))*$C9*(1+'Property Summary'!$L$18)^('MF Rents'!AV$3-1))</f>
        <v>11991.818999999998</v>
      </c>
      <c r="AW9" s="149">
        <f>IF(OR($B9="",$B9=0),"",($G9*(AW$4&lt;$I9)+$H9*(AW$4&gt;=$I9))*$C9*(1+'Property Summary'!$L$18)^('MF Rents'!AW$3-1))</f>
        <v>11991.818999999998</v>
      </c>
      <c r="AX9" s="149">
        <f>IF(OR($B9="",$B9=0),"",($G9*(AX$4&lt;$I9)+$H9*(AX$4&gt;=$I9))*$C9*(1+'Property Summary'!$L$18)^('MF Rents'!AX$3-1))</f>
        <v>11991.818999999998</v>
      </c>
      <c r="AY9" s="149">
        <f>IF(OR($B9="",$B9=0),"",($G9*(AY$4&lt;$I9)+$H9*(AY$4&gt;=$I9))*$C9*(1+'Property Summary'!$L$18)^('MF Rents'!AY$3-1))</f>
        <v>11991.818999999998</v>
      </c>
      <c r="AZ9" s="149">
        <f>IF(OR($B9="",$B9=0),"",($G9*(AZ$4&lt;$I9)+$H9*(AZ$4&gt;=$I9))*$C9*(1+'Property Summary'!$L$18)^('MF Rents'!AZ$3-1))</f>
        <v>11991.818999999998</v>
      </c>
      <c r="BA9" s="149">
        <f>IF(OR($B9="",$B9=0),"",($G9*(BA$4&lt;$I9)+$H9*(BA$4&gt;=$I9))*$C9*(1+'Property Summary'!$L$18)^('MF Rents'!BA$3-1))</f>
        <v>11991.818999999998</v>
      </c>
      <c r="BB9" s="149">
        <f>IF(OR($B9="",$B9=0),"",($G9*(BB$4&lt;$I9)+$H9*(BB$4&gt;=$I9))*$C9*(1+'Property Summary'!$L$18)^('MF Rents'!BB$3-1))</f>
        <v>11991.818999999998</v>
      </c>
      <c r="BC9" s="149">
        <f>IF(OR($B9="",$B9=0),"",($G9*(BC$4&lt;$I9)+$H9*(BC$4&gt;=$I9))*$C9*(1+'Property Summary'!$L$18)^('MF Rents'!BC$3-1))</f>
        <v>11991.818999999998</v>
      </c>
      <c r="BD9" s="149">
        <f>IF(OR($B9="",$B9=0),"",($G9*(BD$4&lt;$I9)+$H9*(BD$4&gt;=$I9))*$C9*(1+'Property Summary'!$L$18)^('MF Rents'!BD$3-1))</f>
        <v>11991.818999999998</v>
      </c>
      <c r="BE9" s="149">
        <f>IF(OR($B9="",$B9=0),"",($G9*(BE$4&lt;$I9)+$H9*(BE$4&gt;=$I9))*$C9*(1+'Property Summary'!$L$18)^('MF Rents'!BE$3-1))</f>
        <v>12171.696284999995</v>
      </c>
      <c r="BF9" s="149">
        <f>IF(OR($B9="",$B9=0),"",($G9*(BF$4&lt;$I9)+$H9*(BF$4&gt;=$I9))*$C9*(1+'Property Summary'!$L$18)^('MF Rents'!BF$3-1))</f>
        <v>12171.696284999995</v>
      </c>
      <c r="BG9" s="149">
        <f>IF(OR($B9="",$B9=0),"",($G9*(BG$4&lt;$I9)+$H9*(BG$4&gt;=$I9))*$C9*(1+'Property Summary'!$L$18)^('MF Rents'!BG$3-1))</f>
        <v>12171.696284999995</v>
      </c>
      <c r="BH9" s="149">
        <f>IF(OR($B9="",$B9=0),"",($G9*(BH$4&lt;$I9)+$H9*(BH$4&gt;=$I9))*$C9*(1+'Property Summary'!$L$18)^('MF Rents'!BH$3-1))</f>
        <v>12171.696284999995</v>
      </c>
      <c r="BI9" s="149">
        <f>IF(OR($B9="",$B9=0),"",($G9*(BI$4&lt;$I9)+$H9*(BI$4&gt;=$I9))*$C9*(1+'Property Summary'!$L$18)^('MF Rents'!BI$3-1))</f>
        <v>12171.696284999995</v>
      </c>
      <c r="BJ9" s="149">
        <f>IF(OR($B9="",$B9=0),"",($G9*(BJ$4&lt;$I9)+$H9*(BJ$4&gt;=$I9))*$C9*(1+'Property Summary'!$L$18)^('MF Rents'!BJ$3-1))</f>
        <v>12171.696284999995</v>
      </c>
      <c r="BK9" s="149">
        <f>IF(OR($B9="",$B9=0),"",($G9*(BK$4&lt;$I9)+$H9*(BK$4&gt;=$I9))*$C9*(1+'Property Summary'!$L$18)^('MF Rents'!BK$3-1))</f>
        <v>12171.696284999995</v>
      </c>
      <c r="BL9" s="149">
        <f>IF(OR($B9="",$B9=0),"",($G9*(BL$4&lt;$I9)+$H9*(BL$4&gt;=$I9))*$C9*(1+'Property Summary'!$L$18)^('MF Rents'!BL$3-1))</f>
        <v>12171.696284999995</v>
      </c>
      <c r="BM9" s="149">
        <f>IF(OR($B9="",$B9=0),"",($G9*(BM$4&lt;$I9)+$H9*(BM$4&gt;=$I9))*$C9*(1+'Property Summary'!$L$18)^('MF Rents'!BM$3-1))</f>
        <v>12171.696284999995</v>
      </c>
      <c r="BN9" s="149">
        <f>IF(OR($B9="",$B9=0),"",($G9*(BN$4&lt;$I9)+$H9*(BN$4&gt;=$I9))*$C9*(1+'Property Summary'!$L$18)^('MF Rents'!BN$3-1))</f>
        <v>12171.696284999995</v>
      </c>
      <c r="BO9" s="149">
        <f>IF(OR($B9="",$B9=0),"",($G9*(BO$4&lt;$I9)+$H9*(BO$4&gt;=$I9))*$C9*(1+'Property Summary'!$L$18)^('MF Rents'!BO$3-1))</f>
        <v>12171.696284999995</v>
      </c>
      <c r="BP9" s="149">
        <f>IF(OR($B9="",$B9=0),"",($G9*(BP$4&lt;$I9)+$H9*(BP$4&gt;=$I9))*$C9*(1+'Property Summary'!$L$18)^('MF Rents'!BP$3-1))</f>
        <v>12171.696284999995</v>
      </c>
      <c r="BQ9" s="149">
        <f>IF(OR($B9="",$B9=0),"",($G9*(BQ$4&lt;$I9)+$H9*(BQ$4&gt;=$I9))*$C9*(1+'Property Summary'!$L$18)^('MF Rents'!BQ$3-1))</f>
        <v>12354.271729274993</v>
      </c>
      <c r="BR9" s="149">
        <f>IF(OR($B9="",$B9=0),"",($G9*(BR$4&lt;$I9)+$H9*(BR$4&gt;=$I9))*$C9*(1+'Property Summary'!$L$18)^('MF Rents'!BR$3-1))</f>
        <v>12354.271729274993</v>
      </c>
      <c r="BS9" s="149">
        <f>IF(OR($B9="",$B9=0),"",($G9*(BS$4&lt;$I9)+$H9*(BS$4&gt;=$I9))*$C9*(1+'Property Summary'!$L$18)^('MF Rents'!BS$3-1))</f>
        <v>12354.271729274993</v>
      </c>
      <c r="BT9" s="149">
        <f>IF(OR($B9="",$B9=0),"",($G9*(BT$4&lt;$I9)+$H9*(BT$4&gt;=$I9))*$C9*(1+'Property Summary'!$L$18)^('MF Rents'!BT$3-1))</f>
        <v>12354.271729274993</v>
      </c>
      <c r="BU9" s="149">
        <f>IF(OR($B9="",$B9=0),"",($G9*(BU$4&lt;$I9)+$H9*(BU$4&gt;=$I9))*$C9*(1+'Property Summary'!$L$18)^('MF Rents'!BU$3-1))</f>
        <v>12354.271729274993</v>
      </c>
      <c r="BV9" s="149">
        <f>IF(OR($B9="",$B9=0),"",($G9*(BV$4&lt;$I9)+$H9*(BV$4&gt;=$I9))*$C9*(1+'Property Summary'!$L$18)^('MF Rents'!BV$3-1))</f>
        <v>12354.271729274993</v>
      </c>
      <c r="BW9" s="149">
        <f>IF(OR($B9="",$B9=0),"",($G9*(BW$4&lt;$I9)+$H9*(BW$4&gt;=$I9))*$C9*(1+'Property Summary'!$L$18)^('MF Rents'!BW$3-1))</f>
        <v>12354.271729274993</v>
      </c>
      <c r="BX9" s="149">
        <f>IF(OR($B9="",$B9=0),"",($G9*(BX$4&lt;$I9)+$H9*(BX$4&gt;=$I9))*$C9*(1+'Property Summary'!$L$18)^('MF Rents'!BX$3-1))</f>
        <v>12354.271729274993</v>
      </c>
      <c r="BY9" s="149">
        <f>IF(OR($B9="",$B9=0),"",($G9*(BY$4&lt;$I9)+$H9*(BY$4&gt;=$I9))*$C9*(1+'Property Summary'!$L$18)^('MF Rents'!BY$3-1))</f>
        <v>12354.271729274993</v>
      </c>
      <c r="BZ9" s="149">
        <f>IF(OR($B9="",$B9=0),"",($G9*(BZ$4&lt;$I9)+$H9*(BZ$4&gt;=$I9))*$C9*(1+'Property Summary'!$L$18)^('MF Rents'!BZ$3-1))</f>
        <v>12354.271729274993</v>
      </c>
      <c r="CA9" s="149">
        <f>IF(OR($B9="",$B9=0),"",($G9*(CA$4&lt;$I9)+$H9*(CA$4&gt;=$I9))*$C9*(1+'Property Summary'!$L$18)^('MF Rents'!CA$3-1))</f>
        <v>12354.271729274993</v>
      </c>
      <c r="CB9" s="149">
        <f>IF(OR($B9="",$B9=0),"",($G9*(CB$4&lt;$I9)+$H9*(CB$4&gt;=$I9))*$C9*(1+'Property Summary'!$L$18)^('MF Rents'!CB$3-1))</f>
        <v>12354.271729274993</v>
      </c>
      <c r="CC9" s="149">
        <f>IF(OR($B9="",$B9=0),"",($G9*(CC$4&lt;$I9)+$H9*(CC$4&gt;=$I9))*$C9*(1+'Property Summary'!$L$18)^('MF Rents'!CC$3-1))</f>
        <v>12539.585805214117</v>
      </c>
      <c r="CD9" s="149">
        <f>IF(OR($B9="",$B9=0),"",($G9*(CD$4&lt;$I9)+$H9*(CD$4&gt;=$I9))*$C9*(1+'Property Summary'!$L$18)^('MF Rents'!CD$3-1))</f>
        <v>12539.585805214117</v>
      </c>
      <c r="CE9" s="149">
        <f>IF(OR($B9="",$B9=0),"",($G9*(CE$4&lt;$I9)+$H9*(CE$4&gt;=$I9))*$C9*(1+'Property Summary'!$L$18)^('MF Rents'!CE$3-1))</f>
        <v>12539.585805214117</v>
      </c>
      <c r="CF9" s="149">
        <f>IF(OR($B9="",$B9=0),"",($G9*(CF$4&lt;$I9)+$H9*(CF$4&gt;=$I9))*$C9*(1+'Property Summary'!$L$18)^('MF Rents'!CF$3-1))</f>
        <v>12539.585805214117</v>
      </c>
      <c r="CG9" s="149">
        <f>IF(OR($B9="",$B9=0),"",($G9*(CG$4&lt;$I9)+$H9*(CG$4&gt;=$I9))*$C9*(1+'Property Summary'!$L$18)^('MF Rents'!CG$3-1))</f>
        <v>12539.585805214117</v>
      </c>
      <c r="CH9" s="149">
        <f>IF(OR($B9="",$B9=0),"",($G9*(CH$4&lt;$I9)+$H9*(CH$4&gt;=$I9))*$C9*(1+'Property Summary'!$L$18)^('MF Rents'!CH$3-1))</f>
        <v>12539.585805214117</v>
      </c>
      <c r="CI9" s="149">
        <f>IF(OR($B9="",$B9=0),"",($G9*(CI$4&lt;$I9)+$H9*(CI$4&gt;=$I9))*$C9*(1+'Property Summary'!$L$18)^('MF Rents'!CI$3-1))</f>
        <v>12539.585805214117</v>
      </c>
      <c r="CJ9" s="149">
        <f>IF(OR($B9="",$B9=0),"",($G9*(CJ$4&lt;$I9)+$H9*(CJ$4&gt;=$I9))*$C9*(1+'Property Summary'!$L$18)^('MF Rents'!CJ$3-1))</f>
        <v>12539.585805214117</v>
      </c>
      <c r="CK9" s="149">
        <f>IF(OR($B9="",$B9=0),"",($G9*(CK$4&lt;$I9)+$H9*(CK$4&gt;=$I9))*$C9*(1+'Property Summary'!$L$18)^('MF Rents'!CK$3-1))</f>
        <v>12539.585805214117</v>
      </c>
      <c r="CL9" s="149">
        <f>IF(OR($B9="",$B9=0),"",($G9*(CL$4&lt;$I9)+$H9*(CL$4&gt;=$I9))*$C9*(1+'Property Summary'!$L$18)^('MF Rents'!CL$3-1))</f>
        <v>12539.585805214117</v>
      </c>
      <c r="CM9" s="149">
        <f>IF(OR($B9="",$B9=0),"",($G9*(CM$4&lt;$I9)+$H9*(CM$4&gt;=$I9))*$C9*(1+'Property Summary'!$L$18)^('MF Rents'!CM$3-1))</f>
        <v>12539.585805214117</v>
      </c>
      <c r="CN9" s="149">
        <f>IF(OR($B9="",$B9=0),"",($G9*(CN$4&lt;$I9)+$H9*(CN$4&gt;=$I9))*$C9*(1+'Property Summary'!$L$18)^('MF Rents'!CN$3-1))</f>
        <v>12539.585805214117</v>
      </c>
      <c r="CO9" s="149">
        <f>IF(OR($B9="",$B9=0),"",($G9*(CO$4&lt;$I9)+$H9*(CO$4&gt;=$I9))*$C9*(1+'Property Summary'!$L$18)^('MF Rents'!CO$3-1))</f>
        <v>12727.679592292327</v>
      </c>
      <c r="CP9" s="149">
        <f>IF(OR($B9="",$B9=0),"",($G9*(CP$4&lt;$I9)+$H9*(CP$4&gt;=$I9))*$C9*(1+'Property Summary'!$L$18)^('MF Rents'!CP$3-1))</f>
        <v>12727.679592292327</v>
      </c>
      <c r="CQ9" s="149">
        <f>IF(OR($B9="",$B9=0),"",($G9*(CQ$4&lt;$I9)+$H9*(CQ$4&gt;=$I9))*$C9*(1+'Property Summary'!$L$18)^('MF Rents'!CQ$3-1))</f>
        <v>12727.679592292327</v>
      </c>
      <c r="CR9" s="149">
        <f>IF(OR($B9="",$B9=0),"",($G9*(CR$4&lt;$I9)+$H9*(CR$4&gt;=$I9))*$C9*(1+'Property Summary'!$L$18)^('MF Rents'!CR$3-1))</f>
        <v>12727.679592292327</v>
      </c>
      <c r="CS9" s="149">
        <f>IF(OR($B9="",$B9=0),"",($G9*(CS$4&lt;$I9)+$H9*(CS$4&gt;=$I9))*$C9*(1+'Property Summary'!$L$18)^('MF Rents'!CS$3-1))</f>
        <v>12727.679592292327</v>
      </c>
      <c r="CT9" s="149">
        <f>IF(OR($B9="",$B9=0),"",($G9*(CT$4&lt;$I9)+$H9*(CT$4&gt;=$I9))*$C9*(1+'Property Summary'!$L$18)^('MF Rents'!CT$3-1))</f>
        <v>12727.679592292327</v>
      </c>
      <c r="CU9" s="149">
        <f>IF(OR($B9="",$B9=0),"",($G9*(CU$4&lt;$I9)+$H9*(CU$4&gt;=$I9))*$C9*(1+'Property Summary'!$L$18)^('MF Rents'!CU$3-1))</f>
        <v>12727.679592292327</v>
      </c>
      <c r="CV9" s="149">
        <f>IF(OR($B9="",$B9=0),"",($G9*(CV$4&lt;$I9)+$H9*(CV$4&gt;=$I9))*$C9*(1+'Property Summary'!$L$18)^('MF Rents'!CV$3-1))</f>
        <v>12727.679592292327</v>
      </c>
      <c r="CW9" s="149">
        <f>IF(OR($B9="",$B9=0),"",($G9*(CW$4&lt;$I9)+$H9*(CW$4&gt;=$I9))*$C9*(1+'Property Summary'!$L$18)^('MF Rents'!CW$3-1))</f>
        <v>12727.679592292327</v>
      </c>
      <c r="CX9" s="149">
        <f>IF(OR($B9="",$B9=0),"",($G9*(CX$4&lt;$I9)+$H9*(CX$4&gt;=$I9))*$C9*(1+'Property Summary'!$L$18)^('MF Rents'!CX$3-1))</f>
        <v>12727.679592292327</v>
      </c>
      <c r="CY9" s="149">
        <f>IF(OR($B9="",$B9=0),"",($G9*(CY$4&lt;$I9)+$H9*(CY$4&gt;=$I9))*$C9*(1+'Property Summary'!$L$18)^('MF Rents'!CY$3-1))</f>
        <v>12727.679592292327</v>
      </c>
      <c r="CZ9" s="149">
        <f>IF(OR($B9="",$B9=0),"",($G9*(CZ$4&lt;$I9)+$H9*(CZ$4&gt;=$I9))*$C9*(1+'Property Summary'!$L$18)^('MF Rents'!CZ$3-1))</f>
        <v>12727.679592292327</v>
      </c>
      <c r="DA9" s="149">
        <f>IF(OR($B9="",$B9=0),"",($G9*(DA$4&lt;$I9)+$H9*(DA$4&gt;=$I9))*$C9*(1+'Property Summary'!$L$18)^('MF Rents'!DA$3-1))</f>
        <v>12918.594786176709</v>
      </c>
      <c r="DB9" s="149">
        <f>IF(OR($B9="",$B9=0),"",($G9*(DB$4&lt;$I9)+$H9*(DB$4&gt;=$I9))*$C9*(1+'Property Summary'!$L$18)^('MF Rents'!DB$3-1))</f>
        <v>12918.594786176709</v>
      </c>
      <c r="DC9" s="149">
        <f>IF(OR($B9="",$B9=0),"",($G9*(DC$4&lt;$I9)+$H9*(DC$4&gt;=$I9))*$C9*(1+'Property Summary'!$L$18)^('MF Rents'!DC$3-1))</f>
        <v>12918.594786176709</v>
      </c>
      <c r="DD9" s="149">
        <f>IF(OR($B9="",$B9=0),"",($G9*(DD$4&lt;$I9)+$H9*(DD$4&gt;=$I9))*$C9*(1+'Property Summary'!$L$18)^('MF Rents'!DD$3-1))</f>
        <v>12918.594786176709</v>
      </c>
      <c r="DE9" s="149">
        <f>IF(OR($B9="",$B9=0),"",($G9*(DE$4&lt;$I9)+$H9*(DE$4&gt;=$I9))*$C9*(1+'Property Summary'!$L$18)^('MF Rents'!DE$3-1))</f>
        <v>12918.594786176709</v>
      </c>
      <c r="DF9" s="149">
        <f>IF(OR($B9="",$B9=0),"",($G9*(DF$4&lt;$I9)+$H9*(DF$4&gt;=$I9))*$C9*(1+'Property Summary'!$L$18)^('MF Rents'!DF$3-1))</f>
        <v>12918.594786176709</v>
      </c>
      <c r="DG9" s="149">
        <f>IF(OR($B9="",$B9=0),"",($G9*(DG$4&lt;$I9)+$H9*(DG$4&gt;=$I9))*$C9*(1+'Property Summary'!$L$18)^('MF Rents'!DG$3-1))</f>
        <v>12918.594786176709</v>
      </c>
      <c r="DH9" s="149">
        <f>IF(OR($B9="",$B9=0),"",($G9*(DH$4&lt;$I9)+$H9*(DH$4&gt;=$I9))*$C9*(1+'Property Summary'!$L$18)^('MF Rents'!DH$3-1))</f>
        <v>12918.594786176709</v>
      </c>
      <c r="DI9" s="149">
        <f>IF(OR($B9="",$B9=0),"",($G9*(DI$4&lt;$I9)+$H9*(DI$4&gt;=$I9))*$C9*(1+'Property Summary'!$L$18)^('MF Rents'!DI$3-1))</f>
        <v>12918.594786176709</v>
      </c>
      <c r="DJ9" s="149">
        <f>IF(OR($B9="",$B9=0),"",($G9*(DJ$4&lt;$I9)+$H9*(DJ$4&gt;=$I9))*$C9*(1+'Property Summary'!$L$18)^('MF Rents'!DJ$3-1))</f>
        <v>12918.594786176709</v>
      </c>
      <c r="DK9" s="149">
        <f>IF(OR($B9="",$B9=0),"",($G9*(DK$4&lt;$I9)+$H9*(DK$4&gt;=$I9))*$C9*(1+'Property Summary'!$L$18)^('MF Rents'!DK$3-1))</f>
        <v>12918.594786176709</v>
      </c>
      <c r="DL9" s="149">
        <f>IF(OR($B9="",$B9=0),"",($G9*(DL$4&lt;$I9)+$H9*(DL$4&gt;=$I9))*$C9*(1+'Property Summary'!$L$18)^('MF Rents'!DL$3-1))</f>
        <v>12918.594786176709</v>
      </c>
      <c r="DM9" s="149">
        <f>IF(OR($B9="",$B9=0),"",($G9*(DM$4&lt;$I9)+$H9*(DM$4&gt;=$I9))*$C9*(1+'Property Summary'!$L$18)^('MF Rents'!DM$3-1))</f>
        <v>13112.373707969358</v>
      </c>
      <c r="DN9" s="149">
        <f>IF(OR($B9="",$B9=0),"",($G9*(DN$4&lt;$I9)+$H9*(DN$4&gt;=$I9))*$C9*(1+'Property Summary'!$L$18)^('MF Rents'!DN$3-1))</f>
        <v>13112.373707969358</v>
      </c>
      <c r="DO9" s="149">
        <f>IF(OR($B9="",$B9=0),"",($G9*(DO$4&lt;$I9)+$H9*(DO$4&gt;=$I9))*$C9*(1+'Property Summary'!$L$18)^('MF Rents'!DO$3-1))</f>
        <v>13112.373707969358</v>
      </c>
      <c r="DP9" s="149">
        <f>IF(OR($B9="",$B9=0),"",($G9*(DP$4&lt;$I9)+$H9*(DP$4&gt;=$I9))*$C9*(1+'Property Summary'!$L$18)^('MF Rents'!DP$3-1))</f>
        <v>13112.373707969358</v>
      </c>
      <c r="DQ9" s="149">
        <f>IF(OR($B9="",$B9=0),"",($G9*(DQ$4&lt;$I9)+$H9*(DQ$4&gt;=$I9))*$C9*(1+'Property Summary'!$L$18)^('MF Rents'!DQ$3-1))</f>
        <v>13112.373707969358</v>
      </c>
      <c r="DR9" s="149">
        <f>IF(OR($B9="",$B9=0),"",($G9*(DR$4&lt;$I9)+$H9*(DR$4&gt;=$I9))*$C9*(1+'Property Summary'!$L$18)^('MF Rents'!DR$3-1))</f>
        <v>13112.373707969358</v>
      </c>
      <c r="DS9" s="149">
        <f>IF(OR($B9="",$B9=0),"",($G9*(DS$4&lt;$I9)+$H9*(DS$4&gt;=$I9))*$C9*(1+'Property Summary'!$L$18)^('MF Rents'!DS$3-1))</f>
        <v>13112.373707969358</v>
      </c>
      <c r="DT9" s="149">
        <f>IF(OR($B9="",$B9=0),"",($G9*(DT$4&lt;$I9)+$H9*(DT$4&gt;=$I9))*$C9*(1+'Property Summary'!$L$18)^('MF Rents'!DT$3-1))</f>
        <v>13112.373707969358</v>
      </c>
      <c r="DU9" s="149">
        <f>IF(OR($B9="",$B9=0),"",($G9*(DU$4&lt;$I9)+$H9*(DU$4&gt;=$I9))*$C9*(1+'Property Summary'!$L$18)^('MF Rents'!DU$3-1))</f>
        <v>13112.373707969358</v>
      </c>
      <c r="DV9" s="149">
        <f>IF(OR($B9="",$B9=0),"",($G9*(DV$4&lt;$I9)+$H9*(DV$4&gt;=$I9))*$C9*(1+'Property Summary'!$L$18)^('MF Rents'!DV$3-1))</f>
        <v>13112.373707969358</v>
      </c>
      <c r="DW9" s="149">
        <f>IF(OR($B9="",$B9=0),"",($G9*(DW$4&lt;$I9)+$H9*(DW$4&gt;=$I9))*$C9*(1+'Property Summary'!$L$18)^('MF Rents'!DW$3-1))</f>
        <v>13112.373707969358</v>
      </c>
      <c r="DX9" s="149">
        <f>IF(OR($B9="",$B9=0),"",($G9*(DX$4&lt;$I9)+$H9*(DX$4&gt;=$I9))*$C9*(1+'Property Summary'!$L$18)^('MF Rents'!DX$3-1))</f>
        <v>13112.373707969358</v>
      </c>
      <c r="DY9" s="149">
        <f>IF(OR($B9="",$B9=0),"",($G9*(DY$4&lt;$I9)+$H9*(DY$4&gt;=$I9))*$C9*(1+'Property Summary'!$L$18)^('MF Rents'!DY$3-1))</f>
        <v>13309.059313588898</v>
      </c>
      <c r="DZ9" s="149">
        <f>IF(OR($B9="",$B9=0),"",($G9*(DZ$4&lt;$I9)+$H9*(DZ$4&gt;=$I9))*$C9*(1+'Property Summary'!$L$18)^('MF Rents'!DZ$3-1))</f>
        <v>13309.059313588898</v>
      </c>
      <c r="EA9" s="149">
        <f>IF(OR($B9="",$B9=0),"",($G9*(EA$4&lt;$I9)+$H9*(EA$4&gt;=$I9))*$C9*(1+'Property Summary'!$L$18)^('MF Rents'!EA$3-1))</f>
        <v>13309.059313588898</v>
      </c>
      <c r="EB9" s="149">
        <f>IF(OR($B9="",$B9=0),"",($G9*(EB$4&lt;$I9)+$H9*(EB$4&gt;=$I9))*$C9*(1+'Property Summary'!$L$18)^('MF Rents'!EB$3-1))</f>
        <v>13309.059313588898</v>
      </c>
      <c r="EC9" s="149">
        <f>IF(OR($B9="",$B9=0),"",($G9*(EC$4&lt;$I9)+$H9*(EC$4&gt;=$I9))*$C9*(1+'Property Summary'!$L$18)^('MF Rents'!EC$3-1))</f>
        <v>13309.059313588898</v>
      </c>
      <c r="ED9" s="149">
        <f>IF(OR($B9="",$B9=0),"",($G9*(ED$4&lt;$I9)+$H9*(ED$4&gt;=$I9))*$C9*(1+'Property Summary'!$L$18)^('MF Rents'!ED$3-1))</f>
        <v>13309.059313588898</v>
      </c>
      <c r="EE9" s="149">
        <f>IF(OR($B9="",$B9=0),"",($G9*(EE$4&lt;$I9)+$H9*(EE$4&gt;=$I9))*$C9*(1+'Property Summary'!$L$18)^('MF Rents'!EE$3-1))</f>
        <v>13309.059313588898</v>
      </c>
      <c r="EF9" s="149">
        <f>IF(OR($B9="",$B9=0),"",($G9*(EF$4&lt;$I9)+$H9*(EF$4&gt;=$I9))*$C9*(1+'Property Summary'!$L$18)^('MF Rents'!EF$3-1))</f>
        <v>13309.059313588898</v>
      </c>
      <c r="EG9" s="149">
        <f>IF(OR($B9="",$B9=0),"",($G9*(EG$4&lt;$I9)+$H9*(EG$4&gt;=$I9))*$C9*(1+'Property Summary'!$L$18)^('MF Rents'!EG$3-1))</f>
        <v>13309.059313588898</v>
      </c>
      <c r="EH9" s="149">
        <f>IF(OR($B9="",$B9=0),"",($G9*(EH$4&lt;$I9)+$H9*(EH$4&gt;=$I9))*$C9*(1+'Property Summary'!$L$18)^('MF Rents'!EH$3-1))</f>
        <v>13309.059313588898</v>
      </c>
      <c r="EI9" s="149">
        <f>IF(OR($B9="",$B9=0),"",($G9*(EI$4&lt;$I9)+$H9*(EI$4&gt;=$I9))*$C9*(1+'Property Summary'!$L$18)^('MF Rents'!EI$3-1))</f>
        <v>13309.059313588898</v>
      </c>
      <c r="EJ9" s="149">
        <f>IF(OR($B9="",$B9=0),"",($G9*(EJ$4&lt;$I9)+$H9*(EJ$4&gt;=$I9))*$C9*(1+'Property Summary'!$L$18)^('MF Rents'!EJ$3-1))</f>
        <v>13309.059313588898</v>
      </c>
      <c r="EK9" s="149">
        <f>IF(OR($B9="",$B9=0),"",($G9*(EK$4&lt;$I9)+$H9*(EK$4&gt;=$I9))*$C9*(1+'Property Summary'!$L$18)^('MF Rents'!EK$3-1))</f>
        <v>13508.695203292729</v>
      </c>
      <c r="EL9" s="149">
        <f>IF(OR($B9="",$B9=0),"",($G9*(EL$4&lt;$I9)+$H9*(EL$4&gt;=$I9))*$C9*(1+'Property Summary'!$L$18)^('MF Rents'!EL$3-1))</f>
        <v>13508.695203292729</v>
      </c>
      <c r="EM9" s="149">
        <f>IF(OR($B9="",$B9=0),"",($G9*(EM$4&lt;$I9)+$H9*(EM$4&gt;=$I9))*$C9*(1+'Property Summary'!$L$18)^('MF Rents'!EM$3-1))</f>
        <v>13508.695203292729</v>
      </c>
      <c r="EN9" s="149">
        <f>IF(OR($B9="",$B9=0),"",($G9*(EN$4&lt;$I9)+$H9*(EN$4&gt;=$I9))*$C9*(1+'Property Summary'!$L$18)^('MF Rents'!EN$3-1))</f>
        <v>13508.695203292729</v>
      </c>
      <c r="EO9" s="149">
        <f>IF(OR($B9="",$B9=0),"",($G9*(EO$4&lt;$I9)+$H9*(EO$4&gt;=$I9))*$C9*(1+'Property Summary'!$L$18)^('MF Rents'!EO$3-1))</f>
        <v>13508.695203292729</v>
      </c>
      <c r="EP9" s="149">
        <f>IF(OR($B9="",$B9=0),"",($G9*(EP$4&lt;$I9)+$H9*(EP$4&gt;=$I9))*$C9*(1+'Property Summary'!$L$18)^('MF Rents'!EP$3-1))</f>
        <v>13508.695203292729</v>
      </c>
      <c r="EQ9" s="149">
        <f>IF(OR($B9="",$B9=0),"",($G9*(EQ$4&lt;$I9)+$H9*(EQ$4&gt;=$I9))*$C9*(1+'Property Summary'!$L$18)^('MF Rents'!EQ$3-1))</f>
        <v>13508.695203292729</v>
      </c>
      <c r="ER9" s="149">
        <f>IF(OR($B9="",$B9=0),"",($G9*(ER$4&lt;$I9)+$H9*(ER$4&gt;=$I9))*$C9*(1+'Property Summary'!$L$18)^('MF Rents'!ER$3-1))</f>
        <v>13508.695203292729</v>
      </c>
      <c r="ES9" s="149">
        <f>IF(OR($B9="",$B9=0),"",($G9*(ES$4&lt;$I9)+$H9*(ES$4&gt;=$I9))*$C9*(1+'Property Summary'!$L$18)^('MF Rents'!ES$3-1))</f>
        <v>13508.695203292729</v>
      </c>
      <c r="ET9" s="149">
        <f>IF(OR($B9="",$B9=0),"",($G9*(ET$4&lt;$I9)+$H9*(ET$4&gt;=$I9))*$C9*(1+'Property Summary'!$L$18)^('MF Rents'!ET$3-1))</f>
        <v>13508.695203292729</v>
      </c>
      <c r="EU9" s="149">
        <f>IF(OR($B9="",$B9=0),"",($G9*(EU$4&lt;$I9)+$H9*(EU$4&gt;=$I9))*$C9*(1+'Property Summary'!$L$18)^('MF Rents'!EU$3-1))</f>
        <v>13508.695203292729</v>
      </c>
      <c r="EV9" s="149">
        <f>IF(OR($B9="",$B9=0),"",($G9*(EV$4&lt;$I9)+$H9*(EV$4&gt;=$I9))*$C9*(1+'Property Summary'!$L$18)^('MF Rents'!EV$3-1))</f>
        <v>13508.695203292729</v>
      </c>
      <c r="EW9" s="149">
        <f>IF(OR($B9="",$B9=0),"",($G9*(EW$4&lt;$I9)+$H9*(EW$4&gt;=$I9))*$C9*(1+'Property Summary'!$L$18)^('MF Rents'!EW$3-1))</f>
        <v>13711.325631342119</v>
      </c>
      <c r="EX9" s="149">
        <f>IF(OR($B9="",$B9=0),"",($G9*(EX$4&lt;$I9)+$H9*(EX$4&gt;=$I9))*$C9*(1+'Property Summary'!$L$18)^('MF Rents'!EX$3-1))</f>
        <v>13711.325631342119</v>
      </c>
      <c r="EY9" s="149">
        <f>IF(OR($B9="",$B9=0),"",($G9*(EY$4&lt;$I9)+$H9*(EY$4&gt;=$I9))*$C9*(1+'Property Summary'!$L$18)^('MF Rents'!EY$3-1))</f>
        <v>13711.325631342119</v>
      </c>
      <c r="EZ9" s="149">
        <f>IF(OR($B9="",$B9=0),"",($G9*(EZ$4&lt;$I9)+$H9*(EZ$4&gt;=$I9))*$C9*(1+'Property Summary'!$L$18)^('MF Rents'!EZ$3-1))</f>
        <v>13711.325631342119</v>
      </c>
      <c r="FA9" s="149">
        <f>IF(OR($B9="",$B9=0),"",($G9*(FA$4&lt;$I9)+$H9*(FA$4&gt;=$I9))*$C9*(1+'Property Summary'!$L$18)^('MF Rents'!FA$3-1))</f>
        <v>13711.325631342119</v>
      </c>
      <c r="FB9" s="149">
        <f>IF(OR($B9="",$B9=0),"",($G9*(FB$4&lt;$I9)+$H9*(FB$4&gt;=$I9))*$C9*(1+'Property Summary'!$L$18)^('MF Rents'!FB$3-1))</f>
        <v>13711.325631342119</v>
      </c>
      <c r="FC9" s="149">
        <f>IF(OR($B9="",$B9=0),"",($G9*(FC$4&lt;$I9)+$H9*(FC$4&gt;=$I9))*$C9*(1+'Property Summary'!$L$18)^('MF Rents'!FC$3-1))</f>
        <v>13711.325631342119</v>
      </c>
      <c r="FD9" s="149">
        <f>IF(OR($B9="",$B9=0),"",($G9*(FD$4&lt;$I9)+$H9*(FD$4&gt;=$I9))*$C9*(1+'Property Summary'!$L$18)^('MF Rents'!FD$3-1))</f>
        <v>13711.325631342119</v>
      </c>
      <c r="FE9" s="149">
        <f>IF(OR($B9="",$B9=0),"",($G9*(FE$4&lt;$I9)+$H9*(FE$4&gt;=$I9))*$C9*(1+'Property Summary'!$L$18)^('MF Rents'!FE$3-1))</f>
        <v>13711.325631342119</v>
      </c>
      <c r="FF9" s="149">
        <f>IF(OR($B9="",$B9=0),"",($G9*(FF$4&lt;$I9)+$H9*(FF$4&gt;=$I9))*$C9*(1+'Property Summary'!$L$18)^('MF Rents'!FF$3-1))</f>
        <v>13711.325631342119</v>
      </c>
      <c r="FG9" s="149">
        <f>IF(OR($B9="",$B9=0),"",($G9*(FG$4&lt;$I9)+$H9*(FG$4&gt;=$I9))*$C9*(1+'Property Summary'!$L$18)^('MF Rents'!FG$3-1))</f>
        <v>13711.325631342119</v>
      </c>
      <c r="FH9" s="149">
        <f>IF(OR($B9="",$B9=0),"",($G9*(FH$4&lt;$I9)+$H9*(FH$4&gt;=$I9))*$C9*(1+'Property Summary'!$L$18)^('MF Rents'!FH$3-1))</f>
        <v>13711.325631342119</v>
      </c>
      <c r="FI9" s="149">
        <f>IF(OR($B9="",$B9=0),"",($G9*(FI$4&lt;$I9)+$H9*(FI$4&gt;=$I9))*$C9*(1+'Property Summary'!$L$18)^('MF Rents'!FI$3-1))</f>
        <v>13916.995515812247</v>
      </c>
      <c r="FJ9" s="149">
        <f>IF(OR($B9="",$B9=0),"",($G9*(FJ$4&lt;$I9)+$H9*(FJ$4&gt;=$I9))*$C9*(1+'Property Summary'!$L$18)^('MF Rents'!FJ$3-1))</f>
        <v>13916.995515812247</v>
      </c>
      <c r="FK9" s="149">
        <f>IF(OR($B9="",$B9=0),"",($G9*(FK$4&lt;$I9)+$H9*(FK$4&gt;=$I9))*$C9*(1+'Property Summary'!$L$18)^('MF Rents'!FK$3-1))</f>
        <v>13916.995515812247</v>
      </c>
      <c r="FL9" s="149">
        <f>IF(OR($B9="",$B9=0),"",($G9*(FL$4&lt;$I9)+$H9*(FL$4&gt;=$I9))*$C9*(1+'Property Summary'!$L$18)^('MF Rents'!FL$3-1))</f>
        <v>13916.995515812247</v>
      </c>
      <c r="FM9" s="149">
        <f>IF(OR($B9="",$B9=0),"",($G9*(FM$4&lt;$I9)+$H9*(FM$4&gt;=$I9))*$C9*(1+'Property Summary'!$L$18)^('MF Rents'!FM$3-1))</f>
        <v>13916.995515812247</v>
      </c>
      <c r="FN9" s="149">
        <f>IF(OR($B9="",$B9=0),"",($G9*(FN$4&lt;$I9)+$H9*(FN$4&gt;=$I9))*$C9*(1+'Property Summary'!$L$18)^('MF Rents'!FN$3-1))</f>
        <v>13916.995515812247</v>
      </c>
      <c r="FO9" s="149">
        <f>IF(OR($B9="",$B9=0),"",($G9*(FO$4&lt;$I9)+$H9*(FO$4&gt;=$I9))*$C9*(1+'Property Summary'!$L$18)^('MF Rents'!FO$3-1))</f>
        <v>13916.995515812247</v>
      </c>
      <c r="FP9" s="149">
        <f>IF(OR($B9="",$B9=0),"",($G9*(FP$4&lt;$I9)+$H9*(FP$4&gt;=$I9))*$C9*(1+'Property Summary'!$L$18)^('MF Rents'!FP$3-1))</f>
        <v>13916.995515812247</v>
      </c>
      <c r="FQ9" s="149">
        <f>IF(OR($B9="",$B9=0),"",($G9*(FQ$4&lt;$I9)+$H9*(FQ$4&gt;=$I9))*$C9*(1+'Property Summary'!$L$18)^('MF Rents'!FQ$3-1))</f>
        <v>13916.995515812247</v>
      </c>
      <c r="FR9" s="149">
        <f>IF(OR($B9="",$B9=0),"",($G9*(FR$4&lt;$I9)+$H9*(FR$4&gt;=$I9))*$C9*(1+'Property Summary'!$L$18)^('MF Rents'!FR$3-1))</f>
        <v>13916.995515812247</v>
      </c>
      <c r="FS9" s="149">
        <f>IF(OR($B9="",$B9=0),"",($G9*(FS$4&lt;$I9)+$H9*(FS$4&gt;=$I9))*$C9*(1+'Property Summary'!$L$18)^('MF Rents'!FS$3-1))</f>
        <v>13916.995515812247</v>
      </c>
      <c r="FT9" s="149">
        <f>IF(OR($B9="",$B9=0),"",($G9*(FT$4&lt;$I9)+$H9*(FT$4&gt;=$I9))*$C9*(1+'Property Summary'!$L$18)^('MF Rents'!FT$3-1))</f>
        <v>13916.995515812247</v>
      </c>
      <c r="FU9" s="149">
        <f>IF(OR($B9="",$B9=0),"",($G9*(FU$4&lt;$I9)+$H9*(FU$4&gt;=$I9))*$C9*(1+'Property Summary'!$L$18)^('MF Rents'!FU$3-1))</f>
        <v>14125.75044854943</v>
      </c>
      <c r="FV9" s="149">
        <f>IF(OR($B9="",$B9=0),"",($G9*(FV$4&lt;$I9)+$H9*(FV$4&gt;=$I9))*$C9*(1+'Property Summary'!$L$18)^('MF Rents'!FV$3-1))</f>
        <v>14125.75044854943</v>
      </c>
      <c r="FW9" s="149">
        <f>IF(OR($B9="",$B9=0),"",($G9*(FW$4&lt;$I9)+$H9*(FW$4&gt;=$I9))*$C9*(1+'Property Summary'!$L$18)^('MF Rents'!FW$3-1))</f>
        <v>14125.75044854943</v>
      </c>
      <c r="FX9" s="149">
        <f>IF(OR($B9="",$B9=0),"",($G9*(FX$4&lt;$I9)+$H9*(FX$4&gt;=$I9))*$C9*(1+'Property Summary'!$L$18)^('MF Rents'!FX$3-1))</f>
        <v>14125.75044854943</v>
      </c>
      <c r="FY9" s="149">
        <f>IF(OR($B9="",$B9=0),"",($G9*(FY$4&lt;$I9)+$H9*(FY$4&gt;=$I9))*$C9*(1+'Property Summary'!$L$18)^('MF Rents'!FY$3-1))</f>
        <v>14125.75044854943</v>
      </c>
      <c r="FZ9" s="149">
        <f>IF(OR($B9="",$B9=0),"",($G9*(FZ$4&lt;$I9)+$H9*(FZ$4&gt;=$I9))*$C9*(1+'Property Summary'!$L$18)^('MF Rents'!FZ$3-1))</f>
        <v>14125.75044854943</v>
      </c>
      <c r="GA9" s="149">
        <f>IF(OR($B9="",$B9=0),"",($G9*(GA$4&lt;$I9)+$H9*(GA$4&gt;=$I9))*$C9*(1+'Property Summary'!$L$18)^('MF Rents'!GA$3-1))</f>
        <v>14125.75044854943</v>
      </c>
      <c r="GB9" s="149">
        <f>IF(OR($B9="",$B9=0),"",($G9*(GB$4&lt;$I9)+$H9*(GB$4&gt;=$I9))*$C9*(1+'Property Summary'!$L$18)^('MF Rents'!GB$3-1))</f>
        <v>14125.75044854943</v>
      </c>
      <c r="GC9" s="149">
        <f>IF(OR($B9="",$B9=0),"",($G9*(GC$4&lt;$I9)+$H9*(GC$4&gt;=$I9))*$C9*(1+'Property Summary'!$L$18)^('MF Rents'!GC$3-1))</f>
        <v>14125.75044854943</v>
      </c>
      <c r="GD9" s="149">
        <f>IF(OR($B9="",$B9=0),"",($G9*(GD$4&lt;$I9)+$H9*(GD$4&gt;=$I9))*$C9*(1+'Property Summary'!$L$18)^('MF Rents'!GD$3-1))</f>
        <v>14125.75044854943</v>
      </c>
      <c r="GE9" s="149">
        <f>IF(OR($B9="",$B9=0),"",($G9*(GE$4&lt;$I9)+$H9*(GE$4&gt;=$I9))*$C9*(1+'Property Summary'!$L$18)^('MF Rents'!GE$3-1))</f>
        <v>14125.75044854943</v>
      </c>
      <c r="GF9" s="149">
        <f>IF(OR($B9="",$B9=0),"",($G9*(GF$4&lt;$I9)+$H9*(GF$4&gt;=$I9))*$C9*(1+'Property Summary'!$L$18)^('MF Rents'!GF$3-1))</f>
        <v>14125.75044854943</v>
      </c>
      <c r="GG9" s="149">
        <f>IF(OR($B9="",$B9=0),"",($G9*(GG$4&lt;$I9)+$H9*(GG$4&gt;=$I9))*$C9*(1+'Property Summary'!$L$18)^('MF Rents'!GG$3-1))</f>
        <v>14337.636705277668</v>
      </c>
      <c r="GH9" s="149">
        <f>IF(OR($B9="",$B9=0),"",($G9*(GH$4&lt;$I9)+$H9*(GH$4&gt;=$I9))*$C9*(1+'Property Summary'!$L$18)^('MF Rents'!GH$3-1))</f>
        <v>14337.636705277668</v>
      </c>
      <c r="GI9" s="149">
        <f>IF(OR($B9="",$B9=0),"",($G9*(GI$4&lt;$I9)+$H9*(GI$4&gt;=$I9))*$C9*(1+'Property Summary'!$L$18)^('MF Rents'!GI$3-1))</f>
        <v>14337.636705277668</v>
      </c>
      <c r="GJ9" s="149">
        <f>IF(OR($B9="",$B9=0),"",($G9*(GJ$4&lt;$I9)+$H9*(GJ$4&gt;=$I9))*$C9*(1+'Property Summary'!$L$18)^('MF Rents'!GJ$3-1))</f>
        <v>14337.636705277668</v>
      </c>
      <c r="GK9" s="149">
        <f>IF(OR($B9="",$B9=0),"",($G9*(GK$4&lt;$I9)+$H9*(GK$4&gt;=$I9))*$C9*(1+'Property Summary'!$L$18)^('MF Rents'!GK$3-1))</f>
        <v>14337.636705277668</v>
      </c>
      <c r="GL9" s="149">
        <f>IF(OR($B9="",$B9=0),"",($G9*(GL$4&lt;$I9)+$H9*(GL$4&gt;=$I9))*$C9*(1+'Property Summary'!$L$18)^('MF Rents'!GL$3-1))</f>
        <v>14337.636705277668</v>
      </c>
      <c r="GM9" s="149">
        <f>IF(OR($B9="",$B9=0),"",($G9*(GM$4&lt;$I9)+$H9*(GM$4&gt;=$I9))*$C9*(1+'Property Summary'!$L$18)^('MF Rents'!GM$3-1))</f>
        <v>14337.636705277668</v>
      </c>
      <c r="GN9" s="149">
        <f>IF(OR($B9="",$B9=0),"",($G9*(GN$4&lt;$I9)+$H9*(GN$4&gt;=$I9))*$C9*(1+'Property Summary'!$L$18)^('MF Rents'!GN$3-1))</f>
        <v>14337.636705277668</v>
      </c>
      <c r="GO9" s="149">
        <f>IF(OR($B9="",$B9=0),"",($G9*(GO$4&lt;$I9)+$H9*(GO$4&gt;=$I9))*$C9*(1+'Property Summary'!$L$18)^('MF Rents'!GO$3-1))</f>
        <v>14337.636705277668</v>
      </c>
      <c r="GP9" s="149">
        <f>IF(OR($B9="",$B9=0),"",($G9*(GP$4&lt;$I9)+$H9*(GP$4&gt;=$I9))*$C9*(1+'Property Summary'!$L$18)^('MF Rents'!GP$3-1))</f>
        <v>14337.636705277668</v>
      </c>
      <c r="GQ9" s="149">
        <f>IF(OR($B9="",$B9=0),"",($G9*(GQ$4&lt;$I9)+$H9*(GQ$4&gt;=$I9))*$C9*(1+'Property Summary'!$L$18)^('MF Rents'!GQ$3-1))</f>
        <v>14337.636705277668</v>
      </c>
      <c r="GR9" s="149">
        <f>IF(OR($B9="",$B9=0),"",($G9*(GR$4&lt;$I9)+$H9*(GR$4&gt;=$I9))*$C9*(1+'Property Summary'!$L$18)^('MF Rents'!GR$3-1))</f>
        <v>14337.636705277668</v>
      </c>
    </row>
    <row r="10" spans="2:200" x14ac:dyDescent="0.3">
      <c r="B10" s="184" t="str">
        <f>'MF Rent Roll'!B9</f>
        <v>3bd/2ba</v>
      </c>
      <c r="C10" s="171">
        <f>'MF Rent Roll'!C9</f>
        <v>24</v>
      </c>
      <c r="D10" s="172">
        <f>'MF Rent Roll'!D9</f>
        <v>3</v>
      </c>
      <c r="E10" s="172">
        <f>'MF Rent Roll'!E9</f>
        <v>2</v>
      </c>
      <c r="F10" s="173">
        <f>'MF Rent Roll'!F9</f>
        <v>1046</v>
      </c>
      <c r="G10" s="174">
        <f>'MF Rent Roll'!G9</f>
        <v>1100</v>
      </c>
      <c r="H10" s="174">
        <f>IF('MF Rent Roll'!H9="",G10,'MF Rent Roll'!H9)</f>
        <v>1220</v>
      </c>
      <c r="I10" s="175">
        <f>IF('MF Rent Roll'!I9="",1,'MF Rent Roll'!I9)</f>
        <v>25</v>
      </c>
      <c r="J10" s="176">
        <f>'MF Rent Roll'!J9</f>
        <v>12</v>
      </c>
      <c r="K10" s="174">
        <f>'MF Rent Roll'!K9</f>
        <v>70</v>
      </c>
      <c r="L10" s="177">
        <f>'MF Rent Roll'!L9</f>
        <v>0</v>
      </c>
      <c r="M10" s="178">
        <f>'MF Rent Roll'!M9</f>
        <v>30</v>
      </c>
      <c r="N10" s="174">
        <f>'MF Rent Roll'!N9</f>
        <v>400</v>
      </c>
      <c r="O10" s="179">
        <f>'MF Rent Roll'!O9</f>
        <v>0.6</v>
      </c>
      <c r="P10" s="180">
        <f>'MF Rent Roll'!P9</f>
        <v>0</v>
      </c>
      <c r="Q10" s="181">
        <f>'MF Rent Roll'!Q9</f>
        <v>12</v>
      </c>
      <c r="R10" s="104">
        <f>'MF Rent Roll'!R9</f>
        <v>160</v>
      </c>
      <c r="U10" s="149">
        <f>IF(OR($B10="",$B10=0),"",($G10*(U$4&lt;$I10)+$H10*(U$4&gt;=$I10))*$C10*(1+'Property Summary'!$L$18)^('MF Rents'!U$3-1))</f>
        <v>26400</v>
      </c>
      <c r="V10" s="149">
        <f>IF(OR($B10="",$B10=0),"",($G10*(V$4&lt;$I10)+$H10*(V$4&gt;=$I10))*$C10*(1+'Property Summary'!$L$18)^('MF Rents'!V$3-1))</f>
        <v>26400</v>
      </c>
      <c r="W10" s="149">
        <f>IF(OR($B10="",$B10=0),"",($G10*(W$4&lt;$I10)+$H10*(W$4&gt;=$I10))*$C10*(1+'Property Summary'!$L$18)^('MF Rents'!W$3-1))</f>
        <v>26400</v>
      </c>
      <c r="X10" s="149">
        <f>IF(OR($B10="",$B10=0),"",($G10*(X$4&lt;$I10)+$H10*(X$4&gt;=$I10))*$C10*(1+'Property Summary'!$L$18)^('MF Rents'!X$3-1))</f>
        <v>26400</v>
      </c>
      <c r="Y10" s="149">
        <f>IF(OR($B10="",$B10=0),"",($G10*(Y$4&lt;$I10)+$H10*(Y$4&gt;=$I10))*$C10*(1+'Property Summary'!$L$18)^('MF Rents'!Y$3-1))</f>
        <v>26400</v>
      </c>
      <c r="Z10" s="149">
        <f>IF(OR($B10="",$B10=0),"",($G10*(Z$4&lt;$I10)+$H10*(Z$4&gt;=$I10))*$C10*(1+'Property Summary'!$L$18)^('MF Rents'!Z$3-1))</f>
        <v>26400</v>
      </c>
      <c r="AA10" s="149">
        <f>IF(OR($B10="",$B10=0),"",($G10*(AA$4&lt;$I10)+$H10*(AA$4&gt;=$I10))*$C10*(1+'Property Summary'!$L$18)^('MF Rents'!AA$3-1))</f>
        <v>26400</v>
      </c>
      <c r="AB10" s="149">
        <f>IF(OR($B10="",$B10=0),"",($G10*(AB$4&lt;$I10)+$H10*(AB$4&gt;=$I10))*$C10*(1+'Property Summary'!$L$18)^('MF Rents'!AB$3-1))</f>
        <v>26400</v>
      </c>
      <c r="AC10" s="149">
        <f>IF(OR($B10="",$B10=0),"",($G10*(AC$4&lt;$I10)+$H10*(AC$4&gt;=$I10))*$C10*(1+'Property Summary'!$L$18)^('MF Rents'!AC$3-1))</f>
        <v>26400</v>
      </c>
      <c r="AD10" s="149">
        <f>IF(OR($B10="",$B10=0),"",($G10*(AD$4&lt;$I10)+$H10*(AD$4&gt;=$I10))*$C10*(1+'Property Summary'!$L$18)^('MF Rents'!AD$3-1))</f>
        <v>26400</v>
      </c>
      <c r="AE10" s="149">
        <f>IF(OR($B10="",$B10=0),"",($G10*(AE$4&lt;$I10)+$H10*(AE$4&gt;=$I10))*$C10*(1+'Property Summary'!$L$18)^('MF Rents'!AE$3-1))</f>
        <v>26400</v>
      </c>
      <c r="AF10" s="149">
        <f>IF(OR($B10="",$B10=0),"",($G10*(AF$4&lt;$I10)+$H10*(AF$4&gt;=$I10))*$C10*(1+'Property Summary'!$L$18)^('MF Rents'!AF$3-1))</f>
        <v>26400</v>
      </c>
      <c r="AG10" s="149">
        <f>IF(OR($B10="",$B10=0),"",($G10*(AG$4&lt;$I10)+$H10*(AG$4&gt;=$I10))*$C10*(1+'Property Summary'!$L$18)^('MF Rents'!AG$3-1))</f>
        <v>26795.999999999996</v>
      </c>
      <c r="AH10" s="149">
        <f>IF(OR($B10="",$B10=0),"",($G10*(AH$4&lt;$I10)+$H10*(AH$4&gt;=$I10))*$C10*(1+'Property Summary'!$L$18)^('MF Rents'!AH$3-1))</f>
        <v>26795.999999999996</v>
      </c>
      <c r="AI10" s="149">
        <f>IF(OR($B10="",$B10=0),"",($G10*(AI$4&lt;$I10)+$H10*(AI$4&gt;=$I10))*$C10*(1+'Property Summary'!$L$18)^('MF Rents'!AI$3-1))</f>
        <v>26795.999999999996</v>
      </c>
      <c r="AJ10" s="149">
        <f>IF(OR($B10="",$B10=0),"",($G10*(AJ$4&lt;$I10)+$H10*(AJ$4&gt;=$I10))*$C10*(1+'Property Summary'!$L$18)^('MF Rents'!AJ$3-1))</f>
        <v>26795.999999999996</v>
      </c>
      <c r="AK10" s="149">
        <f>IF(OR($B10="",$B10=0),"",($G10*(AK$4&lt;$I10)+$H10*(AK$4&gt;=$I10))*$C10*(1+'Property Summary'!$L$18)^('MF Rents'!AK$3-1))</f>
        <v>26795.999999999996</v>
      </c>
      <c r="AL10" s="149">
        <f>IF(OR($B10="",$B10=0),"",($G10*(AL$4&lt;$I10)+$H10*(AL$4&gt;=$I10))*$C10*(1+'Property Summary'!$L$18)^('MF Rents'!AL$3-1))</f>
        <v>26795.999999999996</v>
      </c>
      <c r="AM10" s="149">
        <f>IF(OR($B10="",$B10=0),"",($G10*(AM$4&lt;$I10)+$H10*(AM$4&gt;=$I10))*$C10*(1+'Property Summary'!$L$18)^('MF Rents'!AM$3-1))</f>
        <v>26795.999999999996</v>
      </c>
      <c r="AN10" s="149">
        <f>IF(OR($B10="",$B10=0),"",($G10*(AN$4&lt;$I10)+$H10*(AN$4&gt;=$I10))*$C10*(1+'Property Summary'!$L$18)^('MF Rents'!AN$3-1))</f>
        <v>26795.999999999996</v>
      </c>
      <c r="AO10" s="149">
        <f>IF(OR($B10="",$B10=0),"",($G10*(AO$4&lt;$I10)+$H10*(AO$4&gt;=$I10))*$C10*(1+'Property Summary'!$L$18)^('MF Rents'!AO$3-1))</f>
        <v>26795.999999999996</v>
      </c>
      <c r="AP10" s="149">
        <f>IF(OR($B10="",$B10=0),"",($G10*(AP$4&lt;$I10)+$H10*(AP$4&gt;=$I10))*$C10*(1+'Property Summary'!$L$18)^('MF Rents'!AP$3-1))</f>
        <v>26795.999999999996</v>
      </c>
      <c r="AQ10" s="149">
        <f>IF(OR($B10="",$B10=0),"",($G10*(AQ$4&lt;$I10)+$H10*(AQ$4&gt;=$I10))*$C10*(1+'Property Summary'!$L$18)^('MF Rents'!AQ$3-1))</f>
        <v>26795.999999999996</v>
      </c>
      <c r="AR10" s="149">
        <f>IF(OR($B10="",$B10=0),"",($G10*(AR$4&lt;$I10)+$H10*(AR$4&gt;=$I10))*$C10*(1+'Property Summary'!$L$18)^('MF Rents'!AR$3-1))</f>
        <v>26795.999999999996</v>
      </c>
      <c r="AS10" s="149">
        <f>IF(OR($B10="",$B10=0),"",($G10*(AS$4&lt;$I10)+$H10*(AS$4&gt;=$I10))*$C10*(1+'Property Summary'!$L$18)^('MF Rents'!AS$3-1))</f>
        <v>30164.98799999999</v>
      </c>
      <c r="AT10" s="149">
        <f>IF(OR($B10="",$B10=0),"",($G10*(AT$4&lt;$I10)+$H10*(AT$4&gt;=$I10))*$C10*(1+'Property Summary'!$L$18)^('MF Rents'!AT$3-1))</f>
        <v>30164.98799999999</v>
      </c>
      <c r="AU10" s="149">
        <f>IF(OR($B10="",$B10=0),"",($G10*(AU$4&lt;$I10)+$H10*(AU$4&gt;=$I10))*$C10*(1+'Property Summary'!$L$18)^('MF Rents'!AU$3-1))</f>
        <v>30164.98799999999</v>
      </c>
      <c r="AV10" s="149">
        <f>IF(OR($B10="",$B10=0),"",($G10*(AV$4&lt;$I10)+$H10*(AV$4&gt;=$I10))*$C10*(1+'Property Summary'!$L$18)^('MF Rents'!AV$3-1))</f>
        <v>30164.98799999999</v>
      </c>
      <c r="AW10" s="149">
        <f>IF(OR($B10="",$B10=0),"",($G10*(AW$4&lt;$I10)+$H10*(AW$4&gt;=$I10))*$C10*(1+'Property Summary'!$L$18)^('MF Rents'!AW$3-1))</f>
        <v>30164.98799999999</v>
      </c>
      <c r="AX10" s="149">
        <f>IF(OR($B10="",$B10=0),"",($G10*(AX$4&lt;$I10)+$H10*(AX$4&gt;=$I10))*$C10*(1+'Property Summary'!$L$18)^('MF Rents'!AX$3-1))</f>
        <v>30164.98799999999</v>
      </c>
      <c r="AY10" s="149">
        <f>IF(OR($B10="",$B10=0),"",($G10*(AY$4&lt;$I10)+$H10*(AY$4&gt;=$I10))*$C10*(1+'Property Summary'!$L$18)^('MF Rents'!AY$3-1))</f>
        <v>30164.98799999999</v>
      </c>
      <c r="AZ10" s="149">
        <f>IF(OR($B10="",$B10=0),"",($G10*(AZ$4&lt;$I10)+$H10*(AZ$4&gt;=$I10))*$C10*(1+'Property Summary'!$L$18)^('MF Rents'!AZ$3-1))</f>
        <v>30164.98799999999</v>
      </c>
      <c r="BA10" s="149">
        <f>IF(OR($B10="",$B10=0),"",($G10*(BA$4&lt;$I10)+$H10*(BA$4&gt;=$I10))*$C10*(1+'Property Summary'!$L$18)^('MF Rents'!BA$3-1))</f>
        <v>30164.98799999999</v>
      </c>
      <c r="BB10" s="149">
        <f>IF(OR($B10="",$B10=0),"",($G10*(BB$4&lt;$I10)+$H10*(BB$4&gt;=$I10))*$C10*(1+'Property Summary'!$L$18)^('MF Rents'!BB$3-1))</f>
        <v>30164.98799999999</v>
      </c>
      <c r="BC10" s="149">
        <f>IF(OR($B10="",$B10=0),"",($G10*(BC$4&lt;$I10)+$H10*(BC$4&gt;=$I10))*$C10*(1+'Property Summary'!$L$18)^('MF Rents'!BC$3-1))</f>
        <v>30164.98799999999</v>
      </c>
      <c r="BD10" s="149">
        <f>IF(OR($B10="",$B10=0),"",($G10*(BD$4&lt;$I10)+$H10*(BD$4&gt;=$I10))*$C10*(1+'Property Summary'!$L$18)^('MF Rents'!BD$3-1))</f>
        <v>30164.98799999999</v>
      </c>
      <c r="BE10" s="149">
        <f>IF(OR($B10="",$B10=0),"",($G10*(BE$4&lt;$I10)+$H10*(BE$4&gt;=$I10))*$C10*(1+'Property Summary'!$L$18)^('MF Rents'!BE$3-1))</f>
        <v>30617.46281999999</v>
      </c>
      <c r="BF10" s="149">
        <f>IF(OR($B10="",$B10=0),"",($G10*(BF$4&lt;$I10)+$H10*(BF$4&gt;=$I10))*$C10*(1+'Property Summary'!$L$18)^('MF Rents'!BF$3-1))</f>
        <v>30617.46281999999</v>
      </c>
      <c r="BG10" s="149">
        <f>IF(OR($B10="",$B10=0),"",($G10*(BG$4&lt;$I10)+$H10*(BG$4&gt;=$I10))*$C10*(1+'Property Summary'!$L$18)^('MF Rents'!BG$3-1))</f>
        <v>30617.46281999999</v>
      </c>
      <c r="BH10" s="149">
        <f>IF(OR($B10="",$B10=0),"",($G10*(BH$4&lt;$I10)+$H10*(BH$4&gt;=$I10))*$C10*(1+'Property Summary'!$L$18)^('MF Rents'!BH$3-1))</f>
        <v>30617.46281999999</v>
      </c>
      <c r="BI10" s="149">
        <f>IF(OR($B10="",$B10=0),"",($G10*(BI$4&lt;$I10)+$H10*(BI$4&gt;=$I10))*$C10*(1+'Property Summary'!$L$18)^('MF Rents'!BI$3-1))</f>
        <v>30617.46281999999</v>
      </c>
      <c r="BJ10" s="149">
        <f>IF(OR($B10="",$B10=0),"",($G10*(BJ$4&lt;$I10)+$H10*(BJ$4&gt;=$I10))*$C10*(1+'Property Summary'!$L$18)^('MF Rents'!BJ$3-1))</f>
        <v>30617.46281999999</v>
      </c>
      <c r="BK10" s="149">
        <f>IF(OR($B10="",$B10=0),"",($G10*(BK$4&lt;$I10)+$H10*(BK$4&gt;=$I10))*$C10*(1+'Property Summary'!$L$18)^('MF Rents'!BK$3-1))</f>
        <v>30617.46281999999</v>
      </c>
      <c r="BL10" s="149">
        <f>IF(OR($B10="",$B10=0),"",($G10*(BL$4&lt;$I10)+$H10*(BL$4&gt;=$I10))*$C10*(1+'Property Summary'!$L$18)^('MF Rents'!BL$3-1))</f>
        <v>30617.46281999999</v>
      </c>
      <c r="BM10" s="149">
        <f>IF(OR($B10="",$B10=0),"",($G10*(BM$4&lt;$I10)+$H10*(BM$4&gt;=$I10))*$C10*(1+'Property Summary'!$L$18)^('MF Rents'!BM$3-1))</f>
        <v>30617.46281999999</v>
      </c>
      <c r="BN10" s="149">
        <f>IF(OR($B10="",$B10=0),"",($G10*(BN$4&lt;$I10)+$H10*(BN$4&gt;=$I10))*$C10*(1+'Property Summary'!$L$18)^('MF Rents'!BN$3-1))</f>
        <v>30617.46281999999</v>
      </c>
      <c r="BO10" s="149">
        <f>IF(OR($B10="",$B10=0),"",($G10*(BO$4&lt;$I10)+$H10*(BO$4&gt;=$I10))*$C10*(1+'Property Summary'!$L$18)^('MF Rents'!BO$3-1))</f>
        <v>30617.46281999999</v>
      </c>
      <c r="BP10" s="149">
        <f>IF(OR($B10="",$B10=0),"",($G10*(BP$4&lt;$I10)+$H10*(BP$4&gt;=$I10))*$C10*(1+'Property Summary'!$L$18)^('MF Rents'!BP$3-1))</f>
        <v>30617.46281999999</v>
      </c>
      <c r="BQ10" s="149">
        <f>IF(OR($B10="",$B10=0),"",($G10*(BQ$4&lt;$I10)+$H10*(BQ$4&gt;=$I10))*$C10*(1+'Property Summary'!$L$18)^('MF Rents'!BQ$3-1))</f>
        <v>31076.724762299982</v>
      </c>
      <c r="BR10" s="149">
        <f>IF(OR($B10="",$B10=0),"",($G10*(BR$4&lt;$I10)+$H10*(BR$4&gt;=$I10))*$C10*(1+'Property Summary'!$L$18)^('MF Rents'!BR$3-1))</f>
        <v>31076.724762299982</v>
      </c>
      <c r="BS10" s="149">
        <f>IF(OR($B10="",$B10=0),"",($G10*(BS$4&lt;$I10)+$H10*(BS$4&gt;=$I10))*$C10*(1+'Property Summary'!$L$18)^('MF Rents'!BS$3-1))</f>
        <v>31076.724762299982</v>
      </c>
      <c r="BT10" s="149">
        <f>IF(OR($B10="",$B10=0),"",($G10*(BT$4&lt;$I10)+$H10*(BT$4&gt;=$I10))*$C10*(1+'Property Summary'!$L$18)^('MF Rents'!BT$3-1))</f>
        <v>31076.724762299982</v>
      </c>
      <c r="BU10" s="149">
        <f>IF(OR($B10="",$B10=0),"",($G10*(BU$4&lt;$I10)+$H10*(BU$4&gt;=$I10))*$C10*(1+'Property Summary'!$L$18)^('MF Rents'!BU$3-1))</f>
        <v>31076.724762299982</v>
      </c>
      <c r="BV10" s="149">
        <f>IF(OR($B10="",$B10=0),"",($G10*(BV$4&lt;$I10)+$H10*(BV$4&gt;=$I10))*$C10*(1+'Property Summary'!$L$18)^('MF Rents'!BV$3-1))</f>
        <v>31076.724762299982</v>
      </c>
      <c r="BW10" s="149">
        <f>IF(OR($B10="",$B10=0),"",($G10*(BW$4&lt;$I10)+$H10*(BW$4&gt;=$I10))*$C10*(1+'Property Summary'!$L$18)^('MF Rents'!BW$3-1))</f>
        <v>31076.724762299982</v>
      </c>
      <c r="BX10" s="149">
        <f>IF(OR($B10="",$B10=0),"",($G10*(BX$4&lt;$I10)+$H10*(BX$4&gt;=$I10))*$C10*(1+'Property Summary'!$L$18)^('MF Rents'!BX$3-1))</f>
        <v>31076.724762299982</v>
      </c>
      <c r="BY10" s="149">
        <f>IF(OR($B10="",$B10=0),"",($G10*(BY$4&lt;$I10)+$H10*(BY$4&gt;=$I10))*$C10*(1+'Property Summary'!$L$18)^('MF Rents'!BY$3-1))</f>
        <v>31076.724762299982</v>
      </c>
      <c r="BZ10" s="149">
        <f>IF(OR($B10="",$B10=0),"",($G10*(BZ$4&lt;$I10)+$H10*(BZ$4&gt;=$I10))*$C10*(1+'Property Summary'!$L$18)^('MF Rents'!BZ$3-1))</f>
        <v>31076.724762299982</v>
      </c>
      <c r="CA10" s="149">
        <f>IF(OR($B10="",$B10=0),"",($G10*(CA$4&lt;$I10)+$H10*(CA$4&gt;=$I10))*$C10*(1+'Property Summary'!$L$18)^('MF Rents'!CA$3-1))</f>
        <v>31076.724762299982</v>
      </c>
      <c r="CB10" s="149">
        <f>IF(OR($B10="",$B10=0),"",($G10*(CB$4&lt;$I10)+$H10*(CB$4&gt;=$I10))*$C10*(1+'Property Summary'!$L$18)^('MF Rents'!CB$3-1))</f>
        <v>31076.724762299982</v>
      </c>
      <c r="CC10" s="149">
        <f>IF(OR($B10="",$B10=0),"",($G10*(CC$4&lt;$I10)+$H10*(CC$4&gt;=$I10))*$C10*(1+'Property Summary'!$L$18)^('MF Rents'!CC$3-1))</f>
        <v>31542.875633734478</v>
      </c>
      <c r="CD10" s="149">
        <f>IF(OR($B10="",$B10=0),"",($G10*(CD$4&lt;$I10)+$H10*(CD$4&gt;=$I10))*$C10*(1+'Property Summary'!$L$18)^('MF Rents'!CD$3-1))</f>
        <v>31542.875633734478</v>
      </c>
      <c r="CE10" s="149">
        <f>IF(OR($B10="",$B10=0),"",($G10*(CE$4&lt;$I10)+$H10*(CE$4&gt;=$I10))*$C10*(1+'Property Summary'!$L$18)^('MF Rents'!CE$3-1))</f>
        <v>31542.875633734478</v>
      </c>
      <c r="CF10" s="149">
        <f>IF(OR($B10="",$B10=0),"",($G10*(CF$4&lt;$I10)+$H10*(CF$4&gt;=$I10))*$C10*(1+'Property Summary'!$L$18)^('MF Rents'!CF$3-1))</f>
        <v>31542.875633734478</v>
      </c>
      <c r="CG10" s="149">
        <f>IF(OR($B10="",$B10=0),"",($G10*(CG$4&lt;$I10)+$H10*(CG$4&gt;=$I10))*$C10*(1+'Property Summary'!$L$18)^('MF Rents'!CG$3-1))</f>
        <v>31542.875633734478</v>
      </c>
      <c r="CH10" s="149">
        <f>IF(OR($B10="",$B10=0),"",($G10*(CH$4&lt;$I10)+$H10*(CH$4&gt;=$I10))*$C10*(1+'Property Summary'!$L$18)^('MF Rents'!CH$3-1))</f>
        <v>31542.875633734478</v>
      </c>
      <c r="CI10" s="149">
        <f>IF(OR($B10="",$B10=0),"",($G10*(CI$4&lt;$I10)+$H10*(CI$4&gt;=$I10))*$C10*(1+'Property Summary'!$L$18)^('MF Rents'!CI$3-1))</f>
        <v>31542.875633734478</v>
      </c>
      <c r="CJ10" s="149">
        <f>IF(OR($B10="",$B10=0),"",($G10*(CJ$4&lt;$I10)+$H10*(CJ$4&gt;=$I10))*$C10*(1+'Property Summary'!$L$18)^('MF Rents'!CJ$3-1))</f>
        <v>31542.875633734478</v>
      </c>
      <c r="CK10" s="149">
        <f>IF(OR($B10="",$B10=0),"",($G10*(CK$4&lt;$I10)+$H10*(CK$4&gt;=$I10))*$C10*(1+'Property Summary'!$L$18)^('MF Rents'!CK$3-1))</f>
        <v>31542.875633734478</v>
      </c>
      <c r="CL10" s="149">
        <f>IF(OR($B10="",$B10=0),"",($G10*(CL$4&lt;$I10)+$H10*(CL$4&gt;=$I10))*$C10*(1+'Property Summary'!$L$18)^('MF Rents'!CL$3-1))</f>
        <v>31542.875633734478</v>
      </c>
      <c r="CM10" s="149">
        <f>IF(OR($B10="",$B10=0),"",($G10*(CM$4&lt;$I10)+$H10*(CM$4&gt;=$I10))*$C10*(1+'Property Summary'!$L$18)^('MF Rents'!CM$3-1))</f>
        <v>31542.875633734478</v>
      </c>
      <c r="CN10" s="149">
        <f>IF(OR($B10="",$B10=0),"",($G10*(CN$4&lt;$I10)+$H10*(CN$4&gt;=$I10))*$C10*(1+'Property Summary'!$L$18)^('MF Rents'!CN$3-1))</f>
        <v>31542.875633734478</v>
      </c>
      <c r="CO10" s="149">
        <f>IF(OR($B10="",$B10=0),"",($G10*(CO$4&lt;$I10)+$H10*(CO$4&gt;=$I10))*$C10*(1+'Property Summary'!$L$18)^('MF Rents'!CO$3-1))</f>
        <v>32016.01876824049</v>
      </c>
      <c r="CP10" s="149">
        <f>IF(OR($B10="",$B10=0),"",($G10*(CP$4&lt;$I10)+$H10*(CP$4&gt;=$I10))*$C10*(1+'Property Summary'!$L$18)^('MF Rents'!CP$3-1))</f>
        <v>32016.01876824049</v>
      </c>
      <c r="CQ10" s="149">
        <f>IF(OR($B10="",$B10=0),"",($G10*(CQ$4&lt;$I10)+$H10*(CQ$4&gt;=$I10))*$C10*(1+'Property Summary'!$L$18)^('MF Rents'!CQ$3-1))</f>
        <v>32016.01876824049</v>
      </c>
      <c r="CR10" s="149">
        <f>IF(OR($B10="",$B10=0),"",($G10*(CR$4&lt;$I10)+$H10*(CR$4&gt;=$I10))*$C10*(1+'Property Summary'!$L$18)^('MF Rents'!CR$3-1))</f>
        <v>32016.01876824049</v>
      </c>
      <c r="CS10" s="149">
        <f>IF(OR($B10="",$B10=0),"",($G10*(CS$4&lt;$I10)+$H10*(CS$4&gt;=$I10))*$C10*(1+'Property Summary'!$L$18)^('MF Rents'!CS$3-1))</f>
        <v>32016.01876824049</v>
      </c>
      <c r="CT10" s="149">
        <f>IF(OR($B10="",$B10=0),"",($G10*(CT$4&lt;$I10)+$H10*(CT$4&gt;=$I10))*$C10*(1+'Property Summary'!$L$18)^('MF Rents'!CT$3-1))</f>
        <v>32016.01876824049</v>
      </c>
      <c r="CU10" s="149">
        <f>IF(OR($B10="",$B10=0),"",($G10*(CU$4&lt;$I10)+$H10*(CU$4&gt;=$I10))*$C10*(1+'Property Summary'!$L$18)^('MF Rents'!CU$3-1))</f>
        <v>32016.01876824049</v>
      </c>
      <c r="CV10" s="149">
        <f>IF(OR($B10="",$B10=0),"",($G10*(CV$4&lt;$I10)+$H10*(CV$4&gt;=$I10))*$C10*(1+'Property Summary'!$L$18)^('MF Rents'!CV$3-1))</f>
        <v>32016.01876824049</v>
      </c>
      <c r="CW10" s="149">
        <f>IF(OR($B10="",$B10=0),"",($G10*(CW$4&lt;$I10)+$H10*(CW$4&gt;=$I10))*$C10*(1+'Property Summary'!$L$18)^('MF Rents'!CW$3-1))</f>
        <v>32016.01876824049</v>
      </c>
      <c r="CX10" s="149">
        <f>IF(OR($B10="",$B10=0),"",($G10*(CX$4&lt;$I10)+$H10*(CX$4&gt;=$I10))*$C10*(1+'Property Summary'!$L$18)^('MF Rents'!CX$3-1))</f>
        <v>32016.01876824049</v>
      </c>
      <c r="CY10" s="149">
        <f>IF(OR($B10="",$B10=0),"",($G10*(CY$4&lt;$I10)+$H10*(CY$4&gt;=$I10))*$C10*(1+'Property Summary'!$L$18)^('MF Rents'!CY$3-1))</f>
        <v>32016.01876824049</v>
      </c>
      <c r="CZ10" s="149">
        <f>IF(OR($B10="",$B10=0),"",($G10*(CZ$4&lt;$I10)+$H10*(CZ$4&gt;=$I10))*$C10*(1+'Property Summary'!$L$18)^('MF Rents'!CZ$3-1))</f>
        <v>32016.01876824049</v>
      </c>
      <c r="DA10" s="149">
        <f>IF(OR($B10="",$B10=0),"",($G10*(DA$4&lt;$I10)+$H10*(DA$4&gt;=$I10))*$C10*(1+'Property Summary'!$L$18)^('MF Rents'!DA$3-1))</f>
        <v>32496.259049764092</v>
      </c>
      <c r="DB10" s="149">
        <f>IF(OR($B10="",$B10=0),"",($G10*(DB$4&lt;$I10)+$H10*(DB$4&gt;=$I10))*$C10*(1+'Property Summary'!$L$18)^('MF Rents'!DB$3-1))</f>
        <v>32496.259049764092</v>
      </c>
      <c r="DC10" s="149">
        <f>IF(OR($B10="",$B10=0),"",($G10*(DC$4&lt;$I10)+$H10*(DC$4&gt;=$I10))*$C10*(1+'Property Summary'!$L$18)^('MF Rents'!DC$3-1))</f>
        <v>32496.259049764092</v>
      </c>
      <c r="DD10" s="149">
        <f>IF(OR($B10="",$B10=0),"",($G10*(DD$4&lt;$I10)+$H10*(DD$4&gt;=$I10))*$C10*(1+'Property Summary'!$L$18)^('MF Rents'!DD$3-1))</f>
        <v>32496.259049764092</v>
      </c>
      <c r="DE10" s="149">
        <f>IF(OR($B10="",$B10=0),"",($G10*(DE$4&lt;$I10)+$H10*(DE$4&gt;=$I10))*$C10*(1+'Property Summary'!$L$18)^('MF Rents'!DE$3-1))</f>
        <v>32496.259049764092</v>
      </c>
      <c r="DF10" s="149">
        <f>IF(OR($B10="",$B10=0),"",($G10*(DF$4&lt;$I10)+$H10*(DF$4&gt;=$I10))*$C10*(1+'Property Summary'!$L$18)^('MF Rents'!DF$3-1))</f>
        <v>32496.259049764092</v>
      </c>
      <c r="DG10" s="149">
        <f>IF(OR($B10="",$B10=0),"",($G10*(DG$4&lt;$I10)+$H10*(DG$4&gt;=$I10))*$C10*(1+'Property Summary'!$L$18)^('MF Rents'!DG$3-1))</f>
        <v>32496.259049764092</v>
      </c>
      <c r="DH10" s="149">
        <f>IF(OR($B10="",$B10=0),"",($G10*(DH$4&lt;$I10)+$H10*(DH$4&gt;=$I10))*$C10*(1+'Property Summary'!$L$18)^('MF Rents'!DH$3-1))</f>
        <v>32496.259049764092</v>
      </c>
      <c r="DI10" s="149">
        <f>IF(OR($B10="",$B10=0),"",($G10*(DI$4&lt;$I10)+$H10*(DI$4&gt;=$I10))*$C10*(1+'Property Summary'!$L$18)^('MF Rents'!DI$3-1))</f>
        <v>32496.259049764092</v>
      </c>
      <c r="DJ10" s="149">
        <f>IF(OR($B10="",$B10=0),"",($G10*(DJ$4&lt;$I10)+$H10*(DJ$4&gt;=$I10))*$C10*(1+'Property Summary'!$L$18)^('MF Rents'!DJ$3-1))</f>
        <v>32496.259049764092</v>
      </c>
      <c r="DK10" s="149">
        <f>IF(OR($B10="",$B10=0),"",($G10*(DK$4&lt;$I10)+$H10*(DK$4&gt;=$I10))*$C10*(1+'Property Summary'!$L$18)^('MF Rents'!DK$3-1))</f>
        <v>32496.259049764092</v>
      </c>
      <c r="DL10" s="149">
        <f>IF(OR($B10="",$B10=0),"",($G10*(DL$4&lt;$I10)+$H10*(DL$4&gt;=$I10))*$C10*(1+'Property Summary'!$L$18)^('MF Rents'!DL$3-1))</f>
        <v>32496.259049764092</v>
      </c>
      <c r="DM10" s="149">
        <f>IF(OR($B10="",$B10=0),"",($G10*(DM$4&lt;$I10)+$H10*(DM$4&gt;=$I10))*$C10*(1+'Property Summary'!$L$18)^('MF Rents'!DM$3-1))</f>
        <v>32983.702935510548</v>
      </c>
      <c r="DN10" s="149">
        <f>IF(OR($B10="",$B10=0),"",($G10*(DN$4&lt;$I10)+$H10*(DN$4&gt;=$I10))*$C10*(1+'Property Summary'!$L$18)^('MF Rents'!DN$3-1))</f>
        <v>32983.702935510548</v>
      </c>
      <c r="DO10" s="149">
        <f>IF(OR($B10="",$B10=0),"",($G10*(DO$4&lt;$I10)+$H10*(DO$4&gt;=$I10))*$C10*(1+'Property Summary'!$L$18)^('MF Rents'!DO$3-1))</f>
        <v>32983.702935510548</v>
      </c>
      <c r="DP10" s="149">
        <f>IF(OR($B10="",$B10=0),"",($G10*(DP$4&lt;$I10)+$H10*(DP$4&gt;=$I10))*$C10*(1+'Property Summary'!$L$18)^('MF Rents'!DP$3-1))</f>
        <v>32983.702935510548</v>
      </c>
      <c r="DQ10" s="149">
        <f>IF(OR($B10="",$B10=0),"",($G10*(DQ$4&lt;$I10)+$H10*(DQ$4&gt;=$I10))*$C10*(1+'Property Summary'!$L$18)^('MF Rents'!DQ$3-1))</f>
        <v>32983.702935510548</v>
      </c>
      <c r="DR10" s="149">
        <f>IF(OR($B10="",$B10=0),"",($G10*(DR$4&lt;$I10)+$H10*(DR$4&gt;=$I10))*$C10*(1+'Property Summary'!$L$18)^('MF Rents'!DR$3-1))</f>
        <v>32983.702935510548</v>
      </c>
      <c r="DS10" s="149">
        <f>IF(OR($B10="",$B10=0),"",($G10*(DS$4&lt;$I10)+$H10*(DS$4&gt;=$I10))*$C10*(1+'Property Summary'!$L$18)^('MF Rents'!DS$3-1))</f>
        <v>32983.702935510548</v>
      </c>
      <c r="DT10" s="149">
        <f>IF(OR($B10="",$B10=0),"",($G10*(DT$4&lt;$I10)+$H10*(DT$4&gt;=$I10))*$C10*(1+'Property Summary'!$L$18)^('MF Rents'!DT$3-1))</f>
        <v>32983.702935510548</v>
      </c>
      <c r="DU10" s="149">
        <f>IF(OR($B10="",$B10=0),"",($G10*(DU$4&lt;$I10)+$H10*(DU$4&gt;=$I10))*$C10*(1+'Property Summary'!$L$18)^('MF Rents'!DU$3-1))</f>
        <v>32983.702935510548</v>
      </c>
      <c r="DV10" s="149">
        <f>IF(OR($B10="",$B10=0),"",($G10*(DV$4&lt;$I10)+$H10*(DV$4&gt;=$I10))*$C10*(1+'Property Summary'!$L$18)^('MF Rents'!DV$3-1))</f>
        <v>32983.702935510548</v>
      </c>
      <c r="DW10" s="149">
        <f>IF(OR($B10="",$B10=0),"",($G10*(DW$4&lt;$I10)+$H10*(DW$4&gt;=$I10))*$C10*(1+'Property Summary'!$L$18)^('MF Rents'!DW$3-1))</f>
        <v>32983.702935510548</v>
      </c>
      <c r="DX10" s="149">
        <f>IF(OR($B10="",$B10=0),"",($G10*(DX$4&lt;$I10)+$H10*(DX$4&gt;=$I10))*$C10*(1+'Property Summary'!$L$18)^('MF Rents'!DX$3-1))</f>
        <v>32983.702935510548</v>
      </c>
      <c r="DY10" s="149">
        <f>IF(OR($B10="",$B10=0),"",($G10*(DY$4&lt;$I10)+$H10*(DY$4&gt;=$I10))*$C10*(1+'Property Summary'!$L$18)^('MF Rents'!DY$3-1))</f>
        <v>33478.458479543202</v>
      </c>
      <c r="DZ10" s="149">
        <f>IF(OR($B10="",$B10=0),"",($G10*(DZ$4&lt;$I10)+$H10*(DZ$4&gt;=$I10))*$C10*(1+'Property Summary'!$L$18)^('MF Rents'!DZ$3-1))</f>
        <v>33478.458479543202</v>
      </c>
      <c r="EA10" s="149">
        <f>IF(OR($B10="",$B10=0),"",($G10*(EA$4&lt;$I10)+$H10*(EA$4&gt;=$I10))*$C10*(1+'Property Summary'!$L$18)^('MF Rents'!EA$3-1))</f>
        <v>33478.458479543202</v>
      </c>
      <c r="EB10" s="149">
        <f>IF(OR($B10="",$B10=0),"",($G10*(EB$4&lt;$I10)+$H10*(EB$4&gt;=$I10))*$C10*(1+'Property Summary'!$L$18)^('MF Rents'!EB$3-1))</f>
        <v>33478.458479543202</v>
      </c>
      <c r="EC10" s="149">
        <f>IF(OR($B10="",$B10=0),"",($G10*(EC$4&lt;$I10)+$H10*(EC$4&gt;=$I10))*$C10*(1+'Property Summary'!$L$18)^('MF Rents'!EC$3-1))</f>
        <v>33478.458479543202</v>
      </c>
      <c r="ED10" s="149">
        <f>IF(OR($B10="",$B10=0),"",($G10*(ED$4&lt;$I10)+$H10*(ED$4&gt;=$I10))*$C10*(1+'Property Summary'!$L$18)^('MF Rents'!ED$3-1))</f>
        <v>33478.458479543202</v>
      </c>
      <c r="EE10" s="149">
        <f>IF(OR($B10="",$B10=0),"",($G10*(EE$4&lt;$I10)+$H10*(EE$4&gt;=$I10))*$C10*(1+'Property Summary'!$L$18)^('MF Rents'!EE$3-1))</f>
        <v>33478.458479543202</v>
      </c>
      <c r="EF10" s="149">
        <f>IF(OR($B10="",$B10=0),"",($G10*(EF$4&lt;$I10)+$H10*(EF$4&gt;=$I10))*$C10*(1+'Property Summary'!$L$18)^('MF Rents'!EF$3-1))</f>
        <v>33478.458479543202</v>
      </c>
      <c r="EG10" s="149">
        <f>IF(OR($B10="",$B10=0),"",($G10*(EG$4&lt;$I10)+$H10*(EG$4&gt;=$I10))*$C10*(1+'Property Summary'!$L$18)^('MF Rents'!EG$3-1))</f>
        <v>33478.458479543202</v>
      </c>
      <c r="EH10" s="149">
        <f>IF(OR($B10="",$B10=0),"",($G10*(EH$4&lt;$I10)+$H10*(EH$4&gt;=$I10))*$C10*(1+'Property Summary'!$L$18)^('MF Rents'!EH$3-1))</f>
        <v>33478.458479543202</v>
      </c>
      <c r="EI10" s="149">
        <f>IF(OR($B10="",$B10=0),"",($G10*(EI$4&lt;$I10)+$H10*(EI$4&gt;=$I10))*$C10*(1+'Property Summary'!$L$18)^('MF Rents'!EI$3-1))</f>
        <v>33478.458479543202</v>
      </c>
      <c r="EJ10" s="149">
        <f>IF(OR($B10="",$B10=0),"",($G10*(EJ$4&lt;$I10)+$H10*(EJ$4&gt;=$I10))*$C10*(1+'Property Summary'!$L$18)^('MF Rents'!EJ$3-1))</f>
        <v>33478.458479543202</v>
      </c>
      <c r="EK10" s="149">
        <f>IF(OR($B10="",$B10=0),"",($G10*(EK$4&lt;$I10)+$H10*(EK$4&gt;=$I10))*$C10*(1+'Property Summary'!$L$18)^('MF Rents'!EK$3-1))</f>
        <v>33980.635356736348</v>
      </c>
      <c r="EL10" s="149">
        <f>IF(OR($B10="",$B10=0),"",($G10*(EL$4&lt;$I10)+$H10*(EL$4&gt;=$I10))*$C10*(1+'Property Summary'!$L$18)^('MF Rents'!EL$3-1))</f>
        <v>33980.635356736348</v>
      </c>
      <c r="EM10" s="149">
        <f>IF(OR($B10="",$B10=0),"",($G10*(EM$4&lt;$I10)+$H10*(EM$4&gt;=$I10))*$C10*(1+'Property Summary'!$L$18)^('MF Rents'!EM$3-1))</f>
        <v>33980.635356736348</v>
      </c>
      <c r="EN10" s="149">
        <f>IF(OR($B10="",$B10=0),"",($G10*(EN$4&lt;$I10)+$H10*(EN$4&gt;=$I10))*$C10*(1+'Property Summary'!$L$18)^('MF Rents'!EN$3-1))</f>
        <v>33980.635356736348</v>
      </c>
      <c r="EO10" s="149">
        <f>IF(OR($B10="",$B10=0),"",($G10*(EO$4&lt;$I10)+$H10*(EO$4&gt;=$I10))*$C10*(1+'Property Summary'!$L$18)^('MF Rents'!EO$3-1))</f>
        <v>33980.635356736348</v>
      </c>
      <c r="EP10" s="149">
        <f>IF(OR($B10="",$B10=0),"",($G10*(EP$4&lt;$I10)+$H10*(EP$4&gt;=$I10))*$C10*(1+'Property Summary'!$L$18)^('MF Rents'!EP$3-1))</f>
        <v>33980.635356736348</v>
      </c>
      <c r="EQ10" s="149">
        <f>IF(OR($B10="",$B10=0),"",($G10*(EQ$4&lt;$I10)+$H10*(EQ$4&gt;=$I10))*$C10*(1+'Property Summary'!$L$18)^('MF Rents'!EQ$3-1))</f>
        <v>33980.635356736348</v>
      </c>
      <c r="ER10" s="149">
        <f>IF(OR($B10="",$B10=0),"",($G10*(ER$4&lt;$I10)+$H10*(ER$4&gt;=$I10))*$C10*(1+'Property Summary'!$L$18)^('MF Rents'!ER$3-1))</f>
        <v>33980.635356736348</v>
      </c>
      <c r="ES10" s="149">
        <f>IF(OR($B10="",$B10=0),"",($G10*(ES$4&lt;$I10)+$H10*(ES$4&gt;=$I10))*$C10*(1+'Property Summary'!$L$18)^('MF Rents'!ES$3-1))</f>
        <v>33980.635356736348</v>
      </c>
      <c r="ET10" s="149">
        <f>IF(OR($B10="",$B10=0),"",($G10*(ET$4&lt;$I10)+$H10*(ET$4&gt;=$I10))*$C10*(1+'Property Summary'!$L$18)^('MF Rents'!ET$3-1))</f>
        <v>33980.635356736348</v>
      </c>
      <c r="EU10" s="149">
        <f>IF(OR($B10="",$B10=0),"",($G10*(EU$4&lt;$I10)+$H10*(EU$4&gt;=$I10))*$C10*(1+'Property Summary'!$L$18)^('MF Rents'!EU$3-1))</f>
        <v>33980.635356736348</v>
      </c>
      <c r="EV10" s="149">
        <f>IF(OR($B10="",$B10=0),"",($G10*(EV$4&lt;$I10)+$H10*(EV$4&gt;=$I10))*$C10*(1+'Property Summary'!$L$18)^('MF Rents'!EV$3-1))</f>
        <v>33980.635356736348</v>
      </c>
      <c r="EW10" s="149">
        <f>IF(OR($B10="",$B10=0),"",($G10*(EW$4&lt;$I10)+$H10*(EW$4&gt;=$I10))*$C10*(1+'Property Summary'!$L$18)^('MF Rents'!EW$3-1))</f>
        <v>34490.344887087391</v>
      </c>
      <c r="EX10" s="149">
        <f>IF(OR($B10="",$B10=0),"",($G10*(EX$4&lt;$I10)+$H10*(EX$4&gt;=$I10))*$C10*(1+'Property Summary'!$L$18)^('MF Rents'!EX$3-1))</f>
        <v>34490.344887087391</v>
      </c>
      <c r="EY10" s="149">
        <f>IF(OR($B10="",$B10=0),"",($G10*(EY$4&lt;$I10)+$H10*(EY$4&gt;=$I10))*$C10*(1+'Property Summary'!$L$18)^('MF Rents'!EY$3-1))</f>
        <v>34490.344887087391</v>
      </c>
      <c r="EZ10" s="149">
        <f>IF(OR($B10="",$B10=0),"",($G10*(EZ$4&lt;$I10)+$H10*(EZ$4&gt;=$I10))*$C10*(1+'Property Summary'!$L$18)^('MF Rents'!EZ$3-1))</f>
        <v>34490.344887087391</v>
      </c>
      <c r="FA10" s="149">
        <f>IF(OR($B10="",$B10=0),"",($G10*(FA$4&lt;$I10)+$H10*(FA$4&gt;=$I10))*$C10*(1+'Property Summary'!$L$18)^('MF Rents'!FA$3-1))</f>
        <v>34490.344887087391</v>
      </c>
      <c r="FB10" s="149">
        <f>IF(OR($B10="",$B10=0),"",($G10*(FB$4&lt;$I10)+$H10*(FB$4&gt;=$I10))*$C10*(1+'Property Summary'!$L$18)^('MF Rents'!FB$3-1))</f>
        <v>34490.344887087391</v>
      </c>
      <c r="FC10" s="149">
        <f>IF(OR($B10="",$B10=0),"",($G10*(FC$4&lt;$I10)+$H10*(FC$4&gt;=$I10))*$C10*(1+'Property Summary'!$L$18)^('MF Rents'!FC$3-1))</f>
        <v>34490.344887087391</v>
      </c>
      <c r="FD10" s="149">
        <f>IF(OR($B10="",$B10=0),"",($G10*(FD$4&lt;$I10)+$H10*(FD$4&gt;=$I10))*$C10*(1+'Property Summary'!$L$18)^('MF Rents'!FD$3-1))</f>
        <v>34490.344887087391</v>
      </c>
      <c r="FE10" s="149">
        <f>IF(OR($B10="",$B10=0),"",($G10*(FE$4&lt;$I10)+$H10*(FE$4&gt;=$I10))*$C10*(1+'Property Summary'!$L$18)^('MF Rents'!FE$3-1))</f>
        <v>34490.344887087391</v>
      </c>
      <c r="FF10" s="149">
        <f>IF(OR($B10="",$B10=0),"",($G10*(FF$4&lt;$I10)+$H10*(FF$4&gt;=$I10))*$C10*(1+'Property Summary'!$L$18)^('MF Rents'!FF$3-1))</f>
        <v>34490.344887087391</v>
      </c>
      <c r="FG10" s="149">
        <f>IF(OR($B10="",$B10=0),"",($G10*(FG$4&lt;$I10)+$H10*(FG$4&gt;=$I10))*$C10*(1+'Property Summary'!$L$18)^('MF Rents'!FG$3-1))</f>
        <v>34490.344887087391</v>
      </c>
      <c r="FH10" s="149">
        <f>IF(OR($B10="",$B10=0),"",($G10*(FH$4&lt;$I10)+$H10*(FH$4&gt;=$I10))*$C10*(1+'Property Summary'!$L$18)^('MF Rents'!FH$3-1))</f>
        <v>34490.344887087391</v>
      </c>
      <c r="FI10" s="149">
        <f>IF(OR($B10="",$B10=0),"",($G10*(FI$4&lt;$I10)+$H10*(FI$4&gt;=$I10))*$C10*(1+'Property Summary'!$L$18)^('MF Rents'!FI$3-1))</f>
        <v>35007.70006039369</v>
      </c>
      <c r="FJ10" s="149">
        <f>IF(OR($B10="",$B10=0),"",($G10*(FJ$4&lt;$I10)+$H10*(FJ$4&gt;=$I10))*$C10*(1+'Property Summary'!$L$18)^('MF Rents'!FJ$3-1))</f>
        <v>35007.70006039369</v>
      </c>
      <c r="FK10" s="149">
        <f>IF(OR($B10="",$B10=0),"",($G10*(FK$4&lt;$I10)+$H10*(FK$4&gt;=$I10))*$C10*(1+'Property Summary'!$L$18)^('MF Rents'!FK$3-1))</f>
        <v>35007.70006039369</v>
      </c>
      <c r="FL10" s="149">
        <f>IF(OR($B10="",$B10=0),"",($G10*(FL$4&lt;$I10)+$H10*(FL$4&gt;=$I10))*$C10*(1+'Property Summary'!$L$18)^('MF Rents'!FL$3-1))</f>
        <v>35007.70006039369</v>
      </c>
      <c r="FM10" s="149">
        <f>IF(OR($B10="",$B10=0),"",($G10*(FM$4&lt;$I10)+$H10*(FM$4&gt;=$I10))*$C10*(1+'Property Summary'!$L$18)^('MF Rents'!FM$3-1))</f>
        <v>35007.70006039369</v>
      </c>
      <c r="FN10" s="149">
        <f>IF(OR($B10="",$B10=0),"",($G10*(FN$4&lt;$I10)+$H10*(FN$4&gt;=$I10))*$C10*(1+'Property Summary'!$L$18)^('MF Rents'!FN$3-1))</f>
        <v>35007.70006039369</v>
      </c>
      <c r="FO10" s="149">
        <f>IF(OR($B10="",$B10=0),"",($G10*(FO$4&lt;$I10)+$H10*(FO$4&gt;=$I10))*$C10*(1+'Property Summary'!$L$18)^('MF Rents'!FO$3-1))</f>
        <v>35007.70006039369</v>
      </c>
      <c r="FP10" s="149">
        <f>IF(OR($B10="",$B10=0),"",($G10*(FP$4&lt;$I10)+$H10*(FP$4&gt;=$I10))*$C10*(1+'Property Summary'!$L$18)^('MF Rents'!FP$3-1))</f>
        <v>35007.70006039369</v>
      </c>
      <c r="FQ10" s="149">
        <f>IF(OR($B10="",$B10=0),"",($G10*(FQ$4&lt;$I10)+$H10*(FQ$4&gt;=$I10))*$C10*(1+'Property Summary'!$L$18)^('MF Rents'!FQ$3-1))</f>
        <v>35007.70006039369</v>
      </c>
      <c r="FR10" s="149">
        <f>IF(OR($B10="",$B10=0),"",($G10*(FR$4&lt;$I10)+$H10*(FR$4&gt;=$I10))*$C10*(1+'Property Summary'!$L$18)^('MF Rents'!FR$3-1))</f>
        <v>35007.70006039369</v>
      </c>
      <c r="FS10" s="149">
        <f>IF(OR($B10="",$B10=0),"",($G10*(FS$4&lt;$I10)+$H10*(FS$4&gt;=$I10))*$C10*(1+'Property Summary'!$L$18)^('MF Rents'!FS$3-1))</f>
        <v>35007.70006039369</v>
      </c>
      <c r="FT10" s="149">
        <f>IF(OR($B10="",$B10=0),"",($G10*(FT$4&lt;$I10)+$H10*(FT$4&gt;=$I10))*$C10*(1+'Property Summary'!$L$18)^('MF Rents'!FT$3-1))</f>
        <v>35007.70006039369</v>
      </c>
      <c r="FU10" s="149">
        <f>IF(OR($B10="",$B10=0),"",($G10*(FU$4&lt;$I10)+$H10*(FU$4&gt;=$I10))*$C10*(1+'Property Summary'!$L$18)^('MF Rents'!FU$3-1))</f>
        <v>35532.815561299598</v>
      </c>
      <c r="FV10" s="149">
        <f>IF(OR($B10="",$B10=0),"",($G10*(FV$4&lt;$I10)+$H10*(FV$4&gt;=$I10))*$C10*(1+'Property Summary'!$L$18)^('MF Rents'!FV$3-1))</f>
        <v>35532.815561299598</v>
      </c>
      <c r="FW10" s="149">
        <f>IF(OR($B10="",$B10=0),"",($G10*(FW$4&lt;$I10)+$H10*(FW$4&gt;=$I10))*$C10*(1+'Property Summary'!$L$18)^('MF Rents'!FW$3-1))</f>
        <v>35532.815561299598</v>
      </c>
      <c r="FX10" s="149">
        <f>IF(OR($B10="",$B10=0),"",($G10*(FX$4&lt;$I10)+$H10*(FX$4&gt;=$I10))*$C10*(1+'Property Summary'!$L$18)^('MF Rents'!FX$3-1))</f>
        <v>35532.815561299598</v>
      </c>
      <c r="FY10" s="149">
        <f>IF(OR($B10="",$B10=0),"",($G10*(FY$4&lt;$I10)+$H10*(FY$4&gt;=$I10))*$C10*(1+'Property Summary'!$L$18)^('MF Rents'!FY$3-1))</f>
        <v>35532.815561299598</v>
      </c>
      <c r="FZ10" s="149">
        <f>IF(OR($B10="",$B10=0),"",($G10*(FZ$4&lt;$I10)+$H10*(FZ$4&gt;=$I10))*$C10*(1+'Property Summary'!$L$18)^('MF Rents'!FZ$3-1))</f>
        <v>35532.815561299598</v>
      </c>
      <c r="GA10" s="149">
        <f>IF(OR($B10="",$B10=0),"",($G10*(GA$4&lt;$I10)+$H10*(GA$4&gt;=$I10))*$C10*(1+'Property Summary'!$L$18)^('MF Rents'!GA$3-1))</f>
        <v>35532.815561299598</v>
      </c>
      <c r="GB10" s="149">
        <f>IF(OR($B10="",$B10=0),"",($G10*(GB$4&lt;$I10)+$H10*(GB$4&gt;=$I10))*$C10*(1+'Property Summary'!$L$18)^('MF Rents'!GB$3-1))</f>
        <v>35532.815561299598</v>
      </c>
      <c r="GC10" s="149">
        <f>IF(OR($B10="",$B10=0),"",($G10*(GC$4&lt;$I10)+$H10*(GC$4&gt;=$I10))*$C10*(1+'Property Summary'!$L$18)^('MF Rents'!GC$3-1))</f>
        <v>35532.815561299598</v>
      </c>
      <c r="GD10" s="149">
        <f>IF(OR($B10="",$B10=0),"",($G10*(GD$4&lt;$I10)+$H10*(GD$4&gt;=$I10))*$C10*(1+'Property Summary'!$L$18)^('MF Rents'!GD$3-1))</f>
        <v>35532.815561299598</v>
      </c>
      <c r="GE10" s="149">
        <f>IF(OR($B10="",$B10=0),"",($G10*(GE$4&lt;$I10)+$H10*(GE$4&gt;=$I10))*$C10*(1+'Property Summary'!$L$18)^('MF Rents'!GE$3-1))</f>
        <v>35532.815561299598</v>
      </c>
      <c r="GF10" s="149">
        <f>IF(OR($B10="",$B10=0),"",($G10*(GF$4&lt;$I10)+$H10*(GF$4&gt;=$I10))*$C10*(1+'Property Summary'!$L$18)^('MF Rents'!GF$3-1))</f>
        <v>35532.815561299598</v>
      </c>
      <c r="GG10" s="149">
        <f>IF(OR($B10="",$B10=0),"",($G10*(GG$4&lt;$I10)+$H10*(GG$4&gt;=$I10))*$C10*(1+'Property Summary'!$L$18)^('MF Rents'!GG$3-1))</f>
        <v>36065.807794719083</v>
      </c>
      <c r="GH10" s="149">
        <f>IF(OR($B10="",$B10=0),"",($G10*(GH$4&lt;$I10)+$H10*(GH$4&gt;=$I10))*$C10*(1+'Property Summary'!$L$18)^('MF Rents'!GH$3-1))</f>
        <v>36065.807794719083</v>
      </c>
      <c r="GI10" s="149">
        <f>IF(OR($B10="",$B10=0),"",($G10*(GI$4&lt;$I10)+$H10*(GI$4&gt;=$I10))*$C10*(1+'Property Summary'!$L$18)^('MF Rents'!GI$3-1))</f>
        <v>36065.807794719083</v>
      </c>
      <c r="GJ10" s="149">
        <f>IF(OR($B10="",$B10=0),"",($G10*(GJ$4&lt;$I10)+$H10*(GJ$4&gt;=$I10))*$C10*(1+'Property Summary'!$L$18)^('MF Rents'!GJ$3-1))</f>
        <v>36065.807794719083</v>
      </c>
      <c r="GK10" s="149">
        <f>IF(OR($B10="",$B10=0),"",($G10*(GK$4&lt;$I10)+$H10*(GK$4&gt;=$I10))*$C10*(1+'Property Summary'!$L$18)^('MF Rents'!GK$3-1))</f>
        <v>36065.807794719083</v>
      </c>
      <c r="GL10" s="149">
        <f>IF(OR($B10="",$B10=0),"",($G10*(GL$4&lt;$I10)+$H10*(GL$4&gt;=$I10))*$C10*(1+'Property Summary'!$L$18)^('MF Rents'!GL$3-1))</f>
        <v>36065.807794719083</v>
      </c>
      <c r="GM10" s="149">
        <f>IF(OR($B10="",$B10=0),"",($G10*(GM$4&lt;$I10)+$H10*(GM$4&gt;=$I10))*$C10*(1+'Property Summary'!$L$18)^('MF Rents'!GM$3-1))</f>
        <v>36065.807794719083</v>
      </c>
      <c r="GN10" s="149">
        <f>IF(OR($B10="",$B10=0),"",($G10*(GN$4&lt;$I10)+$H10*(GN$4&gt;=$I10))*$C10*(1+'Property Summary'!$L$18)^('MF Rents'!GN$3-1))</f>
        <v>36065.807794719083</v>
      </c>
      <c r="GO10" s="149">
        <f>IF(OR($B10="",$B10=0),"",($G10*(GO$4&lt;$I10)+$H10*(GO$4&gt;=$I10))*$C10*(1+'Property Summary'!$L$18)^('MF Rents'!GO$3-1))</f>
        <v>36065.807794719083</v>
      </c>
      <c r="GP10" s="149">
        <f>IF(OR($B10="",$B10=0),"",($G10*(GP$4&lt;$I10)+$H10*(GP$4&gt;=$I10))*$C10*(1+'Property Summary'!$L$18)^('MF Rents'!GP$3-1))</f>
        <v>36065.807794719083</v>
      </c>
      <c r="GQ10" s="149">
        <f>IF(OR($B10="",$B10=0),"",($G10*(GQ$4&lt;$I10)+$H10*(GQ$4&gt;=$I10))*$C10*(1+'Property Summary'!$L$18)^('MF Rents'!GQ$3-1))</f>
        <v>36065.807794719083</v>
      </c>
      <c r="GR10" s="149">
        <f>IF(OR($B10="",$B10=0),"",($G10*(GR$4&lt;$I10)+$H10*(GR$4&gt;=$I10))*$C10*(1+'Property Summary'!$L$18)^('MF Rents'!GR$3-1))</f>
        <v>36065.807794719083</v>
      </c>
    </row>
    <row r="11" spans="2:200" x14ac:dyDescent="0.3">
      <c r="B11" s="184">
        <f>'MF Rent Roll'!B10</f>
        <v>0</v>
      </c>
      <c r="C11" s="171">
        <f>'MF Rent Roll'!C10</f>
        <v>0</v>
      </c>
      <c r="D11" s="172">
        <f>'MF Rent Roll'!D10</f>
        <v>0</v>
      </c>
      <c r="E11" s="172">
        <f>'MF Rent Roll'!E10</f>
        <v>0</v>
      </c>
      <c r="F11" s="173">
        <f>'MF Rent Roll'!F10</f>
        <v>0</v>
      </c>
      <c r="G11" s="174">
        <f>'MF Rent Roll'!G10</f>
        <v>0</v>
      </c>
      <c r="H11" s="174">
        <f>IF('MF Rent Roll'!H10="",G11,'MF Rent Roll'!H10)</f>
        <v>0</v>
      </c>
      <c r="I11" s="175">
        <f>IF('MF Rent Roll'!I10="",1,'MF Rent Roll'!I10)</f>
        <v>1</v>
      </c>
      <c r="J11" s="176">
        <f>'MF Rent Roll'!J10</f>
        <v>0</v>
      </c>
      <c r="K11" s="174">
        <f>'MF Rent Roll'!K10</f>
        <v>0</v>
      </c>
      <c r="L11" s="177">
        <f>'MF Rent Roll'!L10</f>
        <v>0</v>
      </c>
      <c r="M11" s="178">
        <f>'MF Rent Roll'!M10</f>
        <v>0</v>
      </c>
      <c r="N11" s="174">
        <f>'MF Rent Roll'!N10</f>
        <v>0</v>
      </c>
      <c r="O11" s="179">
        <f>'MF Rent Roll'!O10</f>
        <v>0</v>
      </c>
      <c r="P11" s="180" t="str">
        <f>'MF Rent Roll'!P10</f>
        <v/>
      </c>
      <c r="Q11" s="181" t="str">
        <f>'MF Rent Roll'!Q10</f>
        <v/>
      </c>
      <c r="R11" s="104" t="str">
        <f>'MF Rent Roll'!R10</f>
        <v/>
      </c>
      <c r="U11" s="149" t="str">
        <f>IF(OR($B11="",$B11=0),"",($G11*(U$4&lt;$I11)+$H11*(U$4&gt;=$I11))*$C11*(1+'Property Summary'!$L$18)^('MF Rents'!U$3-1))</f>
        <v/>
      </c>
      <c r="V11" s="149" t="str">
        <f>IF(OR($B11="",$B11=0),"",($G11*(V$4&lt;$I11)+$H11*(V$4&gt;=$I11))*$C11*(1+'Property Summary'!$L$18)^('MF Rents'!V$3-1))</f>
        <v/>
      </c>
      <c r="W11" s="149" t="str">
        <f>IF(OR($B11="",$B11=0),"",($G11*(W$4&lt;$I11)+$H11*(W$4&gt;=$I11))*$C11*(1+'Property Summary'!$L$18)^('MF Rents'!W$3-1))</f>
        <v/>
      </c>
      <c r="X11" s="149" t="str">
        <f>IF(OR($B11="",$B11=0),"",($G11*(X$4&lt;$I11)+$H11*(X$4&gt;=$I11))*$C11*(1+'Property Summary'!$L$18)^('MF Rents'!X$3-1))</f>
        <v/>
      </c>
      <c r="Y11" s="149" t="str">
        <f>IF(OR($B11="",$B11=0),"",($G11*(Y$4&lt;$I11)+$H11*(Y$4&gt;=$I11))*$C11*(1+'Property Summary'!$L$18)^('MF Rents'!Y$3-1))</f>
        <v/>
      </c>
      <c r="Z11" s="149" t="str">
        <f>IF(OR($B11="",$B11=0),"",($G11*(Z$4&lt;$I11)+$H11*(Z$4&gt;=$I11))*$C11*(1+'Property Summary'!$L$18)^('MF Rents'!Z$3-1))</f>
        <v/>
      </c>
      <c r="AA11" s="149" t="str">
        <f>IF(OR($B11="",$B11=0),"",($G11*(AA$4&lt;$I11)+$H11*(AA$4&gt;=$I11))*$C11*(1+'Property Summary'!$L$18)^('MF Rents'!AA$3-1))</f>
        <v/>
      </c>
      <c r="AB11" s="149" t="str">
        <f>IF(OR($B11="",$B11=0),"",($G11*(AB$4&lt;$I11)+$H11*(AB$4&gt;=$I11))*$C11*(1+'Property Summary'!$L$18)^('MF Rents'!AB$3-1))</f>
        <v/>
      </c>
      <c r="AC11" s="149" t="str">
        <f>IF(OR($B11="",$B11=0),"",($G11*(AC$4&lt;$I11)+$H11*(AC$4&gt;=$I11))*$C11*(1+'Property Summary'!$L$18)^('MF Rents'!AC$3-1))</f>
        <v/>
      </c>
      <c r="AD11" s="149" t="str">
        <f>IF(OR($B11="",$B11=0),"",($G11*(AD$4&lt;$I11)+$H11*(AD$4&gt;=$I11))*$C11*(1+'Property Summary'!$L$18)^('MF Rents'!AD$3-1))</f>
        <v/>
      </c>
      <c r="AE11" s="149" t="str">
        <f>IF(OR($B11="",$B11=0),"",($G11*(AE$4&lt;$I11)+$H11*(AE$4&gt;=$I11))*$C11*(1+'Property Summary'!$L$18)^('MF Rents'!AE$3-1))</f>
        <v/>
      </c>
      <c r="AF11" s="149" t="str">
        <f>IF(OR($B11="",$B11=0),"",($G11*(AF$4&lt;$I11)+$H11*(AF$4&gt;=$I11))*$C11*(1+'Property Summary'!$L$18)^('MF Rents'!AF$3-1))</f>
        <v/>
      </c>
      <c r="AG11" s="149" t="str">
        <f>IF(OR($B11="",$B11=0),"",($G11*(AG$4&lt;$I11)+$H11*(AG$4&gt;=$I11))*$C11*(1+'Property Summary'!$L$18)^('MF Rents'!AG$3-1))</f>
        <v/>
      </c>
      <c r="AH11" s="149" t="str">
        <f>IF(OR($B11="",$B11=0),"",($G11*(AH$4&lt;$I11)+$H11*(AH$4&gt;=$I11))*$C11*(1+'Property Summary'!$L$18)^('MF Rents'!AH$3-1))</f>
        <v/>
      </c>
      <c r="AI11" s="149" t="str">
        <f>IF(OR($B11="",$B11=0),"",($G11*(AI$4&lt;$I11)+$H11*(AI$4&gt;=$I11))*$C11*(1+'Property Summary'!$L$18)^('MF Rents'!AI$3-1))</f>
        <v/>
      </c>
      <c r="AJ11" s="149" t="str">
        <f>IF(OR($B11="",$B11=0),"",($G11*(AJ$4&lt;$I11)+$H11*(AJ$4&gt;=$I11))*$C11*(1+'Property Summary'!$L$18)^('MF Rents'!AJ$3-1))</f>
        <v/>
      </c>
      <c r="AK11" s="149" t="str">
        <f>IF(OR($B11="",$B11=0),"",($G11*(AK$4&lt;$I11)+$H11*(AK$4&gt;=$I11))*$C11*(1+'Property Summary'!$L$18)^('MF Rents'!AK$3-1))</f>
        <v/>
      </c>
      <c r="AL11" s="149" t="str">
        <f>IF(OR($B11="",$B11=0),"",($G11*(AL$4&lt;$I11)+$H11*(AL$4&gt;=$I11))*$C11*(1+'Property Summary'!$L$18)^('MF Rents'!AL$3-1))</f>
        <v/>
      </c>
      <c r="AM11" s="149" t="str">
        <f>IF(OR($B11="",$B11=0),"",($G11*(AM$4&lt;$I11)+$H11*(AM$4&gt;=$I11))*$C11*(1+'Property Summary'!$L$18)^('MF Rents'!AM$3-1))</f>
        <v/>
      </c>
      <c r="AN11" s="149" t="str">
        <f>IF(OR($B11="",$B11=0),"",($G11*(AN$4&lt;$I11)+$H11*(AN$4&gt;=$I11))*$C11*(1+'Property Summary'!$L$18)^('MF Rents'!AN$3-1))</f>
        <v/>
      </c>
      <c r="AO11" s="149" t="str">
        <f>IF(OR($B11="",$B11=0),"",($G11*(AO$4&lt;$I11)+$H11*(AO$4&gt;=$I11))*$C11*(1+'Property Summary'!$L$18)^('MF Rents'!AO$3-1))</f>
        <v/>
      </c>
      <c r="AP11" s="149" t="str">
        <f>IF(OR($B11="",$B11=0),"",($G11*(AP$4&lt;$I11)+$H11*(AP$4&gt;=$I11))*$C11*(1+'Property Summary'!$L$18)^('MF Rents'!AP$3-1))</f>
        <v/>
      </c>
      <c r="AQ11" s="149" t="str">
        <f>IF(OR($B11="",$B11=0),"",($G11*(AQ$4&lt;$I11)+$H11*(AQ$4&gt;=$I11))*$C11*(1+'Property Summary'!$L$18)^('MF Rents'!AQ$3-1))</f>
        <v/>
      </c>
      <c r="AR11" s="149" t="str">
        <f>IF(OR($B11="",$B11=0),"",($G11*(AR$4&lt;$I11)+$H11*(AR$4&gt;=$I11))*$C11*(1+'Property Summary'!$L$18)^('MF Rents'!AR$3-1))</f>
        <v/>
      </c>
      <c r="AS11" s="149" t="str">
        <f>IF(OR($B11="",$B11=0),"",($G11*(AS$4&lt;$I11)+$H11*(AS$4&gt;=$I11))*$C11*(1+'Property Summary'!$L$18)^('MF Rents'!AS$3-1))</f>
        <v/>
      </c>
      <c r="AT11" s="149" t="str">
        <f>IF(OR($B11="",$B11=0),"",($G11*(AT$4&lt;$I11)+$H11*(AT$4&gt;=$I11))*$C11*(1+'Property Summary'!$L$18)^('MF Rents'!AT$3-1))</f>
        <v/>
      </c>
      <c r="AU11" s="149" t="str">
        <f>IF(OR($B11="",$B11=0),"",($G11*(AU$4&lt;$I11)+$H11*(AU$4&gt;=$I11))*$C11*(1+'Property Summary'!$L$18)^('MF Rents'!AU$3-1))</f>
        <v/>
      </c>
      <c r="AV11" s="149" t="str">
        <f>IF(OR($B11="",$B11=0),"",($G11*(AV$4&lt;$I11)+$H11*(AV$4&gt;=$I11))*$C11*(1+'Property Summary'!$L$18)^('MF Rents'!AV$3-1))</f>
        <v/>
      </c>
      <c r="AW11" s="149" t="str">
        <f>IF(OR($B11="",$B11=0),"",($G11*(AW$4&lt;$I11)+$H11*(AW$4&gt;=$I11))*$C11*(1+'Property Summary'!$L$18)^('MF Rents'!AW$3-1))</f>
        <v/>
      </c>
      <c r="AX11" s="149" t="str">
        <f>IF(OR($B11="",$B11=0),"",($G11*(AX$4&lt;$I11)+$H11*(AX$4&gt;=$I11))*$C11*(1+'Property Summary'!$L$18)^('MF Rents'!AX$3-1))</f>
        <v/>
      </c>
      <c r="AY11" s="149" t="str">
        <f>IF(OR($B11="",$B11=0),"",($G11*(AY$4&lt;$I11)+$H11*(AY$4&gt;=$I11))*$C11*(1+'Property Summary'!$L$18)^('MF Rents'!AY$3-1))</f>
        <v/>
      </c>
      <c r="AZ11" s="149" t="str">
        <f>IF(OR($B11="",$B11=0),"",($G11*(AZ$4&lt;$I11)+$H11*(AZ$4&gt;=$I11))*$C11*(1+'Property Summary'!$L$18)^('MF Rents'!AZ$3-1))</f>
        <v/>
      </c>
      <c r="BA11" s="149" t="str">
        <f>IF(OR($B11="",$B11=0),"",($G11*(BA$4&lt;$I11)+$H11*(BA$4&gt;=$I11))*$C11*(1+'Property Summary'!$L$18)^('MF Rents'!BA$3-1))</f>
        <v/>
      </c>
      <c r="BB11" s="149" t="str">
        <f>IF(OR($B11="",$B11=0),"",($G11*(BB$4&lt;$I11)+$H11*(BB$4&gt;=$I11))*$C11*(1+'Property Summary'!$L$18)^('MF Rents'!BB$3-1))</f>
        <v/>
      </c>
      <c r="BC11" s="149" t="str">
        <f>IF(OR($B11="",$B11=0),"",($G11*(BC$4&lt;$I11)+$H11*(BC$4&gt;=$I11))*$C11*(1+'Property Summary'!$L$18)^('MF Rents'!BC$3-1))</f>
        <v/>
      </c>
      <c r="BD11" s="149" t="str">
        <f>IF(OR($B11="",$B11=0),"",($G11*(BD$4&lt;$I11)+$H11*(BD$4&gt;=$I11))*$C11*(1+'Property Summary'!$L$18)^('MF Rents'!BD$3-1))</f>
        <v/>
      </c>
      <c r="BE11" s="149" t="str">
        <f>IF(OR($B11="",$B11=0),"",($G11*(BE$4&lt;$I11)+$H11*(BE$4&gt;=$I11))*$C11*(1+'Property Summary'!$L$18)^('MF Rents'!BE$3-1))</f>
        <v/>
      </c>
      <c r="BF11" s="149" t="str">
        <f>IF(OR($B11="",$B11=0),"",($G11*(BF$4&lt;$I11)+$H11*(BF$4&gt;=$I11))*$C11*(1+'Property Summary'!$L$18)^('MF Rents'!BF$3-1))</f>
        <v/>
      </c>
      <c r="BG11" s="149" t="str">
        <f>IF(OR($B11="",$B11=0),"",($G11*(BG$4&lt;$I11)+$H11*(BG$4&gt;=$I11))*$C11*(1+'Property Summary'!$L$18)^('MF Rents'!BG$3-1))</f>
        <v/>
      </c>
      <c r="BH11" s="149" t="str">
        <f>IF(OR($B11="",$B11=0),"",($G11*(BH$4&lt;$I11)+$H11*(BH$4&gt;=$I11))*$C11*(1+'Property Summary'!$L$18)^('MF Rents'!BH$3-1))</f>
        <v/>
      </c>
      <c r="BI11" s="149" t="str">
        <f>IF(OR($B11="",$B11=0),"",($G11*(BI$4&lt;$I11)+$H11*(BI$4&gt;=$I11))*$C11*(1+'Property Summary'!$L$18)^('MF Rents'!BI$3-1))</f>
        <v/>
      </c>
      <c r="BJ11" s="149" t="str">
        <f>IF(OR($B11="",$B11=0),"",($G11*(BJ$4&lt;$I11)+$H11*(BJ$4&gt;=$I11))*$C11*(1+'Property Summary'!$L$18)^('MF Rents'!BJ$3-1))</f>
        <v/>
      </c>
      <c r="BK11" s="149" t="str">
        <f>IF(OR($B11="",$B11=0),"",($G11*(BK$4&lt;$I11)+$H11*(BK$4&gt;=$I11))*$C11*(1+'Property Summary'!$L$18)^('MF Rents'!BK$3-1))</f>
        <v/>
      </c>
      <c r="BL11" s="149" t="str">
        <f>IF(OR($B11="",$B11=0),"",($G11*(BL$4&lt;$I11)+$H11*(BL$4&gt;=$I11))*$C11*(1+'Property Summary'!$L$18)^('MF Rents'!BL$3-1))</f>
        <v/>
      </c>
      <c r="BM11" s="149" t="str">
        <f>IF(OR($B11="",$B11=0),"",($G11*(BM$4&lt;$I11)+$H11*(BM$4&gt;=$I11))*$C11*(1+'Property Summary'!$L$18)^('MF Rents'!BM$3-1))</f>
        <v/>
      </c>
      <c r="BN11" s="149" t="str">
        <f>IF(OR($B11="",$B11=0),"",($G11*(BN$4&lt;$I11)+$H11*(BN$4&gt;=$I11))*$C11*(1+'Property Summary'!$L$18)^('MF Rents'!BN$3-1))</f>
        <v/>
      </c>
      <c r="BO11" s="149" t="str">
        <f>IF(OR($B11="",$B11=0),"",($G11*(BO$4&lt;$I11)+$H11*(BO$4&gt;=$I11))*$C11*(1+'Property Summary'!$L$18)^('MF Rents'!BO$3-1))</f>
        <v/>
      </c>
      <c r="BP11" s="149" t="str">
        <f>IF(OR($B11="",$B11=0),"",($G11*(BP$4&lt;$I11)+$H11*(BP$4&gt;=$I11))*$C11*(1+'Property Summary'!$L$18)^('MF Rents'!BP$3-1))</f>
        <v/>
      </c>
      <c r="BQ11" s="149" t="str">
        <f>IF(OR($B11="",$B11=0),"",($G11*(BQ$4&lt;$I11)+$H11*(BQ$4&gt;=$I11))*$C11*(1+'Property Summary'!$L$18)^('MF Rents'!BQ$3-1))</f>
        <v/>
      </c>
      <c r="BR11" s="149" t="str">
        <f>IF(OR($B11="",$B11=0),"",($G11*(BR$4&lt;$I11)+$H11*(BR$4&gt;=$I11))*$C11*(1+'Property Summary'!$L$18)^('MF Rents'!BR$3-1))</f>
        <v/>
      </c>
      <c r="BS11" s="149" t="str">
        <f>IF(OR($B11="",$B11=0),"",($G11*(BS$4&lt;$I11)+$H11*(BS$4&gt;=$I11))*$C11*(1+'Property Summary'!$L$18)^('MF Rents'!BS$3-1))</f>
        <v/>
      </c>
      <c r="BT11" s="149" t="str">
        <f>IF(OR($B11="",$B11=0),"",($G11*(BT$4&lt;$I11)+$H11*(BT$4&gt;=$I11))*$C11*(1+'Property Summary'!$L$18)^('MF Rents'!BT$3-1))</f>
        <v/>
      </c>
      <c r="BU11" s="149" t="str">
        <f>IF(OR($B11="",$B11=0),"",($G11*(BU$4&lt;$I11)+$H11*(BU$4&gt;=$I11))*$C11*(1+'Property Summary'!$L$18)^('MF Rents'!BU$3-1))</f>
        <v/>
      </c>
      <c r="BV11" s="149" t="str">
        <f>IF(OR($B11="",$B11=0),"",($G11*(BV$4&lt;$I11)+$H11*(BV$4&gt;=$I11))*$C11*(1+'Property Summary'!$L$18)^('MF Rents'!BV$3-1))</f>
        <v/>
      </c>
      <c r="BW11" s="149" t="str">
        <f>IF(OR($B11="",$B11=0),"",($G11*(BW$4&lt;$I11)+$H11*(BW$4&gt;=$I11))*$C11*(1+'Property Summary'!$L$18)^('MF Rents'!BW$3-1))</f>
        <v/>
      </c>
      <c r="BX11" s="149" t="str">
        <f>IF(OR($B11="",$B11=0),"",($G11*(BX$4&lt;$I11)+$H11*(BX$4&gt;=$I11))*$C11*(1+'Property Summary'!$L$18)^('MF Rents'!BX$3-1))</f>
        <v/>
      </c>
      <c r="BY11" s="149" t="str">
        <f>IF(OR($B11="",$B11=0),"",($G11*(BY$4&lt;$I11)+$H11*(BY$4&gt;=$I11))*$C11*(1+'Property Summary'!$L$18)^('MF Rents'!BY$3-1))</f>
        <v/>
      </c>
      <c r="BZ11" s="149" t="str">
        <f>IF(OR($B11="",$B11=0),"",($G11*(BZ$4&lt;$I11)+$H11*(BZ$4&gt;=$I11))*$C11*(1+'Property Summary'!$L$18)^('MF Rents'!BZ$3-1))</f>
        <v/>
      </c>
      <c r="CA11" s="149" t="str">
        <f>IF(OR($B11="",$B11=0),"",($G11*(CA$4&lt;$I11)+$H11*(CA$4&gt;=$I11))*$C11*(1+'Property Summary'!$L$18)^('MF Rents'!CA$3-1))</f>
        <v/>
      </c>
      <c r="CB11" s="149" t="str">
        <f>IF(OR($B11="",$B11=0),"",($G11*(CB$4&lt;$I11)+$H11*(CB$4&gt;=$I11))*$C11*(1+'Property Summary'!$L$18)^('MF Rents'!CB$3-1))</f>
        <v/>
      </c>
      <c r="CC11" s="149" t="str">
        <f>IF(OR($B11="",$B11=0),"",($G11*(CC$4&lt;$I11)+$H11*(CC$4&gt;=$I11))*$C11*(1+'Property Summary'!$L$18)^('MF Rents'!CC$3-1))</f>
        <v/>
      </c>
      <c r="CD11" s="149" t="str">
        <f>IF(OR($B11="",$B11=0),"",($G11*(CD$4&lt;$I11)+$H11*(CD$4&gt;=$I11))*$C11*(1+'Property Summary'!$L$18)^('MF Rents'!CD$3-1))</f>
        <v/>
      </c>
      <c r="CE11" s="149" t="str">
        <f>IF(OR($B11="",$B11=0),"",($G11*(CE$4&lt;$I11)+$H11*(CE$4&gt;=$I11))*$C11*(1+'Property Summary'!$L$18)^('MF Rents'!CE$3-1))</f>
        <v/>
      </c>
      <c r="CF11" s="149" t="str">
        <f>IF(OR($B11="",$B11=0),"",($G11*(CF$4&lt;$I11)+$H11*(CF$4&gt;=$I11))*$C11*(1+'Property Summary'!$L$18)^('MF Rents'!CF$3-1))</f>
        <v/>
      </c>
      <c r="CG11" s="149" t="str">
        <f>IF(OR($B11="",$B11=0),"",($G11*(CG$4&lt;$I11)+$H11*(CG$4&gt;=$I11))*$C11*(1+'Property Summary'!$L$18)^('MF Rents'!CG$3-1))</f>
        <v/>
      </c>
      <c r="CH11" s="149" t="str">
        <f>IF(OR($B11="",$B11=0),"",($G11*(CH$4&lt;$I11)+$H11*(CH$4&gt;=$I11))*$C11*(1+'Property Summary'!$L$18)^('MF Rents'!CH$3-1))</f>
        <v/>
      </c>
      <c r="CI11" s="149" t="str">
        <f>IF(OR($B11="",$B11=0),"",($G11*(CI$4&lt;$I11)+$H11*(CI$4&gt;=$I11))*$C11*(1+'Property Summary'!$L$18)^('MF Rents'!CI$3-1))</f>
        <v/>
      </c>
      <c r="CJ11" s="149" t="str">
        <f>IF(OR($B11="",$B11=0),"",($G11*(CJ$4&lt;$I11)+$H11*(CJ$4&gt;=$I11))*$C11*(1+'Property Summary'!$L$18)^('MF Rents'!CJ$3-1))</f>
        <v/>
      </c>
      <c r="CK11" s="149" t="str">
        <f>IF(OR($B11="",$B11=0),"",($G11*(CK$4&lt;$I11)+$H11*(CK$4&gt;=$I11))*$C11*(1+'Property Summary'!$L$18)^('MF Rents'!CK$3-1))</f>
        <v/>
      </c>
      <c r="CL11" s="149" t="str">
        <f>IF(OR($B11="",$B11=0),"",($G11*(CL$4&lt;$I11)+$H11*(CL$4&gt;=$I11))*$C11*(1+'Property Summary'!$L$18)^('MF Rents'!CL$3-1))</f>
        <v/>
      </c>
      <c r="CM11" s="149" t="str">
        <f>IF(OR($B11="",$B11=0),"",($G11*(CM$4&lt;$I11)+$H11*(CM$4&gt;=$I11))*$C11*(1+'Property Summary'!$L$18)^('MF Rents'!CM$3-1))</f>
        <v/>
      </c>
      <c r="CN11" s="149" t="str">
        <f>IF(OR($B11="",$B11=0),"",($G11*(CN$4&lt;$I11)+$H11*(CN$4&gt;=$I11))*$C11*(1+'Property Summary'!$L$18)^('MF Rents'!CN$3-1))</f>
        <v/>
      </c>
      <c r="CO11" s="149" t="str">
        <f>IF(OR($B11="",$B11=0),"",($G11*(CO$4&lt;$I11)+$H11*(CO$4&gt;=$I11))*$C11*(1+'Property Summary'!$L$18)^('MF Rents'!CO$3-1))</f>
        <v/>
      </c>
      <c r="CP11" s="149" t="str">
        <f>IF(OR($B11="",$B11=0),"",($G11*(CP$4&lt;$I11)+$H11*(CP$4&gt;=$I11))*$C11*(1+'Property Summary'!$L$18)^('MF Rents'!CP$3-1))</f>
        <v/>
      </c>
      <c r="CQ11" s="149" t="str">
        <f>IF(OR($B11="",$B11=0),"",($G11*(CQ$4&lt;$I11)+$H11*(CQ$4&gt;=$I11))*$C11*(1+'Property Summary'!$L$18)^('MF Rents'!CQ$3-1))</f>
        <v/>
      </c>
      <c r="CR11" s="149" t="str">
        <f>IF(OR($B11="",$B11=0),"",($G11*(CR$4&lt;$I11)+$H11*(CR$4&gt;=$I11))*$C11*(1+'Property Summary'!$L$18)^('MF Rents'!CR$3-1))</f>
        <v/>
      </c>
      <c r="CS11" s="149" t="str">
        <f>IF(OR($B11="",$B11=0),"",($G11*(CS$4&lt;$I11)+$H11*(CS$4&gt;=$I11))*$C11*(1+'Property Summary'!$L$18)^('MF Rents'!CS$3-1))</f>
        <v/>
      </c>
      <c r="CT11" s="149" t="str">
        <f>IF(OR($B11="",$B11=0),"",($G11*(CT$4&lt;$I11)+$H11*(CT$4&gt;=$I11))*$C11*(1+'Property Summary'!$L$18)^('MF Rents'!CT$3-1))</f>
        <v/>
      </c>
      <c r="CU11" s="149" t="str">
        <f>IF(OR($B11="",$B11=0),"",($G11*(CU$4&lt;$I11)+$H11*(CU$4&gt;=$I11))*$C11*(1+'Property Summary'!$L$18)^('MF Rents'!CU$3-1))</f>
        <v/>
      </c>
      <c r="CV11" s="149" t="str">
        <f>IF(OR($B11="",$B11=0),"",($G11*(CV$4&lt;$I11)+$H11*(CV$4&gt;=$I11))*$C11*(1+'Property Summary'!$L$18)^('MF Rents'!CV$3-1))</f>
        <v/>
      </c>
      <c r="CW11" s="149" t="str">
        <f>IF(OR($B11="",$B11=0),"",($G11*(CW$4&lt;$I11)+$H11*(CW$4&gt;=$I11))*$C11*(1+'Property Summary'!$L$18)^('MF Rents'!CW$3-1))</f>
        <v/>
      </c>
      <c r="CX11" s="149" t="str">
        <f>IF(OR($B11="",$B11=0),"",($G11*(CX$4&lt;$I11)+$H11*(CX$4&gt;=$I11))*$C11*(1+'Property Summary'!$L$18)^('MF Rents'!CX$3-1))</f>
        <v/>
      </c>
      <c r="CY11" s="149" t="str">
        <f>IF(OR($B11="",$B11=0),"",($G11*(CY$4&lt;$I11)+$H11*(CY$4&gt;=$I11))*$C11*(1+'Property Summary'!$L$18)^('MF Rents'!CY$3-1))</f>
        <v/>
      </c>
      <c r="CZ11" s="149" t="str">
        <f>IF(OR($B11="",$B11=0),"",($G11*(CZ$4&lt;$I11)+$H11*(CZ$4&gt;=$I11))*$C11*(1+'Property Summary'!$L$18)^('MF Rents'!CZ$3-1))</f>
        <v/>
      </c>
      <c r="DA11" s="149" t="str">
        <f>IF(OR($B11="",$B11=0),"",($G11*(DA$4&lt;$I11)+$H11*(DA$4&gt;=$I11))*$C11*(1+'Property Summary'!$L$18)^('MF Rents'!DA$3-1))</f>
        <v/>
      </c>
      <c r="DB11" s="149" t="str">
        <f>IF(OR($B11="",$B11=0),"",($G11*(DB$4&lt;$I11)+$H11*(DB$4&gt;=$I11))*$C11*(1+'Property Summary'!$L$18)^('MF Rents'!DB$3-1))</f>
        <v/>
      </c>
      <c r="DC11" s="149" t="str">
        <f>IF(OR($B11="",$B11=0),"",($G11*(DC$4&lt;$I11)+$H11*(DC$4&gt;=$I11))*$C11*(1+'Property Summary'!$L$18)^('MF Rents'!DC$3-1))</f>
        <v/>
      </c>
      <c r="DD11" s="149" t="str">
        <f>IF(OR($B11="",$B11=0),"",($G11*(DD$4&lt;$I11)+$H11*(DD$4&gt;=$I11))*$C11*(1+'Property Summary'!$L$18)^('MF Rents'!DD$3-1))</f>
        <v/>
      </c>
      <c r="DE11" s="149" t="str">
        <f>IF(OR($B11="",$B11=0),"",($G11*(DE$4&lt;$I11)+$H11*(DE$4&gt;=$I11))*$C11*(1+'Property Summary'!$L$18)^('MF Rents'!DE$3-1))</f>
        <v/>
      </c>
      <c r="DF11" s="149" t="str">
        <f>IF(OR($B11="",$B11=0),"",($G11*(DF$4&lt;$I11)+$H11*(DF$4&gt;=$I11))*$C11*(1+'Property Summary'!$L$18)^('MF Rents'!DF$3-1))</f>
        <v/>
      </c>
      <c r="DG11" s="149" t="str">
        <f>IF(OR($B11="",$B11=0),"",($G11*(DG$4&lt;$I11)+$H11*(DG$4&gt;=$I11))*$C11*(1+'Property Summary'!$L$18)^('MF Rents'!DG$3-1))</f>
        <v/>
      </c>
      <c r="DH11" s="149" t="str">
        <f>IF(OR($B11="",$B11=0),"",($G11*(DH$4&lt;$I11)+$H11*(DH$4&gt;=$I11))*$C11*(1+'Property Summary'!$L$18)^('MF Rents'!DH$3-1))</f>
        <v/>
      </c>
      <c r="DI11" s="149" t="str">
        <f>IF(OR($B11="",$B11=0),"",($G11*(DI$4&lt;$I11)+$H11*(DI$4&gt;=$I11))*$C11*(1+'Property Summary'!$L$18)^('MF Rents'!DI$3-1))</f>
        <v/>
      </c>
      <c r="DJ11" s="149" t="str">
        <f>IF(OR($B11="",$B11=0),"",($G11*(DJ$4&lt;$I11)+$H11*(DJ$4&gt;=$I11))*$C11*(1+'Property Summary'!$L$18)^('MF Rents'!DJ$3-1))</f>
        <v/>
      </c>
      <c r="DK11" s="149" t="str">
        <f>IF(OR($B11="",$B11=0),"",($G11*(DK$4&lt;$I11)+$H11*(DK$4&gt;=$I11))*$C11*(1+'Property Summary'!$L$18)^('MF Rents'!DK$3-1))</f>
        <v/>
      </c>
      <c r="DL11" s="149" t="str">
        <f>IF(OR($B11="",$B11=0),"",($G11*(DL$4&lt;$I11)+$H11*(DL$4&gt;=$I11))*$C11*(1+'Property Summary'!$L$18)^('MF Rents'!DL$3-1))</f>
        <v/>
      </c>
      <c r="DM11" s="149" t="str">
        <f>IF(OR($B11="",$B11=0),"",($G11*(DM$4&lt;$I11)+$H11*(DM$4&gt;=$I11))*$C11*(1+'Property Summary'!$L$18)^('MF Rents'!DM$3-1))</f>
        <v/>
      </c>
      <c r="DN11" s="149" t="str">
        <f>IF(OR($B11="",$B11=0),"",($G11*(DN$4&lt;$I11)+$H11*(DN$4&gt;=$I11))*$C11*(1+'Property Summary'!$L$18)^('MF Rents'!DN$3-1))</f>
        <v/>
      </c>
      <c r="DO11" s="149" t="str">
        <f>IF(OR($B11="",$B11=0),"",($G11*(DO$4&lt;$I11)+$H11*(DO$4&gt;=$I11))*$C11*(1+'Property Summary'!$L$18)^('MF Rents'!DO$3-1))</f>
        <v/>
      </c>
      <c r="DP11" s="149" t="str">
        <f>IF(OR($B11="",$B11=0),"",($G11*(DP$4&lt;$I11)+$H11*(DP$4&gt;=$I11))*$C11*(1+'Property Summary'!$L$18)^('MF Rents'!DP$3-1))</f>
        <v/>
      </c>
      <c r="DQ11" s="149" t="str">
        <f>IF(OR($B11="",$B11=0),"",($G11*(DQ$4&lt;$I11)+$H11*(DQ$4&gt;=$I11))*$C11*(1+'Property Summary'!$L$18)^('MF Rents'!DQ$3-1))</f>
        <v/>
      </c>
      <c r="DR11" s="149" t="str">
        <f>IF(OR($B11="",$B11=0),"",($G11*(DR$4&lt;$I11)+$H11*(DR$4&gt;=$I11))*$C11*(1+'Property Summary'!$L$18)^('MF Rents'!DR$3-1))</f>
        <v/>
      </c>
      <c r="DS11" s="149" t="str">
        <f>IF(OR($B11="",$B11=0),"",($G11*(DS$4&lt;$I11)+$H11*(DS$4&gt;=$I11))*$C11*(1+'Property Summary'!$L$18)^('MF Rents'!DS$3-1))</f>
        <v/>
      </c>
      <c r="DT11" s="149" t="str">
        <f>IF(OR($B11="",$B11=0),"",($G11*(DT$4&lt;$I11)+$H11*(DT$4&gt;=$I11))*$C11*(1+'Property Summary'!$L$18)^('MF Rents'!DT$3-1))</f>
        <v/>
      </c>
      <c r="DU11" s="149" t="str">
        <f>IF(OR($B11="",$B11=0),"",($G11*(DU$4&lt;$I11)+$H11*(DU$4&gt;=$I11))*$C11*(1+'Property Summary'!$L$18)^('MF Rents'!DU$3-1))</f>
        <v/>
      </c>
      <c r="DV11" s="149" t="str">
        <f>IF(OR($B11="",$B11=0),"",($G11*(DV$4&lt;$I11)+$H11*(DV$4&gt;=$I11))*$C11*(1+'Property Summary'!$L$18)^('MF Rents'!DV$3-1))</f>
        <v/>
      </c>
      <c r="DW11" s="149" t="str">
        <f>IF(OR($B11="",$B11=0),"",($G11*(DW$4&lt;$I11)+$H11*(DW$4&gt;=$I11))*$C11*(1+'Property Summary'!$L$18)^('MF Rents'!DW$3-1))</f>
        <v/>
      </c>
      <c r="DX11" s="149" t="str">
        <f>IF(OR($B11="",$B11=0),"",($G11*(DX$4&lt;$I11)+$H11*(DX$4&gt;=$I11))*$C11*(1+'Property Summary'!$L$18)^('MF Rents'!DX$3-1))</f>
        <v/>
      </c>
      <c r="DY11" s="149" t="str">
        <f>IF(OR($B11="",$B11=0),"",($G11*(DY$4&lt;$I11)+$H11*(DY$4&gt;=$I11))*$C11*(1+'Property Summary'!$L$18)^('MF Rents'!DY$3-1))</f>
        <v/>
      </c>
      <c r="DZ11" s="149" t="str">
        <f>IF(OR($B11="",$B11=0),"",($G11*(DZ$4&lt;$I11)+$H11*(DZ$4&gt;=$I11))*$C11*(1+'Property Summary'!$L$18)^('MF Rents'!DZ$3-1))</f>
        <v/>
      </c>
      <c r="EA11" s="149" t="str">
        <f>IF(OR($B11="",$B11=0),"",($G11*(EA$4&lt;$I11)+$H11*(EA$4&gt;=$I11))*$C11*(1+'Property Summary'!$L$18)^('MF Rents'!EA$3-1))</f>
        <v/>
      </c>
      <c r="EB11" s="149" t="str">
        <f>IF(OR($B11="",$B11=0),"",($G11*(EB$4&lt;$I11)+$H11*(EB$4&gt;=$I11))*$C11*(1+'Property Summary'!$L$18)^('MF Rents'!EB$3-1))</f>
        <v/>
      </c>
      <c r="EC11" s="149" t="str">
        <f>IF(OR($B11="",$B11=0),"",($G11*(EC$4&lt;$I11)+$H11*(EC$4&gt;=$I11))*$C11*(1+'Property Summary'!$L$18)^('MF Rents'!EC$3-1))</f>
        <v/>
      </c>
      <c r="ED11" s="149" t="str">
        <f>IF(OR($B11="",$B11=0),"",($G11*(ED$4&lt;$I11)+$H11*(ED$4&gt;=$I11))*$C11*(1+'Property Summary'!$L$18)^('MF Rents'!ED$3-1))</f>
        <v/>
      </c>
      <c r="EE11" s="149" t="str">
        <f>IF(OR($B11="",$B11=0),"",($G11*(EE$4&lt;$I11)+$H11*(EE$4&gt;=$I11))*$C11*(1+'Property Summary'!$L$18)^('MF Rents'!EE$3-1))</f>
        <v/>
      </c>
      <c r="EF11" s="149" t="str">
        <f>IF(OR($B11="",$B11=0),"",($G11*(EF$4&lt;$I11)+$H11*(EF$4&gt;=$I11))*$C11*(1+'Property Summary'!$L$18)^('MF Rents'!EF$3-1))</f>
        <v/>
      </c>
      <c r="EG11" s="149" t="str">
        <f>IF(OR($B11="",$B11=0),"",($G11*(EG$4&lt;$I11)+$H11*(EG$4&gt;=$I11))*$C11*(1+'Property Summary'!$L$18)^('MF Rents'!EG$3-1))</f>
        <v/>
      </c>
      <c r="EH11" s="149" t="str">
        <f>IF(OR($B11="",$B11=0),"",($G11*(EH$4&lt;$I11)+$H11*(EH$4&gt;=$I11))*$C11*(1+'Property Summary'!$L$18)^('MF Rents'!EH$3-1))</f>
        <v/>
      </c>
      <c r="EI11" s="149" t="str">
        <f>IF(OR($B11="",$B11=0),"",($G11*(EI$4&lt;$I11)+$H11*(EI$4&gt;=$I11))*$C11*(1+'Property Summary'!$L$18)^('MF Rents'!EI$3-1))</f>
        <v/>
      </c>
      <c r="EJ11" s="149" t="str">
        <f>IF(OR($B11="",$B11=0),"",($G11*(EJ$4&lt;$I11)+$H11*(EJ$4&gt;=$I11))*$C11*(1+'Property Summary'!$L$18)^('MF Rents'!EJ$3-1))</f>
        <v/>
      </c>
      <c r="EK11" s="149" t="str">
        <f>IF(OR($B11="",$B11=0),"",($G11*(EK$4&lt;$I11)+$H11*(EK$4&gt;=$I11))*$C11*(1+'Property Summary'!$L$18)^('MF Rents'!EK$3-1))</f>
        <v/>
      </c>
      <c r="EL11" s="149" t="str">
        <f>IF(OR($B11="",$B11=0),"",($G11*(EL$4&lt;$I11)+$H11*(EL$4&gt;=$I11))*$C11*(1+'Property Summary'!$L$18)^('MF Rents'!EL$3-1))</f>
        <v/>
      </c>
      <c r="EM11" s="149" t="str">
        <f>IF(OR($B11="",$B11=0),"",($G11*(EM$4&lt;$I11)+$H11*(EM$4&gt;=$I11))*$C11*(1+'Property Summary'!$L$18)^('MF Rents'!EM$3-1))</f>
        <v/>
      </c>
      <c r="EN11" s="149" t="str">
        <f>IF(OR($B11="",$B11=0),"",($G11*(EN$4&lt;$I11)+$H11*(EN$4&gt;=$I11))*$C11*(1+'Property Summary'!$L$18)^('MF Rents'!EN$3-1))</f>
        <v/>
      </c>
      <c r="EO11" s="149" t="str">
        <f>IF(OR($B11="",$B11=0),"",($G11*(EO$4&lt;$I11)+$H11*(EO$4&gt;=$I11))*$C11*(1+'Property Summary'!$L$18)^('MF Rents'!EO$3-1))</f>
        <v/>
      </c>
      <c r="EP11" s="149" t="str">
        <f>IF(OR($B11="",$B11=0),"",($G11*(EP$4&lt;$I11)+$H11*(EP$4&gt;=$I11))*$C11*(1+'Property Summary'!$L$18)^('MF Rents'!EP$3-1))</f>
        <v/>
      </c>
      <c r="EQ11" s="149" t="str">
        <f>IF(OR($B11="",$B11=0),"",($G11*(EQ$4&lt;$I11)+$H11*(EQ$4&gt;=$I11))*$C11*(1+'Property Summary'!$L$18)^('MF Rents'!EQ$3-1))</f>
        <v/>
      </c>
      <c r="ER11" s="149" t="str">
        <f>IF(OR($B11="",$B11=0),"",($G11*(ER$4&lt;$I11)+$H11*(ER$4&gt;=$I11))*$C11*(1+'Property Summary'!$L$18)^('MF Rents'!ER$3-1))</f>
        <v/>
      </c>
      <c r="ES11" s="149" t="str">
        <f>IF(OR($B11="",$B11=0),"",($G11*(ES$4&lt;$I11)+$H11*(ES$4&gt;=$I11))*$C11*(1+'Property Summary'!$L$18)^('MF Rents'!ES$3-1))</f>
        <v/>
      </c>
      <c r="ET11" s="149" t="str">
        <f>IF(OR($B11="",$B11=0),"",($G11*(ET$4&lt;$I11)+$H11*(ET$4&gt;=$I11))*$C11*(1+'Property Summary'!$L$18)^('MF Rents'!ET$3-1))</f>
        <v/>
      </c>
      <c r="EU11" s="149" t="str">
        <f>IF(OR($B11="",$B11=0),"",($G11*(EU$4&lt;$I11)+$H11*(EU$4&gt;=$I11))*$C11*(1+'Property Summary'!$L$18)^('MF Rents'!EU$3-1))</f>
        <v/>
      </c>
      <c r="EV11" s="149" t="str">
        <f>IF(OR($B11="",$B11=0),"",($G11*(EV$4&lt;$I11)+$H11*(EV$4&gt;=$I11))*$C11*(1+'Property Summary'!$L$18)^('MF Rents'!EV$3-1))</f>
        <v/>
      </c>
      <c r="EW11" s="149" t="str">
        <f>IF(OR($B11="",$B11=0),"",($G11*(EW$4&lt;$I11)+$H11*(EW$4&gt;=$I11))*$C11*(1+'Property Summary'!$L$18)^('MF Rents'!EW$3-1))</f>
        <v/>
      </c>
      <c r="EX11" s="149" t="str">
        <f>IF(OR($B11="",$B11=0),"",($G11*(EX$4&lt;$I11)+$H11*(EX$4&gt;=$I11))*$C11*(1+'Property Summary'!$L$18)^('MF Rents'!EX$3-1))</f>
        <v/>
      </c>
      <c r="EY11" s="149" t="str">
        <f>IF(OR($B11="",$B11=0),"",($G11*(EY$4&lt;$I11)+$H11*(EY$4&gt;=$I11))*$C11*(1+'Property Summary'!$L$18)^('MF Rents'!EY$3-1))</f>
        <v/>
      </c>
      <c r="EZ11" s="149" t="str">
        <f>IF(OR($B11="",$B11=0),"",($G11*(EZ$4&lt;$I11)+$H11*(EZ$4&gt;=$I11))*$C11*(1+'Property Summary'!$L$18)^('MF Rents'!EZ$3-1))</f>
        <v/>
      </c>
      <c r="FA11" s="149" t="str">
        <f>IF(OR($B11="",$B11=0),"",($G11*(FA$4&lt;$I11)+$H11*(FA$4&gt;=$I11))*$C11*(1+'Property Summary'!$L$18)^('MF Rents'!FA$3-1))</f>
        <v/>
      </c>
      <c r="FB11" s="149" t="str">
        <f>IF(OR($B11="",$B11=0),"",($G11*(FB$4&lt;$I11)+$H11*(FB$4&gt;=$I11))*$C11*(1+'Property Summary'!$L$18)^('MF Rents'!FB$3-1))</f>
        <v/>
      </c>
      <c r="FC11" s="149" t="str">
        <f>IF(OR($B11="",$B11=0),"",($G11*(FC$4&lt;$I11)+$H11*(FC$4&gt;=$I11))*$C11*(1+'Property Summary'!$L$18)^('MF Rents'!FC$3-1))</f>
        <v/>
      </c>
      <c r="FD11" s="149" t="str">
        <f>IF(OR($B11="",$B11=0),"",($G11*(FD$4&lt;$I11)+$H11*(FD$4&gt;=$I11))*$C11*(1+'Property Summary'!$L$18)^('MF Rents'!FD$3-1))</f>
        <v/>
      </c>
      <c r="FE11" s="149" t="str">
        <f>IF(OR($B11="",$B11=0),"",($G11*(FE$4&lt;$I11)+$H11*(FE$4&gt;=$I11))*$C11*(1+'Property Summary'!$L$18)^('MF Rents'!FE$3-1))</f>
        <v/>
      </c>
      <c r="FF11" s="149" t="str">
        <f>IF(OR($B11="",$B11=0),"",($G11*(FF$4&lt;$I11)+$H11*(FF$4&gt;=$I11))*$C11*(1+'Property Summary'!$L$18)^('MF Rents'!FF$3-1))</f>
        <v/>
      </c>
      <c r="FG11" s="149" t="str">
        <f>IF(OR($B11="",$B11=0),"",($G11*(FG$4&lt;$I11)+$H11*(FG$4&gt;=$I11))*$C11*(1+'Property Summary'!$L$18)^('MF Rents'!FG$3-1))</f>
        <v/>
      </c>
      <c r="FH11" s="149" t="str">
        <f>IF(OR($B11="",$B11=0),"",($G11*(FH$4&lt;$I11)+$H11*(FH$4&gt;=$I11))*$C11*(1+'Property Summary'!$L$18)^('MF Rents'!FH$3-1))</f>
        <v/>
      </c>
      <c r="FI11" s="149" t="str">
        <f>IF(OR($B11="",$B11=0),"",($G11*(FI$4&lt;$I11)+$H11*(FI$4&gt;=$I11))*$C11*(1+'Property Summary'!$L$18)^('MF Rents'!FI$3-1))</f>
        <v/>
      </c>
      <c r="FJ11" s="149" t="str">
        <f>IF(OR($B11="",$B11=0),"",($G11*(FJ$4&lt;$I11)+$H11*(FJ$4&gt;=$I11))*$C11*(1+'Property Summary'!$L$18)^('MF Rents'!FJ$3-1))</f>
        <v/>
      </c>
      <c r="FK11" s="149" t="str">
        <f>IF(OR($B11="",$B11=0),"",($G11*(FK$4&lt;$I11)+$H11*(FK$4&gt;=$I11))*$C11*(1+'Property Summary'!$L$18)^('MF Rents'!FK$3-1))</f>
        <v/>
      </c>
      <c r="FL11" s="149" t="str">
        <f>IF(OR($B11="",$B11=0),"",($G11*(FL$4&lt;$I11)+$H11*(FL$4&gt;=$I11))*$C11*(1+'Property Summary'!$L$18)^('MF Rents'!FL$3-1))</f>
        <v/>
      </c>
      <c r="FM11" s="149" t="str">
        <f>IF(OR($B11="",$B11=0),"",($G11*(FM$4&lt;$I11)+$H11*(FM$4&gt;=$I11))*$C11*(1+'Property Summary'!$L$18)^('MF Rents'!FM$3-1))</f>
        <v/>
      </c>
      <c r="FN11" s="149" t="str">
        <f>IF(OR($B11="",$B11=0),"",($G11*(FN$4&lt;$I11)+$H11*(FN$4&gt;=$I11))*$C11*(1+'Property Summary'!$L$18)^('MF Rents'!FN$3-1))</f>
        <v/>
      </c>
      <c r="FO11" s="149" t="str">
        <f>IF(OR($B11="",$B11=0),"",($G11*(FO$4&lt;$I11)+$H11*(FO$4&gt;=$I11))*$C11*(1+'Property Summary'!$L$18)^('MF Rents'!FO$3-1))</f>
        <v/>
      </c>
      <c r="FP11" s="149" t="str">
        <f>IF(OR($B11="",$B11=0),"",($G11*(FP$4&lt;$I11)+$H11*(FP$4&gt;=$I11))*$C11*(1+'Property Summary'!$L$18)^('MF Rents'!FP$3-1))</f>
        <v/>
      </c>
      <c r="FQ11" s="149" t="str">
        <f>IF(OR($B11="",$B11=0),"",($G11*(FQ$4&lt;$I11)+$H11*(FQ$4&gt;=$I11))*$C11*(1+'Property Summary'!$L$18)^('MF Rents'!FQ$3-1))</f>
        <v/>
      </c>
      <c r="FR11" s="149" t="str">
        <f>IF(OR($B11="",$B11=0),"",($G11*(FR$4&lt;$I11)+$H11*(FR$4&gt;=$I11))*$C11*(1+'Property Summary'!$L$18)^('MF Rents'!FR$3-1))</f>
        <v/>
      </c>
      <c r="FS11" s="149" t="str">
        <f>IF(OR($B11="",$B11=0),"",($G11*(FS$4&lt;$I11)+$H11*(FS$4&gt;=$I11))*$C11*(1+'Property Summary'!$L$18)^('MF Rents'!FS$3-1))</f>
        <v/>
      </c>
      <c r="FT11" s="149" t="str">
        <f>IF(OR($B11="",$B11=0),"",($G11*(FT$4&lt;$I11)+$H11*(FT$4&gt;=$I11))*$C11*(1+'Property Summary'!$L$18)^('MF Rents'!FT$3-1))</f>
        <v/>
      </c>
      <c r="FU11" s="149" t="str">
        <f>IF(OR($B11="",$B11=0),"",($G11*(FU$4&lt;$I11)+$H11*(FU$4&gt;=$I11))*$C11*(1+'Property Summary'!$L$18)^('MF Rents'!FU$3-1))</f>
        <v/>
      </c>
      <c r="FV11" s="149" t="str">
        <f>IF(OR($B11="",$B11=0),"",($G11*(FV$4&lt;$I11)+$H11*(FV$4&gt;=$I11))*$C11*(1+'Property Summary'!$L$18)^('MF Rents'!FV$3-1))</f>
        <v/>
      </c>
      <c r="FW11" s="149" t="str">
        <f>IF(OR($B11="",$B11=0),"",($G11*(FW$4&lt;$I11)+$H11*(FW$4&gt;=$I11))*$C11*(1+'Property Summary'!$L$18)^('MF Rents'!FW$3-1))</f>
        <v/>
      </c>
      <c r="FX11" s="149" t="str">
        <f>IF(OR($B11="",$B11=0),"",($G11*(FX$4&lt;$I11)+$H11*(FX$4&gt;=$I11))*$C11*(1+'Property Summary'!$L$18)^('MF Rents'!FX$3-1))</f>
        <v/>
      </c>
      <c r="FY11" s="149" t="str">
        <f>IF(OR($B11="",$B11=0),"",($G11*(FY$4&lt;$I11)+$H11*(FY$4&gt;=$I11))*$C11*(1+'Property Summary'!$L$18)^('MF Rents'!FY$3-1))</f>
        <v/>
      </c>
      <c r="FZ11" s="149" t="str">
        <f>IF(OR($B11="",$B11=0),"",($G11*(FZ$4&lt;$I11)+$H11*(FZ$4&gt;=$I11))*$C11*(1+'Property Summary'!$L$18)^('MF Rents'!FZ$3-1))</f>
        <v/>
      </c>
      <c r="GA11" s="149" t="str">
        <f>IF(OR($B11="",$B11=0),"",($G11*(GA$4&lt;$I11)+$H11*(GA$4&gt;=$I11))*$C11*(1+'Property Summary'!$L$18)^('MF Rents'!GA$3-1))</f>
        <v/>
      </c>
      <c r="GB11" s="149" t="str">
        <f>IF(OR($B11="",$B11=0),"",($G11*(GB$4&lt;$I11)+$H11*(GB$4&gt;=$I11))*$C11*(1+'Property Summary'!$L$18)^('MF Rents'!GB$3-1))</f>
        <v/>
      </c>
      <c r="GC11" s="149" t="str">
        <f>IF(OR($B11="",$B11=0),"",($G11*(GC$4&lt;$I11)+$H11*(GC$4&gt;=$I11))*$C11*(1+'Property Summary'!$L$18)^('MF Rents'!GC$3-1))</f>
        <v/>
      </c>
      <c r="GD11" s="149" t="str">
        <f>IF(OR($B11="",$B11=0),"",($G11*(GD$4&lt;$I11)+$H11*(GD$4&gt;=$I11))*$C11*(1+'Property Summary'!$L$18)^('MF Rents'!GD$3-1))</f>
        <v/>
      </c>
      <c r="GE11" s="149" t="str">
        <f>IF(OR($B11="",$B11=0),"",($G11*(GE$4&lt;$I11)+$H11*(GE$4&gt;=$I11))*$C11*(1+'Property Summary'!$L$18)^('MF Rents'!GE$3-1))</f>
        <v/>
      </c>
      <c r="GF11" s="149" t="str">
        <f>IF(OR($B11="",$B11=0),"",($G11*(GF$4&lt;$I11)+$H11*(GF$4&gt;=$I11))*$C11*(1+'Property Summary'!$L$18)^('MF Rents'!GF$3-1))</f>
        <v/>
      </c>
      <c r="GG11" s="149" t="str">
        <f>IF(OR($B11="",$B11=0),"",($G11*(GG$4&lt;$I11)+$H11*(GG$4&gt;=$I11))*$C11*(1+'Property Summary'!$L$18)^('MF Rents'!GG$3-1))</f>
        <v/>
      </c>
      <c r="GH11" s="149" t="str">
        <f>IF(OR($B11="",$B11=0),"",($G11*(GH$4&lt;$I11)+$H11*(GH$4&gt;=$I11))*$C11*(1+'Property Summary'!$L$18)^('MF Rents'!GH$3-1))</f>
        <v/>
      </c>
      <c r="GI11" s="149" t="str">
        <f>IF(OR($B11="",$B11=0),"",($G11*(GI$4&lt;$I11)+$H11*(GI$4&gt;=$I11))*$C11*(1+'Property Summary'!$L$18)^('MF Rents'!GI$3-1))</f>
        <v/>
      </c>
      <c r="GJ11" s="149" t="str">
        <f>IF(OR($B11="",$B11=0),"",($G11*(GJ$4&lt;$I11)+$H11*(GJ$4&gt;=$I11))*$C11*(1+'Property Summary'!$L$18)^('MF Rents'!GJ$3-1))</f>
        <v/>
      </c>
      <c r="GK11" s="149" t="str">
        <f>IF(OR($B11="",$B11=0),"",($G11*(GK$4&lt;$I11)+$H11*(GK$4&gt;=$I11))*$C11*(1+'Property Summary'!$L$18)^('MF Rents'!GK$3-1))</f>
        <v/>
      </c>
      <c r="GL11" s="149" t="str">
        <f>IF(OR($B11="",$B11=0),"",($G11*(GL$4&lt;$I11)+$H11*(GL$4&gt;=$I11))*$C11*(1+'Property Summary'!$L$18)^('MF Rents'!GL$3-1))</f>
        <v/>
      </c>
      <c r="GM11" s="149" t="str">
        <f>IF(OR($B11="",$B11=0),"",($G11*(GM$4&lt;$I11)+$H11*(GM$4&gt;=$I11))*$C11*(1+'Property Summary'!$L$18)^('MF Rents'!GM$3-1))</f>
        <v/>
      </c>
      <c r="GN11" s="149" t="str">
        <f>IF(OR($B11="",$B11=0),"",($G11*(GN$4&lt;$I11)+$H11*(GN$4&gt;=$I11))*$C11*(1+'Property Summary'!$L$18)^('MF Rents'!GN$3-1))</f>
        <v/>
      </c>
      <c r="GO11" s="149" t="str">
        <f>IF(OR($B11="",$B11=0),"",($G11*(GO$4&lt;$I11)+$H11*(GO$4&gt;=$I11))*$C11*(1+'Property Summary'!$L$18)^('MF Rents'!GO$3-1))</f>
        <v/>
      </c>
      <c r="GP11" s="149" t="str">
        <f>IF(OR($B11="",$B11=0),"",($G11*(GP$4&lt;$I11)+$H11*(GP$4&gt;=$I11))*$C11*(1+'Property Summary'!$L$18)^('MF Rents'!GP$3-1))</f>
        <v/>
      </c>
      <c r="GQ11" s="149" t="str">
        <f>IF(OR($B11="",$B11=0),"",($G11*(GQ$4&lt;$I11)+$H11*(GQ$4&gt;=$I11))*$C11*(1+'Property Summary'!$L$18)^('MF Rents'!GQ$3-1))</f>
        <v/>
      </c>
      <c r="GR11" s="149" t="str">
        <f>IF(OR($B11="",$B11=0),"",($G11*(GR$4&lt;$I11)+$H11*(GR$4&gt;=$I11))*$C11*(1+'Property Summary'!$L$18)^('MF Rents'!GR$3-1))</f>
        <v/>
      </c>
    </row>
    <row r="12" spans="2:200" x14ac:dyDescent="0.3">
      <c r="B12" s="184">
        <f>'MF Rent Roll'!B11</f>
        <v>0</v>
      </c>
      <c r="C12" s="171">
        <f>'MF Rent Roll'!C11</f>
        <v>0</v>
      </c>
      <c r="D12" s="172">
        <f>'MF Rent Roll'!D11</f>
        <v>0</v>
      </c>
      <c r="E12" s="172">
        <f>'MF Rent Roll'!E11</f>
        <v>0</v>
      </c>
      <c r="F12" s="173">
        <f>'MF Rent Roll'!F11</f>
        <v>0</v>
      </c>
      <c r="G12" s="174">
        <f>'MF Rent Roll'!G11</f>
        <v>0</v>
      </c>
      <c r="H12" s="174">
        <f>IF('MF Rent Roll'!H11="",G12,'MF Rent Roll'!H11)</f>
        <v>0</v>
      </c>
      <c r="I12" s="175">
        <f>IF('MF Rent Roll'!I11="",1,'MF Rent Roll'!I11)</f>
        <v>1</v>
      </c>
      <c r="J12" s="176">
        <f>'MF Rent Roll'!J11</f>
        <v>0</v>
      </c>
      <c r="K12" s="174">
        <f>'MF Rent Roll'!K11</f>
        <v>0</v>
      </c>
      <c r="L12" s="177">
        <f>'MF Rent Roll'!L11</f>
        <v>0</v>
      </c>
      <c r="M12" s="178">
        <f>'MF Rent Roll'!M11</f>
        <v>0</v>
      </c>
      <c r="N12" s="174">
        <f>'MF Rent Roll'!N11</f>
        <v>0</v>
      </c>
      <c r="O12" s="179">
        <f>'MF Rent Roll'!O11</f>
        <v>0</v>
      </c>
      <c r="P12" s="180" t="str">
        <f>'MF Rent Roll'!P11</f>
        <v/>
      </c>
      <c r="Q12" s="181" t="str">
        <f>'MF Rent Roll'!Q11</f>
        <v/>
      </c>
      <c r="R12" s="104" t="str">
        <f>'MF Rent Roll'!R11</f>
        <v/>
      </c>
      <c r="U12" s="149" t="str">
        <f>IF(OR($B12="",$B12=0),"",($G12*(U$4&lt;$I12)+$H12*(U$4&gt;=$I12))*$C12*(1+'Property Summary'!$L$18)^('MF Rents'!U$3-1))</f>
        <v/>
      </c>
      <c r="V12" s="149" t="str">
        <f>IF(OR($B12="",$B12=0),"",($G12*(V$4&lt;$I12)+$H12*(V$4&gt;=$I12))*$C12*(1+'Property Summary'!$L$18)^('MF Rents'!V$3-1))</f>
        <v/>
      </c>
      <c r="W12" s="149" t="str">
        <f>IF(OR($B12="",$B12=0),"",($G12*(W$4&lt;$I12)+$H12*(W$4&gt;=$I12))*$C12*(1+'Property Summary'!$L$18)^('MF Rents'!W$3-1))</f>
        <v/>
      </c>
      <c r="X12" s="149" t="str">
        <f>IF(OR($B12="",$B12=0),"",($G12*(X$4&lt;$I12)+$H12*(X$4&gt;=$I12))*$C12*(1+'Property Summary'!$L$18)^('MF Rents'!X$3-1))</f>
        <v/>
      </c>
      <c r="Y12" s="149" t="str">
        <f>IF(OR($B12="",$B12=0),"",($G12*(Y$4&lt;$I12)+$H12*(Y$4&gt;=$I12))*$C12*(1+'Property Summary'!$L$18)^('MF Rents'!Y$3-1))</f>
        <v/>
      </c>
      <c r="Z12" s="149" t="str">
        <f>IF(OR($B12="",$B12=0),"",($G12*(Z$4&lt;$I12)+$H12*(Z$4&gt;=$I12))*$C12*(1+'Property Summary'!$L$18)^('MF Rents'!Z$3-1))</f>
        <v/>
      </c>
      <c r="AA12" s="149" t="str">
        <f>IF(OR($B12="",$B12=0),"",($G12*(AA$4&lt;$I12)+$H12*(AA$4&gt;=$I12))*$C12*(1+'Property Summary'!$L$18)^('MF Rents'!AA$3-1))</f>
        <v/>
      </c>
      <c r="AB12" s="149" t="str">
        <f>IF(OR($B12="",$B12=0),"",($G12*(AB$4&lt;$I12)+$H12*(AB$4&gt;=$I12))*$C12*(1+'Property Summary'!$L$18)^('MF Rents'!AB$3-1))</f>
        <v/>
      </c>
      <c r="AC12" s="149" t="str">
        <f>IF(OR($B12="",$B12=0),"",($G12*(AC$4&lt;$I12)+$H12*(AC$4&gt;=$I12))*$C12*(1+'Property Summary'!$L$18)^('MF Rents'!AC$3-1))</f>
        <v/>
      </c>
      <c r="AD12" s="149" t="str">
        <f>IF(OR($B12="",$B12=0),"",($G12*(AD$4&lt;$I12)+$H12*(AD$4&gt;=$I12))*$C12*(1+'Property Summary'!$L$18)^('MF Rents'!AD$3-1))</f>
        <v/>
      </c>
      <c r="AE12" s="149" t="str">
        <f>IF(OR($B12="",$B12=0),"",($G12*(AE$4&lt;$I12)+$H12*(AE$4&gt;=$I12))*$C12*(1+'Property Summary'!$L$18)^('MF Rents'!AE$3-1))</f>
        <v/>
      </c>
      <c r="AF12" s="149" t="str">
        <f>IF(OR($B12="",$B12=0),"",($G12*(AF$4&lt;$I12)+$H12*(AF$4&gt;=$I12))*$C12*(1+'Property Summary'!$L$18)^('MF Rents'!AF$3-1))</f>
        <v/>
      </c>
      <c r="AG12" s="149" t="str">
        <f>IF(OR($B12="",$B12=0),"",($G12*(AG$4&lt;$I12)+$H12*(AG$4&gt;=$I12))*$C12*(1+'Property Summary'!$L$18)^('MF Rents'!AG$3-1))</f>
        <v/>
      </c>
      <c r="AH12" s="149" t="str">
        <f>IF(OR($B12="",$B12=0),"",($G12*(AH$4&lt;$I12)+$H12*(AH$4&gt;=$I12))*$C12*(1+'Property Summary'!$L$18)^('MF Rents'!AH$3-1))</f>
        <v/>
      </c>
      <c r="AI12" s="149" t="str">
        <f>IF(OR($B12="",$B12=0),"",($G12*(AI$4&lt;$I12)+$H12*(AI$4&gt;=$I12))*$C12*(1+'Property Summary'!$L$18)^('MF Rents'!AI$3-1))</f>
        <v/>
      </c>
      <c r="AJ12" s="149" t="str">
        <f>IF(OR($B12="",$B12=0),"",($G12*(AJ$4&lt;$I12)+$H12*(AJ$4&gt;=$I12))*$C12*(1+'Property Summary'!$L$18)^('MF Rents'!AJ$3-1))</f>
        <v/>
      </c>
      <c r="AK12" s="149" t="str">
        <f>IF(OR($B12="",$B12=0),"",($G12*(AK$4&lt;$I12)+$H12*(AK$4&gt;=$I12))*$C12*(1+'Property Summary'!$L$18)^('MF Rents'!AK$3-1))</f>
        <v/>
      </c>
      <c r="AL12" s="149" t="str">
        <f>IF(OR($B12="",$B12=0),"",($G12*(AL$4&lt;$I12)+$H12*(AL$4&gt;=$I12))*$C12*(1+'Property Summary'!$L$18)^('MF Rents'!AL$3-1))</f>
        <v/>
      </c>
      <c r="AM12" s="149" t="str">
        <f>IF(OR($B12="",$B12=0),"",($G12*(AM$4&lt;$I12)+$H12*(AM$4&gt;=$I12))*$C12*(1+'Property Summary'!$L$18)^('MF Rents'!AM$3-1))</f>
        <v/>
      </c>
      <c r="AN12" s="149" t="str">
        <f>IF(OR($B12="",$B12=0),"",($G12*(AN$4&lt;$I12)+$H12*(AN$4&gt;=$I12))*$C12*(1+'Property Summary'!$L$18)^('MF Rents'!AN$3-1))</f>
        <v/>
      </c>
      <c r="AO12" s="149" t="str">
        <f>IF(OR($B12="",$B12=0),"",($G12*(AO$4&lt;$I12)+$H12*(AO$4&gt;=$I12))*$C12*(1+'Property Summary'!$L$18)^('MF Rents'!AO$3-1))</f>
        <v/>
      </c>
      <c r="AP12" s="149" t="str">
        <f>IF(OR($B12="",$B12=0),"",($G12*(AP$4&lt;$I12)+$H12*(AP$4&gt;=$I12))*$C12*(1+'Property Summary'!$L$18)^('MF Rents'!AP$3-1))</f>
        <v/>
      </c>
      <c r="AQ12" s="149" t="str">
        <f>IF(OR($B12="",$B12=0),"",($G12*(AQ$4&lt;$I12)+$H12*(AQ$4&gt;=$I12))*$C12*(1+'Property Summary'!$L$18)^('MF Rents'!AQ$3-1))</f>
        <v/>
      </c>
      <c r="AR12" s="149" t="str">
        <f>IF(OR($B12="",$B12=0),"",($G12*(AR$4&lt;$I12)+$H12*(AR$4&gt;=$I12))*$C12*(1+'Property Summary'!$L$18)^('MF Rents'!AR$3-1))</f>
        <v/>
      </c>
      <c r="AS12" s="149" t="str">
        <f>IF(OR($B12="",$B12=0),"",($G12*(AS$4&lt;$I12)+$H12*(AS$4&gt;=$I12))*$C12*(1+'Property Summary'!$L$18)^('MF Rents'!AS$3-1))</f>
        <v/>
      </c>
      <c r="AT12" s="149" t="str">
        <f>IF(OR($B12="",$B12=0),"",($G12*(AT$4&lt;$I12)+$H12*(AT$4&gt;=$I12))*$C12*(1+'Property Summary'!$L$18)^('MF Rents'!AT$3-1))</f>
        <v/>
      </c>
      <c r="AU12" s="149" t="str">
        <f>IF(OR($B12="",$B12=0),"",($G12*(AU$4&lt;$I12)+$H12*(AU$4&gt;=$I12))*$C12*(1+'Property Summary'!$L$18)^('MF Rents'!AU$3-1))</f>
        <v/>
      </c>
      <c r="AV12" s="149" t="str">
        <f>IF(OR($B12="",$B12=0),"",($G12*(AV$4&lt;$I12)+$H12*(AV$4&gt;=$I12))*$C12*(1+'Property Summary'!$L$18)^('MF Rents'!AV$3-1))</f>
        <v/>
      </c>
      <c r="AW12" s="149" t="str">
        <f>IF(OR($B12="",$B12=0),"",($G12*(AW$4&lt;$I12)+$H12*(AW$4&gt;=$I12))*$C12*(1+'Property Summary'!$L$18)^('MF Rents'!AW$3-1))</f>
        <v/>
      </c>
      <c r="AX12" s="149" t="str">
        <f>IF(OR($B12="",$B12=0),"",($G12*(AX$4&lt;$I12)+$H12*(AX$4&gt;=$I12))*$C12*(1+'Property Summary'!$L$18)^('MF Rents'!AX$3-1))</f>
        <v/>
      </c>
      <c r="AY12" s="149" t="str">
        <f>IF(OR($B12="",$B12=0),"",($G12*(AY$4&lt;$I12)+$H12*(AY$4&gt;=$I12))*$C12*(1+'Property Summary'!$L$18)^('MF Rents'!AY$3-1))</f>
        <v/>
      </c>
      <c r="AZ12" s="149" t="str">
        <f>IF(OR($B12="",$B12=0),"",($G12*(AZ$4&lt;$I12)+$H12*(AZ$4&gt;=$I12))*$C12*(1+'Property Summary'!$L$18)^('MF Rents'!AZ$3-1))</f>
        <v/>
      </c>
      <c r="BA12" s="149" t="str">
        <f>IF(OR($B12="",$B12=0),"",($G12*(BA$4&lt;$I12)+$H12*(BA$4&gt;=$I12))*$C12*(1+'Property Summary'!$L$18)^('MF Rents'!BA$3-1))</f>
        <v/>
      </c>
      <c r="BB12" s="149" t="str">
        <f>IF(OR($B12="",$B12=0),"",($G12*(BB$4&lt;$I12)+$H12*(BB$4&gt;=$I12))*$C12*(1+'Property Summary'!$L$18)^('MF Rents'!BB$3-1))</f>
        <v/>
      </c>
      <c r="BC12" s="149" t="str">
        <f>IF(OR($B12="",$B12=0),"",($G12*(BC$4&lt;$I12)+$H12*(BC$4&gt;=$I12))*$C12*(1+'Property Summary'!$L$18)^('MF Rents'!BC$3-1))</f>
        <v/>
      </c>
      <c r="BD12" s="149" t="str">
        <f>IF(OR($B12="",$B12=0),"",($G12*(BD$4&lt;$I12)+$H12*(BD$4&gt;=$I12))*$C12*(1+'Property Summary'!$L$18)^('MF Rents'!BD$3-1))</f>
        <v/>
      </c>
      <c r="BE12" s="149" t="str">
        <f>IF(OR($B12="",$B12=0),"",($G12*(BE$4&lt;$I12)+$H12*(BE$4&gt;=$I12))*$C12*(1+'Property Summary'!$L$18)^('MF Rents'!BE$3-1))</f>
        <v/>
      </c>
      <c r="BF12" s="149" t="str">
        <f>IF(OR($B12="",$B12=0),"",($G12*(BF$4&lt;$I12)+$H12*(BF$4&gt;=$I12))*$C12*(1+'Property Summary'!$L$18)^('MF Rents'!BF$3-1))</f>
        <v/>
      </c>
      <c r="BG12" s="149" t="str">
        <f>IF(OR($B12="",$B12=0),"",($G12*(BG$4&lt;$I12)+$H12*(BG$4&gt;=$I12))*$C12*(1+'Property Summary'!$L$18)^('MF Rents'!BG$3-1))</f>
        <v/>
      </c>
      <c r="BH12" s="149" t="str">
        <f>IF(OR($B12="",$B12=0),"",($G12*(BH$4&lt;$I12)+$H12*(BH$4&gt;=$I12))*$C12*(1+'Property Summary'!$L$18)^('MF Rents'!BH$3-1))</f>
        <v/>
      </c>
      <c r="BI12" s="149" t="str">
        <f>IF(OR($B12="",$B12=0),"",($G12*(BI$4&lt;$I12)+$H12*(BI$4&gt;=$I12))*$C12*(1+'Property Summary'!$L$18)^('MF Rents'!BI$3-1))</f>
        <v/>
      </c>
      <c r="BJ12" s="149" t="str">
        <f>IF(OR($B12="",$B12=0),"",($G12*(BJ$4&lt;$I12)+$H12*(BJ$4&gt;=$I12))*$C12*(1+'Property Summary'!$L$18)^('MF Rents'!BJ$3-1))</f>
        <v/>
      </c>
      <c r="BK12" s="149" t="str">
        <f>IF(OR($B12="",$B12=0),"",($G12*(BK$4&lt;$I12)+$H12*(BK$4&gt;=$I12))*$C12*(1+'Property Summary'!$L$18)^('MF Rents'!BK$3-1))</f>
        <v/>
      </c>
      <c r="BL12" s="149" t="str">
        <f>IF(OR($B12="",$B12=0),"",($G12*(BL$4&lt;$I12)+$H12*(BL$4&gt;=$I12))*$C12*(1+'Property Summary'!$L$18)^('MF Rents'!BL$3-1))</f>
        <v/>
      </c>
      <c r="BM12" s="149" t="str">
        <f>IF(OR($B12="",$B12=0),"",($G12*(BM$4&lt;$I12)+$H12*(BM$4&gt;=$I12))*$C12*(1+'Property Summary'!$L$18)^('MF Rents'!BM$3-1))</f>
        <v/>
      </c>
      <c r="BN12" s="149" t="str">
        <f>IF(OR($B12="",$B12=0),"",($G12*(BN$4&lt;$I12)+$H12*(BN$4&gt;=$I12))*$C12*(1+'Property Summary'!$L$18)^('MF Rents'!BN$3-1))</f>
        <v/>
      </c>
      <c r="BO12" s="149" t="str">
        <f>IF(OR($B12="",$B12=0),"",($G12*(BO$4&lt;$I12)+$H12*(BO$4&gt;=$I12))*$C12*(1+'Property Summary'!$L$18)^('MF Rents'!BO$3-1))</f>
        <v/>
      </c>
      <c r="BP12" s="149" t="str">
        <f>IF(OR($B12="",$B12=0),"",($G12*(BP$4&lt;$I12)+$H12*(BP$4&gt;=$I12))*$C12*(1+'Property Summary'!$L$18)^('MF Rents'!BP$3-1))</f>
        <v/>
      </c>
      <c r="BQ12" s="149" t="str">
        <f>IF(OR($B12="",$B12=0),"",($G12*(BQ$4&lt;$I12)+$H12*(BQ$4&gt;=$I12))*$C12*(1+'Property Summary'!$L$18)^('MF Rents'!BQ$3-1))</f>
        <v/>
      </c>
      <c r="BR12" s="149" t="str">
        <f>IF(OR($B12="",$B12=0),"",($G12*(BR$4&lt;$I12)+$H12*(BR$4&gt;=$I12))*$C12*(1+'Property Summary'!$L$18)^('MF Rents'!BR$3-1))</f>
        <v/>
      </c>
      <c r="BS12" s="149" t="str">
        <f>IF(OR($B12="",$B12=0),"",($G12*(BS$4&lt;$I12)+$H12*(BS$4&gt;=$I12))*$C12*(1+'Property Summary'!$L$18)^('MF Rents'!BS$3-1))</f>
        <v/>
      </c>
      <c r="BT12" s="149" t="str">
        <f>IF(OR($B12="",$B12=0),"",($G12*(BT$4&lt;$I12)+$H12*(BT$4&gt;=$I12))*$C12*(1+'Property Summary'!$L$18)^('MF Rents'!BT$3-1))</f>
        <v/>
      </c>
      <c r="BU12" s="149" t="str">
        <f>IF(OR($B12="",$B12=0),"",($G12*(BU$4&lt;$I12)+$H12*(BU$4&gt;=$I12))*$C12*(1+'Property Summary'!$L$18)^('MF Rents'!BU$3-1))</f>
        <v/>
      </c>
      <c r="BV12" s="149" t="str">
        <f>IF(OR($B12="",$B12=0),"",($G12*(BV$4&lt;$I12)+$H12*(BV$4&gt;=$I12))*$C12*(1+'Property Summary'!$L$18)^('MF Rents'!BV$3-1))</f>
        <v/>
      </c>
      <c r="BW12" s="149" t="str">
        <f>IF(OR($B12="",$B12=0),"",($G12*(BW$4&lt;$I12)+$H12*(BW$4&gt;=$I12))*$C12*(1+'Property Summary'!$L$18)^('MF Rents'!BW$3-1))</f>
        <v/>
      </c>
      <c r="BX12" s="149" t="str">
        <f>IF(OR($B12="",$B12=0),"",($G12*(BX$4&lt;$I12)+$H12*(BX$4&gt;=$I12))*$C12*(1+'Property Summary'!$L$18)^('MF Rents'!BX$3-1))</f>
        <v/>
      </c>
      <c r="BY12" s="149" t="str">
        <f>IF(OR($B12="",$B12=0),"",($G12*(BY$4&lt;$I12)+$H12*(BY$4&gt;=$I12))*$C12*(1+'Property Summary'!$L$18)^('MF Rents'!BY$3-1))</f>
        <v/>
      </c>
      <c r="BZ12" s="149" t="str">
        <f>IF(OR($B12="",$B12=0),"",($G12*(BZ$4&lt;$I12)+$H12*(BZ$4&gt;=$I12))*$C12*(1+'Property Summary'!$L$18)^('MF Rents'!BZ$3-1))</f>
        <v/>
      </c>
      <c r="CA12" s="149" t="str">
        <f>IF(OR($B12="",$B12=0),"",($G12*(CA$4&lt;$I12)+$H12*(CA$4&gt;=$I12))*$C12*(1+'Property Summary'!$L$18)^('MF Rents'!CA$3-1))</f>
        <v/>
      </c>
      <c r="CB12" s="149" t="str">
        <f>IF(OR($B12="",$B12=0),"",($G12*(CB$4&lt;$I12)+$H12*(CB$4&gt;=$I12))*$C12*(1+'Property Summary'!$L$18)^('MF Rents'!CB$3-1))</f>
        <v/>
      </c>
      <c r="CC12" s="149" t="str">
        <f>IF(OR($B12="",$B12=0),"",($G12*(CC$4&lt;$I12)+$H12*(CC$4&gt;=$I12))*$C12*(1+'Property Summary'!$L$18)^('MF Rents'!CC$3-1))</f>
        <v/>
      </c>
      <c r="CD12" s="149" t="str">
        <f>IF(OR($B12="",$B12=0),"",($G12*(CD$4&lt;$I12)+$H12*(CD$4&gt;=$I12))*$C12*(1+'Property Summary'!$L$18)^('MF Rents'!CD$3-1))</f>
        <v/>
      </c>
      <c r="CE12" s="149" t="str">
        <f>IF(OR($B12="",$B12=0),"",($G12*(CE$4&lt;$I12)+$H12*(CE$4&gt;=$I12))*$C12*(1+'Property Summary'!$L$18)^('MF Rents'!CE$3-1))</f>
        <v/>
      </c>
      <c r="CF12" s="149" t="str">
        <f>IF(OR($B12="",$B12=0),"",($G12*(CF$4&lt;$I12)+$H12*(CF$4&gt;=$I12))*$C12*(1+'Property Summary'!$L$18)^('MF Rents'!CF$3-1))</f>
        <v/>
      </c>
      <c r="CG12" s="149" t="str">
        <f>IF(OR($B12="",$B12=0),"",($G12*(CG$4&lt;$I12)+$H12*(CG$4&gt;=$I12))*$C12*(1+'Property Summary'!$L$18)^('MF Rents'!CG$3-1))</f>
        <v/>
      </c>
      <c r="CH12" s="149" t="str">
        <f>IF(OR($B12="",$B12=0),"",($G12*(CH$4&lt;$I12)+$H12*(CH$4&gt;=$I12))*$C12*(1+'Property Summary'!$L$18)^('MF Rents'!CH$3-1))</f>
        <v/>
      </c>
      <c r="CI12" s="149" t="str">
        <f>IF(OR($B12="",$B12=0),"",($G12*(CI$4&lt;$I12)+$H12*(CI$4&gt;=$I12))*$C12*(1+'Property Summary'!$L$18)^('MF Rents'!CI$3-1))</f>
        <v/>
      </c>
      <c r="CJ12" s="149" t="str">
        <f>IF(OR($B12="",$B12=0),"",($G12*(CJ$4&lt;$I12)+$H12*(CJ$4&gt;=$I12))*$C12*(1+'Property Summary'!$L$18)^('MF Rents'!CJ$3-1))</f>
        <v/>
      </c>
      <c r="CK12" s="149" t="str">
        <f>IF(OR($B12="",$B12=0),"",($G12*(CK$4&lt;$I12)+$H12*(CK$4&gt;=$I12))*$C12*(1+'Property Summary'!$L$18)^('MF Rents'!CK$3-1))</f>
        <v/>
      </c>
      <c r="CL12" s="149" t="str">
        <f>IF(OR($B12="",$B12=0),"",($G12*(CL$4&lt;$I12)+$H12*(CL$4&gt;=$I12))*$C12*(1+'Property Summary'!$L$18)^('MF Rents'!CL$3-1))</f>
        <v/>
      </c>
      <c r="CM12" s="149" t="str">
        <f>IF(OR($B12="",$B12=0),"",($G12*(CM$4&lt;$I12)+$H12*(CM$4&gt;=$I12))*$C12*(1+'Property Summary'!$L$18)^('MF Rents'!CM$3-1))</f>
        <v/>
      </c>
      <c r="CN12" s="149" t="str">
        <f>IF(OR($B12="",$B12=0),"",($G12*(CN$4&lt;$I12)+$H12*(CN$4&gt;=$I12))*$C12*(1+'Property Summary'!$L$18)^('MF Rents'!CN$3-1))</f>
        <v/>
      </c>
      <c r="CO12" s="149" t="str">
        <f>IF(OR($B12="",$B12=0),"",($G12*(CO$4&lt;$I12)+$H12*(CO$4&gt;=$I12))*$C12*(1+'Property Summary'!$L$18)^('MF Rents'!CO$3-1))</f>
        <v/>
      </c>
      <c r="CP12" s="149" t="str">
        <f>IF(OR($B12="",$B12=0),"",($G12*(CP$4&lt;$I12)+$H12*(CP$4&gt;=$I12))*$C12*(1+'Property Summary'!$L$18)^('MF Rents'!CP$3-1))</f>
        <v/>
      </c>
      <c r="CQ12" s="149" t="str">
        <f>IF(OR($B12="",$B12=0),"",($G12*(CQ$4&lt;$I12)+$H12*(CQ$4&gt;=$I12))*$C12*(1+'Property Summary'!$L$18)^('MF Rents'!CQ$3-1))</f>
        <v/>
      </c>
      <c r="CR12" s="149" t="str">
        <f>IF(OR($B12="",$B12=0),"",($G12*(CR$4&lt;$I12)+$H12*(CR$4&gt;=$I12))*$C12*(1+'Property Summary'!$L$18)^('MF Rents'!CR$3-1))</f>
        <v/>
      </c>
      <c r="CS12" s="149" t="str">
        <f>IF(OR($B12="",$B12=0),"",($G12*(CS$4&lt;$I12)+$H12*(CS$4&gt;=$I12))*$C12*(1+'Property Summary'!$L$18)^('MF Rents'!CS$3-1))</f>
        <v/>
      </c>
      <c r="CT12" s="149" t="str">
        <f>IF(OR($B12="",$B12=0),"",($G12*(CT$4&lt;$I12)+$H12*(CT$4&gt;=$I12))*$C12*(1+'Property Summary'!$L$18)^('MF Rents'!CT$3-1))</f>
        <v/>
      </c>
      <c r="CU12" s="149" t="str">
        <f>IF(OR($B12="",$B12=0),"",($G12*(CU$4&lt;$I12)+$H12*(CU$4&gt;=$I12))*$C12*(1+'Property Summary'!$L$18)^('MF Rents'!CU$3-1))</f>
        <v/>
      </c>
      <c r="CV12" s="149" t="str">
        <f>IF(OR($B12="",$B12=0),"",($G12*(CV$4&lt;$I12)+$H12*(CV$4&gt;=$I12))*$C12*(1+'Property Summary'!$L$18)^('MF Rents'!CV$3-1))</f>
        <v/>
      </c>
      <c r="CW12" s="149" t="str">
        <f>IF(OR($B12="",$B12=0),"",($G12*(CW$4&lt;$I12)+$H12*(CW$4&gt;=$I12))*$C12*(1+'Property Summary'!$L$18)^('MF Rents'!CW$3-1))</f>
        <v/>
      </c>
      <c r="CX12" s="149" t="str">
        <f>IF(OR($B12="",$B12=0),"",($G12*(CX$4&lt;$I12)+$H12*(CX$4&gt;=$I12))*$C12*(1+'Property Summary'!$L$18)^('MF Rents'!CX$3-1))</f>
        <v/>
      </c>
      <c r="CY12" s="149" t="str">
        <f>IF(OR($B12="",$B12=0),"",($G12*(CY$4&lt;$I12)+$H12*(CY$4&gt;=$I12))*$C12*(1+'Property Summary'!$L$18)^('MF Rents'!CY$3-1))</f>
        <v/>
      </c>
      <c r="CZ12" s="149" t="str">
        <f>IF(OR($B12="",$B12=0),"",($G12*(CZ$4&lt;$I12)+$H12*(CZ$4&gt;=$I12))*$C12*(1+'Property Summary'!$L$18)^('MF Rents'!CZ$3-1))</f>
        <v/>
      </c>
      <c r="DA12" s="149" t="str">
        <f>IF(OR($B12="",$B12=0),"",($G12*(DA$4&lt;$I12)+$H12*(DA$4&gt;=$I12))*$C12*(1+'Property Summary'!$L$18)^('MF Rents'!DA$3-1))</f>
        <v/>
      </c>
      <c r="DB12" s="149" t="str">
        <f>IF(OR($B12="",$B12=0),"",($G12*(DB$4&lt;$I12)+$H12*(DB$4&gt;=$I12))*$C12*(1+'Property Summary'!$L$18)^('MF Rents'!DB$3-1))</f>
        <v/>
      </c>
      <c r="DC12" s="149" t="str">
        <f>IF(OR($B12="",$B12=0),"",($G12*(DC$4&lt;$I12)+$H12*(DC$4&gt;=$I12))*$C12*(1+'Property Summary'!$L$18)^('MF Rents'!DC$3-1))</f>
        <v/>
      </c>
      <c r="DD12" s="149" t="str">
        <f>IF(OR($B12="",$B12=0),"",($G12*(DD$4&lt;$I12)+$H12*(DD$4&gt;=$I12))*$C12*(1+'Property Summary'!$L$18)^('MF Rents'!DD$3-1))</f>
        <v/>
      </c>
      <c r="DE12" s="149" t="str">
        <f>IF(OR($B12="",$B12=0),"",($G12*(DE$4&lt;$I12)+$H12*(DE$4&gt;=$I12))*$C12*(1+'Property Summary'!$L$18)^('MF Rents'!DE$3-1))</f>
        <v/>
      </c>
      <c r="DF12" s="149" t="str">
        <f>IF(OR($B12="",$B12=0),"",($G12*(DF$4&lt;$I12)+$H12*(DF$4&gt;=$I12))*$C12*(1+'Property Summary'!$L$18)^('MF Rents'!DF$3-1))</f>
        <v/>
      </c>
      <c r="DG12" s="149" t="str">
        <f>IF(OR($B12="",$B12=0),"",($G12*(DG$4&lt;$I12)+$H12*(DG$4&gt;=$I12))*$C12*(1+'Property Summary'!$L$18)^('MF Rents'!DG$3-1))</f>
        <v/>
      </c>
      <c r="DH12" s="149" t="str">
        <f>IF(OR($B12="",$B12=0),"",($G12*(DH$4&lt;$I12)+$H12*(DH$4&gt;=$I12))*$C12*(1+'Property Summary'!$L$18)^('MF Rents'!DH$3-1))</f>
        <v/>
      </c>
      <c r="DI12" s="149" t="str">
        <f>IF(OR($B12="",$B12=0),"",($G12*(DI$4&lt;$I12)+$H12*(DI$4&gt;=$I12))*$C12*(1+'Property Summary'!$L$18)^('MF Rents'!DI$3-1))</f>
        <v/>
      </c>
      <c r="DJ12" s="149" t="str">
        <f>IF(OR($B12="",$B12=0),"",($G12*(DJ$4&lt;$I12)+$H12*(DJ$4&gt;=$I12))*$C12*(1+'Property Summary'!$L$18)^('MF Rents'!DJ$3-1))</f>
        <v/>
      </c>
      <c r="DK12" s="149" t="str">
        <f>IF(OR($B12="",$B12=0),"",($G12*(DK$4&lt;$I12)+$H12*(DK$4&gt;=$I12))*$C12*(1+'Property Summary'!$L$18)^('MF Rents'!DK$3-1))</f>
        <v/>
      </c>
      <c r="DL12" s="149" t="str">
        <f>IF(OR($B12="",$B12=0),"",($G12*(DL$4&lt;$I12)+$H12*(DL$4&gt;=$I12))*$C12*(1+'Property Summary'!$L$18)^('MF Rents'!DL$3-1))</f>
        <v/>
      </c>
      <c r="DM12" s="149" t="str">
        <f>IF(OR($B12="",$B12=0),"",($G12*(DM$4&lt;$I12)+$H12*(DM$4&gt;=$I12))*$C12*(1+'Property Summary'!$L$18)^('MF Rents'!DM$3-1))</f>
        <v/>
      </c>
      <c r="DN12" s="149" t="str">
        <f>IF(OR($B12="",$B12=0),"",($G12*(DN$4&lt;$I12)+$H12*(DN$4&gt;=$I12))*$C12*(1+'Property Summary'!$L$18)^('MF Rents'!DN$3-1))</f>
        <v/>
      </c>
      <c r="DO12" s="149" t="str">
        <f>IF(OR($B12="",$B12=0),"",($G12*(DO$4&lt;$I12)+$H12*(DO$4&gt;=$I12))*$C12*(1+'Property Summary'!$L$18)^('MF Rents'!DO$3-1))</f>
        <v/>
      </c>
      <c r="DP12" s="149" t="str">
        <f>IF(OR($B12="",$B12=0),"",($G12*(DP$4&lt;$I12)+$H12*(DP$4&gt;=$I12))*$C12*(1+'Property Summary'!$L$18)^('MF Rents'!DP$3-1))</f>
        <v/>
      </c>
      <c r="DQ12" s="149" t="str">
        <f>IF(OR($B12="",$B12=0),"",($G12*(DQ$4&lt;$I12)+$H12*(DQ$4&gt;=$I12))*$C12*(1+'Property Summary'!$L$18)^('MF Rents'!DQ$3-1))</f>
        <v/>
      </c>
      <c r="DR12" s="149" t="str">
        <f>IF(OR($B12="",$B12=0),"",($G12*(DR$4&lt;$I12)+$H12*(DR$4&gt;=$I12))*$C12*(1+'Property Summary'!$L$18)^('MF Rents'!DR$3-1))</f>
        <v/>
      </c>
      <c r="DS12" s="149" t="str">
        <f>IF(OR($B12="",$B12=0),"",($G12*(DS$4&lt;$I12)+$H12*(DS$4&gt;=$I12))*$C12*(1+'Property Summary'!$L$18)^('MF Rents'!DS$3-1))</f>
        <v/>
      </c>
      <c r="DT12" s="149" t="str">
        <f>IF(OR($B12="",$B12=0),"",($G12*(DT$4&lt;$I12)+$H12*(DT$4&gt;=$I12))*$C12*(1+'Property Summary'!$L$18)^('MF Rents'!DT$3-1))</f>
        <v/>
      </c>
      <c r="DU12" s="149" t="str">
        <f>IF(OR($B12="",$B12=0),"",($G12*(DU$4&lt;$I12)+$H12*(DU$4&gt;=$I12))*$C12*(1+'Property Summary'!$L$18)^('MF Rents'!DU$3-1))</f>
        <v/>
      </c>
      <c r="DV12" s="149" t="str">
        <f>IF(OR($B12="",$B12=0),"",($G12*(DV$4&lt;$I12)+$H12*(DV$4&gt;=$I12))*$C12*(1+'Property Summary'!$L$18)^('MF Rents'!DV$3-1))</f>
        <v/>
      </c>
      <c r="DW12" s="149" t="str">
        <f>IF(OR($B12="",$B12=0),"",($G12*(DW$4&lt;$I12)+$H12*(DW$4&gt;=$I12))*$C12*(1+'Property Summary'!$L$18)^('MF Rents'!DW$3-1))</f>
        <v/>
      </c>
      <c r="DX12" s="149" t="str">
        <f>IF(OR($B12="",$B12=0),"",($G12*(DX$4&lt;$I12)+$H12*(DX$4&gt;=$I12))*$C12*(1+'Property Summary'!$L$18)^('MF Rents'!DX$3-1))</f>
        <v/>
      </c>
      <c r="DY12" s="149" t="str">
        <f>IF(OR($B12="",$B12=0),"",($G12*(DY$4&lt;$I12)+$H12*(DY$4&gt;=$I12))*$C12*(1+'Property Summary'!$L$18)^('MF Rents'!DY$3-1))</f>
        <v/>
      </c>
      <c r="DZ12" s="149" t="str">
        <f>IF(OR($B12="",$B12=0),"",($G12*(DZ$4&lt;$I12)+$H12*(DZ$4&gt;=$I12))*$C12*(1+'Property Summary'!$L$18)^('MF Rents'!DZ$3-1))</f>
        <v/>
      </c>
      <c r="EA12" s="149" t="str">
        <f>IF(OR($B12="",$B12=0),"",($G12*(EA$4&lt;$I12)+$H12*(EA$4&gt;=$I12))*$C12*(1+'Property Summary'!$L$18)^('MF Rents'!EA$3-1))</f>
        <v/>
      </c>
      <c r="EB12" s="149" t="str">
        <f>IF(OR($B12="",$B12=0),"",($G12*(EB$4&lt;$I12)+$H12*(EB$4&gt;=$I12))*$C12*(1+'Property Summary'!$L$18)^('MF Rents'!EB$3-1))</f>
        <v/>
      </c>
      <c r="EC12" s="149" t="str">
        <f>IF(OR($B12="",$B12=0),"",($G12*(EC$4&lt;$I12)+$H12*(EC$4&gt;=$I12))*$C12*(1+'Property Summary'!$L$18)^('MF Rents'!EC$3-1))</f>
        <v/>
      </c>
      <c r="ED12" s="149" t="str">
        <f>IF(OR($B12="",$B12=0),"",($G12*(ED$4&lt;$I12)+$H12*(ED$4&gt;=$I12))*$C12*(1+'Property Summary'!$L$18)^('MF Rents'!ED$3-1))</f>
        <v/>
      </c>
      <c r="EE12" s="149" t="str">
        <f>IF(OR($B12="",$B12=0),"",($G12*(EE$4&lt;$I12)+$H12*(EE$4&gt;=$I12))*$C12*(1+'Property Summary'!$L$18)^('MF Rents'!EE$3-1))</f>
        <v/>
      </c>
      <c r="EF12" s="149" t="str">
        <f>IF(OR($B12="",$B12=0),"",($G12*(EF$4&lt;$I12)+$H12*(EF$4&gt;=$I12))*$C12*(1+'Property Summary'!$L$18)^('MF Rents'!EF$3-1))</f>
        <v/>
      </c>
      <c r="EG12" s="149" t="str">
        <f>IF(OR($B12="",$B12=0),"",($G12*(EG$4&lt;$I12)+$H12*(EG$4&gt;=$I12))*$C12*(1+'Property Summary'!$L$18)^('MF Rents'!EG$3-1))</f>
        <v/>
      </c>
      <c r="EH12" s="149" t="str">
        <f>IF(OR($B12="",$B12=0),"",($G12*(EH$4&lt;$I12)+$H12*(EH$4&gt;=$I12))*$C12*(1+'Property Summary'!$L$18)^('MF Rents'!EH$3-1))</f>
        <v/>
      </c>
      <c r="EI12" s="149" t="str">
        <f>IF(OR($B12="",$B12=0),"",($G12*(EI$4&lt;$I12)+$H12*(EI$4&gt;=$I12))*$C12*(1+'Property Summary'!$L$18)^('MF Rents'!EI$3-1))</f>
        <v/>
      </c>
      <c r="EJ12" s="149" t="str">
        <f>IF(OR($B12="",$B12=0),"",($G12*(EJ$4&lt;$I12)+$H12*(EJ$4&gt;=$I12))*$C12*(1+'Property Summary'!$L$18)^('MF Rents'!EJ$3-1))</f>
        <v/>
      </c>
      <c r="EK12" s="149" t="str">
        <f>IF(OR($B12="",$B12=0),"",($G12*(EK$4&lt;$I12)+$H12*(EK$4&gt;=$I12))*$C12*(1+'Property Summary'!$L$18)^('MF Rents'!EK$3-1))</f>
        <v/>
      </c>
      <c r="EL12" s="149" t="str">
        <f>IF(OR($B12="",$B12=0),"",($G12*(EL$4&lt;$I12)+$H12*(EL$4&gt;=$I12))*$C12*(1+'Property Summary'!$L$18)^('MF Rents'!EL$3-1))</f>
        <v/>
      </c>
      <c r="EM12" s="149" t="str">
        <f>IF(OR($B12="",$B12=0),"",($G12*(EM$4&lt;$I12)+$H12*(EM$4&gt;=$I12))*$C12*(1+'Property Summary'!$L$18)^('MF Rents'!EM$3-1))</f>
        <v/>
      </c>
      <c r="EN12" s="149" t="str">
        <f>IF(OR($B12="",$B12=0),"",($G12*(EN$4&lt;$I12)+$H12*(EN$4&gt;=$I12))*$C12*(1+'Property Summary'!$L$18)^('MF Rents'!EN$3-1))</f>
        <v/>
      </c>
      <c r="EO12" s="149" t="str">
        <f>IF(OR($B12="",$B12=0),"",($G12*(EO$4&lt;$I12)+$H12*(EO$4&gt;=$I12))*$C12*(1+'Property Summary'!$L$18)^('MF Rents'!EO$3-1))</f>
        <v/>
      </c>
      <c r="EP12" s="149" t="str">
        <f>IF(OR($B12="",$B12=0),"",($G12*(EP$4&lt;$I12)+$H12*(EP$4&gt;=$I12))*$C12*(1+'Property Summary'!$L$18)^('MF Rents'!EP$3-1))</f>
        <v/>
      </c>
      <c r="EQ12" s="149" t="str">
        <f>IF(OR($B12="",$B12=0),"",($G12*(EQ$4&lt;$I12)+$H12*(EQ$4&gt;=$I12))*$C12*(1+'Property Summary'!$L$18)^('MF Rents'!EQ$3-1))</f>
        <v/>
      </c>
      <c r="ER12" s="149" t="str">
        <f>IF(OR($B12="",$B12=0),"",($G12*(ER$4&lt;$I12)+$H12*(ER$4&gt;=$I12))*$C12*(1+'Property Summary'!$L$18)^('MF Rents'!ER$3-1))</f>
        <v/>
      </c>
      <c r="ES12" s="149" t="str">
        <f>IF(OR($B12="",$B12=0),"",($G12*(ES$4&lt;$I12)+$H12*(ES$4&gt;=$I12))*$C12*(1+'Property Summary'!$L$18)^('MF Rents'!ES$3-1))</f>
        <v/>
      </c>
      <c r="ET12" s="149" t="str">
        <f>IF(OR($B12="",$B12=0),"",($G12*(ET$4&lt;$I12)+$H12*(ET$4&gt;=$I12))*$C12*(1+'Property Summary'!$L$18)^('MF Rents'!ET$3-1))</f>
        <v/>
      </c>
      <c r="EU12" s="149" t="str">
        <f>IF(OR($B12="",$B12=0),"",($G12*(EU$4&lt;$I12)+$H12*(EU$4&gt;=$I12))*$C12*(1+'Property Summary'!$L$18)^('MF Rents'!EU$3-1))</f>
        <v/>
      </c>
      <c r="EV12" s="149" t="str">
        <f>IF(OR($B12="",$B12=0),"",($G12*(EV$4&lt;$I12)+$H12*(EV$4&gt;=$I12))*$C12*(1+'Property Summary'!$L$18)^('MF Rents'!EV$3-1))</f>
        <v/>
      </c>
      <c r="EW12" s="149" t="str">
        <f>IF(OR($B12="",$B12=0),"",($G12*(EW$4&lt;$I12)+$H12*(EW$4&gt;=$I12))*$C12*(1+'Property Summary'!$L$18)^('MF Rents'!EW$3-1))</f>
        <v/>
      </c>
      <c r="EX12" s="149" t="str">
        <f>IF(OR($B12="",$B12=0),"",($G12*(EX$4&lt;$I12)+$H12*(EX$4&gt;=$I12))*$C12*(1+'Property Summary'!$L$18)^('MF Rents'!EX$3-1))</f>
        <v/>
      </c>
      <c r="EY12" s="149" t="str">
        <f>IF(OR($B12="",$B12=0),"",($G12*(EY$4&lt;$I12)+$H12*(EY$4&gt;=$I12))*$C12*(1+'Property Summary'!$L$18)^('MF Rents'!EY$3-1))</f>
        <v/>
      </c>
      <c r="EZ12" s="149" t="str">
        <f>IF(OR($B12="",$B12=0),"",($G12*(EZ$4&lt;$I12)+$H12*(EZ$4&gt;=$I12))*$C12*(1+'Property Summary'!$L$18)^('MF Rents'!EZ$3-1))</f>
        <v/>
      </c>
      <c r="FA12" s="149" t="str">
        <f>IF(OR($B12="",$B12=0),"",($G12*(FA$4&lt;$I12)+$H12*(FA$4&gt;=$I12))*$C12*(1+'Property Summary'!$L$18)^('MF Rents'!FA$3-1))</f>
        <v/>
      </c>
      <c r="FB12" s="149" t="str">
        <f>IF(OR($B12="",$B12=0),"",($G12*(FB$4&lt;$I12)+$H12*(FB$4&gt;=$I12))*$C12*(1+'Property Summary'!$L$18)^('MF Rents'!FB$3-1))</f>
        <v/>
      </c>
      <c r="FC12" s="149" t="str">
        <f>IF(OR($B12="",$B12=0),"",($G12*(FC$4&lt;$I12)+$H12*(FC$4&gt;=$I12))*$C12*(1+'Property Summary'!$L$18)^('MF Rents'!FC$3-1))</f>
        <v/>
      </c>
      <c r="FD12" s="149" t="str">
        <f>IF(OR($B12="",$B12=0),"",($G12*(FD$4&lt;$I12)+$H12*(FD$4&gt;=$I12))*$C12*(1+'Property Summary'!$L$18)^('MF Rents'!FD$3-1))</f>
        <v/>
      </c>
      <c r="FE12" s="149" t="str">
        <f>IF(OR($B12="",$B12=0),"",($G12*(FE$4&lt;$I12)+$H12*(FE$4&gt;=$I12))*$C12*(1+'Property Summary'!$L$18)^('MF Rents'!FE$3-1))</f>
        <v/>
      </c>
      <c r="FF12" s="149" t="str">
        <f>IF(OR($B12="",$B12=0),"",($G12*(FF$4&lt;$I12)+$H12*(FF$4&gt;=$I12))*$C12*(1+'Property Summary'!$L$18)^('MF Rents'!FF$3-1))</f>
        <v/>
      </c>
      <c r="FG12" s="149" t="str">
        <f>IF(OR($B12="",$B12=0),"",($G12*(FG$4&lt;$I12)+$H12*(FG$4&gt;=$I12))*$C12*(1+'Property Summary'!$L$18)^('MF Rents'!FG$3-1))</f>
        <v/>
      </c>
      <c r="FH12" s="149" t="str">
        <f>IF(OR($B12="",$B12=0),"",($G12*(FH$4&lt;$I12)+$H12*(FH$4&gt;=$I12))*$C12*(1+'Property Summary'!$L$18)^('MF Rents'!FH$3-1))</f>
        <v/>
      </c>
      <c r="FI12" s="149" t="str">
        <f>IF(OR($B12="",$B12=0),"",($G12*(FI$4&lt;$I12)+$H12*(FI$4&gt;=$I12))*$C12*(1+'Property Summary'!$L$18)^('MF Rents'!FI$3-1))</f>
        <v/>
      </c>
      <c r="FJ12" s="149" t="str">
        <f>IF(OR($B12="",$B12=0),"",($G12*(FJ$4&lt;$I12)+$H12*(FJ$4&gt;=$I12))*$C12*(1+'Property Summary'!$L$18)^('MF Rents'!FJ$3-1))</f>
        <v/>
      </c>
      <c r="FK12" s="149" t="str">
        <f>IF(OR($B12="",$B12=0),"",($G12*(FK$4&lt;$I12)+$H12*(FK$4&gt;=$I12))*$C12*(1+'Property Summary'!$L$18)^('MF Rents'!FK$3-1))</f>
        <v/>
      </c>
      <c r="FL12" s="149" t="str">
        <f>IF(OR($B12="",$B12=0),"",($G12*(FL$4&lt;$I12)+$H12*(FL$4&gt;=$I12))*$C12*(1+'Property Summary'!$L$18)^('MF Rents'!FL$3-1))</f>
        <v/>
      </c>
      <c r="FM12" s="149" t="str">
        <f>IF(OR($B12="",$B12=0),"",($G12*(FM$4&lt;$I12)+$H12*(FM$4&gt;=$I12))*$C12*(1+'Property Summary'!$L$18)^('MF Rents'!FM$3-1))</f>
        <v/>
      </c>
      <c r="FN12" s="149" t="str">
        <f>IF(OR($B12="",$B12=0),"",($G12*(FN$4&lt;$I12)+$H12*(FN$4&gt;=$I12))*$C12*(1+'Property Summary'!$L$18)^('MF Rents'!FN$3-1))</f>
        <v/>
      </c>
      <c r="FO12" s="149" t="str">
        <f>IF(OR($B12="",$B12=0),"",($G12*(FO$4&lt;$I12)+$H12*(FO$4&gt;=$I12))*$C12*(1+'Property Summary'!$L$18)^('MF Rents'!FO$3-1))</f>
        <v/>
      </c>
      <c r="FP12" s="149" t="str">
        <f>IF(OR($B12="",$B12=0),"",($G12*(FP$4&lt;$I12)+$H12*(FP$4&gt;=$I12))*$C12*(1+'Property Summary'!$L$18)^('MF Rents'!FP$3-1))</f>
        <v/>
      </c>
      <c r="FQ12" s="149" t="str">
        <f>IF(OR($B12="",$B12=0),"",($G12*(FQ$4&lt;$I12)+$H12*(FQ$4&gt;=$I12))*$C12*(1+'Property Summary'!$L$18)^('MF Rents'!FQ$3-1))</f>
        <v/>
      </c>
      <c r="FR12" s="149" t="str">
        <f>IF(OR($B12="",$B12=0),"",($G12*(FR$4&lt;$I12)+$H12*(FR$4&gt;=$I12))*$C12*(1+'Property Summary'!$L$18)^('MF Rents'!FR$3-1))</f>
        <v/>
      </c>
      <c r="FS12" s="149" t="str">
        <f>IF(OR($B12="",$B12=0),"",($G12*(FS$4&lt;$I12)+$H12*(FS$4&gt;=$I12))*$C12*(1+'Property Summary'!$L$18)^('MF Rents'!FS$3-1))</f>
        <v/>
      </c>
      <c r="FT12" s="149" t="str">
        <f>IF(OR($B12="",$B12=0),"",($G12*(FT$4&lt;$I12)+$H12*(FT$4&gt;=$I12))*$C12*(1+'Property Summary'!$L$18)^('MF Rents'!FT$3-1))</f>
        <v/>
      </c>
      <c r="FU12" s="149" t="str">
        <f>IF(OR($B12="",$B12=0),"",($G12*(FU$4&lt;$I12)+$H12*(FU$4&gt;=$I12))*$C12*(1+'Property Summary'!$L$18)^('MF Rents'!FU$3-1))</f>
        <v/>
      </c>
      <c r="FV12" s="149" t="str">
        <f>IF(OR($B12="",$B12=0),"",($G12*(FV$4&lt;$I12)+$H12*(FV$4&gt;=$I12))*$C12*(1+'Property Summary'!$L$18)^('MF Rents'!FV$3-1))</f>
        <v/>
      </c>
      <c r="FW12" s="149" t="str">
        <f>IF(OR($B12="",$B12=0),"",($G12*(FW$4&lt;$I12)+$H12*(FW$4&gt;=$I12))*$C12*(1+'Property Summary'!$L$18)^('MF Rents'!FW$3-1))</f>
        <v/>
      </c>
      <c r="FX12" s="149" t="str">
        <f>IF(OR($B12="",$B12=0),"",($G12*(FX$4&lt;$I12)+$H12*(FX$4&gt;=$I12))*$C12*(1+'Property Summary'!$L$18)^('MF Rents'!FX$3-1))</f>
        <v/>
      </c>
      <c r="FY12" s="149" t="str">
        <f>IF(OR($B12="",$B12=0),"",($G12*(FY$4&lt;$I12)+$H12*(FY$4&gt;=$I12))*$C12*(1+'Property Summary'!$L$18)^('MF Rents'!FY$3-1))</f>
        <v/>
      </c>
      <c r="FZ12" s="149" t="str">
        <f>IF(OR($B12="",$B12=0),"",($G12*(FZ$4&lt;$I12)+$H12*(FZ$4&gt;=$I12))*$C12*(1+'Property Summary'!$L$18)^('MF Rents'!FZ$3-1))</f>
        <v/>
      </c>
      <c r="GA12" s="149" t="str">
        <f>IF(OR($B12="",$B12=0),"",($G12*(GA$4&lt;$I12)+$H12*(GA$4&gt;=$I12))*$C12*(1+'Property Summary'!$L$18)^('MF Rents'!GA$3-1))</f>
        <v/>
      </c>
      <c r="GB12" s="149" t="str">
        <f>IF(OR($B12="",$B12=0),"",($G12*(GB$4&lt;$I12)+$H12*(GB$4&gt;=$I12))*$C12*(1+'Property Summary'!$L$18)^('MF Rents'!GB$3-1))</f>
        <v/>
      </c>
      <c r="GC12" s="149" t="str">
        <f>IF(OR($B12="",$B12=0),"",($G12*(GC$4&lt;$I12)+$H12*(GC$4&gt;=$I12))*$C12*(1+'Property Summary'!$L$18)^('MF Rents'!GC$3-1))</f>
        <v/>
      </c>
      <c r="GD12" s="149" t="str">
        <f>IF(OR($B12="",$B12=0),"",($G12*(GD$4&lt;$I12)+$H12*(GD$4&gt;=$I12))*$C12*(1+'Property Summary'!$L$18)^('MF Rents'!GD$3-1))</f>
        <v/>
      </c>
      <c r="GE12" s="149" t="str">
        <f>IF(OR($B12="",$B12=0),"",($G12*(GE$4&lt;$I12)+$H12*(GE$4&gt;=$I12))*$C12*(1+'Property Summary'!$L$18)^('MF Rents'!GE$3-1))</f>
        <v/>
      </c>
      <c r="GF12" s="149" t="str">
        <f>IF(OR($B12="",$B12=0),"",($G12*(GF$4&lt;$I12)+$H12*(GF$4&gt;=$I12))*$C12*(1+'Property Summary'!$L$18)^('MF Rents'!GF$3-1))</f>
        <v/>
      </c>
      <c r="GG12" s="149" t="str">
        <f>IF(OR($B12="",$B12=0),"",($G12*(GG$4&lt;$I12)+$H12*(GG$4&gt;=$I12))*$C12*(1+'Property Summary'!$L$18)^('MF Rents'!GG$3-1))</f>
        <v/>
      </c>
      <c r="GH12" s="149" t="str">
        <f>IF(OR($B12="",$B12=0),"",($G12*(GH$4&lt;$I12)+$H12*(GH$4&gt;=$I12))*$C12*(1+'Property Summary'!$L$18)^('MF Rents'!GH$3-1))</f>
        <v/>
      </c>
      <c r="GI12" s="149" t="str">
        <f>IF(OR($B12="",$B12=0),"",($G12*(GI$4&lt;$I12)+$H12*(GI$4&gt;=$I12))*$C12*(1+'Property Summary'!$L$18)^('MF Rents'!GI$3-1))</f>
        <v/>
      </c>
      <c r="GJ12" s="149" t="str">
        <f>IF(OR($B12="",$B12=0),"",($G12*(GJ$4&lt;$I12)+$H12*(GJ$4&gt;=$I12))*$C12*(1+'Property Summary'!$L$18)^('MF Rents'!GJ$3-1))</f>
        <v/>
      </c>
      <c r="GK12" s="149" t="str">
        <f>IF(OR($B12="",$B12=0),"",($G12*(GK$4&lt;$I12)+$H12*(GK$4&gt;=$I12))*$C12*(1+'Property Summary'!$L$18)^('MF Rents'!GK$3-1))</f>
        <v/>
      </c>
      <c r="GL12" s="149" t="str">
        <f>IF(OR($B12="",$B12=0),"",($G12*(GL$4&lt;$I12)+$H12*(GL$4&gt;=$I12))*$C12*(1+'Property Summary'!$L$18)^('MF Rents'!GL$3-1))</f>
        <v/>
      </c>
      <c r="GM12" s="149" t="str">
        <f>IF(OR($B12="",$B12=0),"",($G12*(GM$4&lt;$I12)+$H12*(GM$4&gt;=$I12))*$C12*(1+'Property Summary'!$L$18)^('MF Rents'!GM$3-1))</f>
        <v/>
      </c>
      <c r="GN12" s="149" t="str">
        <f>IF(OR($B12="",$B12=0),"",($G12*(GN$4&lt;$I12)+$H12*(GN$4&gt;=$I12))*$C12*(1+'Property Summary'!$L$18)^('MF Rents'!GN$3-1))</f>
        <v/>
      </c>
      <c r="GO12" s="149" t="str">
        <f>IF(OR($B12="",$B12=0),"",($G12*(GO$4&lt;$I12)+$H12*(GO$4&gt;=$I12))*$C12*(1+'Property Summary'!$L$18)^('MF Rents'!GO$3-1))</f>
        <v/>
      </c>
      <c r="GP12" s="149" t="str">
        <f>IF(OR($B12="",$B12=0),"",($G12*(GP$4&lt;$I12)+$H12*(GP$4&gt;=$I12))*$C12*(1+'Property Summary'!$L$18)^('MF Rents'!GP$3-1))</f>
        <v/>
      </c>
      <c r="GQ12" s="149" t="str">
        <f>IF(OR($B12="",$B12=0),"",($G12*(GQ$4&lt;$I12)+$H12*(GQ$4&gt;=$I12))*$C12*(1+'Property Summary'!$L$18)^('MF Rents'!GQ$3-1))</f>
        <v/>
      </c>
      <c r="GR12" s="149" t="str">
        <f>IF(OR($B12="",$B12=0),"",($G12*(GR$4&lt;$I12)+$H12*(GR$4&gt;=$I12))*$C12*(1+'Property Summary'!$L$18)^('MF Rents'!GR$3-1))</f>
        <v/>
      </c>
    </row>
    <row r="13" spans="2:200" x14ac:dyDescent="0.3">
      <c r="B13" s="184">
        <f>'MF Rent Roll'!B12</f>
        <v>0</v>
      </c>
      <c r="C13" s="171">
        <f>'MF Rent Roll'!C12</f>
        <v>0</v>
      </c>
      <c r="D13" s="172">
        <f>'MF Rent Roll'!D12</f>
        <v>0</v>
      </c>
      <c r="E13" s="172">
        <f>'MF Rent Roll'!E12</f>
        <v>0</v>
      </c>
      <c r="F13" s="173">
        <f>'MF Rent Roll'!F12</f>
        <v>0</v>
      </c>
      <c r="G13" s="174">
        <f>'MF Rent Roll'!G12</f>
        <v>0</v>
      </c>
      <c r="H13" s="174">
        <f>IF('MF Rent Roll'!H12="",G13,'MF Rent Roll'!H12)</f>
        <v>0</v>
      </c>
      <c r="I13" s="175">
        <f>IF('MF Rent Roll'!I12="",1,'MF Rent Roll'!I12)</f>
        <v>1</v>
      </c>
      <c r="J13" s="176">
        <f>'MF Rent Roll'!J12</f>
        <v>0</v>
      </c>
      <c r="K13" s="174">
        <f>'MF Rent Roll'!K12</f>
        <v>0</v>
      </c>
      <c r="L13" s="177">
        <f>'MF Rent Roll'!L12</f>
        <v>0</v>
      </c>
      <c r="M13" s="178">
        <f>'MF Rent Roll'!M12</f>
        <v>0</v>
      </c>
      <c r="N13" s="174">
        <f>'MF Rent Roll'!N12</f>
        <v>0</v>
      </c>
      <c r="O13" s="179">
        <f>'MF Rent Roll'!O12</f>
        <v>0</v>
      </c>
      <c r="P13" s="180" t="str">
        <f>'MF Rent Roll'!P12</f>
        <v/>
      </c>
      <c r="Q13" s="181" t="str">
        <f>'MF Rent Roll'!Q12</f>
        <v/>
      </c>
      <c r="R13" s="104" t="str">
        <f>'MF Rent Roll'!R12</f>
        <v/>
      </c>
      <c r="U13" s="149" t="str">
        <f>IF(OR($B13="",$B13=0),"",($G13*(U$4&lt;$I13)+$H13*(U$4&gt;=$I13))*$C13*(1+'Property Summary'!$L$18)^('MF Rents'!U$3-1))</f>
        <v/>
      </c>
      <c r="V13" s="149" t="str">
        <f>IF(OR($B13="",$B13=0),"",($G13*(V$4&lt;$I13)+$H13*(V$4&gt;=$I13))*$C13*(1+'Property Summary'!$L$18)^('MF Rents'!V$3-1))</f>
        <v/>
      </c>
      <c r="W13" s="149" t="str">
        <f>IF(OR($B13="",$B13=0),"",($G13*(W$4&lt;$I13)+$H13*(W$4&gt;=$I13))*$C13*(1+'Property Summary'!$L$18)^('MF Rents'!W$3-1))</f>
        <v/>
      </c>
      <c r="X13" s="149" t="str">
        <f>IF(OR($B13="",$B13=0),"",($G13*(X$4&lt;$I13)+$H13*(X$4&gt;=$I13))*$C13*(1+'Property Summary'!$L$18)^('MF Rents'!X$3-1))</f>
        <v/>
      </c>
      <c r="Y13" s="149" t="str">
        <f>IF(OR($B13="",$B13=0),"",($G13*(Y$4&lt;$I13)+$H13*(Y$4&gt;=$I13))*$C13*(1+'Property Summary'!$L$18)^('MF Rents'!Y$3-1))</f>
        <v/>
      </c>
      <c r="Z13" s="149" t="str">
        <f>IF(OR($B13="",$B13=0),"",($G13*(Z$4&lt;$I13)+$H13*(Z$4&gt;=$I13))*$C13*(1+'Property Summary'!$L$18)^('MF Rents'!Z$3-1))</f>
        <v/>
      </c>
      <c r="AA13" s="149" t="str">
        <f>IF(OR($B13="",$B13=0),"",($G13*(AA$4&lt;$I13)+$H13*(AA$4&gt;=$I13))*$C13*(1+'Property Summary'!$L$18)^('MF Rents'!AA$3-1))</f>
        <v/>
      </c>
      <c r="AB13" s="149" t="str">
        <f>IF(OR($B13="",$B13=0),"",($G13*(AB$4&lt;$I13)+$H13*(AB$4&gt;=$I13))*$C13*(1+'Property Summary'!$L$18)^('MF Rents'!AB$3-1))</f>
        <v/>
      </c>
      <c r="AC13" s="149" t="str">
        <f>IF(OR($B13="",$B13=0),"",($G13*(AC$4&lt;$I13)+$H13*(AC$4&gt;=$I13))*$C13*(1+'Property Summary'!$L$18)^('MF Rents'!AC$3-1))</f>
        <v/>
      </c>
      <c r="AD13" s="149" t="str">
        <f>IF(OR($B13="",$B13=0),"",($G13*(AD$4&lt;$I13)+$H13*(AD$4&gt;=$I13))*$C13*(1+'Property Summary'!$L$18)^('MF Rents'!AD$3-1))</f>
        <v/>
      </c>
      <c r="AE13" s="149" t="str">
        <f>IF(OR($B13="",$B13=0),"",($G13*(AE$4&lt;$I13)+$H13*(AE$4&gt;=$I13))*$C13*(1+'Property Summary'!$L$18)^('MF Rents'!AE$3-1))</f>
        <v/>
      </c>
      <c r="AF13" s="149" t="str">
        <f>IF(OR($B13="",$B13=0),"",($G13*(AF$4&lt;$I13)+$H13*(AF$4&gt;=$I13))*$C13*(1+'Property Summary'!$L$18)^('MF Rents'!AF$3-1))</f>
        <v/>
      </c>
      <c r="AG13" s="149" t="str">
        <f>IF(OR($B13="",$B13=0),"",($G13*(AG$4&lt;$I13)+$H13*(AG$4&gt;=$I13))*$C13*(1+'Property Summary'!$L$18)^('MF Rents'!AG$3-1))</f>
        <v/>
      </c>
      <c r="AH13" s="149" t="str">
        <f>IF(OR($B13="",$B13=0),"",($G13*(AH$4&lt;$I13)+$H13*(AH$4&gt;=$I13))*$C13*(1+'Property Summary'!$L$18)^('MF Rents'!AH$3-1))</f>
        <v/>
      </c>
      <c r="AI13" s="149" t="str">
        <f>IF(OR($B13="",$B13=0),"",($G13*(AI$4&lt;$I13)+$H13*(AI$4&gt;=$I13))*$C13*(1+'Property Summary'!$L$18)^('MF Rents'!AI$3-1))</f>
        <v/>
      </c>
      <c r="AJ13" s="149" t="str">
        <f>IF(OR($B13="",$B13=0),"",($G13*(AJ$4&lt;$I13)+$H13*(AJ$4&gt;=$I13))*$C13*(1+'Property Summary'!$L$18)^('MF Rents'!AJ$3-1))</f>
        <v/>
      </c>
      <c r="AK13" s="149" t="str">
        <f>IF(OR($B13="",$B13=0),"",($G13*(AK$4&lt;$I13)+$H13*(AK$4&gt;=$I13))*$C13*(1+'Property Summary'!$L$18)^('MF Rents'!AK$3-1))</f>
        <v/>
      </c>
      <c r="AL13" s="149" t="str">
        <f>IF(OR($B13="",$B13=0),"",($G13*(AL$4&lt;$I13)+$H13*(AL$4&gt;=$I13))*$C13*(1+'Property Summary'!$L$18)^('MF Rents'!AL$3-1))</f>
        <v/>
      </c>
      <c r="AM13" s="149" t="str">
        <f>IF(OR($B13="",$B13=0),"",($G13*(AM$4&lt;$I13)+$H13*(AM$4&gt;=$I13))*$C13*(1+'Property Summary'!$L$18)^('MF Rents'!AM$3-1))</f>
        <v/>
      </c>
      <c r="AN13" s="149" t="str">
        <f>IF(OR($B13="",$B13=0),"",($G13*(AN$4&lt;$I13)+$H13*(AN$4&gt;=$I13))*$C13*(1+'Property Summary'!$L$18)^('MF Rents'!AN$3-1))</f>
        <v/>
      </c>
      <c r="AO13" s="149" t="str">
        <f>IF(OR($B13="",$B13=0),"",($G13*(AO$4&lt;$I13)+$H13*(AO$4&gt;=$I13))*$C13*(1+'Property Summary'!$L$18)^('MF Rents'!AO$3-1))</f>
        <v/>
      </c>
      <c r="AP13" s="149" t="str">
        <f>IF(OR($B13="",$B13=0),"",($G13*(AP$4&lt;$I13)+$H13*(AP$4&gt;=$I13))*$C13*(1+'Property Summary'!$L$18)^('MF Rents'!AP$3-1))</f>
        <v/>
      </c>
      <c r="AQ13" s="149" t="str">
        <f>IF(OR($B13="",$B13=0),"",($G13*(AQ$4&lt;$I13)+$H13*(AQ$4&gt;=$I13))*$C13*(1+'Property Summary'!$L$18)^('MF Rents'!AQ$3-1))</f>
        <v/>
      </c>
      <c r="AR13" s="149" t="str">
        <f>IF(OR($B13="",$B13=0),"",($G13*(AR$4&lt;$I13)+$H13*(AR$4&gt;=$I13))*$C13*(1+'Property Summary'!$L$18)^('MF Rents'!AR$3-1))</f>
        <v/>
      </c>
      <c r="AS13" s="149" t="str">
        <f>IF(OR($B13="",$B13=0),"",($G13*(AS$4&lt;$I13)+$H13*(AS$4&gt;=$I13))*$C13*(1+'Property Summary'!$L$18)^('MF Rents'!AS$3-1))</f>
        <v/>
      </c>
      <c r="AT13" s="149" t="str">
        <f>IF(OR($B13="",$B13=0),"",($G13*(AT$4&lt;$I13)+$H13*(AT$4&gt;=$I13))*$C13*(1+'Property Summary'!$L$18)^('MF Rents'!AT$3-1))</f>
        <v/>
      </c>
      <c r="AU13" s="149" t="str">
        <f>IF(OR($B13="",$B13=0),"",($G13*(AU$4&lt;$I13)+$H13*(AU$4&gt;=$I13))*$C13*(1+'Property Summary'!$L$18)^('MF Rents'!AU$3-1))</f>
        <v/>
      </c>
      <c r="AV13" s="149" t="str">
        <f>IF(OR($B13="",$B13=0),"",($G13*(AV$4&lt;$I13)+$H13*(AV$4&gt;=$I13))*$C13*(1+'Property Summary'!$L$18)^('MF Rents'!AV$3-1))</f>
        <v/>
      </c>
      <c r="AW13" s="149" t="str">
        <f>IF(OR($B13="",$B13=0),"",($G13*(AW$4&lt;$I13)+$H13*(AW$4&gt;=$I13))*$C13*(1+'Property Summary'!$L$18)^('MF Rents'!AW$3-1))</f>
        <v/>
      </c>
      <c r="AX13" s="149" t="str">
        <f>IF(OR($B13="",$B13=0),"",($G13*(AX$4&lt;$I13)+$H13*(AX$4&gt;=$I13))*$C13*(1+'Property Summary'!$L$18)^('MF Rents'!AX$3-1))</f>
        <v/>
      </c>
      <c r="AY13" s="149" t="str">
        <f>IF(OR($B13="",$B13=0),"",($G13*(AY$4&lt;$I13)+$H13*(AY$4&gt;=$I13))*$C13*(1+'Property Summary'!$L$18)^('MF Rents'!AY$3-1))</f>
        <v/>
      </c>
      <c r="AZ13" s="149" t="str">
        <f>IF(OR($B13="",$B13=0),"",($G13*(AZ$4&lt;$I13)+$H13*(AZ$4&gt;=$I13))*$C13*(1+'Property Summary'!$L$18)^('MF Rents'!AZ$3-1))</f>
        <v/>
      </c>
      <c r="BA13" s="149" t="str">
        <f>IF(OR($B13="",$B13=0),"",($G13*(BA$4&lt;$I13)+$H13*(BA$4&gt;=$I13))*$C13*(1+'Property Summary'!$L$18)^('MF Rents'!BA$3-1))</f>
        <v/>
      </c>
      <c r="BB13" s="149" t="str">
        <f>IF(OR($B13="",$B13=0),"",($G13*(BB$4&lt;$I13)+$H13*(BB$4&gt;=$I13))*$C13*(1+'Property Summary'!$L$18)^('MF Rents'!BB$3-1))</f>
        <v/>
      </c>
      <c r="BC13" s="149" t="str">
        <f>IF(OR($B13="",$B13=0),"",($G13*(BC$4&lt;$I13)+$H13*(BC$4&gt;=$I13))*$C13*(1+'Property Summary'!$L$18)^('MF Rents'!BC$3-1))</f>
        <v/>
      </c>
      <c r="BD13" s="149" t="str">
        <f>IF(OR($B13="",$B13=0),"",($G13*(BD$4&lt;$I13)+$H13*(BD$4&gt;=$I13))*$C13*(1+'Property Summary'!$L$18)^('MF Rents'!BD$3-1))</f>
        <v/>
      </c>
      <c r="BE13" s="149" t="str">
        <f>IF(OR($B13="",$B13=0),"",($G13*(BE$4&lt;$I13)+$H13*(BE$4&gt;=$I13))*$C13*(1+'Property Summary'!$L$18)^('MF Rents'!BE$3-1))</f>
        <v/>
      </c>
      <c r="BF13" s="149" t="str">
        <f>IF(OR($B13="",$B13=0),"",($G13*(BF$4&lt;$I13)+$H13*(BF$4&gt;=$I13))*$C13*(1+'Property Summary'!$L$18)^('MF Rents'!BF$3-1))</f>
        <v/>
      </c>
      <c r="BG13" s="149" t="str">
        <f>IF(OR($B13="",$B13=0),"",($G13*(BG$4&lt;$I13)+$H13*(BG$4&gt;=$I13))*$C13*(1+'Property Summary'!$L$18)^('MF Rents'!BG$3-1))</f>
        <v/>
      </c>
      <c r="BH13" s="149" t="str">
        <f>IF(OR($B13="",$B13=0),"",($G13*(BH$4&lt;$I13)+$H13*(BH$4&gt;=$I13))*$C13*(1+'Property Summary'!$L$18)^('MF Rents'!BH$3-1))</f>
        <v/>
      </c>
      <c r="BI13" s="149" t="str">
        <f>IF(OR($B13="",$B13=0),"",($G13*(BI$4&lt;$I13)+$H13*(BI$4&gt;=$I13))*$C13*(1+'Property Summary'!$L$18)^('MF Rents'!BI$3-1))</f>
        <v/>
      </c>
      <c r="BJ13" s="149" t="str">
        <f>IF(OR($B13="",$B13=0),"",($G13*(BJ$4&lt;$I13)+$H13*(BJ$4&gt;=$I13))*$C13*(1+'Property Summary'!$L$18)^('MF Rents'!BJ$3-1))</f>
        <v/>
      </c>
      <c r="BK13" s="149" t="str">
        <f>IF(OR($B13="",$B13=0),"",($G13*(BK$4&lt;$I13)+$H13*(BK$4&gt;=$I13))*$C13*(1+'Property Summary'!$L$18)^('MF Rents'!BK$3-1))</f>
        <v/>
      </c>
      <c r="BL13" s="149" t="str">
        <f>IF(OR($B13="",$B13=0),"",($G13*(BL$4&lt;$I13)+$H13*(BL$4&gt;=$I13))*$C13*(1+'Property Summary'!$L$18)^('MF Rents'!BL$3-1))</f>
        <v/>
      </c>
      <c r="BM13" s="149" t="str">
        <f>IF(OR($B13="",$B13=0),"",($G13*(BM$4&lt;$I13)+$H13*(BM$4&gt;=$I13))*$C13*(1+'Property Summary'!$L$18)^('MF Rents'!BM$3-1))</f>
        <v/>
      </c>
      <c r="BN13" s="149" t="str">
        <f>IF(OR($B13="",$B13=0),"",($G13*(BN$4&lt;$I13)+$H13*(BN$4&gt;=$I13))*$C13*(1+'Property Summary'!$L$18)^('MF Rents'!BN$3-1))</f>
        <v/>
      </c>
      <c r="BO13" s="149" t="str">
        <f>IF(OR($B13="",$B13=0),"",($G13*(BO$4&lt;$I13)+$H13*(BO$4&gt;=$I13))*$C13*(1+'Property Summary'!$L$18)^('MF Rents'!BO$3-1))</f>
        <v/>
      </c>
      <c r="BP13" s="149" t="str">
        <f>IF(OR($B13="",$B13=0),"",($G13*(BP$4&lt;$I13)+$H13*(BP$4&gt;=$I13))*$C13*(1+'Property Summary'!$L$18)^('MF Rents'!BP$3-1))</f>
        <v/>
      </c>
      <c r="BQ13" s="149" t="str">
        <f>IF(OR($B13="",$B13=0),"",($G13*(BQ$4&lt;$I13)+$H13*(BQ$4&gt;=$I13))*$C13*(1+'Property Summary'!$L$18)^('MF Rents'!BQ$3-1))</f>
        <v/>
      </c>
      <c r="BR13" s="149" t="str">
        <f>IF(OR($B13="",$B13=0),"",($G13*(BR$4&lt;$I13)+$H13*(BR$4&gt;=$I13))*$C13*(1+'Property Summary'!$L$18)^('MF Rents'!BR$3-1))</f>
        <v/>
      </c>
      <c r="BS13" s="149" t="str">
        <f>IF(OR($B13="",$B13=0),"",($G13*(BS$4&lt;$I13)+$H13*(BS$4&gt;=$I13))*$C13*(1+'Property Summary'!$L$18)^('MF Rents'!BS$3-1))</f>
        <v/>
      </c>
      <c r="BT13" s="149" t="str">
        <f>IF(OR($B13="",$B13=0),"",($G13*(BT$4&lt;$I13)+$H13*(BT$4&gt;=$I13))*$C13*(1+'Property Summary'!$L$18)^('MF Rents'!BT$3-1))</f>
        <v/>
      </c>
      <c r="BU13" s="149" t="str">
        <f>IF(OR($B13="",$B13=0),"",($G13*(BU$4&lt;$I13)+$H13*(BU$4&gt;=$I13))*$C13*(1+'Property Summary'!$L$18)^('MF Rents'!BU$3-1))</f>
        <v/>
      </c>
      <c r="BV13" s="149" t="str">
        <f>IF(OR($B13="",$B13=0),"",($G13*(BV$4&lt;$I13)+$H13*(BV$4&gt;=$I13))*$C13*(1+'Property Summary'!$L$18)^('MF Rents'!BV$3-1))</f>
        <v/>
      </c>
      <c r="BW13" s="149" t="str">
        <f>IF(OR($B13="",$B13=0),"",($G13*(BW$4&lt;$I13)+$H13*(BW$4&gt;=$I13))*$C13*(1+'Property Summary'!$L$18)^('MF Rents'!BW$3-1))</f>
        <v/>
      </c>
      <c r="BX13" s="149" t="str">
        <f>IF(OR($B13="",$B13=0),"",($G13*(BX$4&lt;$I13)+$H13*(BX$4&gt;=$I13))*$C13*(1+'Property Summary'!$L$18)^('MF Rents'!BX$3-1))</f>
        <v/>
      </c>
      <c r="BY13" s="149" t="str">
        <f>IF(OR($B13="",$B13=0),"",($G13*(BY$4&lt;$I13)+$H13*(BY$4&gt;=$I13))*$C13*(1+'Property Summary'!$L$18)^('MF Rents'!BY$3-1))</f>
        <v/>
      </c>
      <c r="BZ13" s="149" t="str">
        <f>IF(OR($B13="",$B13=0),"",($G13*(BZ$4&lt;$I13)+$H13*(BZ$4&gt;=$I13))*$C13*(1+'Property Summary'!$L$18)^('MF Rents'!BZ$3-1))</f>
        <v/>
      </c>
      <c r="CA13" s="149" t="str">
        <f>IF(OR($B13="",$B13=0),"",($G13*(CA$4&lt;$I13)+$H13*(CA$4&gt;=$I13))*$C13*(1+'Property Summary'!$L$18)^('MF Rents'!CA$3-1))</f>
        <v/>
      </c>
      <c r="CB13" s="149" t="str">
        <f>IF(OR($B13="",$B13=0),"",($G13*(CB$4&lt;$I13)+$H13*(CB$4&gt;=$I13))*$C13*(1+'Property Summary'!$L$18)^('MF Rents'!CB$3-1))</f>
        <v/>
      </c>
      <c r="CC13" s="149" t="str">
        <f>IF(OR($B13="",$B13=0),"",($G13*(CC$4&lt;$I13)+$H13*(CC$4&gt;=$I13))*$C13*(1+'Property Summary'!$L$18)^('MF Rents'!CC$3-1))</f>
        <v/>
      </c>
      <c r="CD13" s="149" t="str">
        <f>IF(OR($B13="",$B13=0),"",($G13*(CD$4&lt;$I13)+$H13*(CD$4&gt;=$I13))*$C13*(1+'Property Summary'!$L$18)^('MF Rents'!CD$3-1))</f>
        <v/>
      </c>
      <c r="CE13" s="149" t="str">
        <f>IF(OR($B13="",$B13=0),"",($G13*(CE$4&lt;$I13)+$H13*(CE$4&gt;=$I13))*$C13*(1+'Property Summary'!$L$18)^('MF Rents'!CE$3-1))</f>
        <v/>
      </c>
      <c r="CF13" s="149" t="str">
        <f>IF(OR($B13="",$B13=0),"",($G13*(CF$4&lt;$I13)+$H13*(CF$4&gt;=$I13))*$C13*(1+'Property Summary'!$L$18)^('MF Rents'!CF$3-1))</f>
        <v/>
      </c>
      <c r="CG13" s="149" t="str">
        <f>IF(OR($B13="",$B13=0),"",($G13*(CG$4&lt;$I13)+$H13*(CG$4&gt;=$I13))*$C13*(1+'Property Summary'!$L$18)^('MF Rents'!CG$3-1))</f>
        <v/>
      </c>
      <c r="CH13" s="149" t="str">
        <f>IF(OR($B13="",$B13=0),"",($G13*(CH$4&lt;$I13)+$H13*(CH$4&gt;=$I13))*$C13*(1+'Property Summary'!$L$18)^('MF Rents'!CH$3-1))</f>
        <v/>
      </c>
      <c r="CI13" s="149" t="str">
        <f>IF(OR($B13="",$B13=0),"",($G13*(CI$4&lt;$I13)+$H13*(CI$4&gt;=$I13))*$C13*(1+'Property Summary'!$L$18)^('MF Rents'!CI$3-1))</f>
        <v/>
      </c>
      <c r="CJ13" s="149" t="str">
        <f>IF(OR($B13="",$B13=0),"",($G13*(CJ$4&lt;$I13)+$H13*(CJ$4&gt;=$I13))*$C13*(1+'Property Summary'!$L$18)^('MF Rents'!CJ$3-1))</f>
        <v/>
      </c>
      <c r="CK13" s="149" t="str">
        <f>IF(OR($B13="",$B13=0),"",($G13*(CK$4&lt;$I13)+$H13*(CK$4&gt;=$I13))*$C13*(1+'Property Summary'!$L$18)^('MF Rents'!CK$3-1))</f>
        <v/>
      </c>
      <c r="CL13" s="149" t="str">
        <f>IF(OR($B13="",$B13=0),"",($G13*(CL$4&lt;$I13)+$H13*(CL$4&gt;=$I13))*$C13*(1+'Property Summary'!$L$18)^('MF Rents'!CL$3-1))</f>
        <v/>
      </c>
      <c r="CM13" s="149" t="str">
        <f>IF(OR($B13="",$B13=0),"",($G13*(CM$4&lt;$I13)+$H13*(CM$4&gt;=$I13))*$C13*(1+'Property Summary'!$L$18)^('MF Rents'!CM$3-1))</f>
        <v/>
      </c>
      <c r="CN13" s="149" t="str">
        <f>IF(OR($B13="",$B13=0),"",($G13*(CN$4&lt;$I13)+$H13*(CN$4&gt;=$I13))*$C13*(1+'Property Summary'!$L$18)^('MF Rents'!CN$3-1))</f>
        <v/>
      </c>
      <c r="CO13" s="149" t="str">
        <f>IF(OR($B13="",$B13=0),"",($G13*(CO$4&lt;$I13)+$H13*(CO$4&gt;=$I13))*$C13*(1+'Property Summary'!$L$18)^('MF Rents'!CO$3-1))</f>
        <v/>
      </c>
      <c r="CP13" s="149" t="str">
        <f>IF(OR($B13="",$B13=0),"",($G13*(CP$4&lt;$I13)+$H13*(CP$4&gt;=$I13))*$C13*(1+'Property Summary'!$L$18)^('MF Rents'!CP$3-1))</f>
        <v/>
      </c>
      <c r="CQ13" s="149" t="str">
        <f>IF(OR($B13="",$B13=0),"",($G13*(CQ$4&lt;$I13)+$H13*(CQ$4&gt;=$I13))*$C13*(1+'Property Summary'!$L$18)^('MF Rents'!CQ$3-1))</f>
        <v/>
      </c>
      <c r="CR13" s="149" t="str">
        <f>IF(OR($B13="",$B13=0),"",($G13*(CR$4&lt;$I13)+$H13*(CR$4&gt;=$I13))*$C13*(1+'Property Summary'!$L$18)^('MF Rents'!CR$3-1))</f>
        <v/>
      </c>
      <c r="CS13" s="149" t="str">
        <f>IF(OR($B13="",$B13=0),"",($G13*(CS$4&lt;$I13)+$H13*(CS$4&gt;=$I13))*$C13*(1+'Property Summary'!$L$18)^('MF Rents'!CS$3-1))</f>
        <v/>
      </c>
      <c r="CT13" s="149" t="str">
        <f>IF(OR($B13="",$B13=0),"",($G13*(CT$4&lt;$I13)+$H13*(CT$4&gt;=$I13))*$C13*(1+'Property Summary'!$L$18)^('MF Rents'!CT$3-1))</f>
        <v/>
      </c>
      <c r="CU13" s="149" t="str">
        <f>IF(OR($B13="",$B13=0),"",($G13*(CU$4&lt;$I13)+$H13*(CU$4&gt;=$I13))*$C13*(1+'Property Summary'!$L$18)^('MF Rents'!CU$3-1))</f>
        <v/>
      </c>
      <c r="CV13" s="149" t="str">
        <f>IF(OR($B13="",$B13=0),"",($G13*(CV$4&lt;$I13)+$H13*(CV$4&gt;=$I13))*$C13*(1+'Property Summary'!$L$18)^('MF Rents'!CV$3-1))</f>
        <v/>
      </c>
      <c r="CW13" s="149" t="str">
        <f>IF(OR($B13="",$B13=0),"",($G13*(CW$4&lt;$I13)+$H13*(CW$4&gt;=$I13))*$C13*(1+'Property Summary'!$L$18)^('MF Rents'!CW$3-1))</f>
        <v/>
      </c>
      <c r="CX13" s="149" t="str">
        <f>IF(OR($B13="",$B13=0),"",($G13*(CX$4&lt;$I13)+$H13*(CX$4&gt;=$I13))*$C13*(1+'Property Summary'!$L$18)^('MF Rents'!CX$3-1))</f>
        <v/>
      </c>
      <c r="CY13" s="149" t="str">
        <f>IF(OR($B13="",$B13=0),"",($G13*(CY$4&lt;$I13)+$H13*(CY$4&gt;=$I13))*$C13*(1+'Property Summary'!$L$18)^('MF Rents'!CY$3-1))</f>
        <v/>
      </c>
      <c r="CZ13" s="149" t="str">
        <f>IF(OR($B13="",$B13=0),"",($G13*(CZ$4&lt;$I13)+$H13*(CZ$4&gt;=$I13))*$C13*(1+'Property Summary'!$L$18)^('MF Rents'!CZ$3-1))</f>
        <v/>
      </c>
      <c r="DA13" s="149" t="str">
        <f>IF(OR($B13="",$B13=0),"",($G13*(DA$4&lt;$I13)+$H13*(DA$4&gt;=$I13))*$C13*(1+'Property Summary'!$L$18)^('MF Rents'!DA$3-1))</f>
        <v/>
      </c>
      <c r="DB13" s="149" t="str">
        <f>IF(OR($B13="",$B13=0),"",($G13*(DB$4&lt;$I13)+$H13*(DB$4&gt;=$I13))*$C13*(1+'Property Summary'!$L$18)^('MF Rents'!DB$3-1))</f>
        <v/>
      </c>
      <c r="DC13" s="149" t="str">
        <f>IF(OR($B13="",$B13=0),"",($G13*(DC$4&lt;$I13)+$H13*(DC$4&gt;=$I13))*$C13*(1+'Property Summary'!$L$18)^('MF Rents'!DC$3-1))</f>
        <v/>
      </c>
      <c r="DD13" s="149" t="str">
        <f>IF(OR($B13="",$B13=0),"",($G13*(DD$4&lt;$I13)+$H13*(DD$4&gt;=$I13))*$C13*(1+'Property Summary'!$L$18)^('MF Rents'!DD$3-1))</f>
        <v/>
      </c>
      <c r="DE13" s="149" t="str">
        <f>IF(OR($B13="",$B13=0),"",($G13*(DE$4&lt;$I13)+$H13*(DE$4&gt;=$I13))*$C13*(1+'Property Summary'!$L$18)^('MF Rents'!DE$3-1))</f>
        <v/>
      </c>
      <c r="DF13" s="149" t="str">
        <f>IF(OR($B13="",$B13=0),"",($G13*(DF$4&lt;$I13)+$H13*(DF$4&gt;=$I13))*$C13*(1+'Property Summary'!$L$18)^('MF Rents'!DF$3-1))</f>
        <v/>
      </c>
      <c r="DG13" s="149" t="str">
        <f>IF(OR($B13="",$B13=0),"",($G13*(DG$4&lt;$I13)+$H13*(DG$4&gt;=$I13))*$C13*(1+'Property Summary'!$L$18)^('MF Rents'!DG$3-1))</f>
        <v/>
      </c>
      <c r="DH13" s="149" t="str">
        <f>IF(OR($B13="",$B13=0),"",($G13*(DH$4&lt;$I13)+$H13*(DH$4&gt;=$I13))*$C13*(1+'Property Summary'!$L$18)^('MF Rents'!DH$3-1))</f>
        <v/>
      </c>
      <c r="DI13" s="149" t="str">
        <f>IF(OR($B13="",$B13=0),"",($G13*(DI$4&lt;$I13)+$H13*(DI$4&gt;=$I13))*$C13*(1+'Property Summary'!$L$18)^('MF Rents'!DI$3-1))</f>
        <v/>
      </c>
      <c r="DJ13" s="149" t="str">
        <f>IF(OR($B13="",$B13=0),"",($G13*(DJ$4&lt;$I13)+$H13*(DJ$4&gt;=$I13))*$C13*(1+'Property Summary'!$L$18)^('MF Rents'!DJ$3-1))</f>
        <v/>
      </c>
      <c r="DK13" s="149" t="str">
        <f>IF(OR($B13="",$B13=0),"",($G13*(DK$4&lt;$I13)+$H13*(DK$4&gt;=$I13))*$C13*(1+'Property Summary'!$L$18)^('MF Rents'!DK$3-1))</f>
        <v/>
      </c>
      <c r="DL13" s="149" t="str">
        <f>IF(OR($B13="",$B13=0),"",($G13*(DL$4&lt;$I13)+$H13*(DL$4&gt;=$I13))*$C13*(1+'Property Summary'!$L$18)^('MF Rents'!DL$3-1))</f>
        <v/>
      </c>
      <c r="DM13" s="149" t="str">
        <f>IF(OR($B13="",$B13=0),"",($G13*(DM$4&lt;$I13)+$H13*(DM$4&gt;=$I13))*$C13*(1+'Property Summary'!$L$18)^('MF Rents'!DM$3-1))</f>
        <v/>
      </c>
      <c r="DN13" s="149" t="str">
        <f>IF(OR($B13="",$B13=0),"",($G13*(DN$4&lt;$I13)+$H13*(DN$4&gt;=$I13))*$C13*(1+'Property Summary'!$L$18)^('MF Rents'!DN$3-1))</f>
        <v/>
      </c>
      <c r="DO13" s="149" t="str">
        <f>IF(OR($B13="",$B13=0),"",($G13*(DO$4&lt;$I13)+$H13*(DO$4&gt;=$I13))*$C13*(1+'Property Summary'!$L$18)^('MF Rents'!DO$3-1))</f>
        <v/>
      </c>
      <c r="DP13" s="149" t="str">
        <f>IF(OR($B13="",$B13=0),"",($G13*(DP$4&lt;$I13)+$H13*(DP$4&gt;=$I13))*$C13*(1+'Property Summary'!$L$18)^('MF Rents'!DP$3-1))</f>
        <v/>
      </c>
      <c r="DQ13" s="149" t="str">
        <f>IF(OR($B13="",$B13=0),"",($G13*(DQ$4&lt;$I13)+$H13*(DQ$4&gt;=$I13))*$C13*(1+'Property Summary'!$L$18)^('MF Rents'!DQ$3-1))</f>
        <v/>
      </c>
      <c r="DR13" s="149" t="str">
        <f>IF(OR($B13="",$B13=0),"",($G13*(DR$4&lt;$I13)+$H13*(DR$4&gt;=$I13))*$C13*(1+'Property Summary'!$L$18)^('MF Rents'!DR$3-1))</f>
        <v/>
      </c>
      <c r="DS13" s="149" t="str">
        <f>IF(OR($B13="",$B13=0),"",($G13*(DS$4&lt;$I13)+$H13*(DS$4&gt;=$I13))*$C13*(1+'Property Summary'!$L$18)^('MF Rents'!DS$3-1))</f>
        <v/>
      </c>
      <c r="DT13" s="149" t="str">
        <f>IF(OR($B13="",$B13=0),"",($G13*(DT$4&lt;$I13)+$H13*(DT$4&gt;=$I13))*$C13*(1+'Property Summary'!$L$18)^('MF Rents'!DT$3-1))</f>
        <v/>
      </c>
      <c r="DU13" s="149" t="str">
        <f>IF(OR($B13="",$B13=0),"",($G13*(DU$4&lt;$I13)+$H13*(DU$4&gt;=$I13))*$C13*(1+'Property Summary'!$L$18)^('MF Rents'!DU$3-1))</f>
        <v/>
      </c>
      <c r="DV13" s="149" t="str">
        <f>IF(OR($B13="",$B13=0),"",($G13*(DV$4&lt;$I13)+$H13*(DV$4&gt;=$I13))*$C13*(1+'Property Summary'!$L$18)^('MF Rents'!DV$3-1))</f>
        <v/>
      </c>
      <c r="DW13" s="149" t="str">
        <f>IF(OR($B13="",$B13=0),"",($G13*(DW$4&lt;$I13)+$H13*(DW$4&gt;=$I13))*$C13*(1+'Property Summary'!$L$18)^('MF Rents'!DW$3-1))</f>
        <v/>
      </c>
      <c r="DX13" s="149" t="str">
        <f>IF(OR($B13="",$B13=0),"",($G13*(DX$4&lt;$I13)+$H13*(DX$4&gt;=$I13))*$C13*(1+'Property Summary'!$L$18)^('MF Rents'!DX$3-1))</f>
        <v/>
      </c>
      <c r="DY13" s="149" t="str">
        <f>IF(OR($B13="",$B13=0),"",($G13*(DY$4&lt;$I13)+$H13*(DY$4&gt;=$I13))*$C13*(1+'Property Summary'!$L$18)^('MF Rents'!DY$3-1))</f>
        <v/>
      </c>
      <c r="DZ13" s="149" t="str">
        <f>IF(OR($B13="",$B13=0),"",($G13*(DZ$4&lt;$I13)+$H13*(DZ$4&gt;=$I13))*$C13*(1+'Property Summary'!$L$18)^('MF Rents'!DZ$3-1))</f>
        <v/>
      </c>
      <c r="EA13" s="149" t="str">
        <f>IF(OR($B13="",$B13=0),"",($G13*(EA$4&lt;$I13)+$H13*(EA$4&gt;=$I13))*$C13*(1+'Property Summary'!$L$18)^('MF Rents'!EA$3-1))</f>
        <v/>
      </c>
      <c r="EB13" s="149" t="str">
        <f>IF(OR($B13="",$B13=0),"",($G13*(EB$4&lt;$I13)+$H13*(EB$4&gt;=$I13))*$C13*(1+'Property Summary'!$L$18)^('MF Rents'!EB$3-1))</f>
        <v/>
      </c>
      <c r="EC13" s="149" t="str">
        <f>IF(OR($B13="",$B13=0),"",($G13*(EC$4&lt;$I13)+$H13*(EC$4&gt;=$I13))*$C13*(1+'Property Summary'!$L$18)^('MF Rents'!EC$3-1))</f>
        <v/>
      </c>
      <c r="ED13" s="149" t="str">
        <f>IF(OR($B13="",$B13=0),"",($G13*(ED$4&lt;$I13)+$H13*(ED$4&gt;=$I13))*$C13*(1+'Property Summary'!$L$18)^('MF Rents'!ED$3-1))</f>
        <v/>
      </c>
      <c r="EE13" s="149" t="str">
        <f>IF(OR($B13="",$B13=0),"",($G13*(EE$4&lt;$I13)+$H13*(EE$4&gt;=$I13))*$C13*(1+'Property Summary'!$L$18)^('MF Rents'!EE$3-1))</f>
        <v/>
      </c>
      <c r="EF13" s="149" t="str">
        <f>IF(OR($B13="",$B13=0),"",($G13*(EF$4&lt;$I13)+$H13*(EF$4&gt;=$I13))*$C13*(1+'Property Summary'!$L$18)^('MF Rents'!EF$3-1))</f>
        <v/>
      </c>
      <c r="EG13" s="149" t="str">
        <f>IF(OR($B13="",$B13=0),"",($G13*(EG$4&lt;$I13)+$H13*(EG$4&gt;=$I13))*$C13*(1+'Property Summary'!$L$18)^('MF Rents'!EG$3-1))</f>
        <v/>
      </c>
      <c r="EH13" s="149" t="str">
        <f>IF(OR($B13="",$B13=0),"",($G13*(EH$4&lt;$I13)+$H13*(EH$4&gt;=$I13))*$C13*(1+'Property Summary'!$L$18)^('MF Rents'!EH$3-1))</f>
        <v/>
      </c>
      <c r="EI13" s="149" t="str">
        <f>IF(OR($B13="",$B13=0),"",($G13*(EI$4&lt;$I13)+$H13*(EI$4&gt;=$I13))*$C13*(1+'Property Summary'!$L$18)^('MF Rents'!EI$3-1))</f>
        <v/>
      </c>
      <c r="EJ13" s="149" t="str">
        <f>IF(OR($B13="",$B13=0),"",($G13*(EJ$4&lt;$I13)+$H13*(EJ$4&gt;=$I13))*$C13*(1+'Property Summary'!$L$18)^('MF Rents'!EJ$3-1))</f>
        <v/>
      </c>
      <c r="EK13" s="149" t="str">
        <f>IF(OR($B13="",$B13=0),"",($G13*(EK$4&lt;$I13)+$H13*(EK$4&gt;=$I13))*$C13*(1+'Property Summary'!$L$18)^('MF Rents'!EK$3-1))</f>
        <v/>
      </c>
      <c r="EL13" s="149" t="str">
        <f>IF(OR($B13="",$B13=0),"",($G13*(EL$4&lt;$I13)+$H13*(EL$4&gt;=$I13))*$C13*(1+'Property Summary'!$L$18)^('MF Rents'!EL$3-1))</f>
        <v/>
      </c>
      <c r="EM13" s="149" t="str">
        <f>IF(OR($B13="",$B13=0),"",($G13*(EM$4&lt;$I13)+$H13*(EM$4&gt;=$I13))*$C13*(1+'Property Summary'!$L$18)^('MF Rents'!EM$3-1))</f>
        <v/>
      </c>
      <c r="EN13" s="149" t="str">
        <f>IF(OR($B13="",$B13=0),"",($G13*(EN$4&lt;$I13)+$H13*(EN$4&gt;=$I13))*$C13*(1+'Property Summary'!$L$18)^('MF Rents'!EN$3-1))</f>
        <v/>
      </c>
      <c r="EO13" s="149" t="str">
        <f>IF(OR($B13="",$B13=0),"",($G13*(EO$4&lt;$I13)+$H13*(EO$4&gt;=$I13))*$C13*(1+'Property Summary'!$L$18)^('MF Rents'!EO$3-1))</f>
        <v/>
      </c>
      <c r="EP13" s="149" t="str">
        <f>IF(OR($B13="",$B13=0),"",($G13*(EP$4&lt;$I13)+$H13*(EP$4&gt;=$I13))*$C13*(1+'Property Summary'!$L$18)^('MF Rents'!EP$3-1))</f>
        <v/>
      </c>
      <c r="EQ13" s="149" t="str">
        <f>IF(OR($B13="",$B13=0),"",($G13*(EQ$4&lt;$I13)+$H13*(EQ$4&gt;=$I13))*$C13*(1+'Property Summary'!$L$18)^('MF Rents'!EQ$3-1))</f>
        <v/>
      </c>
      <c r="ER13" s="149" t="str">
        <f>IF(OR($B13="",$B13=0),"",($G13*(ER$4&lt;$I13)+$H13*(ER$4&gt;=$I13))*$C13*(1+'Property Summary'!$L$18)^('MF Rents'!ER$3-1))</f>
        <v/>
      </c>
      <c r="ES13" s="149" t="str">
        <f>IF(OR($B13="",$B13=0),"",($G13*(ES$4&lt;$I13)+$H13*(ES$4&gt;=$I13))*$C13*(1+'Property Summary'!$L$18)^('MF Rents'!ES$3-1))</f>
        <v/>
      </c>
      <c r="ET13" s="149" t="str">
        <f>IF(OR($B13="",$B13=0),"",($G13*(ET$4&lt;$I13)+$H13*(ET$4&gt;=$I13))*$C13*(1+'Property Summary'!$L$18)^('MF Rents'!ET$3-1))</f>
        <v/>
      </c>
      <c r="EU13" s="149" t="str">
        <f>IF(OR($B13="",$B13=0),"",($G13*(EU$4&lt;$I13)+$H13*(EU$4&gt;=$I13))*$C13*(1+'Property Summary'!$L$18)^('MF Rents'!EU$3-1))</f>
        <v/>
      </c>
      <c r="EV13" s="149" t="str">
        <f>IF(OR($B13="",$B13=0),"",($G13*(EV$4&lt;$I13)+$H13*(EV$4&gt;=$I13))*$C13*(1+'Property Summary'!$L$18)^('MF Rents'!EV$3-1))</f>
        <v/>
      </c>
      <c r="EW13" s="149" t="str">
        <f>IF(OR($B13="",$B13=0),"",($G13*(EW$4&lt;$I13)+$H13*(EW$4&gt;=$I13))*$C13*(1+'Property Summary'!$L$18)^('MF Rents'!EW$3-1))</f>
        <v/>
      </c>
      <c r="EX13" s="149" t="str">
        <f>IF(OR($B13="",$B13=0),"",($G13*(EX$4&lt;$I13)+$H13*(EX$4&gt;=$I13))*$C13*(1+'Property Summary'!$L$18)^('MF Rents'!EX$3-1))</f>
        <v/>
      </c>
      <c r="EY13" s="149" t="str">
        <f>IF(OR($B13="",$B13=0),"",($G13*(EY$4&lt;$I13)+$H13*(EY$4&gt;=$I13))*$C13*(1+'Property Summary'!$L$18)^('MF Rents'!EY$3-1))</f>
        <v/>
      </c>
      <c r="EZ13" s="149" t="str">
        <f>IF(OR($B13="",$B13=0),"",($G13*(EZ$4&lt;$I13)+$H13*(EZ$4&gt;=$I13))*$C13*(1+'Property Summary'!$L$18)^('MF Rents'!EZ$3-1))</f>
        <v/>
      </c>
      <c r="FA13" s="149" t="str">
        <f>IF(OR($B13="",$B13=0),"",($G13*(FA$4&lt;$I13)+$H13*(FA$4&gt;=$I13))*$C13*(1+'Property Summary'!$L$18)^('MF Rents'!FA$3-1))</f>
        <v/>
      </c>
      <c r="FB13" s="149" t="str">
        <f>IF(OR($B13="",$B13=0),"",($G13*(FB$4&lt;$I13)+$H13*(FB$4&gt;=$I13))*$C13*(1+'Property Summary'!$L$18)^('MF Rents'!FB$3-1))</f>
        <v/>
      </c>
      <c r="FC13" s="149" t="str">
        <f>IF(OR($B13="",$B13=0),"",($G13*(FC$4&lt;$I13)+$H13*(FC$4&gt;=$I13))*$C13*(1+'Property Summary'!$L$18)^('MF Rents'!FC$3-1))</f>
        <v/>
      </c>
      <c r="FD13" s="149" t="str">
        <f>IF(OR($B13="",$B13=0),"",($G13*(FD$4&lt;$I13)+$H13*(FD$4&gt;=$I13))*$C13*(1+'Property Summary'!$L$18)^('MF Rents'!FD$3-1))</f>
        <v/>
      </c>
      <c r="FE13" s="149" t="str">
        <f>IF(OR($B13="",$B13=0),"",($G13*(FE$4&lt;$I13)+$H13*(FE$4&gt;=$I13))*$C13*(1+'Property Summary'!$L$18)^('MF Rents'!FE$3-1))</f>
        <v/>
      </c>
      <c r="FF13" s="149" t="str">
        <f>IF(OR($B13="",$B13=0),"",($G13*(FF$4&lt;$I13)+$H13*(FF$4&gt;=$I13))*$C13*(1+'Property Summary'!$L$18)^('MF Rents'!FF$3-1))</f>
        <v/>
      </c>
      <c r="FG13" s="149" t="str">
        <f>IF(OR($B13="",$B13=0),"",($G13*(FG$4&lt;$I13)+$H13*(FG$4&gt;=$I13))*$C13*(1+'Property Summary'!$L$18)^('MF Rents'!FG$3-1))</f>
        <v/>
      </c>
      <c r="FH13" s="149" t="str">
        <f>IF(OR($B13="",$B13=0),"",($G13*(FH$4&lt;$I13)+$H13*(FH$4&gt;=$I13))*$C13*(1+'Property Summary'!$L$18)^('MF Rents'!FH$3-1))</f>
        <v/>
      </c>
      <c r="FI13" s="149" t="str">
        <f>IF(OR($B13="",$B13=0),"",($G13*(FI$4&lt;$I13)+$H13*(FI$4&gt;=$I13))*$C13*(1+'Property Summary'!$L$18)^('MF Rents'!FI$3-1))</f>
        <v/>
      </c>
      <c r="FJ13" s="149" t="str">
        <f>IF(OR($B13="",$B13=0),"",($G13*(FJ$4&lt;$I13)+$H13*(FJ$4&gt;=$I13))*$C13*(1+'Property Summary'!$L$18)^('MF Rents'!FJ$3-1))</f>
        <v/>
      </c>
      <c r="FK13" s="149" t="str">
        <f>IF(OR($B13="",$B13=0),"",($G13*(FK$4&lt;$I13)+$H13*(FK$4&gt;=$I13))*$C13*(1+'Property Summary'!$L$18)^('MF Rents'!FK$3-1))</f>
        <v/>
      </c>
      <c r="FL13" s="149" t="str">
        <f>IF(OR($B13="",$B13=0),"",($G13*(FL$4&lt;$I13)+$H13*(FL$4&gt;=$I13))*$C13*(1+'Property Summary'!$L$18)^('MF Rents'!FL$3-1))</f>
        <v/>
      </c>
      <c r="FM13" s="149" t="str">
        <f>IF(OR($B13="",$B13=0),"",($G13*(FM$4&lt;$I13)+$H13*(FM$4&gt;=$I13))*$C13*(1+'Property Summary'!$L$18)^('MF Rents'!FM$3-1))</f>
        <v/>
      </c>
      <c r="FN13" s="149" t="str">
        <f>IF(OR($B13="",$B13=0),"",($G13*(FN$4&lt;$I13)+$H13*(FN$4&gt;=$I13))*$C13*(1+'Property Summary'!$L$18)^('MF Rents'!FN$3-1))</f>
        <v/>
      </c>
      <c r="FO13" s="149" t="str">
        <f>IF(OR($B13="",$B13=0),"",($G13*(FO$4&lt;$I13)+$H13*(FO$4&gt;=$I13))*$C13*(1+'Property Summary'!$L$18)^('MF Rents'!FO$3-1))</f>
        <v/>
      </c>
      <c r="FP13" s="149" t="str">
        <f>IF(OR($B13="",$B13=0),"",($G13*(FP$4&lt;$I13)+$H13*(FP$4&gt;=$I13))*$C13*(1+'Property Summary'!$L$18)^('MF Rents'!FP$3-1))</f>
        <v/>
      </c>
      <c r="FQ13" s="149" t="str">
        <f>IF(OR($B13="",$B13=0),"",($G13*(FQ$4&lt;$I13)+$H13*(FQ$4&gt;=$I13))*$C13*(1+'Property Summary'!$L$18)^('MF Rents'!FQ$3-1))</f>
        <v/>
      </c>
      <c r="FR13" s="149" t="str">
        <f>IF(OR($B13="",$B13=0),"",($G13*(FR$4&lt;$I13)+$H13*(FR$4&gt;=$I13))*$C13*(1+'Property Summary'!$L$18)^('MF Rents'!FR$3-1))</f>
        <v/>
      </c>
      <c r="FS13" s="149" t="str">
        <f>IF(OR($B13="",$B13=0),"",($G13*(FS$4&lt;$I13)+$H13*(FS$4&gt;=$I13))*$C13*(1+'Property Summary'!$L$18)^('MF Rents'!FS$3-1))</f>
        <v/>
      </c>
      <c r="FT13" s="149" t="str">
        <f>IF(OR($B13="",$B13=0),"",($G13*(FT$4&lt;$I13)+$H13*(FT$4&gt;=$I13))*$C13*(1+'Property Summary'!$L$18)^('MF Rents'!FT$3-1))</f>
        <v/>
      </c>
      <c r="FU13" s="149" t="str">
        <f>IF(OR($B13="",$B13=0),"",($G13*(FU$4&lt;$I13)+$H13*(FU$4&gt;=$I13))*$C13*(1+'Property Summary'!$L$18)^('MF Rents'!FU$3-1))</f>
        <v/>
      </c>
      <c r="FV13" s="149" t="str">
        <f>IF(OR($B13="",$B13=0),"",($G13*(FV$4&lt;$I13)+$H13*(FV$4&gt;=$I13))*$C13*(1+'Property Summary'!$L$18)^('MF Rents'!FV$3-1))</f>
        <v/>
      </c>
      <c r="FW13" s="149" t="str">
        <f>IF(OR($B13="",$B13=0),"",($G13*(FW$4&lt;$I13)+$H13*(FW$4&gt;=$I13))*$C13*(1+'Property Summary'!$L$18)^('MF Rents'!FW$3-1))</f>
        <v/>
      </c>
      <c r="FX13" s="149" t="str">
        <f>IF(OR($B13="",$B13=0),"",($G13*(FX$4&lt;$I13)+$H13*(FX$4&gt;=$I13))*$C13*(1+'Property Summary'!$L$18)^('MF Rents'!FX$3-1))</f>
        <v/>
      </c>
      <c r="FY13" s="149" t="str">
        <f>IF(OR($B13="",$B13=0),"",($G13*(FY$4&lt;$I13)+$H13*(FY$4&gt;=$I13))*$C13*(1+'Property Summary'!$L$18)^('MF Rents'!FY$3-1))</f>
        <v/>
      </c>
      <c r="FZ13" s="149" t="str">
        <f>IF(OR($B13="",$B13=0),"",($G13*(FZ$4&lt;$I13)+$H13*(FZ$4&gt;=$I13))*$C13*(1+'Property Summary'!$L$18)^('MF Rents'!FZ$3-1))</f>
        <v/>
      </c>
      <c r="GA13" s="149" t="str">
        <f>IF(OR($B13="",$B13=0),"",($G13*(GA$4&lt;$I13)+$H13*(GA$4&gt;=$I13))*$C13*(1+'Property Summary'!$L$18)^('MF Rents'!GA$3-1))</f>
        <v/>
      </c>
      <c r="GB13" s="149" t="str">
        <f>IF(OR($B13="",$B13=0),"",($G13*(GB$4&lt;$I13)+$H13*(GB$4&gt;=$I13))*$C13*(1+'Property Summary'!$L$18)^('MF Rents'!GB$3-1))</f>
        <v/>
      </c>
      <c r="GC13" s="149" t="str">
        <f>IF(OR($B13="",$B13=0),"",($G13*(GC$4&lt;$I13)+$H13*(GC$4&gt;=$I13))*$C13*(1+'Property Summary'!$L$18)^('MF Rents'!GC$3-1))</f>
        <v/>
      </c>
      <c r="GD13" s="149" t="str">
        <f>IF(OR($B13="",$B13=0),"",($G13*(GD$4&lt;$I13)+$H13*(GD$4&gt;=$I13))*$C13*(1+'Property Summary'!$L$18)^('MF Rents'!GD$3-1))</f>
        <v/>
      </c>
      <c r="GE13" s="149" t="str">
        <f>IF(OR($B13="",$B13=0),"",($G13*(GE$4&lt;$I13)+$H13*(GE$4&gt;=$I13))*$C13*(1+'Property Summary'!$L$18)^('MF Rents'!GE$3-1))</f>
        <v/>
      </c>
      <c r="GF13" s="149" t="str">
        <f>IF(OR($B13="",$B13=0),"",($G13*(GF$4&lt;$I13)+$H13*(GF$4&gt;=$I13))*$C13*(1+'Property Summary'!$L$18)^('MF Rents'!GF$3-1))</f>
        <v/>
      </c>
      <c r="GG13" s="149" t="str">
        <f>IF(OR($B13="",$B13=0),"",($G13*(GG$4&lt;$I13)+$H13*(GG$4&gt;=$I13))*$C13*(1+'Property Summary'!$L$18)^('MF Rents'!GG$3-1))</f>
        <v/>
      </c>
      <c r="GH13" s="149" t="str">
        <f>IF(OR($B13="",$B13=0),"",($G13*(GH$4&lt;$I13)+$H13*(GH$4&gt;=$I13))*$C13*(1+'Property Summary'!$L$18)^('MF Rents'!GH$3-1))</f>
        <v/>
      </c>
      <c r="GI13" s="149" t="str">
        <f>IF(OR($B13="",$B13=0),"",($G13*(GI$4&lt;$I13)+$H13*(GI$4&gt;=$I13))*$C13*(1+'Property Summary'!$L$18)^('MF Rents'!GI$3-1))</f>
        <v/>
      </c>
      <c r="GJ13" s="149" t="str">
        <f>IF(OR($B13="",$B13=0),"",($G13*(GJ$4&lt;$I13)+$H13*(GJ$4&gt;=$I13))*$C13*(1+'Property Summary'!$L$18)^('MF Rents'!GJ$3-1))</f>
        <v/>
      </c>
      <c r="GK13" s="149" t="str">
        <f>IF(OR($B13="",$B13=0),"",($G13*(GK$4&lt;$I13)+$H13*(GK$4&gt;=$I13))*$C13*(1+'Property Summary'!$L$18)^('MF Rents'!GK$3-1))</f>
        <v/>
      </c>
      <c r="GL13" s="149" t="str">
        <f>IF(OR($B13="",$B13=0),"",($G13*(GL$4&lt;$I13)+$H13*(GL$4&gt;=$I13))*$C13*(1+'Property Summary'!$L$18)^('MF Rents'!GL$3-1))</f>
        <v/>
      </c>
      <c r="GM13" s="149" t="str">
        <f>IF(OR($B13="",$B13=0),"",($G13*(GM$4&lt;$I13)+$H13*(GM$4&gt;=$I13))*$C13*(1+'Property Summary'!$L$18)^('MF Rents'!GM$3-1))</f>
        <v/>
      </c>
      <c r="GN13" s="149" t="str">
        <f>IF(OR($B13="",$B13=0),"",($G13*(GN$4&lt;$I13)+$H13*(GN$4&gt;=$I13))*$C13*(1+'Property Summary'!$L$18)^('MF Rents'!GN$3-1))</f>
        <v/>
      </c>
      <c r="GO13" s="149" t="str">
        <f>IF(OR($B13="",$B13=0),"",($G13*(GO$4&lt;$I13)+$H13*(GO$4&gt;=$I13))*$C13*(1+'Property Summary'!$L$18)^('MF Rents'!GO$3-1))</f>
        <v/>
      </c>
      <c r="GP13" s="149" t="str">
        <f>IF(OR($B13="",$B13=0),"",($G13*(GP$4&lt;$I13)+$H13*(GP$4&gt;=$I13))*$C13*(1+'Property Summary'!$L$18)^('MF Rents'!GP$3-1))</f>
        <v/>
      </c>
      <c r="GQ13" s="149" t="str">
        <f>IF(OR($B13="",$B13=0),"",($G13*(GQ$4&lt;$I13)+$H13*(GQ$4&gt;=$I13))*$C13*(1+'Property Summary'!$L$18)^('MF Rents'!GQ$3-1))</f>
        <v/>
      </c>
      <c r="GR13" s="149" t="str">
        <f>IF(OR($B13="",$B13=0),"",($G13*(GR$4&lt;$I13)+$H13*(GR$4&gt;=$I13))*$C13*(1+'Property Summary'!$L$18)^('MF Rents'!GR$3-1))</f>
        <v/>
      </c>
    </row>
    <row r="14" spans="2:200" x14ac:dyDescent="0.3">
      <c r="B14" s="184">
        <f>'MF Rent Roll'!B13</f>
        <v>0</v>
      </c>
      <c r="C14" s="171">
        <f>'MF Rent Roll'!C13</f>
        <v>0</v>
      </c>
      <c r="D14" s="172">
        <f>'MF Rent Roll'!D13</f>
        <v>0</v>
      </c>
      <c r="E14" s="172">
        <f>'MF Rent Roll'!E13</f>
        <v>0</v>
      </c>
      <c r="F14" s="173">
        <f>'MF Rent Roll'!F13</f>
        <v>0</v>
      </c>
      <c r="G14" s="174">
        <f>'MF Rent Roll'!G13</f>
        <v>0</v>
      </c>
      <c r="H14" s="174">
        <f>IF('MF Rent Roll'!H13="",G14,'MF Rent Roll'!H13)</f>
        <v>0</v>
      </c>
      <c r="I14" s="175">
        <f>IF('MF Rent Roll'!I13="",1,'MF Rent Roll'!I13)</f>
        <v>1</v>
      </c>
      <c r="J14" s="176">
        <f>'MF Rent Roll'!J13</f>
        <v>0</v>
      </c>
      <c r="K14" s="174">
        <f>'MF Rent Roll'!K13</f>
        <v>0</v>
      </c>
      <c r="L14" s="177">
        <f>'MF Rent Roll'!L13</f>
        <v>0</v>
      </c>
      <c r="M14" s="178">
        <f>'MF Rent Roll'!M13</f>
        <v>0</v>
      </c>
      <c r="N14" s="174">
        <f>'MF Rent Roll'!N13</f>
        <v>0</v>
      </c>
      <c r="O14" s="179">
        <f>'MF Rent Roll'!O13</f>
        <v>0</v>
      </c>
      <c r="P14" s="180" t="str">
        <f>'MF Rent Roll'!P13</f>
        <v/>
      </c>
      <c r="Q14" s="181" t="str">
        <f>'MF Rent Roll'!Q13</f>
        <v/>
      </c>
      <c r="R14" s="104" t="str">
        <f>'MF Rent Roll'!R13</f>
        <v/>
      </c>
      <c r="U14" s="149" t="str">
        <f>IF(OR($B14="",$B14=0),"",($G14*(U$4&lt;$I14)+$H14*(U$4&gt;=$I14))*$C14*(1+'Property Summary'!$L$18)^('MF Rents'!U$3-1))</f>
        <v/>
      </c>
      <c r="V14" s="149" t="str">
        <f>IF(OR($B14="",$B14=0),"",($G14*(V$4&lt;$I14)+$H14*(V$4&gt;=$I14))*$C14*(1+'Property Summary'!$L$18)^('MF Rents'!V$3-1))</f>
        <v/>
      </c>
      <c r="W14" s="149" t="str">
        <f>IF(OR($B14="",$B14=0),"",($G14*(W$4&lt;$I14)+$H14*(W$4&gt;=$I14))*$C14*(1+'Property Summary'!$L$18)^('MF Rents'!W$3-1))</f>
        <v/>
      </c>
      <c r="X14" s="149" t="str">
        <f>IF(OR($B14="",$B14=0),"",($G14*(X$4&lt;$I14)+$H14*(X$4&gt;=$I14))*$C14*(1+'Property Summary'!$L$18)^('MF Rents'!X$3-1))</f>
        <v/>
      </c>
      <c r="Y14" s="149" t="str">
        <f>IF(OR($B14="",$B14=0),"",($G14*(Y$4&lt;$I14)+$H14*(Y$4&gt;=$I14))*$C14*(1+'Property Summary'!$L$18)^('MF Rents'!Y$3-1))</f>
        <v/>
      </c>
      <c r="Z14" s="149" t="str">
        <f>IF(OR($B14="",$B14=0),"",($G14*(Z$4&lt;$I14)+$H14*(Z$4&gt;=$I14))*$C14*(1+'Property Summary'!$L$18)^('MF Rents'!Z$3-1))</f>
        <v/>
      </c>
      <c r="AA14" s="149" t="str">
        <f>IF(OR($B14="",$B14=0),"",($G14*(AA$4&lt;$I14)+$H14*(AA$4&gt;=$I14))*$C14*(1+'Property Summary'!$L$18)^('MF Rents'!AA$3-1))</f>
        <v/>
      </c>
      <c r="AB14" s="149" t="str">
        <f>IF(OR($B14="",$B14=0),"",($G14*(AB$4&lt;$I14)+$H14*(AB$4&gt;=$I14))*$C14*(1+'Property Summary'!$L$18)^('MF Rents'!AB$3-1))</f>
        <v/>
      </c>
      <c r="AC14" s="149" t="str">
        <f>IF(OR($B14="",$B14=0),"",($G14*(AC$4&lt;$I14)+$H14*(AC$4&gt;=$I14))*$C14*(1+'Property Summary'!$L$18)^('MF Rents'!AC$3-1))</f>
        <v/>
      </c>
      <c r="AD14" s="149" t="str">
        <f>IF(OR($B14="",$B14=0),"",($G14*(AD$4&lt;$I14)+$H14*(AD$4&gt;=$I14))*$C14*(1+'Property Summary'!$L$18)^('MF Rents'!AD$3-1))</f>
        <v/>
      </c>
      <c r="AE14" s="149" t="str">
        <f>IF(OR($B14="",$B14=0),"",($G14*(AE$4&lt;$I14)+$H14*(AE$4&gt;=$I14))*$C14*(1+'Property Summary'!$L$18)^('MF Rents'!AE$3-1))</f>
        <v/>
      </c>
      <c r="AF14" s="149" t="str">
        <f>IF(OR($B14="",$B14=0),"",($G14*(AF$4&lt;$I14)+$H14*(AF$4&gt;=$I14))*$C14*(1+'Property Summary'!$L$18)^('MF Rents'!AF$3-1))</f>
        <v/>
      </c>
      <c r="AG14" s="149" t="str">
        <f>IF(OR($B14="",$B14=0),"",($G14*(AG$4&lt;$I14)+$H14*(AG$4&gt;=$I14))*$C14*(1+'Property Summary'!$L$18)^('MF Rents'!AG$3-1))</f>
        <v/>
      </c>
      <c r="AH14" s="149" t="str">
        <f>IF(OR($B14="",$B14=0),"",($G14*(AH$4&lt;$I14)+$H14*(AH$4&gt;=$I14))*$C14*(1+'Property Summary'!$L$18)^('MF Rents'!AH$3-1))</f>
        <v/>
      </c>
      <c r="AI14" s="149" t="str">
        <f>IF(OR($B14="",$B14=0),"",($G14*(AI$4&lt;$I14)+$H14*(AI$4&gt;=$I14))*$C14*(1+'Property Summary'!$L$18)^('MF Rents'!AI$3-1))</f>
        <v/>
      </c>
      <c r="AJ14" s="149" t="str">
        <f>IF(OR($B14="",$B14=0),"",($G14*(AJ$4&lt;$I14)+$H14*(AJ$4&gt;=$I14))*$C14*(1+'Property Summary'!$L$18)^('MF Rents'!AJ$3-1))</f>
        <v/>
      </c>
      <c r="AK14" s="149" t="str">
        <f>IF(OR($B14="",$B14=0),"",($G14*(AK$4&lt;$I14)+$H14*(AK$4&gt;=$I14))*$C14*(1+'Property Summary'!$L$18)^('MF Rents'!AK$3-1))</f>
        <v/>
      </c>
      <c r="AL14" s="149" t="str">
        <f>IF(OR($B14="",$B14=0),"",($G14*(AL$4&lt;$I14)+$H14*(AL$4&gt;=$I14))*$C14*(1+'Property Summary'!$L$18)^('MF Rents'!AL$3-1))</f>
        <v/>
      </c>
      <c r="AM14" s="149" t="str">
        <f>IF(OR($B14="",$B14=0),"",($G14*(AM$4&lt;$I14)+$H14*(AM$4&gt;=$I14))*$C14*(1+'Property Summary'!$L$18)^('MF Rents'!AM$3-1))</f>
        <v/>
      </c>
      <c r="AN14" s="149" t="str">
        <f>IF(OR($B14="",$B14=0),"",($G14*(AN$4&lt;$I14)+$H14*(AN$4&gt;=$I14))*$C14*(1+'Property Summary'!$L$18)^('MF Rents'!AN$3-1))</f>
        <v/>
      </c>
      <c r="AO14" s="149" t="str">
        <f>IF(OR($B14="",$B14=0),"",($G14*(AO$4&lt;$I14)+$H14*(AO$4&gt;=$I14))*$C14*(1+'Property Summary'!$L$18)^('MF Rents'!AO$3-1))</f>
        <v/>
      </c>
      <c r="AP14" s="149" t="str">
        <f>IF(OR($B14="",$B14=0),"",($G14*(AP$4&lt;$I14)+$H14*(AP$4&gt;=$I14))*$C14*(1+'Property Summary'!$L$18)^('MF Rents'!AP$3-1))</f>
        <v/>
      </c>
      <c r="AQ14" s="149" t="str">
        <f>IF(OR($B14="",$B14=0),"",($G14*(AQ$4&lt;$I14)+$H14*(AQ$4&gt;=$I14))*$C14*(1+'Property Summary'!$L$18)^('MF Rents'!AQ$3-1))</f>
        <v/>
      </c>
      <c r="AR14" s="149" t="str">
        <f>IF(OR($B14="",$B14=0),"",($G14*(AR$4&lt;$I14)+$H14*(AR$4&gt;=$I14))*$C14*(1+'Property Summary'!$L$18)^('MF Rents'!AR$3-1))</f>
        <v/>
      </c>
      <c r="AS14" s="149" t="str">
        <f>IF(OR($B14="",$B14=0),"",($G14*(AS$4&lt;$I14)+$H14*(AS$4&gt;=$I14))*$C14*(1+'Property Summary'!$L$18)^('MF Rents'!AS$3-1))</f>
        <v/>
      </c>
      <c r="AT14" s="149" t="str">
        <f>IF(OR($B14="",$B14=0),"",($G14*(AT$4&lt;$I14)+$H14*(AT$4&gt;=$I14))*$C14*(1+'Property Summary'!$L$18)^('MF Rents'!AT$3-1))</f>
        <v/>
      </c>
      <c r="AU14" s="149" t="str">
        <f>IF(OR($B14="",$B14=0),"",($G14*(AU$4&lt;$I14)+$H14*(AU$4&gt;=$I14))*$C14*(1+'Property Summary'!$L$18)^('MF Rents'!AU$3-1))</f>
        <v/>
      </c>
      <c r="AV14" s="149" t="str">
        <f>IF(OR($B14="",$B14=0),"",($G14*(AV$4&lt;$I14)+$H14*(AV$4&gt;=$I14))*$C14*(1+'Property Summary'!$L$18)^('MF Rents'!AV$3-1))</f>
        <v/>
      </c>
      <c r="AW14" s="149" t="str">
        <f>IF(OR($B14="",$B14=0),"",($G14*(AW$4&lt;$I14)+$H14*(AW$4&gt;=$I14))*$C14*(1+'Property Summary'!$L$18)^('MF Rents'!AW$3-1))</f>
        <v/>
      </c>
      <c r="AX14" s="149" t="str">
        <f>IF(OR($B14="",$B14=0),"",($G14*(AX$4&lt;$I14)+$H14*(AX$4&gt;=$I14))*$C14*(1+'Property Summary'!$L$18)^('MF Rents'!AX$3-1))</f>
        <v/>
      </c>
      <c r="AY14" s="149" t="str">
        <f>IF(OR($B14="",$B14=0),"",($G14*(AY$4&lt;$I14)+$H14*(AY$4&gt;=$I14))*$C14*(1+'Property Summary'!$L$18)^('MF Rents'!AY$3-1))</f>
        <v/>
      </c>
      <c r="AZ14" s="149" t="str">
        <f>IF(OR($B14="",$B14=0),"",($G14*(AZ$4&lt;$I14)+$H14*(AZ$4&gt;=$I14))*$C14*(1+'Property Summary'!$L$18)^('MF Rents'!AZ$3-1))</f>
        <v/>
      </c>
      <c r="BA14" s="149" t="str">
        <f>IF(OR($B14="",$B14=0),"",($G14*(BA$4&lt;$I14)+$H14*(BA$4&gt;=$I14))*$C14*(1+'Property Summary'!$L$18)^('MF Rents'!BA$3-1))</f>
        <v/>
      </c>
      <c r="BB14" s="149" t="str">
        <f>IF(OR($B14="",$B14=0),"",($G14*(BB$4&lt;$I14)+$H14*(BB$4&gt;=$I14))*$C14*(1+'Property Summary'!$L$18)^('MF Rents'!BB$3-1))</f>
        <v/>
      </c>
      <c r="BC14" s="149" t="str">
        <f>IF(OR($B14="",$B14=0),"",($G14*(BC$4&lt;$I14)+$H14*(BC$4&gt;=$I14))*$C14*(1+'Property Summary'!$L$18)^('MF Rents'!BC$3-1))</f>
        <v/>
      </c>
      <c r="BD14" s="149" t="str">
        <f>IF(OR($B14="",$B14=0),"",($G14*(BD$4&lt;$I14)+$H14*(BD$4&gt;=$I14))*$C14*(1+'Property Summary'!$L$18)^('MF Rents'!BD$3-1))</f>
        <v/>
      </c>
      <c r="BE14" s="149" t="str">
        <f>IF(OR($B14="",$B14=0),"",($G14*(BE$4&lt;$I14)+$H14*(BE$4&gt;=$I14))*$C14*(1+'Property Summary'!$L$18)^('MF Rents'!BE$3-1))</f>
        <v/>
      </c>
      <c r="BF14" s="149" t="str">
        <f>IF(OR($B14="",$B14=0),"",($G14*(BF$4&lt;$I14)+$H14*(BF$4&gt;=$I14))*$C14*(1+'Property Summary'!$L$18)^('MF Rents'!BF$3-1))</f>
        <v/>
      </c>
      <c r="BG14" s="149" t="str">
        <f>IF(OR($B14="",$B14=0),"",($G14*(BG$4&lt;$I14)+$H14*(BG$4&gt;=$I14))*$C14*(1+'Property Summary'!$L$18)^('MF Rents'!BG$3-1))</f>
        <v/>
      </c>
      <c r="BH14" s="149" t="str">
        <f>IF(OR($B14="",$B14=0),"",($G14*(BH$4&lt;$I14)+$H14*(BH$4&gt;=$I14))*$C14*(1+'Property Summary'!$L$18)^('MF Rents'!BH$3-1))</f>
        <v/>
      </c>
      <c r="BI14" s="149" t="str">
        <f>IF(OR($B14="",$B14=0),"",($G14*(BI$4&lt;$I14)+$H14*(BI$4&gt;=$I14))*$C14*(1+'Property Summary'!$L$18)^('MF Rents'!BI$3-1))</f>
        <v/>
      </c>
      <c r="BJ14" s="149" t="str">
        <f>IF(OR($B14="",$B14=0),"",($G14*(BJ$4&lt;$I14)+$H14*(BJ$4&gt;=$I14))*$C14*(1+'Property Summary'!$L$18)^('MF Rents'!BJ$3-1))</f>
        <v/>
      </c>
      <c r="BK14" s="149" t="str">
        <f>IF(OR($B14="",$B14=0),"",($G14*(BK$4&lt;$I14)+$H14*(BK$4&gt;=$I14))*$C14*(1+'Property Summary'!$L$18)^('MF Rents'!BK$3-1))</f>
        <v/>
      </c>
      <c r="BL14" s="149" t="str">
        <f>IF(OR($B14="",$B14=0),"",($G14*(BL$4&lt;$I14)+$H14*(BL$4&gt;=$I14))*$C14*(1+'Property Summary'!$L$18)^('MF Rents'!BL$3-1))</f>
        <v/>
      </c>
      <c r="BM14" s="149" t="str">
        <f>IF(OR($B14="",$B14=0),"",($G14*(BM$4&lt;$I14)+$H14*(BM$4&gt;=$I14))*$C14*(1+'Property Summary'!$L$18)^('MF Rents'!BM$3-1))</f>
        <v/>
      </c>
      <c r="BN14" s="149" t="str">
        <f>IF(OR($B14="",$B14=0),"",($G14*(BN$4&lt;$I14)+$H14*(BN$4&gt;=$I14))*$C14*(1+'Property Summary'!$L$18)^('MF Rents'!BN$3-1))</f>
        <v/>
      </c>
      <c r="BO14" s="149" t="str">
        <f>IF(OR($B14="",$B14=0),"",($G14*(BO$4&lt;$I14)+$H14*(BO$4&gt;=$I14))*$C14*(1+'Property Summary'!$L$18)^('MF Rents'!BO$3-1))</f>
        <v/>
      </c>
      <c r="BP14" s="149" t="str">
        <f>IF(OR($B14="",$B14=0),"",($G14*(BP$4&lt;$I14)+$H14*(BP$4&gt;=$I14))*$C14*(1+'Property Summary'!$L$18)^('MF Rents'!BP$3-1))</f>
        <v/>
      </c>
      <c r="BQ14" s="149" t="str">
        <f>IF(OR($B14="",$B14=0),"",($G14*(BQ$4&lt;$I14)+$H14*(BQ$4&gt;=$I14))*$C14*(1+'Property Summary'!$L$18)^('MF Rents'!BQ$3-1))</f>
        <v/>
      </c>
      <c r="BR14" s="149" t="str">
        <f>IF(OR($B14="",$B14=0),"",($G14*(BR$4&lt;$I14)+$H14*(BR$4&gt;=$I14))*$C14*(1+'Property Summary'!$L$18)^('MF Rents'!BR$3-1))</f>
        <v/>
      </c>
      <c r="BS14" s="149" t="str">
        <f>IF(OR($B14="",$B14=0),"",($G14*(BS$4&lt;$I14)+$H14*(BS$4&gt;=$I14))*$C14*(1+'Property Summary'!$L$18)^('MF Rents'!BS$3-1))</f>
        <v/>
      </c>
      <c r="BT14" s="149" t="str">
        <f>IF(OR($B14="",$B14=0),"",($G14*(BT$4&lt;$I14)+$H14*(BT$4&gt;=$I14))*$C14*(1+'Property Summary'!$L$18)^('MF Rents'!BT$3-1))</f>
        <v/>
      </c>
      <c r="BU14" s="149" t="str">
        <f>IF(OR($B14="",$B14=0),"",($G14*(BU$4&lt;$I14)+$H14*(BU$4&gt;=$I14))*$C14*(1+'Property Summary'!$L$18)^('MF Rents'!BU$3-1))</f>
        <v/>
      </c>
      <c r="BV14" s="149" t="str">
        <f>IF(OR($B14="",$B14=0),"",($G14*(BV$4&lt;$I14)+$H14*(BV$4&gt;=$I14))*$C14*(1+'Property Summary'!$L$18)^('MF Rents'!BV$3-1))</f>
        <v/>
      </c>
      <c r="BW14" s="149" t="str">
        <f>IF(OR($B14="",$B14=0),"",($G14*(BW$4&lt;$I14)+$H14*(BW$4&gt;=$I14))*$C14*(1+'Property Summary'!$L$18)^('MF Rents'!BW$3-1))</f>
        <v/>
      </c>
      <c r="BX14" s="149" t="str">
        <f>IF(OR($B14="",$B14=0),"",($G14*(BX$4&lt;$I14)+$H14*(BX$4&gt;=$I14))*$C14*(1+'Property Summary'!$L$18)^('MF Rents'!BX$3-1))</f>
        <v/>
      </c>
      <c r="BY14" s="149" t="str">
        <f>IF(OR($B14="",$B14=0),"",($G14*(BY$4&lt;$I14)+$H14*(BY$4&gt;=$I14))*$C14*(1+'Property Summary'!$L$18)^('MF Rents'!BY$3-1))</f>
        <v/>
      </c>
      <c r="BZ14" s="149" t="str">
        <f>IF(OR($B14="",$B14=0),"",($G14*(BZ$4&lt;$I14)+$H14*(BZ$4&gt;=$I14))*$C14*(1+'Property Summary'!$L$18)^('MF Rents'!BZ$3-1))</f>
        <v/>
      </c>
      <c r="CA14" s="149" t="str">
        <f>IF(OR($B14="",$B14=0),"",($G14*(CA$4&lt;$I14)+$H14*(CA$4&gt;=$I14))*$C14*(1+'Property Summary'!$L$18)^('MF Rents'!CA$3-1))</f>
        <v/>
      </c>
      <c r="CB14" s="149" t="str">
        <f>IF(OR($B14="",$B14=0),"",($G14*(CB$4&lt;$I14)+$H14*(CB$4&gt;=$I14))*$C14*(1+'Property Summary'!$L$18)^('MF Rents'!CB$3-1))</f>
        <v/>
      </c>
      <c r="CC14" s="149" t="str">
        <f>IF(OR($B14="",$B14=0),"",($G14*(CC$4&lt;$I14)+$H14*(CC$4&gt;=$I14))*$C14*(1+'Property Summary'!$L$18)^('MF Rents'!CC$3-1))</f>
        <v/>
      </c>
      <c r="CD14" s="149" t="str">
        <f>IF(OR($B14="",$B14=0),"",($G14*(CD$4&lt;$I14)+$H14*(CD$4&gt;=$I14))*$C14*(1+'Property Summary'!$L$18)^('MF Rents'!CD$3-1))</f>
        <v/>
      </c>
      <c r="CE14" s="149" t="str">
        <f>IF(OR($B14="",$B14=0),"",($G14*(CE$4&lt;$I14)+$H14*(CE$4&gt;=$I14))*$C14*(1+'Property Summary'!$L$18)^('MF Rents'!CE$3-1))</f>
        <v/>
      </c>
      <c r="CF14" s="149" t="str">
        <f>IF(OR($B14="",$B14=0),"",($G14*(CF$4&lt;$I14)+$H14*(CF$4&gt;=$I14))*$C14*(1+'Property Summary'!$L$18)^('MF Rents'!CF$3-1))</f>
        <v/>
      </c>
      <c r="CG14" s="149" t="str">
        <f>IF(OR($B14="",$B14=0),"",($G14*(CG$4&lt;$I14)+$H14*(CG$4&gt;=$I14))*$C14*(1+'Property Summary'!$L$18)^('MF Rents'!CG$3-1))</f>
        <v/>
      </c>
      <c r="CH14" s="149" t="str">
        <f>IF(OR($B14="",$B14=0),"",($G14*(CH$4&lt;$I14)+$H14*(CH$4&gt;=$I14))*$C14*(1+'Property Summary'!$L$18)^('MF Rents'!CH$3-1))</f>
        <v/>
      </c>
      <c r="CI14" s="149" t="str">
        <f>IF(OR($B14="",$B14=0),"",($G14*(CI$4&lt;$I14)+$H14*(CI$4&gt;=$I14))*$C14*(1+'Property Summary'!$L$18)^('MF Rents'!CI$3-1))</f>
        <v/>
      </c>
      <c r="CJ14" s="149" t="str">
        <f>IF(OR($B14="",$B14=0),"",($G14*(CJ$4&lt;$I14)+$H14*(CJ$4&gt;=$I14))*$C14*(1+'Property Summary'!$L$18)^('MF Rents'!CJ$3-1))</f>
        <v/>
      </c>
      <c r="CK14" s="149" t="str">
        <f>IF(OR($B14="",$B14=0),"",($G14*(CK$4&lt;$I14)+$H14*(CK$4&gt;=$I14))*$C14*(1+'Property Summary'!$L$18)^('MF Rents'!CK$3-1))</f>
        <v/>
      </c>
      <c r="CL14" s="149" t="str">
        <f>IF(OR($B14="",$B14=0),"",($G14*(CL$4&lt;$I14)+$H14*(CL$4&gt;=$I14))*$C14*(1+'Property Summary'!$L$18)^('MF Rents'!CL$3-1))</f>
        <v/>
      </c>
      <c r="CM14" s="149" t="str">
        <f>IF(OR($B14="",$B14=0),"",($G14*(CM$4&lt;$I14)+$H14*(CM$4&gt;=$I14))*$C14*(1+'Property Summary'!$L$18)^('MF Rents'!CM$3-1))</f>
        <v/>
      </c>
      <c r="CN14" s="149" t="str">
        <f>IF(OR($B14="",$B14=0),"",($G14*(CN$4&lt;$I14)+$H14*(CN$4&gt;=$I14))*$C14*(1+'Property Summary'!$L$18)^('MF Rents'!CN$3-1))</f>
        <v/>
      </c>
      <c r="CO14" s="149" t="str">
        <f>IF(OR($B14="",$B14=0),"",($G14*(CO$4&lt;$I14)+$H14*(CO$4&gt;=$I14))*$C14*(1+'Property Summary'!$L$18)^('MF Rents'!CO$3-1))</f>
        <v/>
      </c>
      <c r="CP14" s="149" t="str">
        <f>IF(OR($B14="",$B14=0),"",($G14*(CP$4&lt;$I14)+$H14*(CP$4&gt;=$I14))*$C14*(1+'Property Summary'!$L$18)^('MF Rents'!CP$3-1))</f>
        <v/>
      </c>
      <c r="CQ14" s="149" t="str">
        <f>IF(OR($B14="",$B14=0),"",($G14*(CQ$4&lt;$I14)+$H14*(CQ$4&gt;=$I14))*$C14*(1+'Property Summary'!$L$18)^('MF Rents'!CQ$3-1))</f>
        <v/>
      </c>
      <c r="CR14" s="149" t="str">
        <f>IF(OR($B14="",$B14=0),"",($G14*(CR$4&lt;$I14)+$H14*(CR$4&gt;=$I14))*$C14*(1+'Property Summary'!$L$18)^('MF Rents'!CR$3-1))</f>
        <v/>
      </c>
      <c r="CS14" s="149" t="str">
        <f>IF(OR($B14="",$B14=0),"",($G14*(CS$4&lt;$I14)+$H14*(CS$4&gt;=$I14))*$C14*(1+'Property Summary'!$L$18)^('MF Rents'!CS$3-1))</f>
        <v/>
      </c>
      <c r="CT14" s="149" t="str">
        <f>IF(OR($B14="",$B14=0),"",($G14*(CT$4&lt;$I14)+$H14*(CT$4&gt;=$I14))*$C14*(1+'Property Summary'!$L$18)^('MF Rents'!CT$3-1))</f>
        <v/>
      </c>
      <c r="CU14" s="149" t="str">
        <f>IF(OR($B14="",$B14=0),"",($G14*(CU$4&lt;$I14)+$H14*(CU$4&gt;=$I14))*$C14*(1+'Property Summary'!$L$18)^('MF Rents'!CU$3-1))</f>
        <v/>
      </c>
      <c r="CV14" s="149" t="str">
        <f>IF(OR($B14="",$B14=0),"",($G14*(CV$4&lt;$I14)+$H14*(CV$4&gt;=$I14))*$C14*(1+'Property Summary'!$L$18)^('MF Rents'!CV$3-1))</f>
        <v/>
      </c>
      <c r="CW14" s="149" t="str">
        <f>IF(OR($B14="",$B14=0),"",($G14*(CW$4&lt;$I14)+$H14*(CW$4&gt;=$I14))*$C14*(1+'Property Summary'!$L$18)^('MF Rents'!CW$3-1))</f>
        <v/>
      </c>
      <c r="CX14" s="149" t="str">
        <f>IF(OR($B14="",$B14=0),"",($G14*(CX$4&lt;$I14)+$H14*(CX$4&gt;=$I14))*$C14*(1+'Property Summary'!$L$18)^('MF Rents'!CX$3-1))</f>
        <v/>
      </c>
      <c r="CY14" s="149" t="str">
        <f>IF(OR($B14="",$B14=0),"",($G14*(CY$4&lt;$I14)+$H14*(CY$4&gt;=$I14))*$C14*(1+'Property Summary'!$L$18)^('MF Rents'!CY$3-1))</f>
        <v/>
      </c>
      <c r="CZ14" s="149" t="str">
        <f>IF(OR($B14="",$B14=0),"",($G14*(CZ$4&lt;$I14)+$H14*(CZ$4&gt;=$I14))*$C14*(1+'Property Summary'!$L$18)^('MF Rents'!CZ$3-1))</f>
        <v/>
      </c>
      <c r="DA14" s="149" t="str">
        <f>IF(OR($B14="",$B14=0),"",($G14*(DA$4&lt;$I14)+$H14*(DA$4&gt;=$I14))*$C14*(1+'Property Summary'!$L$18)^('MF Rents'!DA$3-1))</f>
        <v/>
      </c>
      <c r="DB14" s="149" t="str">
        <f>IF(OR($B14="",$B14=0),"",($G14*(DB$4&lt;$I14)+$H14*(DB$4&gt;=$I14))*$C14*(1+'Property Summary'!$L$18)^('MF Rents'!DB$3-1))</f>
        <v/>
      </c>
      <c r="DC14" s="149" t="str">
        <f>IF(OR($B14="",$B14=0),"",($G14*(DC$4&lt;$I14)+$H14*(DC$4&gt;=$I14))*$C14*(1+'Property Summary'!$L$18)^('MF Rents'!DC$3-1))</f>
        <v/>
      </c>
      <c r="DD14" s="149" t="str">
        <f>IF(OR($B14="",$B14=0),"",($G14*(DD$4&lt;$I14)+$H14*(DD$4&gt;=$I14))*$C14*(1+'Property Summary'!$L$18)^('MF Rents'!DD$3-1))</f>
        <v/>
      </c>
      <c r="DE14" s="149" t="str">
        <f>IF(OR($B14="",$B14=0),"",($G14*(DE$4&lt;$I14)+$H14*(DE$4&gt;=$I14))*$C14*(1+'Property Summary'!$L$18)^('MF Rents'!DE$3-1))</f>
        <v/>
      </c>
      <c r="DF14" s="149" t="str">
        <f>IF(OR($B14="",$B14=0),"",($G14*(DF$4&lt;$I14)+$H14*(DF$4&gt;=$I14))*$C14*(1+'Property Summary'!$L$18)^('MF Rents'!DF$3-1))</f>
        <v/>
      </c>
      <c r="DG14" s="149" t="str">
        <f>IF(OR($B14="",$B14=0),"",($G14*(DG$4&lt;$I14)+$H14*(DG$4&gt;=$I14))*$C14*(1+'Property Summary'!$L$18)^('MF Rents'!DG$3-1))</f>
        <v/>
      </c>
      <c r="DH14" s="149" t="str">
        <f>IF(OR($B14="",$B14=0),"",($G14*(DH$4&lt;$I14)+$H14*(DH$4&gt;=$I14))*$C14*(1+'Property Summary'!$L$18)^('MF Rents'!DH$3-1))</f>
        <v/>
      </c>
      <c r="DI14" s="149" t="str">
        <f>IF(OR($B14="",$B14=0),"",($G14*(DI$4&lt;$I14)+$H14*(DI$4&gt;=$I14))*$C14*(1+'Property Summary'!$L$18)^('MF Rents'!DI$3-1))</f>
        <v/>
      </c>
      <c r="DJ14" s="149" t="str">
        <f>IF(OR($B14="",$B14=0),"",($G14*(DJ$4&lt;$I14)+$H14*(DJ$4&gt;=$I14))*$C14*(1+'Property Summary'!$L$18)^('MF Rents'!DJ$3-1))</f>
        <v/>
      </c>
      <c r="DK14" s="149" t="str">
        <f>IF(OR($B14="",$B14=0),"",($G14*(DK$4&lt;$I14)+$H14*(DK$4&gt;=$I14))*$C14*(1+'Property Summary'!$L$18)^('MF Rents'!DK$3-1))</f>
        <v/>
      </c>
      <c r="DL14" s="149" t="str">
        <f>IF(OR($B14="",$B14=0),"",($G14*(DL$4&lt;$I14)+$H14*(DL$4&gt;=$I14))*$C14*(1+'Property Summary'!$L$18)^('MF Rents'!DL$3-1))</f>
        <v/>
      </c>
      <c r="DM14" s="149" t="str">
        <f>IF(OR($B14="",$B14=0),"",($G14*(DM$4&lt;$I14)+$H14*(DM$4&gt;=$I14))*$C14*(1+'Property Summary'!$L$18)^('MF Rents'!DM$3-1))</f>
        <v/>
      </c>
      <c r="DN14" s="149" t="str">
        <f>IF(OR($B14="",$B14=0),"",($G14*(DN$4&lt;$I14)+$H14*(DN$4&gt;=$I14))*$C14*(1+'Property Summary'!$L$18)^('MF Rents'!DN$3-1))</f>
        <v/>
      </c>
      <c r="DO14" s="149" t="str">
        <f>IF(OR($B14="",$B14=0),"",($G14*(DO$4&lt;$I14)+$H14*(DO$4&gt;=$I14))*$C14*(1+'Property Summary'!$L$18)^('MF Rents'!DO$3-1))</f>
        <v/>
      </c>
      <c r="DP14" s="149" t="str">
        <f>IF(OR($B14="",$B14=0),"",($G14*(DP$4&lt;$I14)+$H14*(DP$4&gt;=$I14))*$C14*(1+'Property Summary'!$L$18)^('MF Rents'!DP$3-1))</f>
        <v/>
      </c>
      <c r="DQ14" s="149" t="str">
        <f>IF(OR($B14="",$B14=0),"",($G14*(DQ$4&lt;$I14)+$H14*(DQ$4&gt;=$I14))*$C14*(1+'Property Summary'!$L$18)^('MF Rents'!DQ$3-1))</f>
        <v/>
      </c>
      <c r="DR14" s="149" t="str">
        <f>IF(OR($B14="",$B14=0),"",($G14*(DR$4&lt;$I14)+$H14*(DR$4&gt;=$I14))*$C14*(1+'Property Summary'!$L$18)^('MF Rents'!DR$3-1))</f>
        <v/>
      </c>
      <c r="DS14" s="149" t="str">
        <f>IF(OR($B14="",$B14=0),"",($G14*(DS$4&lt;$I14)+$H14*(DS$4&gt;=$I14))*$C14*(1+'Property Summary'!$L$18)^('MF Rents'!DS$3-1))</f>
        <v/>
      </c>
      <c r="DT14" s="149" t="str">
        <f>IF(OR($B14="",$B14=0),"",($G14*(DT$4&lt;$I14)+$H14*(DT$4&gt;=$I14))*$C14*(1+'Property Summary'!$L$18)^('MF Rents'!DT$3-1))</f>
        <v/>
      </c>
      <c r="DU14" s="149" t="str">
        <f>IF(OR($B14="",$B14=0),"",($G14*(DU$4&lt;$I14)+$H14*(DU$4&gt;=$I14))*$C14*(1+'Property Summary'!$L$18)^('MF Rents'!DU$3-1))</f>
        <v/>
      </c>
      <c r="DV14" s="149" t="str">
        <f>IF(OR($B14="",$B14=0),"",($G14*(DV$4&lt;$I14)+$H14*(DV$4&gt;=$I14))*$C14*(1+'Property Summary'!$L$18)^('MF Rents'!DV$3-1))</f>
        <v/>
      </c>
      <c r="DW14" s="149" t="str">
        <f>IF(OR($B14="",$B14=0),"",($G14*(DW$4&lt;$I14)+$H14*(DW$4&gt;=$I14))*$C14*(1+'Property Summary'!$L$18)^('MF Rents'!DW$3-1))</f>
        <v/>
      </c>
      <c r="DX14" s="149" t="str">
        <f>IF(OR($B14="",$B14=0),"",($G14*(DX$4&lt;$I14)+$H14*(DX$4&gt;=$I14))*$C14*(1+'Property Summary'!$L$18)^('MF Rents'!DX$3-1))</f>
        <v/>
      </c>
      <c r="DY14" s="149" t="str">
        <f>IF(OR($B14="",$B14=0),"",($G14*(DY$4&lt;$I14)+$H14*(DY$4&gt;=$I14))*$C14*(1+'Property Summary'!$L$18)^('MF Rents'!DY$3-1))</f>
        <v/>
      </c>
      <c r="DZ14" s="149" t="str">
        <f>IF(OR($B14="",$B14=0),"",($G14*(DZ$4&lt;$I14)+$H14*(DZ$4&gt;=$I14))*$C14*(1+'Property Summary'!$L$18)^('MF Rents'!DZ$3-1))</f>
        <v/>
      </c>
      <c r="EA14" s="149" t="str">
        <f>IF(OR($B14="",$B14=0),"",($G14*(EA$4&lt;$I14)+$H14*(EA$4&gt;=$I14))*$C14*(1+'Property Summary'!$L$18)^('MF Rents'!EA$3-1))</f>
        <v/>
      </c>
      <c r="EB14" s="149" t="str">
        <f>IF(OR($B14="",$B14=0),"",($G14*(EB$4&lt;$I14)+$H14*(EB$4&gt;=$I14))*$C14*(1+'Property Summary'!$L$18)^('MF Rents'!EB$3-1))</f>
        <v/>
      </c>
      <c r="EC14" s="149" t="str">
        <f>IF(OR($B14="",$B14=0),"",($G14*(EC$4&lt;$I14)+$H14*(EC$4&gt;=$I14))*$C14*(1+'Property Summary'!$L$18)^('MF Rents'!EC$3-1))</f>
        <v/>
      </c>
      <c r="ED14" s="149" t="str">
        <f>IF(OR($B14="",$B14=0),"",($G14*(ED$4&lt;$I14)+$H14*(ED$4&gt;=$I14))*$C14*(1+'Property Summary'!$L$18)^('MF Rents'!ED$3-1))</f>
        <v/>
      </c>
      <c r="EE14" s="149" t="str">
        <f>IF(OR($B14="",$B14=0),"",($G14*(EE$4&lt;$I14)+$H14*(EE$4&gt;=$I14))*$C14*(1+'Property Summary'!$L$18)^('MF Rents'!EE$3-1))</f>
        <v/>
      </c>
      <c r="EF14" s="149" t="str">
        <f>IF(OR($B14="",$B14=0),"",($G14*(EF$4&lt;$I14)+$H14*(EF$4&gt;=$I14))*$C14*(1+'Property Summary'!$L$18)^('MF Rents'!EF$3-1))</f>
        <v/>
      </c>
      <c r="EG14" s="149" t="str">
        <f>IF(OR($B14="",$B14=0),"",($G14*(EG$4&lt;$I14)+$H14*(EG$4&gt;=$I14))*$C14*(1+'Property Summary'!$L$18)^('MF Rents'!EG$3-1))</f>
        <v/>
      </c>
      <c r="EH14" s="149" t="str">
        <f>IF(OR($B14="",$B14=0),"",($G14*(EH$4&lt;$I14)+$H14*(EH$4&gt;=$I14))*$C14*(1+'Property Summary'!$L$18)^('MF Rents'!EH$3-1))</f>
        <v/>
      </c>
      <c r="EI14" s="149" t="str">
        <f>IF(OR($B14="",$B14=0),"",($G14*(EI$4&lt;$I14)+$H14*(EI$4&gt;=$I14))*$C14*(1+'Property Summary'!$L$18)^('MF Rents'!EI$3-1))</f>
        <v/>
      </c>
      <c r="EJ14" s="149" t="str">
        <f>IF(OR($B14="",$B14=0),"",($G14*(EJ$4&lt;$I14)+$H14*(EJ$4&gt;=$I14))*$C14*(1+'Property Summary'!$L$18)^('MF Rents'!EJ$3-1))</f>
        <v/>
      </c>
      <c r="EK14" s="149" t="str">
        <f>IF(OR($B14="",$B14=0),"",($G14*(EK$4&lt;$I14)+$H14*(EK$4&gt;=$I14))*$C14*(1+'Property Summary'!$L$18)^('MF Rents'!EK$3-1))</f>
        <v/>
      </c>
      <c r="EL14" s="149" t="str">
        <f>IF(OR($B14="",$B14=0),"",($G14*(EL$4&lt;$I14)+$H14*(EL$4&gt;=$I14))*$C14*(1+'Property Summary'!$L$18)^('MF Rents'!EL$3-1))</f>
        <v/>
      </c>
      <c r="EM14" s="149" t="str">
        <f>IF(OR($B14="",$B14=0),"",($G14*(EM$4&lt;$I14)+$H14*(EM$4&gt;=$I14))*$C14*(1+'Property Summary'!$L$18)^('MF Rents'!EM$3-1))</f>
        <v/>
      </c>
      <c r="EN14" s="149" t="str">
        <f>IF(OR($B14="",$B14=0),"",($G14*(EN$4&lt;$I14)+$H14*(EN$4&gt;=$I14))*$C14*(1+'Property Summary'!$L$18)^('MF Rents'!EN$3-1))</f>
        <v/>
      </c>
      <c r="EO14" s="149" t="str">
        <f>IF(OR($B14="",$B14=0),"",($G14*(EO$4&lt;$I14)+$H14*(EO$4&gt;=$I14))*$C14*(1+'Property Summary'!$L$18)^('MF Rents'!EO$3-1))</f>
        <v/>
      </c>
      <c r="EP14" s="149" t="str">
        <f>IF(OR($B14="",$B14=0),"",($G14*(EP$4&lt;$I14)+$H14*(EP$4&gt;=$I14))*$C14*(1+'Property Summary'!$L$18)^('MF Rents'!EP$3-1))</f>
        <v/>
      </c>
      <c r="EQ14" s="149" t="str">
        <f>IF(OR($B14="",$B14=0),"",($G14*(EQ$4&lt;$I14)+$H14*(EQ$4&gt;=$I14))*$C14*(1+'Property Summary'!$L$18)^('MF Rents'!EQ$3-1))</f>
        <v/>
      </c>
      <c r="ER14" s="149" t="str">
        <f>IF(OR($B14="",$B14=0),"",($G14*(ER$4&lt;$I14)+$H14*(ER$4&gt;=$I14))*$C14*(1+'Property Summary'!$L$18)^('MF Rents'!ER$3-1))</f>
        <v/>
      </c>
      <c r="ES14" s="149" t="str">
        <f>IF(OR($B14="",$B14=0),"",($G14*(ES$4&lt;$I14)+$H14*(ES$4&gt;=$I14))*$C14*(1+'Property Summary'!$L$18)^('MF Rents'!ES$3-1))</f>
        <v/>
      </c>
      <c r="ET14" s="149" t="str">
        <f>IF(OR($B14="",$B14=0),"",($G14*(ET$4&lt;$I14)+$H14*(ET$4&gt;=$I14))*$C14*(1+'Property Summary'!$L$18)^('MF Rents'!ET$3-1))</f>
        <v/>
      </c>
      <c r="EU14" s="149" t="str">
        <f>IF(OR($B14="",$B14=0),"",($G14*(EU$4&lt;$I14)+$H14*(EU$4&gt;=$I14))*$C14*(1+'Property Summary'!$L$18)^('MF Rents'!EU$3-1))</f>
        <v/>
      </c>
      <c r="EV14" s="149" t="str">
        <f>IF(OR($B14="",$B14=0),"",($G14*(EV$4&lt;$I14)+$H14*(EV$4&gt;=$I14))*$C14*(1+'Property Summary'!$L$18)^('MF Rents'!EV$3-1))</f>
        <v/>
      </c>
      <c r="EW14" s="149" t="str">
        <f>IF(OR($B14="",$B14=0),"",($G14*(EW$4&lt;$I14)+$H14*(EW$4&gt;=$I14))*$C14*(1+'Property Summary'!$L$18)^('MF Rents'!EW$3-1))</f>
        <v/>
      </c>
      <c r="EX14" s="149" t="str">
        <f>IF(OR($B14="",$B14=0),"",($G14*(EX$4&lt;$I14)+$H14*(EX$4&gt;=$I14))*$C14*(1+'Property Summary'!$L$18)^('MF Rents'!EX$3-1))</f>
        <v/>
      </c>
      <c r="EY14" s="149" t="str">
        <f>IF(OR($B14="",$B14=0),"",($G14*(EY$4&lt;$I14)+$H14*(EY$4&gt;=$I14))*$C14*(1+'Property Summary'!$L$18)^('MF Rents'!EY$3-1))</f>
        <v/>
      </c>
      <c r="EZ14" s="149" t="str">
        <f>IF(OR($B14="",$B14=0),"",($G14*(EZ$4&lt;$I14)+$H14*(EZ$4&gt;=$I14))*$C14*(1+'Property Summary'!$L$18)^('MF Rents'!EZ$3-1))</f>
        <v/>
      </c>
      <c r="FA14" s="149" t="str">
        <f>IF(OR($B14="",$B14=0),"",($G14*(FA$4&lt;$I14)+$H14*(FA$4&gt;=$I14))*$C14*(1+'Property Summary'!$L$18)^('MF Rents'!FA$3-1))</f>
        <v/>
      </c>
      <c r="FB14" s="149" t="str">
        <f>IF(OR($B14="",$B14=0),"",($G14*(FB$4&lt;$I14)+$H14*(FB$4&gt;=$I14))*$C14*(1+'Property Summary'!$L$18)^('MF Rents'!FB$3-1))</f>
        <v/>
      </c>
      <c r="FC14" s="149" t="str">
        <f>IF(OR($B14="",$B14=0),"",($G14*(FC$4&lt;$I14)+$H14*(FC$4&gt;=$I14))*$C14*(1+'Property Summary'!$L$18)^('MF Rents'!FC$3-1))</f>
        <v/>
      </c>
      <c r="FD14" s="149" t="str">
        <f>IF(OR($B14="",$B14=0),"",($G14*(FD$4&lt;$I14)+$H14*(FD$4&gt;=$I14))*$C14*(1+'Property Summary'!$L$18)^('MF Rents'!FD$3-1))</f>
        <v/>
      </c>
      <c r="FE14" s="149" t="str">
        <f>IF(OR($B14="",$B14=0),"",($G14*(FE$4&lt;$I14)+$H14*(FE$4&gt;=$I14))*$C14*(1+'Property Summary'!$L$18)^('MF Rents'!FE$3-1))</f>
        <v/>
      </c>
      <c r="FF14" s="149" t="str">
        <f>IF(OR($B14="",$B14=0),"",($G14*(FF$4&lt;$I14)+$H14*(FF$4&gt;=$I14))*$C14*(1+'Property Summary'!$L$18)^('MF Rents'!FF$3-1))</f>
        <v/>
      </c>
      <c r="FG14" s="149" t="str">
        <f>IF(OR($B14="",$B14=0),"",($G14*(FG$4&lt;$I14)+$H14*(FG$4&gt;=$I14))*$C14*(1+'Property Summary'!$L$18)^('MF Rents'!FG$3-1))</f>
        <v/>
      </c>
      <c r="FH14" s="149" t="str">
        <f>IF(OR($B14="",$B14=0),"",($G14*(FH$4&lt;$I14)+$H14*(FH$4&gt;=$I14))*$C14*(1+'Property Summary'!$L$18)^('MF Rents'!FH$3-1))</f>
        <v/>
      </c>
      <c r="FI14" s="149" t="str">
        <f>IF(OR($B14="",$B14=0),"",($G14*(FI$4&lt;$I14)+$H14*(FI$4&gt;=$I14))*$C14*(1+'Property Summary'!$L$18)^('MF Rents'!FI$3-1))</f>
        <v/>
      </c>
      <c r="FJ14" s="149" t="str">
        <f>IF(OR($B14="",$B14=0),"",($G14*(FJ$4&lt;$I14)+$H14*(FJ$4&gt;=$I14))*$C14*(1+'Property Summary'!$L$18)^('MF Rents'!FJ$3-1))</f>
        <v/>
      </c>
      <c r="FK14" s="149" t="str">
        <f>IF(OR($B14="",$B14=0),"",($G14*(FK$4&lt;$I14)+$H14*(FK$4&gt;=$I14))*$C14*(1+'Property Summary'!$L$18)^('MF Rents'!FK$3-1))</f>
        <v/>
      </c>
      <c r="FL14" s="149" t="str">
        <f>IF(OR($B14="",$B14=0),"",($G14*(FL$4&lt;$I14)+$H14*(FL$4&gt;=$I14))*$C14*(1+'Property Summary'!$L$18)^('MF Rents'!FL$3-1))</f>
        <v/>
      </c>
      <c r="FM14" s="149" t="str">
        <f>IF(OR($B14="",$B14=0),"",($G14*(FM$4&lt;$I14)+$H14*(FM$4&gt;=$I14))*$C14*(1+'Property Summary'!$L$18)^('MF Rents'!FM$3-1))</f>
        <v/>
      </c>
      <c r="FN14" s="149" t="str">
        <f>IF(OR($B14="",$B14=0),"",($G14*(FN$4&lt;$I14)+$H14*(FN$4&gt;=$I14))*$C14*(1+'Property Summary'!$L$18)^('MF Rents'!FN$3-1))</f>
        <v/>
      </c>
      <c r="FO14" s="149" t="str">
        <f>IF(OR($B14="",$B14=0),"",($G14*(FO$4&lt;$I14)+$H14*(FO$4&gt;=$I14))*$C14*(1+'Property Summary'!$L$18)^('MF Rents'!FO$3-1))</f>
        <v/>
      </c>
      <c r="FP14" s="149" t="str">
        <f>IF(OR($B14="",$B14=0),"",($G14*(FP$4&lt;$I14)+$H14*(FP$4&gt;=$I14))*$C14*(1+'Property Summary'!$L$18)^('MF Rents'!FP$3-1))</f>
        <v/>
      </c>
      <c r="FQ14" s="149" t="str">
        <f>IF(OR($B14="",$B14=0),"",($G14*(FQ$4&lt;$I14)+$H14*(FQ$4&gt;=$I14))*$C14*(1+'Property Summary'!$L$18)^('MF Rents'!FQ$3-1))</f>
        <v/>
      </c>
      <c r="FR14" s="149" t="str">
        <f>IF(OR($B14="",$B14=0),"",($G14*(FR$4&lt;$I14)+$H14*(FR$4&gt;=$I14))*$C14*(1+'Property Summary'!$L$18)^('MF Rents'!FR$3-1))</f>
        <v/>
      </c>
      <c r="FS14" s="149" t="str">
        <f>IF(OR($B14="",$B14=0),"",($G14*(FS$4&lt;$I14)+$H14*(FS$4&gt;=$I14))*$C14*(1+'Property Summary'!$L$18)^('MF Rents'!FS$3-1))</f>
        <v/>
      </c>
      <c r="FT14" s="149" t="str">
        <f>IF(OR($B14="",$B14=0),"",($G14*(FT$4&lt;$I14)+$H14*(FT$4&gt;=$I14))*$C14*(1+'Property Summary'!$L$18)^('MF Rents'!FT$3-1))</f>
        <v/>
      </c>
      <c r="FU14" s="149" t="str">
        <f>IF(OR($B14="",$B14=0),"",($G14*(FU$4&lt;$I14)+$H14*(FU$4&gt;=$I14))*$C14*(1+'Property Summary'!$L$18)^('MF Rents'!FU$3-1))</f>
        <v/>
      </c>
      <c r="FV14" s="149" t="str">
        <f>IF(OR($B14="",$B14=0),"",($G14*(FV$4&lt;$I14)+$H14*(FV$4&gt;=$I14))*$C14*(1+'Property Summary'!$L$18)^('MF Rents'!FV$3-1))</f>
        <v/>
      </c>
      <c r="FW14" s="149" t="str">
        <f>IF(OR($B14="",$B14=0),"",($G14*(FW$4&lt;$I14)+$H14*(FW$4&gt;=$I14))*$C14*(1+'Property Summary'!$L$18)^('MF Rents'!FW$3-1))</f>
        <v/>
      </c>
      <c r="FX14" s="149" t="str">
        <f>IF(OR($B14="",$B14=0),"",($G14*(FX$4&lt;$I14)+$H14*(FX$4&gt;=$I14))*$C14*(1+'Property Summary'!$L$18)^('MF Rents'!FX$3-1))</f>
        <v/>
      </c>
      <c r="FY14" s="149" t="str">
        <f>IF(OR($B14="",$B14=0),"",($G14*(FY$4&lt;$I14)+$H14*(FY$4&gt;=$I14))*$C14*(1+'Property Summary'!$L$18)^('MF Rents'!FY$3-1))</f>
        <v/>
      </c>
      <c r="FZ14" s="149" t="str">
        <f>IF(OR($B14="",$B14=0),"",($G14*(FZ$4&lt;$I14)+$H14*(FZ$4&gt;=$I14))*$C14*(1+'Property Summary'!$L$18)^('MF Rents'!FZ$3-1))</f>
        <v/>
      </c>
      <c r="GA14" s="149" t="str">
        <f>IF(OR($B14="",$B14=0),"",($G14*(GA$4&lt;$I14)+$H14*(GA$4&gt;=$I14))*$C14*(1+'Property Summary'!$L$18)^('MF Rents'!GA$3-1))</f>
        <v/>
      </c>
      <c r="GB14" s="149" t="str">
        <f>IF(OR($B14="",$B14=0),"",($G14*(GB$4&lt;$I14)+$H14*(GB$4&gt;=$I14))*$C14*(1+'Property Summary'!$L$18)^('MF Rents'!GB$3-1))</f>
        <v/>
      </c>
      <c r="GC14" s="149" t="str">
        <f>IF(OR($B14="",$B14=0),"",($G14*(GC$4&lt;$I14)+$H14*(GC$4&gt;=$I14))*$C14*(1+'Property Summary'!$L$18)^('MF Rents'!GC$3-1))</f>
        <v/>
      </c>
      <c r="GD14" s="149" t="str">
        <f>IF(OR($B14="",$B14=0),"",($G14*(GD$4&lt;$I14)+$H14*(GD$4&gt;=$I14))*$C14*(1+'Property Summary'!$L$18)^('MF Rents'!GD$3-1))</f>
        <v/>
      </c>
      <c r="GE14" s="149" t="str">
        <f>IF(OR($B14="",$B14=0),"",($G14*(GE$4&lt;$I14)+$H14*(GE$4&gt;=$I14))*$C14*(1+'Property Summary'!$L$18)^('MF Rents'!GE$3-1))</f>
        <v/>
      </c>
      <c r="GF14" s="149" t="str">
        <f>IF(OR($B14="",$B14=0),"",($G14*(GF$4&lt;$I14)+$H14*(GF$4&gt;=$I14))*$C14*(1+'Property Summary'!$L$18)^('MF Rents'!GF$3-1))</f>
        <v/>
      </c>
      <c r="GG14" s="149" t="str">
        <f>IF(OR($B14="",$B14=0),"",($G14*(GG$4&lt;$I14)+$H14*(GG$4&gt;=$I14))*$C14*(1+'Property Summary'!$L$18)^('MF Rents'!GG$3-1))</f>
        <v/>
      </c>
      <c r="GH14" s="149" t="str">
        <f>IF(OR($B14="",$B14=0),"",($G14*(GH$4&lt;$I14)+$H14*(GH$4&gt;=$I14))*$C14*(1+'Property Summary'!$L$18)^('MF Rents'!GH$3-1))</f>
        <v/>
      </c>
      <c r="GI14" s="149" t="str">
        <f>IF(OR($B14="",$B14=0),"",($G14*(GI$4&lt;$I14)+$H14*(GI$4&gt;=$I14))*$C14*(1+'Property Summary'!$L$18)^('MF Rents'!GI$3-1))</f>
        <v/>
      </c>
      <c r="GJ14" s="149" t="str">
        <f>IF(OR($B14="",$B14=0),"",($G14*(GJ$4&lt;$I14)+$H14*(GJ$4&gt;=$I14))*$C14*(1+'Property Summary'!$L$18)^('MF Rents'!GJ$3-1))</f>
        <v/>
      </c>
      <c r="GK14" s="149" t="str">
        <f>IF(OR($B14="",$B14=0),"",($G14*(GK$4&lt;$I14)+$H14*(GK$4&gt;=$I14))*$C14*(1+'Property Summary'!$L$18)^('MF Rents'!GK$3-1))</f>
        <v/>
      </c>
      <c r="GL14" s="149" t="str">
        <f>IF(OR($B14="",$B14=0),"",($G14*(GL$4&lt;$I14)+$H14*(GL$4&gt;=$I14))*$C14*(1+'Property Summary'!$L$18)^('MF Rents'!GL$3-1))</f>
        <v/>
      </c>
      <c r="GM14" s="149" t="str">
        <f>IF(OR($B14="",$B14=0),"",($G14*(GM$4&lt;$I14)+$H14*(GM$4&gt;=$I14))*$C14*(1+'Property Summary'!$L$18)^('MF Rents'!GM$3-1))</f>
        <v/>
      </c>
      <c r="GN14" s="149" t="str">
        <f>IF(OR($B14="",$B14=0),"",($G14*(GN$4&lt;$I14)+$H14*(GN$4&gt;=$I14))*$C14*(1+'Property Summary'!$L$18)^('MF Rents'!GN$3-1))</f>
        <v/>
      </c>
      <c r="GO14" s="149" t="str">
        <f>IF(OR($B14="",$B14=0),"",($G14*(GO$4&lt;$I14)+$H14*(GO$4&gt;=$I14))*$C14*(1+'Property Summary'!$L$18)^('MF Rents'!GO$3-1))</f>
        <v/>
      </c>
      <c r="GP14" s="149" t="str">
        <f>IF(OR($B14="",$B14=0),"",($G14*(GP$4&lt;$I14)+$H14*(GP$4&gt;=$I14))*$C14*(1+'Property Summary'!$L$18)^('MF Rents'!GP$3-1))</f>
        <v/>
      </c>
      <c r="GQ14" s="149" t="str">
        <f>IF(OR($B14="",$B14=0),"",($G14*(GQ$4&lt;$I14)+$H14*(GQ$4&gt;=$I14))*$C14*(1+'Property Summary'!$L$18)^('MF Rents'!GQ$3-1))</f>
        <v/>
      </c>
      <c r="GR14" s="149" t="str">
        <f>IF(OR($B14="",$B14=0),"",($G14*(GR$4&lt;$I14)+$H14*(GR$4&gt;=$I14))*$C14*(1+'Property Summary'!$L$18)^('MF Rents'!GR$3-1))</f>
        <v/>
      </c>
    </row>
    <row r="15" spans="2:200" x14ac:dyDescent="0.3">
      <c r="B15" s="184">
        <f>'MF Rent Roll'!B14</f>
        <v>0</v>
      </c>
      <c r="C15" s="171">
        <f>'MF Rent Roll'!C14</f>
        <v>0</v>
      </c>
      <c r="D15" s="172">
        <f>'MF Rent Roll'!D14</f>
        <v>0</v>
      </c>
      <c r="E15" s="172">
        <f>'MF Rent Roll'!E14</f>
        <v>0</v>
      </c>
      <c r="F15" s="173">
        <f>'MF Rent Roll'!F14</f>
        <v>0</v>
      </c>
      <c r="G15" s="174">
        <f>'MF Rent Roll'!G14</f>
        <v>0</v>
      </c>
      <c r="H15" s="174">
        <f>IF('MF Rent Roll'!H14="",G15,'MF Rent Roll'!H14)</f>
        <v>0</v>
      </c>
      <c r="I15" s="175">
        <f>IF('MF Rent Roll'!I14="",1,'MF Rent Roll'!I14)</f>
        <v>1</v>
      </c>
      <c r="J15" s="176">
        <f>'MF Rent Roll'!J14</f>
        <v>0</v>
      </c>
      <c r="K15" s="174">
        <f>'MF Rent Roll'!K14</f>
        <v>0</v>
      </c>
      <c r="L15" s="177">
        <f>'MF Rent Roll'!L14</f>
        <v>0</v>
      </c>
      <c r="M15" s="178">
        <f>'MF Rent Roll'!M14</f>
        <v>0</v>
      </c>
      <c r="N15" s="174">
        <f>'MF Rent Roll'!N14</f>
        <v>0</v>
      </c>
      <c r="O15" s="179">
        <f>'MF Rent Roll'!O14</f>
        <v>0</v>
      </c>
      <c r="P15" s="180" t="str">
        <f>'MF Rent Roll'!P14</f>
        <v/>
      </c>
      <c r="Q15" s="181" t="str">
        <f>'MF Rent Roll'!Q14</f>
        <v/>
      </c>
      <c r="R15" s="104" t="str">
        <f>'MF Rent Roll'!R14</f>
        <v/>
      </c>
      <c r="U15" s="149" t="str">
        <f>IF(OR($B15="",$B15=0),"",($G15*(U$4&lt;$I15)+$H15*(U$4&gt;=$I15))*$C15*(1+'Property Summary'!$L$18)^('MF Rents'!U$3-1))</f>
        <v/>
      </c>
      <c r="V15" s="149" t="str">
        <f>IF(OR($B15="",$B15=0),"",($G15*(V$4&lt;$I15)+$H15*(V$4&gt;=$I15))*$C15*(1+'Property Summary'!$L$18)^('MF Rents'!V$3-1))</f>
        <v/>
      </c>
      <c r="W15" s="149" t="str">
        <f>IF(OR($B15="",$B15=0),"",($G15*(W$4&lt;$I15)+$H15*(W$4&gt;=$I15))*$C15*(1+'Property Summary'!$L$18)^('MF Rents'!W$3-1))</f>
        <v/>
      </c>
      <c r="X15" s="149" t="str">
        <f>IF(OR($B15="",$B15=0),"",($G15*(X$4&lt;$I15)+$H15*(X$4&gt;=$I15))*$C15*(1+'Property Summary'!$L$18)^('MF Rents'!X$3-1))</f>
        <v/>
      </c>
      <c r="Y15" s="149" t="str">
        <f>IF(OR($B15="",$B15=0),"",($G15*(Y$4&lt;$I15)+$H15*(Y$4&gt;=$I15))*$C15*(1+'Property Summary'!$L$18)^('MF Rents'!Y$3-1))</f>
        <v/>
      </c>
      <c r="Z15" s="149" t="str">
        <f>IF(OR($B15="",$B15=0),"",($G15*(Z$4&lt;$I15)+$H15*(Z$4&gt;=$I15))*$C15*(1+'Property Summary'!$L$18)^('MF Rents'!Z$3-1))</f>
        <v/>
      </c>
      <c r="AA15" s="149" t="str">
        <f>IF(OR($B15="",$B15=0),"",($G15*(AA$4&lt;$I15)+$H15*(AA$4&gt;=$I15))*$C15*(1+'Property Summary'!$L$18)^('MF Rents'!AA$3-1))</f>
        <v/>
      </c>
      <c r="AB15" s="149" t="str">
        <f>IF(OR($B15="",$B15=0),"",($G15*(AB$4&lt;$I15)+$H15*(AB$4&gt;=$I15))*$C15*(1+'Property Summary'!$L$18)^('MF Rents'!AB$3-1))</f>
        <v/>
      </c>
      <c r="AC15" s="149" t="str">
        <f>IF(OR($B15="",$B15=0),"",($G15*(AC$4&lt;$I15)+$H15*(AC$4&gt;=$I15))*$C15*(1+'Property Summary'!$L$18)^('MF Rents'!AC$3-1))</f>
        <v/>
      </c>
      <c r="AD15" s="149" t="str">
        <f>IF(OR($B15="",$B15=0),"",($G15*(AD$4&lt;$I15)+$H15*(AD$4&gt;=$I15))*$C15*(1+'Property Summary'!$L$18)^('MF Rents'!AD$3-1))</f>
        <v/>
      </c>
      <c r="AE15" s="149" t="str">
        <f>IF(OR($B15="",$B15=0),"",($G15*(AE$4&lt;$I15)+$H15*(AE$4&gt;=$I15))*$C15*(1+'Property Summary'!$L$18)^('MF Rents'!AE$3-1))</f>
        <v/>
      </c>
      <c r="AF15" s="149" t="str">
        <f>IF(OR($B15="",$B15=0),"",($G15*(AF$4&lt;$I15)+$H15*(AF$4&gt;=$I15))*$C15*(1+'Property Summary'!$L$18)^('MF Rents'!AF$3-1))</f>
        <v/>
      </c>
      <c r="AG15" s="149" t="str">
        <f>IF(OR($B15="",$B15=0),"",($G15*(AG$4&lt;$I15)+$H15*(AG$4&gt;=$I15))*$C15*(1+'Property Summary'!$L$18)^('MF Rents'!AG$3-1))</f>
        <v/>
      </c>
      <c r="AH15" s="149" t="str">
        <f>IF(OR($B15="",$B15=0),"",($G15*(AH$4&lt;$I15)+$H15*(AH$4&gt;=$I15))*$C15*(1+'Property Summary'!$L$18)^('MF Rents'!AH$3-1))</f>
        <v/>
      </c>
      <c r="AI15" s="149" t="str">
        <f>IF(OR($B15="",$B15=0),"",($G15*(AI$4&lt;$I15)+$H15*(AI$4&gt;=$I15))*$C15*(1+'Property Summary'!$L$18)^('MF Rents'!AI$3-1))</f>
        <v/>
      </c>
      <c r="AJ15" s="149" t="str">
        <f>IF(OR($B15="",$B15=0),"",($G15*(AJ$4&lt;$I15)+$H15*(AJ$4&gt;=$I15))*$C15*(1+'Property Summary'!$L$18)^('MF Rents'!AJ$3-1))</f>
        <v/>
      </c>
      <c r="AK15" s="149" t="str">
        <f>IF(OR($B15="",$B15=0),"",($G15*(AK$4&lt;$I15)+$H15*(AK$4&gt;=$I15))*$C15*(1+'Property Summary'!$L$18)^('MF Rents'!AK$3-1))</f>
        <v/>
      </c>
      <c r="AL15" s="149" t="str">
        <f>IF(OR($B15="",$B15=0),"",($G15*(AL$4&lt;$I15)+$H15*(AL$4&gt;=$I15))*$C15*(1+'Property Summary'!$L$18)^('MF Rents'!AL$3-1))</f>
        <v/>
      </c>
      <c r="AM15" s="149" t="str">
        <f>IF(OR($B15="",$B15=0),"",($G15*(AM$4&lt;$I15)+$H15*(AM$4&gt;=$I15))*$C15*(1+'Property Summary'!$L$18)^('MF Rents'!AM$3-1))</f>
        <v/>
      </c>
      <c r="AN15" s="149" t="str">
        <f>IF(OR($B15="",$B15=0),"",($G15*(AN$4&lt;$I15)+$H15*(AN$4&gt;=$I15))*$C15*(1+'Property Summary'!$L$18)^('MF Rents'!AN$3-1))</f>
        <v/>
      </c>
      <c r="AO15" s="149" t="str">
        <f>IF(OR($B15="",$B15=0),"",($G15*(AO$4&lt;$I15)+$H15*(AO$4&gt;=$I15))*$C15*(1+'Property Summary'!$L$18)^('MF Rents'!AO$3-1))</f>
        <v/>
      </c>
      <c r="AP15" s="149" t="str">
        <f>IF(OR($B15="",$B15=0),"",($G15*(AP$4&lt;$I15)+$H15*(AP$4&gt;=$I15))*$C15*(1+'Property Summary'!$L$18)^('MF Rents'!AP$3-1))</f>
        <v/>
      </c>
      <c r="AQ15" s="149" t="str">
        <f>IF(OR($B15="",$B15=0),"",($G15*(AQ$4&lt;$I15)+$H15*(AQ$4&gt;=$I15))*$C15*(1+'Property Summary'!$L$18)^('MF Rents'!AQ$3-1))</f>
        <v/>
      </c>
      <c r="AR15" s="149" t="str">
        <f>IF(OR($B15="",$B15=0),"",($G15*(AR$4&lt;$I15)+$H15*(AR$4&gt;=$I15))*$C15*(1+'Property Summary'!$L$18)^('MF Rents'!AR$3-1))</f>
        <v/>
      </c>
      <c r="AS15" s="149" t="str">
        <f>IF(OR($B15="",$B15=0),"",($G15*(AS$4&lt;$I15)+$H15*(AS$4&gt;=$I15))*$C15*(1+'Property Summary'!$L$18)^('MF Rents'!AS$3-1))</f>
        <v/>
      </c>
      <c r="AT15" s="149" t="str">
        <f>IF(OR($B15="",$B15=0),"",($G15*(AT$4&lt;$I15)+$H15*(AT$4&gt;=$I15))*$C15*(1+'Property Summary'!$L$18)^('MF Rents'!AT$3-1))</f>
        <v/>
      </c>
      <c r="AU15" s="149" t="str">
        <f>IF(OR($B15="",$B15=0),"",($G15*(AU$4&lt;$I15)+$H15*(AU$4&gt;=$I15))*$C15*(1+'Property Summary'!$L$18)^('MF Rents'!AU$3-1))</f>
        <v/>
      </c>
      <c r="AV15" s="149" t="str">
        <f>IF(OR($B15="",$B15=0),"",($G15*(AV$4&lt;$I15)+$H15*(AV$4&gt;=$I15))*$C15*(1+'Property Summary'!$L$18)^('MF Rents'!AV$3-1))</f>
        <v/>
      </c>
      <c r="AW15" s="149" t="str">
        <f>IF(OR($B15="",$B15=0),"",($G15*(AW$4&lt;$I15)+$H15*(AW$4&gt;=$I15))*$C15*(1+'Property Summary'!$L$18)^('MF Rents'!AW$3-1))</f>
        <v/>
      </c>
      <c r="AX15" s="149" t="str">
        <f>IF(OR($B15="",$B15=0),"",($G15*(AX$4&lt;$I15)+$H15*(AX$4&gt;=$I15))*$C15*(1+'Property Summary'!$L$18)^('MF Rents'!AX$3-1))</f>
        <v/>
      </c>
      <c r="AY15" s="149" t="str">
        <f>IF(OR($B15="",$B15=0),"",($G15*(AY$4&lt;$I15)+$H15*(AY$4&gt;=$I15))*$C15*(1+'Property Summary'!$L$18)^('MF Rents'!AY$3-1))</f>
        <v/>
      </c>
      <c r="AZ15" s="149" t="str">
        <f>IF(OR($B15="",$B15=0),"",($G15*(AZ$4&lt;$I15)+$H15*(AZ$4&gt;=$I15))*$C15*(1+'Property Summary'!$L$18)^('MF Rents'!AZ$3-1))</f>
        <v/>
      </c>
      <c r="BA15" s="149" t="str">
        <f>IF(OR($B15="",$B15=0),"",($G15*(BA$4&lt;$I15)+$H15*(BA$4&gt;=$I15))*$C15*(1+'Property Summary'!$L$18)^('MF Rents'!BA$3-1))</f>
        <v/>
      </c>
      <c r="BB15" s="149" t="str">
        <f>IF(OR($B15="",$B15=0),"",($G15*(BB$4&lt;$I15)+$H15*(BB$4&gt;=$I15))*$C15*(1+'Property Summary'!$L$18)^('MF Rents'!BB$3-1))</f>
        <v/>
      </c>
      <c r="BC15" s="149" t="str">
        <f>IF(OR($B15="",$B15=0),"",($G15*(BC$4&lt;$I15)+$H15*(BC$4&gt;=$I15))*$C15*(1+'Property Summary'!$L$18)^('MF Rents'!BC$3-1))</f>
        <v/>
      </c>
      <c r="BD15" s="149" t="str">
        <f>IF(OR($B15="",$B15=0),"",($G15*(BD$4&lt;$I15)+$H15*(BD$4&gt;=$I15))*$C15*(1+'Property Summary'!$L$18)^('MF Rents'!BD$3-1))</f>
        <v/>
      </c>
      <c r="BE15" s="149" t="str">
        <f>IF(OR($B15="",$B15=0),"",($G15*(BE$4&lt;$I15)+$H15*(BE$4&gt;=$I15))*$C15*(1+'Property Summary'!$L$18)^('MF Rents'!BE$3-1))</f>
        <v/>
      </c>
      <c r="BF15" s="149" t="str">
        <f>IF(OR($B15="",$B15=0),"",($G15*(BF$4&lt;$I15)+$H15*(BF$4&gt;=$I15))*$C15*(1+'Property Summary'!$L$18)^('MF Rents'!BF$3-1))</f>
        <v/>
      </c>
      <c r="BG15" s="149" t="str">
        <f>IF(OR($B15="",$B15=0),"",($G15*(BG$4&lt;$I15)+$H15*(BG$4&gt;=$I15))*$C15*(1+'Property Summary'!$L$18)^('MF Rents'!BG$3-1))</f>
        <v/>
      </c>
      <c r="BH15" s="149" t="str">
        <f>IF(OR($B15="",$B15=0),"",($G15*(BH$4&lt;$I15)+$H15*(BH$4&gt;=$I15))*$C15*(1+'Property Summary'!$L$18)^('MF Rents'!BH$3-1))</f>
        <v/>
      </c>
      <c r="BI15" s="149" t="str">
        <f>IF(OR($B15="",$B15=0),"",($G15*(BI$4&lt;$I15)+$H15*(BI$4&gt;=$I15))*$C15*(1+'Property Summary'!$L$18)^('MF Rents'!BI$3-1))</f>
        <v/>
      </c>
      <c r="BJ15" s="149" t="str">
        <f>IF(OR($B15="",$B15=0),"",($G15*(BJ$4&lt;$I15)+$H15*(BJ$4&gt;=$I15))*$C15*(1+'Property Summary'!$L$18)^('MF Rents'!BJ$3-1))</f>
        <v/>
      </c>
      <c r="BK15" s="149" t="str">
        <f>IF(OR($B15="",$B15=0),"",($G15*(BK$4&lt;$I15)+$H15*(BK$4&gt;=$I15))*$C15*(1+'Property Summary'!$L$18)^('MF Rents'!BK$3-1))</f>
        <v/>
      </c>
      <c r="BL15" s="149" t="str">
        <f>IF(OR($B15="",$B15=0),"",($G15*(BL$4&lt;$I15)+$H15*(BL$4&gt;=$I15))*$C15*(1+'Property Summary'!$L$18)^('MF Rents'!BL$3-1))</f>
        <v/>
      </c>
      <c r="BM15" s="149" t="str">
        <f>IF(OR($B15="",$B15=0),"",($G15*(BM$4&lt;$I15)+$H15*(BM$4&gt;=$I15))*$C15*(1+'Property Summary'!$L$18)^('MF Rents'!BM$3-1))</f>
        <v/>
      </c>
      <c r="BN15" s="149" t="str">
        <f>IF(OR($B15="",$B15=0),"",($G15*(BN$4&lt;$I15)+$H15*(BN$4&gt;=$I15))*$C15*(1+'Property Summary'!$L$18)^('MF Rents'!BN$3-1))</f>
        <v/>
      </c>
      <c r="BO15" s="149" t="str">
        <f>IF(OR($B15="",$B15=0),"",($G15*(BO$4&lt;$I15)+$H15*(BO$4&gt;=$I15))*$C15*(1+'Property Summary'!$L$18)^('MF Rents'!BO$3-1))</f>
        <v/>
      </c>
      <c r="BP15" s="149" t="str">
        <f>IF(OR($B15="",$B15=0),"",($G15*(BP$4&lt;$I15)+$H15*(BP$4&gt;=$I15))*$C15*(1+'Property Summary'!$L$18)^('MF Rents'!BP$3-1))</f>
        <v/>
      </c>
      <c r="BQ15" s="149" t="str">
        <f>IF(OR($B15="",$B15=0),"",($G15*(BQ$4&lt;$I15)+$H15*(BQ$4&gt;=$I15))*$C15*(1+'Property Summary'!$L$18)^('MF Rents'!BQ$3-1))</f>
        <v/>
      </c>
      <c r="BR15" s="149" t="str">
        <f>IF(OR($B15="",$B15=0),"",($G15*(BR$4&lt;$I15)+$H15*(BR$4&gt;=$I15))*$C15*(1+'Property Summary'!$L$18)^('MF Rents'!BR$3-1))</f>
        <v/>
      </c>
      <c r="BS15" s="149" t="str">
        <f>IF(OR($B15="",$B15=0),"",($G15*(BS$4&lt;$I15)+$H15*(BS$4&gt;=$I15))*$C15*(1+'Property Summary'!$L$18)^('MF Rents'!BS$3-1))</f>
        <v/>
      </c>
      <c r="BT15" s="149" t="str">
        <f>IF(OR($B15="",$B15=0),"",($G15*(BT$4&lt;$I15)+$H15*(BT$4&gt;=$I15))*$C15*(1+'Property Summary'!$L$18)^('MF Rents'!BT$3-1))</f>
        <v/>
      </c>
      <c r="BU15" s="149" t="str">
        <f>IF(OR($B15="",$B15=0),"",($G15*(BU$4&lt;$I15)+$H15*(BU$4&gt;=$I15))*$C15*(1+'Property Summary'!$L$18)^('MF Rents'!BU$3-1))</f>
        <v/>
      </c>
      <c r="BV15" s="149" t="str">
        <f>IF(OR($B15="",$B15=0),"",($G15*(BV$4&lt;$I15)+$H15*(BV$4&gt;=$I15))*$C15*(1+'Property Summary'!$L$18)^('MF Rents'!BV$3-1))</f>
        <v/>
      </c>
      <c r="BW15" s="149" t="str">
        <f>IF(OR($B15="",$B15=0),"",($G15*(BW$4&lt;$I15)+$H15*(BW$4&gt;=$I15))*$C15*(1+'Property Summary'!$L$18)^('MF Rents'!BW$3-1))</f>
        <v/>
      </c>
      <c r="BX15" s="149" t="str">
        <f>IF(OR($B15="",$B15=0),"",($G15*(BX$4&lt;$I15)+$H15*(BX$4&gt;=$I15))*$C15*(1+'Property Summary'!$L$18)^('MF Rents'!BX$3-1))</f>
        <v/>
      </c>
      <c r="BY15" s="149" t="str">
        <f>IF(OR($B15="",$B15=0),"",($G15*(BY$4&lt;$I15)+$H15*(BY$4&gt;=$I15))*$C15*(1+'Property Summary'!$L$18)^('MF Rents'!BY$3-1))</f>
        <v/>
      </c>
      <c r="BZ15" s="149" t="str">
        <f>IF(OR($B15="",$B15=0),"",($G15*(BZ$4&lt;$I15)+$H15*(BZ$4&gt;=$I15))*$C15*(1+'Property Summary'!$L$18)^('MF Rents'!BZ$3-1))</f>
        <v/>
      </c>
      <c r="CA15" s="149" t="str">
        <f>IF(OR($B15="",$B15=0),"",($G15*(CA$4&lt;$I15)+$H15*(CA$4&gt;=$I15))*$C15*(1+'Property Summary'!$L$18)^('MF Rents'!CA$3-1))</f>
        <v/>
      </c>
      <c r="CB15" s="149" t="str">
        <f>IF(OR($B15="",$B15=0),"",($G15*(CB$4&lt;$I15)+$H15*(CB$4&gt;=$I15))*$C15*(1+'Property Summary'!$L$18)^('MF Rents'!CB$3-1))</f>
        <v/>
      </c>
      <c r="CC15" s="149" t="str">
        <f>IF(OR($B15="",$B15=0),"",($G15*(CC$4&lt;$I15)+$H15*(CC$4&gt;=$I15))*$C15*(1+'Property Summary'!$L$18)^('MF Rents'!CC$3-1))</f>
        <v/>
      </c>
      <c r="CD15" s="149" t="str">
        <f>IF(OR($B15="",$B15=0),"",($G15*(CD$4&lt;$I15)+$H15*(CD$4&gt;=$I15))*$C15*(1+'Property Summary'!$L$18)^('MF Rents'!CD$3-1))</f>
        <v/>
      </c>
      <c r="CE15" s="149" t="str">
        <f>IF(OR($B15="",$B15=0),"",($G15*(CE$4&lt;$I15)+$H15*(CE$4&gt;=$I15))*$C15*(1+'Property Summary'!$L$18)^('MF Rents'!CE$3-1))</f>
        <v/>
      </c>
      <c r="CF15" s="149" t="str">
        <f>IF(OR($B15="",$B15=0),"",($G15*(CF$4&lt;$I15)+$H15*(CF$4&gt;=$I15))*$C15*(1+'Property Summary'!$L$18)^('MF Rents'!CF$3-1))</f>
        <v/>
      </c>
      <c r="CG15" s="149" t="str">
        <f>IF(OR($B15="",$B15=0),"",($G15*(CG$4&lt;$I15)+$H15*(CG$4&gt;=$I15))*$C15*(1+'Property Summary'!$L$18)^('MF Rents'!CG$3-1))</f>
        <v/>
      </c>
      <c r="CH15" s="149" t="str">
        <f>IF(OR($B15="",$B15=0),"",($G15*(CH$4&lt;$I15)+$H15*(CH$4&gt;=$I15))*$C15*(1+'Property Summary'!$L$18)^('MF Rents'!CH$3-1))</f>
        <v/>
      </c>
      <c r="CI15" s="149" t="str">
        <f>IF(OR($B15="",$B15=0),"",($G15*(CI$4&lt;$I15)+$H15*(CI$4&gt;=$I15))*$C15*(1+'Property Summary'!$L$18)^('MF Rents'!CI$3-1))</f>
        <v/>
      </c>
      <c r="CJ15" s="149" t="str">
        <f>IF(OR($B15="",$B15=0),"",($G15*(CJ$4&lt;$I15)+$H15*(CJ$4&gt;=$I15))*$C15*(1+'Property Summary'!$L$18)^('MF Rents'!CJ$3-1))</f>
        <v/>
      </c>
      <c r="CK15" s="149" t="str">
        <f>IF(OR($B15="",$B15=0),"",($G15*(CK$4&lt;$I15)+$H15*(CK$4&gt;=$I15))*$C15*(1+'Property Summary'!$L$18)^('MF Rents'!CK$3-1))</f>
        <v/>
      </c>
      <c r="CL15" s="149" t="str">
        <f>IF(OR($B15="",$B15=0),"",($G15*(CL$4&lt;$I15)+$H15*(CL$4&gt;=$I15))*$C15*(1+'Property Summary'!$L$18)^('MF Rents'!CL$3-1))</f>
        <v/>
      </c>
      <c r="CM15" s="149" t="str">
        <f>IF(OR($B15="",$B15=0),"",($G15*(CM$4&lt;$I15)+$H15*(CM$4&gt;=$I15))*$C15*(1+'Property Summary'!$L$18)^('MF Rents'!CM$3-1))</f>
        <v/>
      </c>
      <c r="CN15" s="149" t="str">
        <f>IF(OR($B15="",$B15=0),"",($G15*(CN$4&lt;$I15)+$H15*(CN$4&gt;=$I15))*$C15*(1+'Property Summary'!$L$18)^('MF Rents'!CN$3-1))</f>
        <v/>
      </c>
      <c r="CO15" s="149" t="str">
        <f>IF(OR($B15="",$B15=0),"",($G15*(CO$4&lt;$I15)+$H15*(CO$4&gt;=$I15))*$C15*(1+'Property Summary'!$L$18)^('MF Rents'!CO$3-1))</f>
        <v/>
      </c>
      <c r="CP15" s="149" t="str">
        <f>IF(OR($B15="",$B15=0),"",($G15*(CP$4&lt;$I15)+$H15*(CP$4&gt;=$I15))*$C15*(1+'Property Summary'!$L$18)^('MF Rents'!CP$3-1))</f>
        <v/>
      </c>
      <c r="CQ15" s="149" t="str">
        <f>IF(OR($B15="",$B15=0),"",($G15*(CQ$4&lt;$I15)+$H15*(CQ$4&gt;=$I15))*$C15*(1+'Property Summary'!$L$18)^('MF Rents'!CQ$3-1))</f>
        <v/>
      </c>
      <c r="CR15" s="149" t="str">
        <f>IF(OR($B15="",$B15=0),"",($G15*(CR$4&lt;$I15)+$H15*(CR$4&gt;=$I15))*$C15*(1+'Property Summary'!$L$18)^('MF Rents'!CR$3-1))</f>
        <v/>
      </c>
      <c r="CS15" s="149" t="str">
        <f>IF(OR($B15="",$B15=0),"",($G15*(CS$4&lt;$I15)+$H15*(CS$4&gt;=$I15))*$C15*(1+'Property Summary'!$L$18)^('MF Rents'!CS$3-1))</f>
        <v/>
      </c>
      <c r="CT15" s="149" t="str">
        <f>IF(OR($B15="",$B15=0),"",($G15*(CT$4&lt;$I15)+$H15*(CT$4&gt;=$I15))*$C15*(1+'Property Summary'!$L$18)^('MF Rents'!CT$3-1))</f>
        <v/>
      </c>
      <c r="CU15" s="149" t="str">
        <f>IF(OR($B15="",$B15=0),"",($G15*(CU$4&lt;$I15)+$H15*(CU$4&gt;=$I15))*$C15*(1+'Property Summary'!$L$18)^('MF Rents'!CU$3-1))</f>
        <v/>
      </c>
      <c r="CV15" s="149" t="str">
        <f>IF(OR($B15="",$B15=0),"",($G15*(CV$4&lt;$I15)+$H15*(CV$4&gt;=$I15))*$C15*(1+'Property Summary'!$L$18)^('MF Rents'!CV$3-1))</f>
        <v/>
      </c>
      <c r="CW15" s="149" t="str">
        <f>IF(OR($B15="",$B15=0),"",($G15*(CW$4&lt;$I15)+$H15*(CW$4&gt;=$I15))*$C15*(1+'Property Summary'!$L$18)^('MF Rents'!CW$3-1))</f>
        <v/>
      </c>
      <c r="CX15" s="149" t="str">
        <f>IF(OR($B15="",$B15=0),"",($G15*(CX$4&lt;$I15)+$H15*(CX$4&gt;=$I15))*$C15*(1+'Property Summary'!$L$18)^('MF Rents'!CX$3-1))</f>
        <v/>
      </c>
      <c r="CY15" s="149" t="str">
        <f>IF(OR($B15="",$B15=0),"",($G15*(CY$4&lt;$I15)+$H15*(CY$4&gt;=$I15))*$C15*(1+'Property Summary'!$L$18)^('MF Rents'!CY$3-1))</f>
        <v/>
      </c>
      <c r="CZ15" s="149" t="str">
        <f>IF(OR($B15="",$B15=0),"",($G15*(CZ$4&lt;$I15)+$H15*(CZ$4&gt;=$I15))*$C15*(1+'Property Summary'!$L$18)^('MF Rents'!CZ$3-1))</f>
        <v/>
      </c>
      <c r="DA15" s="149" t="str">
        <f>IF(OR($B15="",$B15=0),"",($G15*(DA$4&lt;$I15)+$H15*(DA$4&gt;=$I15))*$C15*(1+'Property Summary'!$L$18)^('MF Rents'!DA$3-1))</f>
        <v/>
      </c>
      <c r="DB15" s="149" t="str">
        <f>IF(OR($B15="",$B15=0),"",($G15*(DB$4&lt;$I15)+$H15*(DB$4&gt;=$I15))*$C15*(1+'Property Summary'!$L$18)^('MF Rents'!DB$3-1))</f>
        <v/>
      </c>
      <c r="DC15" s="149" t="str">
        <f>IF(OR($B15="",$B15=0),"",($G15*(DC$4&lt;$I15)+$H15*(DC$4&gt;=$I15))*$C15*(1+'Property Summary'!$L$18)^('MF Rents'!DC$3-1))</f>
        <v/>
      </c>
      <c r="DD15" s="149" t="str">
        <f>IF(OR($B15="",$B15=0),"",($G15*(DD$4&lt;$I15)+$H15*(DD$4&gt;=$I15))*$C15*(1+'Property Summary'!$L$18)^('MF Rents'!DD$3-1))</f>
        <v/>
      </c>
      <c r="DE15" s="149" t="str">
        <f>IF(OR($B15="",$B15=0),"",($G15*(DE$4&lt;$I15)+$H15*(DE$4&gt;=$I15))*$C15*(1+'Property Summary'!$L$18)^('MF Rents'!DE$3-1))</f>
        <v/>
      </c>
      <c r="DF15" s="149" t="str">
        <f>IF(OR($B15="",$B15=0),"",($G15*(DF$4&lt;$I15)+$H15*(DF$4&gt;=$I15))*$C15*(1+'Property Summary'!$L$18)^('MF Rents'!DF$3-1))</f>
        <v/>
      </c>
      <c r="DG15" s="149" t="str">
        <f>IF(OR($B15="",$B15=0),"",($G15*(DG$4&lt;$I15)+$H15*(DG$4&gt;=$I15))*$C15*(1+'Property Summary'!$L$18)^('MF Rents'!DG$3-1))</f>
        <v/>
      </c>
      <c r="DH15" s="149" t="str">
        <f>IF(OR($B15="",$B15=0),"",($G15*(DH$4&lt;$I15)+$H15*(DH$4&gt;=$I15))*$C15*(1+'Property Summary'!$L$18)^('MF Rents'!DH$3-1))</f>
        <v/>
      </c>
      <c r="DI15" s="149" t="str">
        <f>IF(OR($B15="",$B15=0),"",($G15*(DI$4&lt;$I15)+$H15*(DI$4&gt;=$I15))*$C15*(1+'Property Summary'!$L$18)^('MF Rents'!DI$3-1))</f>
        <v/>
      </c>
      <c r="DJ15" s="149" t="str">
        <f>IF(OR($B15="",$B15=0),"",($G15*(DJ$4&lt;$I15)+$H15*(DJ$4&gt;=$I15))*$C15*(1+'Property Summary'!$L$18)^('MF Rents'!DJ$3-1))</f>
        <v/>
      </c>
      <c r="DK15" s="149" t="str">
        <f>IF(OR($B15="",$B15=0),"",($G15*(DK$4&lt;$I15)+$H15*(DK$4&gt;=$I15))*$C15*(1+'Property Summary'!$L$18)^('MF Rents'!DK$3-1))</f>
        <v/>
      </c>
      <c r="DL15" s="149" t="str">
        <f>IF(OR($B15="",$B15=0),"",($G15*(DL$4&lt;$I15)+$H15*(DL$4&gt;=$I15))*$C15*(1+'Property Summary'!$L$18)^('MF Rents'!DL$3-1))</f>
        <v/>
      </c>
      <c r="DM15" s="149" t="str">
        <f>IF(OR($B15="",$B15=0),"",($G15*(DM$4&lt;$I15)+$H15*(DM$4&gt;=$I15))*$C15*(1+'Property Summary'!$L$18)^('MF Rents'!DM$3-1))</f>
        <v/>
      </c>
      <c r="DN15" s="149" t="str">
        <f>IF(OR($B15="",$B15=0),"",($G15*(DN$4&lt;$I15)+$H15*(DN$4&gt;=$I15))*$C15*(1+'Property Summary'!$L$18)^('MF Rents'!DN$3-1))</f>
        <v/>
      </c>
      <c r="DO15" s="149" t="str">
        <f>IF(OR($B15="",$B15=0),"",($G15*(DO$4&lt;$I15)+$H15*(DO$4&gt;=$I15))*$C15*(1+'Property Summary'!$L$18)^('MF Rents'!DO$3-1))</f>
        <v/>
      </c>
      <c r="DP15" s="149" t="str">
        <f>IF(OR($B15="",$B15=0),"",($G15*(DP$4&lt;$I15)+$H15*(DP$4&gt;=$I15))*$C15*(1+'Property Summary'!$L$18)^('MF Rents'!DP$3-1))</f>
        <v/>
      </c>
      <c r="DQ15" s="149" t="str">
        <f>IF(OR($B15="",$B15=0),"",($G15*(DQ$4&lt;$I15)+$H15*(DQ$4&gt;=$I15))*$C15*(1+'Property Summary'!$L$18)^('MF Rents'!DQ$3-1))</f>
        <v/>
      </c>
      <c r="DR15" s="149" t="str">
        <f>IF(OR($B15="",$B15=0),"",($G15*(DR$4&lt;$I15)+$H15*(DR$4&gt;=$I15))*$C15*(1+'Property Summary'!$L$18)^('MF Rents'!DR$3-1))</f>
        <v/>
      </c>
      <c r="DS15" s="149" t="str">
        <f>IF(OR($B15="",$B15=0),"",($G15*(DS$4&lt;$I15)+$H15*(DS$4&gt;=$I15))*$C15*(1+'Property Summary'!$L$18)^('MF Rents'!DS$3-1))</f>
        <v/>
      </c>
      <c r="DT15" s="149" t="str">
        <f>IF(OR($B15="",$B15=0),"",($G15*(DT$4&lt;$I15)+$H15*(DT$4&gt;=$I15))*$C15*(1+'Property Summary'!$L$18)^('MF Rents'!DT$3-1))</f>
        <v/>
      </c>
      <c r="DU15" s="149" t="str">
        <f>IF(OR($B15="",$B15=0),"",($G15*(DU$4&lt;$I15)+$H15*(DU$4&gt;=$I15))*$C15*(1+'Property Summary'!$L$18)^('MF Rents'!DU$3-1))</f>
        <v/>
      </c>
      <c r="DV15" s="149" t="str">
        <f>IF(OR($B15="",$B15=0),"",($G15*(DV$4&lt;$I15)+$H15*(DV$4&gt;=$I15))*$C15*(1+'Property Summary'!$L$18)^('MF Rents'!DV$3-1))</f>
        <v/>
      </c>
      <c r="DW15" s="149" t="str">
        <f>IF(OR($B15="",$B15=0),"",($G15*(DW$4&lt;$I15)+$H15*(DW$4&gt;=$I15))*$C15*(1+'Property Summary'!$L$18)^('MF Rents'!DW$3-1))</f>
        <v/>
      </c>
      <c r="DX15" s="149" t="str">
        <f>IF(OR($B15="",$B15=0),"",($G15*(DX$4&lt;$I15)+$H15*(DX$4&gt;=$I15))*$C15*(1+'Property Summary'!$L$18)^('MF Rents'!DX$3-1))</f>
        <v/>
      </c>
      <c r="DY15" s="149" t="str">
        <f>IF(OR($B15="",$B15=0),"",($G15*(DY$4&lt;$I15)+$H15*(DY$4&gt;=$I15))*$C15*(1+'Property Summary'!$L$18)^('MF Rents'!DY$3-1))</f>
        <v/>
      </c>
      <c r="DZ15" s="149" t="str">
        <f>IF(OR($B15="",$B15=0),"",($G15*(DZ$4&lt;$I15)+$H15*(DZ$4&gt;=$I15))*$C15*(1+'Property Summary'!$L$18)^('MF Rents'!DZ$3-1))</f>
        <v/>
      </c>
      <c r="EA15" s="149" t="str">
        <f>IF(OR($B15="",$B15=0),"",($G15*(EA$4&lt;$I15)+$H15*(EA$4&gt;=$I15))*$C15*(1+'Property Summary'!$L$18)^('MF Rents'!EA$3-1))</f>
        <v/>
      </c>
      <c r="EB15" s="149" t="str">
        <f>IF(OR($B15="",$B15=0),"",($G15*(EB$4&lt;$I15)+$H15*(EB$4&gt;=$I15))*$C15*(1+'Property Summary'!$L$18)^('MF Rents'!EB$3-1))</f>
        <v/>
      </c>
      <c r="EC15" s="149" t="str">
        <f>IF(OR($B15="",$B15=0),"",($G15*(EC$4&lt;$I15)+$H15*(EC$4&gt;=$I15))*$C15*(1+'Property Summary'!$L$18)^('MF Rents'!EC$3-1))</f>
        <v/>
      </c>
      <c r="ED15" s="149" t="str">
        <f>IF(OR($B15="",$B15=0),"",($G15*(ED$4&lt;$I15)+$H15*(ED$4&gt;=$I15))*$C15*(1+'Property Summary'!$L$18)^('MF Rents'!ED$3-1))</f>
        <v/>
      </c>
      <c r="EE15" s="149" t="str">
        <f>IF(OR($B15="",$B15=0),"",($G15*(EE$4&lt;$I15)+$H15*(EE$4&gt;=$I15))*$C15*(1+'Property Summary'!$L$18)^('MF Rents'!EE$3-1))</f>
        <v/>
      </c>
      <c r="EF15" s="149" t="str">
        <f>IF(OR($B15="",$B15=0),"",($G15*(EF$4&lt;$I15)+$H15*(EF$4&gt;=$I15))*$C15*(1+'Property Summary'!$L$18)^('MF Rents'!EF$3-1))</f>
        <v/>
      </c>
      <c r="EG15" s="149" t="str">
        <f>IF(OR($B15="",$B15=0),"",($G15*(EG$4&lt;$I15)+$H15*(EG$4&gt;=$I15))*$C15*(1+'Property Summary'!$L$18)^('MF Rents'!EG$3-1))</f>
        <v/>
      </c>
      <c r="EH15" s="149" t="str">
        <f>IF(OR($B15="",$B15=0),"",($G15*(EH$4&lt;$I15)+$H15*(EH$4&gt;=$I15))*$C15*(1+'Property Summary'!$L$18)^('MF Rents'!EH$3-1))</f>
        <v/>
      </c>
      <c r="EI15" s="149" t="str">
        <f>IF(OR($B15="",$B15=0),"",($G15*(EI$4&lt;$I15)+$H15*(EI$4&gt;=$I15))*$C15*(1+'Property Summary'!$L$18)^('MF Rents'!EI$3-1))</f>
        <v/>
      </c>
      <c r="EJ15" s="149" t="str">
        <f>IF(OR($B15="",$B15=0),"",($G15*(EJ$4&lt;$I15)+$H15*(EJ$4&gt;=$I15))*$C15*(1+'Property Summary'!$L$18)^('MF Rents'!EJ$3-1))</f>
        <v/>
      </c>
      <c r="EK15" s="149" t="str">
        <f>IF(OR($B15="",$B15=0),"",($G15*(EK$4&lt;$I15)+$H15*(EK$4&gt;=$I15))*$C15*(1+'Property Summary'!$L$18)^('MF Rents'!EK$3-1))</f>
        <v/>
      </c>
      <c r="EL15" s="149" t="str">
        <f>IF(OR($B15="",$B15=0),"",($G15*(EL$4&lt;$I15)+$H15*(EL$4&gt;=$I15))*$C15*(1+'Property Summary'!$L$18)^('MF Rents'!EL$3-1))</f>
        <v/>
      </c>
      <c r="EM15" s="149" t="str">
        <f>IF(OR($B15="",$B15=0),"",($G15*(EM$4&lt;$I15)+$H15*(EM$4&gt;=$I15))*$C15*(1+'Property Summary'!$L$18)^('MF Rents'!EM$3-1))</f>
        <v/>
      </c>
      <c r="EN15" s="149" t="str">
        <f>IF(OR($B15="",$B15=0),"",($G15*(EN$4&lt;$I15)+$H15*(EN$4&gt;=$I15))*$C15*(1+'Property Summary'!$L$18)^('MF Rents'!EN$3-1))</f>
        <v/>
      </c>
      <c r="EO15" s="149" t="str">
        <f>IF(OR($B15="",$B15=0),"",($G15*(EO$4&lt;$I15)+$H15*(EO$4&gt;=$I15))*$C15*(1+'Property Summary'!$L$18)^('MF Rents'!EO$3-1))</f>
        <v/>
      </c>
      <c r="EP15" s="149" t="str">
        <f>IF(OR($B15="",$B15=0),"",($G15*(EP$4&lt;$I15)+$H15*(EP$4&gt;=$I15))*$C15*(1+'Property Summary'!$L$18)^('MF Rents'!EP$3-1))</f>
        <v/>
      </c>
      <c r="EQ15" s="149" t="str">
        <f>IF(OR($B15="",$B15=0),"",($G15*(EQ$4&lt;$I15)+$H15*(EQ$4&gt;=$I15))*$C15*(1+'Property Summary'!$L$18)^('MF Rents'!EQ$3-1))</f>
        <v/>
      </c>
      <c r="ER15" s="149" t="str">
        <f>IF(OR($B15="",$B15=0),"",($G15*(ER$4&lt;$I15)+$H15*(ER$4&gt;=$I15))*$C15*(1+'Property Summary'!$L$18)^('MF Rents'!ER$3-1))</f>
        <v/>
      </c>
      <c r="ES15" s="149" t="str">
        <f>IF(OR($B15="",$B15=0),"",($G15*(ES$4&lt;$I15)+$H15*(ES$4&gt;=$I15))*$C15*(1+'Property Summary'!$L$18)^('MF Rents'!ES$3-1))</f>
        <v/>
      </c>
      <c r="ET15" s="149" t="str">
        <f>IF(OR($B15="",$B15=0),"",($G15*(ET$4&lt;$I15)+$H15*(ET$4&gt;=$I15))*$C15*(1+'Property Summary'!$L$18)^('MF Rents'!ET$3-1))</f>
        <v/>
      </c>
      <c r="EU15" s="149" t="str">
        <f>IF(OR($B15="",$B15=0),"",($G15*(EU$4&lt;$I15)+$H15*(EU$4&gt;=$I15))*$C15*(1+'Property Summary'!$L$18)^('MF Rents'!EU$3-1))</f>
        <v/>
      </c>
      <c r="EV15" s="149" t="str">
        <f>IF(OR($B15="",$B15=0),"",($G15*(EV$4&lt;$I15)+$H15*(EV$4&gt;=$I15))*$C15*(1+'Property Summary'!$L$18)^('MF Rents'!EV$3-1))</f>
        <v/>
      </c>
      <c r="EW15" s="149" t="str">
        <f>IF(OR($B15="",$B15=0),"",($G15*(EW$4&lt;$I15)+$H15*(EW$4&gt;=$I15))*$C15*(1+'Property Summary'!$L$18)^('MF Rents'!EW$3-1))</f>
        <v/>
      </c>
      <c r="EX15" s="149" t="str">
        <f>IF(OR($B15="",$B15=0),"",($G15*(EX$4&lt;$I15)+$H15*(EX$4&gt;=$I15))*$C15*(1+'Property Summary'!$L$18)^('MF Rents'!EX$3-1))</f>
        <v/>
      </c>
      <c r="EY15" s="149" t="str">
        <f>IF(OR($B15="",$B15=0),"",($G15*(EY$4&lt;$I15)+$H15*(EY$4&gt;=$I15))*$C15*(1+'Property Summary'!$L$18)^('MF Rents'!EY$3-1))</f>
        <v/>
      </c>
      <c r="EZ15" s="149" t="str">
        <f>IF(OR($B15="",$B15=0),"",($G15*(EZ$4&lt;$I15)+$H15*(EZ$4&gt;=$I15))*$C15*(1+'Property Summary'!$L$18)^('MF Rents'!EZ$3-1))</f>
        <v/>
      </c>
      <c r="FA15" s="149" t="str">
        <f>IF(OR($B15="",$B15=0),"",($G15*(FA$4&lt;$I15)+$H15*(FA$4&gt;=$I15))*$C15*(1+'Property Summary'!$L$18)^('MF Rents'!FA$3-1))</f>
        <v/>
      </c>
      <c r="FB15" s="149" t="str">
        <f>IF(OR($B15="",$B15=0),"",($G15*(FB$4&lt;$I15)+$H15*(FB$4&gt;=$I15))*$C15*(1+'Property Summary'!$L$18)^('MF Rents'!FB$3-1))</f>
        <v/>
      </c>
      <c r="FC15" s="149" t="str">
        <f>IF(OR($B15="",$B15=0),"",($G15*(FC$4&lt;$I15)+$H15*(FC$4&gt;=$I15))*$C15*(1+'Property Summary'!$L$18)^('MF Rents'!FC$3-1))</f>
        <v/>
      </c>
      <c r="FD15" s="149" t="str">
        <f>IF(OR($B15="",$B15=0),"",($G15*(FD$4&lt;$I15)+$H15*(FD$4&gt;=$I15))*$C15*(1+'Property Summary'!$L$18)^('MF Rents'!FD$3-1))</f>
        <v/>
      </c>
      <c r="FE15" s="149" t="str">
        <f>IF(OR($B15="",$B15=0),"",($G15*(FE$4&lt;$I15)+$H15*(FE$4&gt;=$I15))*$C15*(1+'Property Summary'!$L$18)^('MF Rents'!FE$3-1))</f>
        <v/>
      </c>
      <c r="FF15" s="149" t="str">
        <f>IF(OR($B15="",$B15=0),"",($G15*(FF$4&lt;$I15)+$H15*(FF$4&gt;=$I15))*$C15*(1+'Property Summary'!$L$18)^('MF Rents'!FF$3-1))</f>
        <v/>
      </c>
      <c r="FG15" s="149" t="str">
        <f>IF(OR($B15="",$B15=0),"",($G15*(FG$4&lt;$I15)+$H15*(FG$4&gt;=$I15))*$C15*(1+'Property Summary'!$L$18)^('MF Rents'!FG$3-1))</f>
        <v/>
      </c>
      <c r="FH15" s="149" t="str">
        <f>IF(OR($B15="",$B15=0),"",($G15*(FH$4&lt;$I15)+$H15*(FH$4&gt;=$I15))*$C15*(1+'Property Summary'!$L$18)^('MF Rents'!FH$3-1))</f>
        <v/>
      </c>
      <c r="FI15" s="149" t="str">
        <f>IF(OR($B15="",$B15=0),"",($G15*(FI$4&lt;$I15)+$H15*(FI$4&gt;=$I15))*$C15*(1+'Property Summary'!$L$18)^('MF Rents'!FI$3-1))</f>
        <v/>
      </c>
      <c r="FJ15" s="149" t="str">
        <f>IF(OR($B15="",$B15=0),"",($G15*(FJ$4&lt;$I15)+$H15*(FJ$4&gt;=$I15))*$C15*(1+'Property Summary'!$L$18)^('MF Rents'!FJ$3-1))</f>
        <v/>
      </c>
      <c r="FK15" s="149" t="str">
        <f>IF(OR($B15="",$B15=0),"",($G15*(FK$4&lt;$I15)+$H15*(FK$4&gt;=$I15))*$C15*(1+'Property Summary'!$L$18)^('MF Rents'!FK$3-1))</f>
        <v/>
      </c>
      <c r="FL15" s="149" t="str">
        <f>IF(OR($B15="",$B15=0),"",($G15*(FL$4&lt;$I15)+$H15*(FL$4&gt;=$I15))*$C15*(1+'Property Summary'!$L$18)^('MF Rents'!FL$3-1))</f>
        <v/>
      </c>
      <c r="FM15" s="149" t="str">
        <f>IF(OR($B15="",$B15=0),"",($G15*(FM$4&lt;$I15)+$H15*(FM$4&gt;=$I15))*$C15*(1+'Property Summary'!$L$18)^('MF Rents'!FM$3-1))</f>
        <v/>
      </c>
      <c r="FN15" s="149" t="str">
        <f>IF(OR($B15="",$B15=0),"",($G15*(FN$4&lt;$I15)+$H15*(FN$4&gt;=$I15))*$C15*(1+'Property Summary'!$L$18)^('MF Rents'!FN$3-1))</f>
        <v/>
      </c>
      <c r="FO15" s="149" t="str">
        <f>IF(OR($B15="",$B15=0),"",($G15*(FO$4&lt;$I15)+$H15*(FO$4&gt;=$I15))*$C15*(1+'Property Summary'!$L$18)^('MF Rents'!FO$3-1))</f>
        <v/>
      </c>
      <c r="FP15" s="149" t="str">
        <f>IF(OR($B15="",$B15=0),"",($G15*(FP$4&lt;$I15)+$H15*(FP$4&gt;=$I15))*$C15*(1+'Property Summary'!$L$18)^('MF Rents'!FP$3-1))</f>
        <v/>
      </c>
      <c r="FQ15" s="149" t="str">
        <f>IF(OR($B15="",$B15=0),"",($G15*(FQ$4&lt;$I15)+$H15*(FQ$4&gt;=$I15))*$C15*(1+'Property Summary'!$L$18)^('MF Rents'!FQ$3-1))</f>
        <v/>
      </c>
      <c r="FR15" s="149" t="str">
        <f>IF(OR($B15="",$B15=0),"",($G15*(FR$4&lt;$I15)+$H15*(FR$4&gt;=$I15))*$C15*(1+'Property Summary'!$L$18)^('MF Rents'!FR$3-1))</f>
        <v/>
      </c>
      <c r="FS15" s="149" t="str">
        <f>IF(OR($B15="",$B15=0),"",($G15*(FS$4&lt;$I15)+$H15*(FS$4&gt;=$I15))*$C15*(1+'Property Summary'!$L$18)^('MF Rents'!FS$3-1))</f>
        <v/>
      </c>
      <c r="FT15" s="149" t="str">
        <f>IF(OR($B15="",$B15=0),"",($G15*(FT$4&lt;$I15)+$H15*(FT$4&gt;=$I15))*$C15*(1+'Property Summary'!$L$18)^('MF Rents'!FT$3-1))</f>
        <v/>
      </c>
      <c r="FU15" s="149" t="str">
        <f>IF(OR($B15="",$B15=0),"",($G15*(FU$4&lt;$I15)+$H15*(FU$4&gt;=$I15))*$C15*(1+'Property Summary'!$L$18)^('MF Rents'!FU$3-1))</f>
        <v/>
      </c>
      <c r="FV15" s="149" t="str">
        <f>IF(OR($B15="",$B15=0),"",($G15*(FV$4&lt;$I15)+$H15*(FV$4&gt;=$I15))*$C15*(1+'Property Summary'!$L$18)^('MF Rents'!FV$3-1))</f>
        <v/>
      </c>
      <c r="FW15" s="149" t="str">
        <f>IF(OR($B15="",$B15=0),"",($G15*(FW$4&lt;$I15)+$H15*(FW$4&gt;=$I15))*$C15*(1+'Property Summary'!$L$18)^('MF Rents'!FW$3-1))</f>
        <v/>
      </c>
      <c r="FX15" s="149" t="str">
        <f>IF(OR($B15="",$B15=0),"",($G15*(FX$4&lt;$I15)+$H15*(FX$4&gt;=$I15))*$C15*(1+'Property Summary'!$L$18)^('MF Rents'!FX$3-1))</f>
        <v/>
      </c>
      <c r="FY15" s="149" t="str">
        <f>IF(OR($B15="",$B15=0),"",($G15*(FY$4&lt;$I15)+$H15*(FY$4&gt;=$I15))*$C15*(1+'Property Summary'!$L$18)^('MF Rents'!FY$3-1))</f>
        <v/>
      </c>
      <c r="FZ15" s="149" t="str">
        <f>IF(OR($B15="",$B15=0),"",($G15*(FZ$4&lt;$I15)+$H15*(FZ$4&gt;=$I15))*$C15*(1+'Property Summary'!$L$18)^('MF Rents'!FZ$3-1))</f>
        <v/>
      </c>
      <c r="GA15" s="149" t="str">
        <f>IF(OR($B15="",$B15=0),"",($G15*(GA$4&lt;$I15)+$H15*(GA$4&gt;=$I15))*$C15*(1+'Property Summary'!$L$18)^('MF Rents'!GA$3-1))</f>
        <v/>
      </c>
      <c r="GB15" s="149" t="str">
        <f>IF(OR($B15="",$B15=0),"",($G15*(GB$4&lt;$I15)+$H15*(GB$4&gt;=$I15))*$C15*(1+'Property Summary'!$L$18)^('MF Rents'!GB$3-1))</f>
        <v/>
      </c>
      <c r="GC15" s="149" t="str">
        <f>IF(OR($B15="",$B15=0),"",($G15*(GC$4&lt;$I15)+$H15*(GC$4&gt;=$I15))*$C15*(1+'Property Summary'!$L$18)^('MF Rents'!GC$3-1))</f>
        <v/>
      </c>
      <c r="GD15" s="149" t="str">
        <f>IF(OR($B15="",$B15=0),"",($G15*(GD$4&lt;$I15)+$H15*(GD$4&gt;=$I15))*$C15*(1+'Property Summary'!$L$18)^('MF Rents'!GD$3-1))</f>
        <v/>
      </c>
      <c r="GE15" s="149" t="str">
        <f>IF(OR($B15="",$B15=0),"",($G15*(GE$4&lt;$I15)+$H15*(GE$4&gt;=$I15))*$C15*(1+'Property Summary'!$L$18)^('MF Rents'!GE$3-1))</f>
        <v/>
      </c>
      <c r="GF15" s="149" t="str">
        <f>IF(OR($B15="",$B15=0),"",($G15*(GF$4&lt;$I15)+$H15*(GF$4&gt;=$I15))*$C15*(1+'Property Summary'!$L$18)^('MF Rents'!GF$3-1))</f>
        <v/>
      </c>
      <c r="GG15" s="149" t="str">
        <f>IF(OR($B15="",$B15=0),"",($G15*(GG$4&lt;$I15)+$H15*(GG$4&gt;=$I15))*$C15*(1+'Property Summary'!$L$18)^('MF Rents'!GG$3-1))</f>
        <v/>
      </c>
      <c r="GH15" s="149" t="str">
        <f>IF(OR($B15="",$B15=0),"",($G15*(GH$4&lt;$I15)+$H15*(GH$4&gt;=$I15))*$C15*(1+'Property Summary'!$L$18)^('MF Rents'!GH$3-1))</f>
        <v/>
      </c>
      <c r="GI15" s="149" t="str">
        <f>IF(OR($B15="",$B15=0),"",($G15*(GI$4&lt;$I15)+$H15*(GI$4&gt;=$I15))*$C15*(1+'Property Summary'!$L$18)^('MF Rents'!GI$3-1))</f>
        <v/>
      </c>
      <c r="GJ15" s="149" t="str">
        <f>IF(OR($B15="",$B15=0),"",($G15*(GJ$4&lt;$I15)+$H15*(GJ$4&gt;=$I15))*$C15*(1+'Property Summary'!$L$18)^('MF Rents'!GJ$3-1))</f>
        <v/>
      </c>
      <c r="GK15" s="149" t="str">
        <f>IF(OR($B15="",$B15=0),"",($G15*(GK$4&lt;$I15)+$H15*(GK$4&gt;=$I15))*$C15*(1+'Property Summary'!$L$18)^('MF Rents'!GK$3-1))</f>
        <v/>
      </c>
      <c r="GL15" s="149" t="str">
        <f>IF(OR($B15="",$B15=0),"",($G15*(GL$4&lt;$I15)+$H15*(GL$4&gt;=$I15))*$C15*(1+'Property Summary'!$L$18)^('MF Rents'!GL$3-1))</f>
        <v/>
      </c>
      <c r="GM15" s="149" t="str">
        <f>IF(OR($B15="",$B15=0),"",($G15*(GM$4&lt;$I15)+$H15*(GM$4&gt;=$I15))*$C15*(1+'Property Summary'!$L$18)^('MF Rents'!GM$3-1))</f>
        <v/>
      </c>
      <c r="GN15" s="149" t="str">
        <f>IF(OR($B15="",$B15=0),"",($G15*(GN$4&lt;$I15)+$H15*(GN$4&gt;=$I15))*$C15*(1+'Property Summary'!$L$18)^('MF Rents'!GN$3-1))</f>
        <v/>
      </c>
      <c r="GO15" s="149" t="str">
        <f>IF(OR($B15="",$B15=0),"",($G15*(GO$4&lt;$I15)+$H15*(GO$4&gt;=$I15))*$C15*(1+'Property Summary'!$L$18)^('MF Rents'!GO$3-1))</f>
        <v/>
      </c>
      <c r="GP15" s="149" t="str">
        <f>IF(OR($B15="",$B15=0),"",($G15*(GP$4&lt;$I15)+$H15*(GP$4&gt;=$I15))*$C15*(1+'Property Summary'!$L$18)^('MF Rents'!GP$3-1))</f>
        <v/>
      </c>
      <c r="GQ15" s="149" t="str">
        <f>IF(OR($B15="",$B15=0),"",($G15*(GQ$4&lt;$I15)+$H15*(GQ$4&gt;=$I15))*$C15*(1+'Property Summary'!$L$18)^('MF Rents'!GQ$3-1))</f>
        <v/>
      </c>
      <c r="GR15" s="149" t="str">
        <f>IF(OR($B15="",$B15=0),"",($G15*(GR$4&lt;$I15)+$H15*(GR$4&gt;=$I15))*$C15*(1+'Property Summary'!$L$18)^('MF Rents'!GR$3-1))</f>
        <v/>
      </c>
    </row>
    <row r="16" spans="2:200" x14ac:dyDescent="0.3">
      <c r="B16" s="184">
        <f>'MF Rent Roll'!B15</f>
        <v>0</v>
      </c>
      <c r="C16" s="171">
        <f>'MF Rent Roll'!C15</f>
        <v>0</v>
      </c>
      <c r="D16" s="172">
        <f>'MF Rent Roll'!D15</f>
        <v>0</v>
      </c>
      <c r="E16" s="172">
        <f>'MF Rent Roll'!E15</f>
        <v>0</v>
      </c>
      <c r="F16" s="173">
        <f>'MF Rent Roll'!F15</f>
        <v>0</v>
      </c>
      <c r="G16" s="174">
        <f>'MF Rent Roll'!G15</f>
        <v>0</v>
      </c>
      <c r="H16" s="174">
        <f>IF('MF Rent Roll'!H15="",G16,'MF Rent Roll'!H15)</f>
        <v>0</v>
      </c>
      <c r="I16" s="175">
        <f>IF('MF Rent Roll'!I15="",1,'MF Rent Roll'!I15)</f>
        <v>1</v>
      </c>
      <c r="J16" s="176">
        <f>'MF Rent Roll'!J15</f>
        <v>0</v>
      </c>
      <c r="K16" s="174">
        <f>'MF Rent Roll'!K15</f>
        <v>0</v>
      </c>
      <c r="L16" s="177">
        <f>'MF Rent Roll'!L15</f>
        <v>0</v>
      </c>
      <c r="M16" s="178">
        <f>'MF Rent Roll'!M15</f>
        <v>0</v>
      </c>
      <c r="N16" s="174">
        <f>'MF Rent Roll'!N15</f>
        <v>0</v>
      </c>
      <c r="O16" s="179">
        <f>'MF Rent Roll'!O15</f>
        <v>0</v>
      </c>
      <c r="P16" s="180" t="str">
        <f>'MF Rent Roll'!P15</f>
        <v/>
      </c>
      <c r="Q16" s="181" t="str">
        <f>'MF Rent Roll'!Q15</f>
        <v/>
      </c>
      <c r="R16" s="104" t="str">
        <f>'MF Rent Roll'!R15</f>
        <v/>
      </c>
      <c r="U16" s="149" t="str">
        <f>IF(OR($B16="",$B16=0),"",($G16*(U$4&lt;$I16)+$H16*(U$4&gt;=$I16))*$C16*(1+'Property Summary'!$L$18)^('MF Rents'!U$3-1))</f>
        <v/>
      </c>
      <c r="V16" s="149" t="str">
        <f>IF(OR($B16="",$B16=0),"",($G16*(V$4&lt;$I16)+$H16*(V$4&gt;=$I16))*$C16*(1+'Property Summary'!$L$18)^('MF Rents'!V$3-1))</f>
        <v/>
      </c>
      <c r="W16" s="149" t="str">
        <f>IF(OR($B16="",$B16=0),"",($G16*(W$4&lt;$I16)+$H16*(W$4&gt;=$I16))*$C16*(1+'Property Summary'!$L$18)^('MF Rents'!W$3-1))</f>
        <v/>
      </c>
      <c r="X16" s="149" t="str">
        <f>IF(OR($B16="",$B16=0),"",($G16*(X$4&lt;$I16)+$H16*(X$4&gt;=$I16))*$C16*(1+'Property Summary'!$L$18)^('MF Rents'!X$3-1))</f>
        <v/>
      </c>
      <c r="Y16" s="149" t="str">
        <f>IF(OR($B16="",$B16=0),"",($G16*(Y$4&lt;$I16)+$H16*(Y$4&gt;=$I16))*$C16*(1+'Property Summary'!$L$18)^('MF Rents'!Y$3-1))</f>
        <v/>
      </c>
      <c r="Z16" s="149" t="str">
        <f>IF(OR($B16="",$B16=0),"",($G16*(Z$4&lt;$I16)+$H16*(Z$4&gt;=$I16))*$C16*(1+'Property Summary'!$L$18)^('MF Rents'!Z$3-1))</f>
        <v/>
      </c>
      <c r="AA16" s="149" t="str">
        <f>IF(OR($B16="",$B16=0),"",($G16*(AA$4&lt;$I16)+$H16*(AA$4&gt;=$I16))*$C16*(1+'Property Summary'!$L$18)^('MF Rents'!AA$3-1))</f>
        <v/>
      </c>
      <c r="AB16" s="149" t="str">
        <f>IF(OR($B16="",$B16=0),"",($G16*(AB$4&lt;$I16)+$H16*(AB$4&gt;=$I16))*$C16*(1+'Property Summary'!$L$18)^('MF Rents'!AB$3-1))</f>
        <v/>
      </c>
      <c r="AC16" s="149" t="str">
        <f>IF(OR($B16="",$B16=0),"",($G16*(AC$4&lt;$I16)+$H16*(AC$4&gt;=$I16))*$C16*(1+'Property Summary'!$L$18)^('MF Rents'!AC$3-1))</f>
        <v/>
      </c>
      <c r="AD16" s="149" t="str">
        <f>IF(OR($B16="",$B16=0),"",($G16*(AD$4&lt;$I16)+$H16*(AD$4&gt;=$I16))*$C16*(1+'Property Summary'!$L$18)^('MF Rents'!AD$3-1))</f>
        <v/>
      </c>
      <c r="AE16" s="149" t="str">
        <f>IF(OR($B16="",$B16=0),"",($G16*(AE$4&lt;$I16)+$H16*(AE$4&gt;=$I16))*$C16*(1+'Property Summary'!$L$18)^('MF Rents'!AE$3-1))</f>
        <v/>
      </c>
      <c r="AF16" s="149" t="str">
        <f>IF(OR($B16="",$B16=0),"",($G16*(AF$4&lt;$I16)+$H16*(AF$4&gt;=$I16))*$C16*(1+'Property Summary'!$L$18)^('MF Rents'!AF$3-1))</f>
        <v/>
      </c>
      <c r="AG16" s="149" t="str">
        <f>IF(OR($B16="",$B16=0),"",($G16*(AG$4&lt;$I16)+$H16*(AG$4&gt;=$I16))*$C16*(1+'Property Summary'!$L$18)^('MF Rents'!AG$3-1))</f>
        <v/>
      </c>
      <c r="AH16" s="149" t="str">
        <f>IF(OR($B16="",$B16=0),"",($G16*(AH$4&lt;$I16)+$H16*(AH$4&gt;=$I16))*$C16*(1+'Property Summary'!$L$18)^('MF Rents'!AH$3-1))</f>
        <v/>
      </c>
      <c r="AI16" s="149" t="str">
        <f>IF(OR($B16="",$B16=0),"",($G16*(AI$4&lt;$I16)+$H16*(AI$4&gt;=$I16))*$C16*(1+'Property Summary'!$L$18)^('MF Rents'!AI$3-1))</f>
        <v/>
      </c>
      <c r="AJ16" s="149" t="str">
        <f>IF(OR($B16="",$B16=0),"",($G16*(AJ$4&lt;$I16)+$H16*(AJ$4&gt;=$I16))*$C16*(1+'Property Summary'!$L$18)^('MF Rents'!AJ$3-1))</f>
        <v/>
      </c>
      <c r="AK16" s="149" t="str">
        <f>IF(OR($B16="",$B16=0),"",($G16*(AK$4&lt;$I16)+$H16*(AK$4&gt;=$I16))*$C16*(1+'Property Summary'!$L$18)^('MF Rents'!AK$3-1))</f>
        <v/>
      </c>
      <c r="AL16" s="149" t="str">
        <f>IF(OR($B16="",$B16=0),"",($G16*(AL$4&lt;$I16)+$H16*(AL$4&gt;=$I16))*$C16*(1+'Property Summary'!$L$18)^('MF Rents'!AL$3-1))</f>
        <v/>
      </c>
      <c r="AM16" s="149" t="str">
        <f>IF(OR($B16="",$B16=0),"",($G16*(AM$4&lt;$I16)+$H16*(AM$4&gt;=$I16))*$C16*(1+'Property Summary'!$L$18)^('MF Rents'!AM$3-1))</f>
        <v/>
      </c>
      <c r="AN16" s="149" t="str">
        <f>IF(OR($B16="",$B16=0),"",($G16*(AN$4&lt;$I16)+$H16*(AN$4&gt;=$I16))*$C16*(1+'Property Summary'!$L$18)^('MF Rents'!AN$3-1))</f>
        <v/>
      </c>
      <c r="AO16" s="149" t="str">
        <f>IF(OR($B16="",$B16=0),"",($G16*(AO$4&lt;$I16)+$H16*(AO$4&gt;=$I16))*$C16*(1+'Property Summary'!$L$18)^('MF Rents'!AO$3-1))</f>
        <v/>
      </c>
      <c r="AP16" s="149" t="str">
        <f>IF(OR($B16="",$B16=0),"",($G16*(AP$4&lt;$I16)+$H16*(AP$4&gt;=$I16))*$C16*(1+'Property Summary'!$L$18)^('MF Rents'!AP$3-1))</f>
        <v/>
      </c>
      <c r="AQ16" s="149" t="str">
        <f>IF(OR($B16="",$B16=0),"",($G16*(AQ$4&lt;$I16)+$H16*(AQ$4&gt;=$I16))*$C16*(1+'Property Summary'!$L$18)^('MF Rents'!AQ$3-1))</f>
        <v/>
      </c>
      <c r="AR16" s="149" t="str">
        <f>IF(OR($B16="",$B16=0),"",($G16*(AR$4&lt;$I16)+$H16*(AR$4&gt;=$I16))*$C16*(1+'Property Summary'!$L$18)^('MF Rents'!AR$3-1))</f>
        <v/>
      </c>
      <c r="AS16" s="149" t="str">
        <f>IF(OR($B16="",$B16=0),"",($G16*(AS$4&lt;$I16)+$H16*(AS$4&gt;=$I16))*$C16*(1+'Property Summary'!$L$18)^('MF Rents'!AS$3-1))</f>
        <v/>
      </c>
      <c r="AT16" s="149" t="str">
        <f>IF(OR($B16="",$B16=0),"",($G16*(AT$4&lt;$I16)+$H16*(AT$4&gt;=$I16))*$C16*(1+'Property Summary'!$L$18)^('MF Rents'!AT$3-1))</f>
        <v/>
      </c>
      <c r="AU16" s="149" t="str">
        <f>IF(OR($B16="",$B16=0),"",($G16*(AU$4&lt;$I16)+$H16*(AU$4&gt;=$I16))*$C16*(1+'Property Summary'!$L$18)^('MF Rents'!AU$3-1))</f>
        <v/>
      </c>
      <c r="AV16" s="149" t="str">
        <f>IF(OR($B16="",$B16=0),"",($G16*(AV$4&lt;$I16)+$H16*(AV$4&gt;=$I16))*$C16*(1+'Property Summary'!$L$18)^('MF Rents'!AV$3-1))</f>
        <v/>
      </c>
      <c r="AW16" s="149" t="str">
        <f>IF(OR($B16="",$B16=0),"",($G16*(AW$4&lt;$I16)+$H16*(AW$4&gt;=$I16))*$C16*(1+'Property Summary'!$L$18)^('MF Rents'!AW$3-1))</f>
        <v/>
      </c>
      <c r="AX16" s="149" t="str">
        <f>IF(OR($B16="",$B16=0),"",($G16*(AX$4&lt;$I16)+$H16*(AX$4&gt;=$I16))*$C16*(1+'Property Summary'!$L$18)^('MF Rents'!AX$3-1))</f>
        <v/>
      </c>
      <c r="AY16" s="149" t="str">
        <f>IF(OR($B16="",$B16=0),"",($G16*(AY$4&lt;$I16)+$H16*(AY$4&gt;=$I16))*$C16*(1+'Property Summary'!$L$18)^('MF Rents'!AY$3-1))</f>
        <v/>
      </c>
      <c r="AZ16" s="149" t="str">
        <f>IF(OR($B16="",$B16=0),"",($G16*(AZ$4&lt;$I16)+$H16*(AZ$4&gt;=$I16))*$C16*(1+'Property Summary'!$L$18)^('MF Rents'!AZ$3-1))</f>
        <v/>
      </c>
      <c r="BA16" s="149" t="str">
        <f>IF(OR($B16="",$B16=0),"",($G16*(BA$4&lt;$I16)+$H16*(BA$4&gt;=$I16))*$C16*(1+'Property Summary'!$L$18)^('MF Rents'!BA$3-1))</f>
        <v/>
      </c>
      <c r="BB16" s="149" t="str">
        <f>IF(OR($B16="",$B16=0),"",($G16*(BB$4&lt;$I16)+$H16*(BB$4&gt;=$I16))*$C16*(1+'Property Summary'!$L$18)^('MF Rents'!BB$3-1))</f>
        <v/>
      </c>
      <c r="BC16" s="149" t="str">
        <f>IF(OR($B16="",$B16=0),"",($G16*(BC$4&lt;$I16)+$H16*(BC$4&gt;=$I16))*$C16*(1+'Property Summary'!$L$18)^('MF Rents'!BC$3-1))</f>
        <v/>
      </c>
      <c r="BD16" s="149" t="str">
        <f>IF(OR($B16="",$B16=0),"",($G16*(BD$4&lt;$I16)+$H16*(BD$4&gt;=$I16))*$C16*(1+'Property Summary'!$L$18)^('MF Rents'!BD$3-1))</f>
        <v/>
      </c>
      <c r="BE16" s="149" t="str">
        <f>IF(OR($B16="",$B16=0),"",($G16*(BE$4&lt;$I16)+$H16*(BE$4&gt;=$I16))*$C16*(1+'Property Summary'!$L$18)^('MF Rents'!BE$3-1))</f>
        <v/>
      </c>
      <c r="BF16" s="149" t="str">
        <f>IF(OR($B16="",$B16=0),"",($G16*(BF$4&lt;$I16)+$H16*(BF$4&gt;=$I16))*$C16*(1+'Property Summary'!$L$18)^('MF Rents'!BF$3-1))</f>
        <v/>
      </c>
      <c r="BG16" s="149" t="str">
        <f>IF(OR($B16="",$B16=0),"",($G16*(BG$4&lt;$I16)+$H16*(BG$4&gt;=$I16))*$C16*(1+'Property Summary'!$L$18)^('MF Rents'!BG$3-1))</f>
        <v/>
      </c>
      <c r="BH16" s="149" t="str">
        <f>IF(OR($B16="",$B16=0),"",($G16*(BH$4&lt;$I16)+$H16*(BH$4&gt;=$I16))*$C16*(1+'Property Summary'!$L$18)^('MF Rents'!BH$3-1))</f>
        <v/>
      </c>
      <c r="BI16" s="149" t="str">
        <f>IF(OR($B16="",$B16=0),"",($G16*(BI$4&lt;$I16)+$H16*(BI$4&gt;=$I16))*$C16*(1+'Property Summary'!$L$18)^('MF Rents'!BI$3-1))</f>
        <v/>
      </c>
      <c r="BJ16" s="149" t="str">
        <f>IF(OR($B16="",$B16=0),"",($G16*(BJ$4&lt;$I16)+$H16*(BJ$4&gt;=$I16))*$C16*(1+'Property Summary'!$L$18)^('MF Rents'!BJ$3-1))</f>
        <v/>
      </c>
      <c r="BK16" s="149" t="str">
        <f>IF(OR($B16="",$B16=0),"",($G16*(BK$4&lt;$I16)+$H16*(BK$4&gt;=$I16))*$C16*(1+'Property Summary'!$L$18)^('MF Rents'!BK$3-1))</f>
        <v/>
      </c>
      <c r="BL16" s="149" t="str">
        <f>IF(OR($B16="",$B16=0),"",($G16*(BL$4&lt;$I16)+$H16*(BL$4&gt;=$I16))*$C16*(1+'Property Summary'!$L$18)^('MF Rents'!BL$3-1))</f>
        <v/>
      </c>
      <c r="BM16" s="149" t="str">
        <f>IF(OR($B16="",$B16=0),"",($G16*(BM$4&lt;$I16)+$H16*(BM$4&gt;=$I16))*$C16*(1+'Property Summary'!$L$18)^('MF Rents'!BM$3-1))</f>
        <v/>
      </c>
      <c r="BN16" s="149" t="str">
        <f>IF(OR($B16="",$B16=0),"",($G16*(BN$4&lt;$I16)+$H16*(BN$4&gt;=$I16))*$C16*(1+'Property Summary'!$L$18)^('MF Rents'!BN$3-1))</f>
        <v/>
      </c>
      <c r="BO16" s="149" t="str">
        <f>IF(OR($B16="",$B16=0),"",($G16*(BO$4&lt;$I16)+$H16*(BO$4&gt;=$I16))*$C16*(1+'Property Summary'!$L$18)^('MF Rents'!BO$3-1))</f>
        <v/>
      </c>
      <c r="BP16" s="149" t="str">
        <f>IF(OR($B16="",$B16=0),"",($G16*(BP$4&lt;$I16)+$H16*(BP$4&gt;=$I16))*$C16*(1+'Property Summary'!$L$18)^('MF Rents'!BP$3-1))</f>
        <v/>
      </c>
      <c r="BQ16" s="149" t="str">
        <f>IF(OR($B16="",$B16=0),"",($G16*(BQ$4&lt;$I16)+$H16*(BQ$4&gt;=$I16))*$C16*(1+'Property Summary'!$L$18)^('MF Rents'!BQ$3-1))</f>
        <v/>
      </c>
      <c r="BR16" s="149" t="str">
        <f>IF(OR($B16="",$B16=0),"",($G16*(BR$4&lt;$I16)+$H16*(BR$4&gt;=$I16))*$C16*(1+'Property Summary'!$L$18)^('MF Rents'!BR$3-1))</f>
        <v/>
      </c>
      <c r="BS16" s="149" t="str">
        <f>IF(OR($B16="",$B16=0),"",($G16*(BS$4&lt;$I16)+$H16*(BS$4&gt;=$I16))*$C16*(1+'Property Summary'!$L$18)^('MF Rents'!BS$3-1))</f>
        <v/>
      </c>
      <c r="BT16" s="149" t="str">
        <f>IF(OR($B16="",$B16=0),"",($G16*(BT$4&lt;$I16)+$H16*(BT$4&gt;=$I16))*$C16*(1+'Property Summary'!$L$18)^('MF Rents'!BT$3-1))</f>
        <v/>
      </c>
      <c r="BU16" s="149" t="str">
        <f>IF(OR($B16="",$B16=0),"",($G16*(BU$4&lt;$I16)+$H16*(BU$4&gt;=$I16))*$C16*(1+'Property Summary'!$L$18)^('MF Rents'!BU$3-1))</f>
        <v/>
      </c>
      <c r="BV16" s="149" t="str">
        <f>IF(OR($B16="",$B16=0),"",($G16*(BV$4&lt;$I16)+$H16*(BV$4&gt;=$I16))*$C16*(1+'Property Summary'!$L$18)^('MF Rents'!BV$3-1))</f>
        <v/>
      </c>
      <c r="BW16" s="149" t="str">
        <f>IF(OR($B16="",$B16=0),"",($G16*(BW$4&lt;$I16)+$H16*(BW$4&gt;=$I16))*$C16*(1+'Property Summary'!$L$18)^('MF Rents'!BW$3-1))</f>
        <v/>
      </c>
      <c r="BX16" s="149" t="str">
        <f>IF(OR($B16="",$B16=0),"",($G16*(BX$4&lt;$I16)+$H16*(BX$4&gt;=$I16))*$C16*(1+'Property Summary'!$L$18)^('MF Rents'!BX$3-1))</f>
        <v/>
      </c>
      <c r="BY16" s="149" t="str">
        <f>IF(OR($B16="",$B16=0),"",($G16*(BY$4&lt;$I16)+$H16*(BY$4&gt;=$I16))*$C16*(1+'Property Summary'!$L$18)^('MF Rents'!BY$3-1))</f>
        <v/>
      </c>
      <c r="BZ16" s="149" t="str">
        <f>IF(OR($B16="",$B16=0),"",($G16*(BZ$4&lt;$I16)+$H16*(BZ$4&gt;=$I16))*$C16*(1+'Property Summary'!$L$18)^('MF Rents'!BZ$3-1))</f>
        <v/>
      </c>
      <c r="CA16" s="149" t="str">
        <f>IF(OR($B16="",$B16=0),"",($G16*(CA$4&lt;$I16)+$H16*(CA$4&gt;=$I16))*$C16*(1+'Property Summary'!$L$18)^('MF Rents'!CA$3-1))</f>
        <v/>
      </c>
      <c r="CB16" s="149" t="str">
        <f>IF(OR($B16="",$B16=0),"",($G16*(CB$4&lt;$I16)+$H16*(CB$4&gt;=$I16))*$C16*(1+'Property Summary'!$L$18)^('MF Rents'!CB$3-1))</f>
        <v/>
      </c>
      <c r="CC16" s="149" t="str">
        <f>IF(OR($B16="",$B16=0),"",($G16*(CC$4&lt;$I16)+$H16*(CC$4&gt;=$I16))*$C16*(1+'Property Summary'!$L$18)^('MF Rents'!CC$3-1))</f>
        <v/>
      </c>
      <c r="CD16" s="149" t="str">
        <f>IF(OR($B16="",$B16=0),"",($G16*(CD$4&lt;$I16)+$H16*(CD$4&gt;=$I16))*$C16*(1+'Property Summary'!$L$18)^('MF Rents'!CD$3-1))</f>
        <v/>
      </c>
      <c r="CE16" s="149" t="str">
        <f>IF(OR($B16="",$B16=0),"",($G16*(CE$4&lt;$I16)+$H16*(CE$4&gt;=$I16))*$C16*(1+'Property Summary'!$L$18)^('MF Rents'!CE$3-1))</f>
        <v/>
      </c>
      <c r="CF16" s="149" t="str">
        <f>IF(OR($B16="",$B16=0),"",($G16*(CF$4&lt;$I16)+$H16*(CF$4&gt;=$I16))*$C16*(1+'Property Summary'!$L$18)^('MF Rents'!CF$3-1))</f>
        <v/>
      </c>
      <c r="CG16" s="149" t="str">
        <f>IF(OR($B16="",$B16=0),"",($G16*(CG$4&lt;$I16)+$H16*(CG$4&gt;=$I16))*$C16*(1+'Property Summary'!$L$18)^('MF Rents'!CG$3-1))</f>
        <v/>
      </c>
      <c r="CH16" s="149" t="str">
        <f>IF(OR($B16="",$B16=0),"",($G16*(CH$4&lt;$I16)+$H16*(CH$4&gt;=$I16))*$C16*(1+'Property Summary'!$L$18)^('MF Rents'!CH$3-1))</f>
        <v/>
      </c>
      <c r="CI16" s="149" t="str">
        <f>IF(OR($B16="",$B16=0),"",($G16*(CI$4&lt;$I16)+$H16*(CI$4&gt;=$I16))*$C16*(1+'Property Summary'!$L$18)^('MF Rents'!CI$3-1))</f>
        <v/>
      </c>
      <c r="CJ16" s="149" t="str">
        <f>IF(OR($B16="",$B16=0),"",($G16*(CJ$4&lt;$I16)+$H16*(CJ$4&gt;=$I16))*$C16*(1+'Property Summary'!$L$18)^('MF Rents'!CJ$3-1))</f>
        <v/>
      </c>
      <c r="CK16" s="149" t="str">
        <f>IF(OR($B16="",$B16=0),"",($G16*(CK$4&lt;$I16)+$H16*(CK$4&gt;=$I16))*$C16*(1+'Property Summary'!$L$18)^('MF Rents'!CK$3-1))</f>
        <v/>
      </c>
      <c r="CL16" s="149" t="str">
        <f>IF(OR($B16="",$B16=0),"",($G16*(CL$4&lt;$I16)+$H16*(CL$4&gt;=$I16))*$C16*(1+'Property Summary'!$L$18)^('MF Rents'!CL$3-1))</f>
        <v/>
      </c>
      <c r="CM16" s="149" t="str">
        <f>IF(OR($B16="",$B16=0),"",($G16*(CM$4&lt;$I16)+$H16*(CM$4&gt;=$I16))*$C16*(1+'Property Summary'!$L$18)^('MF Rents'!CM$3-1))</f>
        <v/>
      </c>
      <c r="CN16" s="149" t="str">
        <f>IF(OR($B16="",$B16=0),"",($G16*(CN$4&lt;$I16)+$H16*(CN$4&gt;=$I16))*$C16*(1+'Property Summary'!$L$18)^('MF Rents'!CN$3-1))</f>
        <v/>
      </c>
      <c r="CO16" s="149" t="str">
        <f>IF(OR($B16="",$B16=0),"",($G16*(CO$4&lt;$I16)+$H16*(CO$4&gt;=$I16))*$C16*(1+'Property Summary'!$L$18)^('MF Rents'!CO$3-1))</f>
        <v/>
      </c>
      <c r="CP16" s="149" t="str">
        <f>IF(OR($B16="",$B16=0),"",($G16*(CP$4&lt;$I16)+$H16*(CP$4&gt;=$I16))*$C16*(1+'Property Summary'!$L$18)^('MF Rents'!CP$3-1))</f>
        <v/>
      </c>
      <c r="CQ16" s="149" t="str">
        <f>IF(OR($B16="",$B16=0),"",($G16*(CQ$4&lt;$I16)+$H16*(CQ$4&gt;=$I16))*$C16*(1+'Property Summary'!$L$18)^('MF Rents'!CQ$3-1))</f>
        <v/>
      </c>
      <c r="CR16" s="149" t="str">
        <f>IF(OR($B16="",$B16=0),"",($G16*(CR$4&lt;$I16)+$H16*(CR$4&gt;=$I16))*$C16*(1+'Property Summary'!$L$18)^('MF Rents'!CR$3-1))</f>
        <v/>
      </c>
      <c r="CS16" s="149" t="str">
        <f>IF(OR($B16="",$B16=0),"",($G16*(CS$4&lt;$I16)+$H16*(CS$4&gt;=$I16))*$C16*(1+'Property Summary'!$L$18)^('MF Rents'!CS$3-1))</f>
        <v/>
      </c>
      <c r="CT16" s="149" t="str">
        <f>IF(OR($B16="",$B16=0),"",($G16*(CT$4&lt;$I16)+$H16*(CT$4&gt;=$I16))*$C16*(1+'Property Summary'!$L$18)^('MF Rents'!CT$3-1))</f>
        <v/>
      </c>
      <c r="CU16" s="149" t="str">
        <f>IF(OR($B16="",$B16=0),"",($G16*(CU$4&lt;$I16)+$H16*(CU$4&gt;=$I16))*$C16*(1+'Property Summary'!$L$18)^('MF Rents'!CU$3-1))</f>
        <v/>
      </c>
      <c r="CV16" s="149" t="str">
        <f>IF(OR($B16="",$B16=0),"",($G16*(CV$4&lt;$I16)+$H16*(CV$4&gt;=$I16))*$C16*(1+'Property Summary'!$L$18)^('MF Rents'!CV$3-1))</f>
        <v/>
      </c>
      <c r="CW16" s="149" t="str">
        <f>IF(OR($B16="",$B16=0),"",($G16*(CW$4&lt;$I16)+$H16*(CW$4&gt;=$I16))*$C16*(1+'Property Summary'!$L$18)^('MF Rents'!CW$3-1))</f>
        <v/>
      </c>
      <c r="CX16" s="149" t="str">
        <f>IF(OR($B16="",$B16=0),"",($G16*(CX$4&lt;$I16)+$H16*(CX$4&gt;=$I16))*$C16*(1+'Property Summary'!$L$18)^('MF Rents'!CX$3-1))</f>
        <v/>
      </c>
      <c r="CY16" s="149" t="str">
        <f>IF(OR($B16="",$B16=0),"",($G16*(CY$4&lt;$I16)+$H16*(CY$4&gt;=$I16))*$C16*(1+'Property Summary'!$L$18)^('MF Rents'!CY$3-1))</f>
        <v/>
      </c>
      <c r="CZ16" s="149" t="str">
        <f>IF(OR($B16="",$B16=0),"",($G16*(CZ$4&lt;$I16)+$H16*(CZ$4&gt;=$I16))*$C16*(1+'Property Summary'!$L$18)^('MF Rents'!CZ$3-1))</f>
        <v/>
      </c>
      <c r="DA16" s="149" t="str">
        <f>IF(OR($B16="",$B16=0),"",($G16*(DA$4&lt;$I16)+$H16*(DA$4&gt;=$I16))*$C16*(1+'Property Summary'!$L$18)^('MF Rents'!DA$3-1))</f>
        <v/>
      </c>
      <c r="DB16" s="149" t="str">
        <f>IF(OR($B16="",$B16=0),"",($G16*(DB$4&lt;$I16)+$H16*(DB$4&gt;=$I16))*$C16*(1+'Property Summary'!$L$18)^('MF Rents'!DB$3-1))</f>
        <v/>
      </c>
      <c r="DC16" s="149" t="str">
        <f>IF(OR($B16="",$B16=0),"",($G16*(DC$4&lt;$I16)+$H16*(DC$4&gt;=$I16))*$C16*(1+'Property Summary'!$L$18)^('MF Rents'!DC$3-1))</f>
        <v/>
      </c>
      <c r="DD16" s="149" t="str">
        <f>IF(OR($B16="",$B16=0),"",($G16*(DD$4&lt;$I16)+$H16*(DD$4&gt;=$I16))*$C16*(1+'Property Summary'!$L$18)^('MF Rents'!DD$3-1))</f>
        <v/>
      </c>
      <c r="DE16" s="149" t="str">
        <f>IF(OR($B16="",$B16=0),"",($G16*(DE$4&lt;$I16)+$H16*(DE$4&gt;=$I16))*$C16*(1+'Property Summary'!$L$18)^('MF Rents'!DE$3-1))</f>
        <v/>
      </c>
      <c r="DF16" s="149" t="str">
        <f>IF(OR($B16="",$B16=0),"",($G16*(DF$4&lt;$I16)+$H16*(DF$4&gt;=$I16))*$C16*(1+'Property Summary'!$L$18)^('MF Rents'!DF$3-1))</f>
        <v/>
      </c>
      <c r="DG16" s="149" t="str">
        <f>IF(OR($B16="",$B16=0),"",($G16*(DG$4&lt;$I16)+$H16*(DG$4&gt;=$I16))*$C16*(1+'Property Summary'!$L$18)^('MF Rents'!DG$3-1))</f>
        <v/>
      </c>
      <c r="DH16" s="149" t="str">
        <f>IF(OR($B16="",$B16=0),"",($G16*(DH$4&lt;$I16)+$H16*(DH$4&gt;=$I16))*$C16*(1+'Property Summary'!$L$18)^('MF Rents'!DH$3-1))</f>
        <v/>
      </c>
      <c r="DI16" s="149" t="str">
        <f>IF(OR($B16="",$B16=0),"",($G16*(DI$4&lt;$I16)+$H16*(DI$4&gt;=$I16))*$C16*(1+'Property Summary'!$L$18)^('MF Rents'!DI$3-1))</f>
        <v/>
      </c>
      <c r="DJ16" s="149" t="str">
        <f>IF(OR($B16="",$B16=0),"",($G16*(DJ$4&lt;$I16)+$H16*(DJ$4&gt;=$I16))*$C16*(1+'Property Summary'!$L$18)^('MF Rents'!DJ$3-1))</f>
        <v/>
      </c>
      <c r="DK16" s="149" t="str">
        <f>IF(OR($B16="",$B16=0),"",($G16*(DK$4&lt;$I16)+$H16*(DK$4&gt;=$I16))*$C16*(1+'Property Summary'!$L$18)^('MF Rents'!DK$3-1))</f>
        <v/>
      </c>
      <c r="DL16" s="149" t="str">
        <f>IF(OR($B16="",$B16=0),"",($G16*(DL$4&lt;$I16)+$H16*(DL$4&gt;=$I16))*$C16*(1+'Property Summary'!$L$18)^('MF Rents'!DL$3-1))</f>
        <v/>
      </c>
      <c r="DM16" s="149" t="str">
        <f>IF(OR($B16="",$B16=0),"",($G16*(DM$4&lt;$I16)+$H16*(DM$4&gt;=$I16))*$C16*(1+'Property Summary'!$L$18)^('MF Rents'!DM$3-1))</f>
        <v/>
      </c>
      <c r="DN16" s="149" t="str">
        <f>IF(OR($B16="",$B16=0),"",($G16*(DN$4&lt;$I16)+$H16*(DN$4&gt;=$I16))*$C16*(1+'Property Summary'!$L$18)^('MF Rents'!DN$3-1))</f>
        <v/>
      </c>
      <c r="DO16" s="149" t="str">
        <f>IF(OR($B16="",$B16=0),"",($G16*(DO$4&lt;$I16)+$H16*(DO$4&gt;=$I16))*$C16*(1+'Property Summary'!$L$18)^('MF Rents'!DO$3-1))</f>
        <v/>
      </c>
      <c r="DP16" s="149" t="str">
        <f>IF(OR($B16="",$B16=0),"",($G16*(DP$4&lt;$I16)+$H16*(DP$4&gt;=$I16))*$C16*(1+'Property Summary'!$L$18)^('MF Rents'!DP$3-1))</f>
        <v/>
      </c>
      <c r="DQ16" s="149" t="str">
        <f>IF(OR($B16="",$B16=0),"",($G16*(DQ$4&lt;$I16)+$H16*(DQ$4&gt;=$I16))*$C16*(1+'Property Summary'!$L$18)^('MF Rents'!DQ$3-1))</f>
        <v/>
      </c>
      <c r="DR16" s="149" t="str">
        <f>IF(OR($B16="",$B16=0),"",($G16*(DR$4&lt;$I16)+$H16*(DR$4&gt;=$I16))*$C16*(1+'Property Summary'!$L$18)^('MF Rents'!DR$3-1))</f>
        <v/>
      </c>
      <c r="DS16" s="149" t="str">
        <f>IF(OR($B16="",$B16=0),"",($G16*(DS$4&lt;$I16)+$H16*(DS$4&gt;=$I16))*$C16*(1+'Property Summary'!$L$18)^('MF Rents'!DS$3-1))</f>
        <v/>
      </c>
      <c r="DT16" s="149" t="str">
        <f>IF(OR($B16="",$B16=0),"",($G16*(DT$4&lt;$I16)+$H16*(DT$4&gt;=$I16))*$C16*(1+'Property Summary'!$L$18)^('MF Rents'!DT$3-1))</f>
        <v/>
      </c>
      <c r="DU16" s="149" t="str">
        <f>IF(OR($B16="",$B16=0),"",($G16*(DU$4&lt;$I16)+$H16*(DU$4&gt;=$I16))*$C16*(1+'Property Summary'!$L$18)^('MF Rents'!DU$3-1))</f>
        <v/>
      </c>
      <c r="DV16" s="149" t="str">
        <f>IF(OR($B16="",$B16=0),"",($G16*(DV$4&lt;$I16)+$H16*(DV$4&gt;=$I16))*$C16*(1+'Property Summary'!$L$18)^('MF Rents'!DV$3-1))</f>
        <v/>
      </c>
      <c r="DW16" s="149" t="str">
        <f>IF(OR($B16="",$B16=0),"",($G16*(DW$4&lt;$I16)+$H16*(DW$4&gt;=$I16))*$C16*(1+'Property Summary'!$L$18)^('MF Rents'!DW$3-1))</f>
        <v/>
      </c>
      <c r="DX16" s="149" t="str">
        <f>IF(OR($B16="",$B16=0),"",($G16*(DX$4&lt;$I16)+$H16*(DX$4&gt;=$I16))*$C16*(1+'Property Summary'!$L$18)^('MF Rents'!DX$3-1))</f>
        <v/>
      </c>
      <c r="DY16" s="149" t="str">
        <f>IF(OR($B16="",$B16=0),"",($G16*(DY$4&lt;$I16)+$H16*(DY$4&gt;=$I16))*$C16*(1+'Property Summary'!$L$18)^('MF Rents'!DY$3-1))</f>
        <v/>
      </c>
      <c r="DZ16" s="149" t="str">
        <f>IF(OR($B16="",$B16=0),"",($G16*(DZ$4&lt;$I16)+$H16*(DZ$4&gt;=$I16))*$C16*(1+'Property Summary'!$L$18)^('MF Rents'!DZ$3-1))</f>
        <v/>
      </c>
      <c r="EA16" s="149" t="str">
        <f>IF(OR($B16="",$B16=0),"",($G16*(EA$4&lt;$I16)+$H16*(EA$4&gt;=$I16))*$C16*(1+'Property Summary'!$L$18)^('MF Rents'!EA$3-1))</f>
        <v/>
      </c>
      <c r="EB16" s="149" t="str">
        <f>IF(OR($B16="",$B16=0),"",($G16*(EB$4&lt;$I16)+$H16*(EB$4&gt;=$I16))*$C16*(1+'Property Summary'!$L$18)^('MF Rents'!EB$3-1))</f>
        <v/>
      </c>
      <c r="EC16" s="149" t="str">
        <f>IF(OR($B16="",$B16=0),"",($G16*(EC$4&lt;$I16)+$H16*(EC$4&gt;=$I16))*$C16*(1+'Property Summary'!$L$18)^('MF Rents'!EC$3-1))</f>
        <v/>
      </c>
      <c r="ED16" s="149" t="str">
        <f>IF(OR($B16="",$B16=0),"",($G16*(ED$4&lt;$I16)+$H16*(ED$4&gt;=$I16))*$C16*(1+'Property Summary'!$L$18)^('MF Rents'!ED$3-1))</f>
        <v/>
      </c>
      <c r="EE16" s="149" t="str">
        <f>IF(OR($B16="",$B16=0),"",($G16*(EE$4&lt;$I16)+$H16*(EE$4&gt;=$I16))*$C16*(1+'Property Summary'!$L$18)^('MF Rents'!EE$3-1))</f>
        <v/>
      </c>
      <c r="EF16" s="149" t="str">
        <f>IF(OR($B16="",$B16=0),"",($G16*(EF$4&lt;$I16)+$H16*(EF$4&gt;=$I16))*$C16*(1+'Property Summary'!$L$18)^('MF Rents'!EF$3-1))</f>
        <v/>
      </c>
      <c r="EG16" s="149" t="str">
        <f>IF(OR($B16="",$B16=0),"",($G16*(EG$4&lt;$I16)+$H16*(EG$4&gt;=$I16))*$C16*(1+'Property Summary'!$L$18)^('MF Rents'!EG$3-1))</f>
        <v/>
      </c>
      <c r="EH16" s="149" t="str">
        <f>IF(OR($B16="",$B16=0),"",($G16*(EH$4&lt;$I16)+$H16*(EH$4&gt;=$I16))*$C16*(1+'Property Summary'!$L$18)^('MF Rents'!EH$3-1))</f>
        <v/>
      </c>
      <c r="EI16" s="149" t="str">
        <f>IF(OR($B16="",$B16=0),"",($G16*(EI$4&lt;$I16)+$H16*(EI$4&gt;=$I16))*$C16*(1+'Property Summary'!$L$18)^('MF Rents'!EI$3-1))</f>
        <v/>
      </c>
      <c r="EJ16" s="149" t="str">
        <f>IF(OR($B16="",$B16=0),"",($G16*(EJ$4&lt;$I16)+$H16*(EJ$4&gt;=$I16))*$C16*(1+'Property Summary'!$L$18)^('MF Rents'!EJ$3-1))</f>
        <v/>
      </c>
      <c r="EK16" s="149" t="str">
        <f>IF(OR($B16="",$B16=0),"",($G16*(EK$4&lt;$I16)+$H16*(EK$4&gt;=$I16))*$C16*(1+'Property Summary'!$L$18)^('MF Rents'!EK$3-1))</f>
        <v/>
      </c>
      <c r="EL16" s="149" t="str">
        <f>IF(OR($B16="",$B16=0),"",($G16*(EL$4&lt;$I16)+$H16*(EL$4&gt;=$I16))*$C16*(1+'Property Summary'!$L$18)^('MF Rents'!EL$3-1))</f>
        <v/>
      </c>
      <c r="EM16" s="149" t="str">
        <f>IF(OR($B16="",$B16=0),"",($G16*(EM$4&lt;$I16)+$H16*(EM$4&gt;=$I16))*$C16*(1+'Property Summary'!$L$18)^('MF Rents'!EM$3-1))</f>
        <v/>
      </c>
      <c r="EN16" s="149" t="str">
        <f>IF(OR($B16="",$B16=0),"",($G16*(EN$4&lt;$I16)+$H16*(EN$4&gt;=$I16))*$C16*(1+'Property Summary'!$L$18)^('MF Rents'!EN$3-1))</f>
        <v/>
      </c>
      <c r="EO16" s="149" t="str">
        <f>IF(OR($B16="",$B16=0),"",($G16*(EO$4&lt;$I16)+$H16*(EO$4&gt;=$I16))*$C16*(1+'Property Summary'!$L$18)^('MF Rents'!EO$3-1))</f>
        <v/>
      </c>
      <c r="EP16" s="149" t="str">
        <f>IF(OR($B16="",$B16=0),"",($G16*(EP$4&lt;$I16)+$H16*(EP$4&gt;=$I16))*$C16*(1+'Property Summary'!$L$18)^('MF Rents'!EP$3-1))</f>
        <v/>
      </c>
      <c r="EQ16" s="149" t="str">
        <f>IF(OR($B16="",$B16=0),"",($G16*(EQ$4&lt;$I16)+$H16*(EQ$4&gt;=$I16))*$C16*(1+'Property Summary'!$L$18)^('MF Rents'!EQ$3-1))</f>
        <v/>
      </c>
      <c r="ER16" s="149" t="str">
        <f>IF(OR($B16="",$B16=0),"",($G16*(ER$4&lt;$I16)+$H16*(ER$4&gt;=$I16))*$C16*(1+'Property Summary'!$L$18)^('MF Rents'!ER$3-1))</f>
        <v/>
      </c>
      <c r="ES16" s="149" t="str">
        <f>IF(OR($B16="",$B16=0),"",($G16*(ES$4&lt;$I16)+$H16*(ES$4&gt;=$I16))*$C16*(1+'Property Summary'!$L$18)^('MF Rents'!ES$3-1))</f>
        <v/>
      </c>
      <c r="ET16" s="149" t="str">
        <f>IF(OR($B16="",$B16=0),"",($G16*(ET$4&lt;$I16)+$H16*(ET$4&gt;=$I16))*$C16*(1+'Property Summary'!$L$18)^('MF Rents'!ET$3-1))</f>
        <v/>
      </c>
      <c r="EU16" s="149" t="str">
        <f>IF(OR($B16="",$B16=0),"",($G16*(EU$4&lt;$I16)+$H16*(EU$4&gt;=$I16))*$C16*(1+'Property Summary'!$L$18)^('MF Rents'!EU$3-1))</f>
        <v/>
      </c>
      <c r="EV16" s="149" t="str">
        <f>IF(OR($B16="",$B16=0),"",($G16*(EV$4&lt;$I16)+$H16*(EV$4&gt;=$I16))*$C16*(1+'Property Summary'!$L$18)^('MF Rents'!EV$3-1))</f>
        <v/>
      </c>
      <c r="EW16" s="149" t="str">
        <f>IF(OR($B16="",$B16=0),"",($G16*(EW$4&lt;$I16)+$H16*(EW$4&gt;=$I16))*$C16*(1+'Property Summary'!$L$18)^('MF Rents'!EW$3-1))</f>
        <v/>
      </c>
      <c r="EX16" s="149" t="str">
        <f>IF(OR($B16="",$B16=0),"",($G16*(EX$4&lt;$I16)+$H16*(EX$4&gt;=$I16))*$C16*(1+'Property Summary'!$L$18)^('MF Rents'!EX$3-1))</f>
        <v/>
      </c>
      <c r="EY16" s="149" t="str">
        <f>IF(OR($B16="",$B16=0),"",($G16*(EY$4&lt;$I16)+$H16*(EY$4&gt;=$I16))*$C16*(1+'Property Summary'!$L$18)^('MF Rents'!EY$3-1))</f>
        <v/>
      </c>
      <c r="EZ16" s="149" t="str">
        <f>IF(OR($B16="",$B16=0),"",($G16*(EZ$4&lt;$I16)+$H16*(EZ$4&gt;=$I16))*$C16*(1+'Property Summary'!$L$18)^('MF Rents'!EZ$3-1))</f>
        <v/>
      </c>
      <c r="FA16" s="149" t="str">
        <f>IF(OR($B16="",$B16=0),"",($G16*(FA$4&lt;$I16)+$H16*(FA$4&gt;=$I16))*$C16*(1+'Property Summary'!$L$18)^('MF Rents'!FA$3-1))</f>
        <v/>
      </c>
      <c r="FB16" s="149" t="str">
        <f>IF(OR($B16="",$B16=0),"",($G16*(FB$4&lt;$I16)+$H16*(FB$4&gt;=$I16))*$C16*(1+'Property Summary'!$L$18)^('MF Rents'!FB$3-1))</f>
        <v/>
      </c>
      <c r="FC16" s="149" t="str">
        <f>IF(OR($B16="",$B16=0),"",($G16*(FC$4&lt;$I16)+$H16*(FC$4&gt;=$I16))*$C16*(1+'Property Summary'!$L$18)^('MF Rents'!FC$3-1))</f>
        <v/>
      </c>
      <c r="FD16" s="149" t="str">
        <f>IF(OR($B16="",$B16=0),"",($G16*(FD$4&lt;$I16)+$H16*(FD$4&gt;=$I16))*$C16*(1+'Property Summary'!$L$18)^('MF Rents'!FD$3-1))</f>
        <v/>
      </c>
      <c r="FE16" s="149" t="str">
        <f>IF(OR($B16="",$B16=0),"",($G16*(FE$4&lt;$I16)+$H16*(FE$4&gt;=$I16))*$C16*(1+'Property Summary'!$L$18)^('MF Rents'!FE$3-1))</f>
        <v/>
      </c>
      <c r="FF16" s="149" t="str">
        <f>IF(OR($B16="",$B16=0),"",($G16*(FF$4&lt;$I16)+$H16*(FF$4&gt;=$I16))*$C16*(1+'Property Summary'!$L$18)^('MF Rents'!FF$3-1))</f>
        <v/>
      </c>
      <c r="FG16" s="149" t="str">
        <f>IF(OR($B16="",$B16=0),"",($G16*(FG$4&lt;$I16)+$H16*(FG$4&gt;=$I16))*$C16*(1+'Property Summary'!$L$18)^('MF Rents'!FG$3-1))</f>
        <v/>
      </c>
      <c r="FH16" s="149" t="str">
        <f>IF(OR($B16="",$B16=0),"",($G16*(FH$4&lt;$I16)+$H16*(FH$4&gt;=$I16))*$C16*(1+'Property Summary'!$L$18)^('MF Rents'!FH$3-1))</f>
        <v/>
      </c>
      <c r="FI16" s="149" t="str">
        <f>IF(OR($B16="",$B16=0),"",($G16*(FI$4&lt;$I16)+$H16*(FI$4&gt;=$I16))*$C16*(1+'Property Summary'!$L$18)^('MF Rents'!FI$3-1))</f>
        <v/>
      </c>
      <c r="FJ16" s="149" t="str">
        <f>IF(OR($B16="",$B16=0),"",($G16*(FJ$4&lt;$I16)+$H16*(FJ$4&gt;=$I16))*$C16*(1+'Property Summary'!$L$18)^('MF Rents'!FJ$3-1))</f>
        <v/>
      </c>
      <c r="FK16" s="149" t="str">
        <f>IF(OR($B16="",$B16=0),"",($G16*(FK$4&lt;$I16)+$H16*(FK$4&gt;=$I16))*$C16*(1+'Property Summary'!$L$18)^('MF Rents'!FK$3-1))</f>
        <v/>
      </c>
      <c r="FL16" s="149" t="str">
        <f>IF(OR($B16="",$B16=0),"",($G16*(FL$4&lt;$I16)+$H16*(FL$4&gt;=$I16))*$C16*(1+'Property Summary'!$L$18)^('MF Rents'!FL$3-1))</f>
        <v/>
      </c>
      <c r="FM16" s="149" t="str">
        <f>IF(OR($B16="",$B16=0),"",($G16*(FM$4&lt;$I16)+$H16*(FM$4&gt;=$I16))*$C16*(1+'Property Summary'!$L$18)^('MF Rents'!FM$3-1))</f>
        <v/>
      </c>
      <c r="FN16" s="149" t="str">
        <f>IF(OR($B16="",$B16=0),"",($G16*(FN$4&lt;$I16)+$H16*(FN$4&gt;=$I16))*$C16*(1+'Property Summary'!$L$18)^('MF Rents'!FN$3-1))</f>
        <v/>
      </c>
      <c r="FO16" s="149" t="str">
        <f>IF(OR($B16="",$B16=0),"",($G16*(FO$4&lt;$I16)+$H16*(FO$4&gt;=$I16))*$C16*(1+'Property Summary'!$L$18)^('MF Rents'!FO$3-1))</f>
        <v/>
      </c>
      <c r="FP16" s="149" t="str">
        <f>IF(OR($B16="",$B16=0),"",($G16*(FP$4&lt;$I16)+$H16*(FP$4&gt;=$I16))*$C16*(1+'Property Summary'!$L$18)^('MF Rents'!FP$3-1))</f>
        <v/>
      </c>
      <c r="FQ16" s="149" t="str">
        <f>IF(OR($B16="",$B16=0),"",($G16*(FQ$4&lt;$I16)+$H16*(FQ$4&gt;=$I16))*$C16*(1+'Property Summary'!$L$18)^('MF Rents'!FQ$3-1))</f>
        <v/>
      </c>
      <c r="FR16" s="149" t="str">
        <f>IF(OR($B16="",$B16=0),"",($G16*(FR$4&lt;$I16)+$H16*(FR$4&gt;=$I16))*$C16*(1+'Property Summary'!$L$18)^('MF Rents'!FR$3-1))</f>
        <v/>
      </c>
      <c r="FS16" s="149" t="str">
        <f>IF(OR($B16="",$B16=0),"",($G16*(FS$4&lt;$I16)+$H16*(FS$4&gt;=$I16))*$C16*(1+'Property Summary'!$L$18)^('MF Rents'!FS$3-1))</f>
        <v/>
      </c>
      <c r="FT16" s="149" t="str">
        <f>IF(OR($B16="",$B16=0),"",($G16*(FT$4&lt;$I16)+$H16*(FT$4&gt;=$I16))*$C16*(1+'Property Summary'!$L$18)^('MF Rents'!FT$3-1))</f>
        <v/>
      </c>
      <c r="FU16" s="149" t="str">
        <f>IF(OR($B16="",$B16=0),"",($G16*(FU$4&lt;$I16)+$H16*(FU$4&gt;=$I16))*$C16*(1+'Property Summary'!$L$18)^('MF Rents'!FU$3-1))</f>
        <v/>
      </c>
      <c r="FV16" s="149" t="str">
        <f>IF(OR($B16="",$B16=0),"",($G16*(FV$4&lt;$I16)+$H16*(FV$4&gt;=$I16))*$C16*(1+'Property Summary'!$L$18)^('MF Rents'!FV$3-1))</f>
        <v/>
      </c>
      <c r="FW16" s="149" t="str">
        <f>IF(OR($B16="",$B16=0),"",($G16*(FW$4&lt;$I16)+$H16*(FW$4&gt;=$I16))*$C16*(1+'Property Summary'!$L$18)^('MF Rents'!FW$3-1))</f>
        <v/>
      </c>
      <c r="FX16" s="149" t="str">
        <f>IF(OR($B16="",$B16=0),"",($G16*(FX$4&lt;$I16)+$H16*(FX$4&gt;=$I16))*$C16*(1+'Property Summary'!$L$18)^('MF Rents'!FX$3-1))</f>
        <v/>
      </c>
      <c r="FY16" s="149" t="str">
        <f>IF(OR($B16="",$B16=0),"",($G16*(FY$4&lt;$I16)+$H16*(FY$4&gt;=$I16))*$C16*(1+'Property Summary'!$L$18)^('MF Rents'!FY$3-1))</f>
        <v/>
      </c>
      <c r="FZ16" s="149" t="str">
        <f>IF(OR($B16="",$B16=0),"",($G16*(FZ$4&lt;$I16)+$H16*(FZ$4&gt;=$I16))*$C16*(1+'Property Summary'!$L$18)^('MF Rents'!FZ$3-1))</f>
        <v/>
      </c>
      <c r="GA16" s="149" t="str">
        <f>IF(OR($B16="",$B16=0),"",($G16*(GA$4&lt;$I16)+$H16*(GA$4&gt;=$I16))*$C16*(1+'Property Summary'!$L$18)^('MF Rents'!GA$3-1))</f>
        <v/>
      </c>
      <c r="GB16" s="149" t="str">
        <f>IF(OR($B16="",$B16=0),"",($G16*(GB$4&lt;$I16)+$H16*(GB$4&gt;=$I16))*$C16*(1+'Property Summary'!$L$18)^('MF Rents'!GB$3-1))</f>
        <v/>
      </c>
      <c r="GC16" s="149" t="str">
        <f>IF(OR($B16="",$B16=0),"",($G16*(GC$4&lt;$I16)+$H16*(GC$4&gt;=$I16))*$C16*(1+'Property Summary'!$L$18)^('MF Rents'!GC$3-1))</f>
        <v/>
      </c>
      <c r="GD16" s="149" t="str">
        <f>IF(OR($B16="",$B16=0),"",($G16*(GD$4&lt;$I16)+$H16*(GD$4&gt;=$I16))*$C16*(1+'Property Summary'!$L$18)^('MF Rents'!GD$3-1))</f>
        <v/>
      </c>
      <c r="GE16" s="149" t="str">
        <f>IF(OR($B16="",$B16=0),"",($G16*(GE$4&lt;$I16)+$H16*(GE$4&gt;=$I16))*$C16*(1+'Property Summary'!$L$18)^('MF Rents'!GE$3-1))</f>
        <v/>
      </c>
      <c r="GF16" s="149" t="str">
        <f>IF(OR($B16="",$B16=0),"",($G16*(GF$4&lt;$I16)+$H16*(GF$4&gt;=$I16))*$C16*(1+'Property Summary'!$L$18)^('MF Rents'!GF$3-1))</f>
        <v/>
      </c>
      <c r="GG16" s="149" t="str">
        <f>IF(OR($B16="",$B16=0),"",($G16*(GG$4&lt;$I16)+$H16*(GG$4&gt;=$I16))*$C16*(1+'Property Summary'!$L$18)^('MF Rents'!GG$3-1))</f>
        <v/>
      </c>
      <c r="GH16" s="149" t="str">
        <f>IF(OR($B16="",$B16=0),"",($G16*(GH$4&lt;$I16)+$H16*(GH$4&gt;=$I16))*$C16*(1+'Property Summary'!$L$18)^('MF Rents'!GH$3-1))</f>
        <v/>
      </c>
      <c r="GI16" s="149" t="str">
        <f>IF(OR($B16="",$B16=0),"",($G16*(GI$4&lt;$I16)+$H16*(GI$4&gt;=$I16))*$C16*(1+'Property Summary'!$L$18)^('MF Rents'!GI$3-1))</f>
        <v/>
      </c>
      <c r="GJ16" s="149" t="str">
        <f>IF(OR($B16="",$B16=0),"",($G16*(GJ$4&lt;$I16)+$H16*(GJ$4&gt;=$I16))*$C16*(1+'Property Summary'!$L$18)^('MF Rents'!GJ$3-1))</f>
        <v/>
      </c>
      <c r="GK16" s="149" t="str">
        <f>IF(OR($B16="",$B16=0),"",($G16*(GK$4&lt;$I16)+$H16*(GK$4&gt;=$I16))*$C16*(1+'Property Summary'!$L$18)^('MF Rents'!GK$3-1))</f>
        <v/>
      </c>
      <c r="GL16" s="149" t="str">
        <f>IF(OR($B16="",$B16=0),"",($G16*(GL$4&lt;$I16)+$H16*(GL$4&gt;=$I16))*$C16*(1+'Property Summary'!$L$18)^('MF Rents'!GL$3-1))</f>
        <v/>
      </c>
      <c r="GM16" s="149" t="str">
        <f>IF(OR($B16="",$B16=0),"",($G16*(GM$4&lt;$I16)+$H16*(GM$4&gt;=$I16))*$C16*(1+'Property Summary'!$L$18)^('MF Rents'!GM$3-1))</f>
        <v/>
      </c>
      <c r="GN16" s="149" t="str">
        <f>IF(OR($B16="",$B16=0),"",($G16*(GN$4&lt;$I16)+$H16*(GN$4&gt;=$I16))*$C16*(1+'Property Summary'!$L$18)^('MF Rents'!GN$3-1))</f>
        <v/>
      </c>
      <c r="GO16" s="149" t="str">
        <f>IF(OR($B16="",$B16=0),"",($G16*(GO$4&lt;$I16)+$H16*(GO$4&gt;=$I16))*$C16*(1+'Property Summary'!$L$18)^('MF Rents'!GO$3-1))</f>
        <v/>
      </c>
      <c r="GP16" s="149" t="str">
        <f>IF(OR($B16="",$B16=0),"",($G16*(GP$4&lt;$I16)+$H16*(GP$4&gt;=$I16))*$C16*(1+'Property Summary'!$L$18)^('MF Rents'!GP$3-1))</f>
        <v/>
      </c>
      <c r="GQ16" s="149" t="str">
        <f>IF(OR($B16="",$B16=0),"",($G16*(GQ$4&lt;$I16)+$H16*(GQ$4&gt;=$I16))*$C16*(1+'Property Summary'!$L$18)^('MF Rents'!GQ$3-1))</f>
        <v/>
      </c>
      <c r="GR16" s="149" t="str">
        <f>IF(OR($B16="",$B16=0),"",($G16*(GR$4&lt;$I16)+$H16*(GR$4&gt;=$I16))*$C16*(1+'Property Summary'!$L$18)^('MF Rents'!GR$3-1))</f>
        <v/>
      </c>
    </row>
    <row r="17" spans="2:200" x14ac:dyDescent="0.3">
      <c r="B17" s="184">
        <f>'MF Rent Roll'!B16</f>
        <v>0</v>
      </c>
      <c r="C17" s="171">
        <f>'MF Rent Roll'!C16</f>
        <v>0</v>
      </c>
      <c r="D17" s="172">
        <f>'MF Rent Roll'!D16</f>
        <v>0</v>
      </c>
      <c r="E17" s="172">
        <f>'MF Rent Roll'!E16</f>
        <v>0</v>
      </c>
      <c r="F17" s="173">
        <f>'MF Rent Roll'!F16</f>
        <v>0</v>
      </c>
      <c r="G17" s="174">
        <f>'MF Rent Roll'!G16</f>
        <v>0</v>
      </c>
      <c r="H17" s="174">
        <f>IF('MF Rent Roll'!H16="",G17,'MF Rent Roll'!H16)</f>
        <v>0</v>
      </c>
      <c r="I17" s="175">
        <f>IF('MF Rent Roll'!I16="",1,'MF Rent Roll'!I16)</f>
        <v>1</v>
      </c>
      <c r="J17" s="176">
        <f>'MF Rent Roll'!J16</f>
        <v>0</v>
      </c>
      <c r="K17" s="174">
        <f>'MF Rent Roll'!K16</f>
        <v>0</v>
      </c>
      <c r="L17" s="177">
        <f>'MF Rent Roll'!L16</f>
        <v>0</v>
      </c>
      <c r="M17" s="178">
        <f>'MF Rent Roll'!M16</f>
        <v>0</v>
      </c>
      <c r="N17" s="174">
        <f>'MF Rent Roll'!N16</f>
        <v>0</v>
      </c>
      <c r="O17" s="179">
        <f>'MF Rent Roll'!O16</f>
        <v>0</v>
      </c>
      <c r="P17" s="180" t="str">
        <f>'MF Rent Roll'!P16</f>
        <v/>
      </c>
      <c r="Q17" s="181" t="str">
        <f>'MF Rent Roll'!Q16</f>
        <v/>
      </c>
      <c r="R17" s="104" t="str">
        <f>'MF Rent Roll'!R16</f>
        <v/>
      </c>
      <c r="U17" s="149" t="str">
        <f>IF(OR($B17="",$B17=0),"",($G17*(U$4&lt;$I17)+$H17*(U$4&gt;=$I17))*$C17*(1+'Property Summary'!$L$18)^('MF Rents'!U$3-1))</f>
        <v/>
      </c>
      <c r="V17" s="149" t="str">
        <f>IF(OR($B17="",$B17=0),"",($G17*(V$4&lt;$I17)+$H17*(V$4&gt;=$I17))*$C17*(1+'Property Summary'!$L$18)^('MF Rents'!V$3-1))</f>
        <v/>
      </c>
      <c r="W17" s="149" t="str">
        <f>IF(OR($B17="",$B17=0),"",($G17*(W$4&lt;$I17)+$H17*(W$4&gt;=$I17))*$C17*(1+'Property Summary'!$L$18)^('MF Rents'!W$3-1))</f>
        <v/>
      </c>
      <c r="X17" s="149" t="str">
        <f>IF(OR($B17="",$B17=0),"",($G17*(X$4&lt;$I17)+$H17*(X$4&gt;=$I17))*$C17*(1+'Property Summary'!$L$18)^('MF Rents'!X$3-1))</f>
        <v/>
      </c>
      <c r="Y17" s="149" t="str">
        <f>IF(OR($B17="",$B17=0),"",($G17*(Y$4&lt;$I17)+$H17*(Y$4&gt;=$I17))*$C17*(1+'Property Summary'!$L$18)^('MF Rents'!Y$3-1))</f>
        <v/>
      </c>
      <c r="Z17" s="149" t="str">
        <f>IF(OR($B17="",$B17=0),"",($G17*(Z$4&lt;$I17)+$H17*(Z$4&gt;=$I17))*$C17*(1+'Property Summary'!$L$18)^('MF Rents'!Z$3-1))</f>
        <v/>
      </c>
      <c r="AA17" s="149" t="str">
        <f>IF(OR($B17="",$B17=0),"",($G17*(AA$4&lt;$I17)+$H17*(AA$4&gt;=$I17))*$C17*(1+'Property Summary'!$L$18)^('MF Rents'!AA$3-1))</f>
        <v/>
      </c>
      <c r="AB17" s="149" t="str">
        <f>IF(OR($B17="",$B17=0),"",($G17*(AB$4&lt;$I17)+$H17*(AB$4&gt;=$I17))*$C17*(1+'Property Summary'!$L$18)^('MF Rents'!AB$3-1))</f>
        <v/>
      </c>
      <c r="AC17" s="149" t="str">
        <f>IF(OR($B17="",$B17=0),"",($G17*(AC$4&lt;$I17)+$H17*(AC$4&gt;=$I17))*$C17*(1+'Property Summary'!$L$18)^('MF Rents'!AC$3-1))</f>
        <v/>
      </c>
      <c r="AD17" s="149" t="str">
        <f>IF(OR($B17="",$B17=0),"",($G17*(AD$4&lt;$I17)+$H17*(AD$4&gt;=$I17))*$C17*(1+'Property Summary'!$L$18)^('MF Rents'!AD$3-1))</f>
        <v/>
      </c>
      <c r="AE17" s="149" t="str">
        <f>IF(OR($B17="",$B17=0),"",($G17*(AE$4&lt;$I17)+$H17*(AE$4&gt;=$I17))*$C17*(1+'Property Summary'!$L$18)^('MF Rents'!AE$3-1))</f>
        <v/>
      </c>
      <c r="AF17" s="149" t="str">
        <f>IF(OR($B17="",$B17=0),"",($G17*(AF$4&lt;$I17)+$H17*(AF$4&gt;=$I17))*$C17*(1+'Property Summary'!$L$18)^('MF Rents'!AF$3-1))</f>
        <v/>
      </c>
      <c r="AG17" s="149" t="str">
        <f>IF(OR($B17="",$B17=0),"",($G17*(AG$4&lt;$I17)+$H17*(AG$4&gt;=$I17))*$C17*(1+'Property Summary'!$L$18)^('MF Rents'!AG$3-1))</f>
        <v/>
      </c>
      <c r="AH17" s="149" t="str">
        <f>IF(OR($B17="",$B17=0),"",($G17*(AH$4&lt;$I17)+$H17*(AH$4&gt;=$I17))*$C17*(1+'Property Summary'!$L$18)^('MF Rents'!AH$3-1))</f>
        <v/>
      </c>
      <c r="AI17" s="149" t="str">
        <f>IF(OR($B17="",$B17=0),"",($G17*(AI$4&lt;$I17)+$H17*(AI$4&gt;=$I17))*$C17*(1+'Property Summary'!$L$18)^('MF Rents'!AI$3-1))</f>
        <v/>
      </c>
      <c r="AJ17" s="149" t="str">
        <f>IF(OR($B17="",$B17=0),"",($G17*(AJ$4&lt;$I17)+$H17*(AJ$4&gt;=$I17))*$C17*(1+'Property Summary'!$L$18)^('MF Rents'!AJ$3-1))</f>
        <v/>
      </c>
      <c r="AK17" s="149" t="str">
        <f>IF(OR($B17="",$B17=0),"",($G17*(AK$4&lt;$I17)+$H17*(AK$4&gt;=$I17))*$C17*(1+'Property Summary'!$L$18)^('MF Rents'!AK$3-1))</f>
        <v/>
      </c>
      <c r="AL17" s="149" t="str">
        <f>IF(OR($B17="",$B17=0),"",($G17*(AL$4&lt;$I17)+$H17*(AL$4&gt;=$I17))*$C17*(1+'Property Summary'!$L$18)^('MF Rents'!AL$3-1))</f>
        <v/>
      </c>
      <c r="AM17" s="149" t="str">
        <f>IF(OR($B17="",$B17=0),"",($G17*(AM$4&lt;$I17)+$H17*(AM$4&gt;=$I17))*$C17*(1+'Property Summary'!$L$18)^('MF Rents'!AM$3-1))</f>
        <v/>
      </c>
      <c r="AN17" s="149" t="str">
        <f>IF(OR($B17="",$B17=0),"",($G17*(AN$4&lt;$I17)+$H17*(AN$4&gt;=$I17))*$C17*(1+'Property Summary'!$L$18)^('MF Rents'!AN$3-1))</f>
        <v/>
      </c>
      <c r="AO17" s="149" t="str">
        <f>IF(OR($B17="",$B17=0),"",($G17*(AO$4&lt;$I17)+$H17*(AO$4&gt;=$I17))*$C17*(1+'Property Summary'!$L$18)^('MF Rents'!AO$3-1))</f>
        <v/>
      </c>
      <c r="AP17" s="149" t="str">
        <f>IF(OR($B17="",$B17=0),"",($G17*(AP$4&lt;$I17)+$H17*(AP$4&gt;=$I17))*$C17*(1+'Property Summary'!$L$18)^('MF Rents'!AP$3-1))</f>
        <v/>
      </c>
      <c r="AQ17" s="149" t="str">
        <f>IF(OR($B17="",$B17=0),"",($G17*(AQ$4&lt;$I17)+$H17*(AQ$4&gt;=$I17))*$C17*(1+'Property Summary'!$L$18)^('MF Rents'!AQ$3-1))</f>
        <v/>
      </c>
      <c r="AR17" s="149" t="str">
        <f>IF(OR($B17="",$B17=0),"",($G17*(AR$4&lt;$I17)+$H17*(AR$4&gt;=$I17))*$C17*(1+'Property Summary'!$L$18)^('MF Rents'!AR$3-1))</f>
        <v/>
      </c>
      <c r="AS17" s="149" t="str">
        <f>IF(OR($B17="",$B17=0),"",($G17*(AS$4&lt;$I17)+$H17*(AS$4&gt;=$I17))*$C17*(1+'Property Summary'!$L$18)^('MF Rents'!AS$3-1))</f>
        <v/>
      </c>
      <c r="AT17" s="149" t="str">
        <f>IF(OR($B17="",$B17=0),"",($G17*(AT$4&lt;$I17)+$H17*(AT$4&gt;=$I17))*$C17*(1+'Property Summary'!$L$18)^('MF Rents'!AT$3-1))</f>
        <v/>
      </c>
      <c r="AU17" s="149" t="str">
        <f>IF(OR($B17="",$B17=0),"",($G17*(AU$4&lt;$I17)+$H17*(AU$4&gt;=$I17))*$C17*(1+'Property Summary'!$L$18)^('MF Rents'!AU$3-1))</f>
        <v/>
      </c>
      <c r="AV17" s="149" t="str">
        <f>IF(OR($B17="",$B17=0),"",($G17*(AV$4&lt;$I17)+$H17*(AV$4&gt;=$I17))*$C17*(1+'Property Summary'!$L$18)^('MF Rents'!AV$3-1))</f>
        <v/>
      </c>
      <c r="AW17" s="149" t="str">
        <f>IF(OR($B17="",$B17=0),"",($G17*(AW$4&lt;$I17)+$H17*(AW$4&gt;=$I17))*$C17*(1+'Property Summary'!$L$18)^('MF Rents'!AW$3-1))</f>
        <v/>
      </c>
      <c r="AX17" s="149" t="str">
        <f>IF(OR($B17="",$B17=0),"",($G17*(AX$4&lt;$I17)+$H17*(AX$4&gt;=$I17))*$C17*(1+'Property Summary'!$L$18)^('MF Rents'!AX$3-1))</f>
        <v/>
      </c>
      <c r="AY17" s="149" t="str">
        <f>IF(OR($B17="",$B17=0),"",($G17*(AY$4&lt;$I17)+$H17*(AY$4&gt;=$I17))*$C17*(1+'Property Summary'!$L$18)^('MF Rents'!AY$3-1))</f>
        <v/>
      </c>
      <c r="AZ17" s="149" t="str">
        <f>IF(OR($B17="",$B17=0),"",($G17*(AZ$4&lt;$I17)+$H17*(AZ$4&gt;=$I17))*$C17*(1+'Property Summary'!$L$18)^('MF Rents'!AZ$3-1))</f>
        <v/>
      </c>
      <c r="BA17" s="149" t="str">
        <f>IF(OR($B17="",$B17=0),"",($G17*(BA$4&lt;$I17)+$H17*(BA$4&gt;=$I17))*$C17*(1+'Property Summary'!$L$18)^('MF Rents'!BA$3-1))</f>
        <v/>
      </c>
      <c r="BB17" s="149" t="str">
        <f>IF(OR($B17="",$B17=0),"",($G17*(BB$4&lt;$I17)+$H17*(BB$4&gt;=$I17))*$C17*(1+'Property Summary'!$L$18)^('MF Rents'!BB$3-1))</f>
        <v/>
      </c>
      <c r="BC17" s="149" t="str">
        <f>IF(OR($B17="",$B17=0),"",($G17*(BC$4&lt;$I17)+$H17*(BC$4&gt;=$I17))*$C17*(1+'Property Summary'!$L$18)^('MF Rents'!BC$3-1))</f>
        <v/>
      </c>
      <c r="BD17" s="149" t="str">
        <f>IF(OR($B17="",$B17=0),"",($G17*(BD$4&lt;$I17)+$H17*(BD$4&gt;=$I17))*$C17*(1+'Property Summary'!$L$18)^('MF Rents'!BD$3-1))</f>
        <v/>
      </c>
      <c r="BE17" s="149" t="str">
        <f>IF(OR($B17="",$B17=0),"",($G17*(BE$4&lt;$I17)+$H17*(BE$4&gt;=$I17))*$C17*(1+'Property Summary'!$L$18)^('MF Rents'!BE$3-1))</f>
        <v/>
      </c>
      <c r="BF17" s="149" t="str">
        <f>IF(OR($B17="",$B17=0),"",($G17*(BF$4&lt;$I17)+$H17*(BF$4&gt;=$I17))*$C17*(1+'Property Summary'!$L$18)^('MF Rents'!BF$3-1))</f>
        <v/>
      </c>
      <c r="BG17" s="149" t="str">
        <f>IF(OR($B17="",$B17=0),"",($G17*(BG$4&lt;$I17)+$H17*(BG$4&gt;=$I17))*$C17*(1+'Property Summary'!$L$18)^('MF Rents'!BG$3-1))</f>
        <v/>
      </c>
      <c r="BH17" s="149" t="str">
        <f>IF(OR($B17="",$B17=0),"",($G17*(BH$4&lt;$I17)+$H17*(BH$4&gt;=$I17))*$C17*(1+'Property Summary'!$L$18)^('MF Rents'!BH$3-1))</f>
        <v/>
      </c>
      <c r="BI17" s="149" t="str">
        <f>IF(OR($B17="",$B17=0),"",($G17*(BI$4&lt;$I17)+$H17*(BI$4&gt;=$I17))*$C17*(1+'Property Summary'!$L$18)^('MF Rents'!BI$3-1))</f>
        <v/>
      </c>
      <c r="BJ17" s="149" t="str">
        <f>IF(OR($B17="",$B17=0),"",($G17*(BJ$4&lt;$I17)+$H17*(BJ$4&gt;=$I17))*$C17*(1+'Property Summary'!$L$18)^('MF Rents'!BJ$3-1))</f>
        <v/>
      </c>
      <c r="BK17" s="149" t="str">
        <f>IF(OR($B17="",$B17=0),"",($G17*(BK$4&lt;$I17)+$H17*(BK$4&gt;=$I17))*$C17*(1+'Property Summary'!$L$18)^('MF Rents'!BK$3-1))</f>
        <v/>
      </c>
      <c r="BL17" s="149" t="str">
        <f>IF(OR($B17="",$B17=0),"",($G17*(BL$4&lt;$I17)+$H17*(BL$4&gt;=$I17))*$C17*(1+'Property Summary'!$L$18)^('MF Rents'!BL$3-1))</f>
        <v/>
      </c>
      <c r="BM17" s="149" t="str">
        <f>IF(OR($B17="",$B17=0),"",($G17*(BM$4&lt;$I17)+$H17*(BM$4&gt;=$I17))*$C17*(1+'Property Summary'!$L$18)^('MF Rents'!BM$3-1))</f>
        <v/>
      </c>
      <c r="BN17" s="149" t="str">
        <f>IF(OR($B17="",$B17=0),"",($G17*(BN$4&lt;$I17)+$H17*(BN$4&gt;=$I17))*$C17*(1+'Property Summary'!$L$18)^('MF Rents'!BN$3-1))</f>
        <v/>
      </c>
      <c r="BO17" s="149" t="str">
        <f>IF(OR($B17="",$B17=0),"",($G17*(BO$4&lt;$I17)+$H17*(BO$4&gt;=$I17))*$C17*(1+'Property Summary'!$L$18)^('MF Rents'!BO$3-1))</f>
        <v/>
      </c>
      <c r="BP17" s="149" t="str">
        <f>IF(OR($B17="",$B17=0),"",($G17*(BP$4&lt;$I17)+$H17*(BP$4&gt;=$I17))*$C17*(1+'Property Summary'!$L$18)^('MF Rents'!BP$3-1))</f>
        <v/>
      </c>
      <c r="BQ17" s="149" t="str">
        <f>IF(OR($B17="",$B17=0),"",($G17*(BQ$4&lt;$I17)+$H17*(BQ$4&gt;=$I17))*$C17*(1+'Property Summary'!$L$18)^('MF Rents'!BQ$3-1))</f>
        <v/>
      </c>
      <c r="BR17" s="149" t="str">
        <f>IF(OR($B17="",$B17=0),"",($G17*(BR$4&lt;$I17)+$H17*(BR$4&gt;=$I17))*$C17*(1+'Property Summary'!$L$18)^('MF Rents'!BR$3-1))</f>
        <v/>
      </c>
      <c r="BS17" s="149" t="str">
        <f>IF(OR($B17="",$B17=0),"",($G17*(BS$4&lt;$I17)+$H17*(BS$4&gt;=$I17))*$C17*(1+'Property Summary'!$L$18)^('MF Rents'!BS$3-1))</f>
        <v/>
      </c>
      <c r="BT17" s="149" t="str">
        <f>IF(OR($B17="",$B17=0),"",($G17*(BT$4&lt;$I17)+$H17*(BT$4&gt;=$I17))*$C17*(1+'Property Summary'!$L$18)^('MF Rents'!BT$3-1))</f>
        <v/>
      </c>
      <c r="BU17" s="149" t="str">
        <f>IF(OR($B17="",$B17=0),"",($G17*(BU$4&lt;$I17)+$H17*(BU$4&gt;=$I17))*$C17*(1+'Property Summary'!$L$18)^('MF Rents'!BU$3-1))</f>
        <v/>
      </c>
      <c r="BV17" s="149" t="str">
        <f>IF(OR($B17="",$B17=0),"",($G17*(BV$4&lt;$I17)+$H17*(BV$4&gt;=$I17))*$C17*(1+'Property Summary'!$L$18)^('MF Rents'!BV$3-1))</f>
        <v/>
      </c>
      <c r="BW17" s="149" t="str">
        <f>IF(OR($B17="",$B17=0),"",($G17*(BW$4&lt;$I17)+$H17*(BW$4&gt;=$I17))*$C17*(1+'Property Summary'!$L$18)^('MF Rents'!BW$3-1))</f>
        <v/>
      </c>
      <c r="BX17" s="149" t="str">
        <f>IF(OR($B17="",$B17=0),"",($G17*(BX$4&lt;$I17)+$H17*(BX$4&gt;=$I17))*$C17*(1+'Property Summary'!$L$18)^('MF Rents'!BX$3-1))</f>
        <v/>
      </c>
      <c r="BY17" s="149" t="str">
        <f>IF(OR($B17="",$B17=0),"",($G17*(BY$4&lt;$I17)+$H17*(BY$4&gt;=$I17))*$C17*(1+'Property Summary'!$L$18)^('MF Rents'!BY$3-1))</f>
        <v/>
      </c>
      <c r="BZ17" s="149" t="str">
        <f>IF(OR($B17="",$B17=0),"",($G17*(BZ$4&lt;$I17)+$H17*(BZ$4&gt;=$I17))*$C17*(1+'Property Summary'!$L$18)^('MF Rents'!BZ$3-1))</f>
        <v/>
      </c>
      <c r="CA17" s="149" t="str">
        <f>IF(OR($B17="",$B17=0),"",($G17*(CA$4&lt;$I17)+$H17*(CA$4&gt;=$I17))*$C17*(1+'Property Summary'!$L$18)^('MF Rents'!CA$3-1))</f>
        <v/>
      </c>
      <c r="CB17" s="149" t="str">
        <f>IF(OR($B17="",$B17=0),"",($G17*(CB$4&lt;$I17)+$H17*(CB$4&gt;=$I17))*$C17*(1+'Property Summary'!$L$18)^('MF Rents'!CB$3-1))</f>
        <v/>
      </c>
      <c r="CC17" s="149" t="str">
        <f>IF(OR($B17="",$B17=0),"",($G17*(CC$4&lt;$I17)+$H17*(CC$4&gt;=$I17))*$C17*(1+'Property Summary'!$L$18)^('MF Rents'!CC$3-1))</f>
        <v/>
      </c>
      <c r="CD17" s="149" t="str">
        <f>IF(OR($B17="",$B17=0),"",($G17*(CD$4&lt;$I17)+$H17*(CD$4&gt;=$I17))*$C17*(1+'Property Summary'!$L$18)^('MF Rents'!CD$3-1))</f>
        <v/>
      </c>
      <c r="CE17" s="149" t="str">
        <f>IF(OR($B17="",$B17=0),"",($G17*(CE$4&lt;$I17)+$H17*(CE$4&gt;=$I17))*$C17*(1+'Property Summary'!$L$18)^('MF Rents'!CE$3-1))</f>
        <v/>
      </c>
      <c r="CF17" s="149" t="str">
        <f>IF(OR($B17="",$B17=0),"",($G17*(CF$4&lt;$I17)+$H17*(CF$4&gt;=$I17))*$C17*(1+'Property Summary'!$L$18)^('MF Rents'!CF$3-1))</f>
        <v/>
      </c>
      <c r="CG17" s="149" t="str">
        <f>IF(OR($B17="",$B17=0),"",($G17*(CG$4&lt;$I17)+$H17*(CG$4&gt;=$I17))*$C17*(1+'Property Summary'!$L$18)^('MF Rents'!CG$3-1))</f>
        <v/>
      </c>
      <c r="CH17" s="149" t="str">
        <f>IF(OR($B17="",$B17=0),"",($G17*(CH$4&lt;$I17)+$H17*(CH$4&gt;=$I17))*$C17*(1+'Property Summary'!$L$18)^('MF Rents'!CH$3-1))</f>
        <v/>
      </c>
      <c r="CI17" s="149" t="str">
        <f>IF(OR($B17="",$B17=0),"",($G17*(CI$4&lt;$I17)+$H17*(CI$4&gt;=$I17))*$C17*(1+'Property Summary'!$L$18)^('MF Rents'!CI$3-1))</f>
        <v/>
      </c>
      <c r="CJ17" s="149" t="str">
        <f>IF(OR($B17="",$B17=0),"",($G17*(CJ$4&lt;$I17)+$H17*(CJ$4&gt;=$I17))*$C17*(1+'Property Summary'!$L$18)^('MF Rents'!CJ$3-1))</f>
        <v/>
      </c>
      <c r="CK17" s="149" t="str">
        <f>IF(OR($B17="",$B17=0),"",($G17*(CK$4&lt;$I17)+$H17*(CK$4&gt;=$I17))*$C17*(1+'Property Summary'!$L$18)^('MF Rents'!CK$3-1))</f>
        <v/>
      </c>
      <c r="CL17" s="149" t="str">
        <f>IF(OR($B17="",$B17=0),"",($G17*(CL$4&lt;$I17)+$H17*(CL$4&gt;=$I17))*$C17*(1+'Property Summary'!$L$18)^('MF Rents'!CL$3-1))</f>
        <v/>
      </c>
      <c r="CM17" s="149" t="str">
        <f>IF(OR($B17="",$B17=0),"",($G17*(CM$4&lt;$I17)+$H17*(CM$4&gt;=$I17))*$C17*(1+'Property Summary'!$L$18)^('MF Rents'!CM$3-1))</f>
        <v/>
      </c>
      <c r="CN17" s="149" t="str">
        <f>IF(OR($B17="",$B17=0),"",($G17*(CN$4&lt;$I17)+$H17*(CN$4&gt;=$I17))*$C17*(1+'Property Summary'!$L$18)^('MF Rents'!CN$3-1))</f>
        <v/>
      </c>
      <c r="CO17" s="149" t="str">
        <f>IF(OR($B17="",$B17=0),"",($G17*(CO$4&lt;$I17)+$H17*(CO$4&gt;=$I17))*$C17*(1+'Property Summary'!$L$18)^('MF Rents'!CO$3-1))</f>
        <v/>
      </c>
      <c r="CP17" s="149" t="str">
        <f>IF(OR($B17="",$B17=0),"",($G17*(CP$4&lt;$I17)+$H17*(CP$4&gt;=$I17))*$C17*(1+'Property Summary'!$L$18)^('MF Rents'!CP$3-1))</f>
        <v/>
      </c>
      <c r="CQ17" s="149" t="str">
        <f>IF(OR($B17="",$B17=0),"",($G17*(CQ$4&lt;$I17)+$H17*(CQ$4&gt;=$I17))*$C17*(1+'Property Summary'!$L$18)^('MF Rents'!CQ$3-1))</f>
        <v/>
      </c>
      <c r="CR17" s="149" t="str">
        <f>IF(OR($B17="",$B17=0),"",($G17*(CR$4&lt;$I17)+$H17*(CR$4&gt;=$I17))*$C17*(1+'Property Summary'!$L$18)^('MF Rents'!CR$3-1))</f>
        <v/>
      </c>
      <c r="CS17" s="149" t="str">
        <f>IF(OR($B17="",$B17=0),"",($G17*(CS$4&lt;$I17)+$H17*(CS$4&gt;=$I17))*$C17*(1+'Property Summary'!$L$18)^('MF Rents'!CS$3-1))</f>
        <v/>
      </c>
      <c r="CT17" s="149" t="str">
        <f>IF(OR($B17="",$B17=0),"",($G17*(CT$4&lt;$I17)+$H17*(CT$4&gt;=$I17))*$C17*(1+'Property Summary'!$L$18)^('MF Rents'!CT$3-1))</f>
        <v/>
      </c>
      <c r="CU17" s="149" t="str">
        <f>IF(OR($B17="",$B17=0),"",($G17*(CU$4&lt;$I17)+$H17*(CU$4&gt;=$I17))*$C17*(1+'Property Summary'!$L$18)^('MF Rents'!CU$3-1))</f>
        <v/>
      </c>
      <c r="CV17" s="149" t="str">
        <f>IF(OR($B17="",$B17=0),"",($G17*(CV$4&lt;$I17)+$H17*(CV$4&gt;=$I17))*$C17*(1+'Property Summary'!$L$18)^('MF Rents'!CV$3-1))</f>
        <v/>
      </c>
      <c r="CW17" s="149" t="str">
        <f>IF(OR($B17="",$B17=0),"",($G17*(CW$4&lt;$I17)+$H17*(CW$4&gt;=$I17))*$C17*(1+'Property Summary'!$L$18)^('MF Rents'!CW$3-1))</f>
        <v/>
      </c>
      <c r="CX17" s="149" t="str">
        <f>IF(OR($B17="",$B17=0),"",($G17*(CX$4&lt;$I17)+$H17*(CX$4&gt;=$I17))*$C17*(1+'Property Summary'!$L$18)^('MF Rents'!CX$3-1))</f>
        <v/>
      </c>
      <c r="CY17" s="149" t="str">
        <f>IF(OR($B17="",$B17=0),"",($G17*(CY$4&lt;$I17)+$H17*(CY$4&gt;=$I17))*$C17*(1+'Property Summary'!$L$18)^('MF Rents'!CY$3-1))</f>
        <v/>
      </c>
      <c r="CZ17" s="149" t="str">
        <f>IF(OR($B17="",$B17=0),"",($G17*(CZ$4&lt;$I17)+$H17*(CZ$4&gt;=$I17))*$C17*(1+'Property Summary'!$L$18)^('MF Rents'!CZ$3-1))</f>
        <v/>
      </c>
      <c r="DA17" s="149" t="str">
        <f>IF(OR($B17="",$B17=0),"",($G17*(DA$4&lt;$I17)+$H17*(DA$4&gt;=$I17))*$C17*(1+'Property Summary'!$L$18)^('MF Rents'!DA$3-1))</f>
        <v/>
      </c>
      <c r="DB17" s="149" t="str">
        <f>IF(OR($B17="",$B17=0),"",($G17*(DB$4&lt;$I17)+$H17*(DB$4&gt;=$I17))*$C17*(1+'Property Summary'!$L$18)^('MF Rents'!DB$3-1))</f>
        <v/>
      </c>
      <c r="DC17" s="149" t="str">
        <f>IF(OR($B17="",$B17=0),"",($G17*(DC$4&lt;$I17)+$H17*(DC$4&gt;=$I17))*$C17*(1+'Property Summary'!$L$18)^('MF Rents'!DC$3-1))</f>
        <v/>
      </c>
      <c r="DD17" s="149" t="str">
        <f>IF(OR($B17="",$B17=0),"",($G17*(DD$4&lt;$I17)+$H17*(DD$4&gt;=$I17))*$C17*(1+'Property Summary'!$L$18)^('MF Rents'!DD$3-1))</f>
        <v/>
      </c>
      <c r="DE17" s="149" t="str">
        <f>IF(OR($B17="",$B17=0),"",($G17*(DE$4&lt;$I17)+$H17*(DE$4&gt;=$I17))*$C17*(1+'Property Summary'!$L$18)^('MF Rents'!DE$3-1))</f>
        <v/>
      </c>
      <c r="DF17" s="149" t="str">
        <f>IF(OR($B17="",$B17=0),"",($G17*(DF$4&lt;$I17)+$H17*(DF$4&gt;=$I17))*$C17*(1+'Property Summary'!$L$18)^('MF Rents'!DF$3-1))</f>
        <v/>
      </c>
      <c r="DG17" s="149" t="str">
        <f>IF(OR($B17="",$B17=0),"",($G17*(DG$4&lt;$I17)+$H17*(DG$4&gt;=$I17))*$C17*(1+'Property Summary'!$L$18)^('MF Rents'!DG$3-1))</f>
        <v/>
      </c>
      <c r="DH17" s="149" t="str">
        <f>IF(OR($B17="",$B17=0),"",($G17*(DH$4&lt;$I17)+$H17*(DH$4&gt;=$I17))*$C17*(1+'Property Summary'!$L$18)^('MF Rents'!DH$3-1))</f>
        <v/>
      </c>
      <c r="DI17" s="149" t="str">
        <f>IF(OR($B17="",$B17=0),"",($G17*(DI$4&lt;$I17)+$H17*(DI$4&gt;=$I17))*$C17*(1+'Property Summary'!$L$18)^('MF Rents'!DI$3-1))</f>
        <v/>
      </c>
      <c r="DJ17" s="149" t="str">
        <f>IF(OR($B17="",$B17=0),"",($G17*(DJ$4&lt;$I17)+$H17*(DJ$4&gt;=$I17))*$C17*(1+'Property Summary'!$L$18)^('MF Rents'!DJ$3-1))</f>
        <v/>
      </c>
      <c r="DK17" s="149" t="str">
        <f>IF(OR($B17="",$B17=0),"",($G17*(DK$4&lt;$I17)+$H17*(DK$4&gt;=$I17))*$C17*(1+'Property Summary'!$L$18)^('MF Rents'!DK$3-1))</f>
        <v/>
      </c>
      <c r="DL17" s="149" t="str">
        <f>IF(OR($B17="",$B17=0),"",($G17*(DL$4&lt;$I17)+$H17*(DL$4&gt;=$I17))*$C17*(1+'Property Summary'!$L$18)^('MF Rents'!DL$3-1))</f>
        <v/>
      </c>
      <c r="DM17" s="149" t="str">
        <f>IF(OR($B17="",$B17=0),"",($G17*(DM$4&lt;$I17)+$H17*(DM$4&gt;=$I17))*$C17*(1+'Property Summary'!$L$18)^('MF Rents'!DM$3-1))</f>
        <v/>
      </c>
      <c r="DN17" s="149" t="str">
        <f>IF(OR($B17="",$B17=0),"",($G17*(DN$4&lt;$I17)+$H17*(DN$4&gt;=$I17))*$C17*(1+'Property Summary'!$L$18)^('MF Rents'!DN$3-1))</f>
        <v/>
      </c>
      <c r="DO17" s="149" t="str">
        <f>IF(OR($B17="",$B17=0),"",($G17*(DO$4&lt;$I17)+$H17*(DO$4&gt;=$I17))*$C17*(1+'Property Summary'!$L$18)^('MF Rents'!DO$3-1))</f>
        <v/>
      </c>
      <c r="DP17" s="149" t="str">
        <f>IF(OR($B17="",$B17=0),"",($G17*(DP$4&lt;$I17)+$H17*(DP$4&gt;=$I17))*$C17*(1+'Property Summary'!$L$18)^('MF Rents'!DP$3-1))</f>
        <v/>
      </c>
      <c r="DQ17" s="149" t="str">
        <f>IF(OR($B17="",$B17=0),"",($G17*(DQ$4&lt;$I17)+$H17*(DQ$4&gt;=$I17))*$C17*(1+'Property Summary'!$L$18)^('MF Rents'!DQ$3-1))</f>
        <v/>
      </c>
      <c r="DR17" s="149" t="str">
        <f>IF(OR($B17="",$B17=0),"",($G17*(DR$4&lt;$I17)+$H17*(DR$4&gt;=$I17))*$C17*(1+'Property Summary'!$L$18)^('MF Rents'!DR$3-1))</f>
        <v/>
      </c>
      <c r="DS17" s="149" t="str">
        <f>IF(OR($B17="",$B17=0),"",($G17*(DS$4&lt;$I17)+$H17*(DS$4&gt;=$I17))*$C17*(1+'Property Summary'!$L$18)^('MF Rents'!DS$3-1))</f>
        <v/>
      </c>
      <c r="DT17" s="149" t="str">
        <f>IF(OR($B17="",$B17=0),"",($G17*(DT$4&lt;$I17)+$H17*(DT$4&gt;=$I17))*$C17*(1+'Property Summary'!$L$18)^('MF Rents'!DT$3-1))</f>
        <v/>
      </c>
      <c r="DU17" s="149" t="str">
        <f>IF(OR($B17="",$B17=0),"",($G17*(DU$4&lt;$I17)+$H17*(DU$4&gt;=$I17))*$C17*(1+'Property Summary'!$L$18)^('MF Rents'!DU$3-1))</f>
        <v/>
      </c>
      <c r="DV17" s="149" t="str">
        <f>IF(OR($B17="",$B17=0),"",($G17*(DV$4&lt;$I17)+$H17*(DV$4&gt;=$I17))*$C17*(1+'Property Summary'!$L$18)^('MF Rents'!DV$3-1))</f>
        <v/>
      </c>
      <c r="DW17" s="149" t="str">
        <f>IF(OR($B17="",$B17=0),"",($G17*(DW$4&lt;$I17)+$H17*(DW$4&gt;=$I17))*$C17*(1+'Property Summary'!$L$18)^('MF Rents'!DW$3-1))</f>
        <v/>
      </c>
      <c r="DX17" s="149" t="str">
        <f>IF(OR($B17="",$B17=0),"",($G17*(DX$4&lt;$I17)+$H17*(DX$4&gt;=$I17))*$C17*(1+'Property Summary'!$L$18)^('MF Rents'!DX$3-1))</f>
        <v/>
      </c>
      <c r="DY17" s="149" t="str">
        <f>IF(OR($B17="",$B17=0),"",($G17*(DY$4&lt;$I17)+$H17*(DY$4&gt;=$I17))*$C17*(1+'Property Summary'!$L$18)^('MF Rents'!DY$3-1))</f>
        <v/>
      </c>
      <c r="DZ17" s="149" t="str">
        <f>IF(OR($B17="",$B17=0),"",($G17*(DZ$4&lt;$I17)+$H17*(DZ$4&gt;=$I17))*$C17*(1+'Property Summary'!$L$18)^('MF Rents'!DZ$3-1))</f>
        <v/>
      </c>
      <c r="EA17" s="149" t="str">
        <f>IF(OR($B17="",$B17=0),"",($G17*(EA$4&lt;$I17)+$H17*(EA$4&gt;=$I17))*$C17*(1+'Property Summary'!$L$18)^('MF Rents'!EA$3-1))</f>
        <v/>
      </c>
      <c r="EB17" s="149" t="str">
        <f>IF(OR($B17="",$B17=0),"",($G17*(EB$4&lt;$I17)+$H17*(EB$4&gt;=$I17))*$C17*(1+'Property Summary'!$L$18)^('MF Rents'!EB$3-1))</f>
        <v/>
      </c>
      <c r="EC17" s="149" t="str">
        <f>IF(OR($B17="",$B17=0),"",($G17*(EC$4&lt;$I17)+$H17*(EC$4&gt;=$I17))*$C17*(1+'Property Summary'!$L$18)^('MF Rents'!EC$3-1))</f>
        <v/>
      </c>
      <c r="ED17" s="149" t="str">
        <f>IF(OR($B17="",$B17=0),"",($G17*(ED$4&lt;$I17)+$H17*(ED$4&gt;=$I17))*$C17*(1+'Property Summary'!$L$18)^('MF Rents'!ED$3-1))</f>
        <v/>
      </c>
      <c r="EE17" s="149" t="str">
        <f>IF(OR($B17="",$B17=0),"",($G17*(EE$4&lt;$I17)+$H17*(EE$4&gt;=$I17))*$C17*(1+'Property Summary'!$L$18)^('MF Rents'!EE$3-1))</f>
        <v/>
      </c>
      <c r="EF17" s="149" t="str">
        <f>IF(OR($B17="",$B17=0),"",($G17*(EF$4&lt;$I17)+$H17*(EF$4&gt;=$I17))*$C17*(1+'Property Summary'!$L$18)^('MF Rents'!EF$3-1))</f>
        <v/>
      </c>
      <c r="EG17" s="149" t="str">
        <f>IF(OR($B17="",$B17=0),"",($G17*(EG$4&lt;$I17)+$H17*(EG$4&gt;=$I17))*$C17*(1+'Property Summary'!$L$18)^('MF Rents'!EG$3-1))</f>
        <v/>
      </c>
      <c r="EH17" s="149" t="str">
        <f>IF(OR($B17="",$B17=0),"",($G17*(EH$4&lt;$I17)+$H17*(EH$4&gt;=$I17))*$C17*(1+'Property Summary'!$L$18)^('MF Rents'!EH$3-1))</f>
        <v/>
      </c>
      <c r="EI17" s="149" t="str">
        <f>IF(OR($B17="",$B17=0),"",($G17*(EI$4&lt;$I17)+$H17*(EI$4&gt;=$I17))*$C17*(1+'Property Summary'!$L$18)^('MF Rents'!EI$3-1))</f>
        <v/>
      </c>
      <c r="EJ17" s="149" t="str">
        <f>IF(OR($B17="",$B17=0),"",($G17*(EJ$4&lt;$I17)+$H17*(EJ$4&gt;=$I17))*$C17*(1+'Property Summary'!$L$18)^('MF Rents'!EJ$3-1))</f>
        <v/>
      </c>
      <c r="EK17" s="149" t="str">
        <f>IF(OR($B17="",$B17=0),"",($G17*(EK$4&lt;$I17)+$H17*(EK$4&gt;=$I17))*$C17*(1+'Property Summary'!$L$18)^('MF Rents'!EK$3-1))</f>
        <v/>
      </c>
      <c r="EL17" s="149" t="str">
        <f>IF(OR($B17="",$B17=0),"",($G17*(EL$4&lt;$I17)+$H17*(EL$4&gt;=$I17))*$C17*(1+'Property Summary'!$L$18)^('MF Rents'!EL$3-1))</f>
        <v/>
      </c>
      <c r="EM17" s="149" t="str">
        <f>IF(OR($B17="",$B17=0),"",($G17*(EM$4&lt;$I17)+$H17*(EM$4&gt;=$I17))*$C17*(1+'Property Summary'!$L$18)^('MF Rents'!EM$3-1))</f>
        <v/>
      </c>
      <c r="EN17" s="149" t="str">
        <f>IF(OR($B17="",$B17=0),"",($G17*(EN$4&lt;$I17)+$H17*(EN$4&gt;=$I17))*$C17*(1+'Property Summary'!$L$18)^('MF Rents'!EN$3-1))</f>
        <v/>
      </c>
      <c r="EO17" s="149" t="str">
        <f>IF(OR($B17="",$B17=0),"",($G17*(EO$4&lt;$I17)+$H17*(EO$4&gt;=$I17))*$C17*(1+'Property Summary'!$L$18)^('MF Rents'!EO$3-1))</f>
        <v/>
      </c>
      <c r="EP17" s="149" t="str">
        <f>IF(OR($B17="",$B17=0),"",($G17*(EP$4&lt;$I17)+$H17*(EP$4&gt;=$I17))*$C17*(1+'Property Summary'!$L$18)^('MF Rents'!EP$3-1))</f>
        <v/>
      </c>
      <c r="EQ17" s="149" t="str">
        <f>IF(OR($B17="",$B17=0),"",($G17*(EQ$4&lt;$I17)+$H17*(EQ$4&gt;=$I17))*$C17*(1+'Property Summary'!$L$18)^('MF Rents'!EQ$3-1))</f>
        <v/>
      </c>
      <c r="ER17" s="149" t="str">
        <f>IF(OR($B17="",$B17=0),"",($G17*(ER$4&lt;$I17)+$H17*(ER$4&gt;=$I17))*$C17*(1+'Property Summary'!$L$18)^('MF Rents'!ER$3-1))</f>
        <v/>
      </c>
      <c r="ES17" s="149" t="str">
        <f>IF(OR($B17="",$B17=0),"",($G17*(ES$4&lt;$I17)+$H17*(ES$4&gt;=$I17))*$C17*(1+'Property Summary'!$L$18)^('MF Rents'!ES$3-1))</f>
        <v/>
      </c>
      <c r="ET17" s="149" t="str">
        <f>IF(OR($B17="",$B17=0),"",($G17*(ET$4&lt;$I17)+$H17*(ET$4&gt;=$I17))*$C17*(1+'Property Summary'!$L$18)^('MF Rents'!ET$3-1))</f>
        <v/>
      </c>
      <c r="EU17" s="149" t="str">
        <f>IF(OR($B17="",$B17=0),"",($G17*(EU$4&lt;$I17)+$H17*(EU$4&gt;=$I17))*$C17*(1+'Property Summary'!$L$18)^('MF Rents'!EU$3-1))</f>
        <v/>
      </c>
      <c r="EV17" s="149" t="str">
        <f>IF(OR($B17="",$B17=0),"",($G17*(EV$4&lt;$I17)+$H17*(EV$4&gt;=$I17))*$C17*(1+'Property Summary'!$L$18)^('MF Rents'!EV$3-1))</f>
        <v/>
      </c>
      <c r="EW17" s="149" t="str">
        <f>IF(OR($B17="",$B17=0),"",($G17*(EW$4&lt;$I17)+$H17*(EW$4&gt;=$I17))*$C17*(1+'Property Summary'!$L$18)^('MF Rents'!EW$3-1))</f>
        <v/>
      </c>
      <c r="EX17" s="149" t="str">
        <f>IF(OR($B17="",$B17=0),"",($G17*(EX$4&lt;$I17)+$H17*(EX$4&gt;=$I17))*$C17*(1+'Property Summary'!$L$18)^('MF Rents'!EX$3-1))</f>
        <v/>
      </c>
      <c r="EY17" s="149" t="str">
        <f>IF(OR($B17="",$B17=0),"",($G17*(EY$4&lt;$I17)+$H17*(EY$4&gt;=$I17))*$C17*(1+'Property Summary'!$L$18)^('MF Rents'!EY$3-1))</f>
        <v/>
      </c>
      <c r="EZ17" s="149" t="str">
        <f>IF(OR($B17="",$B17=0),"",($G17*(EZ$4&lt;$I17)+$H17*(EZ$4&gt;=$I17))*$C17*(1+'Property Summary'!$L$18)^('MF Rents'!EZ$3-1))</f>
        <v/>
      </c>
      <c r="FA17" s="149" t="str">
        <f>IF(OR($B17="",$B17=0),"",($G17*(FA$4&lt;$I17)+$H17*(FA$4&gt;=$I17))*$C17*(1+'Property Summary'!$L$18)^('MF Rents'!FA$3-1))</f>
        <v/>
      </c>
      <c r="FB17" s="149" t="str">
        <f>IF(OR($B17="",$B17=0),"",($G17*(FB$4&lt;$I17)+$H17*(FB$4&gt;=$I17))*$C17*(1+'Property Summary'!$L$18)^('MF Rents'!FB$3-1))</f>
        <v/>
      </c>
      <c r="FC17" s="149" t="str">
        <f>IF(OR($B17="",$B17=0),"",($G17*(FC$4&lt;$I17)+$H17*(FC$4&gt;=$I17))*$C17*(1+'Property Summary'!$L$18)^('MF Rents'!FC$3-1))</f>
        <v/>
      </c>
      <c r="FD17" s="149" t="str">
        <f>IF(OR($B17="",$B17=0),"",($G17*(FD$4&lt;$I17)+$H17*(FD$4&gt;=$I17))*$C17*(1+'Property Summary'!$L$18)^('MF Rents'!FD$3-1))</f>
        <v/>
      </c>
      <c r="FE17" s="149" t="str">
        <f>IF(OR($B17="",$B17=0),"",($G17*(FE$4&lt;$I17)+$H17*(FE$4&gt;=$I17))*$C17*(1+'Property Summary'!$L$18)^('MF Rents'!FE$3-1))</f>
        <v/>
      </c>
      <c r="FF17" s="149" t="str">
        <f>IF(OR($B17="",$B17=0),"",($G17*(FF$4&lt;$I17)+$H17*(FF$4&gt;=$I17))*$C17*(1+'Property Summary'!$L$18)^('MF Rents'!FF$3-1))</f>
        <v/>
      </c>
      <c r="FG17" s="149" t="str">
        <f>IF(OR($B17="",$B17=0),"",($G17*(FG$4&lt;$I17)+$H17*(FG$4&gt;=$I17))*$C17*(1+'Property Summary'!$L$18)^('MF Rents'!FG$3-1))</f>
        <v/>
      </c>
      <c r="FH17" s="149" t="str">
        <f>IF(OR($B17="",$B17=0),"",($G17*(FH$4&lt;$I17)+$H17*(FH$4&gt;=$I17))*$C17*(1+'Property Summary'!$L$18)^('MF Rents'!FH$3-1))</f>
        <v/>
      </c>
      <c r="FI17" s="149" t="str">
        <f>IF(OR($B17="",$B17=0),"",($G17*(FI$4&lt;$I17)+$H17*(FI$4&gt;=$I17))*$C17*(1+'Property Summary'!$L$18)^('MF Rents'!FI$3-1))</f>
        <v/>
      </c>
      <c r="FJ17" s="149" t="str">
        <f>IF(OR($B17="",$B17=0),"",($G17*(FJ$4&lt;$I17)+$H17*(FJ$4&gt;=$I17))*$C17*(1+'Property Summary'!$L$18)^('MF Rents'!FJ$3-1))</f>
        <v/>
      </c>
      <c r="FK17" s="149" t="str">
        <f>IF(OR($B17="",$B17=0),"",($G17*(FK$4&lt;$I17)+$H17*(FK$4&gt;=$I17))*$C17*(1+'Property Summary'!$L$18)^('MF Rents'!FK$3-1))</f>
        <v/>
      </c>
      <c r="FL17" s="149" t="str">
        <f>IF(OR($B17="",$B17=0),"",($G17*(FL$4&lt;$I17)+$H17*(FL$4&gt;=$I17))*$C17*(1+'Property Summary'!$L$18)^('MF Rents'!FL$3-1))</f>
        <v/>
      </c>
      <c r="FM17" s="149" t="str">
        <f>IF(OR($B17="",$B17=0),"",($G17*(FM$4&lt;$I17)+$H17*(FM$4&gt;=$I17))*$C17*(1+'Property Summary'!$L$18)^('MF Rents'!FM$3-1))</f>
        <v/>
      </c>
      <c r="FN17" s="149" t="str">
        <f>IF(OR($B17="",$B17=0),"",($G17*(FN$4&lt;$I17)+$H17*(FN$4&gt;=$I17))*$C17*(1+'Property Summary'!$L$18)^('MF Rents'!FN$3-1))</f>
        <v/>
      </c>
      <c r="FO17" s="149" t="str">
        <f>IF(OR($B17="",$B17=0),"",($G17*(FO$4&lt;$I17)+$H17*(FO$4&gt;=$I17))*$C17*(1+'Property Summary'!$L$18)^('MF Rents'!FO$3-1))</f>
        <v/>
      </c>
      <c r="FP17" s="149" t="str">
        <f>IF(OR($B17="",$B17=0),"",($G17*(FP$4&lt;$I17)+$H17*(FP$4&gt;=$I17))*$C17*(1+'Property Summary'!$L$18)^('MF Rents'!FP$3-1))</f>
        <v/>
      </c>
      <c r="FQ17" s="149" t="str">
        <f>IF(OR($B17="",$B17=0),"",($G17*(FQ$4&lt;$I17)+$H17*(FQ$4&gt;=$I17))*$C17*(1+'Property Summary'!$L$18)^('MF Rents'!FQ$3-1))</f>
        <v/>
      </c>
      <c r="FR17" s="149" t="str">
        <f>IF(OR($B17="",$B17=0),"",($G17*(FR$4&lt;$I17)+$H17*(FR$4&gt;=$I17))*$C17*(1+'Property Summary'!$L$18)^('MF Rents'!FR$3-1))</f>
        <v/>
      </c>
      <c r="FS17" s="149" t="str">
        <f>IF(OR($B17="",$B17=0),"",($G17*(FS$4&lt;$I17)+$H17*(FS$4&gt;=$I17))*$C17*(1+'Property Summary'!$L$18)^('MF Rents'!FS$3-1))</f>
        <v/>
      </c>
      <c r="FT17" s="149" t="str">
        <f>IF(OR($B17="",$B17=0),"",($G17*(FT$4&lt;$I17)+$H17*(FT$4&gt;=$I17))*$C17*(1+'Property Summary'!$L$18)^('MF Rents'!FT$3-1))</f>
        <v/>
      </c>
      <c r="FU17" s="149" t="str">
        <f>IF(OR($B17="",$B17=0),"",($G17*(FU$4&lt;$I17)+$H17*(FU$4&gt;=$I17))*$C17*(1+'Property Summary'!$L$18)^('MF Rents'!FU$3-1))</f>
        <v/>
      </c>
      <c r="FV17" s="149" t="str">
        <f>IF(OR($B17="",$B17=0),"",($G17*(FV$4&lt;$I17)+$H17*(FV$4&gt;=$I17))*$C17*(1+'Property Summary'!$L$18)^('MF Rents'!FV$3-1))</f>
        <v/>
      </c>
      <c r="FW17" s="149" t="str">
        <f>IF(OR($B17="",$B17=0),"",($G17*(FW$4&lt;$I17)+$H17*(FW$4&gt;=$I17))*$C17*(1+'Property Summary'!$L$18)^('MF Rents'!FW$3-1))</f>
        <v/>
      </c>
      <c r="FX17" s="149" t="str">
        <f>IF(OR($B17="",$B17=0),"",($G17*(FX$4&lt;$I17)+$H17*(FX$4&gt;=$I17))*$C17*(1+'Property Summary'!$L$18)^('MF Rents'!FX$3-1))</f>
        <v/>
      </c>
      <c r="FY17" s="149" t="str">
        <f>IF(OR($B17="",$B17=0),"",($G17*(FY$4&lt;$I17)+$H17*(FY$4&gt;=$I17))*$C17*(1+'Property Summary'!$L$18)^('MF Rents'!FY$3-1))</f>
        <v/>
      </c>
      <c r="FZ17" s="149" t="str">
        <f>IF(OR($B17="",$B17=0),"",($G17*(FZ$4&lt;$I17)+$H17*(FZ$4&gt;=$I17))*$C17*(1+'Property Summary'!$L$18)^('MF Rents'!FZ$3-1))</f>
        <v/>
      </c>
      <c r="GA17" s="149" t="str">
        <f>IF(OR($B17="",$B17=0),"",($G17*(GA$4&lt;$I17)+$H17*(GA$4&gt;=$I17))*$C17*(1+'Property Summary'!$L$18)^('MF Rents'!GA$3-1))</f>
        <v/>
      </c>
      <c r="GB17" s="149" t="str">
        <f>IF(OR($B17="",$B17=0),"",($G17*(GB$4&lt;$I17)+$H17*(GB$4&gt;=$I17))*$C17*(1+'Property Summary'!$L$18)^('MF Rents'!GB$3-1))</f>
        <v/>
      </c>
      <c r="GC17" s="149" t="str">
        <f>IF(OR($B17="",$B17=0),"",($G17*(GC$4&lt;$I17)+$H17*(GC$4&gt;=$I17))*$C17*(1+'Property Summary'!$L$18)^('MF Rents'!GC$3-1))</f>
        <v/>
      </c>
      <c r="GD17" s="149" t="str">
        <f>IF(OR($B17="",$B17=0),"",($G17*(GD$4&lt;$I17)+$H17*(GD$4&gt;=$I17))*$C17*(1+'Property Summary'!$L$18)^('MF Rents'!GD$3-1))</f>
        <v/>
      </c>
      <c r="GE17" s="149" t="str">
        <f>IF(OR($B17="",$B17=0),"",($G17*(GE$4&lt;$I17)+$H17*(GE$4&gt;=$I17))*$C17*(1+'Property Summary'!$L$18)^('MF Rents'!GE$3-1))</f>
        <v/>
      </c>
      <c r="GF17" s="149" t="str">
        <f>IF(OR($B17="",$B17=0),"",($G17*(GF$4&lt;$I17)+$H17*(GF$4&gt;=$I17))*$C17*(1+'Property Summary'!$L$18)^('MF Rents'!GF$3-1))</f>
        <v/>
      </c>
      <c r="GG17" s="149" t="str">
        <f>IF(OR($B17="",$B17=0),"",($G17*(GG$4&lt;$I17)+$H17*(GG$4&gt;=$I17))*$C17*(1+'Property Summary'!$L$18)^('MF Rents'!GG$3-1))</f>
        <v/>
      </c>
      <c r="GH17" s="149" t="str">
        <f>IF(OR($B17="",$B17=0),"",($G17*(GH$4&lt;$I17)+$H17*(GH$4&gt;=$I17))*$C17*(1+'Property Summary'!$L$18)^('MF Rents'!GH$3-1))</f>
        <v/>
      </c>
      <c r="GI17" s="149" t="str">
        <f>IF(OR($B17="",$B17=0),"",($G17*(GI$4&lt;$I17)+$H17*(GI$4&gt;=$I17))*$C17*(1+'Property Summary'!$L$18)^('MF Rents'!GI$3-1))</f>
        <v/>
      </c>
      <c r="GJ17" s="149" t="str">
        <f>IF(OR($B17="",$B17=0),"",($G17*(GJ$4&lt;$I17)+$H17*(GJ$4&gt;=$I17))*$C17*(1+'Property Summary'!$L$18)^('MF Rents'!GJ$3-1))</f>
        <v/>
      </c>
      <c r="GK17" s="149" t="str">
        <f>IF(OR($B17="",$B17=0),"",($G17*(GK$4&lt;$I17)+$H17*(GK$4&gt;=$I17))*$C17*(1+'Property Summary'!$L$18)^('MF Rents'!GK$3-1))</f>
        <v/>
      </c>
      <c r="GL17" s="149" t="str">
        <f>IF(OR($B17="",$B17=0),"",($G17*(GL$4&lt;$I17)+$H17*(GL$4&gt;=$I17))*$C17*(1+'Property Summary'!$L$18)^('MF Rents'!GL$3-1))</f>
        <v/>
      </c>
      <c r="GM17" s="149" t="str">
        <f>IF(OR($B17="",$B17=0),"",($G17*(GM$4&lt;$I17)+$H17*(GM$4&gt;=$I17))*$C17*(1+'Property Summary'!$L$18)^('MF Rents'!GM$3-1))</f>
        <v/>
      </c>
      <c r="GN17" s="149" t="str">
        <f>IF(OR($B17="",$B17=0),"",($G17*(GN$4&lt;$I17)+$H17*(GN$4&gt;=$I17))*$C17*(1+'Property Summary'!$L$18)^('MF Rents'!GN$3-1))</f>
        <v/>
      </c>
      <c r="GO17" s="149" t="str">
        <f>IF(OR($B17="",$B17=0),"",($G17*(GO$4&lt;$I17)+$H17*(GO$4&gt;=$I17))*$C17*(1+'Property Summary'!$L$18)^('MF Rents'!GO$3-1))</f>
        <v/>
      </c>
      <c r="GP17" s="149" t="str">
        <f>IF(OR($B17="",$B17=0),"",($G17*(GP$4&lt;$I17)+$H17*(GP$4&gt;=$I17))*$C17*(1+'Property Summary'!$L$18)^('MF Rents'!GP$3-1))</f>
        <v/>
      </c>
      <c r="GQ17" s="149" t="str">
        <f>IF(OR($B17="",$B17=0),"",($G17*(GQ$4&lt;$I17)+$H17*(GQ$4&gt;=$I17))*$C17*(1+'Property Summary'!$L$18)^('MF Rents'!GQ$3-1))</f>
        <v/>
      </c>
      <c r="GR17" s="149" t="str">
        <f>IF(OR($B17="",$B17=0),"",($G17*(GR$4&lt;$I17)+$H17*(GR$4&gt;=$I17))*$C17*(1+'Property Summary'!$L$18)^('MF Rents'!GR$3-1))</f>
        <v/>
      </c>
    </row>
    <row r="18" spans="2:200" x14ac:dyDescent="0.3">
      <c r="B18" s="184">
        <f>'MF Rent Roll'!B17</f>
        <v>0</v>
      </c>
      <c r="C18" s="171">
        <f>'MF Rent Roll'!C17</f>
        <v>0</v>
      </c>
      <c r="D18" s="172">
        <f>'MF Rent Roll'!D17</f>
        <v>0</v>
      </c>
      <c r="E18" s="172">
        <f>'MF Rent Roll'!E17</f>
        <v>0</v>
      </c>
      <c r="F18" s="173">
        <f>'MF Rent Roll'!F17</f>
        <v>0</v>
      </c>
      <c r="G18" s="174">
        <f>'MF Rent Roll'!G17</f>
        <v>0</v>
      </c>
      <c r="H18" s="174">
        <f>IF('MF Rent Roll'!H17="",G18,'MF Rent Roll'!H17)</f>
        <v>0</v>
      </c>
      <c r="I18" s="175">
        <f>IF('MF Rent Roll'!I17="",1,'MF Rent Roll'!I17)</f>
        <v>1</v>
      </c>
      <c r="J18" s="176">
        <f>'MF Rent Roll'!J17</f>
        <v>0</v>
      </c>
      <c r="K18" s="174">
        <f>'MF Rent Roll'!K17</f>
        <v>0</v>
      </c>
      <c r="L18" s="177">
        <f>'MF Rent Roll'!L17</f>
        <v>0</v>
      </c>
      <c r="M18" s="178">
        <f>'MF Rent Roll'!M17</f>
        <v>0</v>
      </c>
      <c r="N18" s="174">
        <f>'MF Rent Roll'!N17</f>
        <v>0</v>
      </c>
      <c r="O18" s="179">
        <f>'MF Rent Roll'!O17</f>
        <v>0</v>
      </c>
      <c r="P18" s="180" t="str">
        <f>'MF Rent Roll'!P17</f>
        <v/>
      </c>
      <c r="Q18" s="181" t="str">
        <f>'MF Rent Roll'!Q17</f>
        <v/>
      </c>
      <c r="R18" s="104" t="str">
        <f>'MF Rent Roll'!R17</f>
        <v/>
      </c>
      <c r="U18" s="149" t="str">
        <f>IF(OR($B18="",$B18=0),"",($G18*(U$4&lt;$I18)+$H18*(U$4&gt;=$I18))*$C18*(1+'Property Summary'!$L$18)^('MF Rents'!U$3-1))</f>
        <v/>
      </c>
      <c r="V18" s="149" t="str">
        <f>IF(OR($B18="",$B18=0),"",($G18*(V$4&lt;$I18)+$H18*(V$4&gt;=$I18))*$C18*(1+'Property Summary'!$L$18)^('MF Rents'!V$3-1))</f>
        <v/>
      </c>
      <c r="W18" s="149" t="str">
        <f>IF(OR($B18="",$B18=0),"",($G18*(W$4&lt;$I18)+$H18*(W$4&gt;=$I18))*$C18*(1+'Property Summary'!$L$18)^('MF Rents'!W$3-1))</f>
        <v/>
      </c>
      <c r="X18" s="149" t="str">
        <f>IF(OR($B18="",$B18=0),"",($G18*(X$4&lt;$I18)+$H18*(X$4&gt;=$I18))*$C18*(1+'Property Summary'!$L$18)^('MF Rents'!X$3-1))</f>
        <v/>
      </c>
      <c r="Y18" s="149" t="str">
        <f>IF(OR($B18="",$B18=0),"",($G18*(Y$4&lt;$I18)+$H18*(Y$4&gt;=$I18))*$C18*(1+'Property Summary'!$L$18)^('MF Rents'!Y$3-1))</f>
        <v/>
      </c>
      <c r="Z18" s="149" t="str">
        <f>IF(OR($B18="",$B18=0),"",($G18*(Z$4&lt;$I18)+$H18*(Z$4&gt;=$I18))*$C18*(1+'Property Summary'!$L$18)^('MF Rents'!Z$3-1))</f>
        <v/>
      </c>
      <c r="AA18" s="149" t="str">
        <f>IF(OR($B18="",$B18=0),"",($G18*(AA$4&lt;$I18)+$H18*(AA$4&gt;=$I18))*$C18*(1+'Property Summary'!$L$18)^('MF Rents'!AA$3-1))</f>
        <v/>
      </c>
      <c r="AB18" s="149" t="str">
        <f>IF(OR($B18="",$B18=0),"",($G18*(AB$4&lt;$I18)+$H18*(AB$4&gt;=$I18))*$C18*(1+'Property Summary'!$L$18)^('MF Rents'!AB$3-1))</f>
        <v/>
      </c>
      <c r="AC18" s="149" t="str">
        <f>IF(OR($B18="",$B18=0),"",($G18*(AC$4&lt;$I18)+$H18*(AC$4&gt;=$I18))*$C18*(1+'Property Summary'!$L$18)^('MF Rents'!AC$3-1))</f>
        <v/>
      </c>
      <c r="AD18" s="149" t="str">
        <f>IF(OR($B18="",$B18=0),"",($G18*(AD$4&lt;$I18)+$H18*(AD$4&gt;=$I18))*$C18*(1+'Property Summary'!$L$18)^('MF Rents'!AD$3-1))</f>
        <v/>
      </c>
      <c r="AE18" s="149" t="str">
        <f>IF(OR($B18="",$B18=0),"",($G18*(AE$4&lt;$I18)+$H18*(AE$4&gt;=$I18))*$C18*(1+'Property Summary'!$L$18)^('MF Rents'!AE$3-1))</f>
        <v/>
      </c>
      <c r="AF18" s="149" t="str">
        <f>IF(OR($B18="",$B18=0),"",($G18*(AF$4&lt;$I18)+$H18*(AF$4&gt;=$I18))*$C18*(1+'Property Summary'!$L$18)^('MF Rents'!AF$3-1))</f>
        <v/>
      </c>
      <c r="AG18" s="149" t="str">
        <f>IF(OR($B18="",$B18=0),"",($G18*(AG$4&lt;$I18)+$H18*(AG$4&gt;=$I18))*$C18*(1+'Property Summary'!$L$18)^('MF Rents'!AG$3-1))</f>
        <v/>
      </c>
      <c r="AH18" s="149" t="str">
        <f>IF(OR($B18="",$B18=0),"",($G18*(AH$4&lt;$I18)+$H18*(AH$4&gt;=$I18))*$C18*(1+'Property Summary'!$L$18)^('MF Rents'!AH$3-1))</f>
        <v/>
      </c>
      <c r="AI18" s="149" t="str">
        <f>IF(OR($B18="",$B18=0),"",($G18*(AI$4&lt;$I18)+$H18*(AI$4&gt;=$I18))*$C18*(1+'Property Summary'!$L$18)^('MF Rents'!AI$3-1))</f>
        <v/>
      </c>
      <c r="AJ18" s="149" t="str">
        <f>IF(OR($B18="",$B18=0),"",($G18*(AJ$4&lt;$I18)+$H18*(AJ$4&gt;=$I18))*$C18*(1+'Property Summary'!$L$18)^('MF Rents'!AJ$3-1))</f>
        <v/>
      </c>
      <c r="AK18" s="149" t="str">
        <f>IF(OR($B18="",$B18=0),"",($G18*(AK$4&lt;$I18)+$H18*(AK$4&gt;=$I18))*$C18*(1+'Property Summary'!$L$18)^('MF Rents'!AK$3-1))</f>
        <v/>
      </c>
      <c r="AL18" s="149" t="str">
        <f>IF(OR($B18="",$B18=0),"",($G18*(AL$4&lt;$I18)+$H18*(AL$4&gt;=$I18))*$C18*(1+'Property Summary'!$L$18)^('MF Rents'!AL$3-1))</f>
        <v/>
      </c>
      <c r="AM18" s="149" t="str">
        <f>IF(OR($B18="",$B18=0),"",($G18*(AM$4&lt;$I18)+$H18*(AM$4&gt;=$I18))*$C18*(1+'Property Summary'!$L$18)^('MF Rents'!AM$3-1))</f>
        <v/>
      </c>
      <c r="AN18" s="149" t="str">
        <f>IF(OR($B18="",$B18=0),"",($G18*(AN$4&lt;$I18)+$H18*(AN$4&gt;=$I18))*$C18*(1+'Property Summary'!$L$18)^('MF Rents'!AN$3-1))</f>
        <v/>
      </c>
      <c r="AO18" s="149" t="str">
        <f>IF(OR($B18="",$B18=0),"",($G18*(AO$4&lt;$I18)+$H18*(AO$4&gt;=$I18))*$C18*(1+'Property Summary'!$L$18)^('MF Rents'!AO$3-1))</f>
        <v/>
      </c>
      <c r="AP18" s="149" t="str">
        <f>IF(OR($B18="",$B18=0),"",($G18*(AP$4&lt;$I18)+$H18*(AP$4&gt;=$I18))*$C18*(1+'Property Summary'!$L$18)^('MF Rents'!AP$3-1))</f>
        <v/>
      </c>
      <c r="AQ18" s="149" t="str">
        <f>IF(OR($B18="",$B18=0),"",($G18*(AQ$4&lt;$I18)+$H18*(AQ$4&gt;=$I18))*$C18*(1+'Property Summary'!$L$18)^('MF Rents'!AQ$3-1))</f>
        <v/>
      </c>
      <c r="AR18" s="149" t="str">
        <f>IF(OR($B18="",$B18=0),"",($G18*(AR$4&lt;$I18)+$H18*(AR$4&gt;=$I18))*$C18*(1+'Property Summary'!$L$18)^('MF Rents'!AR$3-1))</f>
        <v/>
      </c>
      <c r="AS18" s="149" t="str">
        <f>IF(OR($B18="",$B18=0),"",($G18*(AS$4&lt;$I18)+$H18*(AS$4&gt;=$I18))*$C18*(1+'Property Summary'!$L$18)^('MF Rents'!AS$3-1))</f>
        <v/>
      </c>
      <c r="AT18" s="149" t="str">
        <f>IF(OR($B18="",$B18=0),"",($G18*(AT$4&lt;$I18)+$H18*(AT$4&gt;=$I18))*$C18*(1+'Property Summary'!$L$18)^('MF Rents'!AT$3-1))</f>
        <v/>
      </c>
      <c r="AU18" s="149" t="str">
        <f>IF(OR($B18="",$B18=0),"",($G18*(AU$4&lt;$I18)+$H18*(AU$4&gt;=$I18))*$C18*(1+'Property Summary'!$L$18)^('MF Rents'!AU$3-1))</f>
        <v/>
      </c>
      <c r="AV18" s="149" t="str">
        <f>IF(OR($B18="",$B18=0),"",($G18*(AV$4&lt;$I18)+$H18*(AV$4&gt;=$I18))*$C18*(1+'Property Summary'!$L$18)^('MF Rents'!AV$3-1))</f>
        <v/>
      </c>
      <c r="AW18" s="149" t="str">
        <f>IF(OR($B18="",$B18=0),"",($G18*(AW$4&lt;$I18)+$H18*(AW$4&gt;=$I18))*$C18*(1+'Property Summary'!$L$18)^('MF Rents'!AW$3-1))</f>
        <v/>
      </c>
      <c r="AX18" s="149" t="str">
        <f>IF(OR($B18="",$B18=0),"",($G18*(AX$4&lt;$I18)+$H18*(AX$4&gt;=$I18))*$C18*(1+'Property Summary'!$L$18)^('MF Rents'!AX$3-1))</f>
        <v/>
      </c>
      <c r="AY18" s="149" t="str">
        <f>IF(OR($B18="",$B18=0),"",($G18*(AY$4&lt;$I18)+$H18*(AY$4&gt;=$I18))*$C18*(1+'Property Summary'!$L$18)^('MF Rents'!AY$3-1))</f>
        <v/>
      </c>
      <c r="AZ18" s="149" t="str">
        <f>IF(OR($B18="",$B18=0),"",($G18*(AZ$4&lt;$I18)+$H18*(AZ$4&gt;=$I18))*$C18*(1+'Property Summary'!$L$18)^('MF Rents'!AZ$3-1))</f>
        <v/>
      </c>
      <c r="BA18" s="149" t="str">
        <f>IF(OR($B18="",$B18=0),"",($G18*(BA$4&lt;$I18)+$H18*(BA$4&gt;=$I18))*$C18*(1+'Property Summary'!$L$18)^('MF Rents'!BA$3-1))</f>
        <v/>
      </c>
      <c r="BB18" s="149" t="str">
        <f>IF(OR($B18="",$B18=0),"",($G18*(BB$4&lt;$I18)+$H18*(BB$4&gt;=$I18))*$C18*(1+'Property Summary'!$L$18)^('MF Rents'!BB$3-1))</f>
        <v/>
      </c>
      <c r="BC18" s="149" t="str">
        <f>IF(OR($B18="",$B18=0),"",($G18*(BC$4&lt;$I18)+$H18*(BC$4&gt;=$I18))*$C18*(1+'Property Summary'!$L$18)^('MF Rents'!BC$3-1))</f>
        <v/>
      </c>
      <c r="BD18" s="149" t="str">
        <f>IF(OR($B18="",$B18=0),"",($G18*(BD$4&lt;$I18)+$H18*(BD$4&gt;=$I18))*$C18*(1+'Property Summary'!$L$18)^('MF Rents'!BD$3-1))</f>
        <v/>
      </c>
      <c r="BE18" s="149" t="str">
        <f>IF(OR($B18="",$B18=0),"",($G18*(BE$4&lt;$I18)+$H18*(BE$4&gt;=$I18))*$C18*(1+'Property Summary'!$L$18)^('MF Rents'!BE$3-1))</f>
        <v/>
      </c>
      <c r="BF18" s="149" t="str">
        <f>IF(OR($B18="",$B18=0),"",($G18*(BF$4&lt;$I18)+$H18*(BF$4&gt;=$I18))*$C18*(1+'Property Summary'!$L$18)^('MF Rents'!BF$3-1))</f>
        <v/>
      </c>
      <c r="BG18" s="149" t="str">
        <f>IF(OR($B18="",$B18=0),"",($G18*(BG$4&lt;$I18)+$H18*(BG$4&gt;=$I18))*$C18*(1+'Property Summary'!$L$18)^('MF Rents'!BG$3-1))</f>
        <v/>
      </c>
      <c r="BH18" s="149" t="str">
        <f>IF(OR($B18="",$B18=0),"",($G18*(BH$4&lt;$I18)+$H18*(BH$4&gt;=$I18))*$C18*(1+'Property Summary'!$L$18)^('MF Rents'!BH$3-1))</f>
        <v/>
      </c>
      <c r="BI18" s="149" t="str">
        <f>IF(OR($B18="",$B18=0),"",($G18*(BI$4&lt;$I18)+$H18*(BI$4&gt;=$I18))*$C18*(1+'Property Summary'!$L$18)^('MF Rents'!BI$3-1))</f>
        <v/>
      </c>
      <c r="BJ18" s="149" t="str">
        <f>IF(OR($B18="",$B18=0),"",($G18*(BJ$4&lt;$I18)+$H18*(BJ$4&gt;=$I18))*$C18*(1+'Property Summary'!$L$18)^('MF Rents'!BJ$3-1))</f>
        <v/>
      </c>
      <c r="BK18" s="149" t="str">
        <f>IF(OR($B18="",$B18=0),"",($G18*(BK$4&lt;$I18)+$H18*(BK$4&gt;=$I18))*$C18*(1+'Property Summary'!$L$18)^('MF Rents'!BK$3-1))</f>
        <v/>
      </c>
      <c r="BL18" s="149" t="str">
        <f>IF(OR($B18="",$B18=0),"",($G18*(BL$4&lt;$I18)+$H18*(BL$4&gt;=$I18))*$C18*(1+'Property Summary'!$L$18)^('MF Rents'!BL$3-1))</f>
        <v/>
      </c>
      <c r="BM18" s="149" t="str">
        <f>IF(OR($B18="",$B18=0),"",($G18*(BM$4&lt;$I18)+$H18*(BM$4&gt;=$I18))*$C18*(1+'Property Summary'!$L$18)^('MF Rents'!BM$3-1))</f>
        <v/>
      </c>
      <c r="BN18" s="149" t="str">
        <f>IF(OR($B18="",$B18=0),"",($G18*(BN$4&lt;$I18)+$H18*(BN$4&gt;=$I18))*$C18*(1+'Property Summary'!$L$18)^('MF Rents'!BN$3-1))</f>
        <v/>
      </c>
      <c r="BO18" s="149" t="str">
        <f>IF(OR($B18="",$B18=0),"",($G18*(BO$4&lt;$I18)+$H18*(BO$4&gt;=$I18))*$C18*(1+'Property Summary'!$L$18)^('MF Rents'!BO$3-1))</f>
        <v/>
      </c>
      <c r="BP18" s="149" t="str">
        <f>IF(OR($B18="",$B18=0),"",($G18*(BP$4&lt;$I18)+$H18*(BP$4&gt;=$I18))*$C18*(1+'Property Summary'!$L$18)^('MF Rents'!BP$3-1))</f>
        <v/>
      </c>
      <c r="BQ18" s="149" t="str">
        <f>IF(OR($B18="",$B18=0),"",($G18*(BQ$4&lt;$I18)+$H18*(BQ$4&gt;=$I18))*$C18*(1+'Property Summary'!$L$18)^('MF Rents'!BQ$3-1))</f>
        <v/>
      </c>
      <c r="BR18" s="149" t="str">
        <f>IF(OR($B18="",$B18=0),"",($G18*(BR$4&lt;$I18)+$H18*(BR$4&gt;=$I18))*$C18*(1+'Property Summary'!$L$18)^('MF Rents'!BR$3-1))</f>
        <v/>
      </c>
      <c r="BS18" s="149" t="str">
        <f>IF(OR($B18="",$B18=0),"",($G18*(BS$4&lt;$I18)+$H18*(BS$4&gt;=$I18))*$C18*(1+'Property Summary'!$L$18)^('MF Rents'!BS$3-1))</f>
        <v/>
      </c>
      <c r="BT18" s="149" t="str">
        <f>IF(OR($B18="",$B18=0),"",($G18*(BT$4&lt;$I18)+$H18*(BT$4&gt;=$I18))*$C18*(1+'Property Summary'!$L$18)^('MF Rents'!BT$3-1))</f>
        <v/>
      </c>
      <c r="BU18" s="149" t="str">
        <f>IF(OR($B18="",$B18=0),"",($G18*(BU$4&lt;$I18)+$H18*(BU$4&gt;=$I18))*$C18*(1+'Property Summary'!$L$18)^('MF Rents'!BU$3-1))</f>
        <v/>
      </c>
      <c r="BV18" s="149" t="str">
        <f>IF(OR($B18="",$B18=0),"",($G18*(BV$4&lt;$I18)+$H18*(BV$4&gt;=$I18))*$C18*(1+'Property Summary'!$L$18)^('MF Rents'!BV$3-1))</f>
        <v/>
      </c>
      <c r="BW18" s="149" t="str">
        <f>IF(OR($B18="",$B18=0),"",($G18*(BW$4&lt;$I18)+$H18*(BW$4&gt;=$I18))*$C18*(1+'Property Summary'!$L$18)^('MF Rents'!BW$3-1))</f>
        <v/>
      </c>
      <c r="BX18" s="149" t="str">
        <f>IF(OR($B18="",$B18=0),"",($G18*(BX$4&lt;$I18)+$H18*(BX$4&gt;=$I18))*$C18*(1+'Property Summary'!$L$18)^('MF Rents'!BX$3-1))</f>
        <v/>
      </c>
      <c r="BY18" s="149" t="str">
        <f>IF(OR($B18="",$B18=0),"",($G18*(BY$4&lt;$I18)+$H18*(BY$4&gt;=$I18))*$C18*(1+'Property Summary'!$L$18)^('MF Rents'!BY$3-1))</f>
        <v/>
      </c>
      <c r="BZ18" s="149" t="str">
        <f>IF(OR($B18="",$B18=0),"",($G18*(BZ$4&lt;$I18)+$H18*(BZ$4&gt;=$I18))*$C18*(1+'Property Summary'!$L$18)^('MF Rents'!BZ$3-1))</f>
        <v/>
      </c>
      <c r="CA18" s="149" t="str">
        <f>IF(OR($B18="",$B18=0),"",($G18*(CA$4&lt;$I18)+$H18*(CA$4&gt;=$I18))*$C18*(1+'Property Summary'!$L$18)^('MF Rents'!CA$3-1))</f>
        <v/>
      </c>
      <c r="CB18" s="149" t="str">
        <f>IF(OR($B18="",$B18=0),"",($G18*(CB$4&lt;$I18)+$H18*(CB$4&gt;=$I18))*$C18*(1+'Property Summary'!$L$18)^('MF Rents'!CB$3-1))</f>
        <v/>
      </c>
      <c r="CC18" s="149" t="str">
        <f>IF(OR($B18="",$B18=0),"",($G18*(CC$4&lt;$I18)+$H18*(CC$4&gt;=$I18))*$C18*(1+'Property Summary'!$L$18)^('MF Rents'!CC$3-1))</f>
        <v/>
      </c>
      <c r="CD18" s="149" t="str">
        <f>IF(OR($B18="",$B18=0),"",($G18*(CD$4&lt;$I18)+$H18*(CD$4&gt;=$I18))*$C18*(1+'Property Summary'!$L$18)^('MF Rents'!CD$3-1))</f>
        <v/>
      </c>
      <c r="CE18" s="149" t="str">
        <f>IF(OR($B18="",$B18=0),"",($G18*(CE$4&lt;$I18)+$H18*(CE$4&gt;=$I18))*$C18*(1+'Property Summary'!$L$18)^('MF Rents'!CE$3-1))</f>
        <v/>
      </c>
      <c r="CF18" s="149" t="str">
        <f>IF(OR($B18="",$B18=0),"",($G18*(CF$4&lt;$I18)+$H18*(CF$4&gt;=$I18))*$C18*(1+'Property Summary'!$L$18)^('MF Rents'!CF$3-1))</f>
        <v/>
      </c>
      <c r="CG18" s="149" t="str">
        <f>IF(OR($B18="",$B18=0),"",($G18*(CG$4&lt;$I18)+$H18*(CG$4&gt;=$I18))*$C18*(1+'Property Summary'!$L$18)^('MF Rents'!CG$3-1))</f>
        <v/>
      </c>
      <c r="CH18" s="149" t="str">
        <f>IF(OR($B18="",$B18=0),"",($G18*(CH$4&lt;$I18)+$H18*(CH$4&gt;=$I18))*$C18*(1+'Property Summary'!$L$18)^('MF Rents'!CH$3-1))</f>
        <v/>
      </c>
      <c r="CI18" s="149" t="str">
        <f>IF(OR($B18="",$B18=0),"",($G18*(CI$4&lt;$I18)+$H18*(CI$4&gt;=$I18))*$C18*(1+'Property Summary'!$L$18)^('MF Rents'!CI$3-1))</f>
        <v/>
      </c>
      <c r="CJ18" s="149" t="str">
        <f>IF(OR($B18="",$B18=0),"",($G18*(CJ$4&lt;$I18)+$H18*(CJ$4&gt;=$I18))*$C18*(1+'Property Summary'!$L$18)^('MF Rents'!CJ$3-1))</f>
        <v/>
      </c>
      <c r="CK18" s="149" t="str">
        <f>IF(OR($B18="",$B18=0),"",($G18*(CK$4&lt;$I18)+$H18*(CK$4&gt;=$I18))*$C18*(1+'Property Summary'!$L$18)^('MF Rents'!CK$3-1))</f>
        <v/>
      </c>
      <c r="CL18" s="149" t="str">
        <f>IF(OR($B18="",$B18=0),"",($G18*(CL$4&lt;$I18)+$H18*(CL$4&gt;=$I18))*$C18*(1+'Property Summary'!$L$18)^('MF Rents'!CL$3-1))</f>
        <v/>
      </c>
      <c r="CM18" s="149" t="str">
        <f>IF(OR($B18="",$B18=0),"",($G18*(CM$4&lt;$I18)+$H18*(CM$4&gt;=$I18))*$C18*(1+'Property Summary'!$L$18)^('MF Rents'!CM$3-1))</f>
        <v/>
      </c>
      <c r="CN18" s="149" t="str">
        <f>IF(OR($B18="",$B18=0),"",($G18*(CN$4&lt;$I18)+$H18*(CN$4&gt;=$I18))*$C18*(1+'Property Summary'!$L$18)^('MF Rents'!CN$3-1))</f>
        <v/>
      </c>
      <c r="CO18" s="149" t="str">
        <f>IF(OR($B18="",$B18=0),"",($G18*(CO$4&lt;$I18)+$H18*(CO$4&gt;=$I18))*$C18*(1+'Property Summary'!$L$18)^('MF Rents'!CO$3-1))</f>
        <v/>
      </c>
      <c r="CP18" s="149" t="str">
        <f>IF(OR($B18="",$B18=0),"",($G18*(CP$4&lt;$I18)+$H18*(CP$4&gt;=$I18))*$C18*(1+'Property Summary'!$L$18)^('MF Rents'!CP$3-1))</f>
        <v/>
      </c>
      <c r="CQ18" s="149" t="str">
        <f>IF(OR($B18="",$B18=0),"",($G18*(CQ$4&lt;$I18)+$H18*(CQ$4&gt;=$I18))*$C18*(1+'Property Summary'!$L$18)^('MF Rents'!CQ$3-1))</f>
        <v/>
      </c>
      <c r="CR18" s="149" t="str">
        <f>IF(OR($B18="",$B18=0),"",($G18*(CR$4&lt;$I18)+$H18*(CR$4&gt;=$I18))*$C18*(1+'Property Summary'!$L$18)^('MF Rents'!CR$3-1))</f>
        <v/>
      </c>
      <c r="CS18" s="149" t="str">
        <f>IF(OR($B18="",$B18=0),"",($G18*(CS$4&lt;$I18)+$H18*(CS$4&gt;=$I18))*$C18*(1+'Property Summary'!$L$18)^('MF Rents'!CS$3-1))</f>
        <v/>
      </c>
      <c r="CT18" s="149" t="str">
        <f>IF(OR($B18="",$B18=0),"",($G18*(CT$4&lt;$I18)+$H18*(CT$4&gt;=$I18))*$C18*(1+'Property Summary'!$L$18)^('MF Rents'!CT$3-1))</f>
        <v/>
      </c>
      <c r="CU18" s="149" t="str">
        <f>IF(OR($B18="",$B18=0),"",($G18*(CU$4&lt;$I18)+$H18*(CU$4&gt;=$I18))*$C18*(1+'Property Summary'!$L$18)^('MF Rents'!CU$3-1))</f>
        <v/>
      </c>
      <c r="CV18" s="149" t="str">
        <f>IF(OR($B18="",$B18=0),"",($G18*(CV$4&lt;$I18)+$H18*(CV$4&gt;=$I18))*$C18*(1+'Property Summary'!$L$18)^('MF Rents'!CV$3-1))</f>
        <v/>
      </c>
      <c r="CW18" s="149" t="str">
        <f>IF(OR($B18="",$B18=0),"",($G18*(CW$4&lt;$I18)+$H18*(CW$4&gt;=$I18))*$C18*(1+'Property Summary'!$L$18)^('MF Rents'!CW$3-1))</f>
        <v/>
      </c>
      <c r="CX18" s="149" t="str">
        <f>IF(OR($B18="",$B18=0),"",($G18*(CX$4&lt;$I18)+$H18*(CX$4&gt;=$I18))*$C18*(1+'Property Summary'!$L$18)^('MF Rents'!CX$3-1))</f>
        <v/>
      </c>
      <c r="CY18" s="149" t="str">
        <f>IF(OR($B18="",$B18=0),"",($G18*(CY$4&lt;$I18)+$H18*(CY$4&gt;=$I18))*$C18*(1+'Property Summary'!$L$18)^('MF Rents'!CY$3-1))</f>
        <v/>
      </c>
      <c r="CZ18" s="149" t="str">
        <f>IF(OR($B18="",$B18=0),"",($G18*(CZ$4&lt;$I18)+$H18*(CZ$4&gt;=$I18))*$C18*(1+'Property Summary'!$L$18)^('MF Rents'!CZ$3-1))</f>
        <v/>
      </c>
      <c r="DA18" s="149" t="str">
        <f>IF(OR($B18="",$B18=0),"",($G18*(DA$4&lt;$I18)+$H18*(DA$4&gt;=$I18))*$C18*(1+'Property Summary'!$L$18)^('MF Rents'!DA$3-1))</f>
        <v/>
      </c>
      <c r="DB18" s="149" t="str">
        <f>IF(OR($B18="",$B18=0),"",($G18*(DB$4&lt;$I18)+$H18*(DB$4&gt;=$I18))*$C18*(1+'Property Summary'!$L$18)^('MF Rents'!DB$3-1))</f>
        <v/>
      </c>
      <c r="DC18" s="149" t="str">
        <f>IF(OR($B18="",$B18=0),"",($G18*(DC$4&lt;$I18)+$H18*(DC$4&gt;=$I18))*$C18*(1+'Property Summary'!$L$18)^('MF Rents'!DC$3-1))</f>
        <v/>
      </c>
      <c r="DD18" s="149" t="str">
        <f>IF(OR($B18="",$B18=0),"",($G18*(DD$4&lt;$I18)+$H18*(DD$4&gt;=$I18))*$C18*(1+'Property Summary'!$L$18)^('MF Rents'!DD$3-1))</f>
        <v/>
      </c>
      <c r="DE18" s="149" t="str">
        <f>IF(OR($B18="",$B18=0),"",($G18*(DE$4&lt;$I18)+$H18*(DE$4&gt;=$I18))*$C18*(1+'Property Summary'!$L$18)^('MF Rents'!DE$3-1))</f>
        <v/>
      </c>
      <c r="DF18" s="149" t="str">
        <f>IF(OR($B18="",$B18=0),"",($G18*(DF$4&lt;$I18)+$H18*(DF$4&gt;=$I18))*$C18*(1+'Property Summary'!$L$18)^('MF Rents'!DF$3-1))</f>
        <v/>
      </c>
      <c r="DG18" s="149" t="str">
        <f>IF(OR($B18="",$B18=0),"",($G18*(DG$4&lt;$I18)+$H18*(DG$4&gt;=$I18))*$C18*(1+'Property Summary'!$L$18)^('MF Rents'!DG$3-1))</f>
        <v/>
      </c>
      <c r="DH18" s="149" t="str">
        <f>IF(OR($B18="",$B18=0),"",($G18*(DH$4&lt;$I18)+$H18*(DH$4&gt;=$I18))*$C18*(1+'Property Summary'!$L$18)^('MF Rents'!DH$3-1))</f>
        <v/>
      </c>
      <c r="DI18" s="149" t="str">
        <f>IF(OR($B18="",$B18=0),"",($G18*(DI$4&lt;$I18)+$H18*(DI$4&gt;=$I18))*$C18*(1+'Property Summary'!$L$18)^('MF Rents'!DI$3-1))</f>
        <v/>
      </c>
      <c r="DJ18" s="149" t="str">
        <f>IF(OR($B18="",$B18=0),"",($G18*(DJ$4&lt;$I18)+$H18*(DJ$4&gt;=$I18))*$C18*(1+'Property Summary'!$L$18)^('MF Rents'!DJ$3-1))</f>
        <v/>
      </c>
      <c r="DK18" s="149" t="str">
        <f>IF(OR($B18="",$B18=0),"",($G18*(DK$4&lt;$I18)+$H18*(DK$4&gt;=$I18))*$C18*(1+'Property Summary'!$L$18)^('MF Rents'!DK$3-1))</f>
        <v/>
      </c>
      <c r="DL18" s="149" t="str">
        <f>IF(OR($B18="",$B18=0),"",($G18*(DL$4&lt;$I18)+$H18*(DL$4&gt;=$I18))*$C18*(1+'Property Summary'!$L$18)^('MF Rents'!DL$3-1))</f>
        <v/>
      </c>
      <c r="DM18" s="149" t="str">
        <f>IF(OR($B18="",$B18=0),"",($G18*(DM$4&lt;$I18)+$H18*(DM$4&gt;=$I18))*$C18*(1+'Property Summary'!$L$18)^('MF Rents'!DM$3-1))</f>
        <v/>
      </c>
      <c r="DN18" s="149" t="str">
        <f>IF(OR($B18="",$B18=0),"",($G18*(DN$4&lt;$I18)+$H18*(DN$4&gt;=$I18))*$C18*(1+'Property Summary'!$L$18)^('MF Rents'!DN$3-1))</f>
        <v/>
      </c>
      <c r="DO18" s="149" t="str">
        <f>IF(OR($B18="",$B18=0),"",($G18*(DO$4&lt;$I18)+$H18*(DO$4&gt;=$I18))*$C18*(1+'Property Summary'!$L$18)^('MF Rents'!DO$3-1))</f>
        <v/>
      </c>
      <c r="DP18" s="149" t="str">
        <f>IF(OR($B18="",$B18=0),"",($G18*(DP$4&lt;$I18)+$H18*(DP$4&gt;=$I18))*$C18*(1+'Property Summary'!$L$18)^('MF Rents'!DP$3-1))</f>
        <v/>
      </c>
      <c r="DQ18" s="149" t="str">
        <f>IF(OR($B18="",$B18=0),"",($G18*(DQ$4&lt;$I18)+$H18*(DQ$4&gt;=$I18))*$C18*(1+'Property Summary'!$L$18)^('MF Rents'!DQ$3-1))</f>
        <v/>
      </c>
      <c r="DR18" s="149" t="str">
        <f>IF(OR($B18="",$B18=0),"",($G18*(DR$4&lt;$I18)+$H18*(DR$4&gt;=$I18))*$C18*(1+'Property Summary'!$L$18)^('MF Rents'!DR$3-1))</f>
        <v/>
      </c>
      <c r="DS18" s="149" t="str">
        <f>IF(OR($B18="",$B18=0),"",($G18*(DS$4&lt;$I18)+$H18*(DS$4&gt;=$I18))*$C18*(1+'Property Summary'!$L$18)^('MF Rents'!DS$3-1))</f>
        <v/>
      </c>
      <c r="DT18" s="149" t="str">
        <f>IF(OR($B18="",$B18=0),"",($G18*(DT$4&lt;$I18)+$H18*(DT$4&gt;=$I18))*$C18*(1+'Property Summary'!$L$18)^('MF Rents'!DT$3-1))</f>
        <v/>
      </c>
      <c r="DU18" s="149" t="str">
        <f>IF(OR($B18="",$B18=0),"",($G18*(DU$4&lt;$I18)+$H18*(DU$4&gt;=$I18))*$C18*(1+'Property Summary'!$L$18)^('MF Rents'!DU$3-1))</f>
        <v/>
      </c>
      <c r="DV18" s="149" t="str">
        <f>IF(OR($B18="",$B18=0),"",($G18*(DV$4&lt;$I18)+$H18*(DV$4&gt;=$I18))*$C18*(1+'Property Summary'!$L$18)^('MF Rents'!DV$3-1))</f>
        <v/>
      </c>
      <c r="DW18" s="149" t="str">
        <f>IF(OR($B18="",$B18=0),"",($G18*(DW$4&lt;$I18)+$H18*(DW$4&gt;=$I18))*$C18*(1+'Property Summary'!$L$18)^('MF Rents'!DW$3-1))</f>
        <v/>
      </c>
      <c r="DX18" s="149" t="str">
        <f>IF(OR($B18="",$B18=0),"",($G18*(DX$4&lt;$I18)+$H18*(DX$4&gt;=$I18))*$C18*(1+'Property Summary'!$L$18)^('MF Rents'!DX$3-1))</f>
        <v/>
      </c>
      <c r="DY18" s="149" t="str">
        <f>IF(OR($B18="",$B18=0),"",($G18*(DY$4&lt;$I18)+$H18*(DY$4&gt;=$I18))*$C18*(1+'Property Summary'!$L$18)^('MF Rents'!DY$3-1))</f>
        <v/>
      </c>
      <c r="DZ18" s="149" t="str">
        <f>IF(OR($B18="",$B18=0),"",($G18*(DZ$4&lt;$I18)+$H18*(DZ$4&gt;=$I18))*$C18*(1+'Property Summary'!$L$18)^('MF Rents'!DZ$3-1))</f>
        <v/>
      </c>
      <c r="EA18" s="149" t="str">
        <f>IF(OR($B18="",$B18=0),"",($G18*(EA$4&lt;$I18)+$H18*(EA$4&gt;=$I18))*$C18*(1+'Property Summary'!$L$18)^('MF Rents'!EA$3-1))</f>
        <v/>
      </c>
      <c r="EB18" s="149" t="str">
        <f>IF(OR($B18="",$B18=0),"",($G18*(EB$4&lt;$I18)+$H18*(EB$4&gt;=$I18))*$C18*(1+'Property Summary'!$L$18)^('MF Rents'!EB$3-1))</f>
        <v/>
      </c>
      <c r="EC18" s="149" t="str">
        <f>IF(OR($B18="",$B18=0),"",($G18*(EC$4&lt;$I18)+$H18*(EC$4&gt;=$I18))*$C18*(1+'Property Summary'!$L$18)^('MF Rents'!EC$3-1))</f>
        <v/>
      </c>
      <c r="ED18" s="149" t="str">
        <f>IF(OR($B18="",$B18=0),"",($G18*(ED$4&lt;$I18)+$H18*(ED$4&gt;=$I18))*$C18*(1+'Property Summary'!$L$18)^('MF Rents'!ED$3-1))</f>
        <v/>
      </c>
      <c r="EE18" s="149" t="str">
        <f>IF(OR($B18="",$B18=0),"",($G18*(EE$4&lt;$I18)+$H18*(EE$4&gt;=$I18))*$C18*(1+'Property Summary'!$L$18)^('MF Rents'!EE$3-1))</f>
        <v/>
      </c>
      <c r="EF18" s="149" t="str">
        <f>IF(OR($B18="",$B18=0),"",($G18*(EF$4&lt;$I18)+$H18*(EF$4&gt;=$I18))*$C18*(1+'Property Summary'!$L$18)^('MF Rents'!EF$3-1))</f>
        <v/>
      </c>
      <c r="EG18" s="149" t="str">
        <f>IF(OR($B18="",$B18=0),"",($G18*(EG$4&lt;$I18)+$H18*(EG$4&gt;=$I18))*$C18*(1+'Property Summary'!$L$18)^('MF Rents'!EG$3-1))</f>
        <v/>
      </c>
      <c r="EH18" s="149" t="str">
        <f>IF(OR($B18="",$B18=0),"",($G18*(EH$4&lt;$I18)+$H18*(EH$4&gt;=$I18))*$C18*(1+'Property Summary'!$L$18)^('MF Rents'!EH$3-1))</f>
        <v/>
      </c>
      <c r="EI18" s="149" t="str">
        <f>IF(OR($B18="",$B18=0),"",($G18*(EI$4&lt;$I18)+$H18*(EI$4&gt;=$I18))*$C18*(1+'Property Summary'!$L$18)^('MF Rents'!EI$3-1))</f>
        <v/>
      </c>
      <c r="EJ18" s="149" t="str">
        <f>IF(OR($B18="",$B18=0),"",($G18*(EJ$4&lt;$I18)+$H18*(EJ$4&gt;=$I18))*$C18*(1+'Property Summary'!$L$18)^('MF Rents'!EJ$3-1))</f>
        <v/>
      </c>
      <c r="EK18" s="149" t="str">
        <f>IF(OR($B18="",$B18=0),"",($G18*(EK$4&lt;$I18)+$H18*(EK$4&gt;=$I18))*$C18*(1+'Property Summary'!$L$18)^('MF Rents'!EK$3-1))</f>
        <v/>
      </c>
      <c r="EL18" s="149" t="str">
        <f>IF(OR($B18="",$B18=0),"",($G18*(EL$4&lt;$I18)+$H18*(EL$4&gt;=$I18))*$C18*(1+'Property Summary'!$L$18)^('MF Rents'!EL$3-1))</f>
        <v/>
      </c>
      <c r="EM18" s="149" t="str">
        <f>IF(OR($B18="",$B18=0),"",($G18*(EM$4&lt;$I18)+$H18*(EM$4&gt;=$I18))*$C18*(1+'Property Summary'!$L$18)^('MF Rents'!EM$3-1))</f>
        <v/>
      </c>
      <c r="EN18" s="149" t="str">
        <f>IF(OR($B18="",$B18=0),"",($G18*(EN$4&lt;$I18)+$H18*(EN$4&gt;=$I18))*$C18*(1+'Property Summary'!$L$18)^('MF Rents'!EN$3-1))</f>
        <v/>
      </c>
      <c r="EO18" s="149" t="str">
        <f>IF(OR($B18="",$B18=0),"",($G18*(EO$4&lt;$I18)+$H18*(EO$4&gt;=$I18))*$C18*(1+'Property Summary'!$L$18)^('MF Rents'!EO$3-1))</f>
        <v/>
      </c>
      <c r="EP18" s="149" t="str">
        <f>IF(OR($B18="",$B18=0),"",($G18*(EP$4&lt;$I18)+$H18*(EP$4&gt;=$I18))*$C18*(1+'Property Summary'!$L$18)^('MF Rents'!EP$3-1))</f>
        <v/>
      </c>
      <c r="EQ18" s="149" t="str">
        <f>IF(OR($B18="",$B18=0),"",($G18*(EQ$4&lt;$I18)+$H18*(EQ$4&gt;=$I18))*$C18*(1+'Property Summary'!$L$18)^('MF Rents'!EQ$3-1))</f>
        <v/>
      </c>
      <c r="ER18" s="149" t="str">
        <f>IF(OR($B18="",$B18=0),"",($G18*(ER$4&lt;$I18)+$H18*(ER$4&gt;=$I18))*$C18*(1+'Property Summary'!$L$18)^('MF Rents'!ER$3-1))</f>
        <v/>
      </c>
      <c r="ES18" s="149" t="str">
        <f>IF(OR($B18="",$B18=0),"",($G18*(ES$4&lt;$I18)+$H18*(ES$4&gt;=$I18))*$C18*(1+'Property Summary'!$L$18)^('MF Rents'!ES$3-1))</f>
        <v/>
      </c>
      <c r="ET18" s="149" t="str">
        <f>IF(OR($B18="",$B18=0),"",($G18*(ET$4&lt;$I18)+$H18*(ET$4&gt;=$I18))*$C18*(1+'Property Summary'!$L$18)^('MF Rents'!ET$3-1))</f>
        <v/>
      </c>
      <c r="EU18" s="149" t="str">
        <f>IF(OR($B18="",$B18=0),"",($G18*(EU$4&lt;$I18)+$H18*(EU$4&gt;=$I18))*$C18*(1+'Property Summary'!$L$18)^('MF Rents'!EU$3-1))</f>
        <v/>
      </c>
      <c r="EV18" s="149" t="str">
        <f>IF(OR($B18="",$B18=0),"",($G18*(EV$4&lt;$I18)+$H18*(EV$4&gt;=$I18))*$C18*(1+'Property Summary'!$L$18)^('MF Rents'!EV$3-1))</f>
        <v/>
      </c>
      <c r="EW18" s="149" t="str">
        <f>IF(OR($B18="",$B18=0),"",($G18*(EW$4&lt;$I18)+$H18*(EW$4&gt;=$I18))*$C18*(1+'Property Summary'!$L$18)^('MF Rents'!EW$3-1))</f>
        <v/>
      </c>
      <c r="EX18" s="149" t="str">
        <f>IF(OR($B18="",$B18=0),"",($G18*(EX$4&lt;$I18)+$H18*(EX$4&gt;=$I18))*$C18*(1+'Property Summary'!$L$18)^('MF Rents'!EX$3-1))</f>
        <v/>
      </c>
      <c r="EY18" s="149" t="str">
        <f>IF(OR($B18="",$B18=0),"",($G18*(EY$4&lt;$I18)+$H18*(EY$4&gt;=$I18))*$C18*(1+'Property Summary'!$L$18)^('MF Rents'!EY$3-1))</f>
        <v/>
      </c>
      <c r="EZ18" s="149" t="str">
        <f>IF(OR($B18="",$B18=0),"",($G18*(EZ$4&lt;$I18)+$H18*(EZ$4&gt;=$I18))*$C18*(1+'Property Summary'!$L$18)^('MF Rents'!EZ$3-1))</f>
        <v/>
      </c>
      <c r="FA18" s="149" t="str">
        <f>IF(OR($B18="",$B18=0),"",($G18*(FA$4&lt;$I18)+$H18*(FA$4&gt;=$I18))*$C18*(1+'Property Summary'!$L$18)^('MF Rents'!FA$3-1))</f>
        <v/>
      </c>
      <c r="FB18" s="149" t="str">
        <f>IF(OR($B18="",$B18=0),"",($G18*(FB$4&lt;$I18)+$H18*(FB$4&gt;=$I18))*$C18*(1+'Property Summary'!$L$18)^('MF Rents'!FB$3-1))</f>
        <v/>
      </c>
      <c r="FC18" s="149" t="str">
        <f>IF(OR($B18="",$B18=0),"",($G18*(FC$4&lt;$I18)+$H18*(FC$4&gt;=$I18))*$C18*(1+'Property Summary'!$L$18)^('MF Rents'!FC$3-1))</f>
        <v/>
      </c>
      <c r="FD18" s="149" t="str">
        <f>IF(OR($B18="",$B18=0),"",($G18*(FD$4&lt;$I18)+$H18*(FD$4&gt;=$I18))*$C18*(1+'Property Summary'!$L$18)^('MF Rents'!FD$3-1))</f>
        <v/>
      </c>
      <c r="FE18" s="149" t="str">
        <f>IF(OR($B18="",$B18=0),"",($G18*(FE$4&lt;$I18)+$H18*(FE$4&gt;=$I18))*$C18*(1+'Property Summary'!$L$18)^('MF Rents'!FE$3-1))</f>
        <v/>
      </c>
      <c r="FF18" s="149" t="str">
        <f>IF(OR($B18="",$B18=0),"",($G18*(FF$4&lt;$I18)+$H18*(FF$4&gt;=$I18))*$C18*(1+'Property Summary'!$L$18)^('MF Rents'!FF$3-1))</f>
        <v/>
      </c>
      <c r="FG18" s="149" t="str">
        <f>IF(OR($B18="",$B18=0),"",($G18*(FG$4&lt;$I18)+$H18*(FG$4&gt;=$I18))*$C18*(1+'Property Summary'!$L$18)^('MF Rents'!FG$3-1))</f>
        <v/>
      </c>
      <c r="FH18" s="149" t="str">
        <f>IF(OR($B18="",$B18=0),"",($G18*(FH$4&lt;$I18)+$H18*(FH$4&gt;=$I18))*$C18*(1+'Property Summary'!$L$18)^('MF Rents'!FH$3-1))</f>
        <v/>
      </c>
      <c r="FI18" s="149" t="str">
        <f>IF(OR($B18="",$B18=0),"",($G18*(FI$4&lt;$I18)+$H18*(FI$4&gt;=$I18))*$C18*(1+'Property Summary'!$L$18)^('MF Rents'!FI$3-1))</f>
        <v/>
      </c>
      <c r="FJ18" s="149" t="str">
        <f>IF(OR($B18="",$B18=0),"",($G18*(FJ$4&lt;$I18)+$H18*(FJ$4&gt;=$I18))*$C18*(1+'Property Summary'!$L$18)^('MF Rents'!FJ$3-1))</f>
        <v/>
      </c>
      <c r="FK18" s="149" t="str">
        <f>IF(OR($B18="",$B18=0),"",($G18*(FK$4&lt;$I18)+$H18*(FK$4&gt;=$I18))*$C18*(1+'Property Summary'!$L$18)^('MF Rents'!FK$3-1))</f>
        <v/>
      </c>
      <c r="FL18" s="149" t="str">
        <f>IF(OR($B18="",$B18=0),"",($G18*(FL$4&lt;$I18)+$H18*(FL$4&gt;=$I18))*$C18*(1+'Property Summary'!$L$18)^('MF Rents'!FL$3-1))</f>
        <v/>
      </c>
      <c r="FM18" s="149" t="str">
        <f>IF(OR($B18="",$B18=0),"",($G18*(FM$4&lt;$I18)+$H18*(FM$4&gt;=$I18))*$C18*(1+'Property Summary'!$L$18)^('MF Rents'!FM$3-1))</f>
        <v/>
      </c>
      <c r="FN18" s="149" t="str">
        <f>IF(OR($B18="",$B18=0),"",($G18*(FN$4&lt;$I18)+$H18*(FN$4&gt;=$I18))*$C18*(1+'Property Summary'!$L$18)^('MF Rents'!FN$3-1))</f>
        <v/>
      </c>
      <c r="FO18" s="149" t="str">
        <f>IF(OR($B18="",$B18=0),"",($G18*(FO$4&lt;$I18)+$H18*(FO$4&gt;=$I18))*$C18*(1+'Property Summary'!$L$18)^('MF Rents'!FO$3-1))</f>
        <v/>
      </c>
      <c r="FP18" s="149" t="str">
        <f>IF(OR($B18="",$B18=0),"",($G18*(FP$4&lt;$I18)+$H18*(FP$4&gt;=$I18))*$C18*(1+'Property Summary'!$L$18)^('MF Rents'!FP$3-1))</f>
        <v/>
      </c>
      <c r="FQ18" s="149" t="str">
        <f>IF(OR($B18="",$B18=0),"",($G18*(FQ$4&lt;$I18)+$H18*(FQ$4&gt;=$I18))*$C18*(1+'Property Summary'!$L$18)^('MF Rents'!FQ$3-1))</f>
        <v/>
      </c>
      <c r="FR18" s="149" t="str">
        <f>IF(OR($B18="",$B18=0),"",($G18*(FR$4&lt;$I18)+$H18*(FR$4&gt;=$I18))*$C18*(1+'Property Summary'!$L$18)^('MF Rents'!FR$3-1))</f>
        <v/>
      </c>
      <c r="FS18" s="149" t="str">
        <f>IF(OR($B18="",$B18=0),"",($G18*(FS$4&lt;$I18)+$H18*(FS$4&gt;=$I18))*$C18*(1+'Property Summary'!$L$18)^('MF Rents'!FS$3-1))</f>
        <v/>
      </c>
      <c r="FT18" s="149" t="str">
        <f>IF(OR($B18="",$B18=0),"",($G18*(FT$4&lt;$I18)+$H18*(FT$4&gt;=$I18))*$C18*(1+'Property Summary'!$L$18)^('MF Rents'!FT$3-1))</f>
        <v/>
      </c>
      <c r="FU18" s="149" t="str">
        <f>IF(OR($B18="",$B18=0),"",($G18*(FU$4&lt;$I18)+$H18*(FU$4&gt;=$I18))*$C18*(1+'Property Summary'!$L$18)^('MF Rents'!FU$3-1))</f>
        <v/>
      </c>
      <c r="FV18" s="149" t="str">
        <f>IF(OR($B18="",$B18=0),"",($G18*(FV$4&lt;$I18)+$H18*(FV$4&gt;=$I18))*$C18*(1+'Property Summary'!$L$18)^('MF Rents'!FV$3-1))</f>
        <v/>
      </c>
      <c r="FW18" s="149" t="str">
        <f>IF(OR($B18="",$B18=0),"",($G18*(FW$4&lt;$I18)+$H18*(FW$4&gt;=$I18))*$C18*(1+'Property Summary'!$L$18)^('MF Rents'!FW$3-1))</f>
        <v/>
      </c>
      <c r="FX18" s="149" t="str">
        <f>IF(OR($B18="",$B18=0),"",($G18*(FX$4&lt;$I18)+$H18*(FX$4&gt;=$I18))*$C18*(1+'Property Summary'!$L$18)^('MF Rents'!FX$3-1))</f>
        <v/>
      </c>
      <c r="FY18" s="149" t="str">
        <f>IF(OR($B18="",$B18=0),"",($G18*(FY$4&lt;$I18)+$H18*(FY$4&gt;=$I18))*$C18*(1+'Property Summary'!$L$18)^('MF Rents'!FY$3-1))</f>
        <v/>
      </c>
      <c r="FZ18" s="149" t="str">
        <f>IF(OR($B18="",$B18=0),"",($G18*(FZ$4&lt;$I18)+$H18*(FZ$4&gt;=$I18))*$C18*(1+'Property Summary'!$L$18)^('MF Rents'!FZ$3-1))</f>
        <v/>
      </c>
      <c r="GA18" s="149" t="str">
        <f>IF(OR($B18="",$B18=0),"",($G18*(GA$4&lt;$I18)+$H18*(GA$4&gt;=$I18))*$C18*(1+'Property Summary'!$L$18)^('MF Rents'!GA$3-1))</f>
        <v/>
      </c>
      <c r="GB18" s="149" t="str">
        <f>IF(OR($B18="",$B18=0),"",($G18*(GB$4&lt;$I18)+$H18*(GB$4&gt;=$I18))*$C18*(1+'Property Summary'!$L$18)^('MF Rents'!GB$3-1))</f>
        <v/>
      </c>
      <c r="GC18" s="149" t="str">
        <f>IF(OR($B18="",$B18=0),"",($G18*(GC$4&lt;$I18)+$H18*(GC$4&gt;=$I18))*$C18*(1+'Property Summary'!$L$18)^('MF Rents'!GC$3-1))</f>
        <v/>
      </c>
      <c r="GD18" s="149" t="str">
        <f>IF(OR($B18="",$B18=0),"",($G18*(GD$4&lt;$I18)+$H18*(GD$4&gt;=$I18))*$C18*(1+'Property Summary'!$L$18)^('MF Rents'!GD$3-1))</f>
        <v/>
      </c>
      <c r="GE18" s="149" t="str">
        <f>IF(OR($B18="",$B18=0),"",($G18*(GE$4&lt;$I18)+$H18*(GE$4&gt;=$I18))*$C18*(1+'Property Summary'!$L$18)^('MF Rents'!GE$3-1))</f>
        <v/>
      </c>
      <c r="GF18" s="149" t="str">
        <f>IF(OR($B18="",$B18=0),"",($G18*(GF$4&lt;$I18)+$H18*(GF$4&gt;=$I18))*$C18*(1+'Property Summary'!$L$18)^('MF Rents'!GF$3-1))</f>
        <v/>
      </c>
      <c r="GG18" s="149" t="str">
        <f>IF(OR($B18="",$B18=0),"",($G18*(GG$4&lt;$I18)+$H18*(GG$4&gt;=$I18))*$C18*(1+'Property Summary'!$L$18)^('MF Rents'!GG$3-1))</f>
        <v/>
      </c>
      <c r="GH18" s="149" t="str">
        <f>IF(OR($B18="",$B18=0),"",($G18*(GH$4&lt;$I18)+$H18*(GH$4&gt;=$I18))*$C18*(1+'Property Summary'!$L$18)^('MF Rents'!GH$3-1))</f>
        <v/>
      </c>
      <c r="GI18" s="149" t="str">
        <f>IF(OR($B18="",$B18=0),"",($G18*(GI$4&lt;$I18)+$H18*(GI$4&gt;=$I18))*$C18*(1+'Property Summary'!$L$18)^('MF Rents'!GI$3-1))</f>
        <v/>
      </c>
      <c r="GJ18" s="149" t="str">
        <f>IF(OR($B18="",$B18=0),"",($G18*(GJ$4&lt;$I18)+$H18*(GJ$4&gt;=$I18))*$C18*(1+'Property Summary'!$L$18)^('MF Rents'!GJ$3-1))</f>
        <v/>
      </c>
      <c r="GK18" s="149" t="str">
        <f>IF(OR($B18="",$B18=0),"",($G18*(GK$4&lt;$I18)+$H18*(GK$4&gt;=$I18))*$C18*(1+'Property Summary'!$L$18)^('MF Rents'!GK$3-1))</f>
        <v/>
      </c>
      <c r="GL18" s="149" t="str">
        <f>IF(OR($B18="",$B18=0),"",($G18*(GL$4&lt;$I18)+$H18*(GL$4&gt;=$I18))*$C18*(1+'Property Summary'!$L$18)^('MF Rents'!GL$3-1))</f>
        <v/>
      </c>
      <c r="GM18" s="149" t="str">
        <f>IF(OR($B18="",$B18=0),"",($G18*(GM$4&lt;$I18)+$H18*(GM$4&gt;=$I18))*$C18*(1+'Property Summary'!$L$18)^('MF Rents'!GM$3-1))</f>
        <v/>
      </c>
      <c r="GN18" s="149" t="str">
        <f>IF(OR($B18="",$B18=0),"",($G18*(GN$4&lt;$I18)+$H18*(GN$4&gt;=$I18))*$C18*(1+'Property Summary'!$L$18)^('MF Rents'!GN$3-1))</f>
        <v/>
      </c>
      <c r="GO18" s="149" t="str">
        <f>IF(OR($B18="",$B18=0),"",($G18*(GO$4&lt;$I18)+$H18*(GO$4&gt;=$I18))*$C18*(1+'Property Summary'!$L$18)^('MF Rents'!GO$3-1))</f>
        <v/>
      </c>
      <c r="GP18" s="149" t="str">
        <f>IF(OR($B18="",$B18=0),"",($G18*(GP$4&lt;$I18)+$H18*(GP$4&gt;=$I18))*$C18*(1+'Property Summary'!$L$18)^('MF Rents'!GP$3-1))</f>
        <v/>
      </c>
      <c r="GQ18" s="149" t="str">
        <f>IF(OR($B18="",$B18=0),"",($G18*(GQ$4&lt;$I18)+$H18*(GQ$4&gt;=$I18))*$C18*(1+'Property Summary'!$L$18)^('MF Rents'!GQ$3-1))</f>
        <v/>
      </c>
      <c r="GR18" s="149" t="str">
        <f>IF(OR($B18="",$B18=0),"",($G18*(GR$4&lt;$I18)+$H18*(GR$4&gt;=$I18))*$C18*(1+'Property Summary'!$L$18)^('MF Rents'!GR$3-1))</f>
        <v/>
      </c>
    </row>
    <row r="19" spans="2:200" x14ac:dyDescent="0.3">
      <c r="B19" s="184">
        <f>'MF Rent Roll'!B18</f>
        <v>0</v>
      </c>
      <c r="C19" s="171">
        <f>'MF Rent Roll'!C18</f>
        <v>0</v>
      </c>
      <c r="D19" s="172">
        <f>'MF Rent Roll'!D18</f>
        <v>0</v>
      </c>
      <c r="E19" s="172">
        <f>'MF Rent Roll'!E18</f>
        <v>0</v>
      </c>
      <c r="F19" s="173">
        <f>'MF Rent Roll'!F18</f>
        <v>0</v>
      </c>
      <c r="G19" s="174">
        <f>'MF Rent Roll'!G18</f>
        <v>0</v>
      </c>
      <c r="H19" s="174">
        <f>IF('MF Rent Roll'!H18="",G19,'MF Rent Roll'!H18)</f>
        <v>0</v>
      </c>
      <c r="I19" s="175">
        <f>IF('MF Rent Roll'!I18="",1,'MF Rent Roll'!I18)</f>
        <v>1</v>
      </c>
      <c r="J19" s="176">
        <f>'MF Rent Roll'!J18</f>
        <v>0</v>
      </c>
      <c r="K19" s="174">
        <f>'MF Rent Roll'!K18</f>
        <v>0</v>
      </c>
      <c r="L19" s="177">
        <f>'MF Rent Roll'!L18</f>
        <v>0</v>
      </c>
      <c r="M19" s="178">
        <f>'MF Rent Roll'!M18</f>
        <v>0</v>
      </c>
      <c r="N19" s="174">
        <f>'MF Rent Roll'!N18</f>
        <v>0</v>
      </c>
      <c r="O19" s="179">
        <f>'MF Rent Roll'!O18</f>
        <v>0</v>
      </c>
      <c r="P19" s="180" t="str">
        <f>'MF Rent Roll'!P18</f>
        <v/>
      </c>
      <c r="Q19" s="181" t="str">
        <f>'MF Rent Roll'!Q18</f>
        <v/>
      </c>
      <c r="R19" s="104" t="str">
        <f>'MF Rent Roll'!R18</f>
        <v/>
      </c>
      <c r="U19" s="149" t="str">
        <f>IF(OR($B19="",$B19=0),"",($G19*(U$4&lt;$I19)+$H19*(U$4&gt;=$I19))*$C19*(1+'Property Summary'!$L$18)^('MF Rents'!U$3-1))</f>
        <v/>
      </c>
      <c r="V19" s="149" t="str">
        <f>IF(OR($B19="",$B19=0),"",($G19*(V$4&lt;$I19)+$H19*(V$4&gt;=$I19))*$C19*(1+'Property Summary'!$L$18)^('MF Rents'!V$3-1))</f>
        <v/>
      </c>
      <c r="W19" s="149" t="str">
        <f>IF(OR($B19="",$B19=0),"",($G19*(W$4&lt;$I19)+$H19*(W$4&gt;=$I19))*$C19*(1+'Property Summary'!$L$18)^('MF Rents'!W$3-1))</f>
        <v/>
      </c>
      <c r="X19" s="149" t="str">
        <f>IF(OR($B19="",$B19=0),"",($G19*(X$4&lt;$I19)+$H19*(X$4&gt;=$I19))*$C19*(1+'Property Summary'!$L$18)^('MF Rents'!X$3-1))</f>
        <v/>
      </c>
      <c r="Y19" s="149" t="str">
        <f>IF(OR($B19="",$B19=0),"",($G19*(Y$4&lt;$I19)+$H19*(Y$4&gt;=$I19))*$C19*(1+'Property Summary'!$L$18)^('MF Rents'!Y$3-1))</f>
        <v/>
      </c>
      <c r="Z19" s="149" t="str">
        <f>IF(OR($B19="",$B19=0),"",($G19*(Z$4&lt;$I19)+$H19*(Z$4&gt;=$I19))*$C19*(1+'Property Summary'!$L$18)^('MF Rents'!Z$3-1))</f>
        <v/>
      </c>
      <c r="AA19" s="149" t="str">
        <f>IF(OR($B19="",$B19=0),"",($G19*(AA$4&lt;$I19)+$H19*(AA$4&gt;=$I19))*$C19*(1+'Property Summary'!$L$18)^('MF Rents'!AA$3-1))</f>
        <v/>
      </c>
      <c r="AB19" s="149" t="str">
        <f>IF(OR($B19="",$B19=0),"",($G19*(AB$4&lt;$I19)+$H19*(AB$4&gt;=$I19))*$C19*(1+'Property Summary'!$L$18)^('MF Rents'!AB$3-1))</f>
        <v/>
      </c>
      <c r="AC19" s="149" t="str">
        <f>IF(OR($B19="",$B19=0),"",($G19*(AC$4&lt;$I19)+$H19*(AC$4&gt;=$I19))*$C19*(1+'Property Summary'!$L$18)^('MF Rents'!AC$3-1))</f>
        <v/>
      </c>
      <c r="AD19" s="149" t="str">
        <f>IF(OR($B19="",$B19=0),"",($G19*(AD$4&lt;$I19)+$H19*(AD$4&gt;=$I19))*$C19*(1+'Property Summary'!$L$18)^('MF Rents'!AD$3-1))</f>
        <v/>
      </c>
      <c r="AE19" s="149" t="str">
        <f>IF(OR($B19="",$B19=0),"",($G19*(AE$4&lt;$I19)+$H19*(AE$4&gt;=$I19))*$C19*(1+'Property Summary'!$L$18)^('MF Rents'!AE$3-1))</f>
        <v/>
      </c>
      <c r="AF19" s="149" t="str">
        <f>IF(OR($B19="",$B19=0),"",($G19*(AF$4&lt;$I19)+$H19*(AF$4&gt;=$I19))*$C19*(1+'Property Summary'!$L$18)^('MF Rents'!AF$3-1))</f>
        <v/>
      </c>
      <c r="AG19" s="149" t="str">
        <f>IF(OR($B19="",$B19=0),"",($G19*(AG$4&lt;$I19)+$H19*(AG$4&gt;=$I19))*$C19*(1+'Property Summary'!$L$18)^('MF Rents'!AG$3-1))</f>
        <v/>
      </c>
      <c r="AH19" s="149" t="str">
        <f>IF(OR($B19="",$B19=0),"",($G19*(AH$4&lt;$I19)+$H19*(AH$4&gt;=$I19))*$C19*(1+'Property Summary'!$L$18)^('MF Rents'!AH$3-1))</f>
        <v/>
      </c>
      <c r="AI19" s="149" t="str">
        <f>IF(OR($B19="",$B19=0),"",($G19*(AI$4&lt;$I19)+$H19*(AI$4&gt;=$I19))*$C19*(1+'Property Summary'!$L$18)^('MF Rents'!AI$3-1))</f>
        <v/>
      </c>
      <c r="AJ19" s="149" t="str">
        <f>IF(OR($B19="",$B19=0),"",($G19*(AJ$4&lt;$I19)+$H19*(AJ$4&gt;=$I19))*$C19*(1+'Property Summary'!$L$18)^('MF Rents'!AJ$3-1))</f>
        <v/>
      </c>
      <c r="AK19" s="149" t="str">
        <f>IF(OR($B19="",$B19=0),"",($G19*(AK$4&lt;$I19)+$H19*(AK$4&gt;=$I19))*$C19*(1+'Property Summary'!$L$18)^('MF Rents'!AK$3-1))</f>
        <v/>
      </c>
      <c r="AL19" s="149" t="str">
        <f>IF(OR($B19="",$B19=0),"",($G19*(AL$4&lt;$I19)+$H19*(AL$4&gt;=$I19))*$C19*(1+'Property Summary'!$L$18)^('MF Rents'!AL$3-1))</f>
        <v/>
      </c>
      <c r="AM19" s="149" t="str">
        <f>IF(OR($B19="",$B19=0),"",($G19*(AM$4&lt;$I19)+$H19*(AM$4&gt;=$I19))*$C19*(1+'Property Summary'!$L$18)^('MF Rents'!AM$3-1))</f>
        <v/>
      </c>
      <c r="AN19" s="149" t="str">
        <f>IF(OR($B19="",$B19=0),"",($G19*(AN$4&lt;$I19)+$H19*(AN$4&gt;=$I19))*$C19*(1+'Property Summary'!$L$18)^('MF Rents'!AN$3-1))</f>
        <v/>
      </c>
      <c r="AO19" s="149" t="str">
        <f>IF(OR($B19="",$B19=0),"",($G19*(AO$4&lt;$I19)+$H19*(AO$4&gt;=$I19))*$C19*(1+'Property Summary'!$L$18)^('MF Rents'!AO$3-1))</f>
        <v/>
      </c>
      <c r="AP19" s="149" t="str">
        <f>IF(OR($B19="",$B19=0),"",($G19*(AP$4&lt;$I19)+$H19*(AP$4&gt;=$I19))*$C19*(1+'Property Summary'!$L$18)^('MF Rents'!AP$3-1))</f>
        <v/>
      </c>
      <c r="AQ19" s="149" t="str">
        <f>IF(OR($B19="",$B19=0),"",($G19*(AQ$4&lt;$I19)+$H19*(AQ$4&gt;=$I19))*$C19*(1+'Property Summary'!$L$18)^('MF Rents'!AQ$3-1))</f>
        <v/>
      </c>
      <c r="AR19" s="149" t="str">
        <f>IF(OR($B19="",$B19=0),"",($G19*(AR$4&lt;$I19)+$H19*(AR$4&gt;=$I19))*$C19*(1+'Property Summary'!$L$18)^('MF Rents'!AR$3-1))</f>
        <v/>
      </c>
      <c r="AS19" s="149" t="str">
        <f>IF(OR($B19="",$B19=0),"",($G19*(AS$4&lt;$I19)+$H19*(AS$4&gt;=$I19))*$C19*(1+'Property Summary'!$L$18)^('MF Rents'!AS$3-1))</f>
        <v/>
      </c>
      <c r="AT19" s="149" t="str">
        <f>IF(OR($B19="",$B19=0),"",($G19*(AT$4&lt;$I19)+$H19*(AT$4&gt;=$I19))*$C19*(1+'Property Summary'!$L$18)^('MF Rents'!AT$3-1))</f>
        <v/>
      </c>
      <c r="AU19" s="149" t="str">
        <f>IF(OR($B19="",$B19=0),"",($G19*(AU$4&lt;$I19)+$H19*(AU$4&gt;=$I19))*$C19*(1+'Property Summary'!$L$18)^('MF Rents'!AU$3-1))</f>
        <v/>
      </c>
      <c r="AV19" s="149" t="str">
        <f>IF(OR($B19="",$B19=0),"",($G19*(AV$4&lt;$I19)+$H19*(AV$4&gt;=$I19))*$C19*(1+'Property Summary'!$L$18)^('MF Rents'!AV$3-1))</f>
        <v/>
      </c>
      <c r="AW19" s="149" t="str">
        <f>IF(OR($B19="",$B19=0),"",($G19*(AW$4&lt;$I19)+$H19*(AW$4&gt;=$I19))*$C19*(1+'Property Summary'!$L$18)^('MF Rents'!AW$3-1))</f>
        <v/>
      </c>
      <c r="AX19" s="149" t="str">
        <f>IF(OR($B19="",$B19=0),"",($G19*(AX$4&lt;$I19)+$H19*(AX$4&gt;=$I19))*$C19*(1+'Property Summary'!$L$18)^('MF Rents'!AX$3-1))</f>
        <v/>
      </c>
      <c r="AY19" s="149" t="str">
        <f>IF(OR($B19="",$B19=0),"",($G19*(AY$4&lt;$I19)+$H19*(AY$4&gt;=$I19))*$C19*(1+'Property Summary'!$L$18)^('MF Rents'!AY$3-1))</f>
        <v/>
      </c>
      <c r="AZ19" s="149" t="str">
        <f>IF(OR($B19="",$B19=0),"",($G19*(AZ$4&lt;$I19)+$H19*(AZ$4&gt;=$I19))*$C19*(1+'Property Summary'!$L$18)^('MF Rents'!AZ$3-1))</f>
        <v/>
      </c>
      <c r="BA19" s="149" t="str">
        <f>IF(OR($B19="",$B19=0),"",($G19*(BA$4&lt;$I19)+$H19*(BA$4&gt;=$I19))*$C19*(1+'Property Summary'!$L$18)^('MF Rents'!BA$3-1))</f>
        <v/>
      </c>
      <c r="BB19" s="149" t="str">
        <f>IF(OR($B19="",$B19=0),"",($G19*(BB$4&lt;$I19)+$H19*(BB$4&gt;=$I19))*$C19*(1+'Property Summary'!$L$18)^('MF Rents'!BB$3-1))</f>
        <v/>
      </c>
      <c r="BC19" s="149" t="str">
        <f>IF(OR($B19="",$B19=0),"",($G19*(BC$4&lt;$I19)+$H19*(BC$4&gt;=$I19))*$C19*(1+'Property Summary'!$L$18)^('MF Rents'!BC$3-1))</f>
        <v/>
      </c>
      <c r="BD19" s="149" t="str">
        <f>IF(OR($B19="",$B19=0),"",($G19*(BD$4&lt;$I19)+$H19*(BD$4&gt;=$I19))*$C19*(1+'Property Summary'!$L$18)^('MF Rents'!BD$3-1))</f>
        <v/>
      </c>
      <c r="BE19" s="149" t="str">
        <f>IF(OR($B19="",$B19=0),"",($G19*(BE$4&lt;$I19)+$H19*(BE$4&gt;=$I19))*$C19*(1+'Property Summary'!$L$18)^('MF Rents'!BE$3-1))</f>
        <v/>
      </c>
      <c r="BF19" s="149" t="str">
        <f>IF(OR($B19="",$B19=0),"",($G19*(BF$4&lt;$I19)+$H19*(BF$4&gt;=$I19))*$C19*(1+'Property Summary'!$L$18)^('MF Rents'!BF$3-1))</f>
        <v/>
      </c>
      <c r="BG19" s="149" t="str">
        <f>IF(OR($B19="",$B19=0),"",($G19*(BG$4&lt;$I19)+$H19*(BG$4&gt;=$I19))*$C19*(1+'Property Summary'!$L$18)^('MF Rents'!BG$3-1))</f>
        <v/>
      </c>
      <c r="BH19" s="149" t="str">
        <f>IF(OR($B19="",$B19=0),"",($G19*(BH$4&lt;$I19)+$H19*(BH$4&gt;=$I19))*$C19*(1+'Property Summary'!$L$18)^('MF Rents'!BH$3-1))</f>
        <v/>
      </c>
      <c r="BI19" s="149" t="str">
        <f>IF(OR($B19="",$B19=0),"",($G19*(BI$4&lt;$I19)+$H19*(BI$4&gt;=$I19))*$C19*(1+'Property Summary'!$L$18)^('MF Rents'!BI$3-1))</f>
        <v/>
      </c>
      <c r="BJ19" s="149" t="str">
        <f>IF(OR($B19="",$B19=0),"",($G19*(BJ$4&lt;$I19)+$H19*(BJ$4&gt;=$I19))*$C19*(1+'Property Summary'!$L$18)^('MF Rents'!BJ$3-1))</f>
        <v/>
      </c>
      <c r="BK19" s="149" t="str">
        <f>IF(OR($B19="",$B19=0),"",($G19*(BK$4&lt;$I19)+$H19*(BK$4&gt;=$I19))*$C19*(1+'Property Summary'!$L$18)^('MF Rents'!BK$3-1))</f>
        <v/>
      </c>
      <c r="BL19" s="149" t="str">
        <f>IF(OR($B19="",$B19=0),"",($G19*(BL$4&lt;$I19)+$H19*(BL$4&gt;=$I19))*$C19*(1+'Property Summary'!$L$18)^('MF Rents'!BL$3-1))</f>
        <v/>
      </c>
      <c r="BM19" s="149" t="str">
        <f>IF(OR($B19="",$B19=0),"",($G19*(BM$4&lt;$I19)+$H19*(BM$4&gt;=$I19))*$C19*(1+'Property Summary'!$L$18)^('MF Rents'!BM$3-1))</f>
        <v/>
      </c>
      <c r="BN19" s="149" t="str">
        <f>IF(OR($B19="",$B19=0),"",($G19*(BN$4&lt;$I19)+$H19*(BN$4&gt;=$I19))*$C19*(1+'Property Summary'!$L$18)^('MF Rents'!BN$3-1))</f>
        <v/>
      </c>
      <c r="BO19" s="149" t="str">
        <f>IF(OR($B19="",$B19=0),"",($G19*(BO$4&lt;$I19)+$H19*(BO$4&gt;=$I19))*$C19*(1+'Property Summary'!$L$18)^('MF Rents'!BO$3-1))</f>
        <v/>
      </c>
      <c r="BP19" s="149" t="str">
        <f>IF(OR($B19="",$B19=0),"",($G19*(BP$4&lt;$I19)+$H19*(BP$4&gt;=$I19))*$C19*(1+'Property Summary'!$L$18)^('MF Rents'!BP$3-1))</f>
        <v/>
      </c>
      <c r="BQ19" s="149" t="str">
        <f>IF(OR($B19="",$B19=0),"",($G19*(BQ$4&lt;$I19)+$H19*(BQ$4&gt;=$I19))*$C19*(1+'Property Summary'!$L$18)^('MF Rents'!BQ$3-1))</f>
        <v/>
      </c>
      <c r="BR19" s="149" t="str">
        <f>IF(OR($B19="",$B19=0),"",($G19*(BR$4&lt;$I19)+$H19*(BR$4&gt;=$I19))*$C19*(1+'Property Summary'!$L$18)^('MF Rents'!BR$3-1))</f>
        <v/>
      </c>
      <c r="BS19" s="149" t="str">
        <f>IF(OR($B19="",$B19=0),"",($G19*(BS$4&lt;$I19)+$H19*(BS$4&gt;=$I19))*$C19*(1+'Property Summary'!$L$18)^('MF Rents'!BS$3-1))</f>
        <v/>
      </c>
      <c r="BT19" s="149" t="str">
        <f>IF(OR($B19="",$B19=0),"",($G19*(BT$4&lt;$I19)+$H19*(BT$4&gt;=$I19))*$C19*(1+'Property Summary'!$L$18)^('MF Rents'!BT$3-1))</f>
        <v/>
      </c>
      <c r="BU19" s="149" t="str">
        <f>IF(OR($B19="",$B19=0),"",($G19*(BU$4&lt;$I19)+$H19*(BU$4&gt;=$I19))*$C19*(1+'Property Summary'!$L$18)^('MF Rents'!BU$3-1))</f>
        <v/>
      </c>
      <c r="BV19" s="149" t="str">
        <f>IF(OR($B19="",$B19=0),"",($G19*(BV$4&lt;$I19)+$H19*(BV$4&gt;=$I19))*$C19*(1+'Property Summary'!$L$18)^('MF Rents'!BV$3-1))</f>
        <v/>
      </c>
      <c r="BW19" s="149" t="str">
        <f>IF(OR($B19="",$B19=0),"",($G19*(BW$4&lt;$I19)+$H19*(BW$4&gt;=$I19))*$C19*(1+'Property Summary'!$L$18)^('MF Rents'!BW$3-1))</f>
        <v/>
      </c>
      <c r="BX19" s="149" t="str">
        <f>IF(OR($B19="",$B19=0),"",($G19*(BX$4&lt;$I19)+$H19*(BX$4&gt;=$I19))*$C19*(1+'Property Summary'!$L$18)^('MF Rents'!BX$3-1))</f>
        <v/>
      </c>
      <c r="BY19" s="149" t="str">
        <f>IF(OR($B19="",$B19=0),"",($G19*(BY$4&lt;$I19)+$H19*(BY$4&gt;=$I19))*$C19*(1+'Property Summary'!$L$18)^('MF Rents'!BY$3-1))</f>
        <v/>
      </c>
      <c r="BZ19" s="149" t="str">
        <f>IF(OR($B19="",$B19=0),"",($G19*(BZ$4&lt;$I19)+$H19*(BZ$4&gt;=$I19))*$C19*(1+'Property Summary'!$L$18)^('MF Rents'!BZ$3-1))</f>
        <v/>
      </c>
      <c r="CA19" s="149" t="str">
        <f>IF(OR($B19="",$B19=0),"",($G19*(CA$4&lt;$I19)+$H19*(CA$4&gt;=$I19))*$C19*(1+'Property Summary'!$L$18)^('MF Rents'!CA$3-1))</f>
        <v/>
      </c>
      <c r="CB19" s="149" t="str">
        <f>IF(OR($B19="",$B19=0),"",($G19*(CB$4&lt;$I19)+$H19*(CB$4&gt;=$I19))*$C19*(1+'Property Summary'!$L$18)^('MF Rents'!CB$3-1))</f>
        <v/>
      </c>
      <c r="CC19" s="149" t="str">
        <f>IF(OR($B19="",$B19=0),"",($G19*(CC$4&lt;$I19)+$H19*(CC$4&gt;=$I19))*$C19*(1+'Property Summary'!$L$18)^('MF Rents'!CC$3-1))</f>
        <v/>
      </c>
      <c r="CD19" s="149" t="str">
        <f>IF(OR($B19="",$B19=0),"",($G19*(CD$4&lt;$I19)+$H19*(CD$4&gt;=$I19))*$C19*(1+'Property Summary'!$L$18)^('MF Rents'!CD$3-1))</f>
        <v/>
      </c>
      <c r="CE19" s="149" t="str">
        <f>IF(OR($B19="",$B19=0),"",($G19*(CE$4&lt;$I19)+$H19*(CE$4&gt;=$I19))*$C19*(1+'Property Summary'!$L$18)^('MF Rents'!CE$3-1))</f>
        <v/>
      </c>
      <c r="CF19" s="149" t="str">
        <f>IF(OR($B19="",$B19=0),"",($G19*(CF$4&lt;$I19)+$H19*(CF$4&gt;=$I19))*$C19*(1+'Property Summary'!$L$18)^('MF Rents'!CF$3-1))</f>
        <v/>
      </c>
      <c r="CG19" s="149" t="str">
        <f>IF(OR($B19="",$B19=0),"",($G19*(CG$4&lt;$I19)+$H19*(CG$4&gt;=$I19))*$C19*(1+'Property Summary'!$L$18)^('MF Rents'!CG$3-1))</f>
        <v/>
      </c>
      <c r="CH19" s="149" t="str">
        <f>IF(OR($B19="",$B19=0),"",($G19*(CH$4&lt;$I19)+$H19*(CH$4&gt;=$I19))*$C19*(1+'Property Summary'!$L$18)^('MF Rents'!CH$3-1))</f>
        <v/>
      </c>
      <c r="CI19" s="149" t="str">
        <f>IF(OR($B19="",$B19=0),"",($G19*(CI$4&lt;$I19)+$H19*(CI$4&gt;=$I19))*$C19*(1+'Property Summary'!$L$18)^('MF Rents'!CI$3-1))</f>
        <v/>
      </c>
      <c r="CJ19" s="149" t="str">
        <f>IF(OR($B19="",$B19=0),"",($G19*(CJ$4&lt;$I19)+$H19*(CJ$4&gt;=$I19))*$C19*(1+'Property Summary'!$L$18)^('MF Rents'!CJ$3-1))</f>
        <v/>
      </c>
      <c r="CK19" s="149" t="str">
        <f>IF(OR($B19="",$B19=0),"",($G19*(CK$4&lt;$I19)+$H19*(CK$4&gt;=$I19))*$C19*(1+'Property Summary'!$L$18)^('MF Rents'!CK$3-1))</f>
        <v/>
      </c>
      <c r="CL19" s="149" t="str">
        <f>IF(OR($B19="",$B19=0),"",($G19*(CL$4&lt;$I19)+$H19*(CL$4&gt;=$I19))*$C19*(1+'Property Summary'!$L$18)^('MF Rents'!CL$3-1))</f>
        <v/>
      </c>
      <c r="CM19" s="149" t="str">
        <f>IF(OR($B19="",$B19=0),"",($G19*(CM$4&lt;$I19)+$H19*(CM$4&gt;=$I19))*$C19*(1+'Property Summary'!$L$18)^('MF Rents'!CM$3-1))</f>
        <v/>
      </c>
      <c r="CN19" s="149" t="str">
        <f>IF(OR($B19="",$B19=0),"",($G19*(CN$4&lt;$I19)+$H19*(CN$4&gt;=$I19))*$C19*(1+'Property Summary'!$L$18)^('MF Rents'!CN$3-1))</f>
        <v/>
      </c>
      <c r="CO19" s="149" t="str">
        <f>IF(OR($B19="",$B19=0),"",($G19*(CO$4&lt;$I19)+$H19*(CO$4&gt;=$I19))*$C19*(1+'Property Summary'!$L$18)^('MF Rents'!CO$3-1))</f>
        <v/>
      </c>
      <c r="CP19" s="149" t="str">
        <f>IF(OR($B19="",$B19=0),"",($G19*(CP$4&lt;$I19)+$H19*(CP$4&gt;=$I19))*$C19*(1+'Property Summary'!$L$18)^('MF Rents'!CP$3-1))</f>
        <v/>
      </c>
      <c r="CQ19" s="149" t="str">
        <f>IF(OR($B19="",$B19=0),"",($G19*(CQ$4&lt;$I19)+$H19*(CQ$4&gt;=$I19))*$C19*(1+'Property Summary'!$L$18)^('MF Rents'!CQ$3-1))</f>
        <v/>
      </c>
      <c r="CR19" s="149" t="str">
        <f>IF(OR($B19="",$B19=0),"",($G19*(CR$4&lt;$I19)+$H19*(CR$4&gt;=$I19))*$C19*(1+'Property Summary'!$L$18)^('MF Rents'!CR$3-1))</f>
        <v/>
      </c>
      <c r="CS19" s="149" t="str">
        <f>IF(OR($B19="",$B19=0),"",($G19*(CS$4&lt;$I19)+$H19*(CS$4&gt;=$I19))*$C19*(1+'Property Summary'!$L$18)^('MF Rents'!CS$3-1))</f>
        <v/>
      </c>
      <c r="CT19" s="149" t="str">
        <f>IF(OR($B19="",$B19=0),"",($G19*(CT$4&lt;$I19)+$H19*(CT$4&gt;=$I19))*$C19*(1+'Property Summary'!$L$18)^('MF Rents'!CT$3-1))</f>
        <v/>
      </c>
      <c r="CU19" s="149" t="str">
        <f>IF(OR($B19="",$B19=0),"",($G19*(CU$4&lt;$I19)+$H19*(CU$4&gt;=$I19))*$C19*(1+'Property Summary'!$L$18)^('MF Rents'!CU$3-1))</f>
        <v/>
      </c>
      <c r="CV19" s="149" t="str">
        <f>IF(OR($B19="",$B19=0),"",($G19*(CV$4&lt;$I19)+$H19*(CV$4&gt;=$I19))*$C19*(1+'Property Summary'!$L$18)^('MF Rents'!CV$3-1))</f>
        <v/>
      </c>
      <c r="CW19" s="149" t="str">
        <f>IF(OR($B19="",$B19=0),"",($G19*(CW$4&lt;$I19)+$H19*(CW$4&gt;=$I19))*$C19*(1+'Property Summary'!$L$18)^('MF Rents'!CW$3-1))</f>
        <v/>
      </c>
      <c r="CX19" s="149" t="str">
        <f>IF(OR($B19="",$B19=0),"",($G19*(CX$4&lt;$I19)+$H19*(CX$4&gt;=$I19))*$C19*(1+'Property Summary'!$L$18)^('MF Rents'!CX$3-1))</f>
        <v/>
      </c>
      <c r="CY19" s="149" t="str">
        <f>IF(OR($B19="",$B19=0),"",($G19*(CY$4&lt;$I19)+$H19*(CY$4&gt;=$I19))*$C19*(1+'Property Summary'!$L$18)^('MF Rents'!CY$3-1))</f>
        <v/>
      </c>
      <c r="CZ19" s="149" t="str">
        <f>IF(OR($B19="",$B19=0),"",($G19*(CZ$4&lt;$I19)+$H19*(CZ$4&gt;=$I19))*$C19*(1+'Property Summary'!$L$18)^('MF Rents'!CZ$3-1))</f>
        <v/>
      </c>
      <c r="DA19" s="149" t="str">
        <f>IF(OR($B19="",$B19=0),"",($G19*(DA$4&lt;$I19)+$H19*(DA$4&gt;=$I19))*$C19*(1+'Property Summary'!$L$18)^('MF Rents'!DA$3-1))</f>
        <v/>
      </c>
      <c r="DB19" s="149" t="str">
        <f>IF(OR($B19="",$B19=0),"",($G19*(DB$4&lt;$I19)+$H19*(DB$4&gt;=$I19))*$C19*(1+'Property Summary'!$L$18)^('MF Rents'!DB$3-1))</f>
        <v/>
      </c>
      <c r="DC19" s="149" t="str">
        <f>IF(OR($B19="",$B19=0),"",($G19*(DC$4&lt;$I19)+$H19*(DC$4&gt;=$I19))*$C19*(1+'Property Summary'!$L$18)^('MF Rents'!DC$3-1))</f>
        <v/>
      </c>
      <c r="DD19" s="149" t="str">
        <f>IF(OR($B19="",$B19=0),"",($G19*(DD$4&lt;$I19)+$H19*(DD$4&gt;=$I19))*$C19*(1+'Property Summary'!$L$18)^('MF Rents'!DD$3-1))</f>
        <v/>
      </c>
      <c r="DE19" s="149" t="str">
        <f>IF(OR($B19="",$B19=0),"",($G19*(DE$4&lt;$I19)+$H19*(DE$4&gt;=$I19))*$C19*(1+'Property Summary'!$L$18)^('MF Rents'!DE$3-1))</f>
        <v/>
      </c>
      <c r="DF19" s="149" t="str">
        <f>IF(OR($B19="",$B19=0),"",($G19*(DF$4&lt;$I19)+$H19*(DF$4&gt;=$I19))*$C19*(1+'Property Summary'!$L$18)^('MF Rents'!DF$3-1))</f>
        <v/>
      </c>
      <c r="DG19" s="149" t="str">
        <f>IF(OR($B19="",$B19=0),"",($G19*(DG$4&lt;$I19)+$H19*(DG$4&gt;=$I19))*$C19*(1+'Property Summary'!$L$18)^('MF Rents'!DG$3-1))</f>
        <v/>
      </c>
      <c r="DH19" s="149" t="str">
        <f>IF(OR($B19="",$B19=0),"",($G19*(DH$4&lt;$I19)+$H19*(DH$4&gt;=$I19))*$C19*(1+'Property Summary'!$L$18)^('MF Rents'!DH$3-1))</f>
        <v/>
      </c>
      <c r="DI19" s="149" t="str">
        <f>IF(OR($B19="",$B19=0),"",($G19*(DI$4&lt;$I19)+$H19*(DI$4&gt;=$I19))*$C19*(1+'Property Summary'!$L$18)^('MF Rents'!DI$3-1))</f>
        <v/>
      </c>
      <c r="DJ19" s="149" t="str">
        <f>IF(OR($B19="",$B19=0),"",($G19*(DJ$4&lt;$I19)+$H19*(DJ$4&gt;=$I19))*$C19*(1+'Property Summary'!$L$18)^('MF Rents'!DJ$3-1))</f>
        <v/>
      </c>
      <c r="DK19" s="149" t="str">
        <f>IF(OR($B19="",$B19=0),"",($G19*(DK$4&lt;$I19)+$H19*(DK$4&gt;=$I19))*$C19*(1+'Property Summary'!$L$18)^('MF Rents'!DK$3-1))</f>
        <v/>
      </c>
      <c r="DL19" s="149" t="str">
        <f>IF(OR($B19="",$B19=0),"",($G19*(DL$4&lt;$I19)+$H19*(DL$4&gt;=$I19))*$C19*(1+'Property Summary'!$L$18)^('MF Rents'!DL$3-1))</f>
        <v/>
      </c>
      <c r="DM19" s="149" t="str">
        <f>IF(OR($B19="",$B19=0),"",($G19*(DM$4&lt;$I19)+$H19*(DM$4&gt;=$I19))*$C19*(1+'Property Summary'!$L$18)^('MF Rents'!DM$3-1))</f>
        <v/>
      </c>
      <c r="DN19" s="149" t="str">
        <f>IF(OR($B19="",$B19=0),"",($G19*(DN$4&lt;$I19)+$H19*(DN$4&gt;=$I19))*$C19*(1+'Property Summary'!$L$18)^('MF Rents'!DN$3-1))</f>
        <v/>
      </c>
      <c r="DO19" s="149" t="str">
        <f>IF(OR($B19="",$B19=0),"",($G19*(DO$4&lt;$I19)+$H19*(DO$4&gt;=$I19))*$C19*(1+'Property Summary'!$L$18)^('MF Rents'!DO$3-1))</f>
        <v/>
      </c>
      <c r="DP19" s="149" t="str">
        <f>IF(OR($B19="",$B19=0),"",($G19*(DP$4&lt;$I19)+$H19*(DP$4&gt;=$I19))*$C19*(1+'Property Summary'!$L$18)^('MF Rents'!DP$3-1))</f>
        <v/>
      </c>
      <c r="DQ19" s="149" t="str">
        <f>IF(OR($B19="",$B19=0),"",($G19*(DQ$4&lt;$I19)+$H19*(DQ$4&gt;=$I19))*$C19*(1+'Property Summary'!$L$18)^('MF Rents'!DQ$3-1))</f>
        <v/>
      </c>
      <c r="DR19" s="149" t="str">
        <f>IF(OR($B19="",$B19=0),"",($G19*(DR$4&lt;$I19)+$H19*(DR$4&gt;=$I19))*$C19*(1+'Property Summary'!$L$18)^('MF Rents'!DR$3-1))</f>
        <v/>
      </c>
      <c r="DS19" s="149" t="str">
        <f>IF(OR($B19="",$B19=0),"",($G19*(DS$4&lt;$I19)+$H19*(DS$4&gt;=$I19))*$C19*(1+'Property Summary'!$L$18)^('MF Rents'!DS$3-1))</f>
        <v/>
      </c>
      <c r="DT19" s="149" t="str">
        <f>IF(OR($B19="",$B19=0),"",($G19*(DT$4&lt;$I19)+$H19*(DT$4&gt;=$I19))*$C19*(1+'Property Summary'!$L$18)^('MF Rents'!DT$3-1))</f>
        <v/>
      </c>
      <c r="DU19" s="149" t="str">
        <f>IF(OR($B19="",$B19=0),"",($G19*(DU$4&lt;$I19)+$H19*(DU$4&gt;=$I19))*$C19*(1+'Property Summary'!$L$18)^('MF Rents'!DU$3-1))</f>
        <v/>
      </c>
      <c r="DV19" s="149" t="str">
        <f>IF(OR($B19="",$B19=0),"",($G19*(DV$4&lt;$I19)+$H19*(DV$4&gt;=$I19))*$C19*(1+'Property Summary'!$L$18)^('MF Rents'!DV$3-1))</f>
        <v/>
      </c>
      <c r="DW19" s="149" t="str">
        <f>IF(OR($B19="",$B19=0),"",($G19*(DW$4&lt;$I19)+$H19*(DW$4&gt;=$I19))*$C19*(1+'Property Summary'!$L$18)^('MF Rents'!DW$3-1))</f>
        <v/>
      </c>
      <c r="DX19" s="149" t="str">
        <f>IF(OR($B19="",$B19=0),"",($G19*(DX$4&lt;$I19)+$H19*(DX$4&gt;=$I19))*$C19*(1+'Property Summary'!$L$18)^('MF Rents'!DX$3-1))</f>
        <v/>
      </c>
      <c r="DY19" s="149" t="str">
        <f>IF(OR($B19="",$B19=0),"",($G19*(DY$4&lt;$I19)+$H19*(DY$4&gt;=$I19))*$C19*(1+'Property Summary'!$L$18)^('MF Rents'!DY$3-1))</f>
        <v/>
      </c>
      <c r="DZ19" s="149" t="str">
        <f>IF(OR($B19="",$B19=0),"",($G19*(DZ$4&lt;$I19)+$H19*(DZ$4&gt;=$I19))*$C19*(1+'Property Summary'!$L$18)^('MF Rents'!DZ$3-1))</f>
        <v/>
      </c>
      <c r="EA19" s="149" t="str">
        <f>IF(OR($B19="",$B19=0),"",($G19*(EA$4&lt;$I19)+$H19*(EA$4&gt;=$I19))*$C19*(1+'Property Summary'!$L$18)^('MF Rents'!EA$3-1))</f>
        <v/>
      </c>
      <c r="EB19" s="149" t="str">
        <f>IF(OR($B19="",$B19=0),"",($G19*(EB$4&lt;$I19)+$H19*(EB$4&gt;=$I19))*$C19*(1+'Property Summary'!$L$18)^('MF Rents'!EB$3-1))</f>
        <v/>
      </c>
      <c r="EC19" s="149" t="str">
        <f>IF(OR($B19="",$B19=0),"",($G19*(EC$4&lt;$I19)+$H19*(EC$4&gt;=$I19))*$C19*(1+'Property Summary'!$L$18)^('MF Rents'!EC$3-1))</f>
        <v/>
      </c>
      <c r="ED19" s="149" t="str">
        <f>IF(OR($B19="",$B19=0),"",($G19*(ED$4&lt;$I19)+$H19*(ED$4&gt;=$I19))*$C19*(1+'Property Summary'!$L$18)^('MF Rents'!ED$3-1))</f>
        <v/>
      </c>
      <c r="EE19" s="149" t="str">
        <f>IF(OR($B19="",$B19=0),"",($G19*(EE$4&lt;$I19)+$H19*(EE$4&gt;=$I19))*$C19*(1+'Property Summary'!$L$18)^('MF Rents'!EE$3-1))</f>
        <v/>
      </c>
      <c r="EF19" s="149" t="str">
        <f>IF(OR($B19="",$B19=0),"",($G19*(EF$4&lt;$I19)+$H19*(EF$4&gt;=$I19))*$C19*(1+'Property Summary'!$L$18)^('MF Rents'!EF$3-1))</f>
        <v/>
      </c>
      <c r="EG19" s="149" t="str">
        <f>IF(OR($B19="",$B19=0),"",($G19*(EG$4&lt;$I19)+$H19*(EG$4&gt;=$I19))*$C19*(1+'Property Summary'!$L$18)^('MF Rents'!EG$3-1))</f>
        <v/>
      </c>
      <c r="EH19" s="149" t="str">
        <f>IF(OR($B19="",$B19=0),"",($G19*(EH$4&lt;$I19)+$H19*(EH$4&gt;=$I19))*$C19*(1+'Property Summary'!$L$18)^('MF Rents'!EH$3-1))</f>
        <v/>
      </c>
      <c r="EI19" s="149" t="str">
        <f>IF(OR($B19="",$B19=0),"",($G19*(EI$4&lt;$I19)+$H19*(EI$4&gt;=$I19))*$C19*(1+'Property Summary'!$L$18)^('MF Rents'!EI$3-1))</f>
        <v/>
      </c>
      <c r="EJ19" s="149" t="str">
        <f>IF(OR($B19="",$B19=0),"",($G19*(EJ$4&lt;$I19)+$H19*(EJ$4&gt;=$I19))*$C19*(1+'Property Summary'!$L$18)^('MF Rents'!EJ$3-1))</f>
        <v/>
      </c>
      <c r="EK19" s="149" t="str">
        <f>IF(OR($B19="",$B19=0),"",($G19*(EK$4&lt;$I19)+$H19*(EK$4&gt;=$I19))*$C19*(1+'Property Summary'!$L$18)^('MF Rents'!EK$3-1))</f>
        <v/>
      </c>
      <c r="EL19" s="149" t="str">
        <f>IF(OR($B19="",$B19=0),"",($G19*(EL$4&lt;$I19)+$H19*(EL$4&gt;=$I19))*$C19*(1+'Property Summary'!$L$18)^('MF Rents'!EL$3-1))</f>
        <v/>
      </c>
      <c r="EM19" s="149" t="str">
        <f>IF(OR($B19="",$B19=0),"",($G19*(EM$4&lt;$I19)+$H19*(EM$4&gt;=$I19))*$C19*(1+'Property Summary'!$L$18)^('MF Rents'!EM$3-1))</f>
        <v/>
      </c>
      <c r="EN19" s="149" t="str">
        <f>IF(OR($B19="",$B19=0),"",($G19*(EN$4&lt;$I19)+$H19*(EN$4&gt;=$I19))*$C19*(1+'Property Summary'!$L$18)^('MF Rents'!EN$3-1))</f>
        <v/>
      </c>
      <c r="EO19" s="149" t="str">
        <f>IF(OR($B19="",$B19=0),"",($G19*(EO$4&lt;$I19)+$H19*(EO$4&gt;=$I19))*$C19*(1+'Property Summary'!$L$18)^('MF Rents'!EO$3-1))</f>
        <v/>
      </c>
      <c r="EP19" s="149" t="str">
        <f>IF(OR($B19="",$B19=0),"",($G19*(EP$4&lt;$I19)+$H19*(EP$4&gt;=$I19))*$C19*(1+'Property Summary'!$L$18)^('MF Rents'!EP$3-1))</f>
        <v/>
      </c>
      <c r="EQ19" s="149" t="str">
        <f>IF(OR($B19="",$B19=0),"",($G19*(EQ$4&lt;$I19)+$H19*(EQ$4&gt;=$I19))*$C19*(1+'Property Summary'!$L$18)^('MF Rents'!EQ$3-1))</f>
        <v/>
      </c>
      <c r="ER19" s="149" t="str">
        <f>IF(OR($B19="",$B19=0),"",($G19*(ER$4&lt;$I19)+$H19*(ER$4&gt;=$I19))*$C19*(1+'Property Summary'!$L$18)^('MF Rents'!ER$3-1))</f>
        <v/>
      </c>
      <c r="ES19" s="149" t="str">
        <f>IF(OR($B19="",$B19=0),"",($G19*(ES$4&lt;$I19)+$H19*(ES$4&gt;=$I19))*$C19*(1+'Property Summary'!$L$18)^('MF Rents'!ES$3-1))</f>
        <v/>
      </c>
      <c r="ET19" s="149" t="str">
        <f>IF(OR($B19="",$B19=0),"",($G19*(ET$4&lt;$I19)+$H19*(ET$4&gt;=$I19))*$C19*(1+'Property Summary'!$L$18)^('MF Rents'!ET$3-1))</f>
        <v/>
      </c>
      <c r="EU19" s="149" t="str">
        <f>IF(OR($B19="",$B19=0),"",($G19*(EU$4&lt;$I19)+$H19*(EU$4&gt;=$I19))*$C19*(1+'Property Summary'!$L$18)^('MF Rents'!EU$3-1))</f>
        <v/>
      </c>
      <c r="EV19" s="149" t="str">
        <f>IF(OR($B19="",$B19=0),"",($G19*(EV$4&lt;$I19)+$H19*(EV$4&gt;=$I19))*$C19*(1+'Property Summary'!$L$18)^('MF Rents'!EV$3-1))</f>
        <v/>
      </c>
      <c r="EW19" s="149" t="str">
        <f>IF(OR($B19="",$B19=0),"",($G19*(EW$4&lt;$I19)+$H19*(EW$4&gt;=$I19))*$C19*(1+'Property Summary'!$L$18)^('MF Rents'!EW$3-1))</f>
        <v/>
      </c>
      <c r="EX19" s="149" t="str">
        <f>IF(OR($B19="",$B19=0),"",($G19*(EX$4&lt;$I19)+$H19*(EX$4&gt;=$I19))*$C19*(1+'Property Summary'!$L$18)^('MF Rents'!EX$3-1))</f>
        <v/>
      </c>
      <c r="EY19" s="149" t="str">
        <f>IF(OR($B19="",$B19=0),"",($G19*(EY$4&lt;$I19)+$H19*(EY$4&gt;=$I19))*$C19*(1+'Property Summary'!$L$18)^('MF Rents'!EY$3-1))</f>
        <v/>
      </c>
      <c r="EZ19" s="149" t="str">
        <f>IF(OR($B19="",$B19=0),"",($G19*(EZ$4&lt;$I19)+$H19*(EZ$4&gt;=$I19))*$C19*(1+'Property Summary'!$L$18)^('MF Rents'!EZ$3-1))</f>
        <v/>
      </c>
      <c r="FA19" s="149" t="str">
        <f>IF(OR($B19="",$B19=0),"",($G19*(FA$4&lt;$I19)+$H19*(FA$4&gt;=$I19))*$C19*(1+'Property Summary'!$L$18)^('MF Rents'!FA$3-1))</f>
        <v/>
      </c>
      <c r="FB19" s="149" t="str">
        <f>IF(OR($B19="",$B19=0),"",($G19*(FB$4&lt;$I19)+$H19*(FB$4&gt;=$I19))*$C19*(1+'Property Summary'!$L$18)^('MF Rents'!FB$3-1))</f>
        <v/>
      </c>
      <c r="FC19" s="149" t="str">
        <f>IF(OR($B19="",$B19=0),"",($G19*(FC$4&lt;$I19)+$H19*(FC$4&gt;=$I19))*$C19*(1+'Property Summary'!$L$18)^('MF Rents'!FC$3-1))</f>
        <v/>
      </c>
      <c r="FD19" s="149" t="str">
        <f>IF(OR($B19="",$B19=0),"",($G19*(FD$4&lt;$I19)+$H19*(FD$4&gt;=$I19))*$C19*(1+'Property Summary'!$L$18)^('MF Rents'!FD$3-1))</f>
        <v/>
      </c>
      <c r="FE19" s="149" t="str">
        <f>IF(OR($B19="",$B19=0),"",($G19*(FE$4&lt;$I19)+$H19*(FE$4&gt;=$I19))*$C19*(1+'Property Summary'!$L$18)^('MF Rents'!FE$3-1))</f>
        <v/>
      </c>
      <c r="FF19" s="149" t="str">
        <f>IF(OR($B19="",$B19=0),"",($G19*(FF$4&lt;$I19)+$H19*(FF$4&gt;=$I19))*$C19*(1+'Property Summary'!$L$18)^('MF Rents'!FF$3-1))</f>
        <v/>
      </c>
      <c r="FG19" s="149" t="str">
        <f>IF(OR($B19="",$B19=0),"",($G19*(FG$4&lt;$I19)+$H19*(FG$4&gt;=$I19))*$C19*(1+'Property Summary'!$L$18)^('MF Rents'!FG$3-1))</f>
        <v/>
      </c>
      <c r="FH19" s="149" t="str">
        <f>IF(OR($B19="",$B19=0),"",($G19*(FH$4&lt;$I19)+$H19*(FH$4&gt;=$I19))*$C19*(1+'Property Summary'!$L$18)^('MF Rents'!FH$3-1))</f>
        <v/>
      </c>
      <c r="FI19" s="149" t="str">
        <f>IF(OR($B19="",$B19=0),"",($G19*(FI$4&lt;$I19)+$H19*(FI$4&gt;=$I19))*$C19*(1+'Property Summary'!$L$18)^('MF Rents'!FI$3-1))</f>
        <v/>
      </c>
      <c r="FJ19" s="149" t="str">
        <f>IF(OR($B19="",$B19=0),"",($G19*(FJ$4&lt;$I19)+$H19*(FJ$4&gt;=$I19))*$C19*(1+'Property Summary'!$L$18)^('MF Rents'!FJ$3-1))</f>
        <v/>
      </c>
      <c r="FK19" s="149" t="str">
        <f>IF(OR($B19="",$B19=0),"",($G19*(FK$4&lt;$I19)+$H19*(FK$4&gt;=$I19))*$C19*(1+'Property Summary'!$L$18)^('MF Rents'!FK$3-1))</f>
        <v/>
      </c>
      <c r="FL19" s="149" t="str">
        <f>IF(OR($B19="",$B19=0),"",($G19*(FL$4&lt;$I19)+$H19*(FL$4&gt;=$I19))*$C19*(1+'Property Summary'!$L$18)^('MF Rents'!FL$3-1))</f>
        <v/>
      </c>
      <c r="FM19" s="149" t="str">
        <f>IF(OR($B19="",$B19=0),"",($G19*(FM$4&lt;$I19)+$H19*(FM$4&gt;=$I19))*$C19*(1+'Property Summary'!$L$18)^('MF Rents'!FM$3-1))</f>
        <v/>
      </c>
      <c r="FN19" s="149" t="str">
        <f>IF(OR($B19="",$B19=0),"",($G19*(FN$4&lt;$I19)+$H19*(FN$4&gt;=$I19))*$C19*(1+'Property Summary'!$L$18)^('MF Rents'!FN$3-1))</f>
        <v/>
      </c>
      <c r="FO19" s="149" t="str">
        <f>IF(OR($B19="",$B19=0),"",($G19*(FO$4&lt;$I19)+$H19*(FO$4&gt;=$I19))*$C19*(1+'Property Summary'!$L$18)^('MF Rents'!FO$3-1))</f>
        <v/>
      </c>
      <c r="FP19" s="149" t="str">
        <f>IF(OR($B19="",$B19=0),"",($G19*(FP$4&lt;$I19)+$H19*(FP$4&gt;=$I19))*$C19*(1+'Property Summary'!$L$18)^('MF Rents'!FP$3-1))</f>
        <v/>
      </c>
      <c r="FQ19" s="149" t="str">
        <f>IF(OR($B19="",$B19=0),"",($G19*(FQ$4&lt;$I19)+$H19*(FQ$4&gt;=$I19))*$C19*(1+'Property Summary'!$L$18)^('MF Rents'!FQ$3-1))</f>
        <v/>
      </c>
      <c r="FR19" s="149" t="str">
        <f>IF(OR($B19="",$B19=0),"",($G19*(FR$4&lt;$I19)+$H19*(FR$4&gt;=$I19))*$C19*(1+'Property Summary'!$L$18)^('MF Rents'!FR$3-1))</f>
        <v/>
      </c>
      <c r="FS19" s="149" t="str">
        <f>IF(OR($B19="",$B19=0),"",($G19*(FS$4&lt;$I19)+$H19*(FS$4&gt;=$I19))*$C19*(1+'Property Summary'!$L$18)^('MF Rents'!FS$3-1))</f>
        <v/>
      </c>
      <c r="FT19" s="149" t="str">
        <f>IF(OR($B19="",$B19=0),"",($G19*(FT$4&lt;$I19)+$H19*(FT$4&gt;=$I19))*$C19*(1+'Property Summary'!$L$18)^('MF Rents'!FT$3-1))</f>
        <v/>
      </c>
      <c r="FU19" s="149" t="str">
        <f>IF(OR($B19="",$B19=0),"",($G19*(FU$4&lt;$I19)+$H19*(FU$4&gt;=$I19))*$C19*(1+'Property Summary'!$L$18)^('MF Rents'!FU$3-1))</f>
        <v/>
      </c>
      <c r="FV19" s="149" t="str">
        <f>IF(OR($B19="",$B19=0),"",($G19*(FV$4&lt;$I19)+$H19*(FV$4&gt;=$I19))*$C19*(1+'Property Summary'!$L$18)^('MF Rents'!FV$3-1))</f>
        <v/>
      </c>
      <c r="FW19" s="149" t="str">
        <f>IF(OR($B19="",$B19=0),"",($G19*(FW$4&lt;$I19)+$H19*(FW$4&gt;=$I19))*$C19*(1+'Property Summary'!$L$18)^('MF Rents'!FW$3-1))</f>
        <v/>
      </c>
      <c r="FX19" s="149" t="str">
        <f>IF(OR($B19="",$B19=0),"",($G19*(FX$4&lt;$I19)+$H19*(FX$4&gt;=$I19))*$C19*(1+'Property Summary'!$L$18)^('MF Rents'!FX$3-1))</f>
        <v/>
      </c>
      <c r="FY19" s="149" t="str">
        <f>IF(OR($B19="",$B19=0),"",($G19*(FY$4&lt;$I19)+$H19*(FY$4&gt;=$I19))*$C19*(1+'Property Summary'!$L$18)^('MF Rents'!FY$3-1))</f>
        <v/>
      </c>
      <c r="FZ19" s="149" t="str">
        <f>IF(OR($B19="",$B19=0),"",($G19*(FZ$4&lt;$I19)+$H19*(FZ$4&gt;=$I19))*$C19*(1+'Property Summary'!$L$18)^('MF Rents'!FZ$3-1))</f>
        <v/>
      </c>
      <c r="GA19" s="149" t="str">
        <f>IF(OR($B19="",$B19=0),"",($G19*(GA$4&lt;$I19)+$H19*(GA$4&gt;=$I19))*$C19*(1+'Property Summary'!$L$18)^('MF Rents'!GA$3-1))</f>
        <v/>
      </c>
      <c r="GB19" s="149" t="str">
        <f>IF(OR($B19="",$B19=0),"",($G19*(GB$4&lt;$I19)+$H19*(GB$4&gt;=$I19))*$C19*(1+'Property Summary'!$L$18)^('MF Rents'!GB$3-1))</f>
        <v/>
      </c>
      <c r="GC19" s="149" t="str">
        <f>IF(OR($B19="",$B19=0),"",($G19*(GC$4&lt;$I19)+$H19*(GC$4&gt;=$I19))*$C19*(1+'Property Summary'!$L$18)^('MF Rents'!GC$3-1))</f>
        <v/>
      </c>
      <c r="GD19" s="149" t="str">
        <f>IF(OR($B19="",$B19=0),"",($G19*(GD$4&lt;$I19)+$H19*(GD$4&gt;=$I19))*$C19*(1+'Property Summary'!$L$18)^('MF Rents'!GD$3-1))</f>
        <v/>
      </c>
      <c r="GE19" s="149" t="str">
        <f>IF(OR($B19="",$B19=0),"",($G19*(GE$4&lt;$I19)+$H19*(GE$4&gt;=$I19))*$C19*(1+'Property Summary'!$L$18)^('MF Rents'!GE$3-1))</f>
        <v/>
      </c>
      <c r="GF19" s="149" t="str">
        <f>IF(OR($B19="",$B19=0),"",($G19*(GF$4&lt;$I19)+$H19*(GF$4&gt;=$I19))*$C19*(1+'Property Summary'!$L$18)^('MF Rents'!GF$3-1))</f>
        <v/>
      </c>
      <c r="GG19" s="149" t="str">
        <f>IF(OR($B19="",$B19=0),"",($G19*(GG$4&lt;$I19)+$H19*(GG$4&gt;=$I19))*$C19*(1+'Property Summary'!$L$18)^('MF Rents'!GG$3-1))</f>
        <v/>
      </c>
      <c r="GH19" s="149" t="str">
        <f>IF(OR($B19="",$B19=0),"",($G19*(GH$4&lt;$I19)+$H19*(GH$4&gt;=$I19))*$C19*(1+'Property Summary'!$L$18)^('MF Rents'!GH$3-1))</f>
        <v/>
      </c>
      <c r="GI19" s="149" t="str">
        <f>IF(OR($B19="",$B19=0),"",($G19*(GI$4&lt;$I19)+$H19*(GI$4&gt;=$I19))*$C19*(1+'Property Summary'!$L$18)^('MF Rents'!GI$3-1))</f>
        <v/>
      </c>
      <c r="GJ19" s="149" t="str">
        <f>IF(OR($B19="",$B19=0),"",($G19*(GJ$4&lt;$I19)+$H19*(GJ$4&gt;=$I19))*$C19*(1+'Property Summary'!$L$18)^('MF Rents'!GJ$3-1))</f>
        <v/>
      </c>
      <c r="GK19" s="149" t="str">
        <f>IF(OR($B19="",$B19=0),"",($G19*(GK$4&lt;$I19)+$H19*(GK$4&gt;=$I19))*$C19*(1+'Property Summary'!$L$18)^('MF Rents'!GK$3-1))</f>
        <v/>
      </c>
      <c r="GL19" s="149" t="str">
        <f>IF(OR($B19="",$B19=0),"",($G19*(GL$4&lt;$I19)+$H19*(GL$4&gt;=$I19))*$C19*(1+'Property Summary'!$L$18)^('MF Rents'!GL$3-1))</f>
        <v/>
      </c>
      <c r="GM19" s="149" t="str">
        <f>IF(OR($B19="",$B19=0),"",($G19*(GM$4&lt;$I19)+$H19*(GM$4&gt;=$I19))*$C19*(1+'Property Summary'!$L$18)^('MF Rents'!GM$3-1))</f>
        <v/>
      </c>
      <c r="GN19" s="149" t="str">
        <f>IF(OR($B19="",$B19=0),"",($G19*(GN$4&lt;$I19)+$H19*(GN$4&gt;=$I19))*$C19*(1+'Property Summary'!$L$18)^('MF Rents'!GN$3-1))</f>
        <v/>
      </c>
      <c r="GO19" s="149" t="str">
        <f>IF(OR($B19="",$B19=0),"",($G19*(GO$4&lt;$I19)+$H19*(GO$4&gt;=$I19))*$C19*(1+'Property Summary'!$L$18)^('MF Rents'!GO$3-1))</f>
        <v/>
      </c>
      <c r="GP19" s="149" t="str">
        <f>IF(OR($B19="",$B19=0),"",($G19*(GP$4&lt;$I19)+$H19*(GP$4&gt;=$I19))*$C19*(1+'Property Summary'!$L$18)^('MF Rents'!GP$3-1))</f>
        <v/>
      </c>
      <c r="GQ19" s="149" t="str">
        <f>IF(OR($B19="",$B19=0),"",($G19*(GQ$4&lt;$I19)+$H19*(GQ$4&gt;=$I19))*$C19*(1+'Property Summary'!$L$18)^('MF Rents'!GQ$3-1))</f>
        <v/>
      </c>
      <c r="GR19" s="149" t="str">
        <f>IF(OR($B19="",$B19=0),"",($G19*(GR$4&lt;$I19)+$H19*(GR$4&gt;=$I19))*$C19*(1+'Property Summary'!$L$18)^('MF Rents'!GR$3-1))</f>
        <v/>
      </c>
    </row>
    <row r="20" spans="2:200" x14ac:dyDescent="0.3">
      <c r="B20" s="184">
        <f>'MF Rent Roll'!B19</f>
        <v>0</v>
      </c>
      <c r="C20" s="171">
        <f>'MF Rent Roll'!C19</f>
        <v>0</v>
      </c>
      <c r="D20" s="172">
        <f>'MF Rent Roll'!D19</f>
        <v>0</v>
      </c>
      <c r="E20" s="172">
        <f>'MF Rent Roll'!E19</f>
        <v>0</v>
      </c>
      <c r="F20" s="173">
        <f>'MF Rent Roll'!F19</f>
        <v>0</v>
      </c>
      <c r="G20" s="174">
        <f>'MF Rent Roll'!G19</f>
        <v>0</v>
      </c>
      <c r="H20" s="174">
        <f>IF('MF Rent Roll'!H19="",G20,'MF Rent Roll'!H19)</f>
        <v>0</v>
      </c>
      <c r="I20" s="175">
        <f>IF('MF Rent Roll'!I19="",1,'MF Rent Roll'!I19)</f>
        <v>1</v>
      </c>
      <c r="J20" s="176">
        <f>'MF Rent Roll'!J19</f>
        <v>0</v>
      </c>
      <c r="K20" s="174">
        <f>'MF Rent Roll'!K19</f>
        <v>0</v>
      </c>
      <c r="L20" s="177">
        <f>'MF Rent Roll'!L19</f>
        <v>0</v>
      </c>
      <c r="M20" s="178">
        <f>'MF Rent Roll'!M19</f>
        <v>0</v>
      </c>
      <c r="N20" s="174">
        <f>'MF Rent Roll'!N19</f>
        <v>0</v>
      </c>
      <c r="O20" s="179">
        <f>'MF Rent Roll'!O19</f>
        <v>0</v>
      </c>
      <c r="P20" s="180" t="str">
        <f>'MF Rent Roll'!P19</f>
        <v/>
      </c>
      <c r="Q20" s="181" t="str">
        <f>'MF Rent Roll'!Q19</f>
        <v/>
      </c>
      <c r="R20" s="104" t="str">
        <f>'MF Rent Roll'!R19</f>
        <v/>
      </c>
      <c r="U20" s="149" t="str">
        <f>IF(OR($B20="",$B20=0),"",($G20*(U$4&lt;$I20)+$H20*(U$4&gt;=$I20))*$C20*(1+'Property Summary'!$L$18)^('MF Rents'!U$3-1))</f>
        <v/>
      </c>
      <c r="V20" s="149" t="str">
        <f>IF(OR($B20="",$B20=0),"",($G20*(V$4&lt;$I20)+$H20*(V$4&gt;=$I20))*$C20*(1+'Property Summary'!$L$18)^('MF Rents'!V$3-1))</f>
        <v/>
      </c>
      <c r="W20" s="149" t="str">
        <f>IF(OR($B20="",$B20=0),"",($G20*(W$4&lt;$I20)+$H20*(W$4&gt;=$I20))*$C20*(1+'Property Summary'!$L$18)^('MF Rents'!W$3-1))</f>
        <v/>
      </c>
      <c r="X20" s="149" t="str">
        <f>IF(OR($B20="",$B20=0),"",($G20*(X$4&lt;$I20)+$H20*(X$4&gt;=$I20))*$C20*(1+'Property Summary'!$L$18)^('MF Rents'!X$3-1))</f>
        <v/>
      </c>
      <c r="Y20" s="149" t="str">
        <f>IF(OR($B20="",$B20=0),"",($G20*(Y$4&lt;$I20)+$H20*(Y$4&gt;=$I20))*$C20*(1+'Property Summary'!$L$18)^('MF Rents'!Y$3-1))</f>
        <v/>
      </c>
      <c r="Z20" s="149" t="str">
        <f>IF(OR($B20="",$B20=0),"",($G20*(Z$4&lt;$I20)+$H20*(Z$4&gt;=$I20))*$C20*(1+'Property Summary'!$L$18)^('MF Rents'!Z$3-1))</f>
        <v/>
      </c>
      <c r="AA20" s="149" t="str">
        <f>IF(OR($B20="",$B20=0),"",($G20*(AA$4&lt;$I20)+$H20*(AA$4&gt;=$I20))*$C20*(1+'Property Summary'!$L$18)^('MF Rents'!AA$3-1))</f>
        <v/>
      </c>
      <c r="AB20" s="149" t="str">
        <f>IF(OR($B20="",$B20=0),"",($G20*(AB$4&lt;$I20)+$H20*(AB$4&gt;=$I20))*$C20*(1+'Property Summary'!$L$18)^('MF Rents'!AB$3-1))</f>
        <v/>
      </c>
      <c r="AC20" s="149" t="str">
        <f>IF(OR($B20="",$B20=0),"",($G20*(AC$4&lt;$I20)+$H20*(AC$4&gt;=$I20))*$C20*(1+'Property Summary'!$L$18)^('MF Rents'!AC$3-1))</f>
        <v/>
      </c>
      <c r="AD20" s="149" t="str">
        <f>IF(OR($B20="",$B20=0),"",($G20*(AD$4&lt;$I20)+$H20*(AD$4&gt;=$I20))*$C20*(1+'Property Summary'!$L$18)^('MF Rents'!AD$3-1))</f>
        <v/>
      </c>
      <c r="AE20" s="149" t="str">
        <f>IF(OR($B20="",$B20=0),"",($G20*(AE$4&lt;$I20)+$H20*(AE$4&gt;=$I20))*$C20*(1+'Property Summary'!$L$18)^('MF Rents'!AE$3-1))</f>
        <v/>
      </c>
      <c r="AF20" s="149" t="str">
        <f>IF(OR($B20="",$B20=0),"",($G20*(AF$4&lt;$I20)+$H20*(AF$4&gt;=$I20))*$C20*(1+'Property Summary'!$L$18)^('MF Rents'!AF$3-1))</f>
        <v/>
      </c>
      <c r="AG20" s="149" t="str">
        <f>IF(OR($B20="",$B20=0),"",($G20*(AG$4&lt;$I20)+$H20*(AG$4&gt;=$I20))*$C20*(1+'Property Summary'!$L$18)^('MF Rents'!AG$3-1))</f>
        <v/>
      </c>
      <c r="AH20" s="149" t="str">
        <f>IF(OR($B20="",$B20=0),"",($G20*(AH$4&lt;$I20)+$H20*(AH$4&gt;=$I20))*$C20*(1+'Property Summary'!$L$18)^('MF Rents'!AH$3-1))</f>
        <v/>
      </c>
      <c r="AI20" s="149" t="str">
        <f>IF(OR($B20="",$B20=0),"",($G20*(AI$4&lt;$I20)+$H20*(AI$4&gt;=$I20))*$C20*(1+'Property Summary'!$L$18)^('MF Rents'!AI$3-1))</f>
        <v/>
      </c>
      <c r="AJ20" s="149" t="str">
        <f>IF(OR($B20="",$B20=0),"",($G20*(AJ$4&lt;$I20)+$H20*(AJ$4&gt;=$I20))*$C20*(1+'Property Summary'!$L$18)^('MF Rents'!AJ$3-1))</f>
        <v/>
      </c>
      <c r="AK20" s="149" t="str">
        <f>IF(OR($B20="",$B20=0),"",($G20*(AK$4&lt;$I20)+$H20*(AK$4&gt;=$I20))*$C20*(1+'Property Summary'!$L$18)^('MF Rents'!AK$3-1))</f>
        <v/>
      </c>
      <c r="AL20" s="149" t="str">
        <f>IF(OR($B20="",$B20=0),"",($G20*(AL$4&lt;$I20)+$H20*(AL$4&gt;=$I20))*$C20*(1+'Property Summary'!$L$18)^('MF Rents'!AL$3-1))</f>
        <v/>
      </c>
      <c r="AM20" s="149" t="str">
        <f>IF(OR($B20="",$B20=0),"",($G20*(AM$4&lt;$I20)+$H20*(AM$4&gt;=$I20))*$C20*(1+'Property Summary'!$L$18)^('MF Rents'!AM$3-1))</f>
        <v/>
      </c>
      <c r="AN20" s="149" t="str">
        <f>IF(OR($B20="",$B20=0),"",($G20*(AN$4&lt;$I20)+$H20*(AN$4&gt;=$I20))*$C20*(1+'Property Summary'!$L$18)^('MF Rents'!AN$3-1))</f>
        <v/>
      </c>
      <c r="AO20" s="149" t="str">
        <f>IF(OR($B20="",$B20=0),"",($G20*(AO$4&lt;$I20)+$H20*(AO$4&gt;=$I20))*$C20*(1+'Property Summary'!$L$18)^('MF Rents'!AO$3-1))</f>
        <v/>
      </c>
      <c r="AP20" s="149" t="str">
        <f>IF(OR($B20="",$B20=0),"",($G20*(AP$4&lt;$I20)+$H20*(AP$4&gt;=$I20))*$C20*(1+'Property Summary'!$L$18)^('MF Rents'!AP$3-1))</f>
        <v/>
      </c>
      <c r="AQ20" s="149" t="str">
        <f>IF(OR($B20="",$B20=0),"",($G20*(AQ$4&lt;$I20)+$H20*(AQ$4&gt;=$I20))*$C20*(1+'Property Summary'!$L$18)^('MF Rents'!AQ$3-1))</f>
        <v/>
      </c>
      <c r="AR20" s="149" t="str">
        <f>IF(OR($B20="",$B20=0),"",($G20*(AR$4&lt;$I20)+$H20*(AR$4&gt;=$I20))*$C20*(1+'Property Summary'!$L$18)^('MF Rents'!AR$3-1))</f>
        <v/>
      </c>
      <c r="AS20" s="149" t="str">
        <f>IF(OR($B20="",$B20=0),"",($G20*(AS$4&lt;$I20)+$H20*(AS$4&gt;=$I20))*$C20*(1+'Property Summary'!$L$18)^('MF Rents'!AS$3-1))</f>
        <v/>
      </c>
      <c r="AT20" s="149" t="str">
        <f>IF(OR($B20="",$B20=0),"",($G20*(AT$4&lt;$I20)+$H20*(AT$4&gt;=$I20))*$C20*(1+'Property Summary'!$L$18)^('MF Rents'!AT$3-1))</f>
        <v/>
      </c>
      <c r="AU20" s="149" t="str">
        <f>IF(OR($B20="",$B20=0),"",($G20*(AU$4&lt;$I20)+$H20*(AU$4&gt;=$I20))*$C20*(1+'Property Summary'!$L$18)^('MF Rents'!AU$3-1))</f>
        <v/>
      </c>
      <c r="AV20" s="149" t="str">
        <f>IF(OR($B20="",$B20=0),"",($G20*(AV$4&lt;$I20)+$H20*(AV$4&gt;=$I20))*$C20*(1+'Property Summary'!$L$18)^('MF Rents'!AV$3-1))</f>
        <v/>
      </c>
      <c r="AW20" s="149" t="str">
        <f>IF(OR($B20="",$B20=0),"",($G20*(AW$4&lt;$I20)+$H20*(AW$4&gt;=$I20))*$C20*(1+'Property Summary'!$L$18)^('MF Rents'!AW$3-1))</f>
        <v/>
      </c>
      <c r="AX20" s="149" t="str">
        <f>IF(OR($B20="",$B20=0),"",($G20*(AX$4&lt;$I20)+$H20*(AX$4&gt;=$I20))*$C20*(1+'Property Summary'!$L$18)^('MF Rents'!AX$3-1))</f>
        <v/>
      </c>
      <c r="AY20" s="149" t="str">
        <f>IF(OR($B20="",$B20=0),"",($G20*(AY$4&lt;$I20)+$H20*(AY$4&gt;=$I20))*$C20*(1+'Property Summary'!$L$18)^('MF Rents'!AY$3-1))</f>
        <v/>
      </c>
      <c r="AZ20" s="149" t="str">
        <f>IF(OR($B20="",$B20=0),"",($G20*(AZ$4&lt;$I20)+$H20*(AZ$4&gt;=$I20))*$C20*(1+'Property Summary'!$L$18)^('MF Rents'!AZ$3-1))</f>
        <v/>
      </c>
      <c r="BA20" s="149" t="str">
        <f>IF(OR($B20="",$B20=0),"",($G20*(BA$4&lt;$I20)+$H20*(BA$4&gt;=$I20))*$C20*(1+'Property Summary'!$L$18)^('MF Rents'!BA$3-1))</f>
        <v/>
      </c>
      <c r="BB20" s="149" t="str">
        <f>IF(OR($B20="",$B20=0),"",($G20*(BB$4&lt;$I20)+$H20*(BB$4&gt;=$I20))*$C20*(1+'Property Summary'!$L$18)^('MF Rents'!BB$3-1))</f>
        <v/>
      </c>
      <c r="BC20" s="149" t="str">
        <f>IF(OR($B20="",$B20=0),"",($G20*(BC$4&lt;$I20)+$H20*(BC$4&gt;=$I20))*$C20*(1+'Property Summary'!$L$18)^('MF Rents'!BC$3-1))</f>
        <v/>
      </c>
      <c r="BD20" s="149" t="str">
        <f>IF(OR($B20="",$B20=0),"",($G20*(BD$4&lt;$I20)+$H20*(BD$4&gt;=$I20))*$C20*(1+'Property Summary'!$L$18)^('MF Rents'!BD$3-1))</f>
        <v/>
      </c>
      <c r="BE20" s="149" t="str">
        <f>IF(OR($B20="",$B20=0),"",($G20*(BE$4&lt;$I20)+$H20*(BE$4&gt;=$I20))*$C20*(1+'Property Summary'!$L$18)^('MF Rents'!BE$3-1))</f>
        <v/>
      </c>
      <c r="BF20" s="149" t="str">
        <f>IF(OR($B20="",$B20=0),"",($G20*(BF$4&lt;$I20)+$H20*(BF$4&gt;=$I20))*$C20*(1+'Property Summary'!$L$18)^('MF Rents'!BF$3-1))</f>
        <v/>
      </c>
      <c r="BG20" s="149" t="str">
        <f>IF(OR($B20="",$B20=0),"",($G20*(BG$4&lt;$I20)+$H20*(BG$4&gt;=$I20))*$C20*(1+'Property Summary'!$L$18)^('MF Rents'!BG$3-1))</f>
        <v/>
      </c>
      <c r="BH20" s="149" t="str">
        <f>IF(OR($B20="",$B20=0),"",($G20*(BH$4&lt;$I20)+$H20*(BH$4&gt;=$I20))*$C20*(1+'Property Summary'!$L$18)^('MF Rents'!BH$3-1))</f>
        <v/>
      </c>
      <c r="BI20" s="149" t="str">
        <f>IF(OR($B20="",$B20=0),"",($G20*(BI$4&lt;$I20)+$H20*(BI$4&gt;=$I20))*$C20*(1+'Property Summary'!$L$18)^('MF Rents'!BI$3-1))</f>
        <v/>
      </c>
      <c r="BJ20" s="149" t="str">
        <f>IF(OR($B20="",$B20=0),"",($G20*(BJ$4&lt;$I20)+$H20*(BJ$4&gt;=$I20))*$C20*(1+'Property Summary'!$L$18)^('MF Rents'!BJ$3-1))</f>
        <v/>
      </c>
      <c r="BK20" s="149" t="str">
        <f>IF(OR($B20="",$B20=0),"",($G20*(BK$4&lt;$I20)+$H20*(BK$4&gt;=$I20))*$C20*(1+'Property Summary'!$L$18)^('MF Rents'!BK$3-1))</f>
        <v/>
      </c>
      <c r="BL20" s="149" t="str">
        <f>IF(OR($B20="",$B20=0),"",($G20*(BL$4&lt;$I20)+$H20*(BL$4&gt;=$I20))*$C20*(1+'Property Summary'!$L$18)^('MF Rents'!BL$3-1))</f>
        <v/>
      </c>
      <c r="BM20" s="149" t="str">
        <f>IF(OR($B20="",$B20=0),"",($G20*(BM$4&lt;$I20)+$H20*(BM$4&gt;=$I20))*$C20*(1+'Property Summary'!$L$18)^('MF Rents'!BM$3-1))</f>
        <v/>
      </c>
      <c r="BN20" s="149" t="str">
        <f>IF(OR($B20="",$B20=0),"",($G20*(BN$4&lt;$I20)+$H20*(BN$4&gt;=$I20))*$C20*(1+'Property Summary'!$L$18)^('MF Rents'!BN$3-1))</f>
        <v/>
      </c>
      <c r="BO20" s="149" t="str">
        <f>IF(OR($B20="",$B20=0),"",($G20*(BO$4&lt;$I20)+$H20*(BO$4&gt;=$I20))*$C20*(1+'Property Summary'!$L$18)^('MF Rents'!BO$3-1))</f>
        <v/>
      </c>
      <c r="BP20" s="149" t="str">
        <f>IF(OR($B20="",$B20=0),"",($G20*(BP$4&lt;$I20)+$H20*(BP$4&gt;=$I20))*$C20*(1+'Property Summary'!$L$18)^('MF Rents'!BP$3-1))</f>
        <v/>
      </c>
      <c r="BQ20" s="149" t="str">
        <f>IF(OR($B20="",$B20=0),"",($G20*(BQ$4&lt;$I20)+$H20*(BQ$4&gt;=$I20))*$C20*(1+'Property Summary'!$L$18)^('MF Rents'!BQ$3-1))</f>
        <v/>
      </c>
      <c r="BR20" s="149" t="str">
        <f>IF(OR($B20="",$B20=0),"",($G20*(BR$4&lt;$I20)+$H20*(BR$4&gt;=$I20))*$C20*(1+'Property Summary'!$L$18)^('MF Rents'!BR$3-1))</f>
        <v/>
      </c>
      <c r="BS20" s="149" t="str">
        <f>IF(OR($B20="",$B20=0),"",($G20*(BS$4&lt;$I20)+$H20*(BS$4&gt;=$I20))*$C20*(1+'Property Summary'!$L$18)^('MF Rents'!BS$3-1))</f>
        <v/>
      </c>
      <c r="BT20" s="149" t="str">
        <f>IF(OR($B20="",$B20=0),"",($G20*(BT$4&lt;$I20)+$H20*(BT$4&gt;=$I20))*$C20*(1+'Property Summary'!$L$18)^('MF Rents'!BT$3-1))</f>
        <v/>
      </c>
      <c r="BU20" s="149" t="str">
        <f>IF(OR($B20="",$B20=0),"",($G20*(BU$4&lt;$I20)+$H20*(BU$4&gt;=$I20))*$C20*(1+'Property Summary'!$L$18)^('MF Rents'!BU$3-1))</f>
        <v/>
      </c>
      <c r="BV20" s="149" t="str">
        <f>IF(OR($B20="",$B20=0),"",($G20*(BV$4&lt;$I20)+$H20*(BV$4&gt;=$I20))*$C20*(1+'Property Summary'!$L$18)^('MF Rents'!BV$3-1))</f>
        <v/>
      </c>
      <c r="BW20" s="149" t="str">
        <f>IF(OR($B20="",$B20=0),"",($G20*(BW$4&lt;$I20)+$H20*(BW$4&gt;=$I20))*$C20*(1+'Property Summary'!$L$18)^('MF Rents'!BW$3-1))</f>
        <v/>
      </c>
      <c r="BX20" s="149" t="str">
        <f>IF(OR($B20="",$B20=0),"",($G20*(BX$4&lt;$I20)+$H20*(BX$4&gt;=$I20))*$C20*(1+'Property Summary'!$L$18)^('MF Rents'!BX$3-1))</f>
        <v/>
      </c>
      <c r="BY20" s="149" t="str">
        <f>IF(OR($B20="",$B20=0),"",($G20*(BY$4&lt;$I20)+$H20*(BY$4&gt;=$I20))*$C20*(1+'Property Summary'!$L$18)^('MF Rents'!BY$3-1))</f>
        <v/>
      </c>
      <c r="BZ20" s="149" t="str">
        <f>IF(OR($B20="",$B20=0),"",($G20*(BZ$4&lt;$I20)+$H20*(BZ$4&gt;=$I20))*$C20*(1+'Property Summary'!$L$18)^('MF Rents'!BZ$3-1))</f>
        <v/>
      </c>
      <c r="CA20" s="149" t="str">
        <f>IF(OR($B20="",$B20=0),"",($G20*(CA$4&lt;$I20)+$H20*(CA$4&gt;=$I20))*$C20*(1+'Property Summary'!$L$18)^('MF Rents'!CA$3-1))</f>
        <v/>
      </c>
      <c r="CB20" s="149" t="str">
        <f>IF(OR($B20="",$B20=0),"",($G20*(CB$4&lt;$I20)+$H20*(CB$4&gt;=$I20))*$C20*(1+'Property Summary'!$L$18)^('MF Rents'!CB$3-1))</f>
        <v/>
      </c>
      <c r="CC20" s="149" t="str">
        <f>IF(OR($B20="",$B20=0),"",($G20*(CC$4&lt;$I20)+$H20*(CC$4&gt;=$I20))*$C20*(1+'Property Summary'!$L$18)^('MF Rents'!CC$3-1))</f>
        <v/>
      </c>
      <c r="CD20" s="149" t="str">
        <f>IF(OR($B20="",$B20=0),"",($G20*(CD$4&lt;$I20)+$H20*(CD$4&gt;=$I20))*$C20*(1+'Property Summary'!$L$18)^('MF Rents'!CD$3-1))</f>
        <v/>
      </c>
      <c r="CE20" s="149" t="str">
        <f>IF(OR($B20="",$B20=0),"",($G20*(CE$4&lt;$I20)+$H20*(CE$4&gt;=$I20))*$C20*(1+'Property Summary'!$L$18)^('MF Rents'!CE$3-1))</f>
        <v/>
      </c>
      <c r="CF20" s="149" t="str">
        <f>IF(OR($B20="",$B20=0),"",($G20*(CF$4&lt;$I20)+$H20*(CF$4&gt;=$I20))*$C20*(1+'Property Summary'!$L$18)^('MF Rents'!CF$3-1))</f>
        <v/>
      </c>
      <c r="CG20" s="149" t="str">
        <f>IF(OR($B20="",$B20=0),"",($G20*(CG$4&lt;$I20)+$H20*(CG$4&gt;=$I20))*$C20*(1+'Property Summary'!$L$18)^('MF Rents'!CG$3-1))</f>
        <v/>
      </c>
      <c r="CH20" s="149" t="str">
        <f>IF(OR($B20="",$B20=0),"",($G20*(CH$4&lt;$I20)+$H20*(CH$4&gt;=$I20))*$C20*(1+'Property Summary'!$L$18)^('MF Rents'!CH$3-1))</f>
        <v/>
      </c>
      <c r="CI20" s="149" t="str">
        <f>IF(OR($B20="",$B20=0),"",($G20*(CI$4&lt;$I20)+$H20*(CI$4&gt;=$I20))*$C20*(1+'Property Summary'!$L$18)^('MF Rents'!CI$3-1))</f>
        <v/>
      </c>
      <c r="CJ20" s="149" t="str">
        <f>IF(OR($B20="",$B20=0),"",($G20*(CJ$4&lt;$I20)+$H20*(CJ$4&gt;=$I20))*$C20*(1+'Property Summary'!$L$18)^('MF Rents'!CJ$3-1))</f>
        <v/>
      </c>
      <c r="CK20" s="149" t="str">
        <f>IF(OR($B20="",$B20=0),"",($G20*(CK$4&lt;$I20)+$H20*(CK$4&gt;=$I20))*$C20*(1+'Property Summary'!$L$18)^('MF Rents'!CK$3-1))</f>
        <v/>
      </c>
      <c r="CL20" s="149" t="str">
        <f>IF(OR($B20="",$B20=0),"",($G20*(CL$4&lt;$I20)+$H20*(CL$4&gt;=$I20))*$C20*(1+'Property Summary'!$L$18)^('MF Rents'!CL$3-1))</f>
        <v/>
      </c>
      <c r="CM20" s="149" t="str">
        <f>IF(OR($B20="",$B20=0),"",($G20*(CM$4&lt;$I20)+$H20*(CM$4&gt;=$I20))*$C20*(1+'Property Summary'!$L$18)^('MF Rents'!CM$3-1))</f>
        <v/>
      </c>
      <c r="CN20" s="149" t="str">
        <f>IF(OR($B20="",$B20=0),"",($G20*(CN$4&lt;$I20)+$H20*(CN$4&gt;=$I20))*$C20*(1+'Property Summary'!$L$18)^('MF Rents'!CN$3-1))</f>
        <v/>
      </c>
      <c r="CO20" s="149" t="str">
        <f>IF(OR($B20="",$B20=0),"",($G20*(CO$4&lt;$I20)+$H20*(CO$4&gt;=$I20))*$C20*(1+'Property Summary'!$L$18)^('MF Rents'!CO$3-1))</f>
        <v/>
      </c>
      <c r="CP20" s="149" t="str">
        <f>IF(OR($B20="",$B20=0),"",($G20*(CP$4&lt;$I20)+$H20*(CP$4&gt;=$I20))*$C20*(1+'Property Summary'!$L$18)^('MF Rents'!CP$3-1))</f>
        <v/>
      </c>
      <c r="CQ20" s="149" t="str">
        <f>IF(OR($B20="",$B20=0),"",($G20*(CQ$4&lt;$I20)+$H20*(CQ$4&gt;=$I20))*$C20*(1+'Property Summary'!$L$18)^('MF Rents'!CQ$3-1))</f>
        <v/>
      </c>
      <c r="CR20" s="149" t="str">
        <f>IF(OR($B20="",$B20=0),"",($G20*(CR$4&lt;$I20)+$H20*(CR$4&gt;=$I20))*$C20*(1+'Property Summary'!$L$18)^('MF Rents'!CR$3-1))</f>
        <v/>
      </c>
      <c r="CS20" s="149" t="str">
        <f>IF(OR($B20="",$B20=0),"",($G20*(CS$4&lt;$I20)+$H20*(CS$4&gt;=$I20))*$C20*(1+'Property Summary'!$L$18)^('MF Rents'!CS$3-1))</f>
        <v/>
      </c>
      <c r="CT20" s="149" t="str">
        <f>IF(OR($B20="",$B20=0),"",($G20*(CT$4&lt;$I20)+$H20*(CT$4&gt;=$I20))*$C20*(1+'Property Summary'!$L$18)^('MF Rents'!CT$3-1))</f>
        <v/>
      </c>
      <c r="CU20" s="149" t="str">
        <f>IF(OR($B20="",$B20=0),"",($G20*(CU$4&lt;$I20)+$H20*(CU$4&gt;=$I20))*$C20*(1+'Property Summary'!$L$18)^('MF Rents'!CU$3-1))</f>
        <v/>
      </c>
      <c r="CV20" s="149" t="str">
        <f>IF(OR($B20="",$B20=0),"",($G20*(CV$4&lt;$I20)+$H20*(CV$4&gt;=$I20))*$C20*(1+'Property Summary'!$L$18)^('MF Rents'!CV$3-1))</f>
        <v/>
      </c>
      <c r="CW20" s="149" t="str">
        <f>IF(OR($B20="",$B20=0),"",($G20*(CW$4&lt;$I20)+$H20*(CW$4&gt;=$I20))*$C20*(1+'Property Summary'!$L$18)^('MF Rents'!CW$3-1))</f>
        <v/>
      </c>
      <c r="CX20" s="149" t="str">
        <f>IF(OR($B20="",$B20=0),"",($G20*(CX$4&lt;$I20)+$H20*(CX$4&gt;=$I20))*$C20*(1+'Property Summary'!$L$18)^('MF Rents'!CX$3-1))</f>
        <v/>
      </c>
      <c r="CY20" s="149" t="str">
        <f>IF(OR($B20="",$B20=0),"",($G20*(CY$4&lt;$I20)+$H20*(CY$4&gt;=$I20))*$C20*(1+'Property Summary'!$L$18)^('MF Rents'!CY$3-1))</f>
        <v/>
      </c>
      <c r="CZ20" s="149" t="str">
        <f>IF(OR($B20="",$B20=0),"",($G20*(CZ$4&lt;$I20)+$H20*(CZ$4&gt;=$I20))*$C20*(1+'Property Summary'!$L$18)^('MF Rents'!CZ$3-1))</f>
        <v/>
      </c>
      <c r="DA20" s="149" t="str">
        <f>IF(OR($B20="",$B20=0),"",($G20*(DA$4&lt;$I20)+$H20*(DA$4&gt;=$I20))*$C20*(1+'Property Summary'!$L$18)^('MF Rents'!DA$3-1))</f>
        <v/>
      </c>
      <c r="DB20" s="149" t="str">
        <f>IF(OR($B20="",$B20=0),"",($G20*(DB$4&lt;$I20)+$H20*(DB$4&gt;=$I20))*$C20*(1+'Property Summary'!$L$18)^('MF Rents'!DB$3-1))</f>
        <v/>
      </c>
      <c r="DC20" s="149" t="str">
        <f>IF(OR($B20="",$B20=0),"",($G20*(DC$4&lt;$I20)+$H20*(DC$4&gt;=$I20))*$C20*(1+'Property Summary'!$L$18)^('MF Rents'!DC$3-1))</f>
        <v/>
      </c>
      <c r="DD20" s="149" t="str">
        <f>IF(OR($B20="",$B20=0),"",($G20*(DD$4&lt;$I20)+$H20*(DD$4&gt;=$I20))*$C20*(1+'Property Summary'!$L$18)^('MF Rents'!DD$3-1))</f>
        <v/>
      </c>
      <c r="DE20" s="149" t="str">
        <f>IF(OR($B20="",$B20=0),"",($G20*(DE$4&lt;$I20)+$H20*(DE$4&gt;=$I20))*$C20*(1+'Property Summary'!$L$18)^('MF Rents'!DE$3-1))</f>
        <v/>
      </c>
      <c r="DF20" s="149" t="str">
        <f>IF(OR($B20="",$B20=0),"",($G20*(DF$4&lt;$I20)+$H20*(DF$4&gt;=$I20))*$C20*(1+'Property Summary'!$L$18)^('MF Rents'!DF$3-1))</f>
        <v/>
      </c>
      <c r="DG20" s="149" t="str">
        <f>IF(OR($B20="",$B20=0),"",($G20*(DG$4&lt;$I20)+$H20*(DG$4&gt;=$I20))*$C20*(1+'Property Summary'!$L$18)^('MF Rents'!DG$3-1))</f>
        <v/>
      </c>
      <c r="DH20" s="149" t="str">
        <f>IF(OR($B20="",$B20=0),"",($G20*(DH$4&lt;$I20)+$H20*(DH$4&gt;=$I20))*$C20*(1+'Property Summary'!$L$18)^('MF Rents'!DH$3-1))</f>
        <v/>
      </c>
      <c r="DI20" s="149" t="str">
        <f>IF(OR($B20="",$B20=0),"",($G20*(DI$4&lt;$I20)+$H20*(DI$4&gt;=$I20))*$C20*(1+'Property Summary'!$L$18)^('MF Rents'!DI$3-1))</f>
        <v/>
      </c>
      <c r="DJ20" s="149" t="str">
        <f>IF(OR($B20="",$B20=0),"",($G20*(DJ$4&lt;$I20)+$H20*(DJ$4&gt;=$I20))*$C20*(1+'Property Summary'!$L$18)^('MF Rents'!DJ$3-1))</f>
        <v/>
      </c>
      <c r="DK20" s="149" t="str">
        <f>IF(OR($B20="",$B20=0),"",($G20*(DK$4&lt;$I20)+$H20*(DK$4&gt;=$I20))*$C20*(1+'Property Summary'!$L$18)^('MF Rents'!DK$3-1))</f>
        <v/>
      </c>
      <c r="DL20" s="149" t="str">
        <f>IF(OR($B20="",$B20=0),"",($G20*(DL$4&lt;$I20)+$H20*(DL$4&gt;=$I20))*$C20*(1+'Property Summary'!$L$18)^('MF Rents'!DL$3-1))</f>
        <v/>
      </c>
      <c r="DM20" s="149" t="str">
        <f>IF(OR($B20="",$B20=0),"",($G20*(DM$4&lt;$I20)+$H20*(DM$4&gt;=$I20))*$C20*(1+'Property Summary'!$L$18)^('MF Rents'!DM$3-1))</f>
        <v/>
      </c>
      <c r="DN20" s="149" t="str">
        <f>IF(OR($B20="",$B20=0),"",($G20*(DN$4&lt;$I20)+$H20*(DN$4&gt;=$I20))*$C20*(1+'Property Summary'!$L$18)^('MF Rents'!DN$3-1))</f>
        <v/>
      </c>
      <c r="DO20" s="149" t="str">
        <f>IF(OR($B20="",$B20=0),"",($G20*(DO$4&lt;$I20)+$H20*(DO$4&gt;=$I20))*$C20*(1+'Property Summary'!$L$18)^('MF Rents'!DO$3-1))</f>
        <v/>
      </c>
      <c r="DP20" s="149" t="str">
        <f>IF(OR($B20="",$B20=0),"",($G20*(DP$4&lt;$I20)+$H20*(DP$4&gt;=$I20))*$C20*(1+'Property Summary'!$L$18)^('MF Rents'!DP$3-1))</f>
        <v/>
      </c>
      <c r="DQ20" s="149" t="str">
        <f>IF(OR($B20="",$B20=0),"",($G20*(DQ$4&lt;$I20)+$H20*(DQ$4&gt;=$I20))*$C20*(1+'Property Summary'!$L$18)^('MF Rents'!DQ$3-1))</f>
        <v/>
      </c>
      <c r="DR20" s="149" t="str">
        <f>IF(OR($B20="",$B20=0),"",($G20*(DR$4&lt;$I20)+$H20*(DR$4&gt;=$I20))*$C20*(1+'Property Summary'!$L$18)^('MF Rents'!DR$3-1))</f>
        <v/>
      </c>
      <c r="DS20" s="149" t="str">
        <f>IF(OR($B20="",$B20=0),"",($G20*(DS$4&lt;$I20)+$H20*(DS$4&gt;=$I20))*$C20*(1+'Property Summary'!$L$18)^('MF Rents'!DS$3-1))</f>
        <v/>
      </c>
      <c r="DT20" s="149" t="str">
        <f>IF(OR($B20="",$B20=0),"",($G20*(DT$4&lt;$I20)+$H20*(DT$4&gt;=$I20))*$C20*(1+'Property Summary'!$L$18)^('MF Rents'!DT$3-1))</f>
        <v/>
      </c>
      <c r="DU20" s="149" t="str">
        <f>IF(OR($B20="",$B20=0),"",($G20*(DU$4&lt;$I20)+$H20*(DU$4&gt;=$I20))*$C20*(1+'Property Summary'!$L$18)^('MF Rents'!DU$3-1))</f>
        <v/>
      </c>
      <c r="DV20" s="149" t="str">
        <f>IF(OR($B20="",$B20=0),"",($G20*(DV$4&lt;$I20)+$H20*(DV$4&gt;=$I20))*$C20*(1+'Property Summary'!$L$18)^('MF Rents'!DV$3-1))</f>
        <v/>
      </c>
      <c r="DW20" s="149" t="str">
        <f>IF(OR($B20="",$B20=0),"",($G20*(DW$4&lt;$I20)+$H20*(DW$4&gt;=$I20))*$C20*(1+'Property Summary'!$L$18)^('MF Rents'!DW$3-1))</f>
        <v/>
      </c>
      <c r="DX20" s="149" t="str">
        <f>IF(OR($B20="",$B20=0),"",($G20*(DX$4&lt;$I20)+$H20*(DX$4&gt;=$I20))*$C20*(1+'Property Summary'!$L$18)^('MF Rents'!DX$3-1))</f>
        <v/>
      </c>
      <c r="DY20" s="149" t="str">
        <f>IF(OR($B20="",$B20=0),"",($G20*(DY$4&lt;$I20)+$H20*(DY$4&gt;=$I20))*$C20*(1+'Property Summary'!$L$18)^('MF Rents'!DY$3-1))</f>
        <v/>
      </c>
      <c r="DZ20" s="149" t="str">
        <f>IF(OR($B20="",$B20=0),"",($G20*(DZ$4&lt;$I20)+$H20*(DZ$4&gt;=$I20))*$C20*(1+'Property Summary'!$L$18)^('MF Rents'!DZ$3-1))</f>
        <v/>
      </c>
      <c r="EA20" s="149" t="str">
        <f>IF(OR($B20="",$B20=0),"",($G20*(EA$4&lt;$I20)+$H20*(EA$4&gt;=$I20))*$C20*(1+'Property Summary'!$L$18)^('MF Rents'!EA$3-1))</f>
        <v/>
      </c>
      <c r="EB20" s="149" t="str">
        <f>IF(OR($B20="",$B20=0),"",($G20*(EB$4&lt;$I20)+$H20*(EB$4&gt;=$I20))*$C20*(1+'Property Summary'!$L$18)^('MF Rents'!EB$3-1))</f>
        <v/>
      </c>
      <c r="EC20" s="149" t="str">
        <f>IF(OR($B20="",$B20=0),"",($G20*(EC$4&lt;$I20)+$H20*(EC$4&gt;=$I20))*$C20*(1+'Property Summary'!$L$18)^('MF Rents'!EC$3-1))</f>
        <v/>
      </c>
      <c r="ED20" s="149" t="str">
        <f>IF(OR($B20="",$B20=0),"",($G20*(ED$4&lt;$I20)+$H20*(ED$4&gt;=$I20))*$C20*(1+'Property Summary'!$L$18)^('MF Rents'!ED$3-1))</f>
        <v/>
      </c>
      <c r="EE20" s="149" t="str">
        <f>IF(OR($B20="",$B20=0),"",($G20*(EE$4&lt;$I20)+$H20*(EE$4&gt;=$I20))*$C20*(1+'Property Summary'!$L$18)^('MF Rents'!EE$3-1))</f>
        <v/>
      </c>
      <c r="EF20" s="149" t="str">
        <f>IF(OR($B20="",$B20=0),"",($G20*(EF$4&lt;$I20)+$H20*(EF$4&gt;=$I20))*$C20*(1+'Property Summary'!$L$18)^('MF Rents'!EF$3-1))</f>
        <v/>
      </c>
      <c r="EG20" s="149" t="str">
        <f>IF(OR($B20="",$B20=0),"",($G20*(EG$4&lt;$I20)+$H20*(EG$4&gt;=$I20))*$C20*(1+'Property Summary'!$L$18)^('MF Rents'!EG$3-1))</f>
        <v/>
      </c>
      <c r="EH20" s="149" t="str">
        <f>IF(OR($B20="",$B20=0),"",($G20*(EH$4&lt;$I20)+$H20*(EH$4&gt;=$I20))*$C20*(1+'Property Summary'!$L$18)^('MF Rents'!EH$3-1))</f>
        <v/>
      </c>
      <c r="EI20" s="149" t="str">
        <f>IF(OR($B20="",$B20=0),"",($G20*(EI$4&lt;$I20)+$H20*(EI$4&gt;=$I20))*$C20*(1+'Property Summary'!$L$18)^('MF Rents'!EI$3-1))</f>
        <v/>
      </c>
      <c r="EJ20" s="149" t="str">
        <f>IF(OR($B20="",$B20=0),"",($G20*(EJ$4&lt;$I20)+$H20*(EJ$4&gt;=$I20))*$C20*(1+'Property Summary'!$L$18)^('MF Rents'!EJ$3-1))</f>
        <v/>
      </c>
      <c r="EK20" s="149" t="str">
        <f>IF(OR($B20="",$B20=0),"",($G20*(EK$4&lt;$I20)+$H20*(EK$4&gt;=$I20))*$C20*(1+'Property Summary'!$L$18)^('MF Rents'!EK$3-1))</f>
        <v/>
      </c>
      <c r="EL20" s="149" t="str">
        <f>IF(OR($B20="",$B20=0),"",($G20*(EL$4&lt;$I20)+$H20*(EL$4&gt;=$I20))*$C20*(1+'Property Summary'!$L$18)^('MF Rents'!EL$3-1))</f>
        <v/>
      </c>
      <c r="EM20" s="149" t="str">
        <f>IF(OR($B20="",$B20=0),"",($G20*(EM$4&lt;$I20)+$H20*(EM$4&gt;=$I20))*$C20*(1+'Property Summary'!$L$18)^('MF Rents'!EM$3-1))</f>
        <v/>
      </c>
      <c r="EN20" s="149" t="str">
        <f>IF(OR($B20="",$B20=0),"",($G20*(EN$4&lt;$I20)+$H20*(EN$4&gt;=$I20))*$C20*(1+'Property Summary'!$L$18)^('MF Rents'!EN$3-1))</f>
        <v/>
      </c>
      <c r="EO20" s="149" t="str">
        <f>IF(OR($B20="",$B20=0),"",($G20*(EO$4&lt;$I20)+$H20*(EO$4&gt;=$I20))*$C20*(1+'Property Summary'!$L$18)^('MF Rents'!EO$3-1))</f>
        <v/>
      </c>
      <c r="EP20" s="149" t="str">
        <f>IF(OR($B20="",$B20=0),"",($G20*(EP$4&lt;$I20)+$H20*(EP$4&gt;=$I20))*$C20*(1+'Property Summary'!$L$18)^('MF Rents'!EP$3-1))</f>
        <v/>
      </c>
      <c r="EQ20" s="149" t="str">
        <f>IF(OR($B20="",$B20=0),"",($G20*(EQ$4&lt;$I20)+$H20*(EQ$4&gt;=$I20))*$C20*(1+'Property Summary'!$L$18)^('MF Rents'!EQ$3-1))</f>
        <v/>
      </c>
      <c r="ER20" s="149" t="str">
        <f>IF(OR($B20="",$B20=0),"",($G20*(ER$4&lt;$I20)+$H20*(ER$4&gt;=$I20))*$C20*(1+'Property Summary'!$L$18)^('MF Rents'!ER$3-1))</f>
        <v/>
      </c>
      <c r="ES20" s="149" t="str">
        <f>IF(OR($B20="",$B20=0),"",($G20*(ES$4&lt;$I20)+$H20*(ES$4&gt;=$I20))*$C20*(1+'Property Summary'!$L$18)^('MF Rents'!ES$3-1))</f>
        <v/>
      </c>
      <c r="ET20" s="149" t="str">
        <f>IF(OR($B20="",$B20=0),"",($G20*(ET$4&lt;$I20)+$H20*(ET$4&gt;=$I20))*$C20*(1+'Property Summary'!$L$18)^('MF Rents'!ET$3-1))</f>
        <v/>
      </c>
      <c r="EU20" s="149" t="str">
        <f>IF(OR($B20="",$B20=0),"",($G20*(EU$4&lt;$I20)+$H20*(EU$4&gt;=$I20))*$C20*(1+'Property Summary'!$L$18)^('MF Rents'!EU$3-1))</f>
        <v/>
      </c>
      <c r="EV20" s="149" t="str">
        <f>IF(OR($B20="",$B20=0),"",($G20*(EV$4&lt;$I20)+$H20*(EV$4&gt;=$I20))*$C20*(1+'Property Summary'!$L$18)^('MF Rents'!EV$3-1))</f>
        <v/>
      </c>
      <c r="EW20" s="149" t="str">
        <f>IF(OR($B20="",$B20=0),"",($G20*(EW$4&lt;$I20)+$H20*(EW$4&gt;=$I20))*$C20*(1+'Property Summary'!$L$18)^('MF Rents'!EW$3-1))</f>
        <v/>
      </c>
      <c r="EX20" s="149" t="str">
        <f>IF(OR($B20="",$B20=0),"",($G20*(EX$4&lt;$I20)+$H20*(EX$4&gt;=$I20))*$C20*(1+'Property Summary'!$L$18)^('MF Rents'!EX$3-1))</f>
        <v/>
      </c>
      <c r="EY20" s="149" t="str">
        <f>IF(OR($B20="",$B20=0),"",($G20*(EY$4&lt;$I20)+$H20*(EY$4&gt;=$I20))*$C20*(1+'Property Summary'!$L$18)^('MF Rents'!EY$3-1))</f>
        <v/>
      </c>
      <c r="EZ20" s="149" t="str">
        <f>IF(OR($B20="",$B20=0),"",($G20*(EZ$4&lt;$I20)+$H20*(EZ$4&gt;=$I20))*$C20*(1+'Property Summary'!$L$18)^('MF Rents'!EZ$3-1))</f>
        <v/>
      </c>
      <c r="FA20" s="149" t="str">
        <f>IF(OR($B20="",$B20=0),"",($G20*(FA$4&lt;$I20)+$H20*(FA$4&gt;=$I20))*$C20*(1+'Property Summary'!$L$18)^('MF Rents'!FA$3-1))</f>
        <v/>
      </c>
      <c r="FB20" s="149" t="str">
        <f>IF(OR($B20="",$B20=0),"",($G20*(FB$4&lt;$I20)+$H20*(FB$4&gt;=$I20))*$C20*(1+'Property Summary'!$L$18)^('MF Rents'!FB$3-1))</f>
        <v/>
      </c>
      <c r="FC20" s="149" t="str">
        <f>IF(OR($B20="",$B20=0),"",($G20*(FC$4&lt;$I20)+$H20*(FC$4&gt;=$I20))*$C20*(1+'Property Summary'!$L$18)^('MF Rents'!FC$3-1))</f>
        <v/>
      </c>
      <c r="FD20" s="149" t="str">
        <f>IF(OR($B20="",$B20=0),"",($G20*(FD$4&lt;$I20)+$H20*(FD$4&gt;=$I20))*$C20*(1+'Property Summary'!$L$18)^('MF Rents'!FD$3-1))</f>
        <v/>
      </c>
      <c r="FE20" s="149" t="str">
        <f>IF(OR($B20="",$B20=0),"",($G20*(FE$4&lt;$I20)+$H20*(FE$4&gt;=$I20))*$C20*(1+'Property Summary'!$L$18)^('MF Rents'!FE$3-1))</f>
        <v/>
      </c>
      <c r="FF20" s="149" t="str">
        <f>IF(OR($B20="",$B20=0),"",($G20*(FF$4&lt;$I20)+$H20*(FF$4&gt;=$I20))*$C20*(1+'Property Summary'!$L$18)^('MF Rents'!FF$3-1))</f>
        <v/>
      </c>
      <c r="FG20" s="149" t="str">
        <f>IF(OR($B20="",$B20=0),"",($G20*(FG$4&lt;$I20)+$H20*(FG$4&gt;=$I20))*$C20*(1+'Property Summary'!$L$18)^('MF Rents'!FG$3-1))</f>
        <v/>
      </c>
      <c r="FH20" s="149" t="str">
        <f>IF(OR($B20="",$B20=0),"",($G20*(FH$4&lt;$I20)+$H20*(FH$4&gt;=$I20))*$C20*(1+'Property Summary'!$L$18)^('MF Rents'!FH$3-1))</f>
        <v/>
      </c>
      <c r="FI20" s="149" t="str">
        <f>IF(OR($B20="",$B20=0),"",($G20*(FI$4&lt;$I20)+$H20*(FI$4&gt;=$I20))*$C20*(1+'Property Summary'!$L$18)^('MF Rents'!FI$3-1))</f>
        <v/>
      </c>
      <c r="FJ20" s="149" t="str">
        <f>IF(OR($B20="",$B20=0),"",($G20*(FJ$4&lt;$I20)+$H20*(FJ$4&gt;=$I20))*$C20*(1+'Property Summary'!$L$18)^('MF Rents'!FJ$3-1))</f>
        <v/>
      </c>
      <c r="FK20" s="149" t="str">
        <f>IF(OR($B20="",$B20=0),"",($G20*(FK$4&lt;$I20)+$H20*(FK$4&gt;=$I20))*$C20*(1+'Property Summary'!$L$18)^('MF Rents'!FK$3-1))</f>
        <v/>
      </c>
      <c r="FL20" s="149" t="str">
        <f>IF(OR($B20="",$B20=0),"",($G20*(FL$4&lt;$I20)+$H20*(FL$4&gt;=$I20))*$C20*(1+'Property Summary'!$L$18)^('MF Rents'!FL$3-1))</f>
        <v/>
      </c>
      <c r="FM20" s="149" t="str">
        <f>IF(OR($B20="",$B20=0),"",($G20*(FM$4&lt;$I20)+$H20*(FM$4&gt;=$I20))*$C20*(1+'Property Summary'!$L$18)^('MF Rents'!FM$3-1))</f>
        <v/>
      </c>
      <c r="FN20" s="149" t="str">
        <f>IF(OR($B20="",$B20=0),"",($G20*(FN$4&lt;$I20)+$H20*(FN$4&gt;=$I20))*$C20*(1+'Property Summary'!$L$18)^('MF Rents'!FN$3-1))</f>
        <v/>
      </c>
      <c r="FO20" s="149" t="str">
        <f>IF(OR($B20="",$B20=0),"",($G20*(FO$4&lt;$I20)+$H20*(FO$4&gt;=$I20))*$C20*(1+'Property Summary'!$L$18)^('MF Rents'!FO$3-1))</f>
        <v/>
      </c>
      <c r="FP20" s="149" t="str">
        <f>IF(OR($B20="",$B20=0),"",($G20*(FP$4&lt;$I20)+$H20*(FP$4&gt;=$I20))*$C20*(1+'Property Summary'!$L$18)^('MF Rents'!FP$3-1))</f>
        <v/>
      </c>
      <c r="FQ20" s="149" t="str">
        <f>IF(OR($B20="",$B20=0),"",($G20*(FQ$4&lt;$I20)+$H20*(FQ$4&gt;=$I20))*$C20*(1+'Property Summary'!$L$18)^('MF Rents'!FQ$3-1))</f>
        <v/>
      </c>
      <c r="FR20" s="149" t="str">
        <f>IF(OR($B20="",$B20=0),"",($G20*(FR$4&lt;$I20)+$H20*(FR$4&gt;=$I20))*$C20*(1+'Property Summary'!$L$18)^('MF Rents'!FR$3-1))</f>
        <v/>
      </c>
      <c r="FS20" s="149" t="str">
        <f>IF(OR($B20="",$B20=0),"",($G20*(FS$4&lt;$I20)+$H20*(FS$4&gt;=$I20))*$C20*(1+'Property Summary'!$L$18)^('MF Rents'!FS$3-1))</f>
        <v/>
      </c>
      <c r="FT20" s="149" t="str">
        <f>IF(OR($B20="",$B20=0),"",($G20*(FT$4&lt;$I20)+$H20*(FT$4&gt;=$I20))*$C20*(1+'Property Summary'!$L$18)^('MF Rents'!FT$3-1))</f>
        <v/>
      </c>
      <c r="FU20" s="149" t="str">
        <f>IF(OR($B20="",$B20=0),"",($G20*(FU$4&lt;$I20)+$H20*(FU$4&gt;=$I20))*$C20*(1+'Property Summary'!$L$18)^('MF Rents'!FU$3-1))</f>
        <v/>
      </c>
      <c r="FV20" s="149" t="str">
        <f>IF(OR($B20="",$B20=0),"",($G20*(FV$4&lt;$I20)+$H20*(FV$4&gt;=$I20))*$C20*(1+'Property Summary'!$L$18)^('MF Rents'!FV$3-1))</f>
        <v/>
      </c>
      <c r="FW20" s="149" t="str">
        <f>IF(OR($B20="",$B20=0),"",($G20*(FW$4&lt;$I20)+$H20*(FW$4&gt;=$I20))*$C20*(1+'Property Summary'!$L$18)^('MF Rents'!FW$3-1))</f>
        <v/>
      </c>
      <c r="FX20" s="149" t="str">
        <f>IF(OR($B20="",$B20=0),"",($G20*(FX$4&lt;$I20)+$H20*(FX$4&gt;=$I20))*$C20*(1+'Property Summary'!$L$18)^('MF Rents'!FX$3-1))</f>
        <v/>
      </c>
      <c r="FY20" s="149" t="str">
        <f>IF(OR($B20="",$B20=0),"",($G20*(FY$4&lt;$I20)+$H20*(FY$4&gt;=$I20))*$C20*(1+'Property Summary'!$L$18)^('MF Rents'!FY$3-1))</f>
        <v/>
      </c>
      <c r="FZ20" s="149" t="str">
        <f>IF(OR($B20="",$B20=0),"",($G20*(FZ$4&lt;$I20)+$H20*(FZ$4&gt;=$I20))*$C20*(1+'Property Summary'!$L$18)^('MF Rents'!FZ$3-1))</f>
        <v/>
      </c>
      <c r="GA20" s="149" t="str">
        <f>IF(OR($B20="",$B20=0),"",($G20*(GA$4&lt;$I20)+$H20*(GA$4&gt;=$I20))*$C20*(1+'Property Summary'!$L$18)^('MF Rents'!GA$3-1))</f>
        <v/>
      </c>
      <c r="GB20" s="149" t="str">
        <f>IF(OR($B20="",$B20=0),"",($G20*(GB$4&lt;$I20)+$H20*(GB$4&gt;=$I20))*$C20*(1+'Property Summary'!$L$18)^('MF Rents'!GB$3-1))</f>
        <v/>
      </c>
      <c r="GC20" s="149" t="str">
        <f>IF(OR($B20="",$B20=0),"",($G20*(GC$4&lt;$I20)+$H20*(GC$4&gt;=$I20))*$C20*(1+'Property Summary'!$L$18)^('MF Rents'!GC$3-1))</f>
        <v/>
      </c>
      <c r="GD20" s="149" t="str">
        <f>IF(OR($B20="",$B20=0),"",($G20*(GD$4&lt;$I20)+$H20*(GD$4&gt;=$I20))*$C20*(1+'Property Summary'!$L$18)^('MF Rents'!GD$3-1))</f>
        <v/>
      </c>
      <c r="GE20" s="149" t="str">
        <f>IF(OR($B20="",$B20=0),"",($G20*(GE$4&lt;$I20)+$H20*(GE$4&gt;=$I20))*$C20*(1+'Property Summary'!$L$18)^('MF Rents'!GE$3-1))</f>
        <v/>
      </c>
      <c r="GF20" s="149" t="str">
        <f>IF(OR($B20="",$B20=0),"",($G20*(GF$4&lt;$I20)+$H20*(GF$4&gt;=$I20))*$C20*(1+'Property Summary'!$L$18)^('MF Rents'!GF$3-1))</f>
        <v/>
      </c>
      <c r="GG20" s="149" t="str">
        <f>IF(OR($B20="",$B20=0),"",($G20*(GG$4&lt;$I20)+$H20*(GG$4&gt;=$I20))*$C20*(1+'Property Summary'!$L$18)^('MF Rents'!GG$3-1))</f>
        <v/>
      </c>
      <c r="GH20" s="149" t="str">
        <f>IF(OR($B20="",$B20=0),"",($G20*(GH$4&lt;$I20)+$H20*(GH$4&gt;=$I20))*$C20*(1+'Property Summary'!$L$18)^('MF Rents'!GH$3-1))</f>
        <v/>
      </c>
      <c r="GI20" s="149" t="str">
        <f>IF(OR($B20="",$B20=0),"",($G20*(GI$4&lt;$I20)+$H20*(GI$4&gt;=$I20))*$C20*(1+'Property Summary'!$L$18)^('MF Rents'!GI$3-1))</f>
        <v/>
      </c>
      <c r="GJ20" s="149" t="str">
        <f>IF(OR($B20="",$B20=0),"",($G20*(GJ$4&lt;$I20)+$H20*(GJ$4&gt;=$I20))*$C20*(1+'Property Summary'!$L$18)^('MF Rents'!GJ$3-1))</f>
        <v/>
      </c>
      <c r="GK20" s="149" t="str">
        <f>IF(OR($B20="",$B20=0),"",($G20*(GK$4&lt;$I20)+$H20*(GK$4&gt;=$I20))*$C20*(1+'Property Summary'!$L$18)^('MF Rents'!GK$3-1))</f>
        <v/>
      </c>
      <c r="GL20" s="149" t="str">
        <f>IF(OR($B20="",$B20=0),"",($G20*(GL$4&lt;$I20)+$H20*(GL$4&gt;=$I20))*$C20*(1+'Property Summary'!$L$18)^('MF Rents'!GL$3-1))</f>
        <v/>
      </c>
      <c r="GM20" s="149" t="str">
        <f>IF(OR($B20="",$B20=0),"",($G20*(GM$4&lt;$I20)+$H20*(GM$4&gt;=$I20))*$C20*(1+'Property Summary'!$L$18)^('MF Rents'!GM$3-1))</f>
        <v/>
      </c>
      <c r="GN20" s="149" t="str">
        <f>IF(OR($B20="",$B20=0),"",($G20*(GN$4&lt;$I20)+$H20*(GN$4&gt;=$I20))*$C20*(1+'Property Summary'!$L$18)^('MF Rents'!GN$3-1))</f>
        <v/>
      </c>
      <c r="GO20" s="149" t="str">
        <f>IF(OR($B20="",$B20=0),"",($G20*(GO$4&lt;$I20)+$H20*(GO$4&gt;=$I20))*$C20*(1+'Property Summary'!$L$18)^('MF Rents'!GO$3-1))</f>
        <v/>
      </c>
      <c r="GP20" s="149" t="str">
        <f>IF(OR($B20="",$B20=0),"",($G20*(GP$4&lt;$I20)+$H20*(GP$4&gt;=$I20))*$C20*(1+'Property Summary'!$L$18)^('MF Rents'!GP$3-1))</f>
        <v/>
      </c>
      <c r="GQ20" s="149" t="str">
        <f>IF(OR($B20="",$B20=0),"",($G20*(GQ$4&lt;$I20)+$H20*(GQ$4&gt;=$I20))*$C20*(1+'Property Summary'!$L$18)^('MF Rents'!GQ$3-1))</f>
        <v/>
      </c>
      <c r="GR20" s="149" t="str">
        <f>IF(OR($B20="",$B20=0),"",($G20*(GR$4&lt;$I20)+$H20*(GR$4&gt;=$I20))*$C20*(1+'Property Summary'!$L$18)^('MF Rents'!GR$3-1))</f>
        <v/>
      </c>
    </row>
    <row r="21" spans="2:200" x14ac:dyDescent="0.3">
      <c r="B21" s="184">
        <f>'MF Rent Roll'!B20</f>
        <v>0</v>
      </c>
      <c r="C21" s="171">
        <f>'MF Rent Roll'!C20</f>
        <v>0</v>
      </c>
      <c r="D21" s="172">
        <f>'MF Rent Roll'!D20</f>
        <v>0</v>
      </c>
      <c r="E21" s="172">
        <f>'MF Rent Roll'!E20</f>
        <v>0</v>
      </c>
      <c r="F21" s="173">
        <f>'MF Rent Roll'!F20</f>
        <v>0</v>
      </c>
      <c r="G21" s="174">
        <f>'MF Rent Roll'!G20</f>
        <v>0</v>
      </c>
      <c r="H21" s="174">
        <f>IF('MF Rent Roll'!H20="",G21,'MF Rent Roll'!H20)</f>
        <v>0</v>
      </c>
      <c r="I21" s="175">
        <f>IF('MF Rent Roll'!I20="",1,'MF Rent Roll'!I20)</f>
        <v>1</v>
      </c>
      <c r="J21" s="176">
        <f>'MF Rent Roll'!J20</f>
        <v>0</v>
      </c>
      <c r="K21" s="174">
        <f>'MF Rent Roll'!K20</f>
        <v>0</v>
      </c>
      <c r="L21" s="177">
        <f>'MF Rent Roll'!L20</f>
        <v>0</v>
      </c>
      <c r="M21" s="178">
        <f>'MF Rent Roll'!M20</f>
        <v>0</v>
      </c>
      <c r="N21" s="174">
        <f>'MF Rent Roll'!N20</f>
        <v>0</v>
      </c>
      <c r="O21" s="179">
        <f>'MF Rent Roll'!O20</f>
        <v>0</v>
      </c>
      <c r="P21" s="180" t="str">
        <f>'MF Rent Roll'!P20</f>
        <v/>
      </c>
      <c r="Q21" s="181" t="str">
        <f>'MF Rent Roll'!Q20</f>
        <v/>
      </c>
      <c r="R21" s="104" t="str">
        <f>'MF Rent Roll'!R20</f>
        <v/>
      </c>
      <c r="U21" s="149" t="str">
        <f>IF(OR($B21="",$B21=0),"",($G21*(U$4&lt;$I21)+$H21*(U$4&gt;=$I21))*$C21*(1+'Property Summary'!$L$18)^('MF Rents'!U$3-1))</f>
        <v/>
      </c>
      <c r="V21" s="149" t="str">
        <f>IF(OR($B21="",$B21=0),"",($G21*(V$4&lt;$I21)+$H21*(V$4&gt;=$I21))*$C21*(1+'Property Summary'!$L$18)^('MF Rents'!V$3-1))</f>
        <v/>
      </c>
      <c r="W21" s="149" t="str">
        <f>IF(OR($B21="",$B21=0),"",($G21*(W$4&lt;$I21)+$H21*(W$4&gt;=$I21))*$C21*(1+'Property Summary'!$L$18)^('MF Rents'!W$3-1))</f>
        <v/>
      </c>
      <c r="X21" s="149" t="str">
        <f>IF(OR($B21="",$B21=0),"",($G21*(X$4&lt;$I21)+$H21*(X$4&gt;=$I21))*$C21*(1+'Property Summary'!$L$18)^('MF Rents'!X$3-1))</f>
        <v/>
      </c>
      <c r="Y21" s="149" t="str">
        <f>IF(OR($B21="",$B21=0),"",($G21*(Y$4&lt;$I21)+$H21*(Y$4&gt;=$I21))*$C21*(1+'Property Summary'!$L$18)^('MF Rents'!Y$3-1))</f>
        <v/>
      </c>
      <c r="Z21" s="149" t="str">
        <f>IF(OR($B21="",$B21=0),"",($G21*(Z$4&lt;$I21)+$H21*(Z$4&gt;=$I21))*$C21*(1+'Property Summary'!$L$18)^('MF Rents'!Z$3-1))</f>
        <v/>
      </c>
      <c r="AA21" s="149" t="str">
        <f>IF(OR($B21="",$B21=0),"",($G21*(AA$4&lt;$I21)+$H21*(AA$4&gt;=$I21))*$C21*(1+'Property Summary'!$L$18)^('MF Rents'!AA$3-1))</f>
        <v/>
      </c>
      <c r="AB21" s="149" t="str">
        <f>IF(OR($B21="",$B21=0),"",($G21*(AB$4&lt;$I21)+$H21*(AB$4&gt;=$I21))*$C21*(1+'Property Summary'!$L$18)^('MF Rents'!AB$3-1))</f>
        <v/>
      </c>
      <c r="AC21" s="149" t="str">
        <f>IF(OR($B21="",$B21=0),"",($G21*(AC$4&lt;$I21)+$H21*(AC$4&gt;=$I21))*$C21*(1+'Property Summary'!$L$18)^('MF Rents'!AC$3-1))</f>
        <v/>
      </c>
      <c r="AD21" s="149" t="str">
        <f>IF(OR($B21="",$B21=0),"",($G21*(AD$4&lt;$I21)+$H21*(AD$4&gt;=$I21))*$C21*(1+'Property Summary'!$L$18)^('MF Rents'!AD$3-1))</f>
        <v/>
      </c>
      <c r="AE21" s="149" t="str">
        <f>IF(OR($B21="",$B21=0),"",($G21*(AE$4&lt;$I21)+$H21*(AE$4&gt;=$I21))*$C21*(1+'Property Summary'!$L$18)^('MF Rents'!AE$3-1))</f>
        <v/>
      </c>
      <c r="AF21" s="149" t="str">
        <f>IF(OR($B21="",$B21=0),"",($G21*(AF$4&lt;$I21)+$H21*(AF$4&gt;=$I21))*$C21*(1+'Property Summary'!$L$18)^('MF Rents'!AF$3-1))</f>
        <v/>
      </c>
      <c r="AG21" s="149" t="str">
        <f>IF(OR($B21="",$B21=0),"",($G21*(AG$4&lt;$I21)+$H21*(AG$4&gt;=$I21))*$C21*(1+'Property Summary'!$L$18)^('MF Rents'!AG$3-1))</f>
        <v/>
      </c>
      <c r="AH21" s="149" t="str">
        <f>IF(OR($B21="",$B21=0),"",($G21*(AH$4&lt;$I21)+$H21*(AH$4&gt;=$I21))*$C21*(1+'Property Summary'!$L$18)^('MF Rents'!AH$3-1))</f>
        <v/>
      </c>
      <c r="AI21" s="149" t="str">
        <f>IF(OR($B21="",$B21=0),"",($G21*(AI$4&lt;$I21)+$H21*(AI$4&gt;=$I21))*$C21*(1+'Property Summary'!$L$18)^('MF Rents'!AI$3-1))</f>
        <v/>
      </c>
      <c r="AJ21" s="149" t="str">
        <f>IF(OR($B21="",$B21=0),"",($G21*(AJ$4&lt;$I21)+$H21*(AJ$4&gt;=$I21))*$C21*(1+'Property Summary'!$L$18)^('MF Rents'!AJ$3-1))</f>
        <v/>
      </c>
      <c r="AK21" s="149" t="str">
        <f>IF(OR($B21="",$B21=0),"",($G21*(AK$4&lt;$I21)+$H21*(AK$4&gt;=$I21))*$C21*(1+'Property Summary'!$L$18)^('MF Rents'!AK$3-1))</f>
        <v/>
      </c>
      <c r="AL21" s="149" t="str">
        <f>IF(OR($B21="",$B21=0),"",($G21*(AL$4&lt;$I21)+$H21*(AL$4&gt;=$I21))*$C21*(1+'Property Summary'!$L$18)^('MF Rents'!AL$3-1))</f>
        <v/>
      </c>
      <c r="AM21" s="149" t="str">
        <f>IF(OR($B21="",$B21=0),"",($G21*(AM$4&lt;$I21)+$H21*(AM$4&gt;=$I21))*$C21*(1+'Property Summary'!$L$18)^('MF Rents'!AM$3-1))</f>
        <v/>
      </c>
      <c r="AN21" s="149" t="str">
        <f>IF(OR($B21="",$B21=0),"",($G21*(AN$4&lt;$I21)+$H21*(AN$4&gt;=$I21))*$C21*(1+'Property Summary'!$L$18)^('MF Rents'!AN$3-1))</f>
        <v/>
      </c>
      <c r="AO21" s="149" t="str">
        <f>IF(OR($B21="",$B21=0),"",($G21*(AO$4&lt;$I21)+$H21*(AO$4&gt;=$I21))*$C21*(1+'Property Summary'!$L$18)^('MF Rents'!AO$3-1))</f>
        <v/>
      </c>
      <c r="AP21" s="149" t="str">
        <f>IF(OR($B21="",$B21=0),"",($G21*(AP$4&lt;$I21)+$H21*(AP$4&gt;=$I21))*$C21*(1+'Property Summary'!$L$18)^('MF Rents'!AP$3-1))</f>
        <v/>
      </c>
      <c r="AQ21" s="149" t="str">
        <f>IF(OR($B21="",$B21=0),"",($G21*(AQ$4&lt;$I21)+$H21*(AQ$4&gt;=$I21))*$C21*(1+'Property Summary'!$L$18)^('MF Rents'!AQ$3-1))</f>
        <v/>
      </c>
      <c r="AR21" s="149" t="str">
        <f>IF(OR($B21="",$B21=0),"",($G21*(AR$4&lt;$I21)+$H21*(AR$4&gt;=$I21))*$C21*(1+'Property Summary'!$L$18)^('MF Rents'!AR$3-1))</f>
        <v/>
      </c>
      <c r="AS21" s="149" t="str">
        <f>IF(OR($B21="",$B21=0),"",($G21*(AS$4&lt;$I21)+$H21*(AS$4&gt;=$I21))*$C21*(1+'Property Summary'!$L$18)^('MF Rents'!AS$3-1))</f>
        <v/>
      </c>
      <c r="AT21" s="149" t="str">
        <f>IF(OR($B21="",$B21=0),"",($G21*(AT$4&lt;$I21)+$H21*(AT$4&gt;=$I21))*$C21*(1+'Property Summary'!$L$18)^('MF Rents'!AT$3-1))</f>
        <v/>
      </c>
      <c r="AU21" s="149" t="str">
        <f>IF(OR($B21="",$B21=0),"",($G21*(AU$4&lt;$I21)+$H21*(AU$4&gt;=$I21))*$C21*(1+'Property Summary'!$L$18)^('MF Rents'!AU$3-1))</f>
        <v/>
      </c>
      <c r="AV21" s="149" t="str">
        <f>IF(OR($B21="",$B21=0),"",($G21*(AV$4&lt;$I21)+$H21*(AV$4&gt;=$I21))*$C21*(1+'Property Summary'!$L$18)^('MF Rents'!AV$3-1))</f>
        <v/>
      </c>
      <c r="AW21" s="149" t="str">
        <f>IF(OR($B21="",$B21=0),"",($G21*(AW$4&lt;$I21)+$H21*(AW$4&gt;=$I21))*$C21*(1+'Property Summary'!$L$18)^('MF Rents'!AW$3-1))</f>
        <v/>
      </c>
      <c r="AX21" s="149" t="str">
        <f>IF(OR($B21="",$B21=0),"",($G21*(AX$4&lt;$I21)+$H21*(AX$4&gt;=$I21))*$C21*(1+'Property Summary'!$L$18)^('MF Rents'!AX$3-1))</f>
        <v/>
      </c>
      <c r="AY21" s="149" t="str">
        <f>IF(OR($B21="",$B21=0),"",($G21*(AY$4&lt;$I21)+$H21*(AY$4&gt;=$I21))*$C21*(1+'Property Summary'!$L$18)^('MF Rents'!AY$3-1))</f>
        <v/>
      </c>
      <c r="AZ21" s="149" t="str">
        <f>IF(OR($B21="",$B21=0),"",($G21*(AZ$4&lt;$I21)+$H21*(AZ$4&gt;=$I21))*$C21*(1+'Property Summary'!$L$18)^('MF Rents'!AZ$3-1))</f>
        <v/>
      </c>
      <c r="BA21" s="149" t="str">
        <f>IF(OR($B21="",$B21=0),"",($G21*(BA$4&lt;$I21)+$H21*(BA$4&gt;=$I21))*$C21*(1+'Property Summary'!$L$18)^('MF Rents'!BA$3-1))</f>
        <v/>
      </c>
      <c r="BB21" s="149" t="str">
        <f>IF(OR($B21="",$B21=0),"",($G21*(BB$4&lt;$I21)+$H21*(BB$4&gt;=$I21))*$C21*(1+'Property Summary'!$L$18)^('MF Rents'!BB$3-1))</f>
        <v/>
      </c>
      <c r="BC21" s="149" t="str">
        <f>IF(OR($B21="",$B21=0),"",($G21*(BC$4&lt;$I21)+$H21*(BC$4&gt;=$I21))*$C21*(1+'Property Summary'!$L$18)^('MF Rents'!BC$3-1))</f>
        <v/>
      </c>
      <c r="BD21" s="149" t="str">
        <f>IF(OR($B21="",$B21=0),"",($G21*(BD$4&lt;$I21)+$H21*(BD$4&gt;=$I21))*$C21*(1+'Property Summary'!$L$18)^('MF Rents'!BD$3-1))</f>
        <v/>
      </c>
      <c r="BE21" s="149" t="str">
        <f>IF(OR($B21="",$B21=0),"",($G21*(BE$4&lt;$I21)+$H21*(BE$4&gt;=$I21))*$C21*(1+'Property Summary'!$L$18)^('MF Rents'!BE$3-1))</f>
        <v/>
      </c>
      <c r="BF21" s="149" t="str">
        <f>IF(OR($B21="",$B21=0),"",($G21*(BF$4&lt;$I21)+$H21*(BF$4&gt;=$I21))*$C21*(1+'Property Summary'!$L$18)^('MF Rents'!BF$3-1))</f>
        <v/>
      </c>
      <c r="BG21" s="149" t="str">
        <f>IF(OR($B21="",$B21=0),"",($G21*(BG$4&lt;$I21)+$H21*(BG$4&gt;=$I21))*$C21*(1+'Property Summary'!$L$18)^('MF Rents'!BG$3-1))</f>
        <v/>
      </c>
      <c r="BH21" s="149" t="str">
        <f>IF(OR($B21="",$B21=0),"",($G21*(BH$4&lt;$I21)+$H21*(BH$4&gt;=$I21))*$C21*(1+'Property Summary'!$L$18)^('MF Rents'!BH$3-1))</f>
        <v/>
      </c>
      <c r="BI21" s="149" t="str">
        <f>IF(OR($B21="",$B21=0),"",($G21*(BI$4&lt;$I21)+$H21*(BI$4&gt;=$I21))*$C21*(1+'Property Summary'!$L$18)^('MF Rents'!BI$3-1))</f>
        <v/>
      </c>
      <c r="BJ21" s="149" t="str">
        <f>IF(OR($B21="",$B21=0),"",($G21*(BJ$4&lt;$I21)+$H21*(BJ$4&gt;=$I21))*$C21*(1+'Property Summary'!$L$18)^('MF Rents'!BJ$3-1))</f>
        <v/>
      </c>
      <c r="BK21" s="149" t="str">
        <f>IF(OR($B21="",$B21=0),"",($G21*(BK$4&lt;$I21)+$H21*(BK$4&gt;=$I21))*$C21*(1+'Property Summary'!$L$18)^('MF Rents'!BK$3-1))</f>
        <v/>
      </c>
      <c r="BL21" s="149" t="str">
        <f>IF(OR($B21="",$B21=0),"",($G21*(BL$4&lt;$I21)+$H21*(BL$4&gt;=$I21))*$C21*(1+'Property Summary'!$L$18)^('MF Rents'!BL$3-1))</f>
        <v/>
      </c>
      <c r="BM21" s="149" t="str">
        <f>IF(OR($B21="",$B21=0),"",($G21*(BM$4&lt;$I21)+$H21*(BM$4&gt;=$I21))*$C21*(1+'Property Summary'!$L$18)^('MF Rents'!BM$3-1))</f>
        <v/>
      </c>
      <c r="BN21" s="149" t="str">
        <f>IF(OR($B21="",$B21=0),"",($G21*(BN$4&lt;$I21)+$H21*(BN$4&gt;=$I21))*$C21*(1+'Property Summary'!$L$18)^('MF Rents'!BN$3-1))</f>
        <v/>
      </c>
      <c r="BO21" s="149" t="str">
        <f>IF(OR($B21="",$B21=0),"",($G21*(BO$4&lt;$I21)+$H21*(BO$4&gt;=$I21))*$C21*(1+'Property Summary'!$L$18)^('MF Rents'!BO$3-1))</f>
        <v/>
      </c>
      <c r="BP21" s="149" t="str">
        <f>IF(OR($B21="",$B21=0),"",($G21*(BP$4&lt;$I21)+$H21*(BP$4&gt;=$I21))*$C21*(1+'Property Summary'!$L$18)^('MF Rents'!BP$3-1))</f>
        <v/>
      </c>
      <c r="BQ21" s="149" t="str">
        <f>IF(OR($B21="",$B21=0),"",($G21*(BQ$4&lt;$I21)+$H21*(BQ$4&gt;=$I21))*$C21*(1+'Property Summary'!$L$18)^('MF Rents'!BQ$3-1))</f>
        <v/>
      </c>
      <c r="BR21" s="149" t="str">
        <f>IF(OR($B21="",$B21=0),"",($G21*(BR$4&lt;$I21)+$H21*(BR$4&gt;=$I21))*$C21*(1+'Property Summary'!$L$18)^('MF Rents'!BR$3-1))</f>
        <v/>
      </c>
      <c r="BS21" s="149" t="str">
        <f>IF(OR($B21="",$B21=0),"",($G21*(BS$4&lt;$I21)+$H21*(BS$4&gt;=$I21))*$C21*(1+'Property Summary'!$L$18)^('MF Rents'!BS$3-1))</f>
        <v/>
      </c>
      <c r="BT21" s="149" t="str">
        <f>IF(OR($B21="",$B21=0),"",($G21*(BT$4&lt;$I21)+$H21*(BT$4&gt;=$I21))*$C21*(1+'Property Summary'!$L$18)^('MF Rents'!BT$3-1))</f>
        <v/>
      </c>
      <c r="BU21" s="149" t="str">
        <f>IF(OR($B21="",$B21=0),"",($G21*(BU$4&lt;$I21)+$H21*(BU$4&gt;=$I21))*$C21*(1+'Property Summary'!$L$18)^('MF Rents'!BU$3-1))</f>
        <v/>
      </c>
      <c r="BV21" s="149" t="str">
        <f>IF(OR($B21="",$B21=0),"",($G21*(BV$4&lt;$I21)+$H21*(BV$4&gt;=$I21))*$C21*(1+'Property Summary'!$L$18)^('MF Rents'!BV$3-1))</f>
        <v/>
      </c>
      <c r="BW21" s="149" t="str">
        <f>IF(OR($B21="",$B21=0),"",($G21*(BW$4&lt;$I21)+$H21*(BW$4&gt;=$I21))*$C21*(1+'Property Summary'!$L$18)^('MF Rents'!BW$3-1))</f>
        <v/>
      </c>
      <c r="BX21" s="149" t="str">
        <f>IF(OR($B21="",$B21=0),"",($G21*(BX$4&lt;$I21)+$H21*(BX$4&gt;=$I21))*$C21*(1+'Property Summary'!$L$18)^('MF Rents'!BX$3-1))</f>
        <v/>
      </c>
      <c r="BY21" s="149" t="str">
        <f>IF(OR($B21="",$B21=0),"",($G21*(BY$4&lt;$I21)+$H21*(BY$4&gt;=$I21))*$C21*(1+'Property Summary'!$L$18)^('MF Rents'!BY$3-1))</f>
        <v/>
      </c>
      <c r="BZ21" s="149" t="str">
        <f>IF(OR($B21="",$B21=0),"",($G21*(BZ$4&lt;$I21)+$H21*(BZ$4&gt;=$I21))*$C21*(1+'Property Summary'!$L$18)^('MF Rents'!BZ$3-1))</f>
        <v/>
      </c>
      <c r="CA21" s="149" t="str">
        <f>IF(OR($B21="",$B21=0),"",($G21*(CA$4&lt;$I21)+$H21*(CA$4&gt;=$I21))*$C21*(1+'Property Summary'!$L$18)^('MF Rents'!CA$3-1))</f>
        <v/>
      </c>
      <c r="CB21" s="149" t="str">
        <f>IF(OR($B21="",$B21=0),"",($G21*(CB$4&lt;$I21)+$H21*(CB$4&gt;=$I21))*$C21*(1+'Property Summary'!$L$18)^('MF Rents'!CB$3-1))</f>
        <v/>
      </c>
      <c r="CC21" s="149" t="str">
        <f>IF(OR($B21="",$B21=0),"",($G21*(CC$4&lt;$I21)+$H21*(CC$4&gt;=$I21))*$C21*(1+'Property Summary'!$L$18)^('MF Rents'!CC$3-1))</f>
        <v/>
      </c>
      <c r="CD21" s="149" t="str">
        <f>IF(OR($B21="",$B21=0),"",($G21*(CD$4&lt;$I21)+$H21*(CD$4&gt;=$I21))*$C21*(1+'Property Summary'!$L$18)^('MF Rents'!CD$3-1))</f>
        <v/>
      </c>
      <c r="CE21" s="149" t="str">
        <f>IF(OR($B21="",$B21=0),"",($G21*(CE$4&lt;$I21)+$H21*(CE$4&gt;=$I21))*$C21*(1+'Property Summary'!$L$18)^('MF Rents'!CE$3-1))</f>
        <v/>
      </c>
      <c r="CF21" s="149" t="str">
        <f>IF(OR($B21="",$B21=0),"",($G21*(CF$4&lt;$I21)+$H21*(CF$4&gt;=$I21))*$C21*(1+'Property Summary'!$L$18)^('MF Rents'!CF$3-1))</f>
        <v/>
      </c>
      <c r="CG21" s="149" t="str">
        <f>IF(OR($B21="",$B21=0),"",($G21*(CG$4&lt;$I21)+$H21*(CG$4&gt;=$I21))*$C21*(1+'Property Summary'!$L$18)^('MF Rents'!CG$3-1))</f>
        <v/>
      </c>
      <c r="CH21" s="149" t="str">
        <f>IF(OR($B21="",$B21=0),"",($G21*(CH$4&lt;$I21)+$H21*(CH$4&gt;=$I21))*$C21*(1+'Property Summary'!$L$18)^('MF Rents'!CH$3-1))</f>
        <v/>
      </c>
      <c r="CI21" s="149" t="str">
        <f>IF(OR($B21="",$B21=0),"",($G21*(CI$4&lt;$I21)+$H21*(CI$4&gt;=$I21))*$C21*(1+'Property Summary'!$L$18)^('MF Rents'!CI$3-1))</f>
        <v/>
      </c>
      <c r="CJ21" s="149" t="str">
        <f>IF(OR($B21="",$B21=0),"",($G21*(CJ$4&lt;$I21)+$H21*(CJ$4&gt;=$I21))*$C21*(1+'Property Summary'!$L$18)^('MF Rents'!CJ$3-1))</f>
        <v/>
      </c>
      <c r="CK21" s="149" t="str">
        <f>IF(OR($B21="",$B21=0),"",($G21*(CK$4&lt;$I21)+$H21*(CK$4&gt;=$I21))*$C21*(1+'Property Summary'!$L$18)^('MF Rents'!CK$3-1))</f>
        <v/>
      </c>
      <c r="CL21" s="149" t="str">
        <f>IF(OR($B21="",$B21=0),"",($G21*(CL$4&lt;$I21)+$H21*(CL$4&gt;=$I21))*$C21*(1+'Property Summary'!$L$18)^('MF Rents'!CL$3-1))</f>
        <v/>
      </c>
      <c r="CM21" s="149" t="str">
        <f>IF(OR($B21="",$B21=0),"",($G21*(CM$4&lt;$I21)+$H21*(CM$4&gt;=$I21))*$C21*(1+'Property Summary'!$L$18)^('MF Rents'!CM$3-1))</f>
        <v/>
      </c>
      <c r="CN21" s="149" t="str">
        <f>IF(OR($B21="",$B21=0),"",($G21*(CN$4&lt;$I21)+$H21*(CN$4&gt;=$I21))*$C21*(1+'Property Summary'!$L$18)^('MF Rents'!CN$3-1))</f>
        <v/>
      </c>
      <c r="CO21" s="149" t="str">
        <f>IF(OR($B21="",$B21=0),"",($G21*(CO$4&lt;$I21)+$H21*(CO$4&gt;=$I21))*$C21*(1+'Property Summary'!$L$18)^('MF Rents'!CO$3-1))</f>
        <v/>
      </c>
      <c r="CP21" s="149" t="str">
        <f>IF(OR($B21="",$B21=0),"",($G21*(CP$4&lt;$I21)+$H21*(CP$4&gt;=$I21))*$C21*(1+'Property Summary'!$L$18)^('MF Rents'!CP$3-1))</f>
        <v/>
      </c>
      <c r="CQ21" s="149" t="str">
        <f>IF(OR($B21="",$B21=0),"",($G21*(CQ$4&lt;$I21)+$H21*(CQ$4&gt;=$I21))*$C21*(1+'Property Summary'!$L$18)^('MF Rents'!CQ$3-1))</f>
        <v/>
      </c>
      <c r="CR21" s="149" t="str">
        <f>IF(OR($B21="",$B21=0),"",($G21*(CR$4&lt;$I21)+$H21*(CR$4&gt;=$I21))*$C21*(1+'Property Summary'!$L$18)^('MF Rents'!CR$3-1))</f>
        <v/>
      </c>
      <c r="CS21" s="149" t="str">
        <f>IF(OR($B21="",$B21=0),"",($G21*(CS$4&lt;$I21)+$H21*(CS$4&gt;=$I21))*$C21*(1+'Property Summary'!$L$18)^('MF Rents'!CS$3-1))</f>
        <v/>
      </c>
      <c r="CT21" s="149" t="str">
        <f>IF(OR($B21="",$B21=0),"",($G21*(CT$4&lt;$I21)+$H21*(CT$4&gt;=$I21))*$C21*(1+'Property Summary'!$L$18)^('MF Rents'!CT$3-1))</f>
        <v/>
      </c>
      <c r="CU21" s="149" t="str">
        <f>IF(OR($B21="",$B21=0),"",($G21*(CU$4&lt;$I21)+$H21*(CU$4&gt;=$I21))*$C21*(1+'Property Summary'!$L$18)^('MF Rents'!CU$3-1))</f>
        <v/>
      </c>
      <c r="CV21" s="149" t="str">
        <f>IF(OR($B21="",$B21=0),"",($G21*(CV$4&lt;$I21)+$H21*(CV$4&gt;=$I21))*$C21*(1+'Property Summary'!$L$18)^('MF Rents'!CV$3-1))</f>
        <v/>
      </c>
      <c r="CW21" s="149" t="str">
        <f>IF(OR($B21="",$B21=0),"",($G21*(CW$4&lt;$I21)+$H21*(CW$4&gt;=$I21))*$C21*(1+'Property Summary'!$L$18)^('MF Rents'!CW$3-1))</f>
        <v/>
      </c>
      <c r="CX21" s="149" t="str">
        <f>IF(OR($B21="",$B21=0),"",($G21*(CX$4&lt;$I21)+$H21*(CX$4&gt;=$I21))*$C21*(1+'Property Summary'!$L$18)^('MF Rents'!CX$3-1))</f>
        <v/>
      </c>
      <c r="CY21" s="149" t="str">
        <f>IF(OR($B21="",$B21=0),"",($G21*(CY$4&lt;$I21)+$H21*(CY$4&gt;=$I21))*$C21*(1+'Property Summary'!$L$18)^('MF Rents'!CY$3-1))</f>
        <v/>
      </c>
      <c r="CZ21" s="149" t="str">
        <f>IF(OR($B21="",$B21=0),"",($G21*(CZ$4&lt;$I21)+$H21*(CZ$4&gt;=$I21))*$C21*(1+'Property Summary'!$L$18)^('MF Rents'!CZ$3-1))</f>
        <v/>
      </c>
      <c r="DA21" s="149" t="str">
        <f>IF(OR($B21="",$B21=0),"",($G21*(DA$4&lt;$I21)+$H21*(DA$4&gt;=$I21))*$C21*(1+'Property Summary'!$L$18)^('MF Rents'!DA$3-1))</f>
        <v/>
      </c>
      <c r="DB21" s="149" t="str">
        <f>IF(OR($B21="",$B21=0),"",($G21*(DB$4&lt;$I21)+$H21*(DB$4&gt;=$I21))*$C21*(1+'Property Summary'!$L$18)^('MF Rents'!DB$3-1))</f>
        <v/>
      </c>
      <c r="DC21" s="149" t="str">
        <f>IF(OR($B21="",$B21=0),"",($G21*(DC$4&lt;$I21)+$H21*(DC$4&gt;=$I21))*$C21*(1+'Property Summary'!$L$18)^('MF Rents'!DC$3-1))</f>
        <v/>
      </c>
      <c r="DD21" s="149" t="str">
        <f>IF(OR($B21="",$B21=0),"",($G21*(DD$4&lt;$I21)+$H21*(DD$4&gt;=$I21))*$C21*(1+'Property Summary'!$L$18)^('MF Rents'!DD$3-1))</f>
        <v/>
      </c>
      <c r="DE21" s="149" t="str">
        <f>IF(OR($B21="",$B21=0),"",($G21*(DE$4&lt;$I21)+$H21*(DE$4&gt;=$I21))*$C21*(1+'Property Summary'!$L$18)^('MF Rents'!DE$3-1))</f>
        <v/>
      </c>
      <c r="DF21" s="149" t="str">
        <f>IF(OR($B21="",$B21=0),"",($G21*(DF$4&lt;$I21)+$H21*(DF$4&gt;=$I21))*$C21*(1+'Property Summary'!$L$18)^('MF Rents'!DF$3-1))</f>
        <v/>
      </c>
      <c r="DG21" s="149" t="str">
        <f>IF(OR($B21="",$B21=0),"",($G21*(DG$4&lt;$I21)+$H21*(DG$4&gt;=$I21))*$C21*(1+'Property Summary'!$L$18)^('MF Rents'!DG$3-1))</f>
        <v/>
      </c>
      <c r="DH21" s="149" t="str">
        <f>IF(OR($B21="",$B21=0),"",($G21*(DH$4&lt;$I21)+$H21*(DH$4&gt;=$I21))*$C21*(1+'Property Summary'!$L$18)^('MF Rents'!DH$3-1))</f>
        <v/>
      </c>
      <c r="DI21" s="149" t="str">
        <f>IF(OR($B21="",$B21=0),"",($G21*(DI$4&lt;$I21)+$H21*(DI$4&gt;=$I21))*$C21*(1+'Property Summary'!$L$18)^('MF Rents'!DI$3-1))</f>
        <v/>
      </c>
      <c r="DJ21" s="149" t="str">
        <f>IF(OR($B21="",$B21=0),"",($G21*(DJ$4&lt;$I21)+$H21*(DJ$4&gt;=$I21))*$C21*(1+'Property Summary'!$L$18)^('MF Rents'!DJ$3-1))</f>
        <v/>
      </c>
      <c r="DK21" s="149" t="str">
        <f>IF(OR($B21="",$B21=0),"",($G21*(DK$4&lt;$I21)+$H21*(DK$4&gt;=$I21))*$C21*(1+'Property Summary'!$L$18)^('MF Rents'!DK$3-1))</f>
        <v/>
      </c>
      <c r="DL21" s="149" t="str">
        <f>IF(OR($B21="",$B21=0),"",($G21*(DL$4&lt;$I21)+$H21*(DL$4&gt;=$I21))*$C21*(1+'Property Summary'!$L$18)^('MF Rents'!DL$3-1))</f>
        <v/>
      </c>
      <c r="DM21" s="149" t="str">
        <f>IF(OR($B21="",$B21=0),"",($G21*(DM$4&lt;$I21)+$H21*(DM$4&gt;=$I21))*$C21*(1+'Property Summary'!$L$18)^('MF Rents'!DM$3-1))</f>
        <v/>
      </c>
      <c r="DN21" s="149" t="str">
        <f>IF(OR($B21="",$B21=0),"",($G21*(DN$4&lt;$I21)+$H21*(DN$4&gt;=$I21))*$C21*(1+'Property Summary'!$L$18)^('MF Rents'!DN$3-1))</f>
        <v/>
      </c>
      <c r="DO21" s="149" t="str">
        <f>IF(OR($B21="",$B21=0),"",($G21*(DO$4&lt;$I21)+$H21*(DO$4&gt;=$I21))*$C21*(1+'Property Summary'!$L$18)^('MF Rents'!DO$3-1))</f>
        <v/>
      </c>
      <c r="DP21" s="149" t="str">
        <f>IF(OR($B21="",$B21=0),"",($G21*(DP$4&lt;$I21)+$H21*(DP$4&gt;=$I21))*$C21*(1+'Property Summary'!$L$18)^('MF Rents'!DP$3-1))</f>
        <v/>
      </c>
      <c r="DQ21" s="149" t="str">
        <f>IF(OR($B21="",$B21=0),"",($G21*(DQ$4&lt;$I21)+$H21*(DQ$4&gt;=$I21))*$C21*(1+'Property Summary'!$L$18)^('MF Rents'!DQ$3-1))</f>
        <v/>
      </c>
      <c r="DR21" s="149" t="str">
        <f>IF(OR($B21="",$B21=0),"",($G21*(DR$4&lt;$I21)+$H21*(DR$4&gt;=$I21))*$C21*(1+'Property Summary'!$L$18)^('MF Rents'!DR$3-1))</f>
        <v/>
      </c>
      <c r="DS21" s="149" t="str">
        <f>IF(OR($B21="",$B21=0),"",($G21*(DS$4&lt;$I21)+$H21*(DS$4&gt;=$I21))*$C21*(1+'Property Summary'!$L$18)^('MF Rents'!DS$3-1))</f>
        <v/>
      </c>
      <c r="DT21" s="149" t="str">
        <f>IF(OR($B21="",$B21=0),"",($G21*(DT$4&lt;$I21)+$H21*(DT$4&gt;=$I21))*$C21*(1+'Property Summary'!$L$18)^('MF Rents'!DT$3-1))</f>
        <v/>
      </c>
      <c r="DU21" s="149" t="str">
        <f>IF(OR($B21="",$B21=0),"",($G21*(DU$4&lt;$I21)+$H21*(DU$4&gt;=$I21))*$C21*(1+'Property Summary'!$L$18)^('MF Rents'!DU$3-1))</f>
        <v/>
      </c>
      <c r="DV21" s="149" t="str">
        <f>IF(OR($B21="",$B21=0),"",($G21*(DV$4&lt;$I21)+$H21*(DV$4&gt;=$I21))*$C21*(1+'Property Summary'!$L$18)^('MF Rents'!DV$3-1))</f>
        <v/>
      </c>
      <c r="DW21" s="149" t="str">
        <f>IF(OR($B21="",$B21=0),"",($G21*(DW$4&lt;$I21)+$H21*(DW$4&gt;=$I21))*$C21*(1+'Property Summary'!$L$18)^('MF Rents'!DW$3-1))</f>
        <v/>
      </c>
      <c r="DX21" s="149" t="str">
        <f>IF(OR($B21="",$B21=0),"",($G21*(DX$4&lt;$I21)+$H21*(DX$4&gt;=$I21))*$C21*(1+'Property Summary'!$L$18)^('MF Rents'!DX$3-1))</f>
        <v/>
      </c>
      <c r="DY21" s="149" t="str">
        <f>IF(OR($B21="",$B21=0),"",($G21*(DY$4&lt;$I21)+$H21*(DY$4&gt;=$I21))*$C21*(1+'Property Summary'!$L$18)^('MF Rents'!DY$3-1))</f>
        <v/>
      </c>
      <c r="DZ21" s="149" t="str">
        <f>IF(OR($B21="",$B21=0),"",($G21*(DZ$4&lt;$I21)+$H21*(DZ$4&gt;=$I21))*$C21*(1+'Property Summary'!$L$18)^('MF Rents'!DZ$3-1))</f>
        <v/>
      </c>
      <c r="EA21" s="149" t="str">
        <f>IF(OR($B21="",$B21=0),"",($G21*(EA$4&lt;$I21)+$H21*(EA$4&gt;=$I21))*$C21*(1+'Property Summary'!$L$18)^('MF Rents'!EA$3-1))</f>
        <v/>
      </c>
      <c r="EB21" s="149" t="str">
        <f>IF(OR($B21="",$B21=0),"",($G21*(EB$4&lt;$I21)+$H21*(EB$4&gt;=$I21))*$C21*(1+'Property Summary'!$L$18)^('MF Rents'!EB$3-1))</f>
        <v/>
      </c>
      <c r="EC21" s="149" t="str">
        <f>IF(OR($B21="",$B21=0),"",($G21*(EC$4&lt;$I21)+$H21*(EC$4&gt;=$I21))*$C21*(1+'Property Summary'!$L$18)^('MF Rents'!EC$3-1))</f>
        <v/>
      </c>
      <c r="ED21" s="149" t="str">
        <f>IF(OR($B21="",$B21=0),"",($G21*(ED$4&lt;$I21)+$H21*(ED$4&gt;=$I21))*$C21*(1+'Property Summary'!$L$18)^('MF Rents'!ED$3-1))</f>
        <v/>
      </c>
      <c r="EE21" s="149" t="str">
        <f>IF(OR($B21="",$B21=0),"",($G21*(EE$4&lt;$I21)+$H21*(EE$4&gt;=$I21))*$C21*(1+'Property Summary'!$L$18)^('MF Rents'!EE$3-1))</f>
        <v/>
      </c>
      <c r="EF21" s="149" t="str">
        <f>IF(OR($B21="",$B21=0),"",($G21*(EF$4&lt;$I21)+$H21*(EF$4&gt;=$I21))*$C21*(1+'Property Summary'!$L$18)^('MF Rents'!EF$3-1))</f>
        <v/>
      </c>
      <c r="EG21" s="149" t="str">
        <f>IF(OR($B21="",$B21=0),"",($G21*(EG$4&lt;$I21)+$H21*(EG$4&gt;=$I21))*$C21*(1+'Property Summary'!$L$18)^('MF Rents'!EG$3-1))</f>
        <v/>
      </c>
      <c r="EH21" s="149" t="str">
        <f>IF(OR($B21="",$B21=0),"",($G21*(EH$4&lt;$I21)+$H21*(EH$4&gt;=$I21))*$C21*(1+'Property Summary'!$L$18)^('MF Rents'!EH$3-1))</f>
        <v/>
      </c>
      <c r="EI21" s="149" t="str">
        <f>IF(OR($B21="",$B21=0),"",($G21*(EI$4&lt;$I21)+$H21*(EI$4&gt;=$I21))*$C21*(1+'Property Summary'!$L$18)^('MF Rents'!EI$3-1))</f>
        <v/>
      </c>
      <c r="EJ21" s="149" t="str">
        <f>IF(OR($B21="",$B21=0),"",($G21*(EJ$4&lt;$I21)+$H21*(EJ$4&gt;=$I21))*$C21*(1+'Property Summary'!$L$18)^('MF Rents'!EJ$3-1))</f>
        <v/>
      </c>
      <c r="EK21" s="149" t="str">
        <f>IF(OR($B21="",$B21=0),"",($G21*(EK$4&lt;$I21)+$H21*(EK$4&gt;=$I21))*$C21*(1+'Property Summary'!$L$18)^('MF Rents'!EK$3-1))</f>
        <v/>
      </c>
      <c r="EL21" s="149" t="str">
        <f>IF(OR($B21="",$B21=0),"",($G21*(EL$4&lt;$I21)+$H21*(EL$4&gt;=$I21))*$C21*(1+'Property Summary'!$L$18)^('MF Rents'!EL$3-1))</f>
        <v/>
      </c>
      <c r="EM21" s="149" t="str">
        <f>IF(OR($B21="",$B21=0),"",($G21*(EM$4&lt;$I21)+$H21*(EM$4&gt;=$I21))*$C21*(1+'Property Summary'!$L$18)^('MF Rents'!EM$3-1))</f>
        <v/>
      </c>
      <c r="EN21" s="149" t="str">
        <f>IF(OR($B21="",$B21=0),"",($G21*(EN$4&lt;$I21)+$H21*(EN$4&gt;=$I21))*$C21*(1+'Property Summary'!$L$18)^('MF Rents'!EN$3-1))</f>
        <v/>
      </c>
      <c r="EO21" s="149" t="str">
        <f>IF(OR($B21="",$B21=0),"",($G21*(EO$4&lt;$I21)+$H21*(EO$4&gt;=$I21))*$C21*(1+'Property Summary'!$L$18)^('MF Rents'!EO$3-1))</f>
        <v/>
      </c>
      <c r="EP21" s="149" t="str">
        <f>IF(OR($B21="",$B21=0),"",($G21*(EP$4&lt;$I21)+$H21*(EP$4&gt;=$I21))*$C21*(1+'Property Summary'!$L$18)^('MF Rents'!EP$3-1))</f>
        <v/>
      </c>
      <c r="EQ21" s="149" t="str">
        <f>IF(OR($B21="",$B21=0),"",($G21*(EQ$4&lt;$I21)+$H21*(EQ$4&gt;=$I21))*$C21*(1+'Property Summary'!$L$18)^('MF Rents'!EQ$3-1))</f>
        <v/>
      </c>
      <c r="ER21" s="149" t="str">
        <f>IF(OR($B21="",$B21=0),"",($G21*(ER$4&lt;$I21)+$H21*(ER$4&gt;=$I21))*$C21*(1+'Property Summary'!$L$18)^('MF Rents'!ER$3-1))</f>
        <v/>
      </c>
      <c r="ES21" s="149" t="str">
        <f>IF(OR($B21="",$B21=0),"",($G21*(ES$4&lt;$I21)+$H21*(ES$4&gt;=$I21))*$C21*(1+'Property Summary'!$L$18)^('MF Rents'!ES$3-1))</f>
        <v/>
      </c>
      <c r="ET21" s="149" t="str">
        <f>IF(OR($B21="",$B21=0),"",($G21*(ET$4&lt;$I21)+$H21*(ET$4&gt;=$I21))*$C21*(1+'Property Summary'!$L$18)^('MF Rents'!ET$3-1))</f>
        <v/>
      </c>
      <c r="EU21" s="149" t="str">
        <f>IF(OR($B21="",$B21=0),"",($G21*(EU$4&lt;$I21)+$H21*(EU$4&gt;=$I21))*$C21*(1+'Property Summary'!$L$18)^('MF Rents'!EU$3-1))</f>
        <v/>
      </c>
      <c r="EV21" s="149" t="str">
        <f>IF(OR($B21="",$B21=0),"",($G21*(EV$4&lt;$I21)+$H21*(EV$4&gt;=$I21))*$C21*(1+'Property Summary'!$L$18)^('MF Rents'!EV$3-1))</f>
        <v/>
      </c>
      <c r="EW21" s="149" t="str">
        <f>IF(OR($B21="",$B21=0),"",($G21*(EW$4&lt;$I21)+$H21*(EW$4&gt;=$I21))*$C21*(1+'Property Summary'!$L$18)^('MF Rents'!EW$3-1))</f>
        <v/>
      </c>
      <c r="EX21" s="149" t="str">
        <f>IF(OR($B21="",$B21=0),"",($G21*(EX$4&lt;$I21)+$H21*(EX$4&gt;=$I21))*$C21*(1+'Property Summary'!$L$18)^('MF Rents'!EX$3-1))</f>
        <v/>
      </c>
      <c r="EY21" s="149" t="str">
        <f>IF(OR($B21="",$B21=0),"",($G21*(EY$4&lt;$I21)+$H21*(EY$4&gt;=$I21))*$C21*(1+'Property Summary'!$L$18)^('MF Rents'!EY$3-1))</f>
        <v/>
      </c>
      <c r="EZ21" s="149" t="str">
        <f>IF(OR($B21="",$B21=0),"",($G21*(EZ$4&lt;$I21)+$H21*(EZ$4&gt;=$I21))*$C21*(1+'Property Summary'!$L$18)^('MF Rents'!EZ$3-1))</f>
        <v/>
      </c>
      <c r="FA21" s="149" t="str">
        <f>IF(OR($B21="",$B21=0),"",($G21*(FA$4&lt;$I21)+$H21*(FA$4&gt;=$I21))*$C21*(1+'Property Summary'!$L$18)^('MF Rents'!FA$3-1))</f>
        <v/>
      </c>
      <c r="FB21" s="149" t="str">
        <f>IF(OR($B21="",$B21=0),"",($G21*(FB$4&lt;$I21)+$H21*(FB$4&gt;=$I21))*$C21*(1+'Property Summary'!$L$18)^('MF Rents'!FB$3-1))</f>
        <v/>
      </c>
      <c r="FC21" s="149" t="str">
        <f>IF(OR($B21="",$B21=0),"",($G21*(FC$4&lt;$I21)+$H21*(FC$4&gt;=$I21))*$C21*(1+'Property Summary'!$L$18)^('MF Rents'!FC$3-1))</f>
        <v/>
      </c>
      <c r="FD21" s="149" t="str">
        <f>IF(OR($B21="",$B21=0),"",($G21*(FD$4&lt;$I21)+$H21*(FD$4&gt;=$I21))*$C21*(1+'Property Summary'!$L$18)^('MF Rents'!FD$3-1))</f>
        <v/>
      </c>
      <c r="FE21" s="149" t="str">
        <f>IF(OR($B21="",$B21=0),"",($G21*(FE$4&lt;$I21)+$H21*(FE$4&gt;=$I21))*$C21*(1+'Property Summary'!$L$18)^('MF Rents'!FE$3-1))</f>
        <v/>
      </c>
      <c r="FF21" s="149" t="str">
        <f>IF(OR($B21="",$B21=0),"",($G21*(FF$4&lt;$I21)+$H21*(FF$4&gt;=$I21))*$C21*(1+'Property Summary'!$L$18)^('MF Rents'!FF$3-1))</f>
        <v/>
      </c>
      <c r="FG21" s="149" t="str">
        <f>IF(OR($B21="",$B21=0),"",($G21*(FG$4&lt;$I21)+$H21*(FG$4&gt;=$I21))*$C21*(1+'Property Summary'!$L$18)^('MF Rents'!FG$3-1))</f>
        <v/>
      </c>
      <c r="FH21" s="149" t="str">
        <f>IF(OR($B21="",$B21=0),"",($G21*(FH$4&lt;$I21)+$H21*(FH$4&gt;=$I21))*$C21*(1+'Property Summary'!$L$18)^('MF Rents'!FH$3-1))</f>
        <v/>
      </c>
      <c r="FI21" s="149" t="str">
        <f>IF(OR($B21="",$B21=0),"",($G21*(FI$4&lt;$I21)+$H21*(FI$4&gt;=$I21))*$C21*(1+'Property Summary'!$L$18)^('MF Rents'!FI$3-1))</f>
        <v/>
      </c>
      <c r="FJ21" s="149" t="str">
        <f>IF(OR($B21="",$B21=0),"",($G21*(FJ$4&lt;$I21)+$H21*(FJ$4&gt;=$I21))*$C21*(1+'Property Summary'!$L$18)^('MF Rents'!FJ$3-1))</f>
        <v/>
      </c>
      <c r="FK21" s="149" t="str">
        <f>IF(OR($B21="",$B21=0),"",($G21*(FK$4&lt;$I21)+$H21*(FK$4&gt;=$I21))*$C21*(1+'Property Summary'!$L$18)^('MF Rents'!FK$3-1))</f>
        <v/>
      </c>
      <c r="FL21" s="149" t="str">
        <f>IF(OR($B21="",$B21=0),"",($G21*(FL$4&lt;$I21)+$H21*(FL$4&gt;=$I21))*$C21*(1+'Property Summary'!$L$18)^('MF Rents'!FL$3-1))</f>
        <v/>
      </c>
      <c r="FM21" s="149" t="str">
        <f>IF(OR($B21="",$B21=0),"",($G21*(FM$4&lt;$I21)+$H21*(FM$4&gt;=$I21))*$C21*(1+'Property Summary'!$L$18)^('MF Rents'!FM$3-1))</f>
        <v/>
      </c>
      <c r="FN21" s="149" t="str">
        <f>IF(OR($B21="",$B21=0),"",($G21*(FN$4&lt;$I21)+$H21*(FN$4&gt;=$I21))*$C21*(1+'Property Summary'!$L$18)^('MF Rents'!FN$3-1))</f>
        <v/>
      </c>
      <c r="FO21" s="149" t="str">
        <f>IF(OR($B21="",$B21=0),"",($G21*(FO$4&lt;$I21)+$H21*(FO$4&gt;=$I21))*$C21*(1+'Property Summary'!$L$18)^('MF Rents'!FO$3-1))</f>
        <v/>
      </c>
      <c r="FP21" s="149" t="str">
        <f>IF(OR($B21="",$B21=0),"",($G21*(FP$4&lt;$I21)+$H21*(FP$4&gt;=$I21))*$C21*(1+'Property Summary'!$L$18)^('MF Rents'!FP$3-1))</f>
        <v/>
      </c>
      <c r="FQ21" s="149" t="str">
        <f>IF(OR($B21="",$B21=0),"",($G21*(FQ$4&lt;$I21)+$H21*(FQ$4&gt;=$I21))*$C21*(1+'Property Summary'!$L$18)^('MF Rents'!FQ$3-1))</f>
        <v/>
      </c>
      <c r="FR21" s="149" t="str">
        <f>IF(OR($B21="",$B21=0),"",($G21*(FR$4&lt;$I21)+$H21*(FR$4&gt;=$I21))*$C21*(1+'Property Summary'!$L$18)^('MF Rents'!FR$3-1))</f>
        <v/>
      </c>
      <c r="FS21" s="149" t="str">
        <f>IF(OR($B21="",$B21=0),"",($G21*(FS$4&lt;$I21)+$H21*(FS$4&gt;=$I21))*$C21*(1+'Property Summary'!$L$18)^('MF Rents'!FS$3-1))</f>
        <v/>
      </c>
      <c r="FT21" s="149" t="str">
        <f>IF(OR($B21="",$B21=0),"",($G21*(FT$4&lt;$I21)+$H21*(FT$4&gt;=$I21))*$C21*(1+'Property Summary'!$L$18)^('MF Rents'!FT$3-1))</f>
        <v/>
      </c>
      <c r="FU21" s="149" t="str">
        <f>IF(OR($B21="",$B21=0),"",($G21*(FU$4&lt;$I21)+$H21*(FU$4&gt;=$I21))*$C21*(1+'Property Summary'!$L$18)^('MF Rents'!FU$3-1))</f>
        <v/>
      </c>
      <c r="FV21" s="149" t="str">
        <f>IF(OR($B21="",$B21=0),"",($G21*(FV$4&lt;$I21)+$H21*(FV$4&gt;=$I21))*$C21*(1+'Property Summary'!$L$18)^('MF Rents'!FV$3-1))</f>
        <v/>
      </c>
      <c r="FW21" s="149" t="str">
        <f>IF(OR($B21="",$B21=0),"",($G21*(FW$4&lt;$I21)+$H21*(FW$4&gt;=$I21))*$C21*(1+'Property Summary'!$L$18)^('MF Rents'!FW$3-1))</f>
        <v/>
      </c>
      <c r="FX21" s="149" t="str">
        <f>IF(OR($B21="",$B21=0),"",($G21*(FX$4&lt;$I21)+$H21*(FX$4&gt;=$I21))*$C21*(1+'Property Summary'!$L$18)^('MF Rents'!FX$3-1))</f>
        <v/>
      </c>
      <c r="FY21" s="149" t="str">
        <f>IF(OR($B21="",$B21=0),"",($G21*(FY$4&lt;$I21)+$H21*(FY$4&gt;=$I21))*$C21*(1+'Property Summary'!$L$18)^('MF Rents'!FY$3-1))</f>
        <v/>
      </c>
      <c r="FZ21" s="149" t="str">
        <f>IF(OR($B21="",$B21=0),"",($G21*(FZ$4&lt;$I21)+$H21*(FZ$4&gt;=$I21))*$C21*(1+'Property Summary'!$L$18)^('MF Rents'!FZ$3-1))</f>
        <v/>
      </c>
      <c r="GA21" s="149" t="str">
        <f>IF(OR($B21="",$B21=0),"",($G21*(GA$4&lt;$I21)+$H21*(GA$4&gt;=$I21))*$C21*(1+'Property Summary'!$L$18)^('MF Rents'!GA$3-1))</f>
        <v/>
      </c>
      <c r="GB21" s="149" t="str">
        <f>IF(OR($B21="",$B21=0),"",($G21*(GB$4&lt;$I21)+$H21*(GB$4&gt;=$I21))*$C21*(1+'Property Summary'!$L$18)^('MF Rents'!GB$3-1))</f>
        <v/>
      </c>
      <c r="GC21" s="149" t="str">
        <f>IF(OR($B21="",$B21=0),"",($G21*(GC$4&lt;$I21)+$H21*(GC$4&gt;=$I21))*$C21*(1+'Property Summary'!$L$18)^('MF Rents'!GC$3-1))</f>
        <v/>
      </c>
      <c r="GD21" s="149" t="str">
        <f>IF(OR($B21="",$B21=0),"",($G21*(GD$4&lt;$I21)+$H21*(GD$4&gt;=$I21))*$C21*(1+'Property Summary'!$L$18)^('MF Rents'!GD$3-1))</f>
        <v/>
      </c>
      <c r="GE21" s="149" t="str">
        <f>IF(OR($B21="",$B21=0),"",($G21*(GE$4&lt;$I21)+$H21*(GE$4&gt;=$I21))*$C21*(1+'Property Summary'!$L$18)^('MF Rents'!GE$3-1))</f>
        <v/>
      </c>
      <c r="GF21" s="149" t="str">
        <f>IF(OR($B21="",$B21=0),"",($G21*(GF$4&lt;$I21)+$H21*(GF$4&gt;=$I21))*$C21*(1+'Property Summary'!$L$18)^('MF Rents'!GF$3-1))</f>
        <v/>
      </c>
      <c r="GG21" s="149" t="str">
        <f>IF(OR($B21="",$B21=0),"",($G21*(GG$4&lt;$I21)+$H21*(GG$4&gt;=$I21))*$C21*(1+'Property Summary'!$L$18)^('MF Rents'!GG$3-1))</f>
        <v/>
      </c>
      <c r="GH21" s="149" t="str">
        <f>IF(OR($B21="",$B21=0),"",($G21*(GH$4&lt;$I21)+$H21*(GH$4&gt;=$I21))*$C21*(1+'Property Summary'!$L$18)^('MF Rents'!GH$3-1))</f>
        <v/>
      </c>
      <c r="GI21" s="149" t="str">
        <f>IF(OR($B21="",$B21=0),"",($G21*(GI$4&lt;$I21)+$H21*(GI$4&gt;=$I21))*$C21*(1+'Property Summary'!$L$18)^('MF Rents'!GI$3-1))</f>
        <v/>
      </c>
      <c r="GJ21" s="149" t="str">
        <f>IF(OR($B21="",$B21=0),"",($G21*(GJ$4&lt;$I21)+$H21*(GJ$4&gt;=$I21))*$C21*(1+'Property Summary'!$L$18)^('MF Rents'!GJ$3-1))</f>
        <v/>
      </c>
      <c r="GK21" s="149" t="str">
        <f>IF(OR($B21="",$B21=0),"",($G21*(GK$4&lt;$I21)+$H21*(GK$4&gt;=$I21))*$C21*(1+'Property Summary'!$L$18)^('MF Rents'!GK$3-1))</f>
        <v/>
      </c>
      <c r="GL21" s="149" t="str">
        <f>IF(OR($B21="",$B21=0),"",($G21*(GL$4&lt;$I21)+$H21*(GL$4&gt;=$I21))*$C21*(1+'Property Summary'!$L$18)^('MF Rents'!GL$3-1))</f>
        <v/>
      </c>
      <c r="GM21" s="149" t="str">
        <f>IF(OR($B21="",$B21=0),"",($G21*(GM$4&lt;$I21)+$H21*(GM$4&gt;=$I21))*$C21*(1+'Property Summary'!$L$18)^('MF Rents'!GM$3-1))</f>
        <v/>
      </c>
      <c r="GN21" s="149" t="str">
        <f>IF(OR($B21="",$B21=0),"",($G21*(GN$4&lt;$I21)+$H21*(GN$4&gt;=$I21))*$C21*(1+'Property Summary'!$L$18)^('MF Rents'!GN$3-1))</f>
        <v/>
      </c>
      <c r="GO21" s="149" t="str">
        <f>IF(OR($B21="",$B21=0),"",($G21*(GO$4&lt;$I21)+$H21*(GO$4&gt;=$I21))*$C21*(1+'Property Summary'!$L$18)^('MF Rents'!GO$3-1))</f>
        <v/>
      </c>
      <c r="GP21" s="149" t="str">
        <f>IF(OR($B21="",$B21=0),"",($G21*(GP$4&lt;$I21)+$H21*(GP$4&gt;=$I21))*$C21*(1+'Property Summary'!$L$18)^('MF Rents'!GP$3-1))</f>
        <v/>
      </c>
      <c r="GQ21" s="149" t="str">
        <f>IF(OR($B21="",$B21=0),"",($G21*(GQ$4&lt;$I21)+$H21*(GQ$4&gt;=$I21))*$C21*(1+'Property Summary'!$L$18)^('MF Rents'!GQ$3-1))</f>
        <v/>
      </c>
      <c r="GR21" s="149" t="str">
        <f>IF(OR($B21="",$B21=0),"",($G21*(GR$4&lt;$I21)+$H21*(GR$4&gt;=$I21))*$C21*(1+'Property Summary'!$L$18)^('MF Rents'!GR$3-1))</f>
        <v/>
      </c>
    </row>
    <row r="22" spans="2:200" x14ac:dyDescent="0.3">
      <c r="B22" s="184">
        <f>'MF Rent Roll'!B21</f>
        <v>0</v>
      </c>
      <c r="C22" s="171">
        <f>'MF Rent Roll'!C21</f>
        <v>0</v>
      </c>
      <c r="D22" s="172">
        <f>'MF Rent Roll'!D21</f>
        <v>0</v>
      </c>
      <c r="E22" s="172">
        <f>'MF Rent Roll'!E21</f>
        <v>0</v>
      </c>
      <c r="F22" s="173">
        <f>'MF Rent Roll'!F21</f>
        <v>0</v>
      </c>
      <c r="G22" s="174">
        <f>'MF Rent Roll'!G21</f>
        <v>0</v>
      </c>
      <c r="H22" s="174">
        <f>IF('MF Rent Roll'!H21="",G22,'MF Rent Roll'!H21)</f>
        <v>0</v>
      </c>
      <c r="I22" s="175">
        <f>IF('MF Rent Roll'!I21="",1,'MF Rent Roll'!I21)</f>
        <v>1</v>
      </c>
      <c r="J22" s="176">
        <f>'MF Rent Roll'!J21</f>
        <v>0</v>
      </c>
      <c r="K22" s="174">
        <f>'MF Rent Roll'!K21</f>
        <v>0</v>
      </c>
      <c r="L22" s="177">
        <f>'MF Rent Roll'!L21</f>
        <v>0</v>
      </c>
      <c r="M22" s="178">
        <f>'MF Rent Roll'!M21</f>
        <v>0</v>
      </c>
      <c r="N22" s="174">
        <f>'MF Rent Roll'!N21</f>
        <v>0</v>
      </c>
      <c r="O22" s="179">
        <f>'MF Rent Roll'!O21</f>
        <v>0</v>
      </c>
      <c r="P22" s="180" t="str">
        <f>'MF Rent Roll'!P21</f>
        <v/>
      </c>
      <c r="Q22" s="181" t="str">
        <f>'MF Rent Roll'!Q21</f>
        <v/>
      </c>
      <c r="R22" s="104" t="str">
        <f>'MF Rent Roll'!R21</f>
        <v/>
      </c>
      <c r="U22" s="149" t="str">
        <f>IF(OR($B22="",$B22=0),"",($G22*(U$4&lt;$I22)+$H22*(U$4&gt;=$I22))*$C22*(1+'Property Summary'!$L$18)^('MF Rents'!U$3-1))</f>
        <v/>
      </c>
      <c r="V22" s="149" t="str">
        <f>IF(OR($B22="",$B22=0),"",($G22*(V$4&lt;$I22)+$H22*(V$4&gt;=$I22))*$C22*(1+'Property Summary'!$L$18)^('MF Rents'!V$3-1))</f>
        <v/>
      </c>
      <c r="W22" s="149" t="str">
        <f>IF(OR($B22="",$B22=0),"",($G22*(W$4&lt;$I22)+$H22*(W$4&gt;=$I22))*$C22*(1+'Property Summary'!$L$18)^('MF Rents'!W$3-1))</f>
        <v/>
      </c>
      <c r="X22" s="149" t="str">
        <f>IF(OR($B22="",$B22=0),"",($G22*(X$4&lt;$I22)+$H22*(X$4&gt;=$I22))*$C22*(1+'Property Summary'!$L$18)^('MF Rents'!X$3-1))</f>
        <v/>
      </c>
      <c r="Y22" s="149" t="str">
        <f>IF(OR($B22="",$B22=0),"",($G22*(Y$4&lt;$I22)+$H22*(Y$4&gt;=$I22))*$C22*(1+'Property Summary'!$L$18)^('MF Rents'!Y$3-1))</f>
        <v/>
      </c>
      <c r="Z22" s="149" t="str">
        <f>IF(OR($B22="",$B22=0),"",($G22*(Z$4&lt;$I22)+$H22*(Z$4&gt;=$I22))*$C22*(1+'Property Summary'!$L$18)^('MF Rents'!Z$3-1))</f>
        <v/>
      </c>
      <c r="AA22" s="149" t="str">
        <f>IF(OR($B22="",$B22=0),"",($G22*(AA$4&lt;$I22)+$H22*(AA$4&gt;=$I22))*$C22*(1+'Property Summary'!$L$18)^('MF Rents'!AA$3-1))</f>
        <v/>
      </c>
      <c r="AB22" s="149" t="str">
        <f>IF(OR($B22="",$B22=0),"",($G22*(AB$4&lt;$I22)+$H22*(AB$4&gt;=$I22))*$C22*(1+'Property Summary'!$L$18)^('MF Rents'!AB$3-1))</f>
        <v/>
      </c>
      <c r="AC22" s="149" t="str">
        <f>IF(OR($B22="",$B22=0),"",($G22*(AC$4&lt;$I22)+$H22*(AC$4&gt;=$I22))*$C22*(1+'Property Summary'!$L$18)^('MF Rents'!AC$3-1))</f>
        <v/>
      </c>
      <c r="AD22" s="149" t="str">
        <f>IF(OR($B22="",$B22=0),"",($G22*(AD$4&lt;$I22)+$H22*(AD$4&gt;=$I22))*$C22*(1+'Property Summary'!$L$18)^('MF Rents'!AD$3-1))</f>
        <v/>
      </c>
      <c r="AE22" s="149" t="str">
        <f>IF(OR($B22="",$B22=0),"",($G22*(AE$4&lt;$I22)+$H22*(AE$4&gt;=$I22))*$C22*(1+'Property Summary'!$L$18)^('MF Rents'!AE$3-1))</f>
        <v/>
      </c>
      <c r="AF22" s="149" t="str">
        <f>IF(OR($B22="",$B22=0),"",($G22*(AF$4&lt;$I22)+$H22*(AF$4&gt;=$I22))*$C22*(1+'Property Summary'!$L$18)^('MF Rents'!AF$3-1))</f>
        <v/>
      </c>
      <c r="AG22" s="149" t="str">
        <f>IF(OR($B22="",$B22=0),"",($G22*(AG$4&lt;$I22)+$H22*(AG$4&gt;=$I22))*$C22*(1+'Property Summary'!$L$18)^('MF Rents'!AG$3-1))</f>
        <v/>
      </c>
      <c r="AH22" s="149" t="str">
        <f>IF(OR($B22="",$B22=0),"",($G22*(AH$4&lt;$I22)+$H22*(AH$4&gt;=$I22))*$C22*(1+'Property Summary'!$L$18)^('MF Rents'!AH$3-1))</f>
        <v/>
      </c>
      <c r="AI22" s="149" t="str">
        <f>IF(OR($B22="",$B22=0),"",($G22*(AI$4&lt;$I22)+$H22*(AI$4&gt;=$I22))*$C22*(1+'Property Summary'!$L$18)^('MF Rents'!AI$3-1))</f>
        <v/>
      </c>
      <c r="AJ22" s="149" t="str">
        <f>IF(OR($B22="",$B22=0),"",($G22*(AJ$4&lt;$I22)+$H22*(AJ$4&gt;=$I22))*$C22*(1+'Property Summary'!$L$18)^('MF Rents'!AJ$3-1))</f>
        <v/>
      </c>
      <c r="AK22" s="149" t="str">
        <f>IF(OR($B22="",$B22=0),"",($G22*(AK$4&lt;$I22)+$H22*(AK$4&gt;=$I22))*$C22*(1+'Property Summary'!$L$18)^('MF Rents'!AK$3-1))</f>
        <v/>
      </c>
      <c r="AL22" s="149" t="str">
        <f>IF(OR($B22="",$B22=0),"",($G22*(AL$4&lt;$I22)+$H22*(AL$4&gt;=$I22))*$C22*(1+'Property Summary'!$L$18)^('MF Rents'!AL$3-1))</f>
        <v/>
      </c>
      <c r="AM22" s="149" t="str">
        <f>IF(OR($B22="",$B22=0),"",($G22*(AM$4&lt;$I22)+$H22*(AM$4&gt;=$I22))*$C22*(1+'Property Summary'!$L$18)^('MF Rents'!AM$3-1))</f>
        <v/>
      </c>
      <c r="AN22" s="149" t="str">
        <f>IF(OR($B22="",$B22=0),"",($G22*(AN$4&lt;$I22)+$H22*(AN$4&gt;=$I22))*$C22*(1+'Property Summary'!$L$18)^('MF Rents'!AN$3-1))</f>
        <v/>
      </c>
      <c r="AO22" s="149" t="str">
        <f>IF(OR($B22="",$B22=0),"",($G22*(AO$4&lt;$I22)+$H22*(AO$4&gt;=$I22))*$C22*(1+'Property Summary'!$L$18)^('MF Rents'!AO$3-1))</f>
        <v/>
      </c>
      <c r="AP22" s="149" t="str">
        <f>IF(OR($B22="",$B22=0),"",($G22*(AP$4&lt;$I22)+$H22*(AP$4&gt;=$I22))*$C22*(1+'Property Summary'!$L$18)^('MF Rents'!AP$3-1))</f>
        <v/>
      </c>
      <c r="AQ22" s="149" t="str">
        <f>IF(OR($B22="",$B22=0),"",($G22*(AQ$4&lt;$I22)+$H22*(AQ$4&gt;=$I22))*$C22*(1+'Property Summary'!$L$18)^('MF Rents'!AQ$3-1))</f>
        <v/>
      </c>
      <c r="AR22" s="149" t="str">
        <f>IF(OR($B22="",$B22=0),"",($G22*(AR$4&lt;$I22)+$H22*(AR$4&gt;=$I22))*$C22*(1+'Property Summary'!$L$18)^('MF Rents'!AR$3-1))</f>
        <v/>
      </c>
      <c r="AS22" s="149" t="str">
        <f>IF(OR($B22="",$B22=0),"",($G22*(AS$4&lt;$I22)+$H22*(AS$4&gt;=$I22))*$C22*(1+'Property Summary'!$L$18)^('MF Rents'!AS$3-1))</f>
        <v/>
      </c>
      <c r="AT22" s="149" t="str">
        <f>IF(OR($B22="",$B22=0),"",($G22*(AT$4&lt;$I22)+$H22*(AT$4&gt;=$I22))*$C22*(1+'Property Summary'!$L$18)^('MF Rents'!AT$3-1))</f>
        <v/>
      </c>
      <c r="AU22" s="149" t="str">
        <f>IF(OR($B22="",$B22=0),"",($G22*(AU$4&lt;$I22)+$H22*(AU$4&gt;=$I22))*$C22*(1+'Property Summary'!$L$18)^('MF Rents'!AU$3-1))</f>
        <v/>
      </c>
      <c r="AV22" s="149" t="str">
        <f>IF(OR($B22="",$B22=0),"",($G22*(AV$4&lt;$I22)+$H22*(AV$4&gt;=$I22))*$C22*(1+'Property Summary'!$L$18)^('MF Rents'!AV$3-1))</f>
        <v/>
      </c>
      <c r="AW22" s="149" t="str">
        <f>IF(OR($B22="",$B22=0),"",($G22*(AW$4&lt;$I22)+$H22*(AW$4&gt;=$I22))*$C22*(1+'Property Summary'!$L$18)^('MF Rents'!AW$3-1))</f>
        <v/>
      </c>
      <c r="AX22" s="149" t="str">
        <f>IF(OR($B22="",$B22=0),"",($G22*(AX$4&lt;$I22)+$H22*(AX$4&gt;=$I22))*$C22*(1+'Property Summary'!$L$18)^('MF Rents'!AX$3-1))</f>
        <v/>
      </c>
      <c r="AY22" s="149" t="str">
        <f>IF(OR($B22="",$B22=0),"",($G22*(AY$4&lt;$I22)+$H22*(AY$4&gt;=$I22))*$C22*(1+'Property Summary'!$L$18)^('MF Rents'!AY$3-1))</f>
        <v/>
      </c>
      <c r="AZ22" s="149" t="str">
        <f>IF(OR($B22="",$B22=0),"",($G22*(AZ$4&lt;$I22)+$H22*(AZ$4&gt;=$I22))*$C22*(1+'Property Summary'!$L$18)^('MF Rents'!AZ$3-1))</f>
        <v/>
      </c>
      <c r="BA22" s="149" t="str">
        <f>IF(OR($B22="",$B22=0),"",($G22*(BA$4&lt;$I22)+$H22*(BA$4&gt;=$I22))*$C22*(1+'Property Summary'!$L$18)^('MF Rents'!BA$3-1))</f>
        <v/>
      </c>
      <c r="BB22" s="149" t="str">
        <f>IF(OR($B22="",$B22=0),"",($G22*(BB$4&lt;$I22)+$H22*(BB$4&gt;=$I22))*$C22*(1+'Property Summary'!$L$18)^('MF Rents'!BB$3-1))</f>
        <v/>
      </c>
      <c r="BC22" s="149" t="str">
        <f>IF(OR($B22="",$B22=0),"",($G22*(BC$4&lt;$I22)+$H22*(BC$4&gt;=$I22))*$C22*(1+'Property Summary'!$L$18)^('MF Rents'!BC$3-1))</f>
        <v/>
      </c>
      <c r="BD22" s="149" t="str">
        <f>IF(OR($B22="",$B22=0),"",($G22*(BD$4&lt;$I22)+$H22*(BD$4&gt;=$I22))*$C22*(1+'Property Summary'!$L$18)^('MF Rents'!BD$3-1))</f>
        <v/>
      </c>
      <c r="BE22" s="149" t="str">
        <f>IF(OR($B22="",$B22=0),"",($G22*(BE$4&lt;$I22)+$H22*(BE$4&gt;=$I22))*$C22*(1+'Property Summary'!$L$18)^('MF Rents'!BE$3-1))</f>
        <v/>
      </c>
      <c r="BF22" s="149" t="str">
        <f>IF(OR($B22="",$B22=0),"",($G22*(BF$4&lt;$I22)+$H22*(BF$4&gt;=$I22))*$C22*(1+'Property Summary'!$L$18)^('MF Rents'!BF$3-1))</f>
        <v/>
      </c>
      <c r="BG22" s="149" t="str">
        <f>IF(OR($B22="",$B22=0),"",($G22*(BG$4&lt;$I22)+$H22*(BG$4&gt;=$I22))*$C22*(1+'Property Summary'!$L$18)^('MF Rents'!BG$3-1))</f>
        <v/>
      </c>
      <c r="BH22" s="149" t="str">
        <f>IF(OR($B22="",$B22=0),"",($G22*(BH$4&lt;$I22)+$H22*(BH$4&gt;=$I22))*$C22*(1+'Property Summary'!$L$18)^('MF Rents'!BH$3-1))</f>
        <v/>
      </c>
      <c r="BI22" s="149" t="str">
        <f>IF(OR($B22="",$B22=0),"",($G22*(BI$4&lt;$I22)+$H22*(BI$4&gt;=$I22))*$C22*(1+'Property Summary'!$L$18)^('MF Rents'!BI$3-1))</f>
        <v/>
      </c>
      <c r="BJ22" s="149" t="str">
        <f>IF(OR($B22="",$B22=0),"",($G22*(BJ$4&lt;$I22)+$H22*(BJ$4&gt;=$I22))*$C22*(1+'Property Summary'!$L$18)^('MF Rents'!BJ$3-1))</f>
        <v/>
      </c>
      <c r="BK22" s="149" t="str">
        <f>IF(OR($B22="",$B22=0),"",($G22*(BK$4&lt;$I22)+$H22*(BK$4&gt;=$I22))*$C22*(1+'Property Summary'!$L$18)^('MF Rents'!BK$3-1))</f>
        <v/>
      </c>
      <c r="BL22" s="149" t="str">
        <f>IF(OR($B22="",$B22=0),"",($G22*(BL$4&lt;$I22)+$H22*(BL$4&gt;=$I22))*$C22*(1+'Property Summary'!$L$18)^('MF Rents'!BL$3-1))</f>
        <v/>
      </c>
      <c r="BM22" s="149" t="str">
        <f>IF(OR($B22="",$B22=0),"",($G22*(BM$4&lt;$I22)+$H22*(BM$4&gt;=$I22))*$C22*(1+'Property Summary'!$L$18)^('MF Rents'!BM$3-1))</f>
        <v/>
      </c>
      <c r="BN22" s="149" t="str">
        <f>IF(OR($B22="",$B22=0),"",($G22*(BN$4&lt;$I22)+$H22*(BN$4&gt;=$I22))*$C22*(1+'Property Summary'!$L$18)^('MF Rents'!BN$3-1))</f>
        <v/>
      </c>
      <c r="BO22" s="149" t="str">
        <f>IF(OR($B22="",$B22=0),"",($G22*(BO$4&lt;$I22)+$H22*(BO$4&gt;=$I22))*$C22*(1+'Property Summary'!$L$18)^('MF Rents'!BO$3-1))</f>
        <v/>
      </c>
      <c r="BP22" s="149" t="str">
        <f>IF(OR($B22="",$B22=0),"",($G22*(BP$4&lt;$I22)+$H22*(BP$4&gt;=$I22))*$C22*(1+'Property Summary'!$L$18)^('MF Rents'!BP$3-1))</f>
        <v/>
      </c>
      <c r="BQ22" s="149" t="str">
        <f>IF(OR($B22="",$B22=0),"",($G22*(BQ$4&lt;$I22)+$H22*(BQ$4&gt;=$I22))*$C22*(1+'Property Summary'!$L$18)^('MF Rents'!BQ$3-1))</f>
        <v/>
      </c>
      <c r="BR22" s="149" t="str">
        <f>IF(OR($B22="",$B22=0),"",($G22*(BR$4&lt;$I22)+$H22*(BR$4&gt;=$I22))*$C22*(1+'Property Summary'!$L$18)^('MF Rents'!BR$3-1))</f>
        <v/>
      </c>
      <c r="BS22" s="149" t="str">
        <f>IF(OR($B22="",$B22=0),"",($G22*(BS$4&lt;$I22)+$H22*(BS$4&gt;=$I22))*$C22*(1+'Property Summary'!$L$18)^('MF Rents'!BS$3-1))</f>
        <v/>
      </c>
      <c r="BT22" s="149" t="str">
        <f>IF(OR($B22="",$B22=0),"",($G22*(BT$4&lt;$I22)+$H22*(BT$4&gt;=$I22))*$C22*(1+'Property Summary'!$L$18)^('MF Rents'!BT$3-1))</f>
        <v/>
      </c>
      <c r="BU22" s="149" t="str">
        <f>IF(OR($B22="",$B22=0),"",($G22*(BU$4&lt;$I22)+$H22*(BU$4&gt;=$I22))*$C22*(1+'Property Summary'!$L$18)^('MF Rents'!BU$3-1))</f>
        <v/>
      </c>
      <c r="BV22" s="149" t="str">
        <f>IF(OR($B22="",$B22=0),"",($G22*(BV$4&lt;$I22)+$H22*(BV$4&gt;=$I22))*$C22*(1+'Property Summary'!$L$18)^('MF Rents'!BV$3-1))</f>
        <v/>
      </c>
      <c r="BW22" s="149" t="str">
        <f>IF(OR($B22="",$B22=0),"",($G22*(BW$4&lt;$I22)+$H22*(BW$4&gt;=$I22))*$C22*(1+'Property Summary'!$L$18)^('MF Rents'!BW$3-1))</f>
        <v/>
      </c>
      <c r="BX22" s="149" t="str">
        <f>IF(OR($B22="",$B22=0),"",($G22*(BX$4&lt;$I22)+$H22*(BX$4&gt;=$I22))*$C22*(1+'Property Summary'!$L$18)^('MF Rents'!BX$3-1))</f>
        <v/>
      </c>
      <c r="BY22" s="149" t="str">
        <f>IF(OR($B22="",$B22=0),"",($G22*(BY$4&lt;$I22)+$H22*(BY$4&gt;=$I22))*$C22*(1+'Property Summary'!$L$18)^('MF Rents'!BY$3-1))</f>
        <v/>
      </c>
      <c r="BZ22" s="149" t="str">
        <f>IF(OR($B22="",$B22=0),"",($G22*(BZ$4&lt;$I22)+$H22*(BZ$4&gt;=$I22))*$C22*(1+'Property Summary'!$L$18)^('MF Rents'!BZ$3-1))</f>
        <v/>
      </c>
      <c r="CA22" s="149" t="str">
        <f>IF(OR($B22="",$B22=0),"",($G22*(CA$4&lt;$I22)+$H22*(CA$4&gt;=$I22))*$C22*(1+'Property Summary'!$L$18)^('MF Rents'!CA$3-1))</f>
        <v/>
      </c>
      <c r="CB22" s="149" t="str">
        <f>IF(OR($B22="",$B22=0),"",($G22*(CB$4&lt;$I22)+$H22*(CB$4&gt;=$I22))*$C22*(1+'Property Summary'!$L$18)^('MF Rents'!CB$3-1))</f>
        <v/>
      </c>
      <c r="CC22" s="149" t="str">
        <f>IF(OR($B22="",$B22=0),"",($G22*(CC$4&lt;$I22)+$H22*(CC$4&gt;=$I22))*$C22*(1+'Property Summary'!$L$18)^('MF Rents'!CC$3-1))</f>
        <v/>
      </c>
      <c r="CD22" s="149" t="str">
        <f>IF(OR($B22="",$B22=0),"",($G22*(CD$4&lt;$I22)+$H22*(CD$4&gt;=$I22))*$C22*(1+'Property Summary'!$L$18)^('MF Rents'!CD$3-1))</f>
        <v/>
      </c>
      <c r="CE22" s="149" t="str">
        <f>IF(OR($B22="",$B22=0),"",($G22*(CE$4&lt;$I22)+$H22*(CE$4&gt;=$I22))*$C22*(1+'Property Summary'!$L$18)^('MF Rents'!CE$3-1))</f>
        <v/>
      </c>
      <c r="CF22" s="149" t="str">
        <f>IF(OR($B22="",$B22=0),"",($G22*(CF$4&lt;$I22)+$H22*(CF$4&gt;=$I22))*$C22*(1+'Property Summary'!$L$18)^('MF Rents'!CF$3-1))</f>
        <v/>
      </c>
      <c r="CG22" s="149" t="str">
        <f>IF(OR($B22="",$B22=0),"",($G22*(CG$4&lt;$I22)+$H22*(CG$4&gt;=$I22))*$C22*(1+'Property Summary'!$L$18)^('MF Rents'!CG$3-1))</f>
        <v/>
      </c>
      <c r="CH22" s="149" t="str">
        <f>IF(OR($B22="",$B22=0),"",($G22*(CH$4&lt;$I22)+$H22*(CH$4&gt;=$I22))*$C22*(1+'Property Summary'!$L$18)^('MF Rents'!CH$3-1))</f>
        <v/>
      </c>
      <c r="CI22" s="149" t="str">
        <f>IF(OR($B22="",$B22=0),"",($G22*(CI$4&lt;$I22)+$H22*(CI$4&gt;=$I22))*$C22*(1+'Property Summary'!$L$18)^('MF Rents'!CI$3-1))</f>
        <v/>
      </c>
      <c r="CJ22" s="149" t="str">
        <f>IF(OR($B22="",$B22=0),"",($G22*(CJ$4&lt;$I22)+$H22*(CJ$4&gt;=$I22))*$C22*(1+'Property Summary'!$L$18)^('MF Rents'!CJ$3-1))</f>
        <v/>
      </c>
      <c r="CK22" s="149" t="str">
        <f>IF(OR($B22="",$B22=0),"",($G22*(CK$4&lt;$I22)+$H22*(CK$4&gt;=$I22))*$C22*(1+'Property Summary'!$L$18)^('MF Rents'!CK$3-1))</f>
        <v/>
      </c>
      <c r="CL22" s="149" t="str">
        <f>IF(OR($B22="",$B22=0),"",($G22*(CL$4&lt;$I22)+$H22*(CL$4&gt;=$I22))*$C22*(1+'Property Summary'!$L$18)^('MF Rents'!CL$3-1))</f>
        <v/>
      </c>
      <c r="CM22" s="149" t="str">
        <f>IF(OR($B22="",$B22=0),"",($G22*(CM$4&lt;$I22)+$H22*(CM$4&gt;=$I22))*$C22*(1+'Property Summary'!$L$18)^('MF Rents'!CM$3-1))</f>
        <v/>
      </c>
      <c r="CN22" s="149" t="str">
        <f>IF(OR($B22="",$B22=0),"",($G22*(CN$4&lt;$I22)+$H22*(CN$4&gt;=$I22))*$C22*(1+'Property Summary'!$L$18)^('MF Rents'!CN$3-1))</f>
        <v/>
      </c>
      <c r="CO22" s="149" t="str">
        <f>IF(OR($B22="",$B22=0),"",($G22*(CO$4&lt;$I22)+$H22*(CO$4&gt;=$I22))*$C22*(1+'Property Summary'!$L$18)^('MF Rents'!CO$3-1))</f>
        <v/>
      </c>
      <c r="CP22" s="149" t="str">
        <f>IF(OR($B22="",$B22=0),"",($G22*(CP$4&lt;$I22)+$H22*(CP$4&gt;=$I22))*$C22*(1+'Property Summary'!$L$18)^('MF Rents'!CP$3-1))</f>
        <v/>
      </c>
      <c r="CQ22" s="149" t="str">
        <f>IF(OR($B22="",$B22=0),"",($G22*(CQ$4&lt;$I22)+$H22*(CQ$4&gt;=$I22))*$C22*(1+'Property Summary'!$L$18)^('MF Rents'!CQ$3-1))</f>
        <v/>
      </c>
      <c r="CR22" s="149" t="str">
        <f>IF(OR($B22="",$B22=0),"",($G22*(CR$4&lt;$I22)+$H22*(CR$4&gt;=$I22))*$C22*(1+'Property Summary'!$L$18)^('MF Rents'!CR$3-1))</f>
        <v/>
      </c>
      <c r="CS22" s="149" t="str">
        <f>IF(OR($B22="",$B22=0),"",($G22*(CS$4&lt;$I22)+$H22*(CS$4&gt;=$I22))*$C22*(1+'Property Summary'!$L$18)^('MF Rents'!CS$3-1))</f>
        <v/>
      </c>
      <c r="CT22" s="149" t="str">
        <f>IF(OR($B22="",$B22=0),"",($G22*(CT$4&lt;$I22)+$H22*(CT$4&gt;=$I22))*$C22*(1+'Property Summary'!$L$18)^('MF Rents'!CT$3-1))</f>
        <v/>
      </c>
      <c r="CU22" s="149" t="str">
        <f>IF(OR($B22="",$B22=0),"",($G22*(CU$4&lt;$I22)+$H22*(CU$4&gt;=$I22))*$C22*(1+'Property Summary'!$L$18)^('MF Rents'!CU$3-1))</f>
        <v/>
      </c>
      <c r="CV22" s="149" t="str">
        <f>IF(OR($B22="",$B22=0),"",($G22*(CV$4&lt;$I22)+$H22*(CV$4&gt;=$I22))*$C22*(1+'Property Summary'!$L$18)^('MF Rents'!CV$3-1))</f>
        <v/>
      </c>
      <c r="CW22" s="149" t="str">
        <f>IF(OR($B22="",$B22=0),"",($G22*(CW$4&lt;$I22)+$H22*(CW$4&gt;=$I22))*$C22*(1+'Property Summary'!$L$18)^('MF Rents'!CW$3-1))</f>
        <v/>
      </c>
      <c r="CX22" s="149" t="str">
        <f>IF(OR($B22="",$B22=0),"",($G22*(CX$4&lt;$I22)+$H22*(CX$4&gt;=$I22))*$C22*(1+'Property Summary'!$L$18)^('MF Rents'!CX$3-1))</f>
        <v/>
      </c>
      <c r="CY22" s="149" t="str">
        <f>IF(OR($B22="",$B22=0),"",($G22*(CY$4&lt;$I22)+$H22*(CY$4&gt;=$I22))*$C22*(1+'Property Summary'!$L$18)^('MF Rents'!CY$3-1))</f>
        <v/>
      </c>
      <c r="CZ22" s="149" t="str">
        <f>IF(OR($B22="",$B22=0),"",($G22*(CZ$4&lt;$I22)+$H22*(CZ$4&gt;=$I22))*$C22*(1+'Property Summary'!$L$18)^('MF Rents'!CZ$3-1))</f>
        <v/>
      </c>
      <c r="DA22" s="149" t="str">
        <f>IF(OR($B22="",$B22=0),"",($G22*(DA$4&lt;$I22)+$H22*(DA$4&gt;=$I22))*$C22*(1+'Property Summary'!$L$18)^('MF Rents'!DA$3-1))</f>
        <v/>
      </c>
      <c r="DB22" s="149" t="str">
        <f>IF(OR($B22="",$B22=0),"",($G22*(DB$4&lt;$I22)+$H22*(DB$4&gt;=$I22))*$C22*(1+'Property Summary'!$L$18)^('MF Rents'!DB$3-1))</f>
        <v/>
      </c>
      <c r="DC22" s="149" t="str">
        <f>IF(OR($B22="",$B22=0),"",($G22*(DC$4&lt;$I22)+$H22*(DC$4&gt;=$I22))*$C22*(1+'Property Summary'!$L$18)^('MF Rents'!DC$3-1))</f>
        <v/>
      </c>
      <c r="DD22" s="149" t="str">
        <f>IF(OR($B22="",$B22=0),"",($G22*(DD$4&lt;$I22)+$H22*(DD$4&gt;=$I22))*$C22*(1+'Property Summary'!$L$18)^('MF Rents'!DD$3-1))</f>
        <v/>
      </c>
      <c r="DE22" s="149" t="str">
        <f>IF(OR($B22="",$B22=0),"",($G22*(DE$4&lt;$I22)+$H22*(DE$4&gt;=$I22))*$C22*(1+'Property Summary'!$L$18)^('MF Rents'!DE$3-1))</f>
        <v/>
      </c>
      <c r="DF22" s="149" t="str">
        <f>IF(OR($B22="",$B22=0),"",($G22*(DF$4&lt;$I22)+$H22*(DF$4&gt;=$I22))*$C22*(1+'Property Summary'!$L$18)^('MF Rents'!DF$3-1))</f>
        <v/>
      </c>
      <c r="DG22" s="149" t="str">
        <f>IF(OR($B22="",$B22=0),"",($G22*(DG$4&lt;$I22)+$H22*(DG$4&gt;=$I22))*$C22*(1+'Property Summary'!$L$18)^('MF Rents'!DG$3-1))</f>
        <v/>
      </c>
      <c r="DH22" s="149" t="str">
        <f>IF(OR($B22="",$B22=0),"",($G22*(DH$4&lt;$I22)+$H22*(DH$4&gt;=$I22))*$C22*(1+'Property Summary'!$L$18)^('MF Rents'!DH$3-1))</f>
        <v/>
      </c>
      <c r="DI22" s="149" t="str">
        <f>IF(OR($B22="",$B22=0),"",($G22*(DI$4&lt;$I22)+$H22*(DI$4&gt;=$I22))*$C22*(1+'Property Summary'!$L$18)^('MF Rents'!DI$3-1))</f>
        <v/>
      </c>
      <c r="DJ22" s="149" t="str">
        <f>IF(OR($B22="",$B22=0),"",($G22*(DJ$4&lt;$I22)+$H22*(DJ$4&gt;=$I22))*$C22*(1+'Property Summary'!$L$18)^('MF Rents'!DJ$3-1))</f>
        <v/>
      </c>
      <c r="DK22" s="149" t="str">
        <f>IF(OR($B22="",$B22=0),"",($G22*(DK$4&lt;$I22)+$H22*(DK$4&gt;=$I22))*$C22*(1+'Property Summary'!$L$18)^('MF Rents'!DK$3-1))</f>
        <v/>
      </c>
      <c r="DL22" s="149" t="str">
        <f>IF(OR($B22="",$B22=0),"",($G22*(DL$4&lt;$I22)+$H22*(DL$4&gt;=$I22))*$C22*(1+'Property Summary'!$L$18)^('MF Rents'!DL$3-1))</f>
        <v/>
      </c>
      <c r="DM22" s="149" t="str">
        <f>IF(OR($B22="",$B22=0),"",($G22*(DM$4&lt;$I22)+$H22*(DM$4&gt;=$I22))*$C22*(1+'Property Summary'!$L$18)^('MF Rents'!DM$3-1))</f>
        <v/>
      </c>
      <c r="DN22" s="149" t="str">
        <f>IF(OR($B22="",$B22=0),"",($G22*(DN$4&lt;$I22)+$H22*(DN$4&gt;=$I22))*$C22*(1+'Property Summary'!$L$18)^('MF Rents'!DN$3-1))</f>
        <v/>
      </c>
      <c r="DO22" s="149" t="str">
        <f>IF(OR($B22="",$B22=0),"",($G22*(DO$4&lt;$I22)+$H22*(DO$4&gt;=$I22))*$C22*(1+'Property Summary'!$L$18)^('MF Rents'!DO$3-1))</f>
        <v/>
      </c>
      <c r="DP22" s="149" t="str">
        <f>IF(OR($B22="",$B22=0),"",($G22*(DP$4&lt;$I22)+$H22*(DP$4&gt;=$I22))*$C22*(1+'Property Summary'!$L$18)^('MF Rents'!DP$3-1))</f>
        <v/>
      </c>
      <c r="DQ22" s="149" t="str">
        <f>IF(OR($B22="",$B22=0),"",($G22*(DQ$4&lt;$I22)+$H22*(DQ$4&gt;=$I22))*$C22*(1+'Property Summary'!$L$18)^('MF Rents'!DQ$3-1))</f>
        <v/>
      </c>
      <c r="DR22" s="149" t="str">
        <f>IF(OR($B22="",$B22=0),"",($G22*(DR$4&lt;$I22)+$H22*(DR$4&gt;=$I22))*$C22*(1+'Property Summary'!$L$18)^('MF Rents'!DR$3-1))</f>
        <v/>
      </c>
      <c r="DS22" s="149" t="str">
        <f>IF(OR($B22="",$B22=0),"",($G22*(DS$4&lt;$I22)+$H22*(DS$4&gt;=$I22))*$C22*(1+'Property Summary'!$L$18)^('MF Rents'!DS$3-1))</f>
        <v/>
      </c>
      <c r="DT22" s="149" t="str">
        <f>IF(OR($B22="",$B22=0),"",($G22*(DT$4&lt;$I22)+$H22*(DT$4&gt;=$I22))*$C22*(1+'Property Summary'!$L$18)^('MF Rents'!DT$3-1))</f>
        <v/>
      </c>
      <c r="DU22" s="149" t="str">
        <f>IF(OR($B22="",$B22=0),"",($G22*(DU$4&lt;$I22)+$H22*(DU$4&gt;=$I22))*$C22*(1+'Property Summary'!$L$18)^('MF Rents'!DU$3-1))</f>
        <v/>
      </c>
      <c r="DV22" s="149" t="str">
        <f>IF(OR($B22="",$B22=0),"",($G22*(DV$4&lt;$I22)+$H22*(DV$4&gt;=$I22))*$C22*(1+'Property Summary'!$L$18)^('MF Rents'!DV$3-1))</f>
        <v/>
      </c>
      <c r="DW22" s="149" t="str">
        <f>IF(OR($B22="",$B22=0),"",($G22*(DW$4&lt;$I22)+$H22*(DW$4&gt;=$I22))*$C22*(1+'Property Summary'!$L$18)^('MF Rents'!DW$3-1))</f>
        <v/>
      </c>
      <c r="DX22" s="149" t="str">
        <f>IF(OR($B22="",$B22=0),"",($G22*(DX$4&lt;$I22)+$H22*(DX$4&gt;=$I22))*$C22*(1+'Property Summary'!$L$18)^('MF Rents'!DX$3-1))</f>
        <v/>
      </c>
      <c r="DY22" s="149" t="str">
        <f>IF(OR($B22="",$B22=0),"",($G22*(DY$4&lt;$I22)+$H22*(DY$4&gt;=$I22))*$C22*(1+'Property Summary'!$L$18)^('MF Rents'!DY$3-1))</f>
        <v/>
      </c>
      <c r="DZ22" s="149" t="str">
        <f>IF(OR($B22="",$B22=0),"",($G22*(DZ$4&lt;$I22)+$H22*(DZ$4&gt;=$I22))*$C22*(1+'Property Summary'!$L$18)^('MF Rents'!DZ$3-1))</f>
        <v/>
      </c>
      <c r="EA22" s="149" t="str">
        <f>IF(OR($B22="",$B22=0),"",($G22*(EA$4&lt;$I22)+$H22*(EA$4&gt;=$I22))*$C22*(1+'Property Summary'!$L$18)^('MF Rents'!EA$3-1))</f>
        <v/>
      </c>
      <c r="EB22" s="149" t="str">
        <f>IF(OR($B22="",$B22=0),"",($G22*(EB$4&lt;$I22)+$H22*(EB$4&gt;=$I22))*$C22*(1+'Property Summary'!$L$18)^('MF Rents'!EB$3-1))</f>
        <v/>
      </c>
      <c r="EC22" s="149" t="str">
        <f>IF(OR($B22="",$B22=0),"",($G22*(EC$4&lt;$I22)+$H22*(EC$4&gt;=$I22))*$C22*(1+'Property Summary'!$L$18)^('MF Rents'!EC$3-1))</f>
        <v/>
      </c>
      <c r="ED22" s="149" t="str">
        <f>IF(OR($B22="",$B22=0),"",($G22*(ED$4&lt;$I22)+$H22*(ED$4&gt;=$I22))*$C22*(1+'Property Summary'!$L$18)^('MF Rents'!ED$3-1))</f>
        <v/>
      </c>
      <c r="EE22" s="149" t="str">
        <f>IF(OR($B22="",$B22=0),"",($G22*(EE$4&lt;$I22)+$H22*(EE$4&gt;=$I22))*$C22*(1+'Property Summary'!$L$18)^('MF Rents'!EE$3-1))</f>
        <v/>
      </c>
      <c r="EF22" s="149" t="str">
        <f>IF(OR($B22="",$B22=0),"",($G22*(EF$4&lt;$I22)+$H22*(EF$4&gt;=$I22))*$C22*(1+'Property Summary'!$L$18)^('MF Rents'!EF$3-1))</f>
        <v/>
      </c>
      <c r="EG22" s="149" t="str">
        <f>IF(OR($B22="",$B22=0),"",($G22*(EG$4&lt;$I22)+$H22*(EG$4&gt;=$I22))*$C22*(1+'Property Summary'!$L$18)^('MF Rents'!EG$3-1))</f>
        <v/>
      </c>
      <c r="EH22" s="149" t="str">
        <f>IF(OR($B22="",$B22=0),"",($G22*(EH$4&lt;$I22)+$H22*(EH$4&gt;=$I22))*$C22*(1+'Property Summary'!$L$18)^('MF Rents'!EH$3-1))</f>
        <v/>
      </c>
      <c r="EI22" s="149" t="str">
        <f>IF(OR($B22="",$B22=0),"",($G22*(EI$4&lt;$I22)+$H22*(EI$4&gt;=$I22))*$C22*(1+'Property Summary'!$L$18)^('MF Rents'!EI$3-1))</f>
        <v/>
      </c>
      <c r="EJ22" s="149" t="str">
        <f>IF(OR($B22="",$B22=0),"",($G22*(EJ$4&lt;$I22)+$H22*(EJ$4&gt;=$I22))*$C22*(1+'Property Summary'!$L$18)^('MF Rents'!EJ$3-1))</f>
        <v/>
      </c>
      <c r="EK22" s="149" t="str">
        <f>IF(OR($B22="",$B22=0),"",($G22*(EK$4&lt;$I22)+$H22*(EK$4&gt;=$I22))*$C22*(1+'Property Summary'!$L$18)^('MF Rents'!EK$3-1))</f>
        <v/>
      </c>
      <c r="EL22" s="149" t="str">
        <f>IF(OR($B22="",$B22=0),"",($G22*(EL$4&lt;$I22)+$H22*(EL$4&gt;=$I22))*$C22*(1+'Property Summary'!$L$18)^('MF Rents'!EL$3-1))</f>
        <v/>
      </c>
      <c r="EM22" s="149" t="str">
        <f>IF(OR($B22="",$B22=0),"",($G22*(EM$4&lt;$I22)+$H22*(EM$4&gt;=$I22))*$C22*(1+'Property Summary'!$L$18)^('MF Rents'!EM$3-1))</f>
        <v/>
      </c>
      <c r="EN22" s="149" t="str">
        <f>IF(OR($B22="",$B22=0),"",($G22*(EN$4&lt;$I22)+$H22*(EN$4&gt;=$I22))*$C22*(1+'Property Summary'!$L$18)^('MF Rents'!EN$3-1))</f>
        <v/>
      </c>
      <c r="EO22" s="149" t="str">
        <f>IF(OR($B22="",$B22=0),"",($G22*(EO$4&lt;$I22)+$H22*(EO$4&gt;=$I22))*$C22*(1+'Property Summary'!$L$18)^('MF Rents'!EO$3-1))</f>
        <v/>
      </c>
      <c r="EP22" s="149" t="str">
        <f>IF(OR($B22="",$B22=0),"",($G22*(EP$4&lt;$I22)+$H22*(EP$4&gt;=$I22))*$C22*(1+'Property Summary'!$L$18)^('MF Rents'!EP$3-1))</f>
        <v/>
      </c>
      <c r="EQ22" s="149" t="str">
        <f>IF(OR($B22="",$B22=0),"",($G22*(EQ$4&lt;$I22)+$H22*(EQ$4&gt;=$I22))*$C22*(1+'Property Summary'!$L$18)^('MF Rents'!EQ$3-1))</f>
        <v/>
      </c>
      <c r="ER22" s="149" t="str">
        <f>IF(OR($B22="",$B22=0),"",($G22*(ER$4&lt;$I22)+$H22*(ER$4&gt;=$I22))*$C22*(1+'Property Summary'!$L$18)^('MF Rents'!ER$3-1))</f>
        <v/>
      </c>
      <c r="ES22" s="149" t="str">
        <f>IF(OR($B22="",$B22=0),"",($G22*(ES$4&lt;$I22)+$H22*(ES$4&gt;=$I22))*$C22*(1+'Property Summary'!$L$18)^('MF Rents'!ES$3-1))</f>
        <v/>
      </c>
      <c r="ET22" s="149" t="str">
        <f>IF(OR($B22="",$B22=0),"",($G22*(ET$4&lt;$I22)+$H22*(ET$4&gt;=$I22))*$C22*(1+'Property Summary'!$L$18)^('MF Rents'!ET$3-1))</f>
        <v/>
      </c>
      <c r="EU22" s="149" t="str">
        <f>IF(OR($B22="",$B22=0),"",($G22*(EU$4&lt;$I22)+$H22*(EU$4&gt;=$I22))*$C22*(1+'Property Summary'!$L$18)^('MF Rents'!EU$3-1))</f>
        <v/>
      </c>
      <c r="EV22" s="149" t="str">
        <f>IF(OR($B22="",$B22=0),"",($G22*(EV$4&lt;$I22)+$H22*(EV$4&gt;=$I22))*$C22*(1+'Property Summary'!$L$18)^('MF Rents'!EV$3-1))</f>
        <v/>
      </c>
      <c r="EW22" s="149" t="str">
        <f>IF(OR($B22="",$B22=0),"",($G22*(EW$4&lt;$I22)+$H22*(EW$4&gt;=$I22))*$C22*(1+'Property Summary'!$L$18)^('MF Rents'!EW$3-1))</f>
        <v/>
      </c>
      <c r="EX22" s="149" t="str">
        <f>IF(OR($B22="",$B22=0),"",($G22*(EX$4&lt;$I22)+$H22*(EX$4&gt;=$I22))*$C22*(1+'Property Summary'!$L$18)^('MF Rents'!EX$3-1))</f>
        <v/>
      </c>
      <c r="EY22" s="149" t="str">
        <f>IF(OR($B22="",$B22=0),"",($G22*(EY$4&lt;$I22)+$H22*(EY$4&gt;=$I22))*$C22*(1+'Property Summary'!$L$18)^('MF Rents'!EY$3-1))</f>
        <v/>
      </c>
      <c r="EZ22" s="149" t="str">
        <f>IF(OR($B22="",$B22=0),"",($G22*(EZ$4&lt;$I22)+$H22*(EZ$4&gt;=$I22))*$C22*(1+'Property Summary'!$L$18)^('MF Rents'!EZ$3-1))</f>
        <v/>
      </c>
      <c r="FA22" s="149" t="str">
        <f>IF(OR($B22="",$B22=0),"",($G22*(FA$4&lt;$I22)+$H22*(FA$4&gt;=$I22))*$C22*(1+'Property Summary'!$L$18)^('MF Rents'!FA$3-1))</f>
        <v/>
      </c>
      <c r="FB22" s="149" t="str">
        <f>IF(OR($B22="",$B22=0),"",($G22*(FB$4&lt;$I22)+$H22*(FB$4&gt;=$I22))*$C22*(1+'Property Summary'!$L$18)^('MF Rents'!FB$3-1))</f>
        <v/>
      </c>
      <c r="FC22" s="149" t="str">
        <f>IF(OR($B22="",$B22=0),"",($G22*(FC$4&lt;$I22)+$H22*(FC$4&gt;=$I22))*$C22*(1+'Property Summary'!$L$18)^('MF Rents'!FC$3-1))</f>
        <v/>
      </c>
      <c r="FD22" s="149" t="str">
        <f>IF(OR($B22="",$B22=0),"",($G22*(FD$4&lt;$I22)+$H22*(FD$4&gt;=$I22))*$C22*(1+'Property Summary'!$L$18)^('MF Rents'!FD$3-1))</f>
        <v/>
      </c>
      <c r="FE22" s="149" t="str">
        <f>IF(OR($B22="",$B22=0),"",($G22*(FE$4&lt;$I22)+$H22*(FE$4&gt;=$I22))*$C22*(1+'Property Summary'!$L$18)^('MF Rents'!FE$3-1))</f>
        <v/>
      </c>
      <c r="FF22" s="149" t="str">
        <f>IF(OR($B22="",$B22=0),"",($G22*(FF$4&lt;$I22)+$H22*(FF$4&gt;=$I22))*$C22*(1+'Property Summary'!$L$18)^('MF Rents'!FF$3-1))</f>
        <v/>
      </c>
      <c r="FG22" s="149" t="str">
        <f>IF(OR($B22="",$B22=0),"",($G22*(FG$4&lt;$I22)+$H22*(FG$4&gt;=$I22))*$C22*(1+'Property Summary'!$L$18)^('MF Rents'!FG$3-1))</f>
        <v/>
      </c>
      <c r="FH22" s="149" t="str">
        <f>IF(OR($B22="",$B22=0),"",($G22*(FH$4&lt;$I22)+$H22*(FH$4&gt;=$I22))*$C22*(1+'Property Summary'!$L$18)^('MF Rents'!FH$3-1))</f>
        <v/>
      </c>
      <c r="FI22" s="149" t="str">
        <f>IF(OR($B22="",$B22=0),"",($G22*(FI$4&lt;$I22)+$H22*(FI$4&gt;=$I22))*$C22*(1+'Property Summary'!$L$18)^('MF Rents'!FI$3-1))</f>
        <v/>
      </c>
      <c r="FJ22" s="149" t="str">
        <f>IF(OR($B22="",$B22=0),"",($G22*(FJ$4&lt;$I22)+$H22*(FJ$4&gt;=$I22))*$C22*(1+'Property Summary'!$L$18)^('MF Rents'!FJ$3-1))</f>
        <v/>
      </c>
      <c r="FK22" s="149" t="str">
        <f>IF(OR($B22="",$B22=0),"",($G22*(FK$4&lt;$I22)+$H22*(FK$4&gt;=$I22))*$C22*(1+'Property Summary'!$L$18)^('MF Rents'!FK$3-1))</f>
        <v/>
      </c>
      <c r="FL22" s="149" t="str">
        <f>IF(OR($B22="",$B22=0),"",($G22*(FL$4&lt;$I22)+$H22*(FL$4&gt;=$I22))*$C22*(1+'Property Summary'!$L$18)^('MF Rents'!FL$3-1))</f>
        <v/>
      </c>
      <c r="FM22" s="149" t="str">
        <f>IF(OR($B22="",$B22=0),"",($G22*(FM$4&lt;$I22)+$H22*(FM$4&gt;=$I22))*$C22*(1+'Property Summary'!$L$18)^('MF Rents'!FM$3-1))</f>
        <v/>
      </c>
      <c r="FN22" s="149" t="str">
        <f>IF(OR($B22="",$B22=0),"",($G22*(FN$4&lt;$I22)+$H22*(FN$4&gt;=$I22))*$C22*(1+'Property Summary'!$L$18)^('MF Rents'!FN$3-1))</f>
        <v/>
      </c>
      <c r="FO22" s="149" t="str">
        <f>IF(OR($B22="",$B22=0),"",($G22*(FO$4&lt;$I22)+$H22*(FO$4&gt;=$I22))*$C22*(1+'Property Summary'!$L$18)^('MF Rents'!FO$3-1))</f>
        <v/>
      </c>
      <c r="FP22" s="149" t="str">
        <f>IF(OR($B22="",$B22=0),"",($G22*(FP$4&lt;$I22)+$H22*(FP$4&gt;=$I22))*$C22*(1+'Property Summary'!$L$18)^('MF Rents'!FP$3-1))</f>
        <v/>
      </c>
      <c r="FQ22" s="149" t="str">
        <f>IF(OR($B22="",$B22=0),"",($G22*(FQ$4&lt;$I22)+$H22*(FQ$4&gt;=$I22))*$C22*(1+'Property Summary'!$L$18)^('MF Rents'!FQ$3-1))</f>
        <v/>
      </c>
      <c r="FR22" s="149" t="str">
        <f>IF(OR($B22="",$B22=0),"",($G22*(FR$4&lt;$I22)+$H22*(FR$4&gt;=$I22))*$C22*(1+'Property Summary'!$L$18)^('MF Rents'!FR$3-1))</f>
        <v/>
      </c>
      <c r="FS22" s="149" t="str">
        <f>IF(OR($B22="",$B22=0),"",($G22*(FS$4&lt;$I22)+$H22*(FS$4&gt;=$I22))*$C22*(1+'Property Summary'!$L$18)^('MF Rents'!FS$3-1))</f>
        <v/>
      </c>
      <c r="FT22" s="149" t="str">
        <f>IF(OR($B22="",$B22=0),"",($G22*(FT$4&lt;$I22)+$H22*(FT$4&gt;=$I22))*$C22*(1+'Property Summary'!$L$18)^('MF Rents'!FT$3-1))</f>
        <v/>
      </c>
      <c r="FU22" s="149" t="str">
        <f>IF(OR($B22="",$B22=0),"",($G22*(FU$4&lt;$I22)+$H22*(FU$4&gt;=$I22))*$C22*(1+'Property Summary'!$L$18)^('MF Rents'!FU$3-1))</f>
        <v/>
      </c>
      <c r="FV22" s="149" t="str">
        <f>IF(OR($B22="",$B22=0),"",($G22*(FV$4&lt;$I22)+$H22*(FV$4&gt;=$I22))*$C22*(1+'Property Summary'!$L$18)^('MF Rents'!FV$3-1))</f>
        <v/>
      </c>
      <c r="FW22" s="149" t="str">
        <f>IF(OR($B22="",$B22=0),"",($G22*(FW$4&lt;$I22)+$H22*(FW$4&gt;=$I22))*$C22*(1+'Property Summary'!$L$18)^('MF Rents'!FW$3-1))</f>
        <v/>
      </c>
      <c r="FX22" s="149" t="str">
        <f>IF(OR($B22="",$B22=0),"",($G22*(FX$4&lt;$I22)+$H22*(FX$4&gt;=$I22))*$C22*(1+'Property Summary'!$L$18)^('MF Rents'!FX$3-1))</f>
        <v/>
      </c>
      <c r="FY22" s="149" t="str">
        <f>IF(OR($B22="",$B22=0),"",($G22*(FY$4&lt;$I22)+$H22*(FY$4&gt;=$I22))*$C22*(1+'Property Summary'!$L$18)^('MF Rents'!FY$3-1))</f>
        <v/>
      </c>
      <c r="FZ22" s="149" t="str">
        <f>IF(OR($B22="",$B22=0),"",($G22*(FZ$4&lt;$I22)+$H22*(FZ$4&gt;=$I22))*$C22*(1+'Property Summary'!$L$18)^('MF Rents'!FZ$3-1))</f>
        <v/>
      </c>
      <c r="GA22" s="149" t="str">
        <f>IF(OR($B22="",$B22=0),"",($G22*(GA$4&lt;$I22)+$H22*(GA$4&gt;=$I22))*$C22*(1+'Property Summary'!$L$18)^('MF Rents'!GA$3-1))</f>
        <v/>
      </c>
      <c r="GB22" s="149" t="str">
        <f>IF(OR($B22="",$B22=0),"",($G22*(GB$4&lt;$I22)+$H22*(GB$4&gt;=$I22))*$C22*(1+'Property Summary'!$L$18)^('MF Rents'!GB$3-1))</f>
        <v/>
      </c>
      <c r="GC22" s="149" t="str">
        <f>IF(OR($B22="",$B22=0),"",($G22*(GC$4&lt;$I22)+$H22*(GC$4&gt;=$I22))*$C22*(1+'Property Summary'!$L$18)^('MF Rents'!GC$3-1))</f>
        <v/>
      </c>
      <c r="GD22" s="149" t="str">
        <f>IF(OR($B22="",$B22=0),"",($G22*(GD$4&lt;$I22)+$H22*(GD$4&gt;=$I22))*$C22*(1+'Property Summary'!$L$18)^('MF Rents'!GD$3-1))</f>
        <v/>
      </c>
      <c r="GE22" s="149" t="str">
        <f>IF(OR($B22="",$B22=0),"",($G22*(GE$4&lt;$I22)+$H22*(GE$4&gt;=$I22))*$C22*(1+'Property Summary'!$L$18)^('MF Rents'!GE$3-1))</f>
        <v/>
      </c>
      <c r="GF22" s="149" t="str">
        <f>IF(OR($B22="",$B22=0),"",($G22*(GF$4&lt;$I22)+$H22*(GF$4&gt;=$I22))*$C22*(1+'Property Summary'!$L$18)^('MF Rents'!GF$3-1))</f>
        <v/>
      </c>
      <c r="GG22" s="149" t="str">
        <f>IF(OR($B22="",$B22=0),"",($G22*(GG$4&lt;$I22)+$H22*(GG$4&gt;=$I22))*$C22*(1+'Property Summary'!$L$18)^('MF Rents'!GG$3-1))</f>
        <v/>
      </c>
      <c r="GH22" s="149" t="str">
        <f>IF(OR($B22="",$B22=0),"",($G22*(GH$4&lt;$I22)+$H22*(GH$4&gt;=$I22))*$C22*(1+'Property Summary'!$L$18)^('MF Rents'!GH$3-1))</f>
        <v/>
      </c>
      <c r="GI22" s="149" t="str">
        <f>IF(OR($B22="",$B22=0),"",($G22*(GI$4&lt;$I22)+$H22*(GI$4&gt;=$I22))*$C22*(1+'Property Summary'!$L$18)^('MF Rents'!GI$3-1))</f>
        <v/>
      </c>
      <c r="GJ22" s="149" t="str">
        <f>IF(OR($B22="",$B22=0),"",($G22*(GJ$4&lt;$I22)+$H22*(GJ$4&gt;=$I22))*$C22*(1+'Property Summary'!$L$18)^('MF Rents'!GJ$3-1))</f>
        <v/>
      </c>
      <c r="GK22" s="149" t="str">
        <f>IF(OR($B22="",$B22=0),"",($G22*(GK$4&lt;$I22)+$H22*(GK$4&gt;=$I22))*$C22*(1+'Property Summary'!$L$18)^('MF Rents'!GK$3-1))</f>
        <v/>
      </c>
      <c r="GL22" s="149" t="str">
        <f>IF(OR($B22="",$B22=0),"",($G22*(GL$4&lt;$I22)+$H22*(GL$4&gt;=$I22))*$C22*(1+'Property Summary'!$L$18)^('MF Rents'!GL$3-1))</f>
        <v/>
      </c>
      <c r="GM22" s="149" t="str">
        <f>IF(OR($B22="",$B22=0),"",($G22*(GM$4&lt;$I22)+$H22*(GM$4&gt;=$I22))*$C22*(1+'Property Summary'!$L$18)^('MF Rents'!GM$3-1))</f>
        <v/>
      </c>
      <c r="GN22" s="149" t="str">
        <f>IF(OR($B22="",$B22=0),"",($G22*(GN$4&lt;$I22)+$H22*(GN$4&gt;=$I22))*$C22*(1+'Property Summary'!$L$18)^('MF Rents'!GN$3-1))</f>
        <v/>
      </c>
      <c r="GO22" s="149" t="str">
        <f>IF(OR($B22="",$B22=0),"",($G22*(GO$4&lt;$I22)+$H22*(GO$4&gt;=$I22))*$C22*(1+'Property Summary'!$L$18)^('MF Rents'!GO$3-1))</f>
        <v/>
      </c>
      <c r="GP22" s="149" t="str">
        <f>IF(OR($B22="",$B22=0),"",($G22*(GP$4&lt;$I22)+$H22*(GP$4&gt;=$I22))*$C22*(1+'Property Summary'!$L$18)^('MF Rents'!GP$3-1))</f>
        <v/>
      </c>
      <c r="GQ22" s="149" t="str">
        <f>IF(OR($B22="",$B22=0),"",($G22*(GQ$4&lt;$I22)+$H22*(GQ$4&gt;=$I22))*$C22*(1+'Property Summary'!$L$18)^('MF Rents'!GQ$3-1))</f>
        <v/>
      </c>
      <c r="GR22" s="149" t="str">
        <f>IF(OR($B22="",$B22=0),"",($G22*(GR$4&lt;$I22)+$H22*(GR$4&gt;=$I22))*$C22*(1+'Property Summary'!$L$18)^('MF Rents'!GR$3-1))</f>
        <v/>
      </c>
    </row>
    <row r="23" spans="2:200" x14ac:dyDescent="0.3">
      <c r="B23" s="184">
        <f>'MF Rent Roll'!B22</f>
        <v>0</v>
      </c>
      <c r="C23" s="171">
        <f>'MF Rent Roll'!C22</f>
        <v>0</v>
      </c>
      <c r="D23" s="172">
        <f>'MF Rent Roll'!D22</f>
        <v>0</v>
      </c>
      <c r="E23" s="172">
        <f>'MF Rent Roll'!E22</f>
        <v>0</v>
      </c>
      <c r="F23" s="173">
        <f>'MF Rent Roll'!F22</f>
        <v>0</v>
      </c>
      <c r="G23" s="174">
        <f>'MF Rent Roll'!G22</f>
        <v>0</v>
      </c>
      <c r="H23" s="174">
        <f>IF('MF Rent Roll'!H22="",G23,'MF Rent Roll'!H22)</f>
        <v>0</v>
      </c>
      <c r="I23" s="175">
        <f>IF('MF Rent Roll'!I22="",1,'MF Rent Roll'!I22)</f>
        <v>1</v>
      </c>
      <c r="J23" s="176">
        <f>'MF Rent Roll'!J22</f>
        <v>0</v>
      </c>
      <c r="K23" s="174">
        <f>'MF Rent Roll'!K22</f>
        <v>0</v>
      </c>
      <c r="L23" s="177">
        <f>'MF Rent Roll'!L22</f>
        <v>0</v>
      </c>
      <c r="M23" s="178">
        <f>'MF Rent Roll'!M22</f>
        <v>0</v>
      </c>
      <c r="N23" s="174">
        <f>'MF Rent Roll'!N22</f>
        <v>0</v>
      </c>
      <c r="O23" s="179">
        <f>'MF Rent Roll'!O22</f>
        <v>0</v>
      </c>
      <c r="P23" s="180" t="str">
        <f>'MF Rent Roll'!P22</f>
        <v/>
      </c>
      <c r="Q23" s="181" t="str">
        <f>'MF Rent Roll'!Q22</f>
        <v/>
      </c>
      <c r="R23" s="104" t="str">
        <f>'MF Rent Roll'!R22</f>
        <v/>
      </c>
      <c r="U23" s="149" t="str">
        <f>IF(OR($B23="",$B23=0),"",($G23*(U$4&lt;$I23)+$H23*(U$4&gt;=$I23))*$C23*(1+'Property Summary'!$L$18)^('MF Rents'!U$3-1))</f>
        <v/>
      </c>
      <c r="V23" s="149" t="str">
        <f>IF(OR($B23="",$B23=0),"",($G23*(V$4&lt;$I23)+$H23*(V$4&gt;=$I23))*$C23*(1+'Property Summary'!$L$18)^('MF Rents'!V$3-1))</f>
        <v/>
      </c>
      <c r="W23" s="149" t="str">
        <f>IF(OR($B23="",$B23=0),"",($G23*(W$4&lt;$I23)+$H23*(W$4&gt;=$I23))*$C23*(1+'Property Summary'!$L$18)^('MF Rents'!W$3-1))</f>
        <v/>
      </c>
      <c r="X23" s="149" t="str">
        <f>IF(OR($B23="",$B23=0),"",($G23*(X$4&lt;$I23)+$H23*(X$4&gt;=$I23))*$C23*(1+'Property Summary'!$L$18)^('MF Rents'!X$3-1))</f>
        <v/>
      </c>
      <c r="Y23" s="149" t="str">
        <f>IF(OR($B23="",$B23=0),"",($G23*(Y$4&lt;$I23)+$H23*(Y$4&gt;=$I23))*$C23*(1+'Property Summary'!$L$18)^('MF Rents'!Y$3-1))</f>
        <v/>
      </c>
      <c r="Z23" s="149" t="str">
        <f>IF(OR($B23="",$B23=0),"",($G23*(Z$4&lt;$I23)+$H23*(Z$4&gt;=$I23))*$C23*(1+'Property Summary'!$L$18)^('MF Rents'!Z$3-1))</f>
        <v/>
      </c>
      <c r="AA23" s="149" t="str">
        <f>IF(OR($B23="",$B23=0),"",($G23*(AA$4&lt;$I23)+$H23*(AA$4&gt;=$I23))*$C23*(1+'Property Summary'!$L$18)^('MF Rents'!AA$3-1))</f>
        <v/>
      </c>
      <c r="AB23" s="149" t="str">
        <f>IF(OR($B23="",$B23=0),"",($G23*(AB$4&lt;$I23)+$H23*(AB$4&gt;=$I23))*$C23*(1+'Property Summary'!$L$18)^('MF Rents'!AB$3-1))</f>
        <v/>
      </c>
      <c r="AC23" s="149" t="str">
        <f>IF(OR($B23="",$B23=0),"",($G23*(AC$4&lt;$I23)+$H23*(AC$4&gt;=$I23))*$C23*(1+'Property Summary'!$L$18)^('MF Rents'!AC$3-1))</f>
        <v/>
      </c>
      <c r="AD23" s="149" t="str">
        <f>IF(OR($B23="",$B23=0),"",($G23*(AD$4&lt;$I23)+$H23*(AD$4&gt;=$I23))*$C23*(1+'Property Summary'!$L$18)^('MF Rents'!AD$3-1))</f>
        <v/>
      </c>
      <c r="AE23" s="149" t="str">
        <f>IF(OR($B23="",$B23=0),"",($G23*(AE$4&lt;$I23)+$H23*(AE$4&gt;=$I23))*$C23*(1+'Property Summary'!$L$18)^('MF Rents'!AE$3-1))</f>
        <v/>
      </c>
      <c r="AF23" s="149" t="str">
        <f>IF(OR($B23="",$B23=0),"",($G23*(AF$4&lt;$I23)+$H23*(AF$4&gt;=$I23))*$C23*(1+'Property Summary'!$L$18)^('MF Rents'!AF$3-1))</f>
        <v/>
      </c>
      <c r="AG23" s="149" t="str">
        <f>IF(OR($B23="",$B23=0),"",($G23*(AG$4&lt;$I23)+$H23*(AG$4&gt;=$I23))*$C23*(1+'Property Summary'!$L$18)^('MF Rents'!AG$3-1))</f>
        <v/>
      </c>
      <c r="AH23" s="149" t="str">
        <f>IF(OR($B23="",$B23=0),"",($G23*(AH$4&lt;$I23)+$H23*(AH$4&gt;=$I23))*$C23*(1+'Property Summary'!$L$18)^('MF Rents'!AH$3-1))</f>
        <v/>
      </c>
      <c r="AI23" s="149" t="str">
        <f>IF(OR($B23="",$B23=0),"",($G23*(AI$4&lt;$I23)+$H23*(AI$4&gt;=$I23))*$C23*(1+'Property Summary'!$L$18)^('MF Rents'!AI$3-1))</f>
        <v/>
      </c>
      <c r="AJ23" s="149" t="str">
        <f>IF(OR($B23="",$B23=0),"",($G23*(AJ$4&lt;$I23)+$H23*(AJ$4&gt;=$I23))*$C23*(1+'Property Summary'!$L$18)^('MF Rents'!AJ$3-1))</f>
        <v/>
      </c>
      <c r="AK23" s="149" t="str">
        <f>IF(OR($B23="",$B23=0),"",($G23*(AK$4&lt;$I23)+$H23*(AK$4&gt;=$I23))*$C23*(1+'Property Summary'!$L$18)^('MF Rents'!AK$3-1))</f>
        <v/>
      </c>
      <c r="AL23" s="149" t="str">
        <f>IF(OR($B23="",$B23=0),"",($G23*(AL$4&lt;$I23)+$H23*(AL$4&gt;=$I23))*$C23*(1+'Property Summary'!$L$18)^('MF Rents'!AL$3-1))</f>
        <v/>
      </c>
      <c r="AM23" s="149" t="str">
        <f>IF(OR($B23="",$B23=0),"",($G23*(AM$4&lt;$I23)+$H23*(AM$4&gt;=$I23))*$C23*(1+'Property Summary'!$L$18)^('MF Rents'!AM$3-1))</f>
        <v/>
      </c>
      <c r="AN23" s="149" t="str">
        <f>IF(OR($B23="",$B23=0),"",($G23*(AN$4&lt;$I23)+$H23*(AN$4&gt;=$I23))*$C23*(1+'Property Summary'!$L$18)^('MF Rents'!AN$3-1))</f>
        <v/>
      </c>
      <c r="AO23" s="149" t="str">
        <f>IF(OR($B23="",$B23=0),"",($G23*(AO$4&lt;$I23)+$H23*(AO$4&gt;=$I23))*$C23*(1+'Property Summary'!$L$18)^('MF Rents'!AO$3-1))</f>
        <v/>
      </c>
      <c r="AP23" s="149" t="str">
        <f>IF(OR($B23="",$B23=0),"",($G23*(AP$4&lt;$I23)+$H23*(AP$4&gt;=$I23))*$C23*(1+'Property Summary'!$L$18)^('MF Rents'!AP$3-1))</f>
        <v/>
      </c>
      <c r="AQ23" s="149" t="str">
        <f>IF(OR($B23="",$B23=0),"",($G23*(AQ$4&lt;$I23)+$H23*(AQ$4&gt;=$I23))*$C23*(1+'Property Summary'!$L$18)^('MF Rents'!AQ$3-1))</f>
        <v/>
      </c>
      <c r="AR23" s="149" t="str">
        <f>IF(OR($B23="",$B23=0),"",($G23*(AR$4&lt;$I23)+$H23*(AR$4&gt;=$I23))*$C23*(1+'Property Summary'!$L$18)^('MF Rents'!AR$3-1))</f>
        <v/>
      </c>
      <c r="AS23" s="149" t="str">
        <f>IF(OR($B23="",$B23=0),"",($G23*(AS$4&lt;$I23)+$H23*(AS$4&gt;=$I23))*$C23*(1+'Property Summary'!$L$18)^('MF Rents'!AS$3-1))</f>
        <v/>
      </c>
      <c r="AT23" s="149" t="str">
        <f>IF(OR($B23="",$B23=0),"",($G23*(AT$4&lt;$I23)+$H23*(AT$4&gt;=$I23))*$C23*(1+'Property Summary'!$L$18)^('MF Rents'!AT$3-1))</f>
        <v/>
      </c>
      <c r="AU23" s="149" t="str">
        <f>IF(OR($B23="",$B23=0),"",($G23*(AU$4&lt;$I23)+$H23*(AU$4&gt;=$I23))*$C23*(1+'Property Summary'!$L$18)^('MF Rents'!AU$3-1))</f>
        <v/>
      </c>
      <c r="AV23" s="149" t="str">
        <f>IF(OR($B23="",$B23=0),"",($G23*(AV$4&lt;$I23)+$H23*(AV$4&gt;=$I23))*$C23*(1+'Property Summary'!$L$18)^('MF Rents'!AV$3-1))</f>
        <v/>
      </c>
      <c r="AW23" s="149" t="str">
        <f>IF(OR($B23="",$B23=0),"",($G23*(AW$4&lt;$I23)+$H23*(AW$4&gt;=$I23))*$C23*(1+'Property Summary'!$L$18)^('MF Rents'!AW$3-1))</f>
        <v/>
      </c>
      <c r="AX23" s="149" t="str">
        <f>IF(OR($B23="",$B23=0),"",($G23*(AX$4&lt;$I23)+$H23*(AX$4&gt;=$I23))*$C23*(1+'Property Summary'!$L$18)^('MF Rents'!AX$3-1))</f>
        <v/>
      </c>
      <c r="AY23" s="149" t="str">
        <f>IF(OR($B23="",$B23=0),"",($G23*(AY$4&lt;$I23)+$H23*(AY$4&gt;=$I23))*$C23*(1+'Property Summary'!$L$18)^('MF Rents'!AY$3-1))</f>
        <v/>
      </c>
      <c r="AZ23" s="149" t="str">
        <f>IF(OR($B23="",$B23=0),"",($G23*(AZ$4&lt;$I23)+$H23*(AZ$4&gt;=$I23))*$C23*(1+'Property Summary'!$L$18)^('MF Rents'!AZ$3-1))</f>
        <v/>
      </c>
      <c r="BA23" s="149" t="str">
        <f>IF(OR($B23="",$B23=0),"",($G23*(BA$4&lt;$I23)+$H23*(BA$4&gt;=$I23))*$C23*(1+'Property Summary'!$L$18)^('MF Rents'!BA$3-1))</f>
        <v/>
      </c>
      <c r="BB23" s="149" t="str">
        <f>IF(OR($B23="",$B23=0),"",($G23*(BB$4&lt;$I23)+$H23*(BB$4&gt;=$I23))*$C23*(1+'Property Summary'!$L$18)^('MF Rents'!BB$3-1))</f>
        <v/>
      </c>
      <c r="BC23" s="149" t="str">
        <f>IF(OR($B23="",$B23=0),"",($G23*(BC$4&lt;$I23)+$H23*(BC$4&gt;=$I23))*$C23*(1+'Property Summary'!$L$18)^('MF Rents'!BC$3-1))</f>
        <v/>
      </c>
      <c r="BD23" s="149" t="str">
        <f>IF(OR($B23="",$B23=0),"",($G23*(BD$4&lt;$I23)+$H23*(BD$4&gt;=$I23))*$C23*(1+'Property Summary'!$L$18)^('MF Rents'!BD$3-1))</f>
        <v/>
      </c>
      <c r="BE23" s="149" t="str">
        <f>IF(OR($B23="",$B23=0),"",($G23*(BE$4&lt;$I23)+$H23*(BE$4&gt;=$I23))*$C23*(1+'Property Summary'!$L$18)^('MF Rents'!BE$3-1))</f>
        <v/>
      </c>
      <c r="BF23" s="149" t="str">
        <f>IF(OR($B23="",$B23=0),"",($G23*(BF$4&lt;$I23)+$H23*(BF$4&gt;=$I23))*$C23*(1+'Property Summary'!$L$18)^('MF Rents'!BF$3-1))</f>
        <v/>
      </c>
      <c r="BG23" s="149" t="str">
        <f>IF(OR($B23="",$B23=0),"",($G23*(BG$4&lt;$I23)+$H23*(BG$4&gt;=$I23))*$C23*(1+'Property Summary'!$L$18)^('MF Rents'!BG$3-1))</f>
        <v/>
      </c>
      <c r="BH23" s="149" t="str">
        <f>IF(OR($B23="",$B23=0),"",($G23*(BH$4&lt;$I23)+$H23*(BH$4&gt;=$I23))*$C23*(1+'Property Summary'!$L$18)^('MF Rents'!BH$3-1))</f>
        <v/>
      </c>
      <c r="BI23" s="149" t="str">
        <f>IF(OR($B23="",$B23=0),"",($G23*(BI$4&lt;$I23)+$H23*(BI$4&gt;=$I23))*$C23*(1+'Property Summary'!$L$18)^('MF Rents'!BI$3-1))</f>
        <v/>
      </c>
      <c r="BJ23" s="149" t="str">
        <f>IF(OR($B23="",$B23=0),"",($G23*(BJ$4&lt;$I23)+$H23*(BJ$4&gt;=$I23))*$C23*(1+'Property Summary'!$L$18)^('MF Rents'!BJ$3-1))</f>
        <v/>
      </c>
      <c r="BK23" s="149" t="str">
        <f>IF(OR($B23="",$B23=0),"",($G23*(BK$4&lt;$I23)+$H23*(BK$4&gt;=$I23))*$C23*(1+'Property Summary'!$L$18)^('MF Rents'!BK$3-1))</f>
        <v/>
      </c>
      <c r="BL23" s="149" t="str">
        <f>IF(OR($B23="",$B23=0),"",($G23*(BL$4&lt;$I23)+$H23*(BL$4&gt;=$I23))*$C23*(1+'Property Summary'!$L$18)^('MF Rents'!BL$3-1))</f>
        <v/>
      </c>
      <c r="BM23" s="149" t="str">
        <f>IF(OR($B23="",$B23=0),"",($G23*(BM$4&lt;$I23)+$H23*(BM$4&gt;=$I23))*$C23*(1+'Property Summary'!$L$18)^('MF Rents'!BM$3-1))</f>
        <v/>
      </c>
      <c r="BN23" s="149" t="str">
        <f>IF(OR($B23="",$B23=0),"",($G23*(BN$4&lt;$I23)+$H23*(BN$4&gt;=$I23))*$C23*(1+'Property Summary'!$L$18)^('MF Rents'!BN$3-1))</f>
        <v/>
      </c>
      <c r="BO23" s="149" t="str">
        <f>IF(OR($B23="",$B23=0),"",($G23*(BO$4&lt;$I23)+$H23*(BO$4&gt;=$I23))*$C23*(1+'Property Summary'!$L$18)^('MF Rents'!BO$3-1))</f>
        <v/>
      </c>
      <c r="BP23" s="149" t="str">
        <f>IF(OR($B23="",$B23=0),"",($G23*(BP$4&lt;$I23)+$H23*(BP$4&gt;=$I23))*$C23*(1+'Property Summary'!$L$18)^('MF Rents'!BP$3-1))</f>
        <v/>
      </c>
      <c r="BQ23" s="149" t="str">
        <f>IF(OR($B23="",$B23=0),"",($G23*(BQ$4&lt;$I23)+$H23*(BQ$4&gt;=$I23))*$C23*(1+'Property Summary'!$L$18)^('MF Rents'!BQ$3-1))</f>
        <v/>
      </c>
      <c r="BR23" s="149" t="str">
        <f>IF(OR($B23="",$B23=0),"",($G23*(BR$4&lt;$I23)+$H23*(BR$4&gt;=$I23))*$C23*(1+'Property Summary'!$L$18)^('MF Rents'!BR$3-1))</f>
        <v/>
      </c>
      <c r="BS23" s="149" t="str">
        <f>IF(OR($B23="",$B23=0),"",($G23*(BS$4&lt;$I23)+$H23*(BS$4&gt;=$I23))*$C23*(1+'Property Summary'!$L$18)^('MF Rents'!BS$3-1))</f>
        <v/>
      </c>
      <c r="BT23" s="149" t="str">
        <f>IF(OR($B23="",$B23=0),"",($G23*(BT$4&lt;$I23)+$H23*(BT$4&gt;=$I23))*$C23*(1+'Property Summary'!$L$18)^('MF Rents'!BT$3-1))</f>
        <v/>
      </c>
      <c r="BU23" s="149" t="str">
        <f>IF(OR($B23="",$B23=0),"",($G23*(BU$4&lt;$I23)+$H23*(BU$4&gt;=$I23))*$C23*(1+'Property Summary'!$L$18)^('MF Rents'!BU$3-1))</f>
        <v/>
      </c>
      <c r="BV23" s="149" t="str">
        <f>IF(OR($B23="",$B23=0),"",($G23*(BV$4&lt;$I23)+$H23*(BV$4&gt;=$I23))*$C23*(1+'Property Summary'!$L$18)^('MF Rents'!BV$3-1))</f>
        <v/>
      </c>
      <c r="BW23" s="149" t="str">
        <f>IF(OR($B23="",$B23=0),"",($G23*(BW$4&lt;$I23)+$H23*(BW$4&gt;=$I23))*$C23*(1+'Property Summary'!$L$18)^('MF Rents'!BW$3-1))</f>
        <v/>
      </c>
      <c r="BX23" s="149" t="str">
        <f>IF(OR($B23="",$B23=0),"",($G23*(BX$4&lt;$I23)+$H23*(BX$4&gt;=$I23))*$C23*(1+'Property Summary'!$L$18)^('MF Rents'!BX$3-1))</f>
        <v/>
      </c>
      <c r="BY23" s="149" t="str">
        <f>IF(OR($B23="",$B23=0),"",($G23*(BY$4&lt;$I23)+$H23*(BY$4&gt;=$I23))*$C23*(1+'Property Summary'!$L$18)^('MF Rents'!BY$3-1))</f>
        <v/>
      </c>
      <c r="BZ23" s="149" t="str">
        <f>IF(OR($B23="",$B23=0),"",($G23*(BZ$4&lt;$I23)+$H23*(BZ$4&gt;=$I23))*$C23*(1+'Property Summary'!$L$18)^('MF Rents'!BZ$3-1))</f>
        <v/>
      </c>
      <c r="CA23" s="149" t="str">
        <f>IF(OR($B23="",$B23=0),"",($G23*(CA$4&lt;$I23)+$H23*(CA$4&gt;=$I23))*$C23*(1+'Property Summary'!$L$18)^('MF Rents'!CA$3-1))</f>
        <v/>
      </c>
      <c r="CB23" s="149" t="str">
        <f>IF(OR($B23="",$B23=0),"",($G23*(CB$4&lt;$I23)+$H23*(CB$4&gt;=$I23))*$C23*(1+'Property Summary'!$L$18)^('MF Rents'!CB$3-1))</f>
        <v/>
      </c>
      <c r="CC23" s="149" t="str">
        <f>IF(OR($B23="",$B23=0),"",($G23*(CC$4&lt;$I23)+$H23*(CC$4&gt;=$I23))*$C23*(1+'Property Summary'!$L$18)^('MF Rents'!CC$3-1))</f>
        <v/>
      </c>
      <c r="CD23" s="149" t="str">
        <f>IF(OR($B23="",$B23=0),"",($G23*(CD$4&lt;$I23)+$H23*(CD$4&gt;=$I23))*$C23*(1+'Property Summary'!$L$18)^('MF Rents'!CD$3-1))</f>
        <v/>
      </c>
      <c r="CE23" s="149" t="str">
        <f>IF(OR($B23="",$B23=0),"",($G23*(CE$4&lt;$I23)+$H23*(CE$4&gt;=$I23))*$C23*(1+'Property Summary'!$L$18)^('MF Rents'!CE$3-1))</f>
        <v/>
      </c>
      <c r="CF23" s="149" t="str">
        <f>IF(OR($B23="",$B23=0),"",($G23*(CF$4&lt;$I23)+$H23*(CF$4&gt;=$I23))*$C23*(1+'Property Summary'!$L$18)^('MF Rents'!CF$3-1))</f>
        <v/>
      </c>
      <c r="CG23" s="149" t="str">
        <f>IF(OR($B23="",$B23=0),"",($G23*(CG$4&lt;$I23)+$H23*(CG$4&gt;=$I23))*$C23*(1+'Property Summary'!$L$18)^('MF Rents'!CG$3-1))</f>
        <v/>
      </c>
      <c r="CH23" s="149" t="str">
        <f>IF(OR($B23="",$B23=0),"",($G23*(CH$4&lt;$I23)+$H23*(CH$4&gt;=$I23))*$C23*(1+'Property Summary'!$L$18)^('MF Rents'!CH$3-1))</f>
        <v/>
      </c>
      <c r="CI23" s="149" t="str">
        <f>IF(OR($B23="",$B23=0),"",($G23*(CI$4&lt;$I23)+$H23*(CI$4&gt;=$I23))*$C23*(1+'Property Summary'!$L$18)^('MF Rents'!CI$3-1))</f>
        <v/>
      </c>
      <c r="CJ23" s="149" t="str">
        <f>IF(OR($B23="",$B23=0),"",($G23*(CJ$4&lt;$I23)+$H23*(CJ$4&gt;=$I23))*$C23*(1+'Property Summary'!$L$18)^('MF Rents'!CJ$3-1))</f>
        <v/>
      </c>
      <c r="CK23" s="149" t="str">
        <f>IF(OR($B23="",$B23=0),"",($G23*(CK$4&lt;$I23)+$H23*(CK$4&gt;=$I23))*$C23*(1+'Property Summary'!$L$18)^('MF Rents'!CK$3-1))</f>
        <v/>
      </c>
      <c r="CL23" s="149" t="str">
        <f>IF(OR($B23="",$B23=0),"",($G23*(CL$4&lt;$I23)+$H23*(CL$4&gt;=$I23))*$C23*(1+'Property Summary'!$L$18)^('MF Rents'!CL$3-1))</f>
        <v/>
      </c>
      <c r="CM23" s="149" t="str">
        <f>IF(OR($B23="",$B23=0),"",($G23*(CM$4&lt;$I23)+$H23*(CM$4&gt;=$I23))*$C23*(1+'Property Summary'!$L$18)^('MF Rents'!CM$3-1))</f>
        <v/>
      </c>
      <c r="CN23" s="149" t="str">
        <f>IF(OR($B23="",$B23=0),"",($G23*(CN$4&lt;$I23)+$H23*(CN$4&gt;=$I23))*$C23*(1+'Property Summary'!$L$18)^('MF Rents'!CN$3-1))</f>
        <v/>
      </c>
      <c r="CO23" s="149" t="str">
        <f>IF(OR($B23="",$B23=0),"",($G23*(CO$4&lt;$I23)+$H23*(CO$4&gt;=$I23))*$C23*(1+'Property Summary'!$L$18)^('MF Rents'!CO$3-1))</f>
        <v/>
      </c>
      <c r="CP23" s="149" t="str">
        <f>IF(OR($B23="",$B23=0),"",($G23*(CP$4&lt;$I23)+$H23*(CP$4&gt;=$I23))*$C23*(1+'Property Summary'!$L$18)^('MF Rents'!CP$3-1))</f>
        <v/>
      </c>
      <c r="CQ23" s="149" t="str">
        <f>IF(OR($B23="",$B23=0),"",($G23*(CQ$4&lt;$I23)+$H23*(CQ$4&gt;=$I23))*$C23*(1+'Property Summary'!$L$18)^('MF Rents'!CQ$3-1))</f>
        <v/>
      </c>
      <c r="CR23" s="149" t="str">
        <f>IF(OR($B23="",$B23=0),"",($G23*(CR$4&lt;$I23)+$H23*(CR$4&gt;=$I23))*$C23*(1+'Property Summary'!$L$18)^('MF Rents'!CR$3-1))</f>
        <v/>
      </c>
      <c r="CS23" s="149" t="str">
        <f>IF(OR($B23="",$B23=0),"",($G23*(CS$4&lt;$I23)+$H23*(CS$4&gt;=$I23))*$C23*(1+'Property Summary'!$L$18)^('MF Rents'!CS$3-1))</f>
        <v/>
      </c>
      <c r="CT23" s="149" t="str">
        <f>IF(OR($B23="",$B23=0),"",($G23*(CT$4&lt;$I23)+$H23*(CT$4&gt;=$I23))*$C23*(1+'Property Summary'!$L$18)^('MF Rents'!CT$3-1))</f>
        <v/>
      </c>
      <c r="CU23" s="149" t="str">
        <f>IF(OR($B23="",$B23=0),"",($G23*(CU$4&lt;$I23)+$H23*(CU$4&gt;=$I23))*$C23*(1+'Property Summary'!$L$18)^('MF Rents'!CU$3-1))</f>
        <v/>
      </c>
      <c r="CV23" s="149" t="str">
        <f>IF(OR($B23="",$B23=0),"",($G23*(CV$4&lt;$I23)+$H23*(CV$4&gt;=$I23))*$C23*(1+'Property Summary'!$L$18)^('MF Rents'!CV$3-1))</f>
        <v/>
      </c>
      <c r="CW23" s="149" t="str">
        <f>IF(OR($B23="",$B23=0),"",($G23*(CW$4&lt;$I23)+$H23*(CW$4&gt;=$I23))*$C23*(1+'Property Summary'!$L$18)^('MF Rents'!CW$3-1))</f>
        <v/>
      </c>
      <c r="CX23" s="149" t="str">
        <f>IF(OR($B23="",$B23=0),"",($G23*(CX$4&lt;$I23)+$H23*(CX$4&gt;=$I23))*$C23*(1+'Property Summary'!$L$18)^('MF Rents'!CX$3-1))</f>
        <v/>
      </c>
      <c r="CY23" s="149" t="str">
        <f>IF(OR($B23="",$B23=0),"",($G23*(CY$4&lt;$I23)+$H23*(CY$4&gt;=$I23))*$C23*(1+'Property Summary'!$L$18)^('MF Rents'!CY$3-1))</f>
        <v/>
      </c>
      <c r="CZ23" s="149" t="str">
        <f>IF(OR($B23="",$B23=0),"",($G23*(CZ$4&lt;$I23)+$H23*(CZ$4&gt;=$I23))*$C23*(1+'Property Summary'!$L$18)^('MF Rents'!CZ$3-1))</f>
        <v/>
      </c>
      <c r="DA23" s="149" t="str">
        <f>IF(OR($B23="",$B23=0),"",($G23*(DA$4&lt;$I23)+$H23*(DA$4&gt;=$I23))*$C23*(1+'Property Summary'!$L$18)^('MF Rents'!DA$3-1))</f>
        <v/>
      </c>
      <c r="DB23" s="149" t="str">
        <f>IF(OR($B23="",$B23=0),"",($G23*(DB$4&lt;$I23)+$H23*(DB$4&gt;=$I23))*$C23*(1+'Property Summary'!$L$18)^('MF Rents'!DB$3-1))</f>
        <v/>
      </c>
      <c r="DC23" s="149" t="str">
        <f>IF(OR($B23="",$B23=0),"",($G23*(DC$4&lt;$I23)+$H23*(DC$4&gt;=$I23))*$C23*(1+'Property Summary'!$L$18)^('MF Rents'!DC$3-1))</f>
        <v/>
      </c>
      <c r="DD23" s="149" t="str">
        <f>IF(OR($B23="",$B23=0),"",($G23*(DD$4&lt;$I23)+$H23*(DD$4&gt;=$I23))*$C23*(1+'Property Summary'!$L$18)^('MF Rents'!DD$3-1))</f>
        <v/>
      </c>
      <c r="DE23" s="149" t="str">
        <f>IF(OR($B23="",$B23=0),"",($G23*(DE$4&lt;$I23)+$H23*(DE$4&gt;=$I23))*$C23*(1+'Property Summary'!$L$18)^('MF Rents'!DE$3-1))</f>
        <v/>
      </c>
      <c r="DF23" s="149" t="str">
        <f>IF(OR($B23="",$B23=0),"",($G23*(DF$4&lt;$I23)+$H23*(DF$4&gt;=$I23))*$C23*(1+'Property Summary'!$L$18)^('MF Rents'!DF$3-1))</f>
        <v/>
      </c>
      <c r="DG23" s="149" t="str">
        <f>IF(OR($B23="",$B23=0),"",($G23*(DG$4&lt;$I23)+$H23*(DG$4&gt;=$I23))*$C23*(1+'Property Summary'!$L$18)^('MF Rents'!DG$3-1))</f>
        <v/>
      </c>
      <c r="DH23" s="149" t="str">
        <f>IF(OR($B23="",$B23=0),"",($G23*(DH$4&lt;$I23)+$H23*(DH$4&gt;=$I23))*$C23*(1+'Property Summary'!$L$18)^('MF Rents'!DH$3-1))</f>
        <v/>
      </c>
      <c r="DI23" s="149" t="str">
        <f>IF(OR($B23="",$B23=0),"",($G23*(DI$4&lt;$I23)+$H23*(DI$4&gt;=$I23))*$C23*(1+'Property Summary'!$L$18)^('MF Rents'!DI$3-1))</f>
        <v/>
      </c>
      <c r="DJ23" s="149" t="str">
        <f>IF(OR($B23="",$B23=0),"",($G23*(DJ$4&lt;$I23)+$H23*(DJ$4&gt;=$I23))*$C23*(1+'Property Summary'!$L$18)^('MF Rents'!DJ$3-1))</f>
        <v/>
      </c>
      <c r="DK23" s="149" t="str">
        <f>IF(OR($B23="",$B23=0),"",($G23*(DK$4&lt;$I23)+$H23*(DK$4&gt;=$I23))*$C23*(1+'Property Summary'!$L$18)^('MF Rents'!DK$3-1))</f>
        <v/>
      </c>
      <c r="DL23" s="149" t="str">
        <f>IF(OR($B23="",$B23=0),"",($G23*(DL$4&lt;$I23)+$H23*(DL$4&gt;=$I23))*$C23*(1+'Property Summary'!$L$18)^('MF Rents'!DL$3-1))</f>
        <v/>
      </c>
      <c r="DM23" s="149" t="str">
        <f>IF(OR($B23="",$B23=0),"",($G23*(DM$4&lt;$I23)+$H23*(DM$4&gt;=$I23))*$C23*(1+'Property Summary'!$L$18)^('MF Rents'!DM$3-1))</f>
        <v/>
      </c>
      <c r="DN23" s="149" t="str">
        <f>IF(OR($B23="",$B23=0),"",($G23*(DN$4&lt;$I23)+$H23*(DN$4&gt;=$I23))*$C23*(1+'Property Summary'!$L$18)^('MF Rents'!DN$3-1))</f>
        <v/>
      </c>
      <c r="DO23" s="149" t="str">
        <f>IF(OR($B23="",$B23=0),"",($G23*(DO$4&lt;$I23)+$H23*(DO$4&gt;=$I23))*$C23*(1+'Property Summary'!$L$18)^('MF Rents'!DO$3-1))</f>
        <v/>
      </c>
      <c r="DP23" s="149" t="str">
        <f>IF(OR($B23="",$B23=0),"",($G23*(DP$4&lt;$I23)+$H23*(DP$4&gt;=$I23))*$C23*(1+'Property Summary'!$L$18)^('MF Rents'!DP$3-1))</f>
        <v/>
      </c>
      <c r="DQ23" s="149" t="str">
        <f>IF(OR($B23="",$B23=0),"",($G23*(DQ$4&lt;$I23)+$H23*(DQ$4&gt;=$I23))*$C23*(1+'Property Summary'!$L$18)^('MF Rents'!DQ$3-1))</f>
        <v/>
      </c>
      <c r="DR23" s="149" t="str">
        <f>IF(OR($B23="",$B23=0),"",($G23*(DR$4&lt;$I23)+$H23*(DR$4&gt;=$I23))*$C23*(1+'Property Summary'!$L$18)^('MF Rents'!DR$3-1))</f>
        <v/>
      </c>
      <c r="DS23" s="149" t="str">
        <f>IF(OR($B23="",$B23=0),"",($G23*(DS$4&lt;$I23)+$H23*(DS$4&gt;=$I23))*$C23*(1+'Property Summary'!$L$18)^('MF Rents'!DS$3-1))</f>
        <v/>
      </c>
      <c r="DT23" s="149" t="str">
        <f>IF(OR($B23="",$B23=0),"",($G23*(DT$4&lt;$I23)+$H23*(DT$4&gt;=$I23))*$C23*(1+'Property Summary'!$L$18)^('MF Rents'!DT$3-1))</f>
        <v/>
      </c>
      <c r="DU23" s="149" t="str">
        <f>IF(OR($B23="",$B23=0),"",($G23*(DU$4&lt;$I23)+$H23*(DU$4&gt;=$I23))*$C23*(1+'Property Summary'!$L$18)^('MF Rents'!DU$3-1))</f>
        <v/>
      </c>
      <c r="DV23" s="149" t="str">
        <f>IF(OR($B23="",$B23=0),"",($G23*(DV$4&lt;$I23)+$H23*(DV$4&gt;=$I23))*$C23*(1+'Property Summary'!$L$18)^('MF Rents'!DV$3-1))</f>
        <v/>
      </c>
      <c r="DW23" s="149" t="str">
        <f>IF(OR($B23="",$B23=0),"",($G23*(DW$4&lt;$I23)+$H23*(DW$4&gt;=$I23))*$C23*(1+'Property Summary'!$L$18)^('MF Rents'!DW$3-1))</f>
        <v/>
      </c>
      <c r="DX23" s="149" t="str">
        <f>IF(OR($B23="",$B23=0),"",($G23*(DX$4&lt;$I23)+$H23*(DX$4&gt;=$I23))*$C23*(1+'Property Summary'!$L$18)^('MF Rents'!DX$3-1))</f>
        <v/>
      </c>
      <c r="DY23" s="149" t="str">
        <f>IF(OR($B23="",$B23=0),"",($G23*(DY$4&lt;$I23)+$H23*(DY$4&gt;=$I23))*$C23*(1+'Property Summary'!$L$18)^('MF Rents'!DY$3-1))</f>
        <v/>
      </c>
      <c r="DZ23" s="149" t="str">
        <f>IF(OR($B23="",$B23=0),"",($G23*(DZ$4&lt;$I23)+$H23*(DZ$4&gt;=$I23))*$C23*(1+'Property Summary'!$L$18)^('MF Rents'!DZ$3-1))</f>
        <v/>
      </c>
      <c r="EA23" s="149" t="str">
        <f>IF(OR($B23="",$B23=0),"",($G23*(EA$4&lt;$I23)+$H23*(EA$4&gt;=$I23))*$C23*(1+'Property Summary'!$L$18)^('MF Rents'!EA$3-1))</f>
        <v/>
      </c>
      <c r="EB23" s="149" t="str">
        <f>IF(OR($B23="",$B23=0),"",($G23*(EB$4&lt;$I23)+$H23*(EB$4&gt;=$I23))*$C23*(1+'Property Summary'!$L$18)^('MF Rents'!EB$3-1))</f>
        <v/>
      </c>
      <c r="EC23" s="149" t="str">
        <f>IF(OR($B23="",$B23=0),"",($G23*(EC$4&lt;$I23)+$H23*(EC$4&gt;=$I23))*$C23*(1+'Property Summary'!$L$18)^('MF Rents'!EC$3-1))</f>
        <v/>
      </c>
      <c r="ED23" s="149" t="str">
        <f>IF(OR($B23="",$B23=0),"",($G23*(ED$4&lt;$I23)+$H23*(ED$4&gt;=$I23))*$C23*(1+'Property Summary'!$L$18)^('MF Rents'!ED$3-1))</f>
        <v/>
      </c>
      <c r="EE23" s="149" t="str">
        <f>IF(OR($B23="",$B23=0),"",($G23*(EE$4&lt;$I23)+$H23*(EE$4&gt;=$I23))*$C23*(1+'Property Summary'!$L$18)^('MF Rents'!EE$3-1))</f>
        <v/>
      </c>
      <c r="EF23" s="149" t="str">
        <f>IF(OR($B23="",$B23=0),"",($G23*(EF$4&lt;$I23)+$H23*(EF$4&gt;=$I23))*$C23*(1+'Property Summary'!$L$18)^('MF Rents'!EF$3-1))</f>
        <v/>
      </c>
      <c r="EG23" s="149" t="str">
        <f>IF(OR($B23="",$B23=0),"",($G23*(EG$4&lt;$I23)+$H23*(EG$4&gt;=$I23))*$C23*(1+'Property Summary'!$L$18)^('MF Rents'!EG$3-1))</f>
        <v/>
      </c>
      <c r="EH23" s="149" t="str">
        <f>IF(OR($B23="",$B23=0),"",($G23*(EH$4&lt;$I23)+$H23*(EH$4&gt;=$I23))*$C23*(1+'Property Summary'!$L$18)^('MF Rents'!EH$3-1))</f>
        <v/>
      </c>
      <c r="EI23" s="149" t="str">
        <f>IF(OR($B23="",$B23=0),"",($G23*(EI$4&lt;$I23)+$H23*(EI$4&gt;=$I23))*$C23*(1+'Property Summary'!$L$18)^('MF Rents'!EI$3-1))</f>
        <v/>
      </c>
      <c r="EJ23" s="149" t="str">
        <f>IF(OR($B23="",$B23=0),"",($G23*(EJ$4&lt;$I23)+$H23*(EJ$4&gt;=$I23))*$C23*(1+'Property Summary'!$L$18)^('MF Rents'!EJ$3-1))</f>
        <v/>
      </c>
      <c r="EK23" s="149" t="str">
        <f>IF(OR($B23="",$B23=0),"",($G23*(EK$4&lt;$I23)+$H23*(EK$4&gt;=$I23))*$C23*(1+'Property Summary'!$L$18)^('MF Rents'!EK$3-1))</f>
        <v/>
      </c>
      <c r="EL23" s="149" t="str">
        <f>IF(OR($B23="",$B23=0),"",($G23*(EL$4&lt;$I23)+$H23*(EL$4&gt;=$I23))*$C23*(1+'Property Summary'!$L$18)^('MF Rents'!EL$3-1))</f>
        <v/>
      </c>
      <c r="EM23" s="149" t="str">
        <f>IF(OR($B23="",$B23=0),"",($G23*(EM$4&lt;$I23)+$H23*(EM$4&gt;=$I23))*$C23*(1+'Property Summary'!$L$18)^('MF Rents'!EM$3-1))</f>
        <v/>
      </c>
      <c r="EN23" s="149" t="str">
        <f>IF(OR($B23="",$B23=0),"",($G23*(EN$4&lt;$I23)+$H23*(EN$4&gt;=$I23))*$C23*(1+'Property Summary'!$L$18)^('MF Rents'!EN$3-1))</f>
        <v/>
      </c>
      <c r="EO23" s="149" t="str">
        <f>IF(OR($B23="",$B23=0),"",($G23*(EO$4&lt;$I23)+$H23*(EO$4&gt;=$I23))*$C23*(1+'Property Summary'!$L$18)^('MF Rents'!EO$3-1))</f>
        <v/>
      </c>
      <c r="EP23" s="149" t="str">
        <f>IF(OR($B23="",$B23=0),"",($G23*(EP$4&lt;$I23)+$H23*(EP$4&gt;=$I23))*$C23*(1+'Property Summary'!$L$18)^('MF Rents'!EP$3-1))</f>
        <v/>
      </c>
      <c r="EQ23" s="149" t="str">
        <f>IF(OR($B23="",$B23=0),"",($G23*(EQ$4&lt;$I23)+$H23*(EQ$4&gt;=$I23))*$C23*(1+'Property Summary'!$L$18)^('MF Rents'!EQ$3-1))</f>
        <v/>
      </c>
      <c r="ER23" s="149" t="str">
        <f>IF(OR($B23="",$B23=0),"",($G23*(ER$4&lt;$I23)+$H23*(ER$4&gt;=$I23))*$C23*(1+'Property Summary'!$L$18)^('MF Rents'!ER$3-1))</f>
        <v/>
      </c>
      <c r="ES23" s="149" t="str">
        <f>IF(OR($B23="",$B23=0),"",($G23*(ES$4&lt;$I23)+$H23*(ES$4&gt;=$I23))*$C23*(1+'Property Summary'!$L$18)^('MF Rents'!ES$3-1))</f>
        <v/>
      </c>
      <c r="ET23" s="149" t="str">
        <f>IF(OR($B23="",$B23=0),"",($G23*(ET$4&lt;$I23)+$H23*(ET$4&gt;=$I23))*$C23*(1+'Property Summary'!$L$18)^('MF Rents'!ET$3-1))</f>
        <v/>
      </c>
      <c r="EU23" s="149" t="str">
        <f>IF(OR($B23="",$B23=0),"",($G23*(EU$4&lt;$I23)+$H23*(EU$4&gt;=$I23))*$C23*(1+'Property Summary'!$L$18)^('MF Rents'!EU$3-1))</f>
        <v/>
      </c>
      <c r="EV23" s="149" t="str">
        <f>IF(OR($B23="",$B23=0),"",($G23*(EV$4&lt;$I23)+$H23*(EV$4&gt;=$I23))*$C23*(1+'Property Summary'!$L$18)^('MF Rents'!EV$3-1))</f>
        <v/>
      </c>
      <c r="EW23" s="149" t="str">
        <f>IF(OR($B23="",$B23=0),"",($G23*(EW$4&lt;$I23)+$H23*(EW$4&gt;=$I23))*$C23*(1+'Property Summary'!$L$18)^('MF Rents'!EW$3-1))</f>
        <v/>
      </c>
      <c r="EX23" s="149" t="str">
        <f>IF(OR($B23="",$B23=0),"",($G23*(EX$4&lt;$I23)+$H23*(EX$4&gt;=$I23))*$C23*(1+'Property Summary'!$L$18)^('MF Rents'!EX$3-1))</f>
        <v/>
      </c>
      <c r="EY23" s="149" t="str">
        <f>IF(OR($B23="",$B23=0),"",($G23*(EY$4&lt;$I23)+$H23*(EY$4&gt;=$I23))*$C23*(1+'Property Summary'!$L$18)^('MF Rents'!EY$3-1))</f>
        <v/>
      </c>
      <c r="EZ23" s="149" t="str">
        <f>IF(OR($B23="",$B23=0),"",($G23*(EZ$4&lt;$I23)+$H23*(EZ$4&gt;=$I23))*$C23*(1+'Property Summary'!$L$18)^('MF Rents'!EZ$3-1))</f>
        <v/>
      </c>
      <c r="FA23" s="149" t="str">
        <f>IF(OR($B23="",$B23=0),"",($G23*(FA$4&lt;$I23)+$H23*(FA$4&gt;=$I23))*$C23*(1+'Property Summary'!$L$18)^('MF Rents'!FA$3-1))</f>
        <v/>
      </c>
      <c r="FB23" s="149" t="str">
        <f>IF(OR($B23="",$B23=0),"",($G23*(FB$4&lt;$I23)+$H23*(FB$4&gt;=$I23))*$C23*(1+'Property Summary'!$L$18)^('MF Rents'!FB$3-1))</f>
        <v/>
      </c>
      <c r="FC23" s="149" t="str">
        <f>IF(OR($B23="",$B23=0),"",($G23*(FC$4&lt;$I23)+$H23*(FC$4&gt;=$I23))*$C23*(1+'Property Summary'!$L$18)^('MF Rents'!FC$3-1))</f>
        <v/>
      </c>
      <c r="FD23" s="149" t="str">
        <f>IF(OR($B23="",$B23=0),"",($G23*(FD$4&lt;$I23)+$H23*(FD$4&gt;=$I23))*$C23*(1+'Property Summary'!$L$18)^('MF Rents'!FD$3-1))</f>
        <v/>
      </c>
      <c r="FE23" s="149" t="str">
        <f>IF(OR($B23="",$B23=0),"",($G23*(FE$4&lt;$I23)+$H23*(FE$4&gt;=$I23))*$C23*(1+'Property Summary'!$L$18)^('MF Rents'!FE$3-1))</f>
        <v/>
      </c>
      <c r="FF23" s="149" t="str">
        <f>IF(OR($B23="",$B23=0),"",($G23*(FF$4&lt;$I23)+$H23*(FF$4&gt;=$I23))*$C23*(1+'Property Summary'!$L$18)^('MF Rents'!FF$3-1))</f>
        <v/>
      </c>
      <c r="FG23" s="149" t="str">
        <f>IF(OR($B23="",$B23=0),"",($G23*(FG$4&lt;$I23)+$H23*(FG$4&gt;=$I23))*$C23*(1+'Property Summary'!$L$18)^('MF Rents'!FG$3-1))</f>
        <v/>
      </c>
      <c r="FH23" s="149" t="str">
        <f>IF(OR($B23="",$B23=0),"",($G23*(FH$4&lt;$I23)+$H23*(FH$4&gt;=$I23))*$C23*(1+'Property Summary'!$L$18)^('MF Rents'!FH$3-1))</f>
        <v/>
      </c>
      <c r="FI23" s="149" t="str">
        <f>IF(OR($B23="",$B23=0),"",($G23*(FI$4&lt;$I23)+$H23*(FI$4&gt;=$I23))*$C23*(1+'Property Summary'!$L$18)^('MF Rents'!FI$3-1))</f>
        <v/>
      </c>
      <c r="FJ23" s="149" t="str">
        <f>IF(OR($B23="",$B23=0),"",($G23*(FJ$4&lt;$I23)+$H23*(FJ$4&gt;=$I23))*$C23*(1+'Property Summary'!$L$18)^('MF Rents'!FJ$3-1))</f>
        <v/>
      </c>
      <c r="FK23" s="149" t="str">
        <f>IF(OR($B23="",$B23=0),"",($G23*(FK$4&lt;$I23)+$H23*(FK$4&gt;=$I23))*$C23*(1+'Property Summary'!$L$18)^('MF Rents'!FK$3-1))</f>
        <v/>
      </c>
      <c r="FL23" s="149" t="str">
        <f>IF(OR($B23="",$B23=0),"",($G23*(FL$4&lt;$I23)+$H23*(FL$4&gt;=$I23))*$C23*(1+'Property Summary'!$L$18)^('MF Rents'!FL$3-1))</f>
        <v/>
      </c>
      <c r="FM23" s="149" t="str">
        <f>IF(OR($B23="",$B23=0),"",($G23*(FM$4&lt;$I23)+$H23*(FM$4&gt;=$I23))*$C23*(1+'Property Summary'!$L$18)^('MF Rents'!FM$3-1))</f>
        <v/>
      </c>
      <c r="FN23" s="149" t="str">
        <f>IF(OR($B23="",$B23=0),"",($G23*(FN$4&lt;$I23)+$H23*(FN$4&gt;=$I23))*$C23*(1+'Property Summary'!$L$18)^('MF Rents'!FN$3-1))</f>
        <v/>
      </c>
      <c r="FO23" s="149" t="str">
        <f>IF(OR($B23="",$B23=0),"",($G23*(FO$4&lt;$I23)+$H23*(FO$4&gt;=$I23))*$C23*(1+'Property Summary'!$L$18)^('MF Rents'!FO$3-1))</f>
        <v/>
      </c>
      <c r="FP23" s="149" t="str">
        <f>IF(OR($B23="",$B23=0),"",($G23*(FP$4&lt;$I23)+$H23*(FP$4&gt;=$I23))*$C23*(1+'Property Summary'!$L$18)^('MF Rents'!FP$3-1))</f>
        <v/>
      </c>
      <c r="FQ23" s="149" t="str">
        <f>IF(OR($B23="",$B23=0),"",($G23*(FQ$4&lt;$I23)+$H23*(FQ$4&gt;=$I23))*$C23*(1+'Property Summary'!$L$18)^('MF Rents'!FQ$3-1))</f>
        <v/>
      </c>
      <c r="FR23" s="149" t="str">
        <f>IF(OR($B23="",$B23=0),"",($G23*(FR$4&lt;$I23)+$H23*(FR$4&gt;=$I23))*$C23*(1+'Property Summary'!$L$18)^('MF Rents'!FR$3-1))</f>
        <v/>
      </c>
      <c r="FS23" s="149" t="str">
        <f>IF(OR($B23="",$B23=0),"",($G23*(FS$4&lt;$I23)+$H23*(FS$4&gt;=$I23))*$C23*(1+'Property Summary'!$L$18)^('MF Rents'!FS$3-1))</f>
        <v/>
      </c>
      <c r="FT23" s="149" t="str">
        <f>IF(OR($B23="",$B23=0),"",($G23*(FT$4&lt;$I23)+$H23*(FT$4&gt;=$I23))*$C23*(1+'Property Summary'!$L$18)^('MF Rents'!FT$3-1))</f>
        <v/>
      </c>
      <c r="FU23" s="149" t="str">
        <f>IF(OR($B23="",$B23=0),"",($G23*(FU$4&lt;$I23)+$H23*(FU$4&gt;=$I23))*$C23*(1+'Property Summary'!$L$18)^('MF Rents'!FU$3-1))</f>
        <v/>
      </c>
      <c r="FV23" s="149" t="str">
        <f>IF(OR($B23="",$B23=0),"",($G23*(FV$4&lt;$I23)+$H23*(FV$4&gt;=$I23))*$C23*(1+'Property Summary'!$L$18)^('MF Rents'!FV$3-1))</f>
        <v/>
      </c>
      <c r="FW23" s="149" t="str">
        <f>IF(OR($B23="",$B23=0),"",($G23*(FW$4&lt;$I23)+$H23*(FW$4&gt;=$I23))*$C23*(1+'Property Summary'!$L$18)^('MF Rents'!FW$3-1))</f>
        <v/>
      </c>
      <c r="FX23" s="149" t="str">
        <f>IF(OR($B23="",$B23=0),"",($G23*(FX$4&lt;$I23)+$H23*(FX$4&gt;=$I23))*$C23*(1+'Property Summary'!$L$18)^('MF Rents'!FX$3-1))</f>
        <v/>
      </c>
      <c r="FY23" s="149" t="str">
        <f>IF(OR($B23="",$B23=0),"",($G23*(FY$4&lt;$I23)+$H23*(FY$4&gt;=$I23))*$C23*(1+'Property Summary'!$L$18)^('MF Rents'!FY$3-1))</f>
        <v/>
      </c>
      <c r="FZ23" s="149" t="str">
        <f>IF(OR($B23="",$B23=0),"",($G23*(FZ$4&lt;$I23)+$H23*(FZ$4&gt;=$I23))*$C23*(1+'Property Summary'!$L$18)^('MF Rents'!FZ$3-1))</f>
        <v/>
      </c>
      <c r="GA23" s="149" t="str">
        <f>IF(OR($B23="",$B23=0),"",($G23*(GA$4&lt;$I23)+$H23*(GA$4&gt;=$I23))*$C23*(1+'Property Summary'!$L$18)^('MF Rents'!GA$3-1))</f>
        <v/>
      </c>
      <c r="GB23" s="149" t="str">
        <f>IF(OR($B23="",$B23=0),"",($G23*(GB$4&lt;$I23)+$H23*(GB$4&gt;=$I23))*$C23*(1+'Property Summary'!$L$18)^('MF Rents'!GB$3-1))</f>
        <v/>
      </c>
      <c r="GC23" s="149" t="str">
        <f>IF(OR($B23="",$B23=0),"",($G23*(GC$4&lt;$I23)+$H23*(GC$4&gt;=$I23))*$C23*(1+'Property Summary'!$L$18)^('MF Rents'!GC$3-1))</f>
        <v/>
      </c>
      <c r="GD23" s="149" t="str">
        <f>IF(OR($B23="",$B23=0),"",($G23*(GD$4&lt;$I23)+$H23*(GD$4&gt;=$I23))*$C23*(1+'Property Summary'!$L$18)^('MF Rents'!GD$3-1))</f>
        <v/>
      </c>
      <c r="GE23" s="149" t="str">
        <f>IF(OR($B23="",$B23=0),"",($G23*(GE$4&lt;$I23)+$H23*(GE$4&gt;=$I23))*$C23*(1+'Property Summary'!$L$18)^('MF Rents'!GE$3-1))</f>
        <v/>
      </c>
      <c r="GF23" s="149" t="str">
        <f>IF(OR($B23="",$B23=0),"",($G23*(GF$4&lt;$I23)+$H23*(GF$4&gt;=$I23))*$C23*(1+'Property Summary'!$L$18)^('MF Rents'!GF$3-1))</f>
        <v/>
      </c>
      <c r="GG23" s="149" t="str">
        <f>IF(OR($B23="",$B23=0),"",($G23*(GG$4&lt;$I23)+$H23*(GG$4&gt;=$I23))*$C23*(1+'Property Summary'!$L$18)^('MF Rents'!GG$3-1))</f>
        <v/>
      </c>
      <c r="GH23" s="149" t="str">
        <f>IF(OR($B23="",$B23=0),"",($G23*(GH$4&lt;$I23)+$H23*(GH$4&gt;=$I23))*$C23*(1+'Property Summary'!$L$18)^('MF Rents'!GH$3-1))</f>
        <v/>
      </c>
      <c r="GI23" s="149" t="str">
        <f>IF(OR($B23="",$B23=0),"",($G23*(GI$4&lt;$I23)+$H23*(GI$4&gt;=$I23))*$C23*(1+'Property Summary'!$L$18)^('MF Rents'!GI$3-1))</f>
        <v/>
      </c>
      <c r="GJ23" s="149" t="str">
        <f>IF(OR($B23="",$B23=0),"",($G23*(GJ$4&lt;$I23)+$H23*(GJ$4&gt;=$I23))*$C23*(1+'Property Summary'!$L$18)^('MF Rents'!GJ$3-1))</f>
        <v/>
      </c>
      <c r="GK23" s="149" t="str">
        <f>IF(OR($B23="",$B23=0),"",($G23*(GK$4&lt;$I23)+$H23*(GK$4&gt;=$I23))*$C23*(1+'Property Summary'!$L$18)^('MF Rents'!GK$3-1))</f>
        <v/>
      </c>
      <c r="GL23" s="149" t="str">
        <f>IF(OR($B23="",$B23=0),"",($G23*(GL$4&lt;$I23)+$H23*(GL$4&gt;=$I23))*$C23*(1+'Property Summary'!$L$18)^('MF Rents'!GL$3-1))</f>
        <v/>
      </c>
      <c r="GM23" s="149" t="str">
        <f>IF(OR($B23="",$B23=0),"",($G23*(GM$4&lt;$I23)+$H23*(GM$4&gt;=$I23))*$C23*(1+'Property Summary'!$L$18)^('MF Rents'!GM$3-1))</f>
        <v/>
      </c>
      <c r="GN23" s="149" t="str">
        <f>IF(OR($B23="",$B23=0),"",($G23*(GN$4&lt;$I23)+$H23*(GN$4&gt;=$I23))*$C23*(1+'Property Summary'!$L$18)^('MF Rents'!GN$3-1))</f>
        <v/>
      </c>
      <c r="GO23" s="149" t="str">
        <f>IF(OR($B23="",$B23=0),"",($G23*(GO$4&lt;$I23)+$H23*(GO$4&gt;=$I23))*$C23*(1+'Property Summary'!$L$18)^('MF Rents'!GO$3-1))</f>
        <v/>
      </c>
      <c r="GP23" s="149" t="str">
        <f>IF(OR($B23="",$B23=0),"",($G23*(GP$4&lt;$I23)+$H23*(GP$4&gt;=$I23))*$C23*(1+'Property Summary'!$L$18)^('MF Rents'!GP$3-1))</f>
        <v/>
      </c>
      <c r="GQ23" s="149" t="str">
        <f>IF(OR($B23="",$B23=0),"",($G23*(GQ$4&lt;$I23)+$H23*(GQ$4&gt;=$I23))*$C23*(1+'Property Summary'!$L$18)^('MF Rents'!GQ$3-1))</f>
        <v/>
      </c>
      <c r="GR23" s="149" t="str">
        <f>IF(OR($B23="",$B23=0),"",($G23*(GR$4&lt;$I23)+$H23*(GR$4&gt;=$I23))*$C23*(1+'Property Summary'!$L$18)^('MF Rents'!GR$3-1))</f>
        <v/>
      </c>
    </row>
    <row r="24" spans="2:200" x14ac:dyDescent="0.3">
      <c r="B24" s="184">
        <f>'MF Rent Roll'!B23</f>
        <v>0</v>
      </c>
      <c r="C24" s="171">
        <f>'MF Rent Roll'!C23</f>
        <v>0</v>
      </c>
      <c r="D24" s="172">
        <f>'MF Rent Roll'!D23</f>
        <v>0</v>
      </c>
      <c r="E24" s="172">
        <f>'MF Rent Roll'!E23</f>
        <v>0</v>
      </c>
      <c r="F24" s="173">
        <f>'MF Rent Roll'!F23</f>
        <v>0</v>
      </c>
      <c r="G24" s="174">
        <f>'MF Rent Roll'!G23</f>
        <v>0</v>
      </c>
      <c r="H24" s="174">
        <f>IF('MF Rent Roll'!H23="",G24,'MF Rent Roll'!H23)</f>
        <v>0</v>
      </c>
      <c r="I24" s="175">
        <f>IF('MF Rent Roll'!I23="",1,'MF Rent Roll'!I23)</f>
        <v>1</v>
      </c>
      <c r="J24" s="176">
        <f>'MF Rent Roll'!J23</f>
        <v>0</v>
      </c>
      <c r="K24" s="174">
        <f>'MF Rent Roll'!K23</f>
        <v>0</v>
      </c>
      <c r="L24" s="177">
        <f>'MF Rent Roll'!L23</f>
        <v>0</v>
      </c>
      <c r="M24" s="178">
        <f>'MF Rent Roll'!M23</f>
        <v>0</v>
      </c>
      <c r="N24" s="174">
        <f>'MF Rent Roll'!N23</f>
        <v>0</v>
      </c>
      <c r="O24" s="179">
        <f>'MF Rent Roll'!O23</f>
        <v>0</v>
      </c>
      <c r="P24" s="180" t="str">
        <f>'MF Rent Roll'!P23</f>
        <v/>
      </c>
      <c r="Q24" s="181" t="str">
        <f>'MF Rent Roll'!Q23</f>
        <v/>
      </c>
      <c r="R24" s="104" t="str">
        <f>'MF Rent Roll'!R23</f>
        <v/>
      </c>
      <c r="U24" s="149" t="str">
        <f>IF(OR($B24="",$B24=0),"",($G24*(U$4&lt;$I24)+$H24*(U$4&gt;=$I24))*$C24*(1+'Property Summary'!$L$18)^('MF Rents'!U$3-1))</f>
        <v/>
      </c>
      <c r="V24" s="149" t="str">
        <f>IF(OR($B24="",$B24=0),"",($G24*(V$4&lt;$I24)+$H24*(V$4&gt;=$I24))*$C24*(1+'Property Summary'!$L$18)^('MF Rents'!V$3-1))</f>
        <v/>
      </c>
      <c r="W24" s="149" t="str">
        <f>IF(OR($B24="",$B24=0),"",($G24*(W$4&lt;$I24)+$H24*(W$4&gt;=$I24))*$C24*(1+'Property Summary'!$L$18)^('MF Rents'!W$3-1))</f>
        <v/>
      </c>
      <c r="X24" s="149" t="str">
        <f>IF(OR($B24="",$B24=0),"",($G24*(X$4&lt;$I24)+$H24*(X$4&gt;=$I24))*$C24*(1+'Property Summary'!$L$18)^('MF Rents'!X$3-1))</f>
        <v/>
      </c>
      <c r="Y24" s="149" t="str">
        <f>IF(OR($B24="",$B24=0),"",($G24*(Y$4&lt;$I24)+$H24*(Y$4&gt;=$I24))*$C24*(1+'Property Summary'!$L$18)^('MF Rents'!Y$3-1))</f>
        <v/>
      </c>
      <c r="Z24" s="149" t="str">
        <f>IF(OR($B24="",$B24=0),"",($G24*(Z$4&lt;$I24)+$H24*(Z$4&gt;=$I24))*$C24*(1+'Property Summary'!$L$18)^('MF Rents'!Z$3-1))</f>
        <v/>
      </c>
      <c r="AA24" s="149" t="str">
        <f>IF(OR($B24="",$B24=0),"",($G24*(AA$4&lt;$I24)+$H24*(AA$4&gt;=$I24))*$C24*(1+'Property Summary'!$L$18)^('MF Rents'!AA$3-1))</f>
        <v/>
      </c>
      <c r="AB24" s="149" t="str">
        <f>IF(OR($B24="",$B24=0),"",($G24*(AB$4&lt;$I24)+$H24*(AB$4&gt;=$I24))*$C24*(1+'Property Summary'!$L$18)^('MF Rents'!AB$3-1))</f>
        <v/>
      </c>
      <c r="AC24" s="149" t="str">
        <f>IF(OR($B24="",$B24=0),"",($G24*(AC$4&lt;$I24)+$H24*(AC$4&gt;=$I24))*$C24*(1+'Property Summary'!$L$18)^('MF Rents'!AC$3-1))</f>
        <v/>
      </c>
      <c r="AD24" s="149" t="str">
        <f>IF(OR($B24="",$B24=0),"",($G24*(AD$4&lt;$I24)+$H24*(AD$4&gt;=$I24))*$C24*(1+'Property Summary'!$L$18)^('MF Rents'!AD$3-1))</f>
        <v/>
      </c>
      <c r="AE24" s="149" t="str">
        <f>IF(OR($B24="",$B24=0),"",($G24*(AE$4&lt;$I24)+$H24*(AE$4&gt;=$I24))*$C24*(1+'Property Summary'!$L$18)^('MF Rents'!AE$3-1))</f>
        <v/>
      </c>
      <c r="AF24" s="149" t="str">
        <f>IF(OR($B24="",$B24=0),"",($G24*(AF$4&lt;$I24)+$H24*(AF$4&gt;=$I24))*$C24*(1+'Property Summary'!$L$18)^('MF Rents'!AF$3-1))</f>
        <v/>
      </c>
      <c r="AG24" s="149" t="str">
        <f>IF(OR($B24="",$B24=0),"",($G24*(AG$4&lt;$I24)+$H24*(AG$4&gt;=$I24))*$C24*(1+'Property Summary'!$L$18)^('MF Rents'!AG$3-1))</f>
        <v/>
      </c>
      <c r="AH24" s="149" t="str">
        <f>IF(OR($B24="",$B24=0),"",($G24*(AH$4&lt;$I24)+$H24*(AH$4&gt;=$I24))*$C24*(1+'Property Summary'!$L$18)^('MF Rents'!AH$3-1))</f>
        <v/>
      </c>
      <c r="AI24" s="149" t="str">
        <f>IF(OR($B24="",$B24=0),"",($G24*(AI$4&lt;$I24)+$H24*(AI$4&gt;=$I24))*$C24*(1+'Property Summary'!$L$18)^('MF Rents'!AI$3-1))</f>
        <v/>
      </c>
      <c r="AJ24" s="149" t="str">
        <f>IF(OR($B24="",$B24=0),"",($G24*(AJ$4&lt;$I24)+$H24*(AJ$4&gt;=$I24))*$C24*(1+'Property Summary'!$L$18)^('MF Rents'!AJ$3-1))</f>
        <v/>
      </c>
      <c r="AK24" s="149" t="str">
        <f>IF(OR($B24="",$B24=0),"",($G24*(AK$4&lt;$I24)+$H24*(AK$4&gt;=$I24))*$C24*(1+'Property Summary'!$L$18)^('MF Rents'!AK$3-1))</f>
        <v/>
      </c>
      <c r="AL24" s="149" t="str">
        <f>IF(OR($B24="",$B24=0),"",($G24*(AL$4&lt;$I24)+$H24*(AL$4&gt;=$I24))*$C24*(1+'Property Summary'!$L$18)^('MF Rents'!AL$3-1))</f>
        <v/>
      </c>
      <c r="AM24" s="149" t="str">
        <f>IF(OR($B24="",$B24=0),"",($G24*(AM$4&lt;$I24)+$H24*(AM$4&gt;=$I24))*$C24*(1+'Property Summary'!$L$18)^('MF Rents'!AM$3-1))</f>
        <v/>
      </c>
      <c r="AN24" s="149" t="str">
        <f>IF(OR($B24="",$B24=0),"",($G24*(AN$4&lt;$I24)+$H24*(AN$4&gt;=$I24))*$C24*(1+'Property Summary'!$L$18)^('MF Rents'!AN$3-1))</f>
        <v/>
      </c>
      <c r="AO24" s="149" t="str">
        <f>IF(OR($B24="",$B24=0),"",($G24*(AO$4&lt;$I24)+$H24*(AO$4&gt;=$I24))*$C24*(1+'Property Summary'!$L$18)^('MF Rents'!AO$3-1))</f>
        <v/>
      </c>
      <c r="AP24" s="149" t="str">
        <f>IF(OR($B24="",$B24=0),"",($G24*(AP$4&lt;$I24)+$H24*(AP$4&gt;=$I24))*$C24*(1+'Property Summary'!$L$18)^('MF Rents'!AP$3-1))</f>
        <v/>
      </c>
      <c r="AQ24" s="149" t="str">
        <f>IF(OR($B24="",$B24=0),"",($G24*(AQ$4&lt;$I24)+$H24*(AQ$4&gt;=$I24))*$C24*(1+'Property Summary'!$L$18)^('MF Rents'!AQ$3-1))</f>
        <v/>
      </c>
      <c r="AR24" s="149" t="str">
        <f>IF(OR($B24="",$B24=0),"",($G24*(AR$4&lt;$I24)+$H24*(AR$4&gt;=$I24))*$C24*(1+'Property Summary'!$L$18)^('MF Rents'!AR$3-1))</f>
        <v/>
      </c>
      <c r="AS24" s="149" t="str">
        <f>IF(OR($B24="",$B24=0),"",($G24*(AS$4&lt;$I24)+$H24*(AS$4&gt;=$I24))*$C24*(1+'Property Summary'!$L$18)^('MF Rents'!AS$3-1))</f>
        <v/>
      </c>
      <c r="AT24" s="149" t="str">
        <f>IF(OR($B24="",$B24=0),"",($G24*(AT$4&lt;$I24)+$H24*(AT$4&gt;=$I24))*$C24*(1+'Property Summary'!$L$18)^('MF Rents'!AT$3-1))</f>
        <v/>
      </c>
      <c r="AU24" s="149" t="str">
        <f>IF(OR($B24="",$B24=0),"",($G24*(AU$4&lt;$I24)+$H24*(AU$4&gt;=$I24))*$C24*(1+'Property Summary'!$L$18)^('MF Rents'!AU$3-1))</f>
        <v/>
      </c>
      <c r="AV24" s="149" t="str">
        <f>IF(OR($B24="",$B24=0),"",($G24*(AV$4&lt;$I24)+$H24*(AV$4&gt;=$I24))*$C24*(1+'Property Summary'!$L$18)^('MF Rents'!AV$3-1))</f>
        <v/>
      </c>
      <c r="AW24" s="149" t="str">
        <f>IF(OR($B24="",$B24=0),"",($G24*(AW$4&lt;$I24)+$H24*(AW$4&gt;=$I24))*$C24*(1+'Property Summary'!$L$18)^('MF Rents'!AW$3-1))</f>
        <v/>
      </c>
      <c r="AX24" s="149" t="str">
        <f>IF(OR($B24="",$B24=0),"",($G24*(AX$4&lt;$I24)+$H24*(AX$4&gt;=$I24))*$C24*(1+'Property Summary'!$L$18)^('MF Rents'!AX$3-1))</f>
        <v/>
      </c>
      <c r="AY24" s="149" t="str">
        <f>IF(OR($B24="",$B24=0),"",($G24*(AY$4&lt;$I24)+$H24*(AY$4&gt;=$I24))*$C24*(1+'Property Summary'!$L$18)^('MF Rents'!AY$3-1))</f>
        <v/>
      </c>
      <c r="AZ24" s="149" t="str">
        <f>IF(OR($B24="",$B24=0),"",($G24*(AZ$4&lt;$I24)+$H24*(AZ$4&gt;=$I24))*$C24*(1+'Property Summary'!$L$18)^('MF Rents'!AZ$3-1))</f>
        <v/>
      </c>
      <c r="BA24" s="149" t="str">
        <f>IF(OR($B24="",$B24=0),"",($G24*(BA$4&lt;$I24)+$H24*(BA$4&gt;=$I24))*$C24*(1+'Property Summary'!$L$18)^('MF Rents'!BA$3-1))</f>
        <v/>
      </c>
      <c r="BB24" s="149" t="str">
        <f>IF(OR($B24="",$B24=0),"",($G24*(BB$4&lt;$I24)+$H24*(BB$4&gt;=$I24))*$C24*(1+'Property Summary'!$L$18)^('MF Rents'!BB$3-1))</f>
        <v/>
      </c>
      <c r="BC24" s="149" t="str">
        <f>IF(OR($B24="",$B24=0),"",($G24*(BC$4&lt;$I24)+$H24*(BC$4&gt;=$I24))*$C24*(1+'Property Summary'!$L$18)^('MF Rents'!BC$3-1))</f>
        <v/>
      </c>
      <c r="BD24" s="149" t="str">
        <f>IF(OR($B24="",$B24=0),"",($G24*(BD$4&lt;$I24)+$H24*(BD$4&gt;=$I24))*$C24*(1+'Property Summary'!$L$18)^('MF Rents'!BD$3-1))</f>
        <v/>
      </c>
      <c r="BE24" s="149" t="str">
        <f>IF(OR($B24="",$B24=0),"",($G24*(BE$4&lt;$I24)+$H24*(BE$4&gt;=$I24))*$C24*(1+'Property Summary'!$L$18)^('MF Rents'!BE$3-1))</f>
        <v/>
      </c>
      <c r="BF24" s="149" t="str">
        <f>IF(OR($B24="",$B24=0),"",($G24*(BF$4&lt;$I24)+$H24*(BF$4&gt;=$I24))*$C24*(1+'Property Summary'!$L$18)^('MF Rents'!BF$3-1))</f>
        <v/>
      </c>
      <c r="BG24" s="149" t="str">
        <f>IF(OR($B24="",$B24=0),"",($G24*(BG$4&lt;$I24)+$H24*(BG$4&gt;=$I24))*$C24*(1+'Property Summary'!$L$18)^('MF Rents'!BG$3-1))</f>
        <v/>
      </c>
      <c r="BH24" s="149" t="str">
        <f>IF(OR($B24="",$B24=0),"",($G24*(BH$4&lt;$I24)+$H24*(BH$4&gt;=$I24))*$C24*(1+'Property Summary'!$L$18)^('MF Rents'!BH$3-1))</f>
        <v/>
      </c>
      <c r="BI24" s="149" t="str">
        <f>IF(OR($B24="",$B24=0),"",($G24*(BI$4&lt;$I24)+$H24*(BI$4&gt;=$I24))*$C24*(1+'Property Summary'!$L$18)^('MF Rents'!BI$3-1))</f>
        <v/>
      </c>
      <c r="BJ24" s="149" t="str">
        <f>IF(OR($B24="",$B24=0),"",($G24*(BJ$4&lt;$I24)+$H24*(BJ$4&gt;=$I24))*$C24*(1+'Property Summary'!$L$18)^('MF Rents'!BJ$3-1))</f>
        <v/>
      </c>
      <c r="BK24" s="149" t="str">
        <f>IF(OR($B24="",$B24=0),"",($G24*(BK$4&lt;$I24)+$H24*(BK$4&gt;=$I24))*$C24*(1+'Property Summary'!$L$18)^('MF Rents'!BK$3-1))</f>
        <v/>
      </c>
      <c r="BL24" s="149" t="str">
        <f>IF(OR($B24="",$B24=0),"",($G24*(BL$4&lt;$I24)+$H24*(BL$4&gt;=$I24))*$C24*(1+'Property Summary'!$L$18)^('MF Rents'!BL$3-1))</f>
        <v/>
      </c>
      <c r="BM24" s="149" t="str">
        <f>IF(OR($B24="",$B24=0),"",($G24*(BM$4&lt;$I24)+$H24*(BM$4&gt;=$I24))*$C24*(1+'Property Summary'!$L$18)^('MF Rents'!BM$3-1))</f>
        <v/>
      </c>
      <c r="BN24" s="149" t="str">
        <f>IF(OR($B24="",$B24=0),"",($G24*(BN$4&lt;$I24)+$H24*(BN$4&gt;=$I24))*$C24*(1+'Property Summary'!$L$18)^('MF Rents'!BN$3-1))</f>
        <v/>
      </c>
      <c r="BO24" s="149" t="str">
        <f>IF(OR($B24="",$B24=0),"",($G24*(BO$4&lt;$I24)+$H24*(BO$4&gt;=$I24))*$C24*(1+'Property Summary'!$L$18)^('MF Rents'!BO$3-1))</f>
        <v/>
      </c>
      <c r="BP24" s="149" t="str">
        <f>IF(OR($B24="",$B24=0),"",($G24*(BP$4&lt;$I24)+$H24*(BP$4&gt;=$I24))*$C24*(1+'Property Summary'!$L$18)^('MF Rents'!BP$3-1))</f>
        <v/>
      </c>
      <c r="BQ24" s="149" t="str">
        <f>IF(OR($B24="",$B24=0),"",($G24*(BQ$4&lt;$I24)+$H24*(BQ$4&gt;=$I24))*$C24*(1+'Property Summary'!$L$18)^('MF Rents'!BQ$3-1))</f>
        <v/>
      </c>
      <c r="BR24" s="149" t="str">
        <f>IF(OR($B24="",$B24=0),"",($G24*(BR$4&lt;$I24)+$H24*(BR$4&gt;=$I24))*$C24*(1+'Property Summary'!$L$18)^('MF Rents'!BR$3-1))</f>
        <v/>
      </c>
      <c r="BS24" s="149" t="str">
        <f>IF(OR($B24="",$B24=0),"",($G24*(BS$4&lt;$I24)+$H24*(BS$4&gt;=$I24))*$C24*(1+'Property Summary'!$L$18)^('MF Rents'!BS$3-1))</f>
        <v/>
      </c>
      <c r="BT24" s="149" t="str">
        <f>IF(OR($B24="",$B24=0),"",($G24*(BT$4&lt;$I24)+$H24*(BT$4&gt;=$I24))*$C24*(1+'Property Summary'!$L$18)^('MF Rents'!BT$3-1))</f>
        <v/>
      </c>
      <c r="BU24" s="149" t="str">
        <f>IF(OR($B24="",$B24=0),"",($G24*(BU$4&lt;$I24)+$H24*(BU$4&gt;=$I24))*$C24*(1+'Property Summary'!$L$18)^('MF Rents'!BU$3-1))</f>
        <v/>
      </c>
      <c r="BV24" s="149" t="str">
        <f>IF(OR($B24="",$B24=0),"",($G24*(BV$4&lt;$I24)+$H24*(BV$4&gt;=$I24))*$C24*(1+'Property Summary'!$L$18)^('MF Rents'!BV$3-1))</f>
        <v/>
      </c>
      <c r="BW24" s="149" t="str">
        <f>IF(OR($B24="",$B24=0),"",($G24*(BW$4&lt;$I24)+$H24*(BW$4&gt;=$I24))*$C24*(1+'Property Summary'!$L$18)^('MF Rents'!BW$3-1))</f>
        <v/>
      </c>
      <c r="BX24" s="149" t="str">
        <f>IF(OR($B24="",$B24=0),"",($G24*(BX$4&lt;$I24)+$H24*(BX$4&gt;=$I24))*$C24*(1+'Property Summary'!$L$18)^('MF Rents'!BX$3-1))</f>
        <v/>
      </c>
      <c r="BY24" s="149" t="str">
        <f>IF(OR($B24="",$B24=0),"",($G24*(BY$4&lt;$I24)+$H24*(BY$4&gt;=$I24))*$C24*(1+'Property Summary'!$L$18)^('MF Rents'!BY$3-1))</f>
        <v/>
      </c>
      <c r="BZ24" s="149" t="str">
        <f>IF(OR($B24="",$B24=0),"",($G24*(BZ$4&lt;$I24)+$H24*(BZ$4&gt;=$I24))*$C24*(1+'Property Summary'!$L$18)^('MF Rents'!BZ$3-1))</f>
        <v/>
      </c>
      <c r="CA24" s="149" t="str">
        <f>IF(OR($B24="",$B24=0),"",($G24*(CA$4&lt;$I24)+$H24*(CA$4&gt;=$I24))*$C24*(1+'Property Summary'!$L$18)^('MF Rents'!CA$3-1))</f>
        <v/>
      </c>
      <c r="CB24" s="149" t="str">
        <f>IF(OR($B24="",$B24=0),"",($G24*(CB$4&lt;$I24)+$H24*(CB$4&gt;=$I24))*$C24*(1+'Property Summary'!$L$18)^('MF Rents'!CB$3-1))</f>
        <v/>
      </c>
      <c r="CC24" s="149" t="str">
        <f>IF(OR($B24="",$B24=0),"",($G24*(CC$4&lt;$I24)+$H24*(CC$4&gt;=$I24))*$C24*(1+'Property Summary'!$L$18)^('MF Rents'!CC$3-1))</f>
        <v/>
      </c>
      <c r="CD24" s="149" t="str">
        <f>IF(OR($B24="",$B24=0),"",($G24*(CD$4&lt;$I24)+$H24*(CD$4&gt;=$I24))*$C24*(1+'Property Summary'!$L$18)^('MF Rents'!CD$3-1))</f>
        <v/>
      </c>
      <c r="CE24" s="149" t="str">
        <f>IF(OR($B24="",$B24=0),"",($G24*(CE$4&lt;$I24)+$H24*(CE$4&gt;=$I24))*$C24*(1+'Property Summary'!$L$18)^('MF Rents'!CE$3-1))</f>
        <v/>
      </c>
      <c r="CF24" s="149" t="str">
        <f>IF(OR($B24="",$B24=0),"",($G24*(CF$4&lt;$I24)+$H24*(CF$4&gt;=$I24))*$C24*(1+'Property Summary'!$L$18)^('MF Rents'!CF$3-1))</f>
        <v/>
      </c>
      <c r="CG24" s="149" t="str">
        <f>IF(OR($B24="",$B24=0),"",($G24*(CG$4&lt;$I24)+$H24*(CG$4&gt;=$I24))*$C24*(1+'Property Summary'!$L$18)^('MF Rents'!CG$3-1))</f>
        <v/>
      </c>
      <c r="CH24" s="149" t="str">
        <f>IF(OR($B24="",$B24=0),"",($G24*(CH$4&lt;$I24)+$H24*(CH$4&gt;=$I24))*$C24*(1+'Property Summary'!$L$18)^('MF Rents'!CH$3-1))</f>
        <v/>
      </c>
      <c r="CI24" s="149" t="str">
        <f>IF(OR($B24="",$B24=0),"",($G24*(CI$4&lt;$I24)+$H24*(CI$4&gt;=$I24))*$C24*(1+'Property Summary'!$L$18)^('MF Rents'!CI$3-1))</f>
        <v/>
      </c>
      <c r="CJ24" s="149" t="str">
        <f>IF(OR($B24="",$B24=0),"",($G24*(CJ$4&lt;$I24)+$H24*(CJ$4&gt;=$I24))*$C24*(1+'Property Summary'!$L$18)^('MF Rents'!CJ$3-1))</f>
        <v/>
      </c>
      <c r="CK24" s="149" t="str">
        <f>IF(OR($B24="",$B24=0),"",($G24*(CK$4&lt;$I24)+$H24*(CK$4&gt;=$I24))*$C24*(1+'Property Summary'!$L$18)^('MF Rents'!CK$3-1))</f>
        <v/>
      </c>
      <c r="CL24" s="149" t="str">
        <f>IF(OR($B24="",$B24=0),"",($G24*(CL$4&lt;$I24)+$H24*(CL$4&gt;=$I24))*$C24*(1+'Property Summary'!$L$18)^('MF Rents'!CL$3-1))</f>
        <v/>
      </c>
      <c r="CM24" s="149" t="str">
        <f>IF(OR($B24="",$B24=0),"",($G24*(CM$4&lt;$I24)+$H24*(CM$4&gt;=$I24))*$C24*(1+'Property Summary'!$L$18)^('MF Rents'!CM$3-1))</f>
        <v/>
      </c>
      <c r="CN24" s="149" t="str">
        <f>IF(OR($B24="",$B24=0),"",($G24*(CN$4&lt;$I24)+$H24*(CN$4&gt;=$I24))*$C24*(1+'Property Summary'!$L$18)^('MF Rents'!CN$3-1))</f>
        <v/>
      </c>
      <c r="CO24" s="149" t="str">
        <f>IF(OR($B24="",$B24=0),"",($G24*(CO$4&lt;$I24)+$H24*(CO$4&gt;=$I24))*$C24*(1+'Property Summary'!$L$18)^('MF Rents'!CO$3-1))</f>
        <v/>
      </c>
      <c r="CP24" s="149" t="str">
        <f>IF(OR($B24="",$B24=0),"",($G24*(CP$4&lt;$I24)+$H24*(CP$4&gt;=$I24))*$C24*(1+'Property Summary'!$L$18)^('MF Rents'!CP$3-1))</f>
        <v/>
      </c>
      <c r="CQ24" s="149" t="str">
        <f>IF(OR($B24="",$B24=0),"",($G24*(CQ$4&lt;$I24)+$H24*(CQ$4&gt;=$I24))*$C24*(1+'Property Summary'!$L$18)^('MF Rents'!CQ$3-1))</f>
        <v/>
      </c>
      <c r="CR24" s="149" t="str">
        <f>IF(OR($B24="",$B24=0),"",($G24*(CR$4&lt;$I24)+$H24*(CR$4&gt;=$I24))*$C24*(1+'Property Summary'!$L$18)^('MF Rents'!CR$3-1))</f>
        <v/>
      </c>
      <c r="CS24" s="149" t="str">
        <f>IF(OR($B24="",$B24=0),"",($G24*(CS$4&lt;$I24)+$H24*(CS$4&gt;=$I24))*$C24*(1+'Property Summary'!$L$18)^('MF Rents'!CS$3-1))</f>
        <v/>
      </c>
      <c r="CT24" s="149" t="str">
        <f>IF(OR($B24="",$B24=0),"",($G24*(CT$4&lt;$I24)+$H24*(CT$4&gt;=$I24))*$C24*(1+'Property Summary'!$L$18)^('MF Rents'!CT$3-1))</f>
        <v/>
      </c>
      <c r="CU24" s="149" t="str">
        <f>IF(OR($B24="",$B24=0),"",($G24*(CU$4&lt;$I24)+$H24*(CU$4&gt;=$I24))*$C24*(1+'Property Summary'!$L$18)^('MF Rents'!CU$3-1))</f>
        <v/>
      </c>
      <c r="CV24" s="149" t="str">
        <f>IF(OR($B24="",$B24=0),"",($G24*(CV$4&lt;$I24)+$H24*(CV$4&gt;=$I24))*$C24*(1+'Property Summary'!$L$18)^('MF Rents'!CV$3-1))</f>
        <v/>
      </c>
      <c r="CW24" s="149" t="str">
        <f>IF(OR($B24="",$B24=0),"",($G24*(CW$4&lt;$I24)+$H24*(CW$4&gt;=$I24))*$C24*(1+'Property Summary'!$L$18)^('MF Rents'!CW$3-1))</f>
        <v/>
      </c>
      <c r="CX24" s="149" t="str">
        <f>IF(OR($B24="",$B24=0),"",($G24*(CX$4&lt;$I24)+$H24*(CX$4&gt;=$I24))*$C24*(1+'Property Summary'!$L$18)^('MF Rents'!CX$3-1))</f>
        <v/>
      </c>
      <c r="CY24" s="149" t="str">
        <f>IF(OR($B24="",$B24=0),"",($G24*(CY$4&lt;$I24)+$H24*(CY$4&gt;=$I24))*$C24*(1+'Property Summary'!$L$18)^('MF Rents'!CY$3-1))</f>
        <v/>
      </c>
      <c r="CZ24" s="149" t="str">
        <f>IF(OR($B24="",$B24=0),"",($G24*(CZ$4&lt;$I24)+$H24*(CZ$4&gt;=$I24))*$C24*(1+'Property Summary'!$L$18)^('MF Rents'!CZ$3-1))</f>
        <v/>
      </c>
      <c r="DA24" s="149" t="str">
        <f>IF(OR($B24="",$B24=0),"",($G24*(DA$4&lt;$I24)+$H24*(DA$4&gt;=$I24))*$C24*(1+'Property Summary'!$L$18)^('MF Rents'!DA$3-1))</f>
        <v/>
      </c>
      <c r="DB24" s="149" t="str">
        <f>IF(OR($B24="",$B24=0),"",($G24*(DB$4&lt;$I24)+$H24*(DB$4&gt;=$I24))*$C24*(1+'Property Summary'!$L$18)^('MF Rents'!DB$3-1))</f>
        <v/>
      </c>
      <c r="DC24" s="149" t="str">
        <f>IF(OR($B24="",$B24=0),"",($G24*(DC$4&lt;$I24)+$H24*(DC$4&gt;=$I24))*$C24*(1+'Property Summary'!$L$18)^('MF Rents'!DC$3-1))</f>
        <v/>
      </c>
      <c r="DD24" s="149" t="str">
        <f>IF(OR($B24="",$B24=0),"",($G24*(DD$4&lt;$I24)+$H24*(DD$4&gt;=$I24))*$C24*(1+'Property Summary'!$L$18)^('MF Rents'!DD$3-1))</f>
        <v/>
      </c>
      <c r="DE24" s="149" t="str">
        <f>IF(OR($B24="",$B24=0),"",($G24*(DE$4&lt;$I24)+$H24*(DE$4&gt;=$I24))*$C24*(1+'Property Summary'!$L$18)^('MF Rents'!DE$3-1))</f>
        <v/>
      </c>
      <c r="DF24" s="149" t="str">
        <f>IF(OR($B24="",$B24=0),"",($G24*(DF$4&lt;$I24)+$H24*(DF$4&gt;=$I24))*$C24*(1+'Property Summary'!$L$18)^('MF Rents'!DF$3-1))</f>
        <v/>
      </c>
      <c r="DG24" s="149" t="str">
        <f>IF(OR($B24="",$B24=0),"",($G24*(DG$4&lt;$I24)+$H24*(DG$4&gt;=$I24))*$C24*(1+'Property Summary'!$L$18)^('MF Rents'!DG$3-1))</f>
        <v/>
      </c>
      <c r="DH24" s="149" t="str">
        <f>IF(OR($B24="",$B24=0),"",($G24*(DH$4&lt;$I24)+$H24*(DH$4&gt;=$I24))*$C24*(1+'Property Summary'!$L$18)^('MF Rents'!DH$3-1))</f>
        <v/>
      </c>
      <c r="DI24" s="149" t="str">
        <f>IF(OR($B24="",$B24=0),"",($G24*(DI$4&lt;$I24)+$H24*(DI$4&gt;=$I24))*$C24*(1+'Property Summary'!$L$18)^('MF Rents'!DI$3-1))</f>
        <v/>
      </c>
      <c r="DJ24" s="149" t="str">
        <f>IF(OR($B24="",$B24=0),"",($G24*(DJ$4&lt;$I24)+$H24*(DJ$4&gt;=$I24))*$C24*(1+'Property Summary'!$L$18)^('MF Rents'!DJ$3-1))</f>
        <v/>
      </c>
      <c r="DK24" s="149" t="str">
        <f>IF(OR($B24="",$B24=0),"",($G24*(DK$4&lt;$I24)+$H24*(DK$4&gt;=$I24))*$C24*(1+'Property Summary'!$L$18)^('MF Rents'!DK$3-1))</f>
        <v/>
      </c>
      <c r="DL24" s="149" t="str">
        <f>IF(OR($B24="",$B24=0),"",($G24*(DL$4&lt;$I24)+$H24*(DL$4&gt;=$I24))*$C24*(1+'Property Summary'!$L$18)^('MF Rents'!DL$3-1))</f>
        <v/>
      </c>
      <c r="DM24" s="149" t="str">
        <f>IF(OR($B24="",$B24=0),"",($G24*(DM$4&lt;$I24)+$H24*(DM$4&gt;=$I24))*$C24*(1+'Property Summary'!$L$18)^('MF Rents'!DM$3-1))</f>
        <v/>
      </c>
      <c r="DN24" s="149" t="str">
        <f>IF(OR($B24="",$B24=0),"",($G24*(DN$4&lt;$I24)+$H24*(DN$4&gt;=$I24))*$C24*(1+'Property Summary'!$L$18)^('MF Rents'!DN$3-1))</f>
        <v/>
      </c>
      <c r="DO24" s="149" t="str">
        <f>IF(OR($B24="",$B24=0),"",($G24*(DO$4&lt;$I24)+$H24*(DO$4&gt;=$I24))*$C24*(1+'Property Summary'!$L$18)^('MF Rents'!DO$3-1))</f>
        <v/>
      </c>
      <c r="DP24" s="149" t="str">
        <f>IF(OR($B24="",$B24=0),"",($G24*(DP$4&lt;$I24)+$H24*(DP$4&gt;=$I24))*$C24*(1+'Property Summary'!$L$18)^('MF Rents'!DP$3-1))</f>
        <v/>
      </c>
      <c r="DQ24" s="149" t="str">
        <f>IF(OR($B24="",$B24=0),"",($G24*(DQ$4&lt;$I24)+$H24*(DQ$4&gt;=$I24))*$C24*(1+'Property Summary'!$L$18)^('MF Rents'!DQ$3-1))</f>
        <v/>
      </c>
      <c r="DR24" s="149" t="str">
        <f>IF(OR($B24="",$B24=0),"",($G24*(DR$4&lt;$I24)+$H24*(DR$4&gt;=$I24))*$C24*(1+'Property Summary'!$L$18)^('MF Rents'!DR$3-1))</f>
        <v/>
      </c>
      <c r="DS24" s="149" t="str">
        <f>IF(OR($B24="",$B24=0),"",($G24*(DS$4&lt;$I24)+$H24*(DS$4&gt;=$I24))*$C24*(1+'Property Summary'!$L$18)^('MF Rents'!DS$3-1))</f>
        <v/>
      </c>
      <c r="DT24" s="149" t="str">
        <f>IF(OR($B24="",$B24=0),"",($G24*(DT$4&lt;$I24)+$H24*(DT$4&gt;=$I24))*$C24*(1+'Property Summary'!$L$18)^('MF Rents'!DT$3-1))</f>
        <v/>
      </c>
      <c r="DU24" s="149" t="str">
        <f>IF(OR($B24="",$B24=0),"",($G24*(DU$4&lt;$I24)+$H24*(DU$4&gt;=$I24))*$C24*(1+'Property Summary'!$L$18)^('MF Rents'!DU$3-1))</f>
        <v/>
      </c>
      <c r="DV24" s="149" t="str">
        <f>IF(OR($B24="",$B24=0),"",($G24*(DV$4&lt;$I24)+$H24*(DV$4&gt;=$I24))*$C24*(1+'Property Summary'!$L$18)^('MF Rents'!DV$3-1))</f>
        <v/>
      </c>
      <c r="DW24" s="149" t="str">
        <f>IF(OR($B24="",$B24=0),"",($G24*(DW$4&lt;$I24)+$H24*(DW$4&gt;=$I24))*$C24*(1+'Property Summary'!$L$18)^('MF Rents'!DW$3-1))</f>
        <v/>
      </c>
      <c r="DX24" s="149" t="str">
        <f>IF(OR($B24="",$B24=0),"",($G24*(DX$4&lt;$I24)+$H24*(DX$4&gt;=$I24))*$C24*(1+'Property Summary'!$L$18)^('MF Rents'!DX$3-1))</f>
        <v/>
      </c>
      <c r="DY24" s="149" t="str">
        <f>IF(OR($B24="",$B24=0),"",($G24*(DY$4&lt;$I24)+$H24*(DY$4&gt;=$I24))*$C24*(1+'Property Summary'!$L$18)^('MF Rents'!DY$3-1))</f>
        <v/>
      </c>
      <c r="DZ24" s="149" t="str">
        <f>IF(OR($B24="",$B24=0),"",($G24*(DZ$4&lt;$I24)+$H24*(DZ$4&gt;=$I24))*$C24*(1+'Property Summary'!$L$18)^('MF Rents'!DZ$3-1))</f>
        <v/>
      </c>
      <c r="EA24" s="149" t="str">
        <f>IF(OR($B24="",$B24=0),"",($G24*(EA$4&lt;$I24)+$H24*(EA$4&gt;=$I24))*$C24*(1+'Property Summary'!$L$18)^('MF Rents'!EA$3-1))</f>
        <v/>
      </c>
      <c r="EB24" s="149" t="str">
        <f>IF(OR($B24="",$B24=0),"",($G24*(EB$4&lt;$I24)+$H24*(EB$4&gt;=$I24))*$C24*(1+'Property Summary'!$L$18)^('MF Rents'!EB$3-1))</f>
        <v/>
      </c>
      <c r="EC24" s="149" t="str">
        <f>IF(OR($B24="",$B24=0),"",($G24*(EC$4&lt;$I24)+$H24*(EC$4&gt;=$I24))*$C24*(1+'Property Summary'!$L$18)^('MF Rents'!EC$3-1))</f>
        <v/>
      </c>
      <c r="ED24" s="149" t="str">
        <f>IF(OR($B24="",$B24=0),"",($G24*(ED$4&lt;$I24)+$H24*(ED$4&gt;=$I24))*$C24*(1+'Property Summary'!$L$18)^('MF Rents'!ED$3-1))</f>
        <v/>
      </c>
      <c r="EE24" s="149" t="str">
        <f>IF(OR($B24="",$B24=0),"",($G24*(EE$4&lt;$I24)+$H24*(EE$4&gt;=$I24))*$C24*(1+'Property Summary'!$L$18)^('MF Rents'!EE$3-1))</f>
        <v/>
      </c>
      <c r="EF24" s="149" t="str">
        <f>IF(OR($B24="",$B24=0),"",($G24*(EF$4&lt;$I24)+$H24*(EF$4&gt;=$I24))*$C24*(1+'Property Summary'!$L$18)^('MF Rents'!EF$3-1))</f>
        <v/>
      </c>
      <c r="EG24" s="149" t="str">
        <f>IF(OR($B24="",$B24=0),"",($G24*(EG$4&lt;$I24)+$H24*(EG$4&gt;=$I24))*$C24*(1+'Property Summary'!$L$18)^('MF Rents'!EG$3-1))</f>
        <v/>
      </c>
      <c r="EH24" s="149" t="str">
        <f>IF(OR($B24="",$B24=0),"",($G24*(EH$4&lt;$I24)+$H24*(EH$4&gt;=$I24))*$C24*(1+'Property Summary'!$L$18)^('MF Rents'!EH$3-1))</f>
        <v/>
      </c>
      <c r="EI24" s="149" t="str">
        <f>IF(OR($B24="",$B24=0),"",($G24*(EI$4&lt;$I24)+$H24*(EI$4&gt;=$I24))*$C24*(1+'Property Summary'!$L$18)^('MF Rents'!EI$3-1))</f>
        <v/>
      </c>
      <c r="EJ24" s="149" t="str">
        <f>IF(OR($B24="",$B24=0),"",($G24*(EJ$4&lt;$I24)+$H24*(EJ$4&gt;=$I24))*$C24*(1+'Property Summary'!$L$18)^('MF Rents'!EJ$3-1))</f>
        <v/>
      </c>
      <c r="EK24" s="149" t="str">
        <f>IF(OR($B24="",$B24=0),"",($G24*(EK$4&lt;$I24)+$H24*(EK$4&gt;=$I24))*$C24*(1+'Property Summary'!$L$18)^('MF Rents'!EK$3-1))</f>
        <v/>
      </c>
      <c r="EL24" s="149" t="str">
        <f>IF(OR($B24="",$B24=0),"",($G24*(EL$4&lt;$I24)+$H24*(EL$4&gt;=$I24))*$C24*(1+'Property Summary'!$L$18)^('MF Rents'!EL$3-1))</f>
        <v/>
      </c>
      <c r="EM24" s="149" t="str">
        <f>IF(OR($B24="",$B24=0),"",($G24*(EM$4&lt;$I24)+$H24*(EM$4&gt;=$I24))*$C24*(1+'Property Summary'!$L$18)^('MF Rents'!EM$3-1))</f>
        <v/>
      </c>
      <c r="EN24" s="149" t="str">
        <f>IF(OR($B24="",$B24=0),"",($G24*(EN$4&lt;$I24)+$H24*(EN$4&gt;=$I24))*$C24*(1+'Property Summary'!$L$18)^('MF Rents'!EN$3-1))</f>
        <v/>
      </c>
      <c r="EO24" s="149" t="str">
        <f>IF(OR($B24="",$B24=0),"",($G24*(EO$4&lt;$I24)+$H24*(EO$4&gt;=$I24))*$C24*(1+'Property Summary'!$L$18)^('MF Rents'!EO$3-1))</f>
        <v/>
      </c>
      <c r="EP24" s="149" t="str">
        <f>IF(OR($B24="",$B24=0),"",($G24*(EP$4&lt;$I24)+$H24*(EP$4&gt;=$I24))*$C24*(1+'Property Summary'!$L$18)^('MF Rents'!EP$3-1))</f>
        <v/>
      </c>
      <c r="EQ24" s="149" t="str">
        <f>IF(OR($B24="",$B24=0),"",($G24*(EQ$4&lt;$I24)+$H24*(EQ$4&gt;=$I24))*$C24*(1+'Property Summary'!$L$18)^('MF Rents'!EQ$3-1))</f>
        <v/>
      </c>
      <c r="ER24" s="149" t="str">
        <f>IF(OR($B24="",$B24=0),"",($G24*(ER$4&lt;$I24)+$H24*(ER$4&gt;=$I24))*$C24*(1+'Property Summary'!$L$18)^('MF Rents'!ER$3-1))</f>
        <v/>
      </c>
      <c r="ES24" s="149" t="str">
        <f>IF(OR($B24="",$B24=0),"",($G24*(ES$4&lt;$I24)+$H24*(ES$4&gt;=$I24))*$C24*(1+'Property Summary'!$L$18)^('MF Rents'!ES$3-1))</f>
        <v/>
      </c>
      <c r="ET24" s="149" t="str">
        <f>IF(OR($B24="",$B24=0),"",($G24*(ET$4&lt;$I24)+$H24*(ET$4&gt;=$I24))*$C24*(1+'Property Summary'!$L$18)^('MF Rents'!ET$3-1))</f>
        <v/>
      </c>
      <c r="EU24" s="149" t="str">
        <f>IF(OR($B24="",$B24=0),"",($G24*(EU$4&lt;$I24)+$H24*(EU$4&gt;=$I24))*$C24*(1+'Property Summary'!$L$18)^('MF Rents'!EU$3-1))</f>
        <v/>
      </c>
      <c r="EV24" s="149" t="str">
        <f>IF(OR($B24="",$B24=0),"",($G24*(EV$4&lt;$I24)+$H24*(EV$4&gt;=$I24))*$C24*(1+'Property Summary'!$L$18)^('MF Rents'!EV$3-1))</f>
        <v/>
      </c>
      <c r="EW24" s="149" t="str">
        <f>IF(OR($B24="",$B24=0),"",($G24*(EW$4&lt;$I24)+$H24*(EW$4&gt;=$I24))*$C24*(1+'Property Summary'!$L$18)^('MF Rents'!EW$3-1))</f>
        <v/>
      </c>
      <c r="EX24" s="149" t="str">
        <f>IF(OR($B24="",$B24=0),"",($G24*(EX$4&lt;$I24)+$H24*(EX$4&gt;=$I24))*$C24*(1+'Property Summary'!$L$18)^('MF Rents'!EX$3-1))</f>
        <v/>
      </c>
      <c r="EY24" s="149" t="str">
        <f>IF(OR($B24="",$B24=0),"",($G24*(EY$4&lt;$I24)+$H24*(EY$4&gt;=$I24))*$C24*(1+'Property Summary'!$L$18)^('MF Rents'!EY$3-1))</f>
        <v/>
      </c>
      <c r="EZ24" s="149" t="str">
        <f>IF(OR($B24="",$B24=0),"",($G24*(EZ$4&lt;$I24)+$H24*(EZ$4&gt;=$I24))*$C24*(1+'Property Summary'!$L$18)^('MF Rents'!EZ$3-1))</f>
        <v/>
      </c>
      <c r="FA24" s="149" t="str">
        <f>IF(OR($B24="",$B24=0),"",($G24*(FA$4&lt;$I24)+$H24*(FA$4&gt;=$I24))*$C24*(1+'Property Summary'!$L$18)^('MF Rents'!FA$3-1))</f>
        <v/>
      </c>
      <c r="FB24" s="149" t="str">
        <f>IF(OR($B24="",$B24=0),"",($G24*(FB$4&lt;$I24)+$H24*(FB$4&gt;=$I24))*$C24*(1+'Property Summary'!$L$18)^('MF Rents'!FB$3-1))</f>
        <v/>
      </c>
      <c r="FC24" s="149" t="str">
        <f>IF(OR($B24="",$B24=0),"",($G24*(FC$4&lt;$I24)+$H24*(FC$4&gt;=$I24))*$C24*(1+'Property Summary'!$L$18)^('MF Rents'!FC$3-1))</f>
        <v/>
      </c>
      <c r="FD24" s="149" t="str">
        <f>IF(OR($B24="",$B24=0),"",($G24*(FD$4&lt;$I24)+$H24*(FD$4&gt;=$I24))*$C24*(1+'Property Summary'!$L$18)^('MF Rents'!FD$3-1))</f>
        <v/>
      </c>
      <c r="FE24" s="149" t="str">
        <f>IF(OR($B24="",$B24=0),"",($G24*(FE$4&lt;$I24)+$H24*(FE$4&gt;=$I24))*$C24*(1+'Property Summary'!$L$18)^('MF Rents'!FE$3-1))</f>
        <v/>
      </c>
      <c r="FF24" s="149" t="str">
        <f>IF(OR($B24="",$B24=0),"",($G24*(FF$4&lt;$I24)+$H24*(FF$4&gt;=$I24))*$C24*(1+'Property Summary'!$L$18)^('MF Rents'!FF$3-1))</f>
        <v/>
      </c>
      <c r="FG24" s="149" t="str">
        <f>IF(OR($B24="",$B24=0),"",($G24*(FG$4&lt;$I24)+$H24*(FG$4&gt;=$I24))*$C24*(1+'Property Summary'!$L$18)^('MF Rents'!FG$3-1))</f>
        <v/>
      </c>
      <c r="FH24" s="149" t="str">
        <f>IF(OR($B24="",$B24=0),"",($G24*(FH$4&lt;$I24)+$H24*(FH$4&gt;=$I24))*$C24*(1+'Property Summary'!$L$18)^('MF Rents'!FH$3-1))</f>
        <v/>
      </c>
      <c r="FI24" s="149" t="str">
        <f>IF(OR($B24="",$B24=0),"",($G24*(FI$4&lt;$I24)+$H24*(FI$4&gt;=$I24))*$C24*(1+'Property Summary'!$L$18)^('MF Rents'!FI$3-1))</f>
        <v/>
      </c>
      <c r="FJ24" s="149" t="str">
        <f>IF(OR($B24="",$B24=0),"",($G24*(FJ$4&lt;$I24)+$H24*(FJ$4&gt;=$I24))*$C24*(1+'Property Summary'!$L$18)^('MF Rents'!FJ$3-1))</f>
        <v/>
      </c>
      <c r="FK24" s="149" t="str">
        <f>IF(OR($B24="",$B24=0),"",($G24*(FK$4&lt;$I24)+$H24*(FK$4&gt;=$I24))*$C24*(1+'Property Summary'!$L$18)^('MF Rents'!FK$3-1))</f>
        <v/>
      </c>
      <c r="FL24" s="149" t="str">
        <f>IF(OR($B24="",$B24=0),"",($G24*(FL$4&lt;$I24)+$H24*(FL$4&gt;=$I24))*$C24*(1+'Property Summary'!$L$18)^('MF Rents'!FL$3-1))</f>
        <v/>
      </c>
      <c r="FM24" s="149" t="str">
        <f>IF(OR($B24="",$B24=0),"",($G24*(FM$4&lt;$I24)+$H24*(FM$4&gt;=$I24))*$C24*(1+'Property Summary'!$L$18)^('MF Rents'!FM$3-1))</f>
        <v/>
      </c>
      <c r="FN24" s="149" t="str">
        <f>IF(OR($B24="",$B24=0),"",($G24*(FN$4&lt;$I24)+$H24*(FN$4&gt;=$I24))*$C24*(1+'Property Summary'!$L$18)^('MF Rents'!FN$3-1))</f>
        <v/>
      </c>
      <c r="FO24" s="149" t="str">
        <f>IF(OR($B24="",$B24=0),"",($G24*(FO$4&lt;$I24)+$H24*(FO$4&gt;=$I24))*$C24*(1+'Property Summary'!$L$18)^('MF Rents'!FO$3-1))</f>
        <v/>
      </c>
      <c r="FP24" s="149" t="str">
        <f>IF(OR($B24="",$B24=0),"",($G24*(FP$4&lt;$I24)+$H24*(FP$4&gt;=$I24))*$C24*(1+'Property Summary'!$L$18)^('MF Rents'!FP$3-1))</f>
        <v/>
      </c>
      <c r="FQ24" s="149" t="str">
        <f>IF(OR($B24="",$B24=0),"",($G24*(FQ$4&lt;$I24)+$H24*(FQ$4&gt;=$I24))*$C24*(1+'Property Summary'!$L$18)^('MF Rents'!FQ$3-1))</f>
        <v/>
      </c>
      <c r="FR24" s="149" t="str">
        <f>IF(OR($B24="",$B24=0),"",($G24*(FR$4&lt;$I24)+$H24*(FR$4&gt;=$I24))*$C24*(1+'Property Summary'!$L$18)^('MF Rents'!FR$3-1))</f>
        <v/>
      </c>
      <c r="FS24" s="149" t="str">
        <f>IF(OR($B24="",$B24=0),"",($G24*(FS$4&lt;$I24)+$H24*(FS$4&gt;=$I24))*$C24*(1+'Property Summary'!$L$18)^('MF Rents'!FS$3-1))</f>
        <v/>
      </c>
      <c r="FT24" s="149" t="str">
        <f>IF(OR($B24="",$B24=0),"",($G24*(FT$4&lt;$I24)+$H24*(FT$4&gt;=$I24))*$C24*(1+'Property Summary'!$L$18)^('MF Rents'!FT$3-1))</f>
        <v/>
      </c>
      <c r="FU24" s="149" t="str">
        <f>IF(OR($B24="",$B24=0),"",($G24*(FU$4&lt;$I24)+$H24*(FU$4&gt;=$I24))*$C24*(1+'Property Summary'!$L$18)^('MF Rents'!FU$3-1))</f>
        <v/>
      </c>
      <c r="FV24" s="149" t="str">
        <f>IF(OR($B24="",$B24=0),"",($G24*(FV$4&lt;$I24)+$H24*(FV$4&gt;=$I24))*$C24*(1+'Property Summary'!$L$18)^('MF Rents'!FV$3-1))</f>
        <v/>
      </c>
      <c r="FW24" s="149" t="str">
        <f>IF(OR($B24="",$B24=0),"",($G24*(FW$4&lt;$I24)+$H24*(FW$4&gt;=$I24))*$C24*(1+'Property Summary'!$L$18)^('MF Rents'!FW$3-1))</f>
        <v/>
      </c>
      <c r="FX24" s="149" t="str">
        <f>IF(OR($B24="",$B24=0),"",($G24*(FX$4&lt;$I24)+$H24*(FX$4&gt;=$I24))*$C24*(1+'Property Summary'!$L$18)^('MF Rents'!FX$3-1))</f>
        <v/>
      </c>
      <c r="FY24" s="149" t="str">
        <f>IF(OR($B24="",$B24=0),"",($G24*(FY$4&lt;$I24)+$H24*(FY$4&gt;=$I24))*$C24*(1+'Property Summary'!$L$18)^('MF Rents'!FY$3-1))</f>
        <v/>
      </c>
      <c r="FZ24" s="149" t="str">
        <f>IF(OR($B24="",$B24=0),"",($G24*(FZ$4&lt;$I24)+$H24*(FZ$4&gt;=$I24))*$C24*(1+'Property Summary'!$L$18)^('MF Rents'!FZ$3-1))</f>
        <v/>
      </c>
      <c r="GA24" s="149" t="str">
        <f>IF(OR($B24="",$B24=0),"",($G24*(GA$4&lt;$I24)+$H24*(GA$4&gt;=$I24))*$C24*(1+'Property Summary'!$L$18)^('MF Rents'!GA$3-1))</f>
        <v/>
      </c>
      <c r="GB24" s="149" t="str">
        <f>IF(OR($B24="",$B24=0),"",($G24*(GB$4&lt;$I24)+$H24*(GB$4&gt;=$I24))*$C24*(1+'Property Summary'!$L$18)^('MF Rents'!GB$3-1))</f>
        <v/>
      </c>
      <c r="GC24" s="149" t="str">
        <f>IF(OR($B24="",$B24=0),"",($G24*(GC$4&lt;$I24)+$H24*(GC$4&gt;=$I24))*$C24*(1+'Property Summary'!$L$18)^('MF Rents'!GC$3-1))</f>
        <v/>
      </c>
      <c r="GD24" s="149" t="str">
        <f>IF(OR($B24="",$B24=0),"",($G24*(GD$4&lt;$I24)+$H24*(GD$4&gt;=$I24))*$C24*(1+'Property Summary'!$L$18)^('MF Rents'!GD$3-1))</f>
        <v/>
      </c>
      <c r="GE24" s="149" t="str">
        <f>IF(OR($B24="",$B24=0),"",($G24*(GE$4&lt;$I24)+$H24*(GE$4&gt;=$I24))*$C24*(1+'Property Summary'!$L$18)^('MF Rents'!GE$3-1))</f>
        <v/>
      </c>
      <c r="GF24" s="149" t="str">
        <f>IF(OR($B24="",$B24=0),"",($G24*(GF$4&lt;$I24)+$H24*(GF$4&gt;=$I24))*$C24*(1+'Property Summary'!$L$18)^('MF Rents'!GF$3-1))</f>
        <v/>
      </c>
      <c r="GG24" s="149" t="str">
        <f>IF(OR($B24="",$B24=0),"",($G24*(GG$4&lt;$I24)+$H24*(GG$4&gt;=$I24))*$C24*(1+'Property Summary'!$L$18)^('MF Rents'!GG$3-1))</f>
        <v/>
      </c>
      <c r="GH24" s="149" t="str">
        <f>IF(OR($B24="",$B24=0),"",($G24*(GH$4&lt;$I24)+$H24*(GH$4&gt;=$I24))*$C24*(1+'Property Summary'!$L$18)^('MF Rents'!GH$3-1))</f>
        <v/>
      </c>
      <c r="GI24" s="149" t="str">
        <f>IF(OR($B24="",$B24=0),"",($G24*(GI$4&lt;$I24)+$H24*(GI$4&gt;=$I24))*$C24*(1+'Property Summary'!$L$18)^('MF Rents'!GI$3-1))</f>
        <v/>
      </c>
      <c r="GJ24" s="149" t="str">
        <f>IF(OR($B24="",$B24=0),"",($G24*(GJ$4&lt;$I24)+$H24*(GJ$4&gt;=$I24))*$C24*(1+'Property Summary'!$L$18)^('MF Rents'!GJ$3-1))</f>
        <v/>
      </c>
      <c r="GK24" s="149" t="str">
        <f>IF(OR($B24="",$B24=0),"",($G24*(GK$4&lt;$I24)+$H24*(GK$4&gt;=$I24))*$C24*(1+'Property Summary'!$L$18)^('MF Rents'!GK$3-1))</f>
        <v/>
      </c>
      <c r="GL24" s="149" t="str">
        <f>IF(OR($B24="",$B24=0),"",($G24*(GL$4&lt;$I24)+$H24*(GL$4&gt;=$I24))*$C24*(1+'Property Summary'!$L$18)^('MF Rents'!GL$3-1))</f>
        <v/>
      </c>
      <c r="GM24" s="149" t="str">
        <f>IF(OR($B24="",$B24=0),"",($G24*(GM$4&lt;$I24)+$H24*(GM$4&gt;=$I24))*$C24*(1+'Property Summary'!$L$18)^('MF Rents'!GM$3-1))</f>
        <v/>
      </c>
      <c r="GN24" s="149" t="str">
        <f>IF(OR($B24="",$B24=0),"",($G24*(GN$4&lt;$I24)+$H24*(GN$4&gt;=$I24))*$C24*(1+'Property Summary'!$L$18)^('MF Rents'!GN$3-1))</f>
        <v/>
      </c>
      <c r="GO24" s="149" t="str">
        <f>IF(OR($B24="",$B24=0),"",($G24*(GO$4&lt;$I24)+$H24*(GO$4&gt;=$I24))*$C24*(1+'Property Summary'!$L$18)^('MF Rents'!GO$3-1))</f>
        <v/>
      </c>
      <c r="GP24" s="149" t="str">
        <f>IF(OR($B24="",$B24=0),"",($G24*(GP$4&lt;$I24)+$H24*(GP$4&gt;=$I24))*$C24*(1+'Property Summary'!$L$18)^('MF Rents'!GP$3-1))</f>
        <v/>
      </c>
      <c r="GQ24" s="149" t="str">
        <f>IF(OR($B24="",$B24=0),"",($G24*(GQ$4&lt;$I24)+$H24*(GQ$4&gt;=$I24))*$C24*(1+'Property Summary'!$L$18)^('MF Rents'!GQ$3-1))</f>
        <v/>
      </c>
      <c r="GR24" s="149" t="str">
        <f>IF(OR($B24="",$B24=0),"",($G24*(GR$4&lt;$I24)+$H24*(GR$4&gt;=$I24))*$C24*(1+'Property Summary'!$L$18)^('MF Rents'!GR$3-1))</f>
        <v/>
      </c>
    </row>
    <row r="25" spans="2:200" x14ac:dyDescent="0.3">
      <c r="B25" s="184">
        <f>'MF Rent Roll'!B24</f>
        <v>0</v>
      </c>
      <c r="C25" s="171">
        <f>'MF Rent Roll'!C24</f>
        <v>0</v>
      </c>
      <c r="D25" s="172">
        <f>'MF Rent Roll'!D24</f>
        <v>0</v>
      </c>
      <c r="E25" s="172">
        <f>'MF Rent Roll'!E24</f>
        <v>0</v>
      </c>
      <c r="F25" s="173">
        <f>'MF Rent Roll'!F24</f>
        <v>0</v>
      </c>
      <c r="G25" s="174">
        <f>'MF Rent Roll'!G24</f>
        <v>0</v>
      </c>
      <c r="H25" s="174">
        <f>IF('MF Rent Roll'!H24="",G25,'MF Rent Roll'!H24)</f>
        <v>0</v>
      </c>
      <c r="I25" s="175">
        <f>IF('MF Rent Roll'!I24="",1,'MF Rent Roll'!I24)</f>
        <v>1</v>
      </c>
      <c r="J25" s="176">
        <f>'MF Rent Roll'!J24</f>
        <v>0</v>
      </c>
      <c r="K25" s="174">
        <f>'MF Rent Roll'!K24</f>
        <v>0</v>
      </c>
      <c r="L25" s="177">
        <f>'MF Rent Roll'!L24</f>
        <v>0</v>
      </c>
      <c r="M25" s="178">
        <f>'MF Rent Roll'!M24</f>
        <v>0</v>
      </c>
      <c r="N25" s="174">
        <f>'MF Rent Roll'!N24</f>
        <v>0</v>
      </c>
      <c r="O25" s="179">
        <f>'MF Rent Roll'!O24</f>
        <v>0</v>
      </c>
      <c r="P25" s="180" t="str">
        <f>'MF Rent Roll'!P24</f>
        <v/>
      </c>
      <c r="Q25" s="181" t="str">
        <f>'MF Rent Roll'!Q24</f>
        <v/>
      </c>
      <c r="R25" s="104" t="str">
        <f>'MF Rent Roll'!R24</f>
        <v/>
      </c>
      <c r="U25" s="149" t="str">
        <f>IF(OR($B25="",$B25=0),"",($G25*(U$4&lt;$I25)+$H25*(U$4&gt;=$I25))*$C25*(1+'Property Summary'!$L$18)^('MF Rents'!U$3-1))</f>
        <v/>
      </c>
      <c r="V25" s="149" t="str">
        <f>IF(OR($B25="",$B25=0),"",($G25*(V$4&lt;$I25)+$H25*(V$4&gt;=$I25))*$C25*(1+'Property Summary'!$L$18)^('MF Rents'!V$3-1))</f>
        <v/>
      </c>
      <c r="W25" s="149" t="str">
        <f>IF(OR($B25="",$B25=0),"",($G25*(W$4&lt;$I25)+$H25*(W$4&gt;=$I25))*$C25*(1+'Property Summary'!$L$18)^('MF Rents'!W$3-1))</f>
        <v/>
      </c>
      <c r="X25" s="149" t="str">
        <f>IF(OR($B25="",$B25=0),"",($G25*(X$4&lt;$I25)+$H25*(X$4&gt;=$I25))*$C25*(1+'Property Summary'!$L$18)^('MF Rents'!X$3-1))</f>
        <v/>
      </c>
      <c r="Y25" s="149" t="str">
        <f>IF(OR($B25="",$B25=0),"",($G25*(Y$4&lt;$I25)+$H25*(Y$4&gt;=$I25))*$C25*(1+'Property Summary'!$L$18)^('MF Rents'!Y$3-1))</f>
        <v/>
      </c>
      <c r="Z25" s="149" t="str">
        <f>IF(OR($B25="",$B25=0),"",($G25*(Z$4&lt;$I25)+$H25*(Z$4&gt;=$I25))*$C25*(1+'Property Summary'!$L$18)^('MF Rents'!Z$3-1))</f>
        <v/>
      </c>
      <c r="AA25" s="149" t="str">
        <f>IF(OR($B25="",$B25=0),"",($G25*(AA$4&lt;$I25)+$H25*(AA$4&gt;=$I25))*$C25*(1+'Property Summary'!$L$18)^('MF Rents'!AA$3-1))</f>
        <v/>
      </c>
      <c r="AB25" s="149" t="str">
        <f>IF(OR($B25="",$B25=0),"",($G25*(AB$4&lt;$I25)+$H25*(AB$4&gt;=$I25))*$C25*(1+'Property Summary'!$L$18)^('MF Rents'!AB$3-1))</f>
        <v/>
      </c>
      <c r="AC25" s="149" t="str">
        <f>IF(OR($B25="",$B25=0),"",($G25*(AC$4&lt;$I25)+$H25*(AC$4&gt;=$I25))*$C25*(1+'Property Summary'!$L$18)^('MF Rents'!AC$3-1))</f>
        <v/>
      </c>
      <c r="AD25" s="149" t="str">
        <f>IF(OR($B25="",$B25=0),"",($G25*(AD$4&lt;$I25)+$H25*(AD$4&gt;=$I25))*$C25*(1+'Property Summary'!$L$18)^('MF Rents'!AD$3-1))</f>
        <v/>
      </c>
      <c r="AE25" s="149" t="str">
        <f>IF(OR($B25="",$B25=0),"",($G25*(AE$4&lt;$I25)+$H25*(AE$4&gt;=$I25))*$C25*(1+'Property Summary'!$L$18)^('MF Rents'!AE$3-1))</f>
        <v/>
      </c>
      <c r="AF25" s="149" t="str">
        <f>IF(OR($B25="",$B25=0),"",($G25*(AF$4&lt;$I25)+$H25*(AF$4&gt;=$I25))*$C25*(1+'Property Summary'!$L$18)^('MF Rents'!AF$3-1))</f>
        <v/>
      </c>
      <c r="AG25" s="149" t="str">
        <f>IF(OR($B25="",$B25=0),"",($G25*(AG$4&lt;$I25)+$H25*(AG$4&gt;=$I25))*$C25*(1+'Property Summary'!$L$18)^('MF Rents'!AG$3-1))</f>
        <v/>
      </c>
      <c r="AH25" s="149" t="str">
        <f>IF(OR($B25="",$B25=0),"",($G25*(AH$4&lt;$I25)+$H25*(AH$4&gt;=$I25))*$C25*(1+'Property Summary'!$L$18)^('MF Rents'!AH$3-1))</f>
        <v/>
      </c>
      <c r="AI25" s="149" t="str">
        <f>IF(OR($B25="",$B25=0),"",($G25*(AI$4&lt;$I25)+$H25*(AI$4&gt;=$I25))*$C25*(1+'Property Summary'!$L$18)^('MF Rents'!AI$3-1))</f>
        <v/>
      </c>
      <c r="AJ25" s="149" t="str">
        <f>IF(OR($B25="",$B25=0),"",($G25*(AJ$4&lt;$I25)+$H25*(AJ$4&gt;=$I25))*$C25*(1+'Property Summary'!$L$18)^('MF Rents'!AJ$3-1))</f>
        <v/>
      </c>
      <c r="AK25" s="149" t="str">
        <f>IF(OR($B25="",$B25=0),"",($G25*(AK$4&lt;$I25)+$H25*(AK$4&gt;=$I25))*$C25*(1+'Property Summary'!$L$18)^('MF Rents'!AK$3-1))</f>
        <v/>
      </c>
      <c r="AL25" s="149" t="str">
        <f>IF(OR($B25="",$B25=0),"",($G25*(AL$4&lt;$I25)+$H25*(AL$4&gt;=$I25))*$C25*(1+'Property Summary'!$L$18)^('MF Rents'!AL$3-1))</f>
        <v/>
      </c>
      <c r="AM25" s="149" t="str">
        <f>IF(OR($B25="",$B25=0),"",($G25*(AM$4&lt;$I25)+$H25*(AM$4&gt;=$I25))*$C25*(1+'Property Summary'!$L$18)^('MF Rents'!AM$3-1))</f>
        <v/>
      </c>
      <c r="AN25" s="149" t="str">
        <f>IF(OR($B25="",$B25=0),"",($G25*(AN$4&lt;$I25)+$H25*(AN$4&gt;=$I25))*$C25*(1+'Property Summary'!$L$18)^('MF Rents'!AN$3-1))</f>
        <v/>
      </c>
      <c r="AO25" s="149" t="str">
        <f>IF(OR($B25="",$B25=0),"",($G25*(AO$4&lt;$I25)+$H25*(AO$4&gt;=$I25))*$C25*(1+'Property Summary'!$L$18)^('MF Rents'!AO$3-1))</f>
        <v/>
      </c>
      <c r="AP25" s="149" t="str">
        <f>IF(OR($B25="",$B25=0),"",($G25*(AP$4&lt;$I25)+$H25*(AP$4&gt;=$I25))*$C25*(1+'Property Summary'!$L$18)^('MF Rents'!AP$3-1))</f>
        <v/>
      </c>
      <c r="AQ25" s="149" t="str">
        <f>IF(OR($B25="",$B25=0),"",($G25*(AQ$4&lt;$I25)+$H25*(AQ$4&gt;=$I25))*$C25*(1+'Property Summary'!$L$18)^('MF Rents'!AQ$3-1))</f>
        <v/>
      </c>
      <c r="AR25" s="149" t="str">
        <f>IF(OR($B25="",$B25=0),"",($G25*(AR$4&lt;$I25)+$H25*(AR$4&gt;=$I25))*$C25*(1+'Property Summary'!$L$18)^('MF Rents'!AR$3-1))</f>
        <v/>
      </c>
      <c r="AS25" s="149" t="str">
        <f>IF(OR($B25="",$B25=0),"",($G25*(AS$4&lt;$I25)+$H25*(AS$4&gt;=$I25))*$C25*(1+'Property Summary'!$L$18)^('MF Rents'!AS$3-1))</f>
        <v/>
      </c>
      <c r="AT25" s="149" t="str">
        <f>IF(OR($B25="",$B25=0),"",($G25*(AT$4&lt;$I25)+$H25*(AT$4&gt;=$I25))*$C25*(1+'Property Summary'!$L$18)^('MF Rents'!AT$3-1))</f>
        <v/>
      </c>
      <c r="AU25" s="149" t="str">
        <f>IF(OR($B25="",$B25=0),"",($G25*(AU$4&lt;$I25)+$H25*(AU$4&gt;=$I25))*$C25*(1+'Property Summary'!$L$18)^('MF Rents'!AU$3-1))</f>
        <v/>
      </c>
      <c r="AV25" s="149" t="str">
        <f>IF(OR($B25="",$B25=0),"",($G25*(AV$4&lt;$I25)+$H25*(AV$4&gt;=$I25))*$C25*(1+'Property Summary'!$L$18)^('MF Rents'!AV$3-1))</f>
        <v/>
      </c>
      <c r="AW25" s="149" t="str">
        <f>IF(OR($B25="",$B25=0),"",($G25*(AW$4&lt;$I25)+$H25*(AW$4&gt;=$I25))*$C25*(1+'Property Summary'!$L$18)^('MF Rents'!AW$3-1))</f>
        <v/>
      </c>
      <c r="AX25" s="149" t="str">
        <f>IF(OR($B25="",$B25=0),"",($G25*(AX$4&lt;$I25)+$H25*(AX$4&gt;=$I25))*$C25*(1+'Property Summary'!$L$18)^('MF Rents'!AX$3-1))</f>
        <v/>
      </c>
      <c r="AY25" s="149" t="str">
        <f>IF(OR($B25="",$B25=0),"",($G25*(AY$4&lt;$I25)+$H25*(AY$4&gt;=$I25))*$C25*(1+'Property Summary'!$L$18)^('MF Rents'!AY$3-1))</f>
        <v/>
      </c>
      <c r="AZ25" s="149" t="str">
        <f>IF(OR($B25="",$B25=0),"",($G25*(AZ$4&lt;$I25)+$H25*(AZ$4&gt;=$I25))*$C25*(1+'Property Summary'!$L$18)^('MF Rents'!AZ$3-1))</f>
        <v/>
      </c>
      <c r="BA25" s="149" t="str">
        <f>IF(OR($B25="",$B25=0),"",($G25*(BA$4&lt;$I25)+$H25*(BA$4&gt;=$I25))*$C25*(1+'Property Summary'!$L$18)^('MF Rents'!BA$3-1))</f>
        <v/>
      </c>
      <c r="BB25" s="149" t="str">
        <f>IF(OR($B25="",$B25=0),"",($G25*(BB$4&lt;$I25)+$H25*(BB$4&gt;=$I25))*$C25*(1+'Property Summary'!$L$18)^('MF Rents'!BB$3-1))</f>
        <v/>
      </c>
      <c r="BC25" s="149" t="str">
        <f>IF(OR($B25="",$B25=0),"",($G25*(BC$4&lt;$I25)+$H25*(BC$4&gt;=$I25))*$C25*(1+'Property Summary'!$L$18)^('MF Rents'!BC$3-1))</f>
        <v/>
      </c>
      <c r="BD25" s="149" t="str">
        <f>IF(OR($B25="",$B25=0),"",($G25*(BD$4&lt;$I25)+$H25*(BD$4&gt;=$I25))*$C25*(1+'Property Summary'!$L$18)^('MF Rents'!BD$3-1))</f>
        <v/>
      </c>
      <c r="BE25" s="149" t="str">
        <f>IF(OR($B25="",$B25=0),"",($G25*(BE$4&lt;$I25)+$H25*(BE$4&gt;=$I25))*$C25*(1+'Property Summary'!$L$18)^('MF Rents'!BE$3-1))</f>
        <v/>
      </c>
      <c r="BF25" s="149" t="str">
        <f>IF(OR($B25="",$B25=0),"",($G25*(BF$4&lt;$I25)+$H25*(BF$4&gt;=$I25))*$C25*(1+'Property Summary'!$L$18)^('MF Rents'!BF$3-1))</f>
        <v/>
      </c>
      <c r="BG25" s="149" t="str">
        <f>IF(OR($B25="",$B25=0),"",($G25*(BG$4&lt;$I25)+$H25*(BG$4&gt;=$I25))*$C25*(1+'Property Summary'!$L$18)^('MF Rents'!BG$3-1))</f>
        <v/>
      </c>
      <c r="BH25" s="149" t="str">
        <f>IF(OR($B25="",$B25=0),"",($G25*(BH$4&lt;$I25)+$H25*(BH$4&gt;=$I25))*$C25*(1+'Property Summary'!$L$18)^('MF Rents'!BH$3-1))</f>
        <v/>
      </c>
      <c r="BI25" s="149" t="str">
        <f>IF(OR($B25="",$B25=0),"",($G25*(BI$4&lt;$I25)+$H25*(BI$4&gt;=$I25))*$C25*(1+'Property Summary'!$L$18)^('MF Rents'!BI$3-1))</f>
        <v/>
      </c>
      <c r="BJ25" s="149" t="str">
        <f>IF(OR($B25="",$B25=0),"",($G25*(BJ$4&lt;$I25)+$H25*(BJ$4&gt;=$I25))*$C25*(1+'Property Summary'!$L$18)^('MF Rents'!BJ$3-1))</f>
        <v/>
      </c>
      <c r="BK25" s="149" t="str">
        <f>IF(OR($B25="",$B25=0),"",($G25*(BK$4&lt;$I25)+$H25*(BK$4&gt;=$I25))*$C25*(1+'Property Summary'!$L$18)^('MF Rents'!BK$3-1))</f>
        <v/>
      </c>
      <c r="BL25" s="149" t="str">
        <f>IF(OR($B25="",$B25=0),"",($G25*(BL$4&lt;$I25)+$H25*(BL$4&gt;=$I25))*$C25*(1+'Property Summary'!$L$18)^('MF Rents'!BL$3-1))</f>
        <v/>
      </c>
      <c r="BM25" s="149" t="str">
        <f>IF(OR($B25="",$B25=0),"",($G25*(BM$4&lt;$I25)+$H25*(BM$4&gt;=$I25))*$C25*(1+'Property Summary'!$L$18)^('MF Rents'!BM$3-1))</f>
        <v/>
      </c>
      <c r="BN25" s="149" t="str">
        <f>IF(OR($B25="",$B25=0),"",($G25*(BN$4&lt;$I25)+$H25*(BN$4&gt;=$I25))*$C25*(1+'Property Summary'!$L$18)^('MF Rents'!BN$3-1))</f>
        <v/>
      </c>
      <c r="BO25" s="149" t="str">
        <f>IF(OR($B25="",$B25=0),"",($G25*(BO$4&lt;$I25)+$H25*(BO$4&gt;=$I25))*$C25*(1+'Property Summary'!$L$18)^('MF Rents'!BO$3-1))</f>
        <v/>
      </c>
      <c r="BP25" s="149" t="str">
        <f>IF(OR($B25="",$B25=0),"",($G25*(BP$4&lt;$I25)+$H25*(BP$4&gt;=$I25))*$C25*(1+'Property Summary'!$L$18)^('MF Rents'!BP$3-1))</f>
        <v/>
      </c>
      <c r="BQ25" s="149" t="str">
        <f>IF(OR($B25="",$B25=0),"",($G25*(BQ$4&lt;$I25)+$H25*(BQ$4&gt;=$I25))*$C25*(1+'Property Summary'!$L$18)^('MF Rents'!BQ$3-1))</f>
        <v/>
      </c>
      <c r="BR25" s="149" t="str">
        <f>IF(OR($B25="",$B25=0),"",($G25*(BR$4&lt;$I25)+$H25*(BR$4&gt;=$I25))*$C25*(1+'Property Summary'!$L$18)^('MF Rents'!BR$3-1))</f>
        <v/>
      </c>
      <c r="BS25" s="149" t="str">
        <f>IF(OR($B25="",$B25=0),"",($G25*(BS$4&lt;$I25)+$H25*(BS$4&gt;=$I25))*$C25*(1+'Property Summary'!$L$18)^('MF Rents'!BS$3-1))</f>
        <v/>
      </c>
      <c r="BT25" s="149" t="str">
        <f>IF(OR($B25="",$B25=0),"",($G25*(BT$4&lt;$I25)+$H25*(BT$4&gt;=$I25))*$C25*(1+'Property Summary'!$L$18)^('MF Rents'!BT$3-1))</f>
        <v/>
      </c>
      <c r="BU25" s="149" t="str">
        <f>IF(OR($B25="",$B25=0),"",($G25*(BU$4&lt;$I25)+$H25*(BU$4&gt;=$I25))*$C25*(1+'Property Summary'!$L$18)^('MF Rents'!BU$3-1))</f>
        <v/>
      </c>
      <c r="BV25" s="149" t="str">
        <f>IF(OR($B25="",$B25=0),"",($G25*(BV$4&lt;$I25)+$H25*(BV$4&gt;=$I25))*$C25*(1+'Property Summary'!$L$18)^('MF Rents'!BV$3-1))</f>
        <v/>
      </c>
      <c r="BW25" s="149" t="str">
        <f>IF(OR($B25="",$B25=0),"",($G25*(BW$4&lt;$I25)+$H25*(BW$4&gt;=$I25))*$C25*(1+'Property Summary'!$L$18)^('MF Rents'!BW$3-1))</f>
        <v/>
      </c>
      <c r="BX25" s="149" t="str">
        <f>IF(OR($B25="",$B25=0),"",($G25*(BX$4&lt;$I25)+$H25*(BX$4&gt;=$I25))*$C25*(1+'Property Summary'!$L$18)^('MF Rents'!BX$3-1))</f>
        <v/>
      </c>
      <c r="BY25" s="149" t="str">
        <f>IF(OR($B25="",$B25=0),"",($G25*(BY$4&lt;$I25)+$H25*(BY$4&gt;=$I25))*$C25*(1+'Property Summary'!$L$18)^('MF Rents'!BY$3-1))</f>
        <v/>
      </c>
      <c r="BZ25" s="149" t="str">
        <f>IF(OR($B25="",$B25=0),"",($G25*(BZ$4&lt;$I25)+$H25*(BZ$4&gt;=$I25))*$C25*(1+'Property Summary'!$L$18)^('MF Rents'!BZ$3-1))</f>
        <v/>
      </c>
      <c r="CA25" s="149" t="str">
        <f>IF(OR($B25="",$B25=0),"",($G25*(CA$4&lt;$I25)+$H25*(CA$4&gt;=$I25))*$C25*(1+'Property Summary'!$L$18)^('MF Rents'!CA$3-1))</f>
        <v/>
      </c>
      <c r="CB25" s="149" t="str">
        <f>IF(OR($B25="",$B25=0),"",($G25*(CB$4&lt;$I25)+$H25*(CB$4&gt;=$I25))*$C25*(1+'Property Summary'!$L$18)^('MF Rents'!CB$3-1))</f>
        <v/>
      </c>
      <c r="CC25" s="149" t="str">
        <f>IF(OR($B25="",$B25=0),"",($G25*(CC$4&lt;$I25)+$H25*(CC$4&gt;=$I25))*$C25*(1+'Property Summary'!$L$18)^('MF Rents'!CC$3-1))</f>
        <v/>
      </c>
      <c r="CD25" s="149" t="str">
        <f>IF(OR($B25="",$B25=0),"",($G25*(CD$4&lt;$I25)+$H25*(CD$4&gt;=$I25))*$C25*(1+'Property Summary'!$L$18)^('MF Rents'!CD$3-1))</f>
        <v/>
      </c>
      <c r="CE25" s="149" t="str">
        <f>IF(OR($B25="",$B25=0),"",($G25*(CE$4&lt;$I25)+$H25*(CE$4&gt;=$I25))*$C25*(1+'Property Summary'!$L$18)^('MF Rents'!CE$3-1))</f>
        <v/>
      </c>
      <c r="CF25" s="149" t="str">
        <f>IF(OR($B25="",$B25=0),"",($G25*(CF$4&lt;$I25)+$H25*(CF$4&gt;=$I25))*$C25*(1+'Property Summary'!$L$18)^('MF Rents'!CF$3-1))</f>
        <v/>
      </c>
      <c r="CG25" s="149" t="str">
        <f>IF(OR($B25="",$B25=0),"",($G25*(CG$4&lt;$I25)+$H25*(CG$4&gt;=$I25))*$C25*(1+'Property Summary'!$L$18)^('MF Rents'!CG$3-1))</f>
        <v/>
      </c>
      <c r="CH25" s="149" t="str">
        <f>IF(OR($B25="",$B25=0),"",($G25*(CH$4&lt;$I25)+$H25*(CH$4&gt;=$I25))*$C25*(1+'Property Summary'!$L$18)^('MF Rents'!CH$3-1))</f>
        <v/>
      </c>
      <c r="CI25" s="149" t="str">
        <f>IF(OR($B25="",$B25=0),"",($G25*(CI$4&lt;$I25)+$H25*(CI$4&gt;=$I25))*$C25*(1+'Property Summary'!$L$18)^('MF Rents'!CI$3-1))</f>
        <v/>
      </c>
      <c r="CJ25" s="149" t="str">
        <f>IF(OR($B25="",$B25=0),"",($G25*(CJ$4&lt;$I25)+$H25*(CJ$4&gt;=$I25))*$C25*(1+'Property Summary'!$L$18)^('MF Rents'!CJ$3-1))</f>
        <v/>
      </c>
      <c r="CK25" s="149" t="str">
        <f>IF(OR($B25="",$B25=0),"",($G25*(CK$4&lt;$I25)+$H25*(CK$4&gt;=$I25))*$C25*(1+'Property Summary'!$L$18)^('MF Rents'!CK$3-1))</f>
        <v/>
      </c>
      <c r="CL25" s="149" t="str">
        <f>IF(OR($B25="",$B25=0),"",($G25*(CL$4&lt;$I25)+$H25*(CL$4&gt;=$I25))*$C25*(1+'Property Summary'!$L$18)^('MF Rents'!CL$3-1))</f>
        <v/>
      </c>
      <c r="CM25" s="149" t="str">
        <f>IF(OR($B25="",$B25=0),"",($G25*(CM$4&lt;$I25)+$H25*(CM$4&gt;=$I25))*$C25*(1+'Property Summary'!$L$18)^('MF Rents'!CM$3-1))</f>
        <v/>
      </c>
      <c r="CN25" s="149" t="str">
        <f>IF(OR($B25="",$B25=0),"",($G25*(CN$4&lt;$I25)+$H25*(CN$4&gt;=$I25))*$C25*(1+'Property Summary'!$L$18)^('MF Rents'!CN$3-1))</f>
        <v/>
      </c>
      <c r="CO25" s="149" t="str">
        <f>IF(OR($B25="",$B25=0),"",($G25*(CO$4&lt;$I25)+$H25*(CO$4&gt;=$I25))*$C25*(1+'Property Summary'!$L$18)^('MF Rents'!CO$3-1))</f>
        <v/>
      </c>
      <c r="CP25" s="149" t="str">
        <f>IF(OR($B25="",$B25=0),"",($G25*(CP$4&lt;$I25)+$H25*(CP$4&gt;=$I25))*$C25*(1+'Property Summary'!$L$18)^('MF Rents'!CP$3-1))</f>
        <v/>
      </c>
      <c r="CQ25" s="149" t="str">
        <f>IF(OR($B25="",$B25=0),"",($G25*(CQ$4&lt;$I25)+$H25*(CQ$4&gt;=$I25))*$C25*(1+'Property Summary'!$L$18)^('MF Rents'!CQ$3-1))</f>
        <v/>
      </c>
      <c r="CR25" s="149" t="str">
        <f>IF(OR($B25="",$B25=0),"",($G25*(CR$4&lt;$I25)+$H25*(CR$4&gt;=$I25))*$C25*(1+'Property Summary'!$L$18)^('MF Rents'!CR$3-1))</f>
        <v/>
      </c>
      <c r="CS25" s="149" t="str">
        <f>IF(OR($B25="",$B25=0),"",($G25*(CS$4&lt;$I25)+$H25*(CS$4&gt;=$I25))*$C25*(1+'Property Summary'!$L$18)^('MF Rents'!CS$3-1))</f>
        <v/>
      </c>
      <c r="CT25" s="149" t="str">
        <f>IF(OR($B25="",$B25=0),"",($G25*(CT$4&lt;$I25)+$H25*(CT$4&gt;=$I25))*$C25*(1+'Property Summary'!$L$18)^('MF Rents'!CT$3-1))</f>
        <v/>
      </c>
      <c r="CU25" s="149" t="str">
        <f>IF(OR($B25="",$B25=0),"",($G25*(CU$4&lt;$I25)+$H25*(CU$4&gt;=$I25))*$C25*(1+'Property Summary'!$L$18)^('MF Rents'!CU$3-1))</f>
        <v/>
      </c>
      <c r="CV25" s="149" t="str">
        <f>IF(OR($B25="",$B25=0),"",($G25*(CV$4&lt;$I25)+$H25*(CV$4&gt;=$I25))*$C25*(1+'Property Summary'!$L$18)^('MF Rents'!CV$3-1))</f>
        <v/>
      </c>
      <c r="CW25" s="149" t="str">
        <f>IF(OR($B25="",$B25=0),"",($G25*(CW$4&lt;$I25)+$H25*(CW$4&gt;=$I25))*$C25*(1+'Property Summary'!$L$18)^('MF Rents'!CW$3-1))</f>
        <v/>
      </c>
      <c r="CX25" s="149" t="str">
        <f>IF(OR($B25="",$B25=0),"",($G25*(CX$4&lt;$I25)+$H25*(CX$4&gt;=$I25))*$C25*(1+'Property Summary'!$L$18)^('MF Rents'!CX$3-1))</f>
        <v/>
      </c>
      <c r="CY25" s="149" t="str">
        <f>IF(OR($B25="",$B25=0),"",($G25*(CY$4&lt;$I25)+$H25*(CY$4&gt;=$I25))*$C25*(1+'Property Summary'!$L$18)^('MF Rents'!CY$3-1))</f>
        <v/>
      </c>
      <c r="CZ25" s="149" t="str">
        <f>IF(OR($B25="",$B25=0),"",($G25*(CZ$4&lt;$I25)+$H25*(CZ$4&gt;=$I25))*$C25*(1+'Property Summary'!$L$18)^('MF Rents'!CZ$3-1))</f>
        <v/>
      </c>
      <c r="DA25" s="149" t="str">
        <f>IF(OR($B25="",$B25=0),"",($G25*(DA$4&lt;$I25)+$H25*(DA$4&gt;=$I25))*$C25*(1+'Property Summary'!$L$18)^('MF Rents'!DA$3-1))</f>
        <v/>
      </c>
      <c r="DB25" s="149" t="str">
        <f>IF(OR($B25="",$B25=0),"",($G25*(DB$4&lt;$I25)+$H25*(DB$4&gt;=$I25))*$C25*(1+'Property Summary'!$L$18)^('MF Rents'!DB$3-1))</f>
        <v/>
      </c>
      <c r="DC25" s="149" t="str">
        <f>IF(OR($B25="",$B25=0),"",($G25*(DC$4&lt;$I25)+$H25*(DC$4&gt;=$I25))*$C25*(1+'Property Summary'!$L$18)^('MF Rents'!DC$3-1))</f>
        <v/>
      </c>
      <c r="DD25" s="149" t="str">
        <f>IF(OR($B25="",$B25=0),"",($G25*(DD$4&lt;$I25)+$H25*(DD$4&gt;=$I25))*$C25*(1+'Property Summary'!$L$18)^('MF Rents'!DD$3-1))</f>
        <v/>
      </c>
      <c r="DE25" s="149" t="str">
        <f>IF(OR($B25="",$B25=0),"",($G25*(DE$4&lt;$I25)+$H25*(DE$4&gt;=$I25))*$C25*(1+'Property Summary'!$L$18)^('MF Rents'!DE$3-1))</f>
        <v/>
      </c>
      <c r="DF25" s="149" t="str">
        <f>IF(OR($B25="",$B25=0),"",($G25*(DF$4&lt;$I25)+$H25*(DF$4&gt;=$I25))*$C25*(1+'Property Summary'!$L$18)^('MF Rents'!DF$3-1))</f>
        <v/>
      </c>
      <c r="DG25" s="149" t="str">
        <f>IF(OR($B25="",$B25=0),"",($G25*(DG$4&lt;$I25)+$H25*(DG$4&gt;=$I25))*$C25*(1+'Property Summary'!$L$18)^('MF Rents'!DG$3-1))</f>
        <v/>
      </c>
      <c r="DH25" s="149" t="str">
        <f>IF(OR($B25="",$B25=0),"",($G25*(DH$4&lt;$I25)+$H25*(DH$4&gt;=$I25))*$C25*(1+'Property Summary'!$L$18)^('MF Rents'!DH$3-1))</f>
        <v/>
      </c>
      <c r="DI25" s="149" t="str">
        <f>IF(OR($B25="",$B25=0),"",($G25*(DI$4&lt;$I25)+$H25*(DI$4&gt;=$I25))*$C25*(1+'Property Summary'!$L$18)^('MF Rents'!DI$3-1))</f>
        <v/>
      </c>
      <c r="DJ25" s="149" t="str">
        <f>IF(OR($B25="",$B25=0),"",($G25*(DJ$4&lt;$I25)+$H25*(DJ$4&gt;=$I25))*$C25*(1+'Property Summary'!$L$18)^('MF Rents'!DJ$3-1))</f>
        <v/>
      </c>
      <c r="DK25" s="149" t="str">
        <f>IF(OR($B25="",$B25=0),"",($G25*(DK$4&lt;$I25)+$H25*(DK$4&gt;=$I25))*$C25*(1+'Property Summary'!$L$18)^('MF Rents'!DK$3-1))</f>
        <v/>
      </c>
      <c r="DL25" s="149" t="str">
        <f>IF(OR($B25="",$B25=0),"",($G25*(DL$4&lt;$I25)+$H25*(DL$4&gt;=$I25))*$C25*(1+'Property Summary'!$L$18)^('MF Rents'!DL$3-1))</f>
        <v/>
      </c>
      <c r="DM25" s="149" t="str">
        <f>IF(OR($B25="",$B25=0),"",($G25*(DM$4&lt;$I25)+$H25*(DM$4&gt;=$I25))*$C25*(1+'Property Summary'!$L$18)^('MF Rents'!DM$3-1))</f>
        <v/>
      </c>
      <c r="DN25" s="149" t="str">
        <f>IF(OR($B25="",$B25=0),"",($G25*(DN$4&lt;$I25)+$H25*(DN$4&gt;=$I25))*$C25*(1+'Property Summary'!$L$18)^('MF Rents'!DN$3-1))</f>
        <v/>
      </c>
      <c r="DO25" s="149" t="str">
        <f>IF(OR($B25="",$B25=0),"",($G25*(DO$4&lt;$I25)+$H25*(DO$4&gt;=$I25))*$C25*(1+'Property Summary'!$L$18)^('MF Rents'!DO$3-1))</f>
        <v/>
      </c>
      <c r="DP25" s="149" t="str">
        <f>IF(OR($B25="",$B25=0),"",($G25*(DP$4&lt;$I25)+$H25*(DP$4&gt;=$I25))*$C25*(1+'Property Summary'!$L$18)^('MF Rents'!DP$3-1))</f>
        <v/>
      </c>
      <c r="DQ25" s="149" t="str">
        <f>IF(OR($B25="",$B25=0),"",($G25*(DQ$4&lt;$I25)+$H25*(DQ$4&gt;=$I25))*$C25*(1+'Property Summary'!$L$18)^('MF Rents'!DQ$3-1))</f>
        <v/>
      </c>
      <c r="DR25" s="149" t="str">
        <f>IF(OR($B25="",$B25=0),"",($G25*(DR$4&lt;$I25)+$H25*(DR$4&gt;=$I25))*$C25*(1+'Property Summary'!$L$18)^('MF Rents'!DR$3-1))</f>
        <v/>
      </c>
      <c r="DS25" s="149" t="str">
        <f>IF(OR($B25="",$B25=0),"",($G25*(DS$4&lt;$I25)+$H25*(DS$4&gt;=$I25))*$C25*(1+'Property Summary'!$L$18)^('MF Rents'!DS$3-1))</f>
        <v/>
      </c>
      <c r="DT25" s="149" t="str">
        <f>IF(OR($B25="",$B25=0),"",($G25*(DT$4&lt;$I25)+$H25*(DT$4&gt;=$I25))*$C25*(1+'Property Summary'!$L$18)^('MF Rents'!DT$3-1))</f>
        <v/>
      </c>
      <c r="DU25" s="149" t="str">
        <f>IF(OR($B25="",$B25=0),"",($G25*(DU$4&lt;$I25)+$H25*(DU$4&gt;=$I25))*$C25*(1+'Property Summary'!$L$18)^('MF Rents'!DU$3-1))</f>
        <v/>
      </c>
      <c r="DV25" s="149" t="str">
        <f>IF(OR($B25="",$B25=0),"",($G25*(DV$4&lt;$I25)+$H25*(DV$4&gt;=$I25))*$C25*(1+'Property Summary'!$L$18)^('MF Rents'!DV$3-1))</f>
        <v/>
      </c>
      <c r="DW25" s="149" t="str">
        <f>IF(OR($B25="",$B25=0),"",($G25*(DW$4&lt;$I25)+$H25*(DW$4&gt;=$I25))*$C25*(1+'Property Summary'!$L$18)^('MF Rents'!DW$3-1))</f>
        <v/>
      </c>
      <c r="DX25" s="149" t="str">
        <f>IF(OR($B25="",$B25=0),"",($G25*(DX$4&lt;$I25)+$H25*(DX$4&gt;=$I25))*$C25*(1+'Property Summary'!$L$18)^('MF Rents'!DX$3-1))</f>
        <v/>
      </c>
      <c r="DY25" s="149" t="str">
        <f>IF(OR($B25="",$B25=0),"",($G25*(DY$4&lt;$I25)+$H25*(DY$4&gt;=$I25))*$C25*(1+'Property Summary'!$L$18)^('MF Rents'!DY$3-1))</f>
        <v/>
      </c>
      <c r="DZ25" s="149" t="str">
        <f>IF(OR($B25="",$B25=0),"",($G25*(DZ$4&lt;$I25)+$H25*(DZ$4&gt;=$I25))*$C25*(1+'Property Summary'!$L$18)^('MF Rents'!DZ$3-1))</f>
        <v/>
      </c>
      <c r="EA25" s="149" t="str">
        <f>IF(OR($B25="",$B25=0),"",($G25*(EA$4&lt;$I25)+$H25*(EA$4&gt;=$I25))*$C25*(1+'Property Summary'!$L$18)^('MF Rents'!EA$3-1))</f>
        <v/>
      </c>
      <c r="EB25" s="149" t="str">
        <f>IF(OR($B25="",$B25=0),"",($G25*(EB$4&lt;$I25)+$H25*(EB$4&gt;=$I25))*$C25*(1+'Property Summary'!$L$18)^('MF Rents'!EB$3-1))</f>
        <v/>
      </c>
      <c r="EC25" s="149" t="str">
        <f>IF(OR($B25="",$B25=0),"",($G25*(EC$4&lt;$I25)+$H25*(EC$4&gt;=$I25))*$C25*(1+'Property Summary'!$L$18)^('MF Rents'!EC$3-1))</f>
        <v/>
      </c>
      <c r="ED25" s="149" t="str">
        <f>IF(OR($B25="",$B25=0),"",($G25*(ED$4&lt;$I25)+$H25*(ED$4&gt;=$I25))*$C25*(1+'Property Summary'!$L$18)^('MF Rents'!ED$3-1))</f>
        <v/>
      </c>
      <c r="EE25" s="149" t="str">
        <f>IF(OR($B25="",$B25=0),"",($G25*(EE$4&lt;$I25)+$H25*(EE$4&gt;=$I25))*$C25*(1+'Property Summary'!$L$18)^('MF Rents'!EE$3-1))</f>
        <v/>
      </c>
      <c r="EF25" s="149" t="str">
        <f>IF(OR($B25="",$B25=0),"",($G25*(EF$4&lt;$I25)+$H25*(EF$4&gt;=$I25))*$C25*(1+'Property Summary'!$L$18)^('MF Rents'!EF$3-1))</f>
        <v/>
      </c>
      <c r="EG25" s="149" t="str">
        <f>IF(OR($B25="",$B25=0),"",($G25*(EG$4&lt;$I25)+$H25*(EG$4&gt;=$I25))*$C25*(1+'Property Summary'!$L$18)^('MF Rents'!EG$3-1))</f>
        <v/>
      </c>
      <c r="EH25" s="149" t="str">
        <f>IF(OR($B25="",$B25=0),"",($G25*(EH$4&lt;$I25)+$H25*(EH$4&gt;=$I25))*$C25*(1+'Property Summary'!$L$18)^('MF Rents'!EH$3-1))</f>
        <v/>
      </c>
      <c r="EI25" s="149" t="str">
        <f>IF(OR($B25="",$B25=0),"",($G25*(EI$4&lt;$I25)+$H25*(EI$4&gt;=$I25))*$C25*(1+'Property Summary'!$L$18)^('MF Rents'!EI$3-1))</f>
        <v/>
      </c>
      <c r="EJ25" s="149" t="str">
        <f>IF(OR($B25="",$B25=0),"",($G25*(EJ$4&lt;$I25)+$H25*(EJ$4&gt;=$I25))*$C25*(1+'Property Summary'!$L$18)^('MF Rents'!EJ$3-1))</f>
        <v/>
      </c>
      <c r="EK25" s="149" t="str">
        <f>IF(OR($B25="",$B25=0),"",($G25*(EK$4&lt;$I25)+$H25*(EK$4&gt;=$I25))*$C25*(1+'Property Summary'!$L$18)^('MF Rents'!EK$3-1))</f>
        <v/>
      </c>
      <c r="EL25" s="149" t="str">
        <f>IF(OR($B25="",$B25=0),"",($G25*(EL$4&lt;$I25)+$H25*(EL$4&gt;=$I25))*$C25*(1+'Property Summary'!$L$18)^('MF Rents'!EL$3-1))</f>
        <v/>
      </c>
      <c r="EM25" s="149" t="str">
        <f>IF(OR($B25="",$B25=0),"",($G25*(EM$4&lt;$I25)+$H25*(EM$4&gt;=$I25))*$C25*(1+'Property Summary'!$L$18)^('MF Rents'!EM$3-1))</f>
        <v/>
      </c>
      <c r="EN25" s="149" t="str">
        <f>IF(OR($B25="",$B25=0),"",($G25*(EN$4&lt;$I25)+$H25*(EN$4&gt;=$I25))*$C25*(1+'Property Summary'!$L$18)^('MF Rents'!EN$3-1))</f>
        <v/>
      </c>
      <c r="EO25" s="149" t="str">
        <f>IF(OR($B25="",$B25=0),"",($G25*(EO$4&lt;$I25)+$H25*(EO$4&gt;=$I25))*$C25*(1+'Property Summary'!$L$18)^('MF Rents'!EO$3-1))</f>
        <v/>
      </c>
      <c r="EP25" s="149" t="str">
        <f>IF(OR($B25="",$B25=0),"",($G25*(EP$4&lt;$I25)+$H25*(EP$4&gt;=$I25))*$C25*(1+'Property Summary'!$L$18)^('MF Rents'!EP$3-1))</f>
        <v/>
      </c>
      <c r="EQ25" s="149" t="str">
        <f>IF(OR($B25="",$B25=0),"",($G25*(EQ$4&lt;$I25)+$H25*(EQ$4&gt;=$I25))*$C25*(1+'Property Summary'!$L$18)^('MF Rents'!EQ$3-1))</f>
        <v/>
      </c>
      <c r="ER25" s="149" t="str">
        <f>IF(OR($B25="",$B25=0),"",($G25*(ER$4&lt;$I25)+$H25*(ER$4&gt;=$I25))*$C25*(1+'Property Summary'!$L$18)^('MF Rents'!ER$3-1))</f>
        <v/>
      </c>
      <c r="ES25" s="149" t="str">
        <f>IF(OR($B25="",$B25=0),"",($G25*(ES$4&lt;$I25)+$H25*(ES$4&gt;=$I25))*$C25*(1+'Property Summary'!$L$18)^('MF Rents'!ES$3-1))</f>
        <v/>
      </c>
      <c r="ET25" s="149" t="str">
        <f>IF(OR($B25="",$B25=0),"",($G25*(ET$4&lt;$I25)+$H25*(ET$4&gt;=$I25))*$C25*(1+'Property Summary'!$L$18)^('MF Rents'!ET$3-1))</f>
        <v/>
      </c>
      <c r="EU25" s="149" t="str">
        <f>IF(OR($B25="",$B25=0),"",($G25*(EU$4&lt;$I25)+$H25*(EU$4&gt;=$I25))*$C25*(1+'Property Summary'!$L$18)^('MF Rents'!EU$3-1))</f>
        <v/>
      </c>
      <c r="EV25" s="149" t="str">
        <f>IF(OR($B25="",$B25=0),"",($G25*(EV$4&lt;$I25)+$H25*(EV$4&gt;=$I25))*$C25*(1+'Property Summary'!$L$18)^('MF Rents'!EV$3-1))</f>
        <v/>
      </c>
      <c r="EW25" s="149" t="str">
        <f>IF(OR($B25="",$B25=0),"",($G25*(EW$4&lt;$I25)+$H25*(EW$4&gt;=$I25))*$C25*(1+'Property Summary'!$L$18)^('MF Rents'!EW$3-1))</f>
        <v/>
      </c>
      <c r="EX25" s="149" t="str">
        <f>IF(OR($B25="",$B25=0),"",($G25*(EX$4&lt;$I25)+$H25*(EX$4&gt;=$I25))*$C25*(1+'Property Summary'!$L$18)^('MF Rents'!EX$3-1))</f>
        <v/>
      </c>
      <c r="EY25" s="149" t="str">
        <f>IF(OR($B25="",$B25=0),"",($G25*(EY$4&lt;$I25)+$H25*(EY$4&gt;=$I25))*$C25*(1+'Property Summary'!$L$18)^('MF Rents'!EY$3-1))</f>
        <v/>
      </c>
      <c r="EZ25" s="149" t="str">
        <f>IF(OR($B25="",$B25=0),"",($G25*(EZ$4&lt;$I25)+$H25*(EZ$4&gt;=$I25))*$C25*(1+'Property Summary'!$L$18)^('MF Rents'!EZ$3-1))</f>
        <v/>
      </c>
      <c r="FA25" s="149" t="str">
        <f>IF(OR($B25="",$B25=0),"",($G25*(FA$4&lt;$I25)+$H25*(FA$4&gt;=$I25))*$C25*(1+'Property Summary'!$L$18)^('MF Rents'!FA$3-1))</f>
        <v/>
      </c>
      <c r="FB25" s="149" t="str">
        <f>IF(OR($B25="",$B25=0),"",($G25*(FB$4&lt;$I25)+$H25*(FB$4&gt;=$I25))*$C25*(1+'Property Summary'!$L$18)^('MF Rents'!FB$3-1))</f>
        <v/>
      </c>
      <c r="FC25" s="149" t="str">
        <f>IF(OR($B25="",$B25=0),"",($G25*(FC$4&lt;$I25)+$H25*(FC$4&gt;=$I25))*$C25*(1+'Property Summary'!$L$18)^('MF Rents'!FC$3-1))</f>
        <v/>
      </c>
      <c r="FD25" s="149" t="str">
        <f>IF(OR($B25="",$B25=0),"",($G25*(FD$4&lt;$I25)+$H25*(FD$4&gt;=$I25))*$C25*(1+'Property Summary'!$L$18)^('MF Rents'!FD$3-1))</f>
        <v/>
      </c>
      <c r="FE25" s="149" t="str">
        <f>IF(OR($B25="",$B25=0),"",($G25*(FE$4&lt;$I25)+$H25*(FE$4&gt;=$I25))*$C25*(1+'Property Summary'!$L$18)^('MF Rents'!FE$3-1))</f>
        <v/>
      </c>
      <c r="FF25" s="149" t="str">
        <f>IF(OR($B25="",$B25=0),"",($G25*(FF$4&lt;$I25)+$H25*(FF$4&gt;=$I25))*$C25*(1+'Property Summary'!$L$18)^('MF Rents'!FF$3-1))</f>
        <v/>
      </c>
      <c r="FG25" s="149" t="str">
        <f>IF(OR($B25="",$B25=0),"",($G25*(FG$4&lt;$I25)+$H25*(FG$4&gt;=$I25))*$C25*(1+'Property Summary'!$L$18)^('MF Rents'!FG$3-1))</f>
        <v/>
      </c>
      <c r="FH25" s="149" t="str">
        <f>IF(OR($B25="",$B25=0),"",($G25*(FH$4&lt;$I25)+$H25*(FH$4&gt;=$I25))*$C25*(1+'Property Summary'!$L$18)^('MF Rents'!FH$3-1))</f>
        <v/>
      </c>
      <c r="FI25" s="149" t="str">
        <f>IF(OR($B25="",$B25=0),"",($G25*(FI$4&lt;$I25)+$H25*(FI$4&gt;=$I25))*$C25*(1+'Property Summary'!$L$18)^('MF Rents'!FI$3-1))</f>
        <v/>
      </c>
      <c r="FJ25" s="149" t="str">
        <f>IF(OR($B25="",$B25=0),"",($G25*(FJ$4&lt;$I25)+$H25*(FJ$4&gt;=$I25))*$C25*(1+'Property Summary'!$L$18)^('MF Rents'!FJ$3-1))</f>
        <v/>
      </c>
      <c r="FK25" s="149" t="str">
        <f>IF(OR($B25="",$B25=0),"",($G25*(FK$4&lt;$I25)+$H25*(FK$4&gt;=$I25))*$C25*(1+'Property Summary'!$L$18)^('MF Rents'!FK$3-1))</f>
        <v/>
      </c>
      <c r="FL25" s="149" t="str">
        <f>IF(OR($B25="",$B25=0),"",($G25*(FL$4&lt;$I25)+$H25*(FL$4&gt;=$I25))*$C25*(1+'Property Summary'!$L$18)^('MF Rents'!FL$3-1))</f>
        <v/>
      </c>
      <c r="FM25" s="149" t="str">
        <f>IF(OR($B25="",$B25=0),"",($G25*(FM$4&lt;$I25)+$H25*(FM$4&gt;=$I25))*$C25*(1+'Property Summary'!$L$18)^('MF Rents'!FM$3-1))</f>
        <v/>
      </c>
      <c r="FN25" s="149" t="str">
        <f>IF(OR($B25="",$B25=0),"",($G25*(FN$4&lt;$I25)+$H25*(FN$4&gt;=$I25))*$C25*(1+'Property Summary'!$L$18)^('MF Rents'!FN$3-1))</f>
        <v/>
      </c>
      <c r="FO25" s="149" t="str">
        <f>IF(OR($B25="",$B25=0),"",($G25*(FO$4&lt;$I25)+$H25*(FO$4&gt;=$I25))*$C25*(1+'Property Summary'!$L$18)^('MF Rents'!FO$3-1))</f>
        <v/>
      </c>
      <c r="FP25" s="149" t="str">
        <f>IF(OR($B25="",$B25=0),"",($G25*(FP$4&lt;$I25)+$H25*(FP$4&gt;=$I25))*$C25*(1+'Property Summary'!$L$18)^('MF Rents'!FP$3-1))</f>
        <v/>
      </c>
      <c r="FQ25" s="149" t="str">
        <f>IF(OR($B25="",$B25=0),"",($G25*(FQ$4&lt;$I25)+$H25*(FQ$4&gt;=$I25))*$C25*(1+'Property Summary'!$L$18)^('MF Rents'!FQ$3-1))</f>
        <v/>
      </c>
      <c r="FR25" s="149" t="str">
        <f>IF(OR($B25="",$B25=0),"",($G25*(FR$4&lt;$I25)+$H25*(FR$4&gt;=$I25))*$C25*(1+'Property Summary'!$L$18)^('MF Rents'!FR$3-1))</f>
        <v/>
      </c>
      <c r="FS25" s="149" t="str">
        <f>IF(OR($B25="",$B25=0),"",($G25*(FS$4&lt;$I25)+$H25*(FS$4&gt;=$I25))*$C25*(1+'Property Summary'!$L$18)^('MF Rents'!FS$3-1))</f>
        <v/>
      </c>
      <c r="FT25" s="149" t="str">
        <f>IF(OR($B25="",$B25=0),"",($G25*(FT$4&lt;$I25)+$H25*(FT$4&gt;=$I25))*$C25*(1+'Property Summary'!$L$18)^('MF Rents'!FT$3-1))</f>
        <v/>
      </c>
      <c r="FU25" s="149" t="str">
        <f>IF(OR($B25="",$B25=0),"",($G25*(FU$4&lt;$I25)+$H25*(FU$4&gt;=$I25))*$C25*(1+'Property Summary'!$L$18)^('MF Rents'!FU$3-1))</f>
        <v/>
      </c>
      <c r="FV25" s="149" t="str">
        <f>IF(OR($B25="",$B25=0),"",($G25*(FV$4&lt;$I25)+$H25*(FV$4&gt;=$I25))*$C25*(1+'Property Summary'!$L$18)^('MF Rents'!FV$3-1))</f>
        <v/>
      </c>
      <c r="FW25" s="149" t="str">
        <f>IF(OR($B25="",$B25=0),"",($G25*(FW$4&lt;$I25)+$H25*(FW$4&gt;=$I25))*$C25*(1+'Property Summary'!$L$18)^('MF Rents'!FW$3-1))</f>
        <v/>
      </c>
      <c r="FX25" s="149" t="str">
        <f>IF(OR($B25="",$B25=0),"",($G25*(FX$4&lt;$I25)+$H25*(FX$4&gt;=$I25))*$C25*(1+'Property Summary'!$L$18)^('MF Rents'!FX$3-1))</f>
        <v/>
      </c>
      <c r="FY25" s="149" t="str">
        <f>IF(OR($B25="",$B25=0),"",($G25*(FY$4&lt;$I25)+$H25*(FY$4&gt;=$I25))*$C25*(1+'Property Summary'!$L$18)^('MF Rents'!FY$3-1))</f>
        <v/>
      </c>
      <c r="FZ25" s="149" t="str">
        <f>IF(OR($B25="",$B25=0),"",($G25*(FZ$4&lt;$I25)+$H25*(FZ$4&gt;=$I25))*$C25*(1+'Property Summary'!$L$18)^('MF Rents'!FZ$3-1))</f>
        <v/>
      </c>
      <c r="GA25" s="149" t="str">
        <f>IF(OR($B25="",$B25=0),"",($G25*(GA$4&lt;$I25)+$H25*(GA$4&gt;=$I25))*$C25*(1+'Property Summary'!$L$18)^('MF Rents'!GA$3-1))</f>
        <v/>
      </c>
      <c r="GB25" s="149" t="str">
        <f>IF(OR($B25="",$B25=0),"",($G25*(GB$4&lt;$I25)+$H25*(GB$4&gt;=$I25))*$C25*(1+'Property Summary'!$L$18)^('MF Rents'!GB$3-1))</f>
        <v/>
      </c>
      <c r="GC25" s="149" t="str">
        <f>IF(OR($B25="",$B25=0),"",($G25*(GC$4&lt;$I25)+$H25*(GC$4&gt;=$I25))*$C25*(1+'Property Summary'!$L$18)^('MF Rents'!GC$3-1))</f>
        <v/>
      </c>
      <c r="GD25" s="149" t="str">
        <f>IF(OR($B25="",$B25=0),"",($G25*(GD$4&lt;$I25)+$H25*(GD$4&gt;=$I25))*$C25*(1+'Property Summary'!$L$18)^('MF Rents'!GD$3-1))</f>
        <v/>
      </c>
      <c r="GE25" s="149" t="str">
        <f>IF(OR($B25="",$B25=0),"",($G25*(GE$4&lt;$I25)+$H25*(GE$4&gt;=$I25))*$C25*(1+'Property Summary'!$L$18)^('MF Rents'!GE$3-1))</f>
        <v/>
      </c>
      <c r="GF25" s="149" t="str">
        <f>IF(OR($B25="",$B25=0),"",($G25*(GF$4&lt;$I25)+$H25*(GF$4&gt;=$I25))*$C25*(1+'Property Summary'!$L$18)^('MF Rents'!GF$3-1))</f>
        <v/>
      </c>
      <c r="GG25" s="149" t="str">
        <f>IF(OR($B25="",$B25=0),"",($G25*(GG$4&lt;$I25)+$H25*(GG$4&gt;=$I25))*$C25*(1+'Property Summary'!$L$18)^('MF Rents'!GG$3-1))</f>
        <v/>
      </c>
      <c r="GH25" s="149" t="str">
        <f>IF(OR($B25="",$B25=0),"",($G25*(GH$4&lt;$I25)+$H25*(GH$4&gt;=$I25))*$C25*(1+'Property Summary'!$L$18)^('MF Rents'!GH$3-1))</f>
        <v/>
      </c>
      <c r="GI25" s="149" t="str">
        <f>IF(OR($B25="",$B25=0),"",($G25*(GI$4&lt;$I25)+$H25*(GI$4&gt;=$I25))*$C25*(1+'Property Summary'!$L$18)^('MF Rents'!GI$3-1))</f>
        <v/>
      </c>
      <c r="GJ25" s="149" t="str">
        <f>IF(OR($B25="",$B25=0),"",($G25*(GJ$4&lt;$I25)+$H25*(GJ$4&gt;=$I25))*$C25*(1+'Property Summary'!$L$18)^('MF Rents'!GJ$3-1))</f>
        <v/>
      </c>
      <c r="GK25" s="149" t="str">
        <f>IF(OR($B25="",$B25=0),"",($G25*(GK$4&lt;$I25)+$H25*(GK$4&gt;=$I25))*$C25*(1+'Property Summary'!$L$18)^('MF Rents'!GK$3-1))</f>
        <v/>
      </c>
      <c r="GL25" s="149" t="str">
        <f>IF(OR($B25="",$B25=0),"",($G25*(GL$4&lt;$I25)+$H25*(GL$4&gt;=$I25))*$C25*(1+'Property Summary'!$L$18)^('MF Rents'!GL$3-1))</f>
        <v/>
      </c>
      <c r="GM25" s="149" t="str">
        <f>IF(OR($B25="",$B25=0),"",($G25*(GM$4&lt;$I25)+$H25*(GM$4&gt;=$I25))*$C25*(1+'Property Summary'!$L$18)^('MF Rents'!GM$3-1))</f>
        <v/>
      </c>
      <c r="GN25" s="149" t="str">
        <f>IF(OR($B25="",$B25=0),"",($G25*(GN$4&lt;$I25)+$H25*(GN$4&gt;=$I25))*$C25*(1+'Property Summary'!$L$18)^('MF Rents'!GN$3-1))</f>
        <v/>
      </c>
      <c r="GO25" s="149" t="str">
        <f>IF(OR($B25="",$B25=0),"",($G25*(GO$4&lt;$I25)+$H25*(GO$4&gt;=$I25))*$C25*(1+'Property Summary'!$L$18)^('MF Rents'!GO$3-1))</f>
        <v/>
      </c>
      <c r="GP25" s="149" t="str">
        <f>IF(OR($B25="",$B25=0),"",($G25*(GP$4&lt;$I25)+$H25*(GP$4&gt;=$I25))*$C25*(1+'Property Summary'!$L$18)^('MF Rents'!GP$3-1))</f>
        <v/>
      </c>
      <c r="GQ25" s="149" t="str">
        <f>IF(OR($B25="",$B25=0),"",($G25*(GQ$4&lt;$I25)+$H25*(GQ$4&gt;=$I25))*$C25*(1+'Property Summary'!$L$18)^('MF Rents'!GQ$3-1))</f>
        <v/>
      </c>
      <c r="GR25" s="149" t="str">
        <f>IF(OR($B25="",$B25=0),"",($G25*(GR$4&lt;$I25)+$H25*(GR$4&gt;=$I25))*$C25*(1+'Property Summary'!$L$18)^('MF Rents'!GR$3-1))</f>
        <v/>
      </c>
    </row>
    <row r="26" spans="2:200" x14ac:dyDescent="0.3">
      <c r="B26" s="184">
        <f>'MF Rent Roll'!B25</f>
        <v>0</v>
      </c>
      <c r="C26" s="171">
        <f>'MF Rent Roll'!C25</f>
        <v>0</v>
      </c>
      <c r="D26" s="172">
        <f>'MF Rent Roll'!D25</f>
        <v>0</v>
      </c>
      <c r="E26" s="172">
        <f>'MF Rent Roll'!E25</f>
        <v>0</v>
      </c>
      <c r="F26" s="173">
        <f>'MF Rent Roll'!F25</f>
        <v>0</v>
      </c>
      <c r="G26" s="174">
        <f>'MF Rent Roll'!G25</f>
        <v>0</v>
      </c>
      <c r="H26" s="174">
        <f>IF('MF Rent Roll'!H25="",G26,'MF Rent Roll'!H25)</f>
        <v>0</v>
      </c>
      <c r="I26" s="175">
        <f>IF('MF Rent Roll'!I25="",1,'MF Rent Roll'!I25)</f>
        <v>1</v>
      </c>
      <c r="J26" s="176">
        <f>'MF Rent Roll'!J25</f>
        <v>0</v>
      </c>
      <c r="K26" s="174">
        <f>'MF Rent Roll'!K25</f>
        <v>0</v>
      </c>
      <c r="L26" s="177">
        <f>'MF Rent Roll'!L25</f>
        <v>0</v>
      </c>
      <c r="M26" s="178">
        <f>'MF Rent Roll'!M25</f>
        <v>0</v>
      </c>
      <c r="N26" s="174">
        <f>'MF Rent Roll'!N25</f>
        <v>0</v>
      </c>
      <c r="O26" s="179">
        <f>'MF Rent Roll'!O25</f>
        <v>0</v>
      </c>
      <c r="P26" s="180" t="str">
        <f>'MF Rent Roll'!P25</f>
        <v/>
      </c>
      <c r="Q26" s="181" t="str">
        <f>'MF Rent Roll'!Q25</f>
        <v/>
      </c>
      <c r="R26" s="104" t="str">
        <f>'MF Rent Roll'!R25</f>
        <v/>
      </c>
      <c r="U26" s="149" t="str">
        <f>IF(OR($B26="",$B26=0),"",($G26*(U$4&lt;$I26)+$H26*(U$4&gt;=$I26))*$C26*(1+'Property Summary'!$L$18)^('MF Rents'!U$3-1))</f>
        <v/>
      </c>
      <c r="V26" s="149" t="str">
        <f>IF(OR($B26="",$B26=0),"",($G26*(V$4&lt;$I26)+$H26*(V$4&gt;=$I26))*$C26*(1+'Property Summary'!$L$18)^('MF Rents'!V$3-1))</f>
        <v/>
      </c>
      <c r="W26" s="149" t="str">
        <f>IF(OR($B26="",$B26=0),"",($G26*(W$4&lt;$I26)+$H26*(W$4&gt;=$I26))*$C26*(1+'Property Summary'!$L$18)^('MF Rents'!W$3-1))</f>
        <v/>
      </c>
      <c r="X26" s="149" t="str">
        <f>IF(OR($B26="",$B26=0),"",($G26*(X$4&lt;$I26)+$H26*(X$4&gt;=$I26))*$C26*(1+'Property Summary'!$L$18)^('MF Rents'!X$3-1))</f>
        <v/>
      </c>
      <c r="Y26" s="149" t="str">
        <f>IF(OR($B26="",$B26=0),"",($G26*(Y$4&lt;$I26)+$H26*(Y$4&gt;=$I26))*$C26*(1+'Property Summary'!$L$18)^('MF Rents'!Y$3-1))</f>
        <v/>
      </c>
      <c r="Z26" s="149" t="str">
        <f>IF(OR($B26="",$B26=0),"",($G26*(Z$4&lt;$I26)+$H26*(Z$4&gt;=$I26))*$C26*(1+'Property Summary'!$L$18)^('MF Rents'!Z$3-1))</f>
        <v/>
      </c>
      <c r="AA26" s="149" t="str">
        <f>IF(OR($B26="",$B26=0),"",($G26*(AA$4&lt;$I26)+$H26*(AA$4&gt;=$I26))*$C26*(1+'Property Summary'!$L$18)^('MF Rents'!AA$3-1))</f>
        <v/>
      </c>
      <c r="AB26" s="149" t="str">
        <f>IF(OR($B26="",$B26=0),"",($G26*(AB$4&lt;$I26)+$H26*(AB$4&gt;=$I26))*$C26*(1+'Property Summary'!$L$18)^('MF Rents'!AB$3-1))</f>
        <v/>
      </c>
      <c r="AC26" s="149" t="str">
        <f>IF(OR($B26="",$B26=0),"",($G26*(AC$4&lt;$I26)+$H26*(AC$4&gt;=$I26))*$C26*(1+'Property Summary'!$L$18)^('MF Rents'!AC$3-1))</f>
        <v/>
      </c>
      <c r="AD26" s="149" t="str">
        <f>IF(OR($B26="",$B26=0),"",($G26*(AD$4&lt;$I26)+$H26*(AD$4&gt;=$I26))*$C26*(1+'Property Summary'!$L$18)^('MF Rents'!AD$3-1))</f>
        <v/>
      </c>
      <c r="AE26" s="149" t="str">
        <f>IF(OR($B26="",$B26=0),"",($G26*(AE$4&lt;$I26)+$H26*(AE$4&gt;=$I26))*$C26*(1+'Property Summary'!$L$18)^('MF Rents'!AE$3-1))</f>
        <v/>
      </c>
      <c r="AF26" s="149" t="str">
        <f>IF(OR($B26="",$B26=0),"",($G26*(AF$4&lt;$I26)+$H26*(AF$4&gt;=$I26))*$C26*(1+'Property Summary'!$L$18)^('MF Rents'!AF$3-1))</f>
        <v/>
      </c>
      <c r="AG26" s="149" t="str">
        <f>IF(OR($B26="",$B26=0),"",($G26*(AG$4&lt;$I26)+$H26*(AG$4&gt;=$I26))*$C26*(1+'Property Summary'!$L$18)^('MF Rents'!AG$3-1))</f>
        <v/>
      </c>
      <c r="AH26" s="149" t="str">
        <f>IF(OR($B26="",$B26=0),"",($G26*(AH$4&lt;$I26)+$H26*(AH$4&gt;=$I26))*$C26*(1+'Property Summary'!$L$18)^('MF Rents'!AH$3-1))</f>
        <v/>
      </c>
      <c r="AI26" s="149" t="str">
        <f>IF(OR($B26="",$B26=0),"",($G26*(AI$4&lt;$I26)+$H26*(AI$4&gt;=$I26))*$C26*(1+'Property Summary'!$L$18)^('MF Rents'!AI$3-1))</f>
        <v/>
      </c>
      <c r="AJ26" s="149" t="str">
        <f>IF(OR($B26="",$B26=0),"",($G26*(AJ$4&lt;$I26)+$H26*(AJ$4&gt;=$I26))*$C26*(1+'Property Summary'!$L$18)^('MF Rents'!AJ$3-1))</f>
        <v/>
      </c>
      <c r="AK26" s="149" t="str">
        <f>IF(OR($B26="",$B26=0),"",($G26*(AK$4&lt;$I26)+$H26*(AK$4&gt;=$I26))*$C26*(1+'Property Summary'!$L$18)^('MF Rents'!AK$3-1))</f>
        <v/>
      </c>
      <c r="AL26" s="149" t="str">
        <f>IF(OR($B26="",$B26=0),"",($G26*(AL$4&lt;$I26)+$H26*(AL$4&gt;=$I26))*$C26*(1+'Property Summary'!$L$18)^('MF Rents'!AL$3-1))</f>
        <v/>
      </c>
      <c r="AM26" s="149" t="str">
        <f>IF(OR($B26="",$B26=0),"",($G26*(AM$4&lt;$I26)+$H26*(AM$4&gt;=$I26))*$C26*(1+'Property Summary'!$L$18)^('MF Rents'!AM$3-1))</f>
        <v/>
      </c>
      <c r="AN26" s="149" t="str">
        <f>IF(OR($B26="",$B26=0),"",($G26*(AN$4&lt;$I26)+$H26*(AN$4&gt;=$I26))*$C26*(1+'Property Summary'!$L$18)^('MF Rents'!AN$3-1))</f>
        <v/>
      </c>
      <c r="AO26" s="149" t="str">
        <f>IF(OR($B26="",$B26=0),"",($G26*(AO$4&lt;$I26)+$H26*(AO$4&gt;=$I26))*$C26*(1+'Property Summary'!$L$18)^('MF Rents'!AO$3-1))</f>
        <v/>
      </c>
      <c r="AP26" s="149" t="str">
        <f>IF(OR($B26="",$B26=0),"",($G26*(AP$4&lt;$I26)+$H26*(AP$4&gt;=$I26))*$C26*(1+'Property Summary'!$L$18)^('MF Rents'!AP$3-1))</f>
        <v/>
      </c>
      <c r="AQ26" s="149" t="str">
        <f>IF(OR($B26="",$B26=0),"",($G26*(AQ$4&lt;$I26)+$H26*(AQ$4&gt;=$I26))*$C26*(1+'Property Summary'!$L$18)^('MF Rents'!AQ$3-1))</f>
        <v/>
      </c>
      <c r="AR26" s="149" t="str">
        <f>IF(OR($B26="",$B26=0),"",($G26*(AR$4&lt;$I26)+$H26*(AR$4&gt;=$I26))*$C26*(1+'Property Summary'!$L$18)^('MF Rents'!AR$3-1))</f>
        <v/>
      </c>
      <c r="AS26" s="149" t="str">
        <f>IF(OR($B26="",$B26=0),"",($G26*(AS$4&lt;$I26)+$H26*(AS$4&gt;=$I26))*$C26*(1+'Property Summary'!$L$18)^('MF Rents'!AS$3-1))</f>
        <v/>
      </c>
      <c r="AT26" s="149" t="str">
        <f>IF(OR($B26="",$B26=0),"",($G26*(AT$4&lt;$I26)+$H26*(AT$4&gt;=$I26))*$C26*(1+'Property Summary'!$L$18)^('MF Rents'!AT$3-1))</f>
        <v/>
      </c>
      <c r="AU26" s="149" t="str">
        <f>IF(OR($B26="",$B26=0),"",($G26*(AU$4&lt;$I26)+$H26*(AU$4&gt;=$I26))*$C26*(1+'Property Summary'!$L$18)^('MF Rents'!AU$3-1))</f>
        <v/>
      </c>
      <c r="AV26" s="149" t="str">
        <f>IF(OR($B26="",$B26=0),"",($G26*(AV$4&lt;$I26)+$H26*(AV$4&gt;=$I26))*$C26*(1+'Property Summary'!$L$18)^('MF Rents'!AV$3-1))</f>
        <v/>
      </c>
      <c r="AW26" s="149" t="str">
        <f>IF(OR($B26="",$B26=0),"",($G26*(AW$4&lt;$I26)+$H26*(AW$4&gt;=$I26))*$C26*(1+'Property Summary'!$L$18)^('MF Rents'!AW$3-1))</f>
        <v/>
      </c>
      <c r="AX26" s="149" t="str">
        <f>IF(OR($B26="",$B26=0),"",($G26*(AX$4&lt;$I26)+$H26*(AX$4&gt;=$I26))*$C26*(1+'Property Summary'!$L$18)^('MF Rents'!AX$3-1))</f>
        <v/>
      </c>
      <c r="AY26" s="149" t="str">
        <f>IF(OR($B26="",$B26=0),"",($G26*(AY$4&lt;$I26)+$H26*(AY$4&gt;=$I26))*$C26*(1+'Property Summary'!$L$18)^('MF Rents'!AY$3-1))</f>
        <v/>
      </c>
      <c r="AZ26" s="149" t="str">
        <f>IF(OR($B26="",$B26=0),"",($G26*(AZ$4&lt;$I26)+$H26*(AZ$4&gt;=$I26))*$C26*(1+'Property Summary'!$L$18)^('MF Rents'!AZ$3-1))</f>
        <v/>
      </c>
      <c r="BA26" s="149" t="str">
        <f>IF(OR($B26="",$B26=0),"",($G26*(BA$4&lt;$I26)+$H26*(BA$4&gt;=$I26))*$C26*(1+'Property Summary'!$L$18)^('MF Rents'!BA$3-1))</f>
        <v/>
      </c>
      <c r="BB26" s="149" t="str">
        <f>IF(OR($B26="",$B26=0),"",($G26*(BB$4&lt;$I26)+$H26*(BB$4&gt;=$I26))*$C26*(1+'Property Summary'!$L$18)^('MF Rents'!BB$3-1))</f>
        <v/>
      </c>
      <c r="BC26" s="149" t="str">
        <f>IF(OR($B26="",$B26=0),"",($G26*(BC$4&lt;$I26)+$H26*(BC$4&gt;=$I26))*$C26*(1+'Property Summary'!$L$18)^('MF Rents'!BC$3-1))</f>
        <v/>
      </c>
      <c r="BD26" s="149" t="str">
        <f>IF(OR($B26="",$B26=0),"",($G26*(BD$4&lt;$I26)+$H26*(BD$4&gt;=$I26))*$C26*(1+'Property Summary'!$L$18)^('MF Rents'!BD$3-1))</f>
        <v/>
      </c>
      <c r="BE26" s="149" t="str">
        <f>IF(OR($B26="",$B26=0),"",($G26*(BE$4&lt;$I26)+$H26*(BE$4&gt;=$I26))*$C26*(1+'Property Summary'!$L$18)^('MF Rents'!BE$3-1))</f>
        <v/>
      </c>
      <c r="BF26" s="149" t="str">
        <f>IF(OR($B26="",$B26=0),"",($G26*(BF$4&lt;$I26)+$H26*(BF$4&gt;=$I26))*$C26*(1+'Property Summary'!$L$18)^('MF Rents'!BF$3-1))</f>
        <v/>
      </c>
      <c r="BG26" s="149" t="str">
        <f>IF(OR($B26="",$B26=0),"",($G26*(BG$4&lt;$I26)+$H26*(BG$4&gt;=$I26))*$C26*(1+'Property Summary'!$L$18)^('MF Rents'!BG$3-1))</f>
        <v/>
      </c>
      <c r="BH26" s="149" t="str">
        <f>IF(OR($B26="",$B26=0),"",($G26*(BH$4&lt;$I26)+$H26*(BH$4&gt;=$I26))*$C26*(1+'Property Summary'!$L$18)^('MF Rents'!BH$3-1))</f>
        <v/>
      </c>
      <c r="BI26" s="149" t="str">
        <f>IF(OR($B26="",$B26=0),"",($G26*(BI$4&lt;$I26)+$H26*(BI$4&gt;=$I26))*$C26*(1+'Property Summary'!$L$18)^('MF Rents'!BI$3-1))</f>
        <v/>
      </c>
      <c r="BJ26" s="149" t="str">
        <f>IF(OR($B26="",$B26=0),"",($G26*(BJ$4&lt;$I26)+$H26*(BJ$4&gt;=$I26))*$C26*(1+'Property Summary'!$L$18)^('MF Rents'!BJ$3-1))</f>
        <v/>
      </c>
      <c r="BK26" s="149" t="str">
        <f>IF(OR($B26="",$B26=0),"",($G26*(BK$4&lt;$I26)+$H26*(BK$4&gt;=$I26))*$C26*(1+'Property Summary'!$L$18)^('MF Rents'!BK$3-1))</f>
        <v/>
      </c>
      <c r="BL26" s="149" t="str">
        <f>IF(OR($B26="",$B26=0),"",($G26*(BL$4&lt;$I26)+$H26*(BL$4&gt;=$I26))*$C26*(1+'Property Summary'!$L$18)^('MF Rents'!BL$3-1))</f>
        <v/>
      </c>
      <c r="BM26" s="149" t="str">
        <f>IF(OR($B26="",$B26=0),"",($G26*(BM$4&lt;$I26)+$H26*(BM$4&gt;=$I26))*$C26*(1+'Property Summary'!$L$18)^('MF Rents'!BM$3-1))</f>
        <v/>
      </c>
      <c r="BN26" s="149" t="str">
        <f>IF(OR($B26="",$B26=0),"",($G26*(BN$4&lt;$I26)+$H26*(BN$4&gt;=$I26))*$C26*(1+'Property Summary'!$L$18)^('MF Rents'!BN$3-1))</f>
        <v/>
      </c>
      <c r="BO26" s="149" t="str">
        <f>IF(OR($B26="",$B26=0),"",($G26*(BO$4&lt;$I26)+$H26*(BO$4&gt;=$I26))*$C26*(1+'Property Summary'!$L$18)^('MF Rents'!BO$3-1))</f>
        <v/>
      </c>
      <c r="BP26" s="149" t="str">
        <f>IF(OR($B26="",$B26=0),"",($G26*(BP$4&lt;$I26)+$H26*(BP$4&gt;=$I26))*$C26*(1+'Property Summary'!$L$18)^('MF Rents'!BP$3-1))</f>
        <v/>
      </c>
      <c r="BQ26" s="149" t="str">
        <f>IF(OR($B26="",$B26=0),"",($G26*(BQ$4&lt;$I26)+$H26*(BQ$4&gt;=$I26))*$C26*(1+'Property Summary'!$L$18)^('MF Rents'!BQ$3-1))</f>
        <v/>
      </c>
      <c r="BR26" s="149" t="str">
        <f>IF(OR($B26="",$B26=0),"",($G26*(BR$4&lt;$I26)+$H26*(BR$4&gt;=$I26))*$C26*(1+'Property Summary'!$L$18)^('MF Rents'!BR$3-1))</f>
        <v/>
      </c>
      <c r="BS26" s="149" t="str">
        <f>IF(OR($B26="",$B26=0),"",($G26*(BS$4&lt;$I26)+$H26*(BS$4&gt;=$I26))*$C26*(1+'Property Summary'!$L$18)^('MF Rents'!BS$3-1))</f>
        <v/>
      </c>
      <c r="BT26" s="149" t="str">
        <f>IF(OR($B26="",$B26=0),"",($G26*(BT$4&lt;$I26)+$H26*(BT$4&gt;=$I26))*$C26*(1+'Property Summary'!$L$18)^('MF Rents'!BT$3-1))</f>
        <v/>
      </c>
      <c r="BU26" s="149" t="str">
        <f>IF(OR($B26="",$B26=0),"",($G26*(BU$4&lt;$I26)+$H26*(BU$4&gt;=$I26))*$C26*(1+'Property Summary'!$L$18)^('MF Rents'!BU$3-1))</f>
        <v/>
      </c>
      <c r="BV26" s="149" t="str">
        <f>IF(OR($B26="",$B26=0),"",($G26*(BV$4&lt;$I26)+$H26*(BV$4&gt;=$I26))*$C26*(1+'Property Summary'!$L$18)^('MF Rents'!BV$3-1))</f>
        <v/>
      </c>
      <c r="BW26" s="149" t="str">
        <f>IF(OR($B26="",$B26=0),"",($G26*(BW$4&lt;$I26)+$H26*(BW$4&gt;=$I26))*$C26*(1+'Property Summary'!$L$18)^('MF Rents'!BW$3-1))</f>
        <v/>
      </c>
      <c r="BX26" s="149" t="str">
        <f>IF(OR($B26="",$B26=0),"",($G26*(BX$4&lt;$I26)+$H26*(BX$4&gt;=$I26))*$C26*(1+'Property Summary'!$L$18)^('MF Rents'!BX$3-1))</f>
        <v/>
      </c>
      <c r="BY26" s="149" t="str">
        <f>IF(OR($B26="",$B26=0),"",($G26*(BY$4&lt;$I26)+$H26*(BY$4&gt;=$I26))*$C26*(1+'Property Summary'!$L$18)^('MF Rents'!BY$3-1))</f>
        <v/>
      </c>
      <c r="BZ26" s="149" t="str">
        <f>IF(OR($B26="",$B26=0),"",($G26*(BZ$4&lt;$I26)+$H26*(BZ$4&gt;=$I26))*$C26*(1+'Property Summary'!$L$18)^('MF Rents'!BZ$3-1))</f>
        <v/>
      </c>
      <c r="CA26" s="149" t="str">
        <f>IF(OR($B26="",$B26=0),"",($G26*(CA$4&lt;$I26)+$H26*(CA$4&gt;=$I26))*$C26*(1+'Property Summary'!$L$18)^('MF Rents'!CA$3-1))</f>
        <v/>
      </c>
      <c r="CB26" s="149" t="str">
        <f>IF(OR($B26="",$B26=0),"",($G26*(CB$4&lt;$I26)+$H26*(CB$4&gt;=$I26))*$C26*(1+'Property Summary'!$L$18)^('MF Rents'!CB$3-1))</f>
        <v/>
      </c>
      <c r="CC26" s="149" t="str">
        <f>IF(OR($B26="",$B26=0),"",($G26*(CC$4&lt;$I26)+$H26*(CC$4&gt;=$I26))*$C26*(1+'Property Summary'!$L$18)^('MF Rents'!CC$3-1))</f>
        <v/>
      </c>
      <c r="CD26" s="149" t="str">
        <f>IF(OR($B26="",$B26=0),"",($G26*(CD$4&lt;$I26)+$H26*(CD$4&gt;=$I26))*$C26*(1+'Property Summary'!$L$18)^('MF Rents'!CD$3-1))</f>
        <v/>
      </c>
      <c r="CE26" s="149" t="str">
        <f>IF(OR($B26="",$B26=0),"",($G26*(CE$4&lt;$I26)+$H26*(CE$4&gt;=$I26))*$C26*(1+'Property Summary'!$L$18)^('MF Rents'!CE$3-1))</f>
        <v/>
      </c>
      <c r="CF26" s="149" t="str">
        <f>IF(OR($B26="",$B26=0),"",($G26*(CF$4&lt;$I26)+$H26*(CF$4&gt;=$I26))*$C26*(1+'Property Summary'!$L$18)^('MF Rents'!CF$3-1))</f>
        <v/>
      </c>
      <c r="CG26" s="149" t="str">
        <f>IF(OR($B26="",$B26=0),"",($G26*(CG$4&lt;$I26)+$H26*(CG$4&gt;=$I26))*$C26*(1+'Property Summary'!$L$18)^('MF Rents'!CG$3-1))</f>
        <v/>
      </c>
      <c r="CH26" s="149" t="str">
        <f>IF(OR($B26="",$B26=0),"",($G26*(CH$4&lt;$I26)+$H26*(CH$4&gt;=$I26))*$C26*(1+'Property Summary'!$L$18)^('MF Rents'!CH$3-1))</f>
        <v/>
      </c>
      <c r="CI26" s="149" t="str">
        <f>IF(OR($B26="",$B26=0),"",($G26*(CI$4&lt;$I26)+$H26*(CI$4&gt;=$I26))*$C26*(1+'Property Summary'!$L$18)^('MF Rents'!CI$3-1))</f>
        <v/>
      </c>
      <c r="CJ26" s="149" t="str">
        <f>IF(OR($B26="",$B26=0),"",($G26*(CJ$4&lt;$I26)+$H26*(CJ$4&gt;=$I26))*$C26*(1+'Property Summary'!$L$18)^('MF Rents'!CJ$3-1))</f>
        <v/>
      </c>
      <c r="CK26" s="149" t="str">
        <f>IF(OR($B26="",$B26=0),"",($G26*(CK$4&lt;$I26)+$H26*(CK$4&gt;=$I26))*$C26*(1+'Property Summary'!$L$18)^('MF Rents'!CK$3-1))</f>
        <v/>
      </c>
      <c r="CL26" s="149" t="str">
        <f>IF(OR($B26="",$B26=0),"",($G26*(CL$4&lt;$I26)+$H26*(CL$4&gt;=$I26))*$C26*(1+'Property Summary'!$L$18)^('MF Rents'!CL$3-1))</f>
        <v/>
      </c>
      <c r="CM26" s="149" t="str">
        <f>IF(OR($B26="",$B26=0),"",($G26*(CM$4&lt;$I26)+$H26*(CM$4&gt;=$I26))*$C26*(1+'Property Summary'!$L$18)^('MF Rents'!CM$3-1))</f>
        <v/>
      </c>
      <c r="CN26" s="149" t="str">
        <f>IF(OR($B26="",$B26=0),"",($G26*(CN$4&lt;$I26)+$H26*(CN$4&gt;=$I26))*$C26*(1+'Property Summary'!$L$18)^('MF Rents'!CN$3-1))</f>
        <v/>
      </c>
      <c r="CO26" s="149" t="str">
        <f>IF(OR($B26="",$B26=0),"",($G26*(CO$4&lt;$I26)+$H26*(CO$4&gt;=$I26))*$C26*(1+'Property Summary'!$L$18)^('MF Rents'!CO$3-1))</f>
        <v/>
      </c>
      <c r="CP26" s="149" t="str">
        <f>IF(OR($B26="",$B26=0),"",($G26*(CP$4&lt;$I26)+$H26*(CP$4&gt;=$I26))*$C26*(1+'Property Summary'!$L$18)^('MF Rents'!CP$3-1))</f>
        <v/>
      </c>
      <c r="CQ26" s="149" t="str">
        <f>IF(OR($B26="",$B26=0),"",($G26*(CQ$4&lt;$I26)+$H26*(CQ$4&gt;=$I26))*$C26*(1+'Property Summary'!$L$18)^('MF Rents'!CQ$3-1))</f>
        <v/>
      </c>
      <c r="CR26" s="149" t="str">
        <f>IF(OR($B26="",$B26=0),"",($G26*(CR$4&lt;$I26)+$H26*(CR$4&gt;=$I26))*$C26*(1+'Property Summary'!$L$18)^('MF Rents'!CR$3-1))</f>
        <v/>
      </c>
      <c r="CS26" s="149" t="str">
        <f>IF(OR($B26="",$B26=0),"",($G26*(CS$4&lt;$I26)+$H26*(CS$4&gt;=$I26))*$C26*(1+'Property Summary'!$L$18)^('MF Rents'!CS$3-1))</f>
        <v/>
      </c>
      <c r="CT26" s="149" t="str">
        <f>IF(OR($B26="",$B26=0),"",($G26*(CT$4&lt;$I26)+$H26*(CT$4&gt;=$I26))*$C26*(1+'Property Summary'!$L$18)^('MF Rents'!CT$3-1))</f>
        <v/>
      </c>
      <c r="CU26" s="149" t="str">
        <f>IF(OR($B26="",$B26=0),"",($G26*(CU$4&lt;$I26)+$H26*(CU$4&gt;=$I26))*$C26*(1+'Property Summary'!$L$18)^('MF Rents'!CU$3-1))</f>
        <v/>
      </c>
      <c r="CV26" s="149" t="str">
        <f>IF(OR($B26="",$B26=0),"",($G26*(CV$4&lt;$I26)+$H26*(CV$4&gt;=$I26))*$C26*(1+'Property Summary'!$L$18)^('MF Rents'!CV$3-1))</f>
        <v/>
      </c>
      <c r="CW26" s="149" t="str">
        <f>IF(OR($B26="",$B26=0),"",($G26*(CW$4&lt;$I26)+$H26*(CW$4&gt;=$I26))*$C26*(1+'Property Summary'!$L$18)^('MF Rents'!CW$3-1))</f>
        <v/>
      </c>
      <c r="CX26" s="149" t="str">
        <f>IF(OR($B26="",$B26=0),"",($G26*(CX$4&lt;$I26)+$H26*(CX$4&gt;=$I26))*$C26*(1+'Property Summary'!$L$18)^('MF Rents'!CX$3-1))</f>
        <v/>
      </c>
      <c r="CY26" s="149" t="str">
        <f>IF(OR($B26="",$B26=0),"",($G26*(CY$4&lt;$I26)+$H26*(CY$4&gt;=$I26))*$C26*(1+'Property Summary'!$L$18)^('MF Rents'!CY$3-1))</f>
        <v/>
      </c>
      <c r="CZ26" s="149" t="str">
        <f>IF(OR($B26="",$B26=0),"",($G26*(CZ$4&lt;$I26)+$H26*(CZ$4&gt;=$I26))*$C26*(1+'Property Summary'!$L$18)^('MF Rents'!CZ$3-1))</f>
        <v/>
      </c>
      <c r="DA26" s="149" t="str">
        <f>IF(OR($B26="",$B26=0),"",($G26*(DA$4&lt;$I26)+$H26*(DA$4&gt;=$I26))*$C26*(1+'Property Summary'!$L$18)^('MF Rents'!DA$3-1))</f>
        <v/>
      </c>
      <c r="DB26" s="149" t="str">
        <f>IF(OR($B26="",$B26=0),"",($G26*(DB$4&lt;$I26)+$H26*(DB$4&gt;=$I26))*$C26*(1+'Property Summary'!$L$18)^('MF Rents'!DB$3-1))</f>
        <v/>
      </c>
      <c r="DC26" s="149" t="str">
        <f>IF(OR($B26="",$B26=0),"",($G26*(DC$4&lt;$I26)+$H26*(DC$4&gt;=$I26))*$C26*(1+'Property Summary'!$L$18)^('MF Rents'!DC$3-1))</f>
        <v/>
      </c>
      <c r="DD26" s="149" t="str">
        <f>IF(OR($B26="",$B26=0),"",($G26*(DD$4&lt;$I26)+$H26*(DD$4&gt;=$I26))*$C26*(1+'Property Summary'!$L$18)^('MF Rents'!DD$3-1))</f>
        <v/>
      </c>
      <c r="DE26" s="149" t="str">
        <f>IF(OR($B26="",$B26=0),"",($G26*(DE$4&lt;$I26)+$H26*(DE$4&gt;=$I26))*$C26*(1+'Property Summary'!$L$18)^('MF Rents'!DE$3-1))</f>
        <v/>
      </c>
      <c r="DF26" s="149" t="str">
        <f>IF(OR($B26="",$B26=0),"",($G26*(DF$4&lt;$I26)+$H26*(DF$4&gt;=$I26))*$C26*(1+'Property Summary'!$L$18)^('MF Rents'!DF$3-1))</f>
        <v/>
      </c>
      <c r="DG26" s="149" t="str">
        <f>IF(OR($B26="",$B26=0),"",($G26*(DG$4&lt;$I26)+$H26*(DG$4&gt;=$I26))*$C26*(1+'Property Summary'!$L$18)^('MF Rents'!DG$3-1))</f>
        <v/>
      </c>
      <c r="DH26" s="149" t="str">
        <f>IF(OR($B26="",$B26=0),"",($G26*(DH$4&lt;$I26)+$H26*(DH$4&gt;=$I26))*$C26*(1+'Property Summary'!$L$18)^('MF Rents'!DH$3-1))</f>
        <v/>
      </c>
      <c r="DI26" s="149" t="str">
        <f>IF(OR($B26="",$B26=0),"",($G26*(DI$4&lt;$I26)+$H26*(DI$4&gt;=$I26))*$C26*(1+'Property Summary'!$L$18)^('MF Rents'!DI$3-1))</f>
        <v/>
      </c>
      <c r="DJ26" s="149" t="str">
        <f>IF(OR($B26="",$B26=0),"",($G26*(DJ$4&lt;$I26)+$H26*(DJ$4&gt;=$I26))*$C26*(1+'Property Summary'!$L$18)^('MF Rents'!DJ$3-1))</f>
        <v/>
      </c>
      <c r="DK26" s="149" t="str">
        <f>IF(OR($B26="",$B26=0),"",($G26*(DK$4&lt;$I26)+$H26*(DK$4&gt;=$I26))*$C26*(1+'Property Summary'!$L$18)^('MF Rents'!DK$3-1))</f>
        <v/>
      </c>
      <c r="DL26" s="149" t="str">
        <f>IF(OR($B26="",$B26=0),"",($G26*(DL$4&lt;$I26)+$H26*(DL$4&gt;=$I26))*$C26*(1+'Property Summary'!$L$18)^('MF Rents'!DL$3-1))</f>
        <v/>
      </c>
      <c r="DM26" s="149" t="str">
        <f>IF(OR($B26="",$B26=0),"",($G26*(DM$4&lt;$I26)+$H26*(DM$4&gt;=$I26))*$C26*(1+'Property Summary'!$L$18)^('MF Rents'!DM$3-1))</f>
        <v/>
      </c>
      <c r="DN26" s="149" t="str">
        <f>IF(OR($B26="",$B26=0),"",($G26*(DN$4&lt;$I26)+$H26*(DN$4&gt;=$I26))*$C26*(1+'Property Summary'!$L$18)^('MF Rents'!DN$3-1))</f>
        <v/>
      </c>
      <c r="DO26" s="149" t="str">
        <f>IF(OR($B26="",$B26=0),"",($G26*(DO$4&lt;$I26)+$H26*(DO$4&gt;=$I26))*$C26*(1+'Property Summary'!$L$18)^('MF Rents'!DO$3-1))</f>
        <v/>
      </c>
      <c r="DP26" s="149" t="str">
        <f>IF(OR($B26="",$B26=0),"",($G26*(DP$4&lt;$I26)+$H26*(DP$4&gt;=$I26))*$C26*(1+'Property Summary'!$L$18)^('MF Rents'!DP$3-1))</f>
        <v/>
      </c>
      <c r="DQ26" s="149" t="str">
        <f>IF(OR($B26="",$B26=0),"",($G26*(DQ$4&lt;$I26)+$H26*(DQ$4&gt;=$I26))*$C26*(1+'Property Summary'!$L$18)^('MF Rents'!DQ$3-1))</f>
        <v/>
      </c>
      <c r="DR26" s="149" t="str">
        <f>IF(OR($B26="",$B26=0),"",($G26*(DR$4&lt;$I26)+$H26*(DR$4&gt;=$I26))*$C26*(1+'Property Summary'!$L$18)^('MF Rents'!DR$3-1))</f>
        <v/>
      </c>
      <c r="DS26" s="149" t="str">
        <f>IF(OR($B26="",$B26=0),"",($G26*(DS$4&lt;$I26)+$H26*(DS$4&gt;=$I26))*$C26*(1+'Property Summary'!$L$18)^('MF Rents'!DS$3-1))</f>
        <v/>
      </c>
      <c r="DT26" s="149" t="str">
        <f>IF(OR($B26="",$B26=0),"",($G26*(DT$4&lt;$I26)+$H26*(DT$4&gt;=$I26))*$C26*(1+'Property Summary'!$L$18)^('MF Rents'!DT$3-1))</f>
        <v/>
      </c>
      <c r="DU26" s="149" t="str">
        <f>IF(OR($B26="",$B26=0),"",($G26*(DU$4&lt;$I26)+$H26*(DU$4&gt;=$I26))*$C26*(1+'Property Summary'!$L$18)^('MF Rents'!DU$3-1))</f>
        <v/>
      </c>
      <c r="DV26" s="149" t="str">
        <f>IF(OR($B26="",$B26=0),"",($G26*(DV$4&lt;$I26)+$H26*(DV$4&gt;=$I26))*$C26*(1+'Property Summary'!$L$18)^('MF Rents'!DV$3-1))</f>
        <v/>
      </c>
      <c r="DW26" s="149" t="str">
        <f>IF(OR($B26="",$B26=0),"",($G26*(DW$4&lt;$I26)+$H26*(DW$4&gt;=$I26))*$C26*(1+'Property Summary'!$L$18)^('MF Rents'!DW$3-1))</f>
        <v/>
      </c>
      <c r="DX26" s="149" t="str">
        <f>IF(OR($B26="",$B26=0),"",($G26*(DX$4&lt;$I26)+$H26*(DX$4&gt;=$I26))*$C26*(1+'Property Summary'!$L$18)^('MF Rents'!DX$3-1))</f>
        <v/>
      </c>
      <c r="DY26" s="149" t="str">
        <f>IF(OR($B26="",$B26=0),"",($G26*(DY$4&lt;$I26)+$H26*(DY$4&gt;=$I26))*$C26*(1+'Property Summary'!$L$18)^('MF Rents'!DY$3-1))</f>
        <v/>
      </c>
      <c r="DZ26" s="149" t="str">
        <f>IF(OR($B26="",$B26=0),"",($G26*(DZ$4&lt;$I26)+$H26*(DZ$4&gt;=$I26))*$C26*(1+'Property Summary'!$L$18)^('MF Rents'!DZ$3-1))</f>
        <v/>
      </c>
      <c r="EA26" s="149" t="str">
        <f>IF(OR($B26="",$B26=0),"",($G26*(EA$4&lt;$I26)+$H26*(EA$4&gt;=$I26))*$C26*(1+'Property Summary'!$L$18)^('MF Rents'!EA$3-1))</f>
        <v/>
      </c>
      <c r="EB26" s="149" t="str">
        <f>IF(OR($B26="",$B26=0),"",($G26*(EB$4&lt;$I26)+$H26*(EB$4&gt;=$I26))*$C26*(1+'Property Summary'!$L$18)^('MF Rents'!EB$3-1))</f>
        <v/>
      </c>
      <c r="EC26" s="149" t="str">
        <f>IF(OR($B26="",$B26=0),"",($G26*(EC$4&lt;$I26)+$H26*(EC$4&gt;=$I26))*$C26*(1+'Property Summary'!$L$18)^('MF Rents'!EC$3-1))</f>
        <v/>
      </c>
      <c r="ED26" s="149" t="str">
        <f>IF(OR($B26="",$B26=0),"",($G26*(ED$4&lt;$I26)+$H26*(ED$4&gt;=$I26))*$C26*(1+'Property Summary'!$L$18)^('MF Rents'!ED$3-1))</f>
        <v/>
      </c>
      <c r="EE26" s="149" t="str">
        <f>IF(OR($B26="",$B26=0),"",($G26*(EE$4&lt;$I26)+$H26*(EE$4&gt;=$I26))*$C26*(1+'Property Summary'!$L$18)^('MF Rents'!EE$3-1))</f>
        <v/>
      </c>
      <c r="EF26" s="149" t="str">
        <f>IF(OR($B26="",$B26=0),"",($G26*(EF$4&lt;$I26)+$H26*(EF$4&gt;=$I26))*$C26*(1+'Property Summary'!$L$18)^('MF Rents'!EF$3-1))</f>
        <v/>
      </c>
      <c r="EG26" s="149" t="str">
        <f>IF(OR($B26="",$B26=0),"",($G26*(EG$4&lt;$I26)+$H26*(EG$4&gt;=$I26))*$C26*(1+'Property Summary'!$L$18)^('MF Rents'!EG$3-1))</f>
        <v/>
      </c>
      <c r="EH26" s="149" t="str">
        <f>IF(OR($B26="",$B26=0),"",($G26*(EH$4&lt;$I26)+$H26*(EH$4&gt;=$I26))*$C26*(1+'Property Summary'!$L$18)^('MF Rents'!EH$3-1))</f>
        <v/>
      </c>
      <c r="EI26" s="149" t="str">
        <f>IF(OR($B26="",$B26=0),"",($G26*(EI$4&lt;$I26)+$H26*(EI$4&gt;=$I26))*$C26*(1+'Property Summary'!$L$18)^('MF Rents'!EI$3-1))</f>
        <v/>
      </c>
      <c r="EJ26" s="149" t="str">
        <f>IF(OR($B26="",$B26=0),"",($G26*(EJ$4&lt;$I26)+$H26*(EJ$4&gt;=$I26))*$C26*(1+'Property Summary'!$L$18)^('MF Rents'!EJ$3-1))</f>
        <v/>
      </c>
      <c r="EK26" s="149" t="str">
        <f>IF(OR($B26="",$B26=0),"",($G26*(EK$4&lt;$I26)+$H26*(EK$4&gt;=$I26))*$C26*(1+'Property Summary'!$L$18)^('MF Rents'!EK$3-1))</f>
        <v/>
      </c>
      <c r="EL26" s="149" t="str">
        <f>IF(OR($B26="",$B26=0),"",($G26*(EL$4&lt;$I26)+$H26*(EL$4&gt;=$I26))*$C26*(1+'Property Summary'!$L$18)^('MF Rents'!EL$3-1))</f>
        <v/>
      </c>
      <c r="EM26" s="149" t="str">
        <f>IF(OR($B26="",$B26=0),"",($G26*(EM$4&lt;$I26)+$H26*(EM$4&gt;=$I26))*$C26*(1+'Property Summary'!$L$18)^('MF Rents'!EM$3-1))</f>
        <v/>
      </c>
      <c r="EN26" s="149" t="str">
        <f>IF(OR($B26="",$B26=0),"",($G26*(EN$4&lt;$I26)+$H26*(EN$4&gt;=$I26))*$C26*(1+'Property Summary'!$L$18)^('MF Rents'!EN$3-1))</f>
        <v/>
      </c>
      <c r="EO26" s="149" t="str">
        <f>IF(OR($B26="",$B26=0),"",($G26*(EO$4&lt;$I26)+$H26*(EO$4&gt;=$I26))*$C26*(1+'Property Summary'!$L$18)^('MF Rents'!EO$3-1))</f>
        <v/>
      </c>
      <c r="EP26" s="149" t="str">
        <f>IF(OR($B26="",$B26=0),"",($G26*(EP$4&lt;$I26)+$H26*(EP$4&gt;=$I26))*$C26*(1+'Property Summary'!$L$18)^('MF Rents'!EP$3-1))</f>
        <v/>
      </c>
      <c r="EQ26" s="149" t="str">
        <f>IF(OR($B26="",$B26=0),"",($G26*(EQ$4&lt;$I26)+$H26*(EQ$4&gt;=$I26))*$C26*(1+'Property Summary'!$L$18)^('MF Rents'!EQ$3-1))</f>
        <v/>
      </c>
      <c r="ER26" s="149" t="str">
        <f>IF(OR($B26="",$B26=0),"",($G26*(ER$4&lt;$I26)+$H26*(ER$4&gt;=$I26))*$C26*(1+'Property Summary'!$L$18)^('MF Rents'!ER$3-1))</f>
        <v/>
      </c>
      <c r="ES26" s="149" t="str">
        <f>IF(OR($B26="",$B26=0),"",($G26*(ES$4&lt;$I26)+$H26*(ES$4&gt;=$I26))*$C26*(1+'Property Summary'!$L$18)^('MF Rents'!ES$3-1))</f>
        <v/>
      </c>
      <c r="ET26" s="149" t="str">
        <f>IF(OR($B26="",$B26=0),"",($G26*(ET$4&lt;$I26)+$H26*(ET$4&gt;=$I26))*$C26*(1+'Property Summary'!$L$18)^('MF Rents'!ET$3-1))</f>
        <v/>
      </c>
      <c r="EU26" s="149" t="str">
        <f>IF(OR($B26="",$B26=0),"",($G26*(EU$4&lt;$I26)+$H26*(EU$4&gt;=$I26))*$C26*(1+'Property Summary'!$L$18)^('MF Rents'!EU$3-1))</f>
        <v/>
      </c>
      <c r="EV26" s="149" t="str">
        <f>IF(OR($B26="",$B26=0),"",($G26*(EV$4&lt;$I26)+$H26*(EV$4&gt;=$I26))*$C26*(1+'Property Summary'!$L$18)^('MF Rents'!EV$3-1))</f>
        <v/>
      </c>
      <c r="EW26" s="149" t="str">
        <f>IF(OR($B26="",$B26=0),"",($G26*(EW$4&lt;$I26)+$H26*(EW$4&gt;=$I26))*$C26*(1+'Property Summary'!$L$18)^('MF Rents'!EW$3-1))</f>
        <v/>
      </c>
      <c r="EX26" s="149" t="str">
        <f>IF(OR($B26="",$B26=0),"",($G26*(EX$4&lt;$I26)+$H26*(EX$4&gt;=$I26))*$C26*(1+'Property Summary'!$L$18)^('MF Rents'!EX$3-1))</f>
        <v/>
      </c>
      <c r="EY26" s="149" t="str">
        <f>IF(OR($B26="",$B26=0),"",($G26*(EY$4&lt;$I26)+$H26*(EY$4&gt;=$I26))*$C26*(1+'Property Summary'!$L$18)^('MF Rents'!EY$3-1))</f>
        <v/>
      </c>
      <c r="EZ26" s="149" t="str">
        <f>IF(OR($B26="",$B26=0),"",($G26*(EZ$4&lt;$I26)+$H26*(EZ$4&gt;=$I26))*$C26*(1+'Property Summary'!$L$18)^('MF Rents'!EZ$3-1))</f>
        <v/>
      </c>
      <c r="FA26" s="149" t="str">
        <f>IF(OR($B26="",$B26=0),"",($G26*(FA$4&lt;$I26)+$H26*(FA$4&gt;=$I26))*$C26*(1+'Property Summary'!$L$18)^('MF Rents'!FA$3-1))</f>
        <v/>
      </c>
      <c r="FB26" s="149" t="str">
        <f>IF(OR($B26="",$B26=0),"",($G26*(FB$4&lt;$I26)+$H26*(FB$4&gt;=$I26))*$C26*(1+'Property Summary'!$L$18)^('MF Rents'!FB$3-1))</f>
        <v/>
      </c>
      <c r="FC26" s="149" t="str">
        <f>IF(OR($B26="",$B26=0),"",($G26*(FC$4&lt;$I26)+$H26*(FC$4&gt;=$I26))*$C26*(1+'Property Summary'!$L$18)^('MF Rents'!FC$3-1))</f>
        <v/>
      </c>
      <c r="FD26" s="149" t="str">
        <f>IF(OR($B26="",$B26=0),"",($G26*(FD$4&lt;$I26)+$H26*(FD$4&gt;=$I26))*$C26*(1+'Property Summary'!$L$18)^('MF Rents'!FD$3-1))</f>
        <v/>
      </c>
      <c r="FE26" s="149" t="str">
        <f>IF(OR($B26="",$B26=0),"",($G26*(FE$4&lt;$I26)+$H26*(FE$4&gt;=$I26))*$C26*(1+'Property Summary'!$L$18)^('MF Rents'!FE$3-1))</f>
        <v/>
      </c>
      <c r="FF26" s="149" t="str">
        <f>IF(OR($B26="",$B26=0),"",($G26*(FF$4&lt;$I26)+$H26*(FF$4&gt;=$I26))*$C26*(1+'Property Summary'!$L$18)^('MF Rents'!FF$3-1))</f>
        <v/>
      </c>
      <c r="FG26" s="149" t="str">
        <f>IF(OR($B26="",$B26=0),"",($G26*(FG$4&lt;$I26)+$H26*(FG$4&gt;=$I26))*$C26*(1+'Property Summary'!$L$18)^('MF Rents'!FG$3-1))</f>
        <v/>
      </c>
      <c r="FH26" s="149" t="str">
        <f>IF(OR($B26="",$B26=0),"",($G26*(FH$4&lt;$I26)+$H26*(FH$4&gt;=$I26))*$C26*(1+'Property Summary'!$L$18)^('MF Rents'!FH$3-1))</f>
        <v/>
      </c>
      <c r="FI26" s="149" t="str">
        <f>IF(OR($B26="",$B26=0),"",($G26*(FI$4&lt;$I26)+$H26*(FI$4&gt;=$I26))*$C26*(1+'Property Summary'!$L$18)^('MF Rents'!FI$3-1))</f>
        <v/>
      </c>
      <c r="FJ26" s="149" t="str">
        <f>IF(OR($B26="",$B26=0),"",($G26*(FJ$4&lt;$I26)+$H26*(FJ$4&gt;=$I26))*$C26*(1+'Property Summary'!$L$18)^('MF Rents'!FJ$3-1))</f>
        <v/>
      </c>
      <c r="FK26" s="149" t="str">
        <f>IF(OR($B26="",$B26=0),"",($G26*(FK$4&lt;$I26)+$H26*(FK$4&gt;=$I26))*$C26*(1+'Property Summary'!$L$18)^('MF Rents'!FK$3-1))</f>
        <v/>
      </c>
      <c r="FL26" s="149" t="str">
        <f>IF(OR($B26="",$B26=0),"",($G26*(FL$4&lt;$I26)+$H26*(FL$4&gt;=$I26))*$C26*(1+'Property Summary'!$L$18)^('MF Rents'!FL$3-1))</f>
        <v/>
      </c>
      <c r="FM26" s="149" t="str">
        <f>IF(OR($B26="",$B26=0),"",($G26*(FM$4&lt;$I26)+$H26*(FM$4&gt;=$I26))*$C26*(1+'Property Summary'!$L$18)^('MF Rents'!FM$3-1))</f>
        <v/>
      </c>
      <c r="FN26" s="149" t="str">
        <f>IF(OR($B26="",$B26=0),"",($G26*(FN$4&lt;$I26)+$H26*(FN$4&gt;=$I26))*$C26*(1+'Property Summary'!$L$18)^('MF Rents'!FN$3-1))</f>
        <v/>
      </c>
      <c r="FO26" s="149" t="str">
        <f>IF(OR($B26="",$B26=0),"",($G26*(FO$4&lt;$I26)+$H26*(FO$4&gt;=$I26))*$C26*(1+'Property Summary'!$L$18)^('MF Rents'!FO$3-1))</f>
        <v/>
      </c>
      <c r="FP26" s="149" t="str">
        <f>IF(OR($B26="",$B26=0),"",($G26*(FP$4&lt;$I26)+$H26*(FP$4&gt;=$I26))*$C26*(1+'Property Summary'!$L$18)^('MF Rents'!FP$3-1))</f>
        <v/>
      </c>
      <c r="FQ26" s="149" t="str">
        <f>IF(OR($B26="",$B26=0),"",($G26*(FQ$4&lt;$I26)+$H26*(FQ$4&gt;=$I26))*$C26*(1+'Property Summary'!$L$18)^('MF Rents'!FQ$3-1))</f>
        <v/>
      </c>
      <c r="FR26" s="149" t="str">
        <f>IF(OR($B26="",$B26=0),"",($G26*(FR$4&lt;$I26)+$H26*(FR$4&gt;=$I26))*$C26*(1+'Property Summary'!$L$18)^('MF Rents'!FR$3-1))</f>
        <v/>
      </c>
      <c r="FS26" s="149" t="str">
        <f>IF(OR($B26="",$B26=0),"",($G26*(FS$4&lt;$I26)+$H26*(FS$4&gt;=$I26))*$C26*(1+'Property Summary'!$L$18)^('MF Rents'!FS$3-1))</f>
        <v/>
      </c>
      <c r="FT26" s="149" t="str">
        <f>IF(OR($B26="",$B26=0),"",($G26*(FT$4&lt;$I26)+$H26*(FT$4&gt;=$I26))*$C26*(1+'Property Summary'!$L$18)^('MF Rents'!FT$3-1))</f>
        <v/>
      </c>
      <c r="FU26" s="149" t="str">
        <f>IF(OR($B26="",$B26=0),"",($G26*(FU$4&lt;$I26)+$H26*(FU$4&gt;=$I26))*$C26*(1+'Property Summary'!$L$18)^('MF Rents'!FU$3-1))</f>
        <v/>
      </c>
      <c r="FV26" s="149" t="str">
        <f>IF(OR($B26="",$B26=0),"",($G26*(FV$4&lt;$I26)+$H26*(FV$4&gt;=$I26))*$C26*(1+'Property Summary'!$L$18)^('MF Rents'!FV$3-1))</f>
        <v/>
      </c>
      <c r="FW26" s="149" t="str">
        <f>IF(OR($B26="",$B26=0),"",($G26*(FW$4&lt;$I26)+$H26*(FW$4&gt;=$I26))*$C26*(1+'Property Summary'!$L$18)^('MF Rents'!FW$3-1))</f>
        <v/>
      </c>
      <c r="FX26" s="149" t="str">
        <f>IF(OR($B26="",$B26=0),"",($G26*(FX$4&lt;$I26)+$H26*(FX$4&gt;=$I26))*$C26*(1+'Property Summary'!$L$18)^('MF Rents'!FX$3-1))</f>
        <v/>
      </c>
      <c r="FY26" s="149" t="str">
        <f>IF(OR($B26="",$B26=0),"",($G26*(FY$4&lt;$I26)+$H26*(FY$4&gt;=$I26))*$C26*(1+'Property Summary'!$L$18)^('MF Rents'!FY$3-1))</f>
        <v/>
      </c>
      <c r="FZ26" s="149" t="str">
        <f>IF(OR($B26="",$B26=0),"",($G26*(FZ$4&lt;$I26)+$H26*(FZ$4&gt;=$I26))*$C26*(1+'Property Summary'!$L$18)^('MF Rents'!FZ$3-1))</f>
        <v/>
      </c>
      <c r="GA26" s="149" t="str">
        <f>IF(OR($B26="",$B26=0),"",($G26*(GA$4&lt;$I26)+$H26*(GA$4&gt;=$I26))*$C26*(1+'Property Summary'!$L$18)^('MF Rents'!GA$3-1))</f>
        <v/>
      </c>
      <c r="GB26" s="149" t="str">
        <f>IF(OR($B26="",$B26=0),"",($G26*(GB$4&lt;$I26)+$H26*(GB$4&gt;=$I26))*$C26*(1+'Property Summary'!$L$18)^('MF Rents'!GB$3-1))</f>
        <v/>
      </c>
      <c r="GC26" s="149" t="str">
        <f>IF(OR($B26="",$B26=0),"",($G26*(GC$4&lt;$I26)+$H26*(GC$4&gt;=$I26))*$C26*(1+'Property Summary'!$L$18)^('MF Rents'!GC$3-1))</f>
        <v/>
      </c>
      <c r="GD26" s="149" t="str">
        <f>IF(OR($B26="",$B26=0),"",($G26*(GD$4&lt;$I26)+$H26*(GD$4&gt;=$I26))*$C26*(1+'Property Summary'!$L$18)^('MF Rents'!GD$3-1))</f>
        <v/>
      </c>
      <c r="GE26" s="149" t="str">
        <f>IF(OR($B26="",$B26=0),"",($G26*(GE$4&lt;$I26)+$H26*(GE$4&gt;=$I26))*$C26*(1+'Property Summary'!$L$18)^('MF Rents'!GE$3-1))</f>
        <v/>
      </c>
      <c r="GF26" s="149" t="str">
        <f>IF(OR($B26="",$B26=0),"",($G26*(GF$4&lt;$I26)+$H26*(GF$4&gt;=$I26))*$C26*(1+'Property Summary'!$L$18)^('MF Rents'!GF$3-1))</f>
        <v/>
      </c>
      <c r="GG26" s="149" t="str">
        <f>IF(OR($B26="",$B26=0),"",($G26*(GG$4&lt;$I26)+$H26*(GG$4&gt;=$I26))*$C26*(1+'Property Summary'!$L$18)^('MF Rents'!GG$3-1))</f>
        <v/>
      </c>
      <c r="GH26" s="149" t="str">
        <f>IF(OR($B26="",$B26=0),"",($G26*(GH$4&lt;$I26)+$H26*(GH$4&gt;=$I26))*$C26*(1+'Property Summary'!$L$18)^('MF Rents'!GH$3-1))</f>
        <v/>
      </c>
      <c r="GI26" s="149" t="str">
        <f>IF(OR($B26="",$B26=0),"",($G26*(GI$4&lt;$I26)+$H26*(GI$4&gt;=$I26))*$C26*(1+'Property Summary'!$L$18)^('MF Rents'!GI$3-1))</f>
        <v/>
      </c>
      <c r="GJ26" s="149" t="str">
        <f>IF(OR($B26="",$B26=0),"",($G26*(GJ$4&lt;$I26)+$H26*(GJ$4&gt;=$I26))*$C26*(1+'Property Summary'!$L$18)^('MF Rents'!GJ$3-1))</f>
        <v/>
      </c>
      <c r="GK26" s="149" t="str">
        <f>IF(OR($B26="",$B26=0),"",($G26*(GK$4&lt;$I26)+$H26*(GK$4&gt;=$I26))*$C26*(1+'Property Summary'!$L$18)^('MF Rents'!GK$3-1))</f>
        <v/>
      </c>
      <c r="GL26" s="149" t="str">
        <f>IF(OR($B26="",$B26=0),"",($G26*(GL$4&lt;$I26)+$H26*(GL$4&gt;=$I26))*$C26*(1+'Property Summary'!$L$18)^('MF Rents'!GL$3-1))</f>
        <v/>
      </c>
      <c r="GM26" s="149" t="str">
        <f>IF(OR($B26="",$B26=0),"",($G26*(GM$4&lt;$I26)+$H26*(GM$4&gt;=$I26))*$C26*(1+'Property Summary'!$L$18)^('MF Rents'!GM$3-1))</f>
        <v/>
      </c>
      <c r="GN26" s="149" t="str">
        <f>IF(OR($B26="",$B26=0),"",($G26*(GN$4&lt;$I26)+$H26*(GN$4&gt;=$I26))*$C26*(1+'Property Summary'!$L$18)^('MF Rents'!GN$3-1))</f>
        <v/>
      </c>
      <c r="GO26" s="149" t="str">
        <f>IF(OR($B26="",$B26=0),"",($G26*(GO$4&lt;$I26)+$H26*(GO$4&gt;=$I26))*$C26*(1+'Property Summary'!$L$18)^('MF Rents'!GO$3-1))</f>
        <v/>
      </c>
      <c r="GP26" s="149" t="str">
        <f>IF(OR($B26="",$B26=0),"",($G26*(GP$4&lt;$I26)+$H26*(GP$4&gt;=$I26))*$C26*(1+'Property Summary'!$L$18)^('MF Rents'!GP$3-1))</f>
        <v/>
      </c>
      <c r="GQ26" s="149" t="str">
        <f>IF(OR($B26="",$B26=0),"",($G26*(GQ$4&lt;$I26)+$H26*(GQ$4&gt;=$I26))*$C26*(1+'Property Summary'!$L$18)^('MF Rents'!GQ$3-1))</f>
        <v/>
      </c>
      <c r="GR26" s="149" t="str">
        <f>IF(OR($B26="",$B26=0),"",($G26*(GR$4&lt;$I26)+$H26*(GR$4&gt;=$I26))*$C26*(1+'Property Summary'!$L$18)^('MF Rents'!GR$3-1))</f>
        <v/>
      </c>
    </row>
    <row r="27" spans="2:200" x14ac:dyDescent="0.3">
      <c r="B27" s="184">
        <f>'MF Rent Roll'!B26</f>
        <v>0</v>
      </c>
      <c r="C27" s="171">
        <f>'MF Rent Roll'!C26</f>
        <v>0</v>
      </c>
      <c r="D27" s="172">
        <f>'MF Rent Roll'!D26</f>
        <v>0</v>
      </c>
      <c r="E27" s="172">
        <f>'MF Rent Roll'!E26</f>
        <v>0</v>
      </c>
      <c r="F27" s="173">
        <f>'MF Rent Roll'!F26</f>
        <v>0</v>
      </c>
      <c r="G27" s="174">
        <f>'MF Rent Roll'!G26</f>
        <v>0</v>
      </c>
      <c r="H27" s="174">
        <f>IF('MF Rent Roll'!H26="",G27,'MF Rent Roll'!H26)</f>
        <v>0</v>
      </c>
      <c r="I27" s="175">
        <f>IF('MF Rent Roll'!I26="",1,'MF Rent Roll'!I26)</f>
        <v>1</v>
      </c>
      <c r="J27" s="176">
        <f>'MF Rent Roll'!J26</f>
        <v>0</v>
      </c>
      <c r="K27" s="174">
        <f>'MF Rent Roll'!K26</f>
        <v>0</v>
      </c>
      <c r="L27" s="177">
        <f>'MF Rent Roll'!L26</f>
        <v>0</v>
      </c>
      <c r="M27" s="178">
        <f>'MF Rent Roll'!M26</f>
        <v>0</v>
      </c>
      <c r="N27" s="174">
        <f>'MF Rent Roll'!N26</f>
        <v>0</v>
      </c>
      <c r="O27" s="179">
        <f>'MF Rent Roll'!O26</f>
        <v>0</v>
      </c>
      <c r="P27" s="180" t="str">
        <f>'MF Rent Roll'!P26</f>
        <v/>
      </c>
      <c r="Q27" s="181" t="str">
        <f>'MF Rent Roll'!Q26</f>
        <v/>
      </c>
      <c r="R27" s="104" t="str">
        <f>'MF Rent Roll'!R26</f>
        <v/>
      </c>
      <c r="U27" s="149" t="str">
        <f>IF(OR($B27="",$B27=0),"",($G27*(U$4&lt;$I27)+$H27*(U$4&gt;=$I27))*$C27*(1+'Property Summary'!$L$18)^('MF Rents'!U$3-1))</f>
        <v/>
      </c>
      <c r="V27" s="149" t="str">
        <f>IF(OR($B27="",$B27=0),"",($G27*(V$4&lt;$I27)+$H27*(V$4&gt;=$I27))*$C27*(1+'Property Summary'!$L$18)^('MF Rents'!V$3-1))</f>
        <v/>
      </c>
      <c r="W27" s="149" t="str">
        <f>IF(OR($B27="",$B27=0),"",($G27*(W$4&lt;$I27)+$H27*(W$4&gt;=$I27))*$C27*(1+'Property Summary'!$L$18)^('MF Rents'!W$3-1))</f>
        <v/>
      </c>
      <c r="X27" s="149" t="str">
        <f>IF(OR($B27="",$B27=0),"",($G27*(X$4&lt;$I27)+$H27*(X$4&gt;=$I27))*$C27*(1+'Property Summary'!$L$18)^('MF Rents'!X$3-1))</f>
        <v/>
      </c>
      <c r="Y27" s="149" t="str">
        <f>IF(OR($B27="",$B27=0),"",($G27*(Y$4&lt;$I27)+$H27*(Y$4&gt;=$I27))*$C27*(1+'Property Summary'!$L$18)^('MF Rents'!Y$3-1))</f>
        <v/>
      </c>
      <c r="Z27" s="149" t="str">
        <f>IF(OR($B27="",$B27=0),"",($G27*(Z$4&lt;$I27)+$H27*(Z$4&gt;=$I27))*$C27*(1+'Property Summary'!$L$18)^('MF Rents'!Z$3-1))</f>
        <v/>
      </c>
      <c r="AA27" s="149" t="str">
        <f>IF(OR($B27="",$B27=0),"",($G27*(AA$4&lt;$I27)+$H27*(AA$4&gt;=$I27))*$C27*(1+'Property Summary'!$L$18)^('MF Rents'!AA$3-1))</f>
        <v/>
      </c>
      <c r="AB27" s="149" t="str">
        <f>IF(OR($B27="",$B27=0),"",($G27*(AB$4&lt;$I27)+$H27*(AB$4&gt;=$I27))*$C27*(1+'Property Summary'!$L$18)^('MF Rents'!AB$3-1))</f>
        <v/>
      </c>
      <c r="AC27" s="149" t="str">
        <f>IF(OR($B27="",$B27=0),"",($G27*(AC$4&lt;$I27)+$H27*(AC$4&gt;=$I27))*$C27*(1+'Property Summary'!$L$18)^('MF Rents'!AC$3-1))</f>
        <v/>
      </c>
      <c r="AD27" s="149" t="str">
        <f>IF(OR($B27="",$B27=0),"",($G27*(AD$4&lt;$I27)+$H27*(AD$4&gt;=$I27))*$C27*(1+'Property Summary'!$L$18)^('MF Rents'!AD$3-1))</f>
        <v/>
      </c>
      <c r="AE27" s="149" t="str">
        <f>IF(OR($B27="",$B27=0),"",($G27*(AE$4&lt;$I27)+$H27*(AE$4&gt;=$I27))*$C27*(1+'Property Summary'!$L$18)^('MF Rents'!AE$3-1))</f>
        <v/>
      </c>
      <c r="AF27" s="149" t="str">
        <f>IF(OR($B27="",$B27=0),"",($G27*(AF$4&lt;$I27)+$H27*(AF$4&gt;=$I27))*$C27*(1+'Property Summary'!$L$18)^('MF Rents'!AF$3-1))</f>
        <v/>
      </c>
      <c r="AG27" s="149" t="str">
        <f>IF(OR($B27="",$B27=0),"",($G27*(AG$4&lt;$I27)+$H27*(AG$4&gt;=$I27))*$C27*(1+'Property Summary'!$L$18)^('MF Rents'!AG$3-1))</f>
        <v/>
      </c>
      <c r="AH27" s="149" t="str">
        <f>IF(OR($B27="",$B27=0),"",($G27*(AH$4&lt;$I27)+$H27*(AH$4&gt;=$I27))*$C27*(1+'Property Summary'!$L$18)^('MF Rents'!AH$3-1))</f>
        <v/>
      </c>
      <c r="AI27" s="149" t="str">
        <f>IF(OR($B27="",$B27=0),"",($G27*(AI$4&lt;$I27)+$H27*(AI$4&gt;=$I27))*$C27*(1+'Property Summary'!$L$18)^('MF Rents'!AI$3-1))</f>
        <v/>
      </c>
      <c r="AJ27" s="149" t="str">
        <f>IF(OR($B27="",$B27=0),"",($G27*(AJ$4&lt;$I27)+$H27*(AJ$4&gt;=$I27))*$C27*(1+'Property Summary'!$L$18)^('MF Rents'!AJ$3-1))</f>
        <v/>
      </c>
      <c r="AK27" s="149" t="str">
        <f>IF(OR($B27="",$B27=0),"",($G27*(AK$4&lt;$I27)+$H27*(AK$4&gt;=$I27))*$C27*(1+'Property Summary'!$L$18)^('MF Rents'!AK$3-1))</f>
        <v/>
      </c>
      <c r="AL27" s="149" t="str">
        <f>IF(OR($B27="",$B27=0),"",($G27*(AL$4&lt;$I27)+$H27*(AL$4&gt;=$I27))*$C27*(1+'Property Summary'!$L$18)^('MF Rents'!AL$3-1))</f>
        <v/>
      </c>
      <c r="AM27" s="149" t="str">
        <f>IF(OR($B27="",$B27=0),"",($G27*(AM$4&lt;$I27)+$H27*(AM$4&gt;=$I27))*$C27*(1+'Property Summary'!$L$18)^('MF Rents'!AM$3-1))</f>
        <v/>
      </c>
      <c r="AN27" s="149" t="str">
        <f>IF(OR($B27="",$B27=0),"",($G27*(AN$4&lt;$I27)+$H27*(AN$4&gt;=$I27))*$C27*(1+'Property Summary'!$L$18)^('MF Rents'!AN$3-1))</f>
        <v/>
      </c>
      <c r="AO27" s="149" t="str">
        <f>IF(OR($B27="",$B27=0),"",($G27*(AO$4&lt;$I27)+$H27*(AO$4&gt;=$I27))*$C27*(1+'Property Summary'!$L$18)^('MF Rents'!AO$3-1))</f>
        <v/>
      </c>
      <c r="AP27" s="149" t="str">
        <f>IF(OR($B27="",$B27=0),"",($G27*(AP$4&lt;$I27)+$H27*(AP$4&gt;=$I27))*$C27*(1+'Property Summary'!$L$18)^('MF Rents'!AP$3-1))</f>
        <v/>
      </c>
      <c r="AQ27" s="149" t="str">
        <f>IF(OR($B27="",$B27=0),"",($G27*(AQ$4&lt;$I27)+$H27*(AQ$4&gt;=$I27))*$C27*(1+'Property Summary'!$L$18)^('MF Rents'!AQ$3-1))</f>
        <v/>
      </c>
      <c r="AR27" s="149" t="str">
        <f>IF(OR($B27="",$B27=0),"",($G27*(AR$4&lt;$I27)+$H27*(AR$4&gt;=$I27))*$C27*(1+'Property Summary'!$L$18)^('MF Rents'!AR$3-1))</f>
        <v/>
      </c>
      <c r="AS27" s="149" t="str">
        <f>IF(OR($B27="",$B27=0),"",($G27*(AS$4&lt;$I27)+$H27*(AS$4&gt;=$I27))*$C27*(1+'Property Summary'!$L$18)^('MF Rents'!AS$3-1))</f>
        <v/>
      </c>
      <c r="AT27" s="149" t="str">
        <f>IF(OR($B27="",$B27=0),"",($G27*(AT$4&lt;$I27)+$H27*(AT$4&gt;=$I27))*$C27*(1+'Property Summary'!$L$18)^('MF Rents'!AT$3-1))</f>
        <v/>
      </c>
      <c r="AU27" s="149" t="str">
        <f>IF(OR($B27="",$B27=0),"",($G27*(AU$4&lt;$I27)+$H27*(AU$4&gt;=$I27))*$C27*(1+'Property Summary'!$L$18)^('MF Rents'!AU$3-1))</f>
        <v/>
      </c>
      <c r="AV27" s="149" t="str">
        <f>IF(OR($B27="",$B27=0),"",($G27*(AV$4&lt;$I27)+$H27*(AV$4&gt;=$I27))*$C27*(1+'Property Summary'!$L$18)^('MF Rents'!AV$3-1))</f>
        <v/>
      </c>
      <c r="AW27" s="149" t="str">
        <f>IF(OR($B27="",$B27=0),"",($G27*(AW$4&lt;$I27)+$H27*(AW$4&gt;=$I27))*$C27*(1+'Property Summary'!$L$18)^('MF Rents'!AW$3-1))</f>
        <v/>
      </c>
      <c r="AX27" s="149" t="str">
        <f>IF(OR($B27="",$B27=0),"",($G27*(AX$4&lt;$I27)+$H27*(AX$4&gt;=$I27))*$C27*(1+'Property Summary'!$L$18)^('MF Rents'!AX$3-1))</f>
        <v/>
      </c>
      <c r="AY27" s="149" t="str">
        <f>IF(OR($B27="",$B27=0),"",($G27*(AY$4&lt;$I27)+$H27*(AY$4&gt;=$I27))*$C27*(1+'Property Summary'!$L$18)^('MF Rents'!AY$3-1))</f>
        <v/>
      </c>
      <c r="AZ27" s="149" t="str">
        <f>IF(OR($B27="",$B27=0),"",($G27*(AZ$4&lt;$I27)+$H27*(AZ$4&gt;=$I27))*$C27*(1+'Property Summary'!$L$18)^('MF Rents'!AZ$3-1))</f>
        <v/>
      </c>
      <c r="BA27" s="149" t="str">
        <f>IF(OR($B27="",$B27=0),"",($G27*(BA$4&lt;$I27)+$H27*(BA$4&gt;=$I27))*$C27*(1+'Property Summary'!$L$18)^('MF Rents'!BA$3-1))</f>
        <v/>
      </c>
      <c r="BB27" s="149" t="str">
        <f>IF(OR($B27="",$B27=0),"",($G27*(BB$4&lt;$I27)+$H27*(BB$4&gt;=$I27))*$C27*(1+'Property Summary'!$L$18)^('MF Rents'!BB$3-1))</f>
        <v/>
      </c>
      <c r="BC27" s="149" t="str">
        <f>IF(OR($B27="",$B27=0),"",($G27*(BC$4&lt;$I27)+$H27*(BC$4&gt;=$I27))*$C27*(1+'Property Summary'!$L$18)^('MF Rents'!BC$3-1))</f>
        <v/>
      </c>
      <c r="BD27" s="149" t="str">
        <f>IF(OR($B27="",$B27=0),"",($G27*(BD$4&lt;$I27)+$H27*(BD$4&gt;=$I27))*$C27*(1+'Property Summary'!$L$18)^('MF Rents'!BD$3-1))</f>
        <v/>
      </c>
      <c r="BE27" s="149" t="str">
        <f>IF(OR($B27="",$B27=0),"",($G27*(BE$4&lt;$I27)+$H27*(BE$4&gt;=$I27))*$C27*(1+'Property Summary'!$L$18)^('MF Rents'!BE$3-1))</f>
        <v/>
      </c>
      <c r="BF27" s="149" t="str">
        <f>IF(OR($B27="",$B27=0),"",($G27*(BF$4&lt;$I27)+$H27*(BF$4&gt;=$I27))*$C27*(1+'Property Summary'!$L$18)^('MF Rents'!BF$3-1))</f>
        <v/>
      </c>
      <c r="BG27" s="149" t="str">
        <f>IF(OR($B27="",$B27=0),"",($G27*(BG$4&lt;$I27)+$H27*(BG$4&gt;=$I27))*$C27*(1+'Property Summary'!$L$18)^('MF Rents'!BG$3-1))</f>
        <v/>
      </c>
      <c r="BH27" s="149" t="str">
        <f>IF(OR($B27="",$B27=0),"",($G27*(BH$4&lt;$I27)+$H27*(BH$4&gt;=$I27))*$C27*(1+'Property Summary'!$L$18)^('MF Rents'!BH$3-1))</f>
        <v/>
      </c>
      <c r="BI27" s="149" t="str">
        <f>IF(OR($B27="",$B27=0),"",($G27*(BI$4&lt;$I27)+$H27*(BI$4&gt;=$I27))*$C27*(1+'Property Summary'!$L$18)^('MF Rents'!BI$3-1))</f>
        <v/>
      </c>
      <c r="BJ27" s="149" t="str">
        <f>IF(OR($B27="",$B27=0),"",($G27*(BJ$4&lt;$I27)+$H27*(BJ$4&gt;=$I27))*$C27*(1+'Property Summary'!$L$18)^('MF Rents'!BJ$3-1))</f>
        <v/>
      </c>
      <c r="BK27" s="149" t="str">
        <f>IF(OR($B27="",$B27=0),"",($G27*(BK$4&lt;$I27)+$H27*(BK$4&gt;=$I27))*$C27*(1+'Property Summary'!$L$18)^('MF Rents'!BK$3-1))</f>
        <v/>
      </c>
      <c r="BL27" s="149" t="str">
        <f>IF(OR($B27="",$B27=0),"",($G27*(BL$4&lt;$I27)+$H27*(BL$4&gt;=$I27))*$C27*(1+'Property Summary'!$L$18)^('MF Rents'!BL$3-1))</f>
        <v/>
      </c>
      <c r="BM27" s="149" t="str">
        <f>IF(OR($B27="",$B27=0),"",($G27*(BM$4&lt;$I27)+$H27*(BM$4&gt;=$I27))*$C27*(1+'Property Summary'!$L$18)^('MF Rents'!BM$3-1))</f>
        <v/>
      </c>
      <c r="BN27" s="149" t="str">
        <f>IF(OR($B27="",$B27=0),"",($G27*(BN$4&lt;$I27)+$H27*(BN$4&gt;=$I27))*$C27*(1+'Property Summary'!$L$18)^('MF Rents'!BN$3-1))</f>
        <v/>
      </c>
      <c r="BO27" s="149" t="str">
        <f>IF(OR($B27="",$B27=0),"",($G27*(BO$4&lt;$I27)+$H27*(BO$4&gt;=$I27))*$C27*(1+'Property Summary'!$L$18)^('MF Rents'!BO$3-1))</f>
        <v/>
      </c>
      <c r="BP27" s="149" t="str">
        <f>IF(OR($B27="",$B27=0),"",($G27*(BP$4&lt;$I27)+$H27*(BP$4&gt;=$I27))*$C27*(1+'Property Summary'!$L$18)^('MF Rents'!BP$3-1))</f>
        <v/>
      </c>
      <c r="BQ27" s="149" t="str">
        <f>IF(OR($B27="",$B27=0),"",($G27*(BQ$4&lt;$I27)+$H27*(BQ$4&gt;=$I27))*$C27*(1+'Property Summary'!$L$18)^('MF Rents'!BQ$3-1))</f>
        <v/>
      </c>
      <c r="BR27" s="149" t="str">
        <f>IF(OR($B27="",$B27=0),"",($G27*(BR$4&lt;$I27)+$H27*(BR$4&gt;=$I27))*$C27*(1+'Property Summary'!$L$18)^('MF Rents'!BR$3-1))</f>
        <v/>
      </c>
      <c r="BS27" s="149" t="str">
        <f>IF(OR($B27="",$B27=0),"",($G27*(BS$4&lt;$I27)+$H27*(BS$4&gt;=$I27))*$C27*(1+'Property Summary'!$L$18)^('MF Rents'!BS$3-1))</f>
        <v/>
      </c>
      <c r="BT27" s="149" t="str">
        <f>IF(OR($B27="",$B27=0),"",($G27*(BT$4&lt;$I27)+$H27*(BT$4&gt;=$I27))*$C27*(1+'Property Summary'!$L$18)^('MF Rents'!BT$3-1))</f>
        <v/>
      </c>
      <c r="BU27" s="149" t="str">
        <f>IF(OR($B27="",$B27=0),"",($G27*(BU$4&lt;$I27)+$H27*(BU$4&gt;=$I27))*$C27*(1+'Property Summary'!$L$18)^('MF Rents'!BU$3-1))</f>
        <v/>
      </c>
      <c r="BV27" s="149" t="str">
        <f>IF(OR($B27="",$B27=0),"",($G27*(BV$4&lt;$I27)+$H27*(BV$4&gt;=$I27))*$C27*(1+'Property Summary'!$L$18)^('MF Rents'!BV$3-1))</f>
        <v/>
      </c>
      <c r="BW27" s="149" t="str">
        <f>IF(OR($B27="",$B27=0),"",($G27*(BW$4&lt;$I27)+$H27*(BW$4&gt;=$I27))*$C27*(1+'Property Summary'!$L$18)^('MF Rents'!BW$3-1))</f>
        <v/>
      </c>
      <c r="BX27" s="149" t="str">
        <f>IF(OR($B27="",$B27=0),"",($G27*(BX$4&lt;$I27)+$H27*(BX$4&gt;=$I27))*$C27*(1+'Property Summary'!$L$18)^('MF Rents'!BX$3-1))</f>
        <v/>
      </c>
      <c r="BY27" s="149" t="str">
        <f>IF(OR($B27="",$B27=0),"",($G27*(BY$4&lt;$I27)+$H27*(BY$4&gt;=$I27))*$C27*(1+'Property Summary'!$L$18)^('MF Rents'!BY$3-1))</f>
        <v/>
      </c>
      <c r="BZ27" s="149" t="str">
        <f>IF(OR($B27="",$B27=0),"",($G27*(BZ$4&lt;$I27)+$H27*(BZ$4&gt;=$I27))*$C27*(1+'Property Summary'!$L$18)^('MF Rents'!BZ$3-1))</f>
        <v/>
      </c>
      <c r="CA27" s="149" t="str">
        <f>IF(OR($B27="",$B27=0),"",($G27*(CA$4&lt;$I27)+$H27*(CA$4&gt;=$I27))*$C27*(1+'Property Summary'!$L$18)^('MF Rents'!CA$3-1))</f>
        <v/>
      </c>
      <c r="CB27" s="149" t="str">
        <f>IF(OR($B27="",$B27=0),"",($G27*(CB$4&lt;$I27)+$H27*(CB$4&gt;=$I27))*$C27*(1+'Property Summary'!$L$18)^('MF Rents'!CB$3-1))</f>
        <v/>
      </c>
      <c r="CC27" s="149" t="str">
        <f>IF(OR($B27="",$B27=0),"",($G27*(CC$4&lt;$I27)+$H27*(CC$4&gt;=$I27))*$C27*(1+'Property Summary'!$L$18)^('MF Rents'!CC$3-1))</f>
        <v/>
      </c>
      <c r="CD27" s="149" t="str">
        <f>IF(OR($B27="",$B27=0),"",($G27*(CD$4&lt;$I27)+$H27*(CD$4&gt;=$I27))*$C27*(1+'Property Summary'!$L$18)^('MF Rents'!CD$3-1))</f>
        <v/>
      </c>
      <c r="CE27" s="149" t="str">
        <f>IF(OR($B27="",$B27=0),"",($G27*(CE$4&lt;$I27)+$H27*(CE$4&gt;=$I27))*$C27*(1+'Property Summary'!$L$18)^('MF Rents'!CE$3-1))</f>
        <v/>
      </c>
      <c r="CF27" s="149" t="str">
        <f>IF(OR($B27="",$B27=0),"",($G27*(CF$4&lt;$I27)+$H27*(CF$4&gt;=$I27))*$C27*(1+'Property Summary'!$L$18)^('MF Rents'!CF$3-1))</f>
        <v/>
      </c>
      <c r="CG27" s="149" t="str">
        <f>IF(OR($B27="",$B27=0),"",($G27*(CG$4&lt;$I27)+$H27*(CG$4&gt;=$I27))*$C27*(1+'Property Summary'!$L$18)^('MF Rents'!CG$3-1))</f>
        <v/>
      </c>
      <c r="CH27" s="149" t="str">
        <f>IF(OR($B27="",$B27=0),"",($G27*(CH$4&lt;$I27)+$H27*(CH$4&gt;=$I27))*$C27*(1+'Property Summary'!$L$18)^('MF Rents'!CH$3-1))</f>
        <v/>
      </c>
      <c r="CI27" s="149" t="str">
        <f>IF(OR($B27="",$B27=0),"",($G27*(CI$4&lt;$I27)+$H27*(CI$4&gt;=$I27))*$C27*(1+'Property Summary'!$L$18)^('MF Rents'!CI$3-1))</f>
        <v/>
      </c>
      <c r="CJ27" s="149" t="str">
        <f>IF(OR($B27="",$B27=0),"",($G27*(CJ$4&lt;$I27)+$H27*(CJ$4&gt;=$I27))*$C27*(1+'Property Summary'!$L$18)^('MF Rents'!CJ$3-1))</f>
        <v/>
      </c>
      <c r="CK27" s="149" t="str">
        <f>IF(OR($B27="",$B27=0),"",($G27*(CK$4&lt;$I27)+$H27*(CK$4&gt;=$I27))*$C27*(1+'Property Summary'!$L$18)^('MF Rents'!CK$3-1))</f>
        <v/>
      </c>
      <c r="CL27" s="149" t="str">
        <f>IF(OR($B27="",$B27=0),"",($G27*(CL$4&lt;$I27)+$H27*(CL$4&gt;=$I27))*$C27*(1+'Property Summary'!$L$18)^('MF Rents'!CL$3-1))</f>
        <v/>
      </c>
      <c r="CM27" s="149" t="str">
        <f>IF(OR($B27="",$B27=0),"",($G27*(CM$4&lt;$I27)+$H27*(CM$4&gt;=$I27))*$C27*(1+'Property Summary'!$L$18)^('MF Rents'!CM$3-1))</f>
        <v/>
      </c>
      <c r="CN27" s="149" t="str">
        <f>IF(OR($B27="",$B27=0),"",($G27*(CN$4&lt;$I27)+$H27*(CN$4&gt;=$I27))*$C27*(1+'Property Summary'!$L$18)^('MF Rents'!CN$3-1))</f>
        <v/>
      </c>
      <c r="CO27" s="149" t="str">
        <f>IF(OR($B27="",$B27=0),"",($G27*(CO$4&lt;$I27)+$H27*(CO$4&gt;=$I27))*$C27*(1+'Property Summary'!$L$18)^('MF Rents'!CO$3-1))</f>
        <v/>
      </c>
      <c r="CP27" s="149" t="str">
        <f>IF(OR($B27="",$B27=0),"",($G27*(CP$4&lt;$I27)+$H27*(CP$4&gt;=$I27))*$C27*(1+'Property Summary'!$L$18)^('MF Rents'!CP$3-1))</f>
        <v/>
      </c>
      <c r="CQ27" s="149" t="str">
        <f>IF(OR($B27="",$B27=0),"",($G27*(CQ$4&lt;$I27)+$H27*(CQ$4&gt;=$I27))*$C27*(1+'Property Summary'!$L$18)^('MF Rents'!CQ$3-1))</f>
        <v/>
      </c>
      <c r="CR27" s="149" t="str">
        <f>IF(OR($B27="",$B27=0),"",($G27*(CR$4&lt;$I27)+$H27*(CR$4&gt;=$I27))*$C27*(1+'Property Summary'!$L$18)^('MF Rents'!CR$3-1))</f>
        <v/>
      </c>
      <c r="CS27" s="149" t="str">
        <f>IF(OR($B27="",$B27=0),"",($G27*(CS$4&lt;$I27)+$H27*(CS$4&gt;=$I27))*$C27*(1+'Property Summary'!$L$18)^('MF Rents'!CS$3-1))</f>
        <v/>
      </c>
      <c r="CT27" s="149" t="str">
        <f>IF(OR($B27="",$B27=0),"",($G27*(CT$4&lt;$I27)+$H27*(CT$4&gt;=$I27))*$C27*(1+'Property Summary'!$L$18)^('MF Rents'!CT$3-1))</f>
        <v/>
      </c>
      <c r="CU27" s="149" t="str">
        <f>IF(OR($B27="",$B27=0),"",($G27*(CU$4&lt;$I27)+$H27*(CU$4&gt;=$I27))*$C27*(1+'Property Summary'!$L$18)^('MF Rents'!CU$3-1))</f>
        <v/>
      </c>
      <c r="CV27" s="149" t="str">
        <f>IF(OR($B27="",$B27=0),"",($G27*(CV$4&lt;$I27)+$H27*(CV$4&gt;=$I27))*$C27*(1+'Property Summary'!$L$18)^('MF Rents'!CV$3-1))</f>
        <v/>
      </c>
      <c r="CW27" s="149" t="str">
        <f>IF(OR($B27="",$B27=0),"",($G27*(CW$4&lt;$I27)+$H27*(CW$4&gt;=$I27))*$C27*(1+'Property Summary'!$L$18)^('MF Rents'!CW$3-1))</f>
        <v/>
      </c>
      <c r="CX27" s="149" t="str">
        <f>IF(OR($B27="",$B27=0),"",($G27*(CX$4&lt;$I27)+$H27*(CX$4&gt;=$I27))*$C27*(1+'Property Summary'!$L$18)^('MF Rents'!CX$3-1))</f>
        <v/>
      </c>
      <c r="CY27" s="149" t="str">
        <f>IF(OR($B27="",$B27=0),"",($G27*(CY$4&lt;$I27)+$H27*(CY$4&gt;=$I27))*$C27*(1+'Property Summary'!$L$18)^('MF Rents'!CY$3-1))</f>
        <v/>
      </c>
      <c r="CZ27" s="149" t="str">
        <f>IF(OR($B27="",$B27=0),"",($G27*(CZ$4&lt;$I27)+$H27*(CZ$4&gt;=$I27))*$C27*(1+'Property Summary'!$L$18)^('MF Rents'!CZ$3-1))</f>
        <v/>
      </c>
      <c r="DA27" s="149" t="str">
        <f>IF(OR($B27="",$B27=0),"",($G27*(DA$4&lt;$I27)+$H27*(DA$4&gt;=$I27))*$C27*(1+'Property Summary'!$L$18)^('MF Rents'!DA$3-1))</f>
        <v/>
      </c>
      <c r="DB27" s="149" t="str">
        <f>IF(OR($B27="",$B27=0),"",($G27*(DB$4&lt;$I27)+$H27*(DB$4&gt;=$I27))*$C27*(1+'Property Summary'!$L$18)^('MF Rents'!DB$3-1))</f>
        <v/>
      </c>
      <c r="DC27" s="149" t="str">
        <f>IF(OR($B27="",$B27=0),"",($G27*(DC$4&lt;$I27)+$H27*(DC$4&gt;=$I27))*$C27*(1+'Property Summary'!$L$18)^('MF Rents'!DC$3-1))</f>
        <v/>
      </c>
      <c r="DD27" s="149" t="str">
        <f>IF(OR($B27="",$B27=0),"",($G27*(DD$4&lt;$I27)+$H27*(DD$4&gt;=$I27))*$C27*(1+'Property Summary'!$L$18)^('MF Rents'!DD$3-1))</f>
        <v/>
      </c>
      <c r="DE27" s="149" t="str">
        <f>IF(OR($B27="",$B27=0),"",($G27*(DE$4&lt;$I27)+$H27*(DE$4&gt;=$I27))*$C27*(1+'Property Summary'!$L$18)^('MF Rents'!DE$3-1))</f>
        <v/>
      </c>
      <c r="DF27" s="149" t="str">
        <f>IF(OR($B27="",$B27=0),"",($G27*(DF$4&lt;$I27)+$H27*(DF$4&gt;=$I27))*$C27*(1+'Property Summary'!$L$18)^('MF Rents'!DF$3-1))</f>
        <v/>
      </c>
      <c r="DG27" s="149" t="str">
        <f>IF(OR($B27="",$B27=0),"",($G27*(DG$4&lt;$I27)+$H27*(DG$4&gt;=$I27))*$C27*(1+'Property Summary'!$L$18)^('MF Rents'!DG$3-1))</f>
        <v/>
      </c>
      <c r="DH27" s="149" t="str">
        <f>IF(OR($B27="",$B27=0),"",($G27*(DH$4&lt;$I27)+$H27*(DH$4&gt;=$I27))*$C27*(1+'Property Summary'!$L$18)^('MF Rents'!DH$3-1))</f>
        <v/>
      </c>
      <c r="DI27" s="149" t="str">
        <f>IF(OR($B27="",$B27=0),"",($G27*(DI$4&lt;$I27)+$H27*(DI$4&gt;=$I27))*$C27*(1+'Property Summary'!$L$18)^('MF Rents'!DI$3-1))</f>
        <v/>
      </c>
      <c r="DJ27" s="149" t="str">
        <f>IF(OR($B27="",$B27=0),"",($G27*(DJ$4&lt;$I27)+$H27*(DJ$4&gt;=$I27))*$C27*(1+'Property Summary'!$L$18)^('MF Rents'!DJ$3-1))</f>
        <v/>
      </c>
      <c r="DK27" s="149" t="str">
        <f>IF(OR($B27="",$B27=0),"",($G27*(DK$4&lt;$I27)+$H27*(DK$4&gt;=$I27))*$C27*(1+'Property Summary'!$L$18)^('MF Rents'!DK$3-1))</f>
        <v/>
      </c>
      <c r="DL27" s="149" t="str">
        <f>IF(OR($B27="",$B27=0),"",($G27*(DL$4&lt;$I27)+$H27*(DL$4&gt;=$I27))*$C27*(1+'Property Summary'!$L$18)^('MF Rents'!DL$3-1))</f>
        <v/>
      </c>
      <c r="DM27" s="149" t="str">
        <f>IF(OR($B27="",$B27=0),"",($G27*(DM$4&lt;$I27)+$H27*(DM$4&gt;=$I27))*$C27*(1+'Property Summary'!$L$18)^('MF Rents'!DM$3-1))</f>
        <v/>
      </c>
      <c r="DN27" s="149" t="str">
        <f>IF(OR($B27="",$B27=0),"",($G27*(DN$4&lt;$I27)+$H27*(DN$4&gt;=$I27))*$C27*(1+'Property Summary'!$L$18)^('MF Rents'!DN$3-1))</f>
        <v/>
      </c>
      <c r="DO27" s="149" t="str">
        <f>IF(OR($B27="",$B27=0),"",($G27*(DO$4&lt;$I27)+$H27*(DO$4&gt;=$I27))*$C27*(1+'Property Summary'!$L$18)^('MF Rents'!DO$3-1))</f>
        <v/>
      </c>
      <c r="DP27" s="149" t="str">
        <f>IF(OR($B27="",$B27=0),"",($G27*(DP$4&lt;$I27)+$H27*(DP$4&gt;=$I27))*$C27*(1+'Property Summary'!$L$18)^('MF Rents'!DP$3-1))</f>
        <v/>
      </c>
      <c r="DQ27" s="149" t="str">
        <f>IF(OR($B27="",$B27=0),"",($G27*(DQ$4&lt;$I27)+$H27*(DQ$4&gt;=$I27))*$C27*(1+'Property Summary'!$L$18)^('MF Rents'!DQ$3-1))</f>
        <v/>
      </c>
      <c r="DR27" s="149" t="str">
        <f>IF(OR($B27="",$B27=0),"",($G27*(DR$4&lt;$I27)+$H27*(DR$4&gt;=$I27))*$C27*(1+'Property Summary'!$L$18)^('MF Rents'!DR$3-1))</f>
        <v/>
      </c>
      <c r="DS27" s="149" t="str">
        <f>IF(OR($B27="",$B27=0),"",($G27*(DS$4&lt;$I27)+$H27*(DS$4&gt;=$I27))*$C27*(1+'Property Summary'!$L$18)^('MF Rents'!DS$3-1))</f>
        <v/>
      </c>
      <c r="DT27" s="149" t="str">
        <f>IF(OR($B27="",$B27=0),"",($G27*(DT$4&lt;$I27)+$H27*(DT$4&gt;=$I27))*$C27*(1+'Property Summary'!$L$18)^('MF Rents'!DT$3-1))</f>
        <v/>
      </c>
      <c r="DU27" s="149" t="str">
        <f>IF(OR($B27="",$B27=0),"",($G27*(DU$4&lt;$I27)+$H27*(DU$4&gt;=$I27))*$C27*(1+'Property Summary'!$L$18)^('MF Rents'!DU$3-1))</f>
        <v/>
      </c>
      <c r="DV27" s="149" t="str">
        <f>IF(OR($B27="",$B27=0),"",($G27*(DV$4&lt;$I27)+$H27*(DV$4&gt;=$I27))*$C27*(1+'Property Summary'!$L$18)^('MF Rents'!DV$3-1))</f>
        <v/>
      </c>
      <c r="DW27" s="149" t="str">
        <f>IF(OR($B27="",$B27=0),"",($G27*(DW$4&lt;$I27)+$H27*(DW$4&gt;=$I27))*$C27*(1+'Property Summary'!$L$18)^('MF Rents'!DW$3-1))</f>
        <v/>
      </c>
      <c r="DX27" s="149" t="str">
        <f>IF(OR($B27="",$B27=0),"",($G27*(DX$4&lt;$I27)+$H27*(DX$4&gt;=$I27))*$C27*(1+'Property Summary'!$L$18)^('MF Rents'!DX$3-1))</f>
        <v/>
      </c>
      <c r="DY27" s="149" t="str">
        <f>IF(OR($B27="",$B27=0),"",($G27*(DY$4&lt;$I27)+$H27*(DY$4&gt;=$I27))*$C27*(1+'Property Summary'!$L$18)^('MF Rents'!DY$3-1))</f>
        <v/>
      </c>
      <c r="DZ27" s="149" t="str">
        <f>IF(OR($B27="",$B27=0),"",($G27*(DZ$4&lt;$I27)+$H27*(DZ$4&gt;=$I27))*$C27*(1+'Property Summary'!$L$18)^('MF Rents'!DZ$3-1))</f>
        <v/>
      </c>
      <c r="EA27" s="149" t="str">
        <f>IF(OR($B27="",$B27=0),"",($G27*(EA$4&lt;$I27)+$H27*(EA$4&gt;=$I27))*$C27*(1+'Property Summary'!$L$18)^('MF Rents'!EA$3-1))</f>
        <v/>
      </c>
      <c r="EB27" s="149" t="str">
        <f>IF(OR($B27="",$B27=0),"",($G27*(EB$4&lt;$I27)+$H27*(EB$4&gt;=$I27))*$C27*(1+'Property Summary'!$L$18)^('MF Rents'!EB$3-1))</f>
        <v/>
      </c>
      <c r="EC27" s="149" t="str">
        <f>IF(OR($B27="",$B27=0),"",($G27*(EC$4&lt;$I27)+$H27*(EC$4&gt;=$I27))*$C27*(1+'Property Summary'!$L$18)^('MF Rents'!EC$3-1))</f>
        <v/>
      </c>
      <c r="ED27" s="149" t="str">
        <f>IF(OR($B27="",$B27=0),"",($G27*(ED$4&lt;$I27)+$H27*(ED$4&gt;=$I27))*$C27*(1+'Property Summary'!$L$18)^('MF Rents'!ED$3-1))</f>
        <v/>
      </c>
      <c r="EE27" s="149" t="str">
        <f>IF(OR($B27="",$B27=0),"",($G27*(EE$4&lt;$I27)+$H27*(EE$4&gt;=$I27))*$C27*(1+'Property Summary'!$L$18)^('MF Rents'!EE$3-1))</f>
        <v/>
      </c>
      <c r="EF27" s="149" t="str">
        <f>IF(OR($B27="",$B27=0),"",($G27*(EF$4&lt;$I27)+$H27*(EF$4&gt;=$I27))*$C27*(1+'Property Summary'!$L$18)^('MF Rents'!EF$3-1))</f>
        <v/>
      </c>
      <c r="EG27" s="149" t="str">
        <f>IF(OR($B27="",$B27=0),"",($G27*(EG$4&lt;$I27)+$H27*(EG$4&gt;=$I27))*$C27*(1+'Property Summary'!$L$18)^('MF Rents'!EG$3-1))</f>
        <v/>
      </c>
      <c r="EH27" s="149" t="str">
        <f>IF(OR($B27="",$B27=0),"",($G27*(EH$4&lt;$I27)+$H27*(EH$4&gt;=$I27))*$C27*(1+'Property Summary'!$L$18)^('MF Rents'!EH$3-1))</f>
        <v/>
      </c>
      <c r="EI27" s="149" t="str">
        <f>IF(OR($B27="",$B27=0),"",($G27*(EI$4&lt;$I27)+$H27*(EI$4&gt;=$I27))*$C27*(1+'Property Summary'!$L$18)^('MF Rents'!EI$3-1))</f>
        <v/>
      </c>
      <c r="EJ27" s="149" t="str">
        <f>IF(OR($B27="",$B27=0),"",($G27*(EJ$4&lt;$I27)+$H27*(EJ$4&gt;=$I27))*$C27*(1+'Property Summary'!$L$18)^('MF Rents'!EJ$3-1))</f>
        <v/>
      </c>
      <c r="EK27" s="149" t="str">
        <f>IF(OR($B27="",$B27=0),"",($G27*(EK$4&lt;$I27)+$H27*(EK$4&gt;=$I27))*$C27*(1+'Property Summary'!$L$18)^('MF Rents'!EK$3-1))</f>
        <v/>
      </c>
      <c r="EL27" s="149" t="str">
        <f>IF(OR($B27="",$B27=0),"",($G27*(EL$4&lt;$I27)+$H27*(EL$4&gt;=$I27))*$C27*(1+'Property Summary'!$L$18)^('MF Rents'!EL$3-1))</f>
        <v/>
      </c>
      <c r="EM27" s="149" t="str">
        <f>IF(OR($B27="",$B27=0),"",($G27*(EM$4&lt;$I27)+$H27*(EM$4&gt;=$I27))*$C27*(1+'Property Summary'!$L$18)^('MF Rents'!EM$3-1))</f>
        <v/>
      </c>
      <c r="EN27" s="149" t="str">
        <f>IF(OR($B27="",$B27=0),"",($G27*(EN$4&lt;$I27)+$H27*(EN$4&gt;=$I27))*$C27*(1+'Property Summary'!$L$18)^('MF Rents'!EN$3-1))</f>
        <v/>
      </c>
      <c r="EO27" s="149" t="str">
        <f>IF(OR($B27="",$B27=0),"",($G27*(EO$4&lt;$I27)+$H27*(EO$4&gt;=$I27))*$C27*(1+'Property Summary'!$L$18)^('MF Rents'!EO$3-1))</f>
        <v/>
      </c>
      <c r="EP27" s="149" t="str">
        <f>IF(OR($B27="",$B27=0),"",($G27*(EP$4&lt;$I27)+$H27*(EP$4&gt;=$I27))*$C27*(1+'Property Summary'!$L$18)^('MF Rents'!EP$3-1))</f>
        <v/>
      </c>
      <c r="EQ27" s="149" t="str">
        <f>IF(OR($B27="",$B27=0),"",($G27*(EQ$4&lt;$I27)+$H27*(EQ$4&gt;=$I27))*$C27*(1+'Property Summary'!$L$18)^('MF Rents'!EQ$3-1))</f>
        <v/>
      </c>
      <c r="ER27" s="149" t="str">
        <f>IF(OR($B27="",$B27=0),"",($G27*(ER$4&lt;$I27)+$H27*(ER$4&gt;=$I27))*$C27*(1+'Property Summary'!$L$18)^('MF Rents'!ER$3-1))</f>
        <v/>
      </c>
      <c r="ES27" s="149" t="str">
        <f>IF(OR($B27="",$B27=0),"",($G27*(ES$4&lt;$I27)+$H27*(ES$4&gt;=$I27))*$C27*(1+'Property Summary'!$L$18)^('MF Rents'!ES$3-1))</f>
        <v/>
      </c>
      <c r="ET27" s="149" t="str">
        <f>IF(OR($B27="",$B27=0),"",($G27*(ET$4&lt;$I27)+$H27*(ET$4&gt;=$I27))*$C27*(1+'Property Summary'!$L$18)^('MF Rents'!ET$3-1))</f>
        <v/>
      </c>
      <c r="EU27" s="149" t="str">
        <f>IF(OR($B27="",$B27=0),"",($G27*(EU$4&lt;$I27)+$H27*(EU$4&gt;=$I27))*$C27*(1+'Property Summary'!$L$18)^('MF Rents'!EU$3-1))</f>
        <v/>
      </c>
      <c r="EV27" s="149" t="str">
        <f>IF(OR($B27="",$B27=0),"",($G27*(EV$4&lt;$I27)+$H27*(EV$4&gt;=$I27))*$C27*(1+'Property Summary'!$L$18)^('MF Rents'!EV$3-1))</f>
        <v/>
      </c>
      <c r="EW27" s="149" t="str">
        <f>IF(OR($B27="",$B27=0),"",($G27*(EW$4&lt;$I27)+$H27*(EW$4&gt;=$I27))*$C27*(1+'Property Summary'!$L$18)^('MF Rents'!EW$3-1))</f>
        <v/>
      </c>
      <c r="EX27" s="149" t="str">
        <f>IF(OR($B27="",$B27=0),"",($G27*(EX$4&lt;$I27)+$H27*(EX$4&gt;=$I27))*$C27*(1+'Property Summary'!$L$18)^('MF Rents'!EX$3-1))</f>
        <v/>
      </c>
      <c r="EY27" s="149" t="str">
        <f>IF(OR($B27="",$B27=0),"",($G27*(EY$4&lt;$I27)+$H27*(EY$4&gt;=$I27))*$C27*(1+'Property Summary'!$L$18)^('MF Rents'!EY$3-1))</f>
        <v/>
      </c>
      <c r="EZ27" s="149" t="str">
        <f>IF(OR($B27="",$B27=0),"",($G27*(EZ$4&lt;$I27)+$H27*(EZ$4&gt;=$I27))*$C27*(1+'Property Summary'!$L$18)^('MF Rents'!EZ$3-1))</f>
        <v/>
      </c>
      <c r="FA27" s="149" t="str">
        <f>IF(OR($B27="",$B27=0),"",($G27*(FA$4&lt;$I27)+$H27*(FA$4&gt;=$I27))*$C27*(1+'Property Summary'!$L$18)^('MF Rents'!FA$3-1))</f>
        <v/>
      </c>
      <c r="FB27" s="149" t="str">
        <f>IF(OR($B27="",$B27=0),"",($G27*(FB$4&lt;$I27)+$H27*(FB$4&gt;=$I27))*$C27*(1+'Property Summary'!$L$18)^('MF Rents'!FB$3-1))</f>
        <v/>
      </c>
      <c r="FC27" s="149" t="str">
        <f>IF(OR($B27="",$B27=0),"",($G27*(FC$4&lt;$I27)+$H27*(FC$4&gt;=$I27))*$C27*(1+'Property Summary'!$L$18)^('MF Rents'!FC$3-1))</f>
        <v/>
      </c>
      <c r="FD27" s="149" t="str">
        <f>IF(OR($B27="",$B27=0),"",($G27*(FD$4&lt;$I27)+$H27*(FD$4&gt;=$I27))*$C27*(1+'Property Summary'!$L$18)^('MF Rents'!FD$3-1))</f>
        <v/>
      </c>
      <c r="FE27" s="149" t="str">
        <f>IF(OR($B27="",$B27=0),"",($G27*(FE$4&lt;$I27)+$H27*(FE$4&gt;=$I27))*$C27*(1+'Property Summary'!$L$18)^('MF Rents'!FE$3-1))</f>
        <v/>
      </c>
      <c r="FF27" s="149" t="str">
        <f>IF(OR($B27="",$B27=0),"",($G27*(FF$4&lt;$I27)+$H27*(FF$4&gt;=$I27))*$C27*(1+'Property Summary'!$L$18)^('MF Rents'!FF$3-1))</f>
        <v/>
      </c>
      <c r="FG27" s="149" t="str">
        <f>IF(OR($B27="",$B27=0),"",($G27*(FG$4&lt;$I27)+$H27*(FG$4&gt;=$I27))*$C27*(1+'Property Summary'!$L$18)^('MF Rents'!FG$3-1))</f>
        <v/>
      </c>
      <c r="FH27" s="149" t="str">
        <f>IF(OR($B27="",$B27=0),"",($G27*(FH$4&lt;$I27)+$H27*(FH$4&gt;=$I27))*$C27*(1+'Property Summary'!$L$18)^('MF Rents'!FH$3-1))</f>
        <v/>
      </c>
      <c r="FI27" s="149" t="str">
        <f>IF(OR($B27="",$B27=0),"",($G27*(FI$4&lt;$I27)+$H27*(FI$4&gt;=$I27))*$C27*(1+'Property Summary'!$L$18)^('MF Rents'!FI$3-1))</f>
        <v/>
      </c>
      <c r="FJ27" s="149" t="str">
        <f>IF(OR($B27="",$B27=0),"",($G27*(FJ$4&lt;$I27)+$H27*(FJ$4&gt;=$I27))*$C27*(1+'Property Summary'!$L$18)^('MF Rents'!FJ$3-1))</f>
        <v/>
      </c>
      <c r="FK27" s="149" t="str">
        <f>IF(OR($B27="",$B27=0),"",($G27*(FK$4&lt;$I27)+$H27*(FK$4&gt;=$I27))*$C27*(1+'Property Summary'!$L$18)^('MF Rents'!FK$3-1))</f>
        <v/>
      </c>
      <c r="FL27" s="149" t="str">
        <f>IF(OR($B27="",$B27=0),"",($G27*(FL$4&lt;$I27)+$H27*(FL$4&gt;=$I27))*$C27*(1+'Property Summary'!$L$18)^('MF Rents'!FL$3-1))</f>
        <v/>
      </c>
      <c r="FM27" s="149" t="str">
        <f>IF(OR($B27="",$B27=0),"",($G27*(FM$4&lt;$I27)+$H27*(FM$4&gt;=$I27))*$C27*(1+'Property Summary'!$L$18)^('MF Rents'!FM$3-1))</f>
        <v/>
      </c>
      <c r="FN27" s="149" t="str">
        <f>IF(OR($B27="",$B27=0),"",($G27*(FN$4&lt;$I27)+$H27*(FN$4&gt;=$I27))*$C27*(1+'Property Summary'!$L$18)^('MF Rents'!FN$3-1))</f>
        <v/>
      </c>
      <c r="FO27" s="149" t="str">
        <f>IF(OR($B27="",$B27=0),"",($G27*(FO$4&lt;$I27)+$H27*(FO$4&gt;=$I27))*$C27*(1+'Property Summary'!$L$18)^('MF Rents'!FO$3-1))</f>
        <v/>
      </c>
      <c r="FP27" s="149" t="str">
        <f>IF(OR($B27="",$B27=0),"",($G27*(FP$4&lt;$I27)+$H27*(FP$4&gt;=$I27))*$C27*(1+'Property Summary'!$L$18)^('MF Rents'!FP$3-1))</f>
        <v/>
      </c>
      <c r="FQ27" s="149" t="str">
        <f>IF(OR($B27="",$B27=0),"",($G27*(FQ$4&lt;$I27)+$H27*(FQ$4&gt;=$I27))*$C27*(1+'Property Summary'!$L$18)^('MF Rents'!FQ$3-1))</f>
        <v/>
      </c>
      <c r="FR27" s="149" t="str">
        <f>IF(OR($B27="",$B27=0),"",($G27*(FR$4&lt;$I27)+$H27*(FR$4&gt;=$I27))*$C27*(1+'Property Summary'!$L$18)^('MF Rents'!FR$3-1))</f>
        <v/>
      </c>
      <c r="FS27" s="149" t="str">
        <f>IF(OR($B27="",$B27=0),"",($G27*(FS$4&lt;$I27)+$H27*(FS$4&gt;=$I27))*$C27*(1+'Property Summary'!$L$18)^('MF Rents'!FS$3-1))</f>
        <v/>
      </c>
      <c r="FT27" s="149" t="str">
        <f>IF(OR($B27="",$B27=0),"",($G27*(FT$4&lt;$I27)+$H27*(FT$4&gt;=$I27))*$C27*(1+'Property Summary'!$L$18)^('MF Rents'!FT$3-1))</f>
        <v/>
      </c>
      <c r="FU27" s="149" t="str">
        <f>IF(OR($B27="",$B27=0),"",($G27*(FU$4&lt;$I27)+$H27*(FU$4&gt;=$I27))*$C27*(1+'Property Summary'!$L$18)^('MF Rents'!FU$3-1))</f>
        <v/>
      </c>
      <c r="FV27" s="149" t="str">
        <f>IF(OR($B27="",$B27=0),"",($G27*(FV$4&lt;$I27)+$H27*(FV$4&gt;=$I27))*$C27*(1+'Property Summary'!$L$18)^('MF Rents'!FV$3-1))</f>
        <v/>
      </c>
      <c r="FW27" s="149" t="str">
        <f>IF(OR($B27="",$B27=0),"",($G27*(FW$4&lt;$I27)+$H27*(FW$4&gt;=$I27))*$C27*(1+'Property Summary'!$L$18)^('MF Rents'!FW$3-1))</f>
        <v/>
      </c>
      <c r="FX27" s="149" t="str">
        <f>IF(OR($B27="",$B27=0),"",($G27*(FX$4&lt;$I27)+$H27*(FX$4&gt;=$I27))*$C27*(1+'Property Summary'!$L$18)^('MF Rents'!FX$3-1))</f>
        <v/>
      </c>
      <c r="FY27" s="149" t="str">
        <f>IF(OR($B27="",$B27=0),"",($G27*(FY$4&lt;$I27)+$H27*(FY$4&gt;=$I27))*$C27*(1+'Property Summary'!$L$18)^('MF Rents'!FY$3-1))</f>
        <v/>
      </c>
      <c r="FZ27" s="149" t="str">
        <f>IF(OR($B27="",$B27=0),"",($G27*(FZ$4&lt;$I27)+$H27*(FZ$4&gt;=$I27))*$C27*(1+'Property Summary'!$L$18)^('MF Rents'!FZ$3-1))</f>
        <v/>
      </c>
      <c r="GA27" s="149" t="str">
        <f>IF(OR($B27="",$B27=0),"",($G27*(GA$4&lt;$I27)+$H27*(GA$4&gt;=$I27))*$C27*(1+'Property Summary'!$L$18)^('MF Rents'!GA$3-1))</f>
        <v/>
      </c>
      <c r="GB27" s="149" t="str">
        <f>IF(OR($B27="",$B27=0),"",($G27*(GB$4&lt;$I27)+$H27*(GB$4&gt;=$I27))*$C27*(1+'Property Summary'!$L$18)^('MF Rents'!GB$3-1))</f>
        <v/>
      </c>
      <c r="GC27" s="149" t="str">
        <f>IF(OR($B27="",$B27=0),"",($G27*(GC$4&lt;$I27)+$H27*(GC$4&gt;=$I27))*$C27*(1+'Property Summary'!$L$18)^('MF Rents'!GC$3-1))</f>
        <v/>
      </c>
      <c r="GD27" s="149" t="str">
        <f>IF(OR($B27="",$B27=0),"",($G27*(GD$4&lt;$I27)+$H27*(GD$4&gt;=$I27))*$C27*(1+'Property Summary'!$L$18)^('MF Rents'!GD$3-1))</f>
        <v/>
      </c>
      <c r="GE27" s="149" t="str">
        <f>IF(OR($B27="",$B27=0),"",($G27*(GE$4&lt;$I27)+$H27*(GE$4&gt;=$I27))*$C27*(1+'Property Summary'!$L$18)^('MF Rents'!GE$3-1))</f>
        <v/>
      </c>
      <c r="GF27" s="149" t="str">
        <f>IF(OR($B27="",$B27=0),"",($G27*(GF$4&lt;$I27)+$H27*(GF$4&gt;=$I27))*$C27*(1+'Property Summary'!$L$18)^('MF Rents'!GF$3-1))</f>
        <v/>
      </c>
      <c r="GG27" s="149" t="str">
        <f>IF(OR($B27="",$B27=0),"",($G27*(GG$4&lt;$I27)+$H27*(GG$4&gt;=$I27))*$C27*(1+'Property Summary'!$L$18)^('MF Rents'!GG$3-1))</f>
        <v/>
      </c>
      <c r="GH27" s="149" t="str">
        <f>IF(OR($B27="",$B27=0),"",($G27*(GH$4&lt;$I27)+$H27*(GH$4&gt;=$I27))*$C27*(1+'Property Summary'!$L$18)^('MF Rents'!GH$3-1))</f>
        <v/>
      </c>
      <c r="GI27" s="149" t="str">
        <f>IF(OR($B27="",$B27=0),"",($G27*(GI$4&lt;$I27)+$H27*(GI$4&gt;=$I27))*$C27*(1+'Property Summary'!$L$18)^('MF Rents'!GI$3-1))</f>
        <v/>
      </c>
      <c r="GJ27" s="149" t="str">
        <f>IF(OR($B27="",$B27=0),"",($G27*(GJ$4&lt;$I27)+$H27*(GJ$4&gt;=$I27))*$C27*(1+'Property Summary'!$L$18)^('MF Rents'!GJ$3-1))</f>
        <v/>
      </c>
      <c r="GK27" s="149" t="str">
        <f>IF(OR($B27="",$B27=0),"",($G27*(GK$4&lt;$I27)+$H27*(GK$4&gt;=$I27))*$C27*(1+'Property Summary'!$L$18)^('MF Rents'!GK$3-1))</f>
        <v/>
      </c>
      <c r="GL27" s="149" t="str">
        <f>IF(OR($B27="",$B27=0),"",($G27*(GL$4&lt;$I27)+$H27*(GL$4&gt;=$I27))*$C27*(1+'Property Summary'!$L$18)^('MF Rents'!GL$3-1))</f>
        <v/>
      </c>
      <c r="GM27" s="149" t="str">
        <f>IF(OR($B27="",$B27=0),"",($G27*(GM$4&lt;$I27)+$H27*(GM$4&gt;=$I27))*$C27*(1+'Property Summary'!$L$18)^('MF Rents'!GM$3-1))</f>
        <v/>
      </c>
      <c r="GN27" s="149" t="str">
        <f>IF(OR($B27="",$B27=0),"",($G27*(GN$4&lt;$I27)+$H27*(GN$4&gt;=$I27))*$C27*(1+'Property Summary'!$L$18)^('MF Rents'!GN$3-1))</f>
        <v/>
      </c>
      <c r="GO27" s="149" t="str">
        <f>IF(OR($B27="",$B27=0),"",($G27*(GO$4&lt;$I27)+$H27*(GO$4&gt;=$I27))*$C27*(1+'Property Summary'!$L$18)^('MF Rents'!GO$3-1))</f>
        <v/>
      </c>
      <c r="GP27" s="149" t="str">
        <f>IF(OR($B27="",$B27=0),"",($G27*(GP$4&lt;$I27)+$H27*(GP$4&gt;=$I27))*$C27*(1+'Property Summary'!$L$18)^('MF Rents'!GP$3-1))</f>
        <v/>
      </c>
      <c r="GQ27" s="149" t="str">
        <f>IF(OR($B27="",$B27=0),"",($G27*(GQ$4&lt;$I27)+$H27*(GQ$4&gt;=$I27))*$C27*(1+'Property Summary'!$L$18)^('MF Rents'!GQ$3-1))</f>
        <v/>
      </c>
      <c r="GR27" s="149" t="str">
        <f>IF(OR($B27="",$B27=0),"",($G27*(GR$4&lt;$I27)+$H27*(GR$4&gt;=$I27))*$C27*(1+'Property Summary'!$L$18)^('MF Rents'!GR$3-1))</f>
        <v/>
      </c>
    </row>
    <row r="28" spans="2:200" x14ac:dyDescent="0.3">
      <c r="B28" s="184">
        <f>'MF Rent Roll'!B27</f>
        <v>0</v>
      </c>
      <c r="C28" s="171">
        <f>'MF Rent Roll'!C27</f>
        <v>0</v>
      </c>
      <c r="D28" s="172">
        <f>'MF Rent Roll'!D27</f>
        <v>0</v>
      </c>
      <c r="E28" s="172">
        <f>'MF Rent Roll'!E27</f>
        <v>0</v>
      </c>
      <c r="F28" s="173">
        <f>'MF Rent Roll'!F27</f>
        <v>0</v>
      </c>
      <c r="G28" s="174">
        <f>'MF Rent Roll'!G27</f>
        <v>0</v>
      </c>
      <c r="H28" s="174">
        <f>IF('MF Rent Roll'!H27="",G28,'MF Rent Roll'!H27)</f>
        <v>0</v>
      </c>
      <c r="I28" s="175">
        <f>IF('MF Rent Roll'!I27="",1,'MF Rent Roll'!I27)</f>
        <v>1</v>
      </c>
      <c r="J28" s="176">
        <f>'MF Rent Roll'!J27</f>
        <v>0</v>
      </c>
      <c r="K28" s="174">
        <f>'MF Rent Roll'!K27</f>
        <v>0</v>
      </c>
      <c r="L28" s="177">
        <f>'MF Rent Roll'!L27</f>
        <v>0</v>
      </c>
      <c r="M28" s="178">
        <f>'MF Rent Roll'!M27</f>
        <v>0</v>
      </c>
      <c r="N28" s="174">
        <f>'MF Rent Roll'!N27</f>
        <v>0</v>
      </c>
      <c r="O28" s="179">
        <f>'MF Rent Roll'!O27</f>
        <v>0</v>
      </c>
      <c r="P28" s="180" t="str">
        <f>'MF Rent Roll'!P27</f>
        <v/>
      </c>
      <c r="Q28" s="181" t="str">
        <f>'MF Rent Roll'!Q27</f>
        <v/>
      </c>
      <c r="R28" s="104" t="str">
        <f>'MF Rent Roll'!R27</f>
        <v/>
      </c>
      <c r="U28" s="149" t="str">
        <f>IF(OR($B28="",$B28=0),"",($G28*(U$4&lt;$I28)+$H28*(U$4&gt;=$I28))*$C28*(1+'Property Summary'!$L$18)^('MF Rents'!U$3-1))</f>
        <v/>
      </c>
      <c r="V28" s="149" t="str">
        <f>IF(OR($B28="",$B28=0),"",($G28*(V$4&lt;$I28)+$H28*(V$4&gt;=$I28))*$C28*(1+'Property Summary'!$L$18)^('MF Rents'!V$3-1))</f>
        <v/>
      </c>
      <c r="W28" s="149" t="str">
        <f>IF(OR($B28="",$B28=0),"",($G28*(W$4&lt;$I28)+$H28*(W$4&gt;=$I28))*$C28*(1+'Property Summary'!$L$18)^('MF Rents'!W$3-1))</f>
        <v/>
      </c>
      <c r="X28" s="149" t="str">
        <f>IF(OR($B28="",$B28=0),"",($G28*(X$4&lt;$I28)+$H28*(X$4&gt;=$I28))*$C28*(1+'Property Summary'!$L$18)^('MF Rents'!X$3-1))</f>
        <v/>
      </c>
      <c r="Y28" s="149" t="str">
        <f>IF(OR($B28="",$B28=0),"",($G28*(Y$4&lt;$I28)+$H28*(Y$4&gt;=$I28))*$C28*(1+'Property Summary'!$L$18)^('MF Rents'!Y$3-1))</f>
        <v/>
      </c>
      <c r="Z28" s="149" t="str">
        <f>IF(OR($B28="",$B28=0),"",($G28*(Z$4&lt;$I28)+$H28*(Z$4&gt;=$I28))*$C28*(1+'Property Summary'!$L$18)^('MF Rents'!Z$3-1))</f>
        <v/>
      </c>
      <c r="AA28" s="149" t="str">
        <f>IF(OR($B28="",$B28=0),"",($G28*(AA$4&lt;$I28)+$H28*(AA$4&gt;=$I28))*$C28*(1+'Property Summary'!$L$18)^('MF Rents'!AA$3-1))</f>
        <v/>
      </c>
      <c r="AB28" s="149" t="str">
        <f>IF(OR($B28="",$B28=0),"",($G28*(AB$4&lt;$I28)+$H28*(AB$4&gt;=$I28))*$C28*(1+'Property Summary'!$L$18)^('MF Rents'!AB$3-1))</f>
        <v/>
      </c>
      <c r="AC28" s="149" t="str">
        <f>IF(OR($B28="",$B28=0),"",($G28*(AC$4&lt;$I28)+$H28*(AC$4&gt;=$I28))*$C28*(1+'Property Summary'!$L$18)^('MF Rents'!AC$3-1))</f>
        <v/>
      </c>
      <c r="AD28" s="149" t="str">
        <f>IF(OR($B28="",$B28=0),"",($G28*(AD$4&lt;$I28)+$H28*(AD$4&gt;=$I28))*$C28*(1+'Property Summary'!$L$18)^('MF Rents'!AD$3-1))</f>
        <v/>
      </c>
      <c r="AE28" s="149" t="str">
        <f>IF(OR($B28="",$B28=0),"",($G28*(AE$4&lt;$I28)+$H28*(AE$4&gt;=$I28))*$C28*(1+'Property Summary'!$L$18)^('MF Rents'!AE$3-1))</f>
        <v/>
      </c>
      <c r="AF28" s="149" t="str">
        <f>IF(OR($B28="",$B28=0),"",($G28*(AF$4&lt;$I28)+$H28*(AF$4&gt;=$I28))*$C28*(1+'Property Summary'!$L$18)^('MF Rents'!AF$3-1))</f>
        <v/>
      </c>
      <c r="AG28" s="149" t="str">
        <f>IF(OR($B28="",$B28=0),"",($G28*(AG$4&lt;$I28)+$H28*(AG$4&gt;=$I28))*$C28*(1+'Property Summary'!$L$18)^('MF Rents'!AG$3-1))</f>
        <v/>
      </c>
      <c r="AH28" s="149" t="str">
        <f>IF(OR($B28="",$B28=0),"",($G28*(AH$4&lt;$I28)+$H28*(AH$4&gt;=$I28))*$C28*(1+'Property Summary'!$L$18)^('MF Rents'!AH$3-1))</f>
        <v/>
      </c>
      <c r="AI28" s="149" t="str">
        <f>IF(OR($B28="",$B28=0),"",($G28*(AI$4&lt;$I28)+$H28*(AI$4&gt;=$I28))*$C28*(1+'Property Summary'!$L$18)^('MF Rents'!AI$3-1))</f>
        <v/>
      </c>
      <c r="AJ28" s="149" t="str">
        <f>IF(OR($B28="",$B28=0),"",($G28*(AJ$4&lt;$I28)+$H28*(AJ$4&gt;=$I28))*$C28*(1+'Property Summary'!$L$18)^('MF Rents'!AJ$3-1))</f>
        <v/>
      </c>
      <c r="AK28" s="149" t="str">
        <f>IF(OR($B28="",$B28=0),"",($G28*(AK$4&lt;$I28)+$H28*(AK$4&gt;=$I28))*$C28*(1+'Property Summary'!$L$18)^('MF Rents'!AK$3-1))</f>
        <v/>
      </c>
      <c r="AL28" s="149" t="str">
        <f>IF(OR($B28="",$B28=0),"",($G28*(AL$4&lt;$I28)+$H28*(AL$4&gt;=$I28))*$C28*(1+'Property Summary'!$L$18)^('MF Rents'!AL$3-1))</f>
        <v/>
      </c>
      <c r="AM28" s="149" t="str">
        <f>IF(OR($B28="",$B28=0),"",($G28*(AM$4&lt;$I28)+$H28*(AM$4&gt;=$I28))*$C28*(1+'Property Summary'!$L$18)^('MF Rents'!AM$3-1))</f>
        <v/>
      </c>
      <c r="AN28" s="149" t="str">
        <f>IF(OR($B28="",$B28=0),"",($G28*(AN$4&lt;$I28)+$H28*(AN$4&gt;=$I28))*$C28*(1+'Property Summary'!$L$18)^('MF Rents'!AN$3-1))</f>
        <v/>
      </c>
      <c r="AO28" s="149" t="str">
        <f>IF(OR($B28="",$B28=0),"",($G28*(AO$4&lt;$I28)+$H28*(AO$4&gt;=$I28))*$C28*(1+'Property Summary'!$L$18)^('MF Rents'!AO$3-1))</f>
        <v/>
      </c>
      <c r="AP28" s="149" t="str">
        <f>IF(OR($B28="",$B28=0),"",($G28*(AP$4&lt;$I28)+$H28*(AP$4&gt;=$I28))*$C28*(1+'Property Summary'!$L$18)^('MF Rents'!AP$3-1))</f>
        <v/>
      </c>
      <c r="AQ28" s="149" t="str">
        <f>IF(OR($B28="",$B28=0),"",($G28*(AQ$4&lt;$I28)+$H28*(AQ$4&gt;=$I28))*$C28*(1+'Property Summary'!$L$18)^('MF Rents'!AQ$3-1))</f>
        <v/>
      </c>
      <c r="AR28" s="149" t="str">
        <f>IF(OR($B28="",$B28=0),"",($G28*(AR$4&lt;$I28)+$H28*(AR$4&gt;=$I28))*$C28*(1+'Property Summary'!$L$18)^('MF Rents'!AR$3-1))</f>
        <v/>
      </c>
      <c r="AS28" s="149" t="str">
        <f>IF(OR($B28="",$B28=0),"",($G28*(AS$4&lt;$I28)+$H28*(AS$4&gt;=$I28))*$C28*(1+'Property Summary'!$L$18)^('MF Rents'!AS$3-1))</f>
        <v/>
      </c>
      <c r="AT28" s="149" t="str">
        <f>IF(OR($B28="",$B28=0),"",($G28*(AT$4&lt;$I28)+$H28*(AT$4&gt;=$I28))*$C28*(1+'Property Summary'!$L$18)^('MF Rents'!AT$3-1))</f>
        <v/>
      </c>
      <c r="AU28" s="149" t="str">
        <f>IF(OR($B28="",$B28=0),"",($G28*(AU$4&lt;$I28)+$H28*(AU$4&gt;=$I28))*$C28*(1+'Property Summary'!$L$18)^('MF Rents'!AU$3-1))</f>
        <v/>
      </c>
      <c r="AV28" s="149" t="str">
        <f>IF(OR($B28="",$B28=0),"",($G28*(AV$4&lt;$I28)+$H28*(AV$4&gt;=$I28))*$C28*(1+'Property Summary'!$L$18)^('MF Rents'!AV$3-1))</f>
        <v/>
      </c>
      <c r="AW28" s="149" t="str">
        <f>IF(OR($B28="",$B28=0),"",($G28*(AW$4&lt;$I28)+$H28*(AW$4&gt;=$I28))*$C28*(1+'Property Summary'!$L$18)^('MF Rents'!AW$3-1))</f>
        <v/>
      </c>
      <c r="AX28" s="149" t="str">
        <f>IF(OR($B28="",$B28=0),"",($G28*(AX$4&lt;$I28)+$H28*(AX$4&gt;=$I28))*$C28*(1+'Property Summary'!$L$18)^('MF Rents'!AX$3-1))</f>
        <v/>
      </c>
      <c r="AY28" s="149" t="str">
        <f>IF(OR($B28="",$B28=0),"",($G28*(AY$4&lt;$I28)+$H28*(AY$4&gt;=$I28))*$C28*(1+'Property Summary'!$L$18)^('MF Rents'!AY$3-1))</f>
        <v/>
      </c>
      <c r="AZ28" s="149" t="str">
        <f>IF(OR($B28="",$B28=0),"",($G28*(AZ$4&lt;$I28)+$H28*(AZ$4&gt;=$I28))*$C28*(1+'Property Summary'!$L$18)^('MF Rents'!AZ$3-1))</f>
        <v/>
      </c>
      <c r="BA28" s="149" t="str">
        <f>IF(OR($B28="",$B28=0),"",($G28*(BA$4&lt;$I28)+$H28*(BA$4&gt;=$I28))*$C28*(1+'Property Summary'!$L$18)^('MF Rents'!BA$3-1))</f>
        <v/>
      </c>
      <c r="BB28" s="149" t="str">
        <f>IF(OR($B28="",$B28=0),"",($G28*(BB$4&lt;$I28)+$H28*(BB$4&gt;=$I28))*$C28*(1+'Property Summary'!$L$18)^('MF Rents'!BB$3-1))</f>
        <v/>
      </c>
      <c r="BC28" s="149" t="str">
        <f>IF(OR($B28="",$B28=0),"",($G28*(BC$4&lt;$I28)+$H28*(BC$4&gt;=$I28))*$C28*(1+'Property Summary'!$L$18)^('MF Rents'!BC$3-1))</f>
        <v/>
      </c>
      <c r="BD28" s="149" t="str">
        <f>IF(OR($B28="",$B28=0),"",($G28*(BD$4&lt;$I28)+$H28*(BD$4&gt;=$I28))*$C28*(1+'Property Summary'!$L$18)^('MF Rents'!BD$3-1))</f>
        <v/>
      </c>
      <c r="BE28" s="149" t="str">
        <f>IF(OR($B28="",$B28=0),"",($G28*(BE$4&lt;$I28)+$H28*(BE$4&gt;=$I28))*$C28*(1+'Property Summary'!$L$18)^('MF Rents'!BE$3-1))</f>
        <v/>
      </c>
      <c r="BF28" s="149" t="str">
        <f>IF(OR($B28="",$B28=0),"",($G28*(BF$4&lt;$I28)+$H28*(BF$4&gt;=$I28))*$C28*(1+'Property Summary'!$L$18)^('MF Rents'!BF$3-1))</f>
        <v/>
      </c>
      <c r="BG28" s="149" t="str">
        <f>IF(OR($B28="",$B28=0),"",($G28*(BG$4&lt;$I28)+$H28*(BG$4&gt;=$I28))*$C28*(1+'Property Summary'!$L$18)^('MF Rents'!BG$3-1))</f>
        <v/>
      </c>
      <c r="BH28" s="149" t="str">
        <f>IF(OR($B28="",$B28=0),"",($G28*(BH$4&lt;$I28)+$H28*(BH$4&gt;=$I28))*$C28*(1+'Property Summary'!$L$18)^('MF Rents'!BH$3-1))</f>
        <v/>
      </c>
      <c r="BI28" s="149" t="str">
        <f>IF(OR($B28="",$B28=0),"",($G28*(BI$4&lt;$I28)+$H28*(BI$4&gt;=$I28))*$C28*(1+'Property Summary'!$L$18)^('MF Rents'!BI$3-1))</f>
        <v/>
      </c>
      <c r="BJ28" s="149" t="str">
        <f>IF(OR($B28="",$B28=0),"",($G28*(BJ$4&lt;$I28)+$H28*(BJ$4&gt;=$I28))*$C28*(1+'Property Summary'!$L$18)^('MF Rents'!BJ$3-1))</f>
        <v/>
      </c>
      <c r="BK28" s="149" t="str">
        <f>IF(OR($B28="",$B28=0),"",($G28*(BK$4&lt;$I28)+$H28*(BK$4&gt;=$I28))*$C28*(1+'Property Summary'!$L$18)^('MF Rents'!BK$3-1))</f>
        <v/>
      </c>
      <c r="BL28" s="149" t="str">
        <f>IF(OR($B28="",$B28=0),"",($G28*(BL$4&lt;$I28)+$H28*(BL$4&gt;=$I28))*$C28*(1+'Property Summary'!$L$18)^('MF Rents'!BL$3-1))</f>
        <v/>
      </c>
      <c r="BM28" s="149" t="str">
        <f>IF(OR($B28="",$B28=0),"",($G28*(BM$4&lt;$I28)+$H28*(BM$4&gt;=$I28))*$C28*(1+'Property Summary'!$L$18)^('MF Rents'!BM$3-1))</f>
        <v/>
      </c>
      <c r="BN28" s="149" t="str">
        <f>IF(OR($B28="",$B28=0),"",($G28*(BN$4&lt;$I28)+$H28*(BN$4&gt;=$I28))*$C28*(1+'Property Summary'!$L$18)^('MF Rents'!BN$3-1))</f>
        <v/>
      </c>
      <c r="BO28" s="149" t="str">
        <f>IF(OR($B28="",$B28=0),"",($G28*(BO$4&lt;$I28)+$H28*(BO$4&gt;=$I28))*$C28*(1+'Property Summary'!$L$18)^('MF Rents'!BO$3-1))</f>
        <v/>
      </c>
      <c r="BP28" s="149" t="str">
        <f>IF(OR($B28="",$B28=0),"",($G28*(BP$4&lt;$I28)+$H28*(BP$4&gt;=$I28))*$C28*(1+'Property Summary'!$L$18)^('MF Rents'!BP$3-1))</f>
        <v/>
      </c>
      <c r="BQ28" s="149" t="str">
        <f>IF(OR($B28="",$B28=0),"",($G28*(BQ$4&lt;$I28)+$H28*(BQ$4&gt;=$I28))*$C28*(1+'Property Summary'!$L$18)^('MF Rents'!BQ$3-1))</f>
        <v/>
      </c>
      <c r="BR28" s="149" t="str">
        <f>IF(OR($B28="",$B28=0),"",($G28*(BR$4&lt;$I28)+$H28*(BR$4&gt;=$I28))*$C28*(1+'Property Summary'!$L$18)^('MF Rents'!BR$3-1))</f>
        <v/>
      </c>
      <c r="BS28" s="149" t="str">
        <f>IF(OR($B28="",$B28=0),"",($G28*(BS$4&lt;$I28)+$H28*(BS$4&gt;=$I28))*$C28*(1+'Property Summary'!$L$18)^('MF Rents'!BS$3-1))</f>
        <v/>
      </c>
      <c r="BT28" s="149" t="str">
        <f>IF(OR($B28="",$B28=0),"",($G28*(BT$4&lt;$I28)+$H28*(BT$4&gt;=$I28))*$C28*(1+'Property Summary'!$L$18)^('MF Rents'!BT$3-1))</f>
        <v/>
      </c>
      <c r="BU28" s="149" t="str">
        <f>IF(OR($B28="",$B28=0),"",($G28*(BU$4&lt;$I28)+$H28*(BU$4&gt;=$I28))*$C28*(1+'Property Summary'!$L$18)^('MF Rents'!BU$3-1))</f>
        <v/>
      </c>
      <c r="BV28" s="149" t="str">
        <f>IF(OR($B28="",$B28=0),"",($G28*(BV$4&lt;$I28)+$H28*(BV$4&gt;=$I28))*$C28*(1+'Property Summary'!$L$18)^('MF Rents'!BV$3-1))</f>
        <v/>
      </c>
      <c r="BW28" s="149" t="str">
        <f>IF(OR($B28="",$B28=0),"",($G28*(BW$4&lt;$I28)+$H28*(BW$4&gt;=$I28))*$C28*(1+'Property Summary'!$L$18)^('MF Rents'!BW$3-1))</f>
        <v/>
      </c>
      <c r="BX28" s="149" t="str">
        <f>IF(OR($B28="",$B28=0),"",($G28*(BX$4&lt;$I28)+$H28*(BX$4&gt;=$I28))*$C28*(1+'Property Summary'!$L$18)^('MF Rents'!BX$3-1))</f>
        <v/>
      </c>
      <c r="BY28" s="149" t="str">
        <f>IF(OR($B28="",$B28=0),"",($G28*(BY$4&lt;$I28)+$H28*(BY$4&gt;=$I28))*$C28*(1+'Property Summary'!$L$18)^('MF Rents'!BY$3-1))</f>
        <v/>
      </c>
      <c r="BZ28" s="149" t="str">
        <f>IF(OR($B28="",$B28=0),"",($G28*(BZ$4&lt;$I28)+$H28*(BZ$4&gt;=$I28))*$C28*(1+'Property Summary'!$L$18)^('MF Rents'!BZ$3-1))</f>
        <v/>
      </c>
      <c r="CA28" s="149" t="str">
        <f>IF(OR($B28="",$B28=0),"",($G28*(CA$4&lt;$I28)+$H28*(CA$4&gt;=$I28))*$C28*(1+'Property Summary'!$L$18)^('MF Rents'!CA$3-1))</f>
        <v/>
      </c>
      <c r="CB28" s="149" t="str">
        <f>IF(OR($B28="",$B28=0),"",($G28*(CB$4&lt;$I28)+$H28*(CB$4&gt;=$I28))*$C28*(1+'Property Summary'!$L$18)^('MF Rents'!CB$3-1))</f>
        <v/>
      </c>
      <c r="CC28" s="149" t="str">
        <f>IF(OR($B28="",$B28=0),"",($G28*(CC$4&lt;$I28)+$H28*(CC$4&gt;=$I28))*$C28*(1+'Property Summary'!$L$18)^('MF Rents'!CC$3-1))</f>
        <v/>
      </c>
      <c r="CD28" s="149" t="str">
        <f>IF(OR($B28="",$B28=0),"",($G28*(CD$4&lt;$I28)+$H28*(CD$4&gt;=$I28))*$C28*(1+'Property Summary'!$L$18)^('MF Rents'!CD$3-1))</f>
        <v/>
      </c>
      <c r="CE28" s="149" t="str">
        <f>IF(OR($B28="",$B28=0),"",($G28*(CE$4&lt;$I28)+$H28*(CE$4&gt;=$I28))*$C28*(1+'Property Summary'!$L$18)^('MF Rents'!CE$3-1))</f>
        <v/>
      </c>
      <c r="CF28" s="149" t="str">
        <f>IF(OR($B28="",$B28=0),"",($G28*(CF$4&lt;$I28)+$H28*(CF$4&gt;=$I28))*$C28*(1+'Property Summary'!$L$18)^('MF Rents'!CF$3-1))</f>
        <v/>
      </c>
      <c r="CG28" s="149" t="str">
        <f>IF(OR($B28="",$B28=0),"",($G28*(CG$4&lt;$I28)+$H28*(CG$4&gt;=$I28))*$C28*(1+'Property Summary'!$L$18)^('MF Rents'!CG$3-1))</f>
        <v/>
      </c>
      <c r="CH28" s="149" t="str">
        <f>IF(OR($B28="",$B28=0),"",($G28*(CH$4&lt;$I28)+$H28*(CH$4&gt;=$I28))*$C28*(1+'Property Summary'!$L$18)^('MF Rents'!CH$3-1))</f>
        <v/>
      </c>
      <c r="CI28" s="149" t="str">
        <f>IF(OR($B28="",$B28=0),"",($G28*(CI$4&lt;$I28)+$H28*(CI$4&gt;=$I28))*$C28*(1+'Property Summary'!$L$18)^('MF Rents'!CI$3-1))</f>
        <v/>
      </c>
      <c r="CJ28" s="149" t="str">
        <f>IF(OR($B28="",$B28=0),"",($G28*(CJ$4&lt;$I28)+$H28*(CJ$4&gt;=$I28))*$C28*(1+'Property Summary'!$L$18)^('MF Rents'!CJ$3-1))</f>
        <v/>
      </c>
      <c r="CK28" s="149" t="str">
        <f>IF(OR($B28="",$B28=0),"",($G28*(CK$4&lt;$I28)+$H28*(CK$4&gt;=$I28))*$C28*(1+'Property Summary'!$L$18)^('MF Rents'!CK$3-1))</f>
        <v/>
      </c>
      <c r="CL28" s="149" t="str">
        <f>IF(OR($B28="",$B28=0),"",($G28*(CL$4&lt;$I28)+$H28*(CL$4&gt;=$I28))*$C28*(1+'Property Summary'!$L$18)^('MF Rents'!CL$3-1))</f>
        <v/>
      </c>
      <c r="CM28" s="149" t="str">
        <f>IF(OR($B28="",$B28=0),"",($G28*(CM$4&lt;$I28)+$H28*(CM$4&gt;=$I28))*$C28*(1+'Property Summary'!$L$18)^('MF Rents'!CM$3-1))</f>
        <v/>
      </c>
      <c r="CN28" s="149" t="str">
        <f>IF(OR($B28="",$B28=0),"",($G28*(CN$4&lt;$I28)+$H28*(CN$4&gt;=$I28))*$C28*(1+'Property Summary'!$L$18)^('MF Rents'!CN$3-1))</f>
        <v/>
      </c>
      <c r="CO28" s="149" t="str">
        <f>IF(OR($B28="",$B28=0),"",($G28*(CO$4&lt;$I28)+$H28*(CO$4&gt;=$I28))*$C28*(1+'Property Summary'!$L$18)^('MF Rents'!CO$3-1))</f>
        <v/>
      </c>
      <c r="CP28" s="149" t="str">
        <f>IF(OR($B28="",$B28=0),"",($G28*(CP$4&lt;$I28)+$H28*(CP$4&gt;=$I28))*$C28*(1+'Property Summary'!$L$18)^('MF Rents'!CP$3-1))</f>
        <v/>
      </c>
      <c r="CQ28" s="149" t="str">
        <f>IF(OR($B28="",$B28=0),"",($G28*(CQ$4&lt;$I28)+$H28*(CQ$4&gt;=$I28))*$C28*(1+'Property Summary'!$L$18)^('MF Rents'!CQ$3-1))</f>
        <v/>
      </c>
      <c r="CR28" s="149" t="str">
        <f>IF(OR($B28="",$B28=0),"",($G28*(CR$4&lt;$I28)+$H28*(CR$4&gt;=$I28))*$C28*(1+'Property Summary'!$L$18)^('MF Rents'!CR$3-1))</f>
        <v/>
      </c>
      <c r="CS28" s="149" t="str">
        <f>IF(OR($B28="",$B28=0),"",($G28*(CS$4&lt;$I28)+$H28*(CS$4&gt;=$I28))*$C28*(1+'Property Summary'!$L$18)^('MF Rents'!CS$3-1))</f>
        <v/>
      </c>
      <c r="CT28" s="149" t="str">
        <f>IF(OR($B28="",$B28=0),"",($G28*(CT$4&lt;$I28)+$H28*(CT$4&gt;=$I28))*$C28*(1+'Property Summary'!$L$18)^('MF Rents'!CT$3-1))</f>
        <v/>
      </c>
      <c r="CU28" s="149" t="str">
        <f>IF(OR($B28="",$B28=0),"",($G28*(CU$4&lt;$I28)+$H28*(CU$4&gt;=$I28))*$C28*(1+'Property Summary'!$L$18)^('MF Rents'!CU$3-1))</f>
        <v/>
      </c>
      <c r="CV28" s="149" t="str">
        <f>IF(OR($B28="",$B28=0),"",($G28*(CV$4&lt;$I28)+$H28*(CV$4&gt;=$I28))*$C28*(1+'Property Summary'!$L$18)^('MF Rents'!CV$3-1))</f>
        <v/>
      </c>
      <c r="CW28" s="149" t="str">
        <f>IF(OR($B28="",$B28=0),"",($G28*(CW$4&lt;$I28)+$H28*(CW$4&gt;=$I28))*$C28*(1+'Property Summary'!$L$18)^('MF Rents'!CW$3-1))</f>
        <v/>
      </c>
      <c r="CX28" s="149" t="str">
        <f>IF(OR($B28="",$B28=0),"",($G28*(CX$4&lt;$I28)+$H28*(CX$4&gt;=$I28))*$C28*(1+'Property Summary'!$L$18)^('MF Rents'!CX$3-1))</f>
        <v/>
      </c>
      <c r="CY28" s="149" t="str">
        <f>IF(OR($B28="",$B28=0),"",($G28*(CY$4&lt;$I28)+$H28*(CY$4&gt;=$I28))*$C28*(1+'Property Summary'!$L$18)^('MF Rents'!CY$3-1))</f>
        <v/>
      </c>
      <c r="CZ28" s="149" t="str">
        <f>IF(OR($B28="",$B28=0),"",($G28*(CZ$4&lt;$I28)+$H28*(CZ$4&gt;=$I28))*$C28*(1+'Property Summary'!$L$18)^('MF Rents'!CZ$3-1))</f>
        <v/>
      </c>
      <c r="DA28" s="149" t="str">
        <f>IF(OR($B28="",$B28=0),"",($G28*(DA$4&lt;$I28)+$H28*(DA$4&gt;=$I28))*$C28*(1+'Property Summary'!$L$18)^('MF Rents'!DA$3-1))</f>
        <v/>
      </c>
      <c r="DB28" s="149" t="str">
        <f>IF(OR($B28="",$B28=0),"",($G28*(DB$4&lt;$I28)+$H28*(DB$4&gt;=$I28))*$C28*(1+'Property Summary'!$L$18)^('MF Rents'!DB$3-1))</f>
        <v/>
      </c>
      <c r="DC28" s="149" t="str">
        <f>IF(OR($B28="",$B28=0),"",($G28*(DC$4&lt;$I28)+$H28*(DC$4&gt;=$I28))*$C28*(1+'Property Summary'!$L$18)^('MF Rents'!DC$3-1))</f>
        <v/>
      </c>
      <c r="DD28" s="149" t="str">
        <f>IF(OR($B28="",$B28=0),"",($G28*(DD$4&lt;$I28)+$H28*(DD$4&gt;=$I28))*$C28*(1+'Property Summary'!$L$18)^('MF Rents'!DD$3-1))</f>
        <v/>
      </c>
      <c r="DE28" s="149" t="str">
        <f>IF(OR($B28="",$B28=0),"",($G28*(DE$4&lt;$I28)+$H28*(DE$4&gt;=$I28))*$C28*(1+'Property Summary'!$L$18)^('MF Rents'!DE$3-1))</f>
        <v/>
      </c>
      <c r="DF28" s="149" t="str">
        <f>IF(OR($B28="",$B28=0),"",($G28*(DF$4&lt;$I28)+$H28*(DF$4&gt;=$I28))*$C28*(1+'Property Summary'!$L$18)^('MF Rents'!DF$3-1))</f>
        <v/>
      </c>
      <c r="DG28" s="149" t="str">
        <f>IF(OR($B28="",$B28=0),"",($G28*(DG$4&lt;$I28)+$H28*(DG$4&gt;=$I28))*$C28*(1+'Property Summary'!$L$18)^('MF Rents'!DG$3-1))</f>
        <v/>
      </c>
      <c r="DH28" s="149" t="str">
        <f>IF(OR($B28="",$B28=0),"",($G28*(DH$4&lt;$I28)+$H28*(DH$4&gt;=$I28))*$C28*(1+'Property Summary'!$L$18)^('MF Rents'!DH$3-1))</f>
        <v/>
      </c>
      <c r="DI28" s="149" t="str">
        <f>IF(OR($B28="",$B28=0),"",($G28*(DI$4&lt;$I28)+$H28*(DI$4&gt;=$I28))*$C28*(1+'Property Summary'!$L$18)^('MF Rents'!DI$3-1))</f>
        <v/>
      </c>
      <c r="DJ28" s="149" t="str">
        <f>IF(OR($B28="",$B28=0),"",($G28*(DJ$4&lt;$I28)+$H28*(DJ$4&gt;=$I28))*$C28*(1+'Property Summary'!$L$18)^('MF Rents'!DJ$3-1))</f>
        <v/>
      </c>
      <c r="DK28" s="149" t="str">
        <f>IF(OR($B28="",$B28=0),"",($G28*(DK$4&lt;$I28)+$H28*(DK$4&gt;=$I28))*$C28*(1+'Property Summary'!$L$18)^('MF Rents'!DK$3-1))</f>
        <v/>
      </c>
      <c r="DL28" s="149" t="str">
        <f>IF(OR($B28="",$B28=0),"",($G28*(DL$4&lt;$I28)+$H28*(DL$4&gt;=$I28))*$C28*(1+'Property Summary'!$L$18)^('MF Rents'!DL$3-1))</f>
        <v/>
      </c>
      <c r="DM28" s="149" t="str">
        <f>IF(OR($B28="",$B28=0),"",($G28*(DM$4&lt;$I28)+$H28*(DM$4&gt;=$I28))*$C28*(1+'Property Summary'!$L$18)^('MF Rents'!DM$3-1))</f>
        <v/>
      </c>
      <c r="DN28" s="149" t="str">
        <f>IF(OR($B28="",$B28=0),"",($G28*(DN$4&lt;$I28)+$H28*(DN$4&gt;=$I28))*$C28*(1+'Property Summary'!$L$18)^('MF Rents'!DN$3-1))</f>
        <v/>
      </c>
      <c r="DO28" s="149" t="str">
        <f>IF(OR($B28="",$B28=0),"",($G28*(DO$4&lt;$I28)+$H28*(DO$4&gt;=$I28))*$C28*(1+'Property Summary'!$L$18)^('MF Rents'!DO$3-1))</f>
        <v/>
      </c>
      <c r="DP28" s="149" t="str">
        <f>IF(OR($B28="",$B28=0),"",($G28*(DP$4&lt;$I28)+$H28*(DP$4&gt;=$I28))*$C28*(1+'Property Summary'!$L$18)^('MF Rents'!DP$3-1))</f>
        <v/>
      </c>
      <c r="DQ28" s="149" t="str">
        <f>IF(OR($B28="",$B28=0),"",($G28*(DQ$4&lt;$I28)+$H28*(DQ$4&gt;=$I28))*$C28*(1+'Property Summary'!$L$18)^('MF Rents'!DQ$3-1))</f>
        <v/>
      </c>
      <c r="DR28" s="149" t="str">
        <f>IF(OR($B28="",$B28=0),"",($G28*(DR$4&lt;$I28)+$H28*(DR$4&gt;=$I28))*$C28*(1+'Property Summary'!$L$18)^('MF Rents'!DR$3-1))</f>
        <v/>
      </c>
      <c r="DS28" s="149" t="str">
        <f>IF(OR($B28="",$B28=0),"",($G28*(DS$4&lt;$I28)+$H28*(DS$4&gt;=$I28))*$C28*(1+'Property Summary'!$L$18)^('MF Rents'!DS$3-1))</f>
        <v/>
      </c>
      <c r="DT28" s="149" t="str">
        <f>IF(OR($B28="",$B28=0),"",($G28*(DT$4&lt;$I28)+$H28*(DT$4&gt;=$I28))*$C28*(1+'Property Summary'!$L$18)^('MF Rents'!DT$3-1))</f>
        <v/>
      </c>
      <c r="DU28" s="149" t="str">
        <f>IF(OR($B28="",$B28=0),"",($G28*(DU$4&lt;$I28)+$H28*(DU$4&gt;=$I28))*$C28*(1+'Property Summary'!$L$18)^('MF Rents'!DU$3-1))</f>
        <v/>
      </c>
      <c r="DV28" s="149" t="str">
        <f>IF(OR($B28="",$B28=0),"",($G28*(DV$4&lt;$I28)+$H28*(DV$4&gt;=$I28))*$C28*(1+'Property Summary'!$L$18)^('MF Rents'!DV$3-1))</f>
        <v/>
      </c>
      <c r="DW28" s="149" t="str">
        <f>IF(OR($B28="",$B28=0),"",($G28*(DW$4&lt;$I28)+$H28*(DW$4&gt;=$I28))*$C28*(1+'Property Summary'!$L$18)^('MF Rents'!DW$3-1))</f>
        <v/>
      </c>
      <c r="DX28" s="149" t="str">
        <f>IF(OR($B28="",$B28=0),"",($G28*(DX$4&lt;$I28)+$H28*(DX$4&gt;=$I28))*$C28*(1+'Property Summary'!$L$18)^('MF Rents'!DX$3-1))</f>
        <v/>
      </c>
      <c r="DY28" s="149" t="str">
        <f>IF(OR($B28="",$B28=0),"",($G28*(DY$4&lt;$I28)+$H28*(DY$4&gt;=$I28))*$C28*(1+'Property Summary'!$L$18)^('MF Rents'!DY$3-1))</f>
        <v/>
      </c>
      <c r="DZ28" s="149" t="str">
        <f>IF(OR($B28="",$B28=0),"",($G28*(DZ$4&lt;$I28)+$H28*(DZ$4&gt;=$I28))*$C28*(1+'Property Summary'!$L$18)^('MF Rents'!DZ$3-1))</f>
        <v/>
      </c>
      <c r="EA28" s="149" t="str">
        <f>IF(OR($B28="",$B28=0),"",($G28*(EA$4&lt;$I28)+$H28*(EA$4&gt;=$I28))*$C28*(1+'Property Summary'!$L$18)^('MF Rents'!EA$3-1))</f>
        <v/>
      </c>
      <c r="EB28" s="149" t="str">
        <f>IF(OR($B28="",$B28=0),"",($G28*(EB$4&lt;$I28)+$H28*(EB$4&gt;=$I28))*$C28*(1+'Property Summary'!$L$18)^('MF Rents'!EB$3-1))</f>
        <v/>
      </c>
      <c r="EC28" s="149" t="str">
        <f>IF(OR($B28="",$B28=0),"",($G28*(EC$4&lt;$I28)+$H28*(EC$4&gt;=$I28))*$C28*(1+'Property Summary'!$L$18)^('MF Rents'!EC$3-1))</f>
        <v/>
      </c>
      <c r="ED28" s="149" t="str">
        <f>IF(OR($B28="",$B28=0),"",($G28*(ED$4&lt;$I28)+$H28*(ED$4&gt;=$I28))*$C28*(1+'Property Summary'!$L$18)^('MF Rents'!ED$3-1))</f>
        <v/>
      </c>
      <c r="EE28" s="149" t="str">
        <f>IF(OR($B28="",$B28=0),"",($G28*(EE$4&lt;$I28)+$H28*(EE$4&gt;=$I28))*$C28*(1+'Property Summary'!$L$18)^('MF Rents'!EE$3-1))</f>
        <v/>
      </c>
      <c r="EF28" s="149" t="str">
        <f>IF(OR($B28="",$B28=0),"",($G28*(EF$4&lt;$I28)+$H28*(EF$4&gt;=$I28))*$C28*(1+'Property Summary'!$L$18)^('MF Rents'!EF$3-1))</f>
        <v/>
      </c>
      <c r="EG28" s="149" t="str">
        <f>IF(OR($B28="",$B28=0),"",($G28*(EG$4&lt;$I28)+$H28*(EG$4&gt;=$I28))*$C28*(1+'Property Summary'!$L$18)^('MF Rents'!EG$3-1))</f>
        <v/>
      </c>
      <c r="EH28" s="149" t="str">
        <f>IF(OR($B28="",$B28=0),"",($G28*(EH$4&lt;$I28)+$H28*(EH$4&gt;=$I28))*$C28*(1+'Property Summary'!$L$18)^('MF Rents'!EH$3-1))</f>
        <v/>
      </c>
      <c r="EI28" s="149" t="str">
        <f>IF(OR($B28="",$B28=0),"",($G28*(EI$4&lt;$I28)+$H28*(EI$4&gt;=$I28))*$C28*(1+'Property Summary'!$L$18)^('MF Rents'!EI$3-1))</f>
        <v/>
      </c>
      <c r="EJ28" s="149" t="str">
        <f>IF(OR($B28="",$B28=0),"",($G28*(EJ$4&lt;$I28)+$H28*(EJ$4&gt;=$I28))*$C28*(1+'Property Summary'!$L$18)^('MF Rents'!EJ$3-1))</f>
        <v/>
      </c>
      <c r="EK28" s="149" t="str">
        <f>IF(OR($B28="",$B28=0),"",($G28*(EK$4&lt;$I28)+$H28*(EK$4&gt;=$I28))*$C28*(1+'Property Summary'!$L$18)^('MF Rents'!EK$3-1))</f>
        <v/>
      </c>
      <c r="EL28" s="149" t="str">
        <f>IF(OR($B28="",$B28=0),"",($G28*(EL$4&lt;$I28)+$H28*(EL$4&gt;=$I28))*$C28*(1+'Property Summary'!$L$18)^('MF Rents'!EL$3-1))</f>
        <v/>
      </c>
      <c r="EM28" s="149" t="str">
        <f>IF(OR($B28="",$B28=0),"",($G28*(EM$4&lt;$I28)+$H28*(EM$4&gt;=$I28))*$C28*(1+'Property Summary'!$L$18)^('MF Rents'!EM$3-1))</f>
        <v/>
      </c>
      <c r="EN28" s="149" t="str">
        <f>IF(OR($B28="",$B28=0),"",($G28*(EN$4&lt;$I28)+$H28*(EN$4&gt;=$I28))*$C28*(1+'Property Summary'!$L$18)^('MF Rents'!EN$3-1))</f>
        <v/>
      </c>
      <c r="EO28" s="149" t="str">
        <f>IF(OR($B28="",$B28=0),"",($G28*(EO$4&lt;$I28)+$H28*(EO$4&gt;=$I28))*$C28*(1+'Property Summary'!$L$18)^('MF Rents'!EO$3-1))</f>
        <v/>
      </c>
      <c r="EP28" s="149" t="str">
        <f>IF(OR($B28="",$B28=0),"",($G28*(EP$4&lt;$I28)+$H28*(EP$4&gt;=$I28))*$C28*(1+'Property Summary'!$L$18)^('MF Rents'!EP$3-1))</f>
        <v/>
      </c>
      <c r="EQ28" s="149" t="str">
        <f>IF(OR($B28="",$B28=0),"",($G28*(EQ$4&lt;$I28)+$H28*(EQ$4&gt;=$I28))*$C28*(1+'Property Summary'!$L$18)^('MF Rents'!EQ$3-1))</f>
        <v/>
      </c>
      <c r="ER28" s="149" t="str">
        <f>IF(OR($B28="",$B28=0),"",($G28*(ER$4&lt;$I28)+$H28*(ER$4&gt;=$I28))*$C28*(1+'Property Summary'!$L$18)^('MF Rents'!ER$3-1))</f>
        <v/>
      </c>
      <c r="ES28" s="149" t="str">
        <f>IF(OR($B28="",$B28=0),"",($G28*(ES$4&lt;$I28)+$H28*(ES$4&gt;=$I28))*$C28*(1+'Property Summary'!$L$18)^('MF Rents'!ES$3-1))</f>
        <v/>
      </c>
      <c r="ET28" s="149" t="str">
        <f>IF(OR($B28="",$B28=0),"",($G28*(ET$4&lt;$I28)+$H28*(ET$4&gt;=$I28))*$C28*(1+'Property Summary'!$L$18)^('MF Rents'!ET$3-1))</f>
        <v/>
      </c>
      <c r="EU28" s="149" t="str">
        <f>IF(OR($B28="",$B28=0),"",($G28*(EU$4&lt;$I28)+$H28*(EU$4&gt;=$I28))*$C28*(1+'Property Summary'!$L$18)^('MF Rents'!EU$3-1))</f>
        <v/>
      </c>
      <c r="EV28" s="149" t="str">
        <f>IF(OR($B28="",$B28=0),"",($G28*(EV$4&lt;$I28)+$H28*(EV$4&gt;=$I28))*$C28*(1+'Property Summary'!$L$18)^('MF Rents'!EV$3-1))</f>
        <v/>
      </c>
      <c r="EW28" s="149" t="str">
        <f>IF(OR($B28="",$B28=0),"",($G28*(EW$4&lt;$I28)+$H28*(EW$4&gt;=$I28))*$C28*(1+'Property Summary'!$L$18)^('MF Rents'!EW$3-1))</f>
        <v/>
      </c>
      <c r="EX28" s="149" t="str">
        <f>IF(OR($B28="",$B28=0),"",($G28*(EX$4&lt;$I28)+$H28*(EX$4&gt;=$I28))*$C28*(1+'Property Summary'!$L$18)^('MF Rents'!EX$3-1))</f>
        <v/>
      </c>
      <c r="EY28" s="149" t="str">
        <f>IF(OR($B28="",$B28=0),"",($G28*(EY$4&lt;$I28)+$H28*(EY$4&gt;=$I28))*$C28*(1+'Property Summary'!$L$18)^('MF Rents'!EY$3-1))</f>
        <v/>
      </c>
      <c r="EZ28" s="149" t="str">
        <f>IF(OR($B28="",$B28=0),"",($G28*(EZ$4&lt;$I28)+$H28*(EZ$4&gt;=$I28))*$C28*(1+'Property Summary'!$L$18)^('MF Rents'!EZ$3-1))</f>
        <v/>
      </c>
      <c r="FA28" s="149" t="str">
        <f>IF(OR($B28="",$B28=0),"",($G28*(FA$4&lt;$I28)+$H28*(FA$4&gt;=$I28))*$C28*(1+'Property Summary'!$L$18)^('MF Rents'!FA$3-1))</f>
        <v/>
      </c>
      <c r="FB28" s="149" t="str">
        <f>IF(OR($B28="",$B28=0),"",($G28*(FB$4&lt;$I28)+$H28*(FB$4&gt;=$I28))*$C28*(1+'Property Summary'!$L$18)^('MF Rents'!FB$3-1))</f>
        <v/>
      </c>
      <c r="FC28" s="149" t="str">
        <f>IF(OR($B28="",$B28=0),"",($G28*(FC$4&lt;$I28)+$H28*(FC$4&gt;=$I28))*$C28*(1+'Property Summary'!$L$18)^('MF Rents'!FC$3-1))</f>
        <v/>
      </c>
      <c r="FD28" s="149" t="str">
        <f>IF(OR($B28="",$B28=0),"",($G28*(FD$4&lt;$I28)+$H28*(FD$4&gt;=$I28))*$C28*(1+'Property Summary'!$L$18)^('MF Rents'!FD$3-1))</f>
        <v/>
      </c>
      <c r="FE28" s="149" t="str">
        <f>IF(OR($B28="",$B28=0),"",($G28*(FE$4&lt;$I28)+$H28*(FE$4&gt;=$I28))*$C28*(1+'Property Summary'!$L$18)^('MF Rents'!FE$3-1))</f>
        <v/>
      </c>
      <c r="FF28" s="149" t="str">
        <f>IF(OR($B28="",$B28=0),"",($G28*(FF$4&lt;$I28)+$H28*(FF$4&gt;=$I28))*$C28*(1+'Property Summary'!$L$18)^('MF Rents'!FF$3-1))</f>
        <v/>
      </c>
      <c r="FG28" s="149" t="str">
        <f>IF(OR($B28="",$B28=0),"",($G28*(FG$4&lt;$I28)+$H28*(FG$4&gt;=$I28))*$C28*(1+'Property Summary'!$L$18)^('MF Rents'!FG$3-1))</f>
        <v/>
      </c>
      <c r="FH28" s="149" t="str">
        <f>IF(OR($B28="",$B28=0),"",($G28*(FH$4&lt;$I28)+$H28*(FH$4&gt;=$I28))*$C28*(1+'Property Summary'!$L$18)^('MF Rents'!FH$3-1))</f>
        <v/>
      </c>
      <c r="FI28" s="149" t="str">
        <f>IF(OR($B28="",$B28=0),"",($G28*(FI$4&lt;$I28)+$H28*(FI$4&gt;=$I28))*$C28*(1+'Property Summary'!$L$18)^('MF Rents'!FI$3-1))</f>
        <v/>
      </c>
      <c r="FJ28" s="149" t="str">
        <f>IF(OR($B28="",$B28=0),"",($G28*(FJ$4&lt;$I28)+$H28*(FJ$4&gt;=$I28))*$C28*(1+'Property Summary'!$L$18)^('MF Rents'!FJ$3-1))</f>
        <v/>
      </c>
      <c r="FK28" s="149" t="str">
        <f>IF(OR($B28="",$B28=0),"",($G28*(FK$4&lt;$I28)+$H28*(FK$4&gt;=$I28))*$C28*(1+'Property Summary'!$L$18)^('MF Rents'!FK$3-1))</f>
        <v/>
      </c>
      <c r="FL28" s="149" t="str">
        <f>IF(OR($B28="",$B28=0),"",($G28*(FL$4&lt;$I28)+$H28*(FL$4&gt;=$I28))*$C28*(1+'Property Summary'!$L$18)^('MF Rents'!FL$3-1))</f>
        <v/>
      </c>
      <c r="FM28" s="149" t="str">
        <f>IF(OR($B28="",$B28=0),"",($G28*(FM$4&lt;$I28)+$H28*(FM$4&gt;=$I28))*$C28*(1+'Property Summary'!$L$18)^('MF Rents'!FM$3-1))</f>
        <v/>
      </c>
      <c r="FN28" s="149" t="str">
        <f>IF(OR($B28="",$B28=0),"",($G28*(FN$4&lt;$I28)+$H28*(FN$4&gt;=$I28))*$C28*(1+'Property Summary'!$L$18)^('MF Rents'!FN$3-1))</f>
        <v/>
      </c>
      <c r="FO28" s="149" t="str">
        <f>IF(OR($B28="",$B28=0),"",($G28*(FO$4&lt;$I28)+$H28*(FO$4&gt;=$I28))*$C28*(1+'Property Summary'!$L$18)^('MF Rents'!FO$3-1))</f>
        <v/>
      </c>
      <c r="FP28" s="149" t="str">
        <f>IF(OR($B28="",$B28=0),"",($G28*(FP$4&lt;$I28)+$H28*(FP$4&gt;=$I28))*$C28*(1+'Property Summary'!$L$18)^('MF Rents'!FP$3-1))</f>
        <v/>
      </c>
      <c r="FQ28" s="149" t="str">
        <f>IF(OR($B28="",$B28=0),"",($G28*(FQ$4&lt;$I28)+$H28*(FQ$4&gt;=$I28))*$C28*(1+'Property Summary'!$L$18)^('MF Rents'!FQ$3-1))</f>
        <v/>
      </c>
      <c r="FR28" s="149" t="str">
        <f>IF(OR($B28="",$B28=0),"",($G28*(FR$4&lt;$I28)+$H28*(FR$4&gt;=$I28))*$C28*(1+'Property Summary'!$L$18)^('MF Rents'!FR$3-1))</f>
        <v/>
      </c>
      <c r="FS28" s="149" t="str">
        <f>IF(OR($B28="",$B28=0),"",($G28*(FS$4&lt;$I28)+$H28*(FS$4&gt;=$I28))*$C28*(1+'Property Summary'!$L$18)^('MF Rents'!FS$3-1))</f>
        <v/>
      </c>
      <c r="FT28" s="149" t="str">
        <f>IF(OR($B28="",$B28=0),"",($G28*(FT$4&lt;$I28)+$H28*(FT$4&gt;=$I28))*$C28*(1+'Property Summary'!$L$18)^('MF Rents'!FT$3-1))</f>
        <v/>
      </c>
      <c r="FU28" s="149" t="str">
        <f>IF(OR($B28="",$B28=0),"",($G28*(FU$4&lt;$I28)+$H28*(FU$4&gt;=$I28))*$C28*(1+'Property Summary'!$L$18)^('MF Rents'!FU$3-1))</f>
        <v/>
      </c>
      <c r="FV28" s="149" t="str">
        <f>IF(OR($B28="",$B28=0),"",($G28*(FV$4&lt;$I28)+$H28*(FV$4&gt;=$I28))*$C28*(1+'Property Summary'!$L$18)^('MF Rents'!FV$3-1))</f>
        <v/>
      </c>
      <c r="FW28" s="149" t="str">
        <f>IF(OR($B28="",$B28=0),"",($G28*(FW$4&lt;$I28)+$H28*(FW$4&gt;=$I28))*$C28*(1+'Property Summary'!$L$18)^('MF Rents'!FW$3-1))</f>
        <v/>
      </c>
      <c r="FX28" s="149" t="str">
        <f>IF(OR($B28="",$B28=0),"",($G28*(FX$4&lt;$I28)+$H28*(FX$4&gt;=$I28))*$C28*(1+'Property Summary'!$L$18)^('MF Rents'!FX$3-1))</f>
        <v/>
      </c>
      <c r="FY28" s="149" t="str">
        <f>IF(OR($B28="",$B28=0),"",($G28*(FY$4&lt;$I28)+$H28*(FY$4&gt;=$I28))*$C28*(1+'Property Summary'!$L$18)^('MF Rents'!FY$3-1))</f>
        <v/>
      </c>
      <c r="FZ28" s="149" t="str">
        <f>IF(OR($B28="",$B28=0),"",($G28*(FZ$4&lt;$I28)+$H28*(FZ$4&gt;=$I28))*$C28*(1+'Property Summary'!$L$18)^('MF Rents'!FZ$3-1))</f>
        <v/>
      </c>
      <c r="GA28" s="149" t="str">
        <f>IF(OR($B28="",$B28=0),"",($G28*(GA$4&lt;$I28)+$H28*(GA$4&gt;=$I28))*$C28*(1+'Property Summary'!$L$18)^('MF Rents'!GA$3-1))</f>
        <v/>
      </c>
      <c r="GB28" s="149" t="str">
        <f>IF(OR($B28="",$B28=0),"",($G28*(GB$4&lt;$I28)+$H28*(GB$4&gt;=$I28))*$C28*(1+'Property Summary'!$L$18)^('MF Rents'!GB$3-1))</f>
        <v/>
      </c>
      <c r="GC28" s="149" t="str">
        <f>IF(OR($B28="",$B28=0),"",($G28*(GC$4&lt;$I28)+$H28*(GC$4&gt;=$I28))*$C28*(1+'Property Summary'!$L$18)^('MF Rents'!GC$3-1))</f>
        <v/>
      </c>
      <c r="GD28" s="149" t="str">
        <f>IF(OR($B28="",$B28=0),"",($G28*(GD$4&lt;$I28)+$H28*(GD$4&gt;=$I28))*$C28*(1+'Property Summary'!$L$18)^('MF Rents'!GD$3-1))</f>
        <v/>
      </c>
      <c r="GE28" s="149" t="str">
        <f>IF(OR($B28="",$B28=0),"",($G28*(GE$4&lt;$I28)+$H28*(GE$4&gt;=$I28))*$C28*(1+'Property Summary'!$L$18)^('MF Rents'!GE$3-1))</f>
        <v/>
      </c>
      <c r="GF28" s="149" t="str">
        <f>IF(OR($B28="",$B28=0),"",($G28*(GF$4&lt;$I28)+$H28*(GF$4&gt;=$I28))*$C28*(1+'Property Summary'!$L$18)^('MF Rents'!GF$3-1))</f>
        <v/>
      </c>
      <c r="GG28" s="149" t="str">
        <f>IF(OR($B28="",$B28=0),"",($G28*(GG$4&lt;$I28)+$H28*(GG$4&gt;=$I28))*$C28*(1+'Property Summary'!$L$18)^('MF Rents'!GG$3-1))</f>
        <v/>
      </c>
      <c r="GH28" s="149" t="str">
        <f>IF(OR($B28="",$B28=0),"",($G28*(GH$4&lt;$I28)+$H28*(GH$4&gt;=$I28))*$C28*(1+'Property Summary'!$L$18)^('MF Rents'!GH$3-1))</f>
        <v/>
      </c>
      <c r="GI28" s="149" t="str">
        <f>IF(OR($B28="",$B28=0),"",($G28*(GI$4&lt;$I28)+$H28*(GI$4&gt;=$I28))*$C28*(1+'Property Summary'!$L$18)^('MF Rents'!GI$3-1))</f>
        <v/>
      </c>
      <c r="GJ28" s="149" t="str">
        <f>IF(OR($B28="",$B28=0),"",($G28*(GJ$4&lt;$I28)+$H28*(GJ$4&gt;=$I28))*$C28*(1+'Property Summary'!$L$18)^('MF Rents'!GJ$3-1))</f>
        <v/>
      </c>
      <c r="GK28" s="149" t="str">
        <f>IF(OR($B28="",$B28=0),"",($G28*(GK$4&lt;$I28)+$H28*(GK$4&gt;=$I28))*$C28*(1+'Property Summary'!$L$18)^('MF Rents'!GK$3-1))</f>
        <v/>
      </c>
      <c r="GL28" s="149" t="str">
        <f>IF(OR($B28="",$B28=0),"",($G28*(GL$4&lt;$I28)+$H28*(GL$4&gt;=$I28))*$C28*(1+'Property Summary'!$L$18)^('MF Rents'!GL$3-1))</f>
        <v/>
      </c>
      <c r="GM28" s="149" t="str">
        <f>IF(OR($B28="",$B28=0),"",($G28*(GM$4&lt;$I28)+$H28*(GM$4&gt;=$I28))*$C28*(1+'Property Summary'!$L$18)^('MF Rents'!GM$3-1))</f>
        <v/>
      </c>
      <c r="GN28" s="149" t="str">
        <f>IF(OR($B28="",$B28=0),"",($G28*(GN$4&lt;$I28)+$H28*(GN$4&gt;=$I28))*$C28*(1+'Property Summary'!$L$18)^('MF Rents'!GN$3-1))</f>
        <v/>
      </c>
      <c r="GO28" s="149" t="str">
        <f>IF(OR($B28="",$B28=0),"",($G28*(GO$4&lt;$I28)+$H28*(GO$4&gt;=$I28))*$C28*(1+'Property Summary'!$L$18)^('MF Rents'!GO$3-1))</f>
        <v/>
      </c>
      <c r="GP28" s="149" t="str">
        <f>IF(OR($B28="",$B28=0),"",($G28*(GP$4&lt;$I28)+$H28*(GP$4&gt;=$I28))*$C28*(1+'Property Summary'!$L$18)^('MF Rents'!GP$3-1))</f>
        <v/>
      </c>
      <c r="GQ28" s="149" t="str">
        <f>IF(OR($B28="",$B28=0),"",($G28*(GQ$4&lt;$I28)+$H28*(GQ$4&gt;=$I28))*$C28*(1+'Property Summary'!$L$18)^('MF Rents'!GQ$3-1))</f>
        <v/>
      </c>
      <c r="GR28" s="149" t="str">
        <f>IF(OR($B28="",$B28=0),"",($G28*(GR$4&lt;$I28)+$H28*(GR$4&gt;=$I28))*$C28*(1+'Property Summary'!$L$18)^('MF Rents'!GR$3-1))</f>
        <v/>
      </c>
    </row>
    <row r="29" spans="2:200" x14ac:dyDescent="0.3">
      <c r="B29" s="184">
        <f>'MF Rent Roll'!B28</f>
        <v>0</v>
      </c>
      <c r="C29" s="171">
        <f>'MF Rent Roll'!C28</f>
        <v>0</v>
      </c>
      <c r="D29" s="172">
        <f>'MF Rent Roll'!D28</f>
        <v>0</v>
      </c>
      <c r="E29" s="172">
        <f>'MF Rent Roll'!E28</f>
        <v>0</v>
      </c>
      <c r="F29" s="173">
        <f>'MF Rent Roll'!F28</f>
        <v>0</v>
      </c>
      <c r="G29" s="174">
        <f>'MF Rent Roll'!G28</f>
        <v>0</v>
      </c>
      <c r="H29" s="174">
        <f>IF('MF Rent Roll'!H28="",G29,'MF Rent Roll'!H28)</f>
        <v>0</v>
      </c>
      <c r="I29" s="175">
        <f>IF('MF Rent Roll'!I28="",1,'MF Rent Roll'!I28)</f>
        <v>1</v>
      </c>
      <c r="J29" s="176">
        <f>'MF Rent Roll'!J28</f>
        <v>0</v>
      </c>
      <c r="K29" s="174">
        <f>'MF Rent Roll'!K28</f>
        <v>0</v>
      </c>
      <c r="L29" s="177">
        <f>'MF Rent Roll'!L28</f>
        <v>0</v>
      </c>
      <c r="M29" s="178">
        <f>'MF Rent Roll'!M28</f>
        <v>0</v>
      </c>
      <c r="N29" s="174">
        <f>'MF Rent Roll'!N28</f>
        <v>0</v>
      </c>
      <c r="O29" s="179">
        <f>'MF Rent Roll'!O28</f>
        <v>0</v>
      </c>
      <c r="P29" s="180" t="str">
        <f>'MF Rent Roll'!P28</f>
        <v/>
      </c>
      <c r="Q29" s="181" t="str">
        <f>'MF Rent Roll'!Q28</f>
        <v/>
      </c>
      <c r="R29" s="104" t="str">
        <f>'MF Rent Roll'!R28</f>
        <v/>
      </c>
      <c r="U29" s="149" t="str">
        <f>IF(OR($B29="",$B29=0),"",($G29*(U$4&lt;$I29)+$H29*(U$4&gt;=$I29))*$C29*(1+'Property Summary'!$L$18)^('MF Rents'!U$3-1))</f>
        <v/>
      </c>
      <c r="V29" s="149" t="str">
        <f>IF(OR($B29="",$B29=0),"",($G29*(V$4&lt;$I29)+$H29*(V$4&gt;=$I29))*$C29*(1+'Property Summary'!$L$18)^('MF Rents'!V$3-1))</f>
        <v/>
      </c>
      <c r="W29" s="149" t="str">
        <f>IF(OR($B29="",$B29=0),"",($G29*(W$4&lt;$I29)+$H29*(W$4&gt;=$I29))*$C29*(1+'Property Summary'!$L$18)^('MF Rents'!W$3-1))</f>
        <v/>
      </c>
      <c r="X29" s="149" t="str">
        <f>IF(OR($B29="",$B29=0),"",($G29*(X$4&lt;$I29)+$H29*(X$4&gt;=$I29))*$C29*(1+'Property Summary'!$L$18)^('MF Rents'!X$3-1))</f>
        <v/>
      </c>
      <c r="Y29" s="149" t="str">
        <f>IF(OR($B29="",$B29=0),"",($G29*(Y$4&lt;$I29)+$H29*(Y$4&gt;=$I29))*$C29*(1+'Property Summary'!$L$18)^('MF Rents'!Y$3-1))</f>
        <v/>
      </c>
      <c r="Z29" s="149" t="str">
        <f>IF(OR($B29="",$B29=0),"",($G29*(Z$4&lt;$I29)+$H29*(Z$4&gt;=$I29))*$C29*(1+'Property Summary'!$L$18)^('MF Rents'!Z$3-1))</f>
        <v/>
      </c>
      <c r="AA29" s="149" t="str">
        <f>IF(OR($B29="",$B29=0),"",($G29*(AA$4&lt;$I29)+$H29*(AA$4&gt;=$I29))*$C29*(1+'Property Summary'!$L$18)^('MF Rents'!AA$3-1))</f>
        <v/>
      </c>
      <c r="AB29" s="149" t="str">
        <f>IF(OR($B29="",$B29=0),"",($G29*(AB$4&lt;$I29)+$H29*(AB$4&gt;=$I29))*$C29*(1+'Property Summary'!$L$18)^('MF Rents'!AB$3-1))</f>
        <v/>
      </c>
      <c r="AC29" s="149" t="str">
        <f>IF(OR($B29="",$B29=0),"",($G29*(AC$4&lt;$I29)+$H29*(AC$4&gt;=$I29))*$C29*(1+'Property Summary'!$L$18)^('MF Rents'!AC$3-1))</f>
        <v/>
      </c>
      <c r="AD29" s="149" t="str">
        <f>IF(OR($B29="",$B29=0),"",($G29*(AD$4&lt;$I29)+$H29*(AD$4&gt;=$I29))*$C29*(1+'Property Summary'!$L$18)^('MF Rents'!AD$3-1))</f>
        <v/>
      </c>
      <c r="AE29" s="149" t="str">
        <f>IF(OR($B29="",$B29=0),"",($G29*(AE$4&lt;$I29)+$H29*(AE$4&gt;=$I29))*$C29*(1+'Property Summary'!$L$18)^('MF Rents'!AE$3-1))</f>
        <v/>
      </c>
      <c r="AF29" s="149" t="str">
        <f>IF(OR($B29="",$B29=0),"",($G29*(AF$4&lt;$I29)+$H29*(AF$4&gt;=$I29))*$C29*(1+'Property Summary'!$L$18)^('MF Rents'!AF$3-1))</f>
        <v/>
      </c>
      <c r="AG29" s="149" t="str">
        <f>IF(OR($B29="",$B29=0),"",($G29*(AG$4&lt;$I29)+$H29*(AG$4&gt;=$I29))*$C29*(1+'Property Summary'!$L$18)^('MF Rents'!AG$3-1))</f>
        <v/>
      </c>
      <c r="AH29" s="149" t="str">
        <f>IF(OR($B29="",$B29=0),"",($G29*(AH$4&lt;$I29)+$H29*(AH$4&gt;=$I29))*$C29*(1+'Property Summary'!$L$18)^('MF Rents'!AH$3-1))</f>
        <v/>
      </c>
      <c r="AI29" s="149" t="str">
        <f>IF(OR($B29="",$B29=0),"",($G29*(AI$4&lt;$I29)+$H29*(AI$4&gt;=$I29))*$C29*(1+'Property Summary'!$L$18)^('MF Rents'!AI$3-1))</f>
        <v/>
      </c>
      <c r="AJ29" s="149" t="str">
        <f>IF(OR($B29="",$B29=0),"",($G29*(AJ$4&lt;$I29)+$H29*(AJ$4&gt;=$I29))*$C29*(1+'Property Summary'!$L$18)^('MF Rents'!AJ$3-1))</f>
        <v/>
      </c>
      <c r="AK29" s="149" t="str">
        <f>IF(OR($B29="",$B29=0),"",($G29*(AK$4&lt;$I29)+$H29*(AK$4&gt;=$I29))*$C29*(1+'Property Summary'!$L$18)^('MF Rents'!AK$3-1))</f>
        <v/>
      </c>
      <c r="AL29" s="149" t="str">
        <f>IF(OR($B29="",$B29=0),"",($G29*(AL$4&lt;$I29)+$H29*(AL$4&gt;=$I29))*$C29*(1+'Property Summary'!$L$18)^('MF Rents'!AL$3-1))</f>
        <v/>
      </c>
      <c r="AM29" s="149" t="str">
        <f>IF(OR($B29="",$B29=0),"",($G29*(AM$4&lt;$I29)+$H29*(AM$4&gt;=$I29))*$C29*(1+'Property Summary'!$L$18)^('MF Rents'!AM$3-1))</f>
        <v/>
      </c>
      <c r="AN29" s="149" t="str">
        <f>IF(OR($B29="",$B29=0),"",($G29*(AN$4&lt;$I29)+$H29*(AN$4&gt;=$I29))*$C29*(1+'Property Summary'!$L$18)^('MF Rents'!AN$3-1))</f>
        <v/>
      </c>
      <c r="AO29" s="149" t="str">
        <f>IF(OR($B29="",$B29=0),"",($G29*(AO$4&lt;$I29)+$H29*(AO$4&gt;=$I29))*$C29*(1+'Property Summary'!$L$18)^('MF Rents'!AO$3-1))</f>
        <v/>
      </c>
      <c r="AP29" s="149" t="str">
        <f>IF(OR($B29="",$B29=0),"",($G29*(AP$4&lt;$I29)+$H29*(AP$4&gt;=$I29))*$C29*(1+'Property Summary'!$L$18)^('MF Rents'!AP$3-1))</f>
        <v/>
      </c>
      <c r="AQ29" s="149" t="str">
        <f>IF(OR($B29="",$B29=0),"",($G29*(AQ$4&lt;$I29)+$H29*(AQ$4&gt;=$I29))*$C29*(1+'Property Summary'!$L$18)^('MF Rents'!AQ$3-1))</f>
        <v/>
      </c>
      <c r="AR29" s="149" t="str">
        <f>IF(OR($B29="",$B29=0),"",($G29*(AR$4&lt;$I29)+$H29*(AR$4&gt;=$I29))*$C29*(1+'Property Summary'!$L$18)^('MF Rents'!AR$3-1))</f>
        <v/>
      </c>
      <c r="AS29" s="149" t="str">
        <f>IF(OR($B29="",$B29=0),"",($G29*(AS$4&lt;$I29)+$H29*(AS$4&gt;=$I29))*$C29*(1+'Property Summary'!$L$18)^('MF Rents'!AS$3-1))</f>
        <v/>
      </c>
      <c r="AT29" s="149" t="str">
        <f>IF(OR($B29="",$B29=0),"",($G29*(AT$4&lt;$I29)+$H29*(AT$4&gt;=$I29))*$C29*(1+'Property Summary'!$L$18)^('MF Rents'!AT$3-1))</f>
        <v/>
      </c>
      <c r="AU29" s="149" t="str">
        <f>IF(OR($B29="",$B29=0),"",($G29*(AU$4&lt;$I29)+$H29*(AU$4&gt;=$I29))*$C29*(1+'Property Summary'!$L$18)^('MF Rents'!AU$3-1))</f>
        <v/>
      </c>
      <c r="AV29" s="149" t="str">
        <f>IF(OR($B29="",$B29=0),"",($G29*(AV$4&lt;$I29)+$H29*(AV$4&gt;=$I29))*$C29*(1+'Property Summary'!$L$18)^('MF Rents'!AV$3-1))</f>
        <v/>
      </c>
      <c r="AW29" s="149" t="str">
        <f>IF(OR($B29="",$B29=0),"",($G29*(AW$4&lt;$I29)+$H29*(AW$4&gt;=$I29))*$C29*(1+'Property Summary'!$L$18)^('MF Rents'!AW$3-1))</f>
        <v/>
      </c>
      <c r="AX29" s="149" t="str">
        <f>IF(OR($B29="",$B29=0),"",($G29*(AX$4&lt;$I29)+$H29*(AX$4&gt;=$I29))*$C29*(1+'Property Summary'!$L$18)^('MF Rents'!AX$3-1))</f>
        <v/>
      </c>
      <c r="AY29" s="149" t="str">
        <f>IF(OR($B29="",$B29=0),"",($G29*(AY$4&lt;$I29)+$H29*(AY$4&gt;=$I29))*$C29*(1+'Property Summary'!$L$18)^('MF Rents'!AY$3-1))</f>
        <v/>
      </c>
      <c r="AZ29" s="149" t="str">
        <f>IF(OR($B29="",$B29=0),"",($G29*(AZ$4&lt;$I29)+$H29*(AZ$4&gt;=$I29))*$C29*(1+'Property Summary'!$L$18)^('MF Rents'!AZ$3-1))</f>
        <v/>
      </c>
      <c r="BA29" s="149" t="str">
        <f>IF(OR($B29="",$B29=0),"",($G29*(BA$4&lt;$I29)+$H29*(BA$4&gt;=$I29))*$C29*(1+'Property Summary'!$L$18)^('MF Rents'!BA$3-1))</f>
        <v/>
      </c>
      <c r="BB29" s="149" t="str">
        <f>IF(OR($B29="",$B29=0),"",($G29*(BB$4&lt;$I29)+$H29*(BB$4&gt;=$I29))*$C29*(1+'Property Summary'!$L$18)^('MF Rents'!BB$3-1))</f>
        <v/>
      </c>
      <c r="BC29" s="149" t="str">
        <f>IF(OR($B29="",$B29=0),"",($G29*(BC$4&lt;$I29)+$H29*(BC$4&gt;=$I29))*$C29*(1+'Property Summary'!$L$18)^('MF Rents'!BC$3-1))</f>
        <v/>
      </c>
      <c r="BD29" s="149" t="str">
        <f>IF(OR($B29="",$B29=0),"",($G29*(BD$4&lt;$I29)+$H29*(BD$4&gt;=$I29))*$C29*(1+'Property Summary'!$L$18)^('MF Rents'!BD$3-1))</f>
        <v/>
      </c>
      <c r="BE29" s="149" t="str">
        <f>IF(OR($B29="",$B29=0),"",($G29*(BE$4&lt;$I29)+$H29*(BE$4&gt;=$I29))*$C29*(1+'Property Summary'!$L$18)^('MF Rents'!BE$3-1))</f>
        <v/>
      </c>
      <c r="BF29" s="149" t="str">
        <f>IF(OR($B29="",$B29=0),"",($G29*(BF$4&lt;$I29)+$H29*(BF$4&gt;=$I29))*$C29*(1+'Property Summary'!$L$18)^('MF Rents'!BF$3-1))</f>
        <v/>
      </c>
      <c r="BG29" s="149" t="str">
        <f>IF(OR($B29="",$B29=0),"",($G29*(BG$4&lt;$I29)+$H29*(BG$4&gt;=$I29))*$C29*(1+'Property Summary'!$L$18)^('MF Rents'!BG$3-1))</f>
        <v/>
      </c>
      <c r="BH29" s="149" t="str">
        <f>IF(OR($B29="",$B29=0),"",($G29*(BH$4&lt;$I29)+$H29*(BH$4&gt;=$I29))*$C29*(1+'Property Summary'!$L$18)^('MF Rents'!BH$3-1))</f>
        <v/>
      </c>
      <c r="BI29" s="149" t="str">
        <f>IF(OR($B29="",$B29=0),"",($G29*(BI$4&lt;$I29)+$H29*(BI$4&gt;=$I29))*$C29*(1+'Property Summary'!$L$18)^('MF Rents'!BI$3-1))</f>
        <v/>
      </c>
      <c r="BJ29" s="149" t="str">
        <f>IF(OR($B29="",$B29=0),"",($G29*(BJ$4&lt;$I29)+$H29*(BJ$4&gt;=$I29))*$C29*(1+'Property Summary'!$L$18)^('MF Rents'!BJ$3-1))</f>
        <v/>
      </c>
      <c r="BK29" s="149" t="str">
        <f>IF(OR($B29="",$B29=0),"",($G29*(BK$4&lt;$I29)+$H29*(BK$4&gt;=$I29))*$C29*(1+'Property Summary'!$L$18)^('MF Rents'!BK$3-1))</f>
        <v/>
      </c>
      <c r="BL29" s="149" t="str">
        <f>IF(OR($B29="",$B29=0),"",($G29*(BL$4&lt;$I29)+$H29*(BL$4&gt;=$I29))*$C29*(1+'Property Summary'!$L$18)^('MF Rents'!BL$3-1))</f>
        <v/>
      </c>
      <c r="BM29" s="149" t="str">
        <f>IF(OR($B29="",$B29=0),"",($G29*(BM$4&lt;$I29)+$H29*(BM$4&gt;=$I29))*$C29*(1+'Property Summary'!$L$18)^('MF Rents'!BM$3-1))</f>
        <v/>
      </c>
      <c r="BN29" s="149" t="str">
        <f>IF(OR($B29="",$B29=0),"",($G29*(BN$4&lt;$I29)+$H29*(BN$4&gt;=$I29))*$C29*(1+'Property Summary'!$L$18)^('MF Rents'!BN$3-1))</f>
        <v/>
      </c>
      <c r="BO29" s="149" t="str">
        <f>IF(OR($B29="",$B29=0),"",($G29*(BO$4&lt;$I29)+$H29*(BO$4&gt;=$I29))*$C29*(1+'Property Summary'!$L$18)^('MF Rents'!BO$3-1))</f>
        <v/>
      </c>
      <c r="BP29" s="149" t="str">
        <f>IF(OR($B29="",$B29=0),"",($G29*(BP$4&lt;$I29)+$H29*(BP$4&gt;=$I29))*$C29*(1+'Property Summary'!$L$18)^('MF Rents'!BP$3-1))</f>
        <v/>
      </c>
      <c r="BQ29" s="149" t="str">
        <f>IF(OR($B29="",$B29=0),"",($G29*(BQ$4&lt;$I29)+$H29*(BQ$4&gt;=$I29))*$C29*(1+'Property Summary'!$L$18)^('MF Rents'!BQ$3-1))</f>
        <v/>
      </c>
      <c r="BR29" s="149" t="str">
        <f>IF(OR($B29="",$B29=0),"",($G29*(BR$4&lt;$I29)+$H29*(BR$4&gt;=$I29))*$C29*(1+'Property Summary'!$L$18)^('MF Rents'!BR$3-1))</f>
        <v/>
      </c>
      <c r="BS29" s="149" t="str">
        <f>IF(OR($B29="",$B29=0),"",($G29*(BS$4&lt;$I29)+$H29*(BS$4&gt;=$I29))*$C29*(1+'Property Summary'!$L$18)^('MF Rents'!BS$3-1))</f>
        <v/>
      </c>
      <c r="BT29" s="149" t="str">
        <f>IF(OR($B29="",$B29=0),"",($G29*(BT$4&lt;$I29)+$H29*(BT$4&gt;=$I29))*$C29*(1+'Property Summary'!$L$18)^('MF Rents'!BT$3-1))</f>
        <v/>
      </c>
      <c r="BU29" s="149" t="str">
        <f>IF(OR($B29="",$B29=0),"",($G29*(BU$4&lt;$I29)+$H29*(BU$4&gt;=$I29))*$C29*(1+'Property Summary'!$L$18)^('MF Rents'!BU$3-1))</f>
        <v/>
      </c>
      <c r="BV29" s="149" t="str">
        <f>IF(OR($B29="",$B29=0),"",($G29*(BV$4&lt;$I29)+$H29*(BV$4&gt;=$I29))*$C29*(1+'Property Summary'!$L$18)^('MF Rents'!BV$3-1))</f>
        <v/>
      </c>
      <c r="BW29" s="149" t="str">
        <f>IF(OR($B29="",$B29=0),"",($G29*(BW$4&lt;$I29)+$H29*(BW$4&gt;=$I29))*$C29*(1+'Property Summary'!$L$18)^('MF Rents'!BW$3-1))</f>
        <v/>
      </c>
      <c r="BX29" s="149" t="str">
        <f>IF(OR($B29="",$B29=0),"",($G29*(BX$4&lt;$I29)+$H29*(BX$4&gt;=$I29))*$C29*(1+'Property Summary'!$L$18)^('MF Rents'!BX$3-1))</f>
        <v/>
      </c>
      <c r="BY29" s="149" t="str">
        <f>IF(OR($B29="",$B29=0),"",($G29*(BY$4&lt;$I29)+$H29*(BY$4&gt;=$I29))*$C29*(1+'Property Summary'!$L$18)^('MF Rents'!BY$3-1))</f>
        <v/>
      </c>
      <c r="BZ29" s="149" t="str">
        <f>IF(OR($B29="",$B29=0),"",($G29*(BZ$4&lt;$I29)+$H29*(BZ$4&gt;=$I29))*$C29*(1+'Property Summary'!$L$18)^('MF Rents'!BZ$3-1))</f>
        <v/>
      </c>
      <c r="CA29" s="149" t="str">
        <f>IF(OR($B29="",$B29=0),"",($G29*(CA$4&lt;$I29)+$H29*(CA$4&gt;=$I29))*$C29*(1+'Property Summary'!$L$18)^('MF Rents'!CA$3-1))</f>
        <v/>
      </c>
      <c r="CB29" s="149" t="str">
        <f>IF(OR($B29="",$B29=0),"",($G29*(CB$4&lt;$I29)+$H29*(CB$4&gt;=$I29))*$C29*(1+'Property Summary'!$L$18)^('MF Rents'!CB$3-1))</f>
        <v/>
      </c>
      <c r="CC29" s="149" t="str">
        <f>IF(OR($B29="",$B29=0),"",($G29*(CC$4&lt;$I29)+$H29*(CC$4&gt;=$I29))*$C29*(1+'Property Summary'!$L$18)^('MF Rents'!CC$3-1))</f>
        <v/>
      </c>
      <c r="CD29" s="149" t="str">
        <f>IF(OR($B29="",$B29=0),"",($G29*(CD$4&lt;$I29)+$H29*(CD$4&gt;=$I29))*$C29*(1+'Property Summary'!$L$18)^('MF Rents'!CD$3-1))</f>
        <v/>
      </c>
      <c r="CE29" s="149" t="str">
        <f>IF(OR($B29="",$B29=0),"",($G29*(CE$4&lt;$I29)+$H29*(CE$4&gt;=$I29))*$C29*(1+'Property Summary'!$L$18)^('MF Rents'!CE$3-1))</f>
        <v/>
      </c>
      <c r="CF29" s="149" t="str">
        <f>IF(OR($B29="",$B29=0),"",($G29*(CF$4&lt;$I29)+$H29*(CF$4&gt;=$I29))*$C29*(1+'Property Summary'!$L$18)^('MF Rents'!CF$3-1))</f>
        <v/>
      </c>
      <c r="CG29" s="149" t="str">
        <f>IF(OR($B29="",$B29=0),"",($G29*(CG$4&lt;$I29)+$H29*(CG$4&gt;=$I29))*$C29*(1+'Property Summary'!$L$18)^('MF Rents'!CG$3-1))</f>
        <v/>
      </c>
      <c r="CH29" s="149" t="str">
        <f>IF(OR($B29="",$B29=0),"",($G29*(CH$4&lt;$I29)+$H29*(CH$4&gt;=$I29))*$C29*(1+'Property Summary'!$L$18)^('MF Rents'!CH$3-1))</f>
        <v/>
      </c>
      <c r="CI29" s="149" t="str">
        <f>IF(OR($B29="",$B29=0),"",($G29*(CI$4&lt;$I29)+$H29*(CI$4&gt;=$I29))*$C29*(1+'Property Summary'!$L$18)^('MF Rents'!CI$3-1))</f>
        <v/>
      </c>
      <c r="CJ29" s="149" t="str">
        <f>IF(OR($B29="",$B29=0),"",($G29*(CJ$4&lt;$I29)+$H29*(CJ$4&gt;=$I29))*$C29*(1+'Property Summary'!$L$18)^('MF Rents'!CJ$3-1))</f>
        <v/>
      </c>
      <c r="CK29" s="149" t="str">
        <f>IF(OR($B29="",$B29=0),"",($G29*(CK$4&lt;$I29)+$H29*(CK$4&gt;=$I29))*$C29*(1+'Property Summary'!$L$18)^('MF Rents'!CK$3-1))</f>
        <v/>
      </c>
      <c r="CL29" s="149" t="str">
        <f>IF(OR($B29="",$B29=0),"",($G29*(CL$4&lt;$I29)+$H29*(CL$4&gt;=$I29))*$C29*(1+'Property Summary'!$L$18)^('MF Rents'!CL$3-1))</f>
        <v/>
      </c>
      <c r="CM29" s="149" t="str">
        <f>IF(OR($B29="",$B29=0),"",($G29*(CM$4&lt;$I29)+$H29*(CM$4&gt;=$I29))*$C29*(1+'Property Summary'!$L$18)^('MF Rents'!CM$3-1))</f>
        <v/>
      </c>
      <c r="CN29" s="149" t="str">
        <f>IF(OR($B29="",$B29=0),"",($G29*(CN$4&lt;$I29)+$H29*(CN$4&gt;=$I29))*$C29*(1+'Property Summary'!$L$18)^('MF Rents'!CN$3-1))</f>
        <v/>
      </c>
      <c r="CO29" s="149" t="str">
        <f>IF(OR($B29="",$B29=0),"",($G29*(CO$4&lt;$I29)+$H29*(CO$4&gt;=$I29))*$C29*(1+'Property Summary'!$L$18)^('MF Rents'!CO$3-1))</f>
        <v/>
      </c>
      <c r="CP29" s="149" t="str">
        <f>IF(OR($B29="",$B29=0),"",($G29*(CP$4&lt;$I29)+$H29*(CP$4&gt;=$I29))*$C29*(1+'Property Summary'!$L$18)^('MF Rents'!CP$3-1))</f>
        <v/>
      </c>
      <c r="CQ29" s="149" t="str">
        <f>IF(OR($B29="",$B29=0),"",($G29*(CQ$4&lt;$I29)+$H29*(CQ$4&gt;=$I29))*$C29*(1+'Property Summary'!$L$18)^('MF Rents'!CQ$3-1))</f>
        <v/>
      </c>
      <c r="CR29" s="149" t="str">
        <f>IF(OR($B29="",$B29=0),"",($G29*(CR$4&lt;$I29)+$H29*(CR$4&gt;=$I29))*$C29*(1+'Property Summary'!$L$18)^('MF Rents'!CR$3-1))</f>
        <v/>
      </c>
      <c r="CS29" s="149" t="str">
        <f>IF(OR($B29="",$B29=0),"",($G29*(CS$4&lt;$I29)+$H29*(CS$4&gt;=$I29))*$C29*(1+'Property Summary'!$L$18)^('MF Rents'!CS$3-1))</f>
        <v/>
      </c>
      <c r="CT29" s="149" t="str">
        <f>IF(OR($B29="",$B29=0),"",($G29*(CT$4&lt;$I29)+$H29*(CT$4&gt;=$I29))*$C29*(1+'Property Summary'!$L$18)^('MF Rents'!CT$3-1))</f>
        <v/>
      </c>
      <c r="CU29" s="149" t="str">
        <f>IF(OR($B29="",$B29=0),"",($G29*(CU$4&lt;$I29)+$H29*(CU$4&gt;=$I29))*$C29*(1+'Property Summary'!$L$18)^('MF Rents'!CU$3-1))</f>
        <v/>
      </c>
      <c r="CV29" s="149" t="str">
        <f>IF(OR($B29="",$B29=0),"",($G29*(CV$4&lt;$I29)+$H29*(CV$4&gt;=$I29))*$C29*(1+'Property Summary'!$L$18)^('MF Rents'!CV$3-1))</f>
        <v/>
      </c>
      <c r="CW29" s="149" t="str">
        <f>IF(OR($B29="",$B29=0),"",($G29*(CW$4&lt;$I29)+$H29*(CW$4&gt;=$I29))*$C29*(1+'Property Summary'!$L$18)^('MF Rents'!CW$3-1))</f>
        <v/>
      </c>
      <c r="CX29" s="149" t="str">
        <f>IF(OR($B29="",$B29=0),"",($G29*(CX$4&lt;$I29)+$H29*(CX$4&gt;=$I29))*$C29*(1+'Property Summary'!$L$18)^('MF Rents'!CX$3-1))</f>
        <v/>
      </c>
      <c r="CY29" s="149" t="str">
        <f>IF(OR($B29="",$B29=0),"",($G29*(CY$4&lt;$I29)+$H29*(CY$4&gt;=$I29))*$C29*(1+'Property Summary'!$L$18)^('MF Rents'!CY$3-1))</f>
        <v/>
      </c>
      <c r="CZ29" s="149" t="str">
        <f>IF(OR($B29="",$B29=0),"",($G29*(CZ$4&lt;$I29)+$H29*(CZ$4&gt;=$I29))*$C29*(1+'Property Summary'!$L$18)^('MF Rents'!CZ$3-1))</f>
        <v/>
      </c>
      <c r="DA29" s="149" t="str">
        <f>IF(OR($B29="",$B29=0),"",($G29*(DA$4&lt;$I29)+$H29*(DA$4&gt;=$I29))*$C29*(1+'Property Summary'!$L$18)^('MF Rents'!DA$3-1))</f>
        <v/>
      </c>
      <c r="DB29" s="149" t="str">
        <f>IF(OR($B29="",$B29=0),"",($G29*(DB$4&lt;$I29)+$H29*(DB$4&gt;=$I29))*$C29*(1+'Property Summary'!$L$18)^('MF Rents'!DB$3-1))</f>
        <v/>
      </c>
      <c r="DC29" s="149" t="str">
        <f>IF(OR($B29="",$B29=0),"",($G29*(DC$4&lt;$I29)+$H29*(DC$4&gt;=$I29))*$C29*(1+'Property Summary'!$L$18)^('MF Rents'!DC$3-1))</f>
        <v/>
      </c>
      <c r="DD29" s="149" t="str">
        <f>IF(OR($B29="",$B29=0),"",($G29*(DD$4&lt;$I29)+$H29*(DD$4&gt;=$I29))*$C29*(1+'Property Summary'!$L$18)^('MF Rents'!DD$3-1))</f>
        <v/>
      </c>
      <c r="DE29" s="149" t="str">
        <f>IF(OR($B29="",$B29=0),"",($G29*(DE$4&lt;$I29)+$H29*(DE$4&gt;=$I29))*$C29*(1+'Property Summary'!$L$18)^('MF Rents'!DE$3-1))</f>
        <v/>
      </c>
      <c r="DF29" s="149" t="str">
        <f>IF(OR($B29="",$B29=0),"",($G29*(DF$4&lt;$I29)+$H29*(DF$4&gt;=$I29))*$C29*(1+'Property Summary'!$L$18)^('MF Rents'!DF$3-1))</f>
        <v/>
      </c>
      <c r="DG29" s="149" t="str">
        <f>IF(OR($B29="",$B29=0),"",($G29*(DG$4&lt;$I29)+$H29*(DG$4&gt;=$I29))*$C29*(1+'Property Summary'!$L$18)^('MF Rents'!DG$3-1))</f>
        <v/>
      </c>
      <c r="DH29" s="149" t="str">
        <f>IF(OR($B29="",$B29=0),"",($G29*(DH$4&lt;$I29)+$H29*(DH$4&gt;=$I29))*$C29*(1+'Property Summary'!$L$18)^('MF Rents'!DH$3-1))</f>
        <v/>
      </c>
      <c r="DI29" s="149" t="str">
        <f>IF(OR($B29="",$B29=0),"",($G29*(DI$4&lt;$I29)+$H29*(DI$4&gt;=$I29))*$C29*(1+'Property Summary'!$L$18)^('MF Rents'!DI$3-1))</f>
        <v/>
      </c>
      <c r="DJ29" s="149" t="str">
        <f>IF(OR($B29="",$B29=0),"",($G29*(DJ$4&lt;$I29)+$H29*(DJ$4&gt;=$I29))*$C29*(1+'Property Summary'!$L$18)^('MF Rents'!DJ$3-1))</f>
        <v/>
      </c>
      <c r="DK29" s="149" t="str">
        <f>IF(OR($B29="",$B29=0),"",($G29*(DK$4&lt;$I29)+$H29*(DK$4&gt;=$I29))*$C29*(1+'Property Summary'!$L$18)^('MF Rents'!DK$3-1))</f>
        <v/>
      </c>
      <c r="DL29" s="149" t="str">
        <f>IF(OR($B29="",$B29=0),"",($G29*(DL$4&lt;$I29)+$H29*(DL$4&gt;=$I29))*$C29*(1+'Property Summary'!$L$18)^('MF Rents'!DL$3-1))</f>
        <v/>
      </c>
      <c r="DM29" s="149" t="str">
        <f>IF(OR($B29="",$B29=0),"",($G29*(DM$4&lt;$I29)+$H29*(DM$4&gt;=$I29))*$C29*(1+'Property Summary'!$L$18)^('MF Rents'!DM$3-1))</f>
        <v/>
      </c>
      <c r="DN29" s="149" t="str">
        <f>IF(OR($B29="",$B29=0),"",($G29*(DN$4&lt;$I29)+$H29*(DN$4&gt;=$I29))*$C29*(1+'Property Summary'!$L$18)^('MF Rents'!DN$3-1))</f>
        <v/>
      </c>
      <c r="DO29" s="149" t="str">
        <f>IF(OR($B29="",$B29=0),"",($G29*(DO$4&lt;$I29)+$H29*(DO$4&gt;=$I29))*$C29*(1+'Property Summary'!$L$18)^('MF Rents'!DO$3-1))</f>
        <v/>
      </c>
      <c r="DP29" s="149" t="str">
        <f>IF(OR($B29="",$B29=0),"",($G29*(DP$4&lt;$I29)+$H29*(DP$4&gt;=$I29))*$C29*(1+'Property Summary'!$L$18)^('MF Rents'!DP$3-1))</f>
        <v/>
      </c>
      <c r="DQ29" s="149" t="str">
        <f>IF(OR($B29="",$B29=0),"",($G29*(DQ$4&lt;$I29)+$H29*(DQ$4&gt;=$I29))*$C29*(1+'Property Summary'!$L$18)^('MF Rents'!DQ$3-1))</f>
        <v/>
      </c>
      <c r="DR29" s="149" t="str">
        <f>IF(OR($B29="",$B29=0),"",($G29*(DR$4&lt;$I29)+$H29*(DR$4&gt;=$I29))*$C29*(1+'Property Summary'!$L$18)^('MF Rents'!DR$3-1))</f>
        <v/>
      </c>
      <c r="DS29" s="149" t="str">
        <f>IF(OR($B29="",$B29=0),"",($G29*(DS$4&lt;$I29)+$H29*(DS$4&gt;=$I29))*$C29*(1+'Property Summary'!$L$18)^('MF Rents'!DS$3-1))</f>
        <v/>
      </c>
      <c r="DT29" s="149" t="str">
        <f>IF(OR($B29="",$B29=0),"",($G29*(DT$4&lt;$I29)+$H29*(DT$4&gt;=$I29))*$C29*(1+'Property Summary'!$L$18)^('MF Rents'!DT$3-1))</f>
        <v/>
      </c>
      <c r="DU29" s="149" t="str">
        <f>IF(OR($B29="",$B29=0),"",($G29*(DU$4&lt;$I29)+$H29*(DU$4&gt;=$I29))*$C29*(1+'Property Summary'!$L$18)^('MF Rents'!DU$3-1))</f>
        <v/>
      </c>
      <c r="DV29" s="149" t="str">
        <f>IF(OR($B29="",$B29=0),"",($G29*(DV$4&lt;$I29)+$H29*(DV$4&gt;=$I29))*$C29*(1+'Property Summary'!$L$18)^('MF Rents'!DV$3-1))</f>
        <v/>
      </c>
      <c r="DW29" s="149" t="str">
        <f>IF(OR($B29="",$B29=0),"",($G29*(DW$4&lt;$I29)+$H29*(DW$4&gt;=$I29))*$C29*(1+'Property Summary'!$L$18)^('MF Rents'!DW$3-1))</f>
        <v/>
      </c>
      <c r="DX29" s="149" t="str">
        <f>IF(OR($B29="",$B29=0),"",($G29*(DX$4&lt;$I29)+$H29*(DX$4&gt;=$I29))*$C29*(1+'Property Summary'!$L$18)^('MF Rents'!DX$3-1))</f>
        <v/>
      </c>
      <c r="DY29" s="149" t="str">
        <f>IF(OR($B29="",$B29=0),"",($G29*(DY$4&lt;$I29)+$H29*(DY$4&gt;=$I29))*$C29*(1+'Property Summary'!$L$18)^('MF Rents'!DY$3-1))</f>
        <v/>
      </c>
      <c r="DZ29" s="149" t="str">
        <f>IF(OR($B29="",$B29=0),"",($G29*(DZ$4&lt;$I29)+$H29*(DZ$4&gt;=$I29))*$C29*(1+'Property Summary'!$L$18)^('MF Rents'!DZ$3-1))</f>
        <v/>
      </c>
      <c r="EA29" s="149" t="str">
        <f>IF(OR($B29="",$B29=0),"",($G29*(EA$4&lt;$I29)+$H29*(EA$4&gt;=$I29))*$C29*(1+'Property Summary'!$L$18)^('MF Rents'!EA$3-1))</f>
        <v/>
      </c>
      <c r="EB29" s="149" t="str">
        <f>IF(OR($B29="",$B29=0),"",($G29*(EB$4&lt;$I29)+$H29*(EB$4&gt;=$I29))*$C29*(1+'Property Summary'!$L$18)^('MF Rents'!EB$3-1))</f>
        <v/>
      </c>
      <c r="EC29" s="149" t="str">
        <f>IF(OR($B29="",$B29=0),"",($G29*(EC$4&lt;$I29)+$H29*(EC$4&gt;=$I29))*$C29*(1+'Property Summary'!$L$18)^('MF Rents'!EC$3-1))</f>
        <v/>
      </c>
      <c r="ED29" s="149" t="str">
        <f>IF(OR($B29="",$B29=0),"",($G29*(ED$4&lt;$I29)+$H29*(ED$4&gt;=$I29))*$C29*(1+'Property Summary'!$L$18)^('MF Rents'!ED$3-1))</f>
        <v/>
      </c>
      <c r="EE29" s="149" t="str">
        <f>IF(OR($B29="",$B29=0),"",($G29*(EE$4&lt;$I29)+$H29*(EE$4&gt;=$I29))*$C29*(1+'Property Summary'!$L$18)^('MF Rents'!EE$3-1))</f>
        <v/>
      </c>
      <c r="EF29" s="149" t="str">
        <f>IF(OR($B29="",$B29=0),"",($G29*(EF$4&lt;$I29)+$H29*(EF$4&gt;=$I29))*$C29*(1+'Property Summary'!$L$18)^('MF Rents'!EF$3-1))</f>
        <v/>
      </c>
      <c r="EG29" s="149" t="str">
        <f>IF(OR($B29="",$B29=0),"",($G29*(EG$4&lt;$I29)+$H29*(EG$4&gt;=$I29))*$C29*(1+'Property Summary'!$L$18)^('MF Rents'!EG$3-1))</f>
        <v/>
      </c>
      <c r="EH29" s="149" t="str">
        <f>IF(OR($B29="",$B29=0),"",($G29*(EH$4&lt;$I29)+$H29*(EH$4&gt;=$I29))*$C29*(1+'Property Summary'!$L$18)^('MF Rents'!EH$3-1))</f>
        <v/>
      </c>
      <c r="EI29" s="149" t="str">
        <f>IF(OR($B29="",$B29=0),"",($G29*(EI$4&lt;$I29)+$H29*(EI$4&gt;=$I29))*$C29*(1+'Property Summary'!$L$18)^('MF Rents'!EI$3-1))</f>
        <v/>
      </c>
      <c r="EJ29" s="149" t="str">
        <f>IF(OR($B29="",$B29=0),"",($G29*(EJ$4&lt;$I29)+$H29*(EJ$4&gt;=$I29))*$C29*(1+'Property Summary'!$L$18)^('MF Rents'!EJ$3-1))</f>
        <v/>
      </c>
      <c r="EK29" s="149" t="str">
        <f>IF(OR($B29="",$B29=0),"",($G29*(EK$4&lt;$I29)+$H29*(EK$4&gt;=$I29))*$C29*(1+'Property Summary'!$L$18)^('MF Rents'!EK$3-1))</f>
        <v/>
      </c>
      <c r="EL29" s="149" t="str">
        <f>IF(OR($B29="",$B29=0),"",($G29*(EL$4&lt;$I29)+$H29*(EL$4&gt;=$I29))*$C29*(1+'Property Summary'!$L$18)^('MF Rents'!EL$3-1))</f>
        <v/>
      </c>
      <c r="EM29" s="149" t="str">
        <f>IF(OR($B29="",$B29=0),"",($G29*(EM$4&lt;$I29)+$H29*(EM$4&gt;=$I29))*$C29*(1+'Property Summary'!$L$18)^('MF Rents'!EM$3-1))</f>
        <v/>
      </c>
      <c r="EN29" s="149" t="str">
        <f>IF(OR($B29="",$B29=0),"",($G29*(EN$4&lt;$I29)+$H29*(EN$4&gt;=$I29))*$C29*(1+'Property Summary'!$L$18)^('MF Rents'!EN$3-1))</f>
        <v/>
      </c>
      <c r="EO29" s="149" t="str">
        <f>IF(OR($B29="",$B29=0),"",($G29*(EO$4&lt;$I29)+$H29*(EO$4&gt;=$I29))*$C29*(1+'Property Summary'!$L$18)^('MF Rents'!EO$3-1))</f>
        <v/>
      </c>
      <c r="EP29" s="149" t="str">
        <f>IF(OR($B29="",$B29=0),"",($G29*(EP$4&lt;$I29)+$H29*(EP$4&gt;=$I29))*$C29*(1+'Property Summary'!$L$18)^('MF Rents'!EP$3-1))</f>
        <v/>
      </c>
      <c r="EQ29" s="149" t="str">
        <f>IF(OR($B29="",$B29=0),"",($G29*(EQ$4&lt;$I29)+$H29*(EQ$4&gt;=$I29))*$C29*(1+'Property Summary'!$L$18)^('MF Rents'!EQ$3-1))</f>
        <v/>
      </c>
      <c r="ER29" s="149" t="str">
        <f>IF(OR($B29="",$B29=0),"",($G29*(ER$4&lt;$I29)+$H29*(ER$4&gt;=$I29))*$C29*(1+'Property Summary'!$L$18)^('MF Rents'!ER$3-1))</f>
        <v/>
      </c>
      <c r="ES29" s="149" t="str">
        <f>IF(OR($B29="",$B29=0),"",($G29*(ES$4&lt;$I29)+$H29*(ES$4&gt;=$I29))*$C29*(1+'Property Summary'!$L$18)^('MF Rents'!ES$3-1))</f>
        <v/>
      </c>
      <c r="ET29" s="149" t="str">
        <f>IF(OR($B29="",$B29=0),"",($G29*(ET$4&lt;$I29)+$H29*(ET$4&gt;=$I29))*$C29*(1+'Property Summary'!$L$18)^('MF Rents'!ET$3-1))</f>
        <v/>
      </c>
      <c r="EU29" s="149" t="str">
        <f>IF(OR($B29="",$B29=0),"",($G29*(EU$4&lt;$I29)+$H29*(EU$4&gt;=$I29))*$C29*(1+'Property Summary'!$L$18)^('MF Rents'!EU$3-1))</f>
        <v/>
      </c>
      <c r="EV29" s="149" t="str">
        <f>IF(OR($B29="",$B29=0),"",($G29*(EV$4&lt;$I29)+$H29*(EV$4&gt;=$I29))*$C29*(1+'Property Summary'!$L$18)^('MF Rents'!EV$3-1))</f>
        <v/>
      </c>
      <c r="EW29" s="149" t="str">
        <f>IF(OR($B29="",$B29=0),"",($G29*(EW$4&lt;$I29)+$H29*(EW$4&gt;=$I29))*$C29*(1+'Property Summary'!$L$18)^('MF Rents'!EW$3-1))</f>
        <v/>
      </c>
      <c r="EX29" s="149" t="str">
        <f>IF(OR($B29="",$B29=0),"",($G29*(EX$4&lt;$I29)+$H29*(EX$4&gt;=$I29))*$C29*(1+'Property Summary'!$L$18)^('MF Rents'!EX$3-1))</f>
        <v/>
      </c>
      <c r="EY29" s="149" t="str">
        <f>IF(OR($B29="",$B29=0),"",($G29*(EY$4&lt;$I29)+$H29*(EY$4&gt;=$I29))*$C29*(1+'Property Summary'!$L$18)^('MF Rents'!EY$3-1))</f>
        <v/>
      </c>
      <c r="EZ29" s="149" t="str">
        <f>IF(OR($B29="",$B29=0),"",($G29*(EZ$4&lt;$I29)+$H29*(EZ$4&gt;=$I29))*$C29*(1+'Property Summary'!$L$18)^('MF Rents'!EZ$3-1))</f>
        <v/>
      </c>
      <c r="FA29" s="149" t="str">
        <f>IF(OR($B29="",$B29=0),"",($G29*(FA$4&lt;$I29)+$H29*(FA$4&gt;=$I29))*$C29*(1+'Property Summary'!$L$18)^('MF Rents'!FA$3-1))</f>
        <v/>
      </c>
      <c r="FB29" s="149" t="str">
        <f>IF(OR($B29="",$B29=0),"",($G29*(FB$4&lt;$I29)+$H29*(FB$4&gt;=$I29))*$C29*(1+'Property Summary'!$L$18)^('MF Rents'!FB$3-1))</f>
        <v/>
      </c>
      <c r="FC29" s="149" t="str">
        <f>IF(OR($B29="",$B29=0),"",($G29*(FC$4&lt;$I29)+$H29*(FC$4&gt;=$I29))*$C29*(1+'Property Summary'!$L$18)^('MF Rents'!FC$3-1))</f>
        <v/>
      </c>
      <c r="FD29" s="149" t="str">
        <f>IF(OR($B29="",$B29=0),"",($G29*(FD$4&lt;$I29)+$H29*(FD$4&gt;=$I29))*$C29*(1+'Property Summary'!$L$18)^('MF Rents'!FD$3-1))</f>
        <v/>
      </c>
      <c r="FE29" s="149" t="str">
        <f>IF(OR($B29="",$B29=0),"",($G29*(FE$4&lt;$I29)+$H29*(FE$4&gt;=$I29))*$C29*(1+'Property Summary'!$L$18)^('MF Rents'!FE$3-1))</f>
        <v/>
      </c>
      <c r="FF29" s="149" t="str">
        <f>IF(OR($B29="",$B29=0),"",($G29*(FF$4&lt;$I29)+$H29*(FF$4&gt;=$I29))*$C29*(1+'Property Summary'!$L$18)^('MF Rents'!FF$3-1))</f>
        <v/>
      </c>
      <c r="FG29" s="149" t="str">
        <f>IF(OR($B29="",$B29=0),"",($G29*(FG$4&lt;$I29)+$H29*(FG$4&gt;=$I29))*$C29*(1+'Property Summary'!$L$18)^('MF Rents'!FG$3-1))</f>
        <v/>
      </c>
      <c r="FH29" s="149" t="str">
        <f>IF(OR($B29="",$B29=0),"",($G29*(FH$4&lt;$I29)+$H29*(FH$4&gt;=$I29))*$C29*(1+'Property Summary'!$L$18)^('MF Rents'!FH$3-1))</f>
        <v/>
      </c>
      <c r="FI29" s="149" t="str">
        <f>IF(OR($B29="",$B29=0),"",($G29*(FI$4&lt;$I29)+$H29*(FI$4&gt;=$I29))*$C29*(1+'Property Summary'!$L$18)^('MF Rents'!FI$3-1))</f>
        <v/>
      </c>
      <c r="FJ29" s="149" t="str">
        <f>IF(OR($B29="",$B29=0),"",($G29*(FJ$4&lt;$I29)+$H29*(FJ$4&gt;=$I29))*$C29*(1+'Property Summary'!$L$18)^('MF Rents'!FJ$3-1))</f>
        <v/>
      </c>
      <c r="FK29" s="149" t="str">
        <f>IF(OR($B29="",$B29=0),"",($G29*(FK$4&lt;$I29)+$H29*(FK$4&gt;=$I29))*$C29*(1+'Property Summary'!$L$18)^('MF Rents'!FK$3-1))</f>
        <v/>
      </c>
      <c r="FL29" s="149" t="str">
        <f>IF(OR($B29="",$B29=0),"",($G29*(FL$4&lt;$I29)+$H29*(FL$4&gt;=$I29))*$C29*(1+'Property Summary'!$L$18)^('MF Rents'!FL$3-1))</f>
        <v/>
      </c>
      <c r="FM29" s="149" t="str">
        <f>IF(OR($B29="",$B29=0),"",($G29*(FM$4&lt;$I29)+$H29*(FM$4&gt;=$I29))*$C29*(1+'Property Summary'!$L$18)^('MF Rents'!FM$3-1))</f>
        <v/>
      </c>
      <c r="FN29" s="149" t="str">
        <f>IF(OR($B29="",$B29=0),"",($G29*(FN$4&lt;$I29)+$H29*(FN$4&gt;=$I29))*$C29*(1+'Property Summary'!$L$18)^('MF Rents'!FN$3-1))</f>
        <v/>
      </c>
      <c r="FO29" s="149" t="str">
        <f>IF(OR($B29="",$B29=0),"",($G29*(FO$4&lt;$I29)+$H29*(FO$4&gt;=$I29))*$C29*(1+'Property Summary'!$L$18)^('MF Rents'!FO$3-1))</f>
        <v/>
      </c>
      <c r="FP29" s="149" t="str">
        <f>IF(OR($B29="",$B29=0),"",($G29*(FP$4&lt;$I29)+$H29*(FP$4&gt;=$I29))*$C29*(1+'Property Summary'!$L$18)^('MF Rents'!FP$3-1))</f>
        <v/>
      </c>
      <c r="FQ29" s="149" t="str">
        <f>IF(OR($B29="",$B29=0),"",($G29*(FQ$4&lt;$I29)+$H29*(FQ$4&gt;=$I29))*$C29*(1+'Property Summary'!$L$18)^('MF Rents'!FQ$3-1))</f>
        <v/>
      </c>
      <c r="FR29" s="149" t="str">
        <f>IF(OR($B29="",$B29=0),"",($G29*(FR$4&lt;$I29)+$H29*(FR$4&gt;=$I29))*$C29*(1+'Property Summary'!$L$18)^('MF Rents'!FR$3-1))</f>
        <v/>
      </c>
      <c r="FS29" s="149" t="str">
        <f>IF(OR($B29="",$B29=0),"",($G29*(FS$4&lt;$I29)+$H29*(FS$4&gt;=$I29))*$C29*(1+'Property Summary'!$L$18)^('MF Rents'!FS$3-1))</f>
        <v/>
      </c>
      <c r="FT29" s="149" t="str">
        <f>IF(OR($B29="",$B29=0),"",($G29*(FT$4&lt;$I29)+$H29*(FT$4&gt;=$I29))*$C29*(1+'Property Summary'!$L$18)^('MF Rents'!FT$3-1))</f>
        <v/>
      </c>
      <c r="FU29" s="149" t="str">
        <f>IF(OR($B29="",$B29=0),"",($G29*(FU$4&lt;$I29)+$H29*(FU$4&gt;=$I29))*$C29*(1+'Property Summary'!$L$18)^('MF Rents'!FU$3-1))</f>
        <v/>
      </c>
      <c r="FV29" s="149" t="str">
        <f>IF(OR($B29="",$B29=0),"",($G29*(FV$4&lt;$I29)+$H29*(FV$4&gt;=$I29))*$C29*(1+'Property Summary'!$L$18)^('MF Rents'!FV$3-1))</f>
        <v/>
      </c>
      <c r="FW29" s="149" t="str">
        <f>IF(OR($B29="",$B29=0),"",($G29*(FW$4&lt;$I29)+$H29*(FW$4&gt;=$I29))*$C29*(1+'Property Summary'!$L$18)^('MF Rents'!FW$3-1))</f>
        <v/>
      </c>
      <c r="FX29" s="149" t="str">
        <f>IF(OR($B29="",$B29=0),"",($G29*(FX$4&lt;$I29)+$H29*(FX$4&gt;=$I29))*$C29*(1+'Property Summary'!$L$18)^('MF Rents'!FX$3-1))</f>
        <v/>
      </c>
      <c r="FY29" s="149" t="str">
        <f>IF(OR($B29="",$B29=0),"",($G29*(FY$4&lt;$I29)+$H29*(FY$4&gt;=$I29))*$C29*(1+'Property Summary'!$L$18)^('MF Rents'!FY$3-1))</f>
        <v/>
      </c>
      <c r="FZ29" s="149" t="str">
        <f>IF(OR($B29="",$B29=0),"",($G29*(FZ$4&lt;$I29)+$H29*(FZ$4&gt;=$I29))*$C29*(1+'Property Summary'!$L$18)^('MF Rents'!FZ$3-1))</f>
        <v/>
      </c>
      <c r="GA29" s="149" t="str">
        <f>IF(OR($B29="",$B29=0),"",($G29*(GA$4&lt;$I29)+$H29*(GA$4&gt;=$I29))*$C29*(1+'Property Summary'!$L$18)^('MF Rents'!GA$3-1))</f>
        <v/>
      </c>
      <c r="GB29" s="149" t="str">
        <f>IF(OR($B29="",$B29=0),"",($G29*(GB$4&lt;$I29)+$H29*(GB$4&gt;=$I29))*$C29*(1+'Property Summary'!$L$18)^('MF Rents'!GB$3-1))</f>
        <v/>
      </c>
      <c r="GC29" s="149" t="str">
        <f>IF(OR($B29="",$B29=0),"",($G29*(GC$4&lt;$I29)+$H29*(GC$4&gt;=$I29))*$C29*(1+'Property Summary'!$L$18)^('MF Rents'!GC$3-1))</f>
        <v/>
      </c>
      <c r="GD29" s="149" t="str">
        <f>IF(OR($B29="",$B29=0),"",($G29*(GD$4&lt;$I29)+$H29*(GD$4&gt;=$I29))*$C29*(1+'Property Summary'!$L$18)^('MF Rents'!GD$3-1))</f>
        <v/>
      </c>
      <c r="GE29" s="149" t="str">
        <f>IF(OR($B29="",$B29=0),"",($G29*(GE$4&lt;$I29)+$H29*(GE$4&gt;=$I29))*$C29*(1+'Property Summary'!$L$18)^('MF Rents'!GE$3-1))</f>
        <v/>
      </c>
      <c r="GF29" s="149" t="str">
        <f>IF(OR($B29="",$B29=0),"",($G29*(GF$4&lt;$I29)+$H29*(GF$4&gt;=$I29))*$C29*(1+'Property Summary'!$L$18)^('MF Rents'!GF$3-1))</f>
        <v/>
      </c>
      <c r="GG29" s="149" t="str">
        <f>IF(OR($B29="",$B29=0),"",($G29*(GG$4&lt;$I29)+$H29*(GG$4&gt;=$I29))*$C29*(1+'Property Summary'!$L$18)^('MF Rents'!GG$3-1))</f>
        <v/>
      </c>
      <c r="GH29" s="149" t="str">
        <f>IF(OR($B29="",$B29=0),"",($G29*(GH$4&lt;$I29)+$H29*(GH$4&gt;=$I29))*$C29*(1+'Property Summary'!$L$18)^('MF Rents'!GH$3-1))</f>
        <v/>
      </c>
      <c r="GI29" s="149" t="str">
        <f>IF(OR($B29="",$B29=0),"",($G29*(GI$4&lt;$I29)+$H29*(GI$4&gt;=$I29))*$C29*(1+'Property Summary'!$L$18)^('MF Rents'!GI$3-1))</f>
        <v/>
      </c>
      <c r="GJ29" s="149" t="str">
        <f>IF(OR($B29="",$B29=0),"",($G29*(GJ$4&lt;$I29)+$H29*(GJ$4&gt;=$I29))*$C29*(1+'Property Summary'!$L$18)^('MF Rents'!GJ$3-1))</f>
        <v/>
      </c>
      <c r="GK29" s="149" t="str">
        <f>IF(OR($B29="",$B29=0),"",($G29*(GK$4&lt;$I29)+$H29*(GK$4&gt;=$I29))*$C29*(1+'Property Summary'!$L$18)^('MF Rents'!GK$3-1))</f>
        <v/>
      </c>
      <c r="GL29" s="149" t="str">
        <f>IF(OR($B29="",$B29=0),"",($G29*(GL$4&lt;$I29)+$H29*(GL$4&gt;=$I29))*$C29*(1+'Property Summary'!$L$18)^('MF Rents'!GL$3-1))</f>
        <v/>
      </c>
      <c r="GM29" s="149" t="str">
        <f>IF(OR($B29="",$B29=0),"",($G29*(GM$4&lt;$I29)+$H29*(GM$4&gt;=$I29))*$C29*(1+'Property Summary'!$L$18)^('MF Rents'!GM$3-1))</f>
        <v/>
      </c>
      <c r="GN29" s="149" t="str">
        <f>IF(OR($B29="",$B29=0),"",($G29*(GN$4&lt;$I29)+$H29*(GN$4&gt;=$I29))*$C29*(1+'Property Summary'!$L$18)^('MF Rents'!GN$3-1))</f>
        <v/>
      </c>
      <c r="GO29" s="149" t="str">
        <f>IF(OR($B29="",$B29=0),"",($G29*(GO$4&lt;$I29)+$H29*(GO$4&gt;=$I29))*$C29*(1+'Property Summary'!$L$18)^('MF Rents'!GO$3-1))</f>
        <v/>
      </c>
      <c r="GP29" s="149" t="str">
        <f>IF(OR($B29="",$B29=0),"",($G29*(GP$4&lt;$I29)+$H29*(GP$4&gt;=$I29))*$C29*(1+'Property Summary'!$L$18)^('MF Rents'!GP$3-1))</f>
        <v/>
      </c>
      <c r="GQ29" s="149" t="str">
        <f>IF(OR($B29="",$B29=0),"",($G29*(GQ$4&lt;$I29)+$H29*(GQ$4&gt;=$I29))*$C29*(1+'Property Summary'!$L$18)^('MF Rents'!GQ$3-1))</f>
        <v/>
      </c>
      <c r="GR29" s="149" t="str">
        <f>IF(OR($B29="",$B29=0),"",($G29*(GR$4&lt;$I29)+$H29*(GR$4&gt;=$I29))*$C29*(1+'Property Summary'!$L$18)^('MF Rents'!GR$3-1))</f>
        <v/>
      </c>
    </row>
    <row r="30" spans="2:200" x14ac:dyDescent="0.3">
      <c r="B30" s="184">
        <f>'MF Rent Roll'!B29</f>
        <v>0</v>
      </c>
      <c r="C30" s="171">
        <f>'MF Rent Roll'!C29</f>
        <v>0</v>
      </c>
      <c r="D30" s="172">
        <f>'MF Rent Roll'!D29</f>
        <v>0</v>
      </c>
      <c r="E30" s="172">
        <f>'MF Rent Roll'!E29</f>
        <v>0</v>
      </c>
      <c r="F30" s="173">
        <f>'MF Rent Roll'!F29</f>
        <v>0</v>
      </c>
      <c r="G30" s="174">
        <f>'MF Rent Roll'!G29</f>
        <v>0</v>
      </c>
      <c r="H30" s="174">
        <f>IF('MF Rent Roll'!H29="",G30,'MF Rent Roll'!H29)</f>
        <v>0</v>
      </c>
      <c r="I30" s="175">
        <f>IF('MF Rent Roll'!I29="",1,'MF Rent Roll'!I29)</f>
        <v>1</v>
      </c>
      <c r="J30" s="176">
        <f>'MF Rent Roll'!J29</f>
        <v>0</v>
      </c>
      <c r="K30" s="174">
        <f>'MF Rent Roll'!K29</f>
        <v>0</v>
      </c>
      <c r="L30" s="177">
        <f>'MF Rent Roll'!L29</f>
        <v>0</v>
      </c>
      <c r="M30" s="178">
        <f>'MF Rent Roll'!M29</f>
        <v>0</v>
      </c>
      <c r="N30" s="174">
        <f>'MF Rent Roll'!N29</f>
        <v>0</v>
      </c>
      <c r="O30" s="179">
        <f>'MF Rent Roll'!O29</f>
        <v>0</v>
      </c>
      <c r="P30" s="180" t="str">
        <f>'MF Rent Roll'!P29</f>
        <v/>
      </c>
      <c r="Q30" s="181" t="str">
        <f>'MF Rent Roll'!Q29</f>
        <v/>
      </c>
      <c r="R30" s="104" t="str">
        <f>'MF Rent Roll'!R29</f>
        <v/>
      </c>
      <c r="U30" s="149" t="str">
        <f>IF(OR($B30="",$B30=0),"",($G30*(U$4&lt;$I30)+$H30*(U$4&gt;=$I30))*$C30*(1+'Property Summary'!$L$18)^('MF Rents'!U$3-1))</f>
        <v/>
      </c>
      <c r="V30" s="149" t="str">
        <f>IF(OR($B30="",$B30=0),"",($G30*(V$4&lt;$I30)+$H30*(V$4&gt;=$I30))*$C30*(1+'Property Summary'!$L$18)^('MF Rents'!V$3-1))</f>
        <v/>
      </c>
      <c r="W30" s="149" t="str">
        <f>IF(OR($B30="",$B30=0),"",($G30*(W$4&lt;$I30)+$H30*(W$4&gt;=$I30))*$C30*(1+'Property Summary'!$L$18)^('MF Rents'!W$3-1))</f>
        <v/>
      </c>
      <c r="X30" s="149" t="str">
        <f>IF(OR($B30="",$B30=0),"",($G30*(X$4&lt;$I30)+$H30*(X$4&gt;=$I30))*$C30*(1+'Property Summary'!$L$18)^('MF Rents'!X$3-1))</f>
        <v/>
      </c>
      <c r="Y30" s="149" t="str">
        <f>IF(OR($B30="",$B30=0),"",($G30*(Y$4&lt;$I30)+$H30*(Y$4&gt;=$I30))*$C30*(1+'Property Summary'!$L$18)^('MF Rents'!Y$3-1))</f>
        <v/>
      </c>
      <c r="Z30" s="149" t="str">
        <f>IF(OR($B30="",$B30=0),"",($G30*(Z$4&lt;$I30)+$H30*(Z$4&gt;=$I30))*$C30*(1+'Property Summary'!$L$18)^('MF Rents'!Z$3-1))</f>
        <v/>
      </c>
      <c r="AA30" s="149" t="str">
        <f>IF(OR($B30="",$B30=0),"",($G30*(AA$4&lt;$I30)+$H30*(AA$4&gt;=$I30))*$C30*(1+'Property Summary'!$L$18)^('MF Rents'!AA$3-1))</f>
        <v/>
      </c>
      <c r="AB30" s="149" t="str">
        <f>IF(OR($B30="",$B30=0),"",($G30*(AB$4&lt;$I30)+$H30*(AB$4&gt;=$I30))*$C30*(1+'Property Summary'!$L$18)^('MF Rents'!AB$3-1))</f>
        <v/>
      </c>
      <c r="AC30" s="149" t="str">
        <f>IF(OR($B30="",$B30=0),"",($G30*(AC$4&lt;$I30)+$H30*(AC$4&gt;=$I30))*$C30*(1+'Property Summary'!$L$18)^('MF Rents'!AC$3-1))</f>
        <v/>
      </c>
      <c r="AD30" s="149" t="str">
        <f>IF(OR($B30="",$B30=0),"",($G30*(AD$4&lt;$I30)+$H30*(AD$4&gt;=$I30))*$C30*(1+'Property Summary'!$L$18)^('MF Rents'!AD$3-1))</f>
        <v/>
      </c>
      <c r="AE30" s="149" t="str">
        <f>IF(OR($B30="",$B30=0),"",($G30*(AE$4&lt;$I30)+$H30*(AE$4&gt;=$I30))*$C30*(1+'Property Summary'!$L$18)^('MF Rents'!AE$3-1))</f>
        <v/>
      </c>
      <c r="AF30" s="149" t="str">
        <f>IF(OR($B30="",$B30=0),"",($G30*(AF$4&lt;$I30)+$H30*(AF$4&gt;=$I30))*$C30*(1+'Property Summary'!$L$18)^('MF Rents'!AF$3-1))</f>
        <v/>
      </c>
      <c r="AG30" s="149" t="str">
        <f>IF(OR($B30="",$B30=0),"",($G30*(AG$4&lt;$I30)+$H30*(AG$4&gt;=$I30))*$C30*(1+'Property Summary'!$L$18)^('MF Rents'!AG$3-1))</f>
        <v/>
      </c>
      <c r="AH30" s="149" t="str">
        <f>IF(OR($B30="",$B30=0),"",($G30*(AH$4&lt;$I30)+$H30*(AH$4&gt;=$I30))*$C30*(1+'Property Summary'!$L$18)^('MF Rents'!AH$3-1))</f>
        <v/>
      </c>
      <c r="AI30" s="149" t="str">
        <f>IF(OR($B30="",$B30=0),"",($G30*(AI$4&lt;$I30)+$H30*(AI$4&gt;=$I30))*$C30*(1+'Property Summary'!$L$18)^('MF Rents'!AI$3-1))</f>
        <v/>
      </c>
      <c r="AJ30" s="149" t="str">
        <f>IF(OR($B30="",$B30=0),"",($G30*(AJ$4&lt;$I30)+$H30*(AJ$4&gt;=$I30))*$C30*(1+'Property Summary'!$L$18)^('MF Rents'!AJ$3-1))</f>
        <v/>
      </c>
      <c r="AK30" s="149" t="str">
        <f>IF(OR($B30="",$B30=0),"",($G30*(AK$4&lt;$I30)+$H30*(AK$4&gt;=$I30))*$C30*(1+'Property Summary'!$L$18)^('MF Rents'!AK$3-1))</f>
        <v/>
      </c>
      <c r="AL30" s="149" t="str">
        <f>IF(OR($B30="",$B30=0),"",($G30*(AL$4&lt;$I30)+$H30*(AL$4&gt;=$I30))*$C30*(1+'Property Summary'!$L$18)^('MF Rents'!AL$3-1))</f>
        <v/>
      </c>
      <c r="AM30" s="149" t="str">
        <f>IF(OR($B30="",$B30=0),"",($G30*(AM$4&lt;$I30)+$H30*(AM$4&gt;=$I30))*$C30*(1+'Property Summary'!$L$18)^('MF Rents'!AM$3-1))</f>
        <v/>
      </c>
      <c r="AN30" s="149" t="str">
        <f>IF(OR($B30="",$B30=0),"",($G30*(AN$4&lt;$I30)+$H30*(AN$4&gt;=$I30))*$C30*(1+'Property Summary'!$L$18)^('MF Rents'!AN$3-1))</f>
        <v/>
      </c>
      <c r="AO30" s="149" t="str">
        <f>IF(OR($B30="",$B30=0),"",($G30*(AO$4&lt;$I30)+$H30*(AO$4&gt;=$I30))*$C30*(1+'Property Summary'!$L$18)^('MF Rents'!AO$3-1))</f>
        <v/>
      </c>
      <c r="AP30" s="149" t="str">
        <f>IF(OR($B30="",$B30=0),"",($G30*(AP$4&lt;$I30)+$H30*(AP$4&gt;=$I30))*$C30*(1+'Property Summary'!$L$18)^('MF Rents'!AP$3-1))</f>
        <v/>
      </c>
      <c r="AQ30" s="149" t="str">
        <f>IF(OR($B30="",$B30=0),"",($G30*(AQ$4&lt;$I30)+$H30*(AQ$4&gt;=$I30))*$C30*(1+'Property Summary'!$L$18)^('MF Rents'!AQ$3-1))</f>
        <v/>
      </c>
      <c r="AR30" s="149" t="str">
        <f>IF(OR($B30="",$B30=0),"",($G30*(AR$4&lt;$I30)+$H30*(AR$4&gt;=$I30))*$C30*(1+'Property Summary'!$L$18)^('MF Rents'!AR$3-1))</f>
        <v/>
      </c>
      <c r="AS30" s="149" t="str">
        <f>IF(OR($B30="",$B30=0),"",($G30*(AS$4&lt;$I30)+$H30*(AS$4&gt;=$I30))*$C30*(1+'Property Summary'!$L$18)^('MF Rents'!AS$3-1))</f>
        <v/>
      </c>
      <c r="AT30" s="149" t="str">
        <f>IF(OR($B30="",$B30=0),"",($G30*(AT$4&lt;$I30)+$H30*(AT$4&gt;=$I30))*$C30*(1+'Property Summary'!$L$18)^('MF Rents'!AT$3-1))</f>
        <v/>
      </c>
      <c r="AU30" s="149" t="str">
        <f>IF(OR($B30="",$B30=0),"",($G30*(AU$4&lt;$I30)+$H30*(AU$4&gt;=$I30))*$C30*(1+'Property Summary'!$L$18)^('MF Rents'!AU$3-1))</f>
        <v/>
      </c>
      <c r="AV30" s="149" t="str">
        <f>IF(OR($B30="",$B30=0),"",($G30*(AV$4&lt;$I30)+$H30*(AV$4&gt;=$I30))*$C30*(1+'Property Summary'!$L$18)^('MF Rents'!AV$3-1))</f>
        <v/>
      </c>
      <c r="AW30" s="149" t="str">
        <f>IF(OR($B30="",$B30=0),"",($G30*(AW$4&lt;$I30)+$H30*(AW$4&gt;=$I30))*$C30*(1+'Property Summary'!$L$18)^('MF Rents'!AW$3-1))</f>
        <v/>
      </c>
      <c r="AX30" s="149" t="str">
        <f>IF(OR($B30="",$B30=0),"",($G30*(AX$4&lt;$I30)+$H30*(AX$4&gt;=$I30))*$C30*(1+'Property Summary'!$L$18)^('MF Rents'!AX$3-1))</f>
        <v/>
      </c>
      <c r="AY30" s="149" t="str">
        <f>IF(OR($B30="",$B30=0),"",($G30*(AY$4&lt;$I30)+$H30*(AY$4&gt;=$I30))*$C30*(1+'Property Summary'!$L$18)^('MF Rents'!AY$3-1))</f>
        <v/>
      </c>
      <c r="AZ30" s="149" t="str">
        <f>IF(OR($B30="",$B30=0),"",($G30*(AZ$4&lt;$I30)+$H30*(AZ$4&gt;=$I30))*$C30*(1+'Property Summary'!$L$18)^('MF Rents'!AZ$3-1))</f>
        <v/>
      </c>
      <c r="BA30" s="149" t="str">
        <f>IF(OR($B30="",$B30=0),"",($G30*(BA$4&lt;$I30)+$H30*(BA$4&gt;=$I30))*$C30*(1+'Property Summary'!$L$18)^('MF Rents'!BA$3-1))</f>
        <v/>
      </c>
      <c r="BB30" s="149" t="str">
        <f>IF(OR($B30="",$B30=0),"",($G30*(BB$4&lt;$I30)+$H30*(BB$4&gt;=$I30))*$C30*(1+'Property Summary'!$L$18)^('MF Rents'!BB$3-1))</f>
        <v/>
      </c>
      <c r="BC30" s="149" t="str">
        <f>IF(OR($B30="",$B30=0),"",($G30*(BC$4&lt;$I30)+$H30*(BC$4&gt;=$I30))*$C30*(1+'Property Summary'!$L$18)^('MF Rents'!BC$3-1))</f>
        <v/>
      </c>
      <c r="BD30" s="149" t="str">
        <f>IF(OR($B30="",$B30=0),"",($G30*(BD$4&lt;$I30)+$H30*(BD$4&gt;=$I30))*$C30*(1+'Property Summary'!$L$18)^('MF Rents'!BD$3-1))</f>
        <v/>
      </c>
      <c r="BE30" s="149" t="str">
        <f>IF(OR($B30="",$B30=0),"",($G30*(BE$4&lt;$I30)+$H30*(BE$4&gt;=$I30))*$C30*(1+'Property Summary'!$L$18)^('MF Rents'!BE$3-1))</f>
        <v/>
      </c>
      <c r="BF30" s="149" t="str">
        <f>IF(OR($B30="",$B30=0),"",($G30*(BF$4&lt;$I30)+$H30*(BF$4&gt;=$I30))*$C30*(1+'Property Summary'!$L$18)^('MF Rents'!BF$3-1))</f>
        <v/>
      </c>
      <c r="BG30" s="149" t="str">
        <f>IF(OR($B30="",$B30=0),"",($G30*(BG$4&lt;$I30)+$H30*(BG$4&gt;=$I30))*$C30*(1+'Property Summary'!$L$18)^('MF Rents'!BG$3-1))</f>
        <v/>
      </c>
      <c r="BH30" s="149" t="str">
        <f>IF(OR($B30="",$B30=0),"",($G30*(BH$4&lt;$I30)+$H30*(BH$4&gt;=$I30))*$C30*(1+'Property Summary'!$L$18)^('MF Rents'!BH$3-1))</f>
        <v/>
      </c>
      <c r="BI30" s="149" t="str">
        <f>IF(OR($B30="",$B30=0),"",($G30*(BI$4&lt;$I30)+$H30*(BI$4&gt;=$I30))*$C30*(1+'Property Summary'!$L$18)^('MF Rents'!BI$3-1))</f>
        <v/>
      </c>
      <c r="BJ30" s="149" t="str">
        <f>IF(OR($B30="",$B30=0),"",($G30*(BJ$4&lt;$I30)+$H30*(BJ$4&gt;=$I30))*$C30*(1+'Property Summary'!$L$18)^('MF Rents'!BJ$3-1))</f>
        <v/>
      </c>
      <c r="BK30" s="149" t="str">
        <f>IF(OR($B30="",$B30=0),"",($G30*(BK$4&lt;$I30)+$H30*(BK$4&gt;=$I30))*$C30*(1+'Property Summary'!$L$18)^('MF Rents'!BK$3-1))</f>
        <v/>
      </c>
      <c r="BL30" s="149" t="str">
        <f>IF(OR($B30="",$B30=0),"",($G30*(BL$4&lt;$I30)+$H30*(BL$4&gt;=$I30))*$C30*(1+'Property Summary'!$L$18)^('MF Rents'!BL$3-1))</f>
        <v/>
      </c>
      <c r="BM30" s="149" t="str">
        <f>IF(OR($B30="",$B30=0),"",($G30*(BM$4&lt;$I30)+$H30*(BM$4&gt;=$I30))*$C30*(1+'Property Summary'!$L$18)^('MF Rents'!BM$3-1))</f>
        <v/>
      </c>
      <c r="BN30" s="149" t="str">
        <f>IF(OR($B30="",$B30=0),"",($G30*(BN$4&lt;$I30)+$H30*(BN$4&gt;=$I30))*$C30*(1+'Property Summary'!$L$18)^('MF Rents'!BN$3-1))</f>
        <v/>
      </c>
      <c r="BO30" s="149" t="str">
        <f>IF(OR($B30="",$B30=0),"",($G30*(BO$4&lt;$I30)+$H30*(BO$4&gt;=$I30))*$C30*(1+'Property Summary'!$L$18)^('MF Rents'!BO$3-1))</f>
        <v/>
      </c>
      <c r="BP30" s="149" t="str">
        <f>IF(OR($B30="",$B30=0),"",($G30*(BP$4&lt;$I30)+$H30*(BP$4&gt;=$I30))*$C30*(1+'Property Summary'!$L$18)^('MF Rents'!BP$3-1))</f>
        <v/>
      </c>
      <c r="BQ30" s="149" t="str">
        <f>IF(OR($B30="",$B30=0),"",($G30*(BQ$4&lt;$I30)+$H30*(BQ$4&gt;=$I30))*$C30*(1+'Property Summary'!$L$18)^('MF Rents'!BQ$3-1))</f>
        <v/>
      </c>
      <c r="BR30" s="149" t="str">
        <f>IF(OR($B30="",$B30=0),"",($G30*(BR$4&lt;$I30)+$H30*(BR$4&gt;=$I30))*$C30*(1+'Property Summary'!$L$18)^('MF Rents'!BR$3-1))</f>
        <v/>
      </c>
      <c r="BS30" s="149" t="str">
        <f>IF(OR($B30="",$B30=0),"",($G30*(BS$4&lt;$I30)+$H30*(BS$4&gt;=$I30))*$C30*(1+'Property Summary'!$L$18)^('MF Rents'!BS$3-1))</f>
        <v/>
      </c>
      <c r="BT30" s="149" t="str">
        <f>IF(OR($B30="",$B30=0),"",($G30*(BT$4&lt;$I30)+$H30*(BT$4&gt;=$I30))*$C30*(1+'Property Summary'!$L$18)^('MF Rents'!BT$3-1))</f>
        <v/>
      </c>
      <c r="BU30" s="149" t="str">
        <f>IF(OR($B30="",$B30=0),"",($G30*(BU$4&lt;$I30)+$H30*(BU$4&gt;=$I30))*$C30*(1+'Property Summary'!$L$18)^('MF Rents'!BU$3-1))</f>
        <v/>
      </c>
      <c r="BV30" s="149" t="str">
        <f>IF(OR($B30="",$B30=0),"",($G30*(BV$4&lt;$I30)+$H30*(BV$4&gt;=$I30))*$C30*(1+'Property Summary'!$L$18)^('MF Rents'!BV$3-1))</f>
        <v/>
      </c>
      <c r="BW30" s="149" t="str">
        <f>IF(OR($B30="",$B30=0),"",($G30*(BW$4&lt;$I30)+$H30*(BW$4&gt;=$I30))*$C30*(1+'Property Summary'!$L$18)^('MF Rents'!BW$3-1))</f>
        <v/>
      </c>
      <c r="BX30" s="149" t="str">
        <f>IF(OR($B30="",$B30=0),"",($G30*(BX$4&lt;$I30)+$H30*(BX$4&gt;=$I30))*$C30*(1+'Property Summary'!$L$18)^('MF Rents'!BX$3-1))</f>
        <v/>
      </c>
      <c r="BY30" s="149" t="str">
        <f>IF(OR($B30="",$B30=0),"",($G30*(BY$4&lt;$I30)+$H30*(BY$4&gt;=$I30))*$C30*(1+'Property Summary'!$L$18)^('MF Rents'!BY$3-1))</f>
        <v/>
      </c>
      <c r="BZ30" s="149" t="str">
        <f>IF(OR($B30="",$B30=0),"",($G30*(BZ$4&lt;$I30)+$H30*(BZ$4&gt;=$I30))*$C30*(1+'Property Summary'!$L$18)^('MF Rents'!BZ$3-1))</f>
        <v/>
      </c>
      <c r="CA30" s="149" t="str">
        <f>IF(OR($B30="",$B30=0),"",($G30*(CA$4&lt;$I30)+$H30*(CA$4&gt;=$I30))*$C30*(1+'Property Summary'!$L$18)^('MF Rents'!CA$3-1))</f>
        <v/>
      </c>
      <c r="CB30" s="149" t="str">
        <f>IF(OR($B30="",$B30=0),"",($G30*(CB$4&lt;$I30)+$H30*(CB$4&gt;=$I30))*$C30*(1+'Property Summary'!$L$18)^('MF Rents'!CB$3-1))</f>
        <v/>
      </c>
      <c r="CC30" s="149" t="str">
        <f>IF(OR($B30="",$B30=0),"",($G30*(CC$4&lt;$I30)+$H30*(CC$4&gt;=$I30))*$C30*(1+'Property Summary'!$L$18)^('MF Rents'!CC$3-1))</f>
        <v/>
      </c>
      <c r="CD30" s="149" t="str">
        <f>IF(OR($B30="",$B30=0),"",($G30*(CD$4&lt;$I30)+$H30*(CD$4&gt;=$I30))*$C30*(1+'Property Summary'!$L$18)^('MF Rents'!CD$3-1))</f>
        <v/>
      </c>
      <c r="CE30" s="149" t="str">
        <f>IF(OR($B30="",$B30=0),"",($G30*(CE$4&lt;$I30)+$H30*(CE$4&gt;=$I30))*$C30*(1+'Property Summary'!$L$18)^('MF Rents'!CE$3-1))</f>
        <v/>
      </c>
      <c r="CF30" s="149" t="str">
        <f>IF(OR($B30="",$B30=0),"",($G30*(CF$4&lt;$I30)+$H30*(CF$4&gt;=$I30))*$C30*(1+'Property Summary'!$L$18)^('MF Rents'!CF$3-1))</f>
        <v/>
      </c>
      <c r="CG30" s="149" t="str">
        <f>IF(OR($B30="",$B30=0),"",($G30*(CG$4&lt;$I30)+$H30*(CG$4&gt;=$I30))*$C30*(1+'Property Summary'!$L$18)^('MF Rents'!CG$3-1))</f>
        <v/>
      </c>
      <c r="CH30" s="149" t="str">
        <f>IF(OR($B30="",$B30=0),"",($G30*(CH$4&lt;$I30)+$H30*(CH$4&gt;=$I30))*$C30*(1+'Property Summary'!$L$18)^('MF Rents'!CH$3-1))</f>
        <v/>
      </c>
      <c r="CI30" s="149" t="str">
        <f>IF(OR($B30="",$B30=0),"",($G30*(CI$4&lt;$I30)+$H30*(CI$4&gt;=$I30))*$C30*(1+'Property Summary'!$L$18)^('MF Rents'!CI$3-1))</f>
        <v/>
      </c>
      <c r="CJ30" s="149" t="str">
        <f>IF(OR($B30="",$B30=0),"",($G30*(CJ$4&lt;$I30)+$H30*(CJ$4&gt;=$I30))*$C30*(1+'Property Summary'!$L$18)^('MF Rents'!CJ$3-1))</f>
        <v/>
      </c>
      <c r="CK30" s="149" t="str">
        <f>IF(OR($B30="",$B30=0),"",($G30*(CK$4&lt;$I30)+$H30*(CK$4&gt;=$I30))*$C30*(1+'Property Summary'!$L$18)^('MF Rents'!CK$3-1))</f>
        <v/>
      </c>
      <c r="CL30" s="149" t="str">
        <f>IF(OR($B30="",$B30=0),"",($G30*(CL$4&lt;$I30)+$H30*(CL$4&gt;=$I30))*$C30*(1+'Property Summary'!$L$18)^('MF Rents'!CL$3-1))</f>
        <v/>
      </c>
      <c r="CM30" s="149" t="str">
        <f>IF(OR($B30="",$B30=0),"",($G30*(CM$4&lt;$I30)+$H30*(CM$4&gt;=$I30))*$C30*(1+'Property Summary'!$L$18)^('MF Rents'!CM$3-1))</f>
        <v/>
      </c>
      <c r="CN30" s="149" t="str">
        <f>IF(OR($B30="",$B30=0),"",($G30*(CN$4&lt;$I30)+$H30*(CN$4&gt;=$I30))*$C30*(1+'Property Summary'!$L$18)^('MF Rents'!CN$3-1))</f>
        <v/>
      </c>
      <c r="CO30" s="149" t="str">
        <f>IF(OR($B30="",$B30=0),"",($G30*(CO$4&lt;$I30)+$H30*(CO$4&gt;=$I30))*$C30*(1+'Property Summary'!$L$18)^('MF Rents'!CO$3-1))</f>
        <v/>
      </c>
      <c r="CP30" s="149" t="str">
        <f>IF(OR($B30="",$B30=0),"",($G30*(CP$4&lt;$I30)+$H30*(CP$4&gt;=$I30))*$C30*(1+'Property Summary'!$L$18)^('MF Rents'!CP$3-1))</f>
        <v/>
      </c>
      <c r="CQ30" s="149" t="str">
        <f>IF(OR($B30="",$B30=0),"",($G30*(CQ$4&lt;$I30)+$H30*(CQ$4&gt;=$I30))*$C30*(1+'Property Summary'!$L$18)^('MF Rents'!CQ$3-1))</f>
        <v/>
      </c>
      <c r="CR30" s="149" t="str">
        <f>IF(OR($B30="",$B30=0),"",($G30*(CR$4&lt;$I30)+$H30*(CR$4&gt;=$I30))*$C30*(1+'Property Summary'!$L$18)^('MF Rents'!CR$3-1))</f>
        <v/>
      </c>
      <c r="CS30" s="149" t="str">
        <f>IF(OR($B30="",$B30=0),"",($G30*(CS$4&lt;$I30)+$H30*(CS$4&gt;=$I30))*$C30*(1+'Property Summary'!$L$18)^('MF Rents'!CS$3-1))</f>
        <v/>
      </c>
      <c r="CT30" s="149" t="str">
        <f>IF(OR($B30="",$B30=0),"",($G30*(CT$4&lt;$I30)+$H30*(CT$4&gt;=$I30))*$C30*(1+'Property Summary'!$L$18)^('MF Rents'!CT$3-1))</f>
        <v/>
      </c>
      <c r="CU30" s="149" t="str">
        <f>IF(OR($B30="",$B30=0),"",($G30*(CU$4&lt;$I30)+$H30*(CU$4&gt;=$I30))*$C30*(1+'Property Summary'!$L$18)^('MF Rents'!CU$3-1))</f>
        <v/>
      </c>
      <c r="CV30" s="149" t="str">
        <f>IF(OR($B30="",$B30=0),"",($G30*(CV$4&lt;$I30)+$H30*(CV$4&gt;=$I30))*$C30*(1+'Property Summary'!$L$18)^('MF Rents'!CV$3-1))</f>
        <v/>
      </c>
      <c r="CW30" s="149" t="str">
        <f>IF(OR($B30="",$B30=0),"",($G30*(CW$4&lt;$I30)+$H30*(CW$4&gt;=$I30))*$C30*(1+'Property Summary'!$L$18)^('MF Rents'!CW$3-1))</f>
        <v/>
      </c>
      <c r="CX30" s="149" t="str">
        <f>IF(OR($B30="",$B30=0),"",($G30*(CX$4&lt;$I30)+$H30*(CX$4&gt;=$I30))*$C30*(1+'Property Summary'!$L$18)^('MF Rents'!CX$3-1))</f>
        <v/>
      </c>
      <c r="CY30" s="149" t="str">
        <f>IF(OR($B30="",$B30=0),"",($G30*(CY$4&lt;$I30)+$H30*(CY$4&gt;=$I30))*$C30*(1+'Property Summary'!$L$18)^('MF Rents'!CY$3-1))</f>
        <v/>
      </c>
      <c r="CZ30" s="149" t="str">
        <f>IF(OR($B30="",$B30=0),"",($G30*(CZ$4&lt;$I30)+$H30*(CZ$4&gt;=$I30))*$C30*(1+'Property Summary'!$L$18)^('MF Rents'!CZ$3-1))</f>
        <v/>
      </c>
      <c r="DA30" s="149" t="str">
        <f>IF(OR($B30="",$B30=0),"",($G30*(DA$4&lt;$I30)+$H30*(DA$4&gt;=$I30))*$C30*(1+'Property Summary'!$L$18)^('MF Rents'!DA$3-1))</f>
        <v/>
      </c>
      <c r="DB30" s="149" t="str">
        <f>IF(OR($B30="",$B30=0),"",($G30*(DB$4&lt;$I30)+$H30*(DB$4&gt;=$I30))*$C30*(1+'Property Summary'!$L$18)^('MF Rents'!DB$3-1))</f>
        <v/>
      </c>
      <c r="DC30" s="149" t="str">
        <f>IF(OR($B30="",$B30=0),"",($G30*(DC$4&lt;$I30)+$H30*(DC$4&gt;=$I30))*$C30*(1+'Property Summary'!$L$18)^('MF Rents'!DC$3-1))</f>
        <v/>
      </c>
      <c r="DD30" s="149" t="str">
        <f>IF(OR($B30="",$B30=0),"",($G30*(DD$4&lt;$I30)+$H30*(DD$4&gt;=$I30))*$C30*(1+'Property Summary'!$L$18)^('MF Rents'!DD$3-1))</f>
        <v/>
      </c>
      <c r="DE30" s="149" t="str">
        <f>IF(OR($B30="",$B30=0),"",($G30*(DE$4&lt;$I30)+$H30*(DE$4&gt;=$I30))*$C30*(1+'Property Summary'!$L$18)^('MF Rents'!DE$3-1))</f>
        <v/>
      </c>
      <c r="DF30" s="149" t="str">
        <f>IF(OR($B30="",$B30=0),"",($G30*(DF$4&lt;$I30)+$H30*(DF$4&gt;=$I30))*$C30*(1+'Property Summary'!$L$18)^('MF Rents'!DF$3-1))</f>
        <v/>
      </c>
      <c r="DG30" s="149" t="str">
        <f>IF(OR($B30="",$B30=0),"",($G30*(DG$4&lt;$I30)+$H30*(DG$4&gt;=$I30))*$C30*(1+'Property Summary'!$L$18)^('MF Rents'!DG$3-1))</f>
        <v/>
      </c>
      <c r="DH30" s="149" t="str">
        <f>IF(OR($B30="",$B30=0),"",($G30*(DH$4&lt;$I30)+$H30*(DH$4&gt;=$I30))*$C30*(1+'Property Summary'!$L$18)^('MF Rents'!DH$3-1))</f>
        <v/>
      </c>
      <c r="DI30" s="149" t="str">
        <f>IF(OR($B30="",$B30=0),"",($G30*(DI$4&lt;$I30)+$H30*(DI$4&gt;=$I30))*$C30*(1+'Property Summary'!$L$18)^('MF Rents'!DI$3-1))</f>
        <v/>
      </c>
      <c r="DJ30" s="149" t="str">
        <f>IF(OR($B30="",$B30=0),"",($G30*(DJ$4&lt;$I30)+$H30*(DJ$4&gt;=$I30))*$C30*(1+'Property Summary'!$L$18)^('MF Rents'!DJ$3-1))</f>
        <v/>
      </c>
      <c r="DK30" s="149" t="str">
        <f>IF(OR($B30="",$B30=0),"",($G30*(DK$4&lt;$I30)+$H30*(DK$4&gt;=$I30))*$C30*(1+'Property Summary'!$L$18)^('MF Rents'!DK$3-1))</f>
        <v/>
      </c>
      <c r="DL30" s="149" t="str">
        <f>IF(OR($B30="",$B30=0),"",($G30*(DL$4&lt;$I30)+$H30*(DL$4&gt;=$I30))*$C30*(1+'Property Summary'!$L$18)^('MF Rents'!DL$3-1))</f>
        <v/>
      </c>
      <c r="DM30" s="149" t="str">
        <f>IF(OR($B30="",$B30=0),"",($G30*(DM$4&lt;$I30)+$H30*(DM$4&gt;=$I30))*$C30*(1+'Property Summary'!$L$18)^('MF Rents'!DM$3-1))</f>
        <v/>
      </c>
      <c r="DN30" s="149" t="str">
        <f>IF(OR($B30="",$B30=0),"",($G30*(DN$4&lt;$I30)+$H30*(DN$4&gt;=$I30))*$C30*(1+'Property Summary'!$L$18)^('MF Rents'!DN$3-1))</f>
        <v/>
      </c>
      <c r="DO30" s="149" t="str">
        <f>IF(OR($B30="",$B30=0),"",($G30*(DO$4&lt;$I30)+$H30*(DO$4&gt;=$I30))*$C30*(1+'Property Summary'!$L$18)^('MF Rents'!DO$3-1))</f>
        <v/>
      </c>
      <c r="DP30" s="149" t="str">
        <f>IF(OR($B30="",$B30=0),"",($G30*(DP$4&lt;$I30)+$H30*(DP$4&gt;=$I30))*$C30*(1+'Property Summary'!$L$18)^('MF Rents'!DP$3-1))</f>
        <v/>
      </c>
      <c r="DQ30" s="149" t="str">
        <f>IF(OR($B30="",$B30=0),"",($G30*(DQ$4&lt;$I30)+$H30*(DQ$4&gt;=$I30))*$C30*(1+'Property Summary'!$L$18)^('MF Rents'!DQ$3-1))</f>
        <v/>
      </c>
      <c r="DR30" s="149" t="str">
        <f>IF(OR($B30="",$B30=0),"",($G30*(DR$4&lt;$I30)+$H30*(DR$4&gt;=$I30))*$C30*(1+'Property Summary'!$L$18)^('MF Rents'!DR$3-1))</f>
        <v/>
      </c>
      <c r="DS30" s="149" t="str">
        <f>IF(OR($B30="",$B30=0),"",($G30*(DS$4&lt;$I30)+$H30*(DS$4&gt;=$I30))*$C30*(1+'Property Summary'!$L$18)^('MF Rents'!DS$3-1))</f>
        <v/>
      </c>
      <c r="DT30" s="149" t="str">
        <f>IF(OR($B30="",$B30=0),"",($G30*(DT$4&lt;$I30)+$H30*(DT$4&gt;=$I30))*$C30*(1+'Property Summary'!$L$18)^('MF Rents'!DT$3-1))</f>
        <v/>
      </c>
      <c r="DU30" s="149" t="str">
        <f>IF(OR($B30="",$B30=0),"",($G30*(DU$4&lt;$I30)+$H30*(DU$4&gt;=$I30))*$C30*(1+'Property Summary'!$L$18)^('MF Rents'!DU$3-1))</f>
        <v/>
      </c>
      <c r="DV30" s="149" t="str">
        <f>IF(OR($B30="",$B30=0),"",($G30*(DV$4&lt;$I30)+$H30*(DV$4&gt;=$I30))*$C30*(1+'Property Summary'!$L$18)^('MF Rents'!DV$3-1))</f>
        <v/>
      </c>
      <c r="DW30" s="149" t="str">
        <f>IF(OR($B30="",$B30=0),"",($G30*(DW$4&lt;$I30)+$H30*(DW$4&gt;=$I30))*$C30*(1+'Property Summary'!$L$18)^('MF Rents'!DW$3-1))</f>
        <v/>
      </c>
      <c r="DX30" s="149" t="str">
        <f>IF(OR($B30="",$B30=0),"",($G30*(DX$4&lt;$I30)+$H30*(DX$4&gt;=$I30))*$C30*(1+'Property Summary'!$L$18)^('MF Rents'!DX$3-1))</f>
        <v/>
      </c>
      <c r="DY30" s="149" t="str">
        <f>IF(OR($B30="",$B30=0),"",($G30*(DY$4&lt;$I30)+$H30*(DY$4&gt;=$I30))*$C30*(1+'Property Summary'!$L$18)^('MF Rents'!DY$3-1))</f>
        <v/>
      </c>
      <c r="DZ30" s="149" t="str">
        <f>IF(OR($B30="",$B30=0),"",($G30*(DZ$4&lt;$I30)+$H30*(DZ$4&gt;=$I30))*$C30*(1+'Property Summary'!$L$18)^('MF Rents'!DZ$3-1))</f>
        <v/>
      </c>
      <c r="EA30" s="149" t="str">
        <f>IF(OR($B30="",$B30=0),"",($G30*(EA$4&lt;$I30)+$H30*(EA$4&gt;=$I30))*$C30*(1+'Property Summary'!$L$18)^('MF Rents'!EA$3-1))</f>
        <v/>
      </c>
      <c r="EB30" s="149" t="str">
        <f>IF(OR($B30="",$B30=0),"",($G30*(EB$4&lt;$I30)+$H30*(EB$4&gt;=$I30))*$C30*(1+'Property Summary'!$L$18)^('MF Rents'!EB$3-1))</f>
        <v/>
      </c>
      <c r="EC30" s="149" t="str">
        <f>IF(OR($B30="",$B30=0),"",($G30*(EC$4&lt;$I30)+$H30*(EC$4&gt;=$I30))*$C30*(1+'Property Summary'!$L$18)^('MF Rents'!EC$3-1))</f>
        <v/>
      </c>
      <c r="ED30" s="149" t="str">
        <f>IF(OR($B30="",$B30=0),"",($G30*(ED$4&lt;$I30)+$H30*(ED$4&gt;=$I30))*$C30*(1+'Property Summary'!$L$18)^('MF Rents'!ED$3-1))</f>
        <v/>
      </c>
      <c r="EE30" s="149" t="str">
        <f>IF(OR($B30="",$B30=0),"",($G30*(EE$4&lt;$I30)+$H30*(EE$4&gt;=$I30))*$C30*(1+'Property Summary'!$L$18)^('MF Rents'!EE$3-1))</f>
        <v/>
      </c>
      <c r="EF30" s="149" t="str">
        <f>IF(OR($B30="",$B30=0),"",($G30*(EF$4&lt;$I30)+$H30*(EF$4&gt;=$I30))*$C30*(1+'Property Summary'!$L$18)^('MF Rents'!EF$3-1))</f>
        <v/>
      </c>
      <c r="EG30" s="149" t="str">
        <f>IF(OR($B30="",$B30=0),"",($G30*(EG$4&lt;$I30)+$H30*(EG$4&gt;=$I30))*$C30*(1+'Property Summary'!$L$18)^('MF Rents'!EG$3-1))</f>
        <v/>
      </c>
      <c r="EH30" s="149" t="str">
        <f>IF(OR($B30="",$B30=0),"",($G30*(EH$4&lt;$I30)+$H30*(EH$4&gt;=$I30))*$C30*(1+'Property Summary'!$L$18)^('MF Rents'!EH$3-1))</f>
        <v/>
      </c>
      <c r="EI30" s="149" t="str">
        <f>IF(OR($B30="",$B30=0),"",($G30*(EI$4&lt;$I30)+$H30*(EI$4&gt;=$I30))*$C30*(1+'Property Summary'!$L$18)^('MF Rents'!EI$3-1))</f>
        <v/>
      </c>
      <c r="EJ30" s="149" t="str">
        <f>IF(OR($B30="",$B30=0),"",($G30*(EJ$4&lt;$I30)+$H30*(EJ$4&gt;=$I30))*$C30*(1+'Property Summary'!$L$18)^('MF Rents'!EJ$3-1))</f>
        <v/>
      </c>
      <c r="EK30" s="149" t="str">
        <f>IF(OR($B30="",$B30=0),"",($G30*(EK$4&lt;$I30)+$H30*(EK$4&gt;=$I30))*$C30*(1+'Property Summary'!$L$18)^('MF Rents'!EK$3-1))</f>
        <v/>
      </c>
      <c r="EL30" s="149" t="str">
        <f>IF(OR($B30="",$B30=0),"",($G30*(EL$4&lt;$I30)+$H30*(EL$4&gt;=$I30))*$C30*(1+'Property Summary'!$L$18)^('MF Rents'!EL$3-1))</f>
        <v/>
      </c>
      <c r="EM30" s="149" t="str">
        <f>IF(OR($B30="",$B30=0),"",($G30*(EM$4&lt;$I30)+$H30*(EM$4&gt;=$I30))*$C30*(1+'Property Summary'!$L$18)^('MF Rents'!EM$3-1))</f>
        <v/>
      </c>
      <c r="EN30" s="149" t="str">
        <f>IF(OR($B30="",$B30=0),"",($G30*(EN$4&lt;$I30)+$H30*(EN$4&gt;=$I30))*$C30*(1+'Property Summary'!$L$18)^('MF Rents'!EN$3-1))</f>
        <v/>
      </c>
      <c r="EO30" s="149" t="str">
        <f>IF(OR($B30="",$B30=0),"",($G30*(EO$4&lt;$I30)+$H30*(EO$4&gt;=$I30))*$C30*(1+'Property Summary'!$L$18)^('MF Rents'!EO$3-1))</f>
        <v/>
      </c>
      <c r="EP30" s="149" t="str">
        <f>IF(OR($B30="",$B30=0),"",($G30*(EP$4&lt;$I30)+$H30*(EP$4&gt;=$I30))*$C30*(1+'Property Summary'!$L$18)^('MF Rents'!EP$3-1))</f>
        <v/>
      </c>
      <c r="EQ30" s="149" t="str">
        <f>IF(OR($B30="",$B30=0),"",($G30*(EQ$4&lt;$I30)+$H30*(EQ$4&gt;=$I30))*$C30*(1+'Property Summary'!$L$18)^('MF Rents'!EQ$3-1))</f>
        <v/>
      </c>
      <c r="ER30" s="149" t="str">
        <f>IF(OR($B30="",$B30=0),"",($G30*(ER$4&lt;$I30)+$H30*(ER$4&gt;=$I30))*$C30*(1+'Property Summary'!$L$18)^('MF Rents'!ER$3-1))</f>
        <v/>
      </c>
      <c r="ES30" s="149" t="str">
        <f>IF(OR($B30="",$B30=0),"",($G30*(ES$4&lt;$I30)+$H30*(ES$4&gt;=$I30))*$C30*(1+'Property Summary'!$L$18)^('MF Rents'!ES$3-1))</f>
        <v/>
      </c>
      <c r="ET30" s="149" t="str">
        <f>IF(OR($B30="",$B30=0),"",($G30*(ET$4&lt;$I30)+$H30*(ET$4&gt;=$I30))*$C30*(1+'Property Summary'!$L$18)^('MF Rents'!ET$3-1))</f>
        <v/>
      </c>
      <c r="EU30" s="149" t="str">
        <f>IF(OR($B30="",$B30=0),"",($G30*(EU$4&lt;$I30)+$H30*(EU$4&gt;=$I30))*$C30*(1+'Property Summary'!$L$18)^('MF Rents'!EU$3-1))</f>
        <v/>
      </c>
      <c r="EV30" s="149" t="str">
        <f>IF(OR($B30="",$B30=0),"",($G30*(EV$4&lt;$I30)+$H30*(EV$4&gt;=$I30))*$C30*(1+'Property Summary'!$L$18)^('MF Rents'!EV$3-1))</f>
        <v/>
      </c>
      <c r="EW30" s="149" t="str">
        <f>IF(OR($B30="",$B30=0),"",($G30*(EW$4&lt;$I30)+$H30*(EW$4&gt;=$I30))*$C30*(1+'Property Summary'!$L$18)^('MF Rents'!EW$3-1))</f>
        <v/>
      </c>
      <c r="EX30" s="149" t="str">
        <f>IF(OR($B30="",$B30=0),"",($G30*(EX$4&lt;$I30)+$H30*(EX$4&gt;=$I30))*$C30*(1+'Property Summary'!$L$18)^('MF Rents'!EX$3-1))</f>
        <v/>
      </c>
      <c r="EY30" s="149" t="str">
        <f>IF(OR($B30="",$B30=0),"",($G30*(EY$4&lt;$I30)+$H30*(EY$4&gt;=$I30))*$C30*(1+'Property Summary'!$L$18)^('MF Rents'!EY$3-1))</f>
        <v/>
      </c>
      <c r="EZ30" s="149" t="str">
        <f>IF(OR($B30="",$B30=0),"",($G30*(EZ$4&lt;$I30)+$H30*(EZ$4&gt;=$I30))*$C30*(1+'Property Summary'!$L$18)^('MF Rents'!EZ$3-1))</f>
        <v/>
      </c>
      <c r="FA30" s="149" t="str">
        <f>IF(OR($B30="",$B30=0),"",($G30*(FA$4&lt;$I30)+$H30*(FA$4&gt;=$I30))*$C30*(1+'Property Summary'!$L$18)^('MF Rents'!FA$3-1))</f>
        <v/>
      </c>
      <c r="FB30" s="149" t="str">
        <f>IF(OR($B30="",$B30=0),"",($G30*(FB$4&lt;$I30)+$H30*(FB$4&gt;=$I30))*$C30*(1+'Property Summary'!$L$18)^('MF Rents'!FB$3-1))</f>
        <v/>
      </c>
      <c r="FC30" s="149" t="str">
        <f>IF(OR($B30="",$B30=0),"",($G30*(FC$4&lt;$I30)+$H30*(FC$4&gt;=$I30))*$C30*(1+'Property Summary'!$L$18)^('MF Rents'!FC$3-1))</f>
        <v/>
      </c>
      <c r="FD30" s="149" t="str">
        <f>IF(OR($B30="",$B30=0),"",($G30*(FD$4&lt;$I30)+$H30*(FD$4&gt;=$I30))*$C30*(1+'Property Summary'!$L$18)^('MF Rents'!FD$3-1))</f>
        <v/>
      </c>
      <c r="FE30" s="149" t="str">
        <f>IF(OR($B30="",$B30=0),"",($G30*(FE$4&lt;$I30)+$H30*(FE$4&gt;=$I30))*$C30*(1+'Property Summary'!$L$18)^('MF Rents'!FE$3-1))</f>
        <v/>
      </c>
      <c r="FF30" s="149" t="str">
        <f>IF(OR($B30="",$B30=0),"",($G30*(FF$4&lt;$I30)+$H30*(FF$4&gt;=$I30))*$C30*(1+'Property Summary'!$L$18)^('MF Rents'!FF$3-1))</f>
        <v/>
      </c>
      <c r="FG30" s="149" t="str">
        <f>IF(OR($B30="",$B30=0),"",($G30*(FG$4&lt;$I30)+$H30*(FG$4&gt;=$I30))*$C30*(1+'Property Summary'!$L$18)^('MF Rents'!FG$3-1))</f>
        <v/>
      </c>
      <c r="FH30" s="149" t="str">
        <f>IF(OR($B30="",$B30=0),"",($G30*(FH$4&lt;$I30)+$H30*(FH$4&gt;=$I30))*$C30*(1+'Property Summary'!$L$18)^('MF Rents'!FH$3-1))</f>
        <v/>
      </c>
      <c r="FI30" s="149" t="str">
        <f>IF(OR($B30="",$B30=0),"",($G30*(FI$4&lt;$I30)+$H30*(FI$4&gt;=$I30))*$C30*(1+'Property Summary'!$L$18)^('MF Rents'!FI$3-1))</f>
        <v/>
      </c>
      <c r="FJ30" s="149" t="str">
        <f>IF(OR($B30="",$B30=0),"",($G30*(FJ$4&lt;$I30)+$H30*(FJ$4&gt;=$I30))*$C30*(1+'Property Summary'!$L$18)^('MF Rents'!FJ$3-1))</f>
        <v/>
      </c>
      <c r="FK30" s="149" t="str">
        <f>IF(OR($B30="",$B30=0),"",($G30*(FK$4&lt;$I30)+$H30*(FK$4&gt;=$I30))*$C30*(1+'Property Summary'!$L$18)^('MF Rents'!FK$3-1))</f>
        <v/>
      </c>
      <c r="FL30" s="149" t="str">
        <f>IF(OR($B30="",$B30=0),"",($G30*(FL$4&lt;$I30)+$H30*(FL$4&gt;=$I30))*$C30*(1+'Property Summary'!$L$18)^('MF Rents'!FL$3-1))</f>
        <v/>
      </c>
      <c r="FM30" s="149" t="str">
        <f>IF(OR($B30="",$B30=0),"",($G30*(FM$4&lt;$I30)+$H30*(FM$4&gt;=$I30))*$C30*(1+'Property Summary'!$L$18)^('MF Rents'!FM$3-1))</f>
        <v/>
      </c>
      <c r="FN30" s="149" t="str">
        <f>IF(OR($B30="",$B30=0),"",($G30*(FN$4&lt;$I30)+$H30*(FN$4&gt;=$I30))*$C30*(1+'Property Summary'!$L$18)^('MF Rents'!FN$3-1))</f>
        <v/>
      </c>
      <c r="FO30" s="149" t="str">
        <f>IF(OR($B30="",$B30=0),"",($G30*(FO$4&lt;$I30)+$H30*(FO$4&gt;=$I30))*$C30*(1+'Property Summary'!$L$18)^('MF Rents'!FO$3-1))</f>
        <v/>
      </c>
      <c r="FP30" s="149" t="str">
        <f>IF(OR($B30="",$B30=0),"",($G30*(FP$4&lt;$I30)+$H30*(FP$4&gt;=$I30))*$C30*(1+'Property Summary'!$L$18)^('MF Rents'!FP$3-1))</f>
        <v/>
      </c>
      <c r="FQ30" s="149" t="str">
        <f>IF(OR($B30="",$B30=0),"",($G30*(FQ$4&lt;$I30)+$H30*(FQ$4&gt;=$I30))*$C30*(1+'Property Summary'!$L$18)^('MF Rents'!FQ$3-1))</f>
        <v/>
      </c>
      <c r="FR30" s="149" t="str">
        <f>IF(OR($B30="",$B30=0),"",($G30*(FR$4&lt;$I30)+$H30*(FR$4&gt;=$I30))*$C30*(1+'Property Summary'!$L$18)^('MF Rents'!FR$3-1))</f>
        <v/>
      </c>
      <c r="FS30" s="149" t="str">
        <f>IF(OR($B30="",$B30=0),"",($G30*(FS$4&lt;$I30)+$H30*(FS$4&gt;=$I30))*$C30*(1+'Property Summary'!$L$18)^('MF Rents'!FS$3-1))</f>
        <v/>
      </c>
      <c r="FT30" s="149" t="str">
        <f>IF(OR($B30="",$B30=0),"",($G30*(FT$4&lt;$I30)+$H30*(FT$4&gt;=$I30))*$C30*(1+'Property Summary'!$L$18)^('MF Rents'!FT$3-1))</f>
        <v/>
      </c>
      <c r="FU30" s="149" t="str">
        <f>IF(OR($B30="",$B30=0),"",($G30*(FU$4&lt;$I30)+$H30*(FU$4&gt;=$I30))*$C30*(1+'Property Summary'!$L$18)^('MF Rents'!FU$3-1))</f>
        <v/>
      </c>
      <c r="FV30" s="149" t="str">
        <f>IF(OR($B30="",$B30=0),"",($G30*(FV$4&lt;$I30)+$H30*(FV$4&gt;=$I30))*$C30*(1+'Property Summary'!$L$18)^('MF Rents'!FV$3-1))</f>
        <v/>
      </c>
      <c r="FW30" s="149" t="str">
        <f>IF(OR($B30="",$B30=0),"",($G30*(FW$4&lt;$I30)+$H30*(FW$4&gt;=$I30))*$C30*(1+'Property Summary'!$L$18)^('MF Rents'!FW$3-1))</f>
        <v/>
      </c>
      <c r="FX30" s="149" t="str">
        <f>IF(OR($B30="",$B30=0),"",($G30*(FX$4&lt;$I30)+$H30*(FX$4&gt;=$I30))*$C30*(1+'Property Summary'!$L$18)^('MF Rents'!FX$3-1))</f>
        <v/>
      </c>
      <c r="FY30" s="149" t="str">
        <f>IF(OR($B30="",$B30=0),"",($G30*(FY$4&lt;$I30)+$H30*(FY$4&gt;=$I30))*$C30*(1+'Property Summary'!$L$18)^('MF Rents'!FY$3-1))</f>
        <v/>
      </c>
      <c r="FZ30" s="149" t="str">
        <f>IF(OR($B30="",$B30=0),"",($G30*(FZ$4&lt;$I30)+$H30*(FZ$4&gt;=$I30))*$C30*(1+'Property Summary'!$L$18)^('MF Rents'!FZ$3-1))</f>
        <v/>
      </c>
      <c r="GA30" s="149" t="str">
        <f>IF(OR($B30="",$B30=0),"",($G30*(GA$4&lt;$I30)+$H30*(GA$4&gt;=$I30))*$C30*(1+'Property Summary'!$L$18)^('MF Rents'!GA$3-1))</f>
        <v/>
      </c>
      <c r="GB30" s="149" t="str">
        <f>IF(OR($B30="",$B30=0),"",($G30*(GB$4&lt;$I30)+$H30*(GB$4&gt;=$I30))*$C30*(1+'Property Summary'!$L$18)^('MF Rents'!GB$3-1))</f>
        <v/>
      </c>
      <c r="GC30" s="149" t="str">
        <f>IF(OR($B30="",$B30=0),"",($G30*(GC$4&lt;$I30)+$H30*(GC$4&gt;=$I30))*$C30*(1+'Property Summary'!$L$18)^('MF Rents'!GC$3-1))</f>
        <v/>
      </c>
      <c r="GD30" s="149" t="str">
        <f>IF(OR($B30="",$B30=0),"",($G30*(GD$4&lt;$I30)+$H30*(GD$4&gt;=$I30))*$C30*(1+'Property Summary'!$L$18)^('MF Rents'!GD$3-1))</f>
        <v/>
      </c>
      <c r="GE30" s="149" t="str">
        <f>IF(OR($B30="",$B30=0),"",($G30*(GE$4&lt;$I30)+$H30*(GE$4&gt;=$I30))*$C30*(1+'Property Summary'!$L$18)^('MF Rents'!GE$3-1))</f>
        <v/>
      </c>
      <c r="GF30" s="149" t="str">
        <f>IF(OR($B30="",$B30=0),"",($G30*(GF$4&lt;$I30)+$H30*(GF$4&gt;=$I30))*$C30*(1+'Property Summary'!$L$18)^('MF Rents'!GF$3-1))</f>
        <v/>
      </c>
      <c r="GG30" s="149" t="str">
        <f>IF(OR($B30="",$B30=0),"",($G30*(GG$4&lt;$I30)+$H30*(GG$4&gt;=$I30))*$C30*(1+'Property Summary'!$L$18)^('MF Rents'!GG$3-1))</f>
        <v/>
      </c>
      <c r="GH30" s="149" t="str">
        <f>IF(OR($B30="",$B30=0),"",($G30*(GH$4&lt;$I30)+$H30*(GH$4&gt;=$I30))*$C30*(1+'Property Summary'!$L$18)^('MF Rents'!GH$3-1))</f>
        <v/>
      </c>
      <c r="GI30" s="149" t="str">
        <f>IF(OR($B30="",$B30=0),"",($G30*(GI$4&lt;$I30)+$H30*(GI$4&gt;=$I30))*$C30*(1+'Property Summary'!$L$18)^('MF Rents'!GI$3-1))</f>
        <v/>
      </c>
      <c r="GJ30" s="149" t="str">
        <f>IF(OR($B30="",$B30=0),"",($G30*(GJ$4&lt;$I30)+$H30*(GJ$4&gt;=$I30))*$C30*(1+'Property Summary'!$L$18)^('MF Rents'!GJ$3-1))</f>
        <v/>
      </c>
      <c r="GK30" s="149" t="str">
        <f>IF(OR($B30="",$B30=0),"",($G30*(GK$4&lt;$I30)+$H30*(GK$4&gt;=$I30))*$C30*(1+'Property Summary'!$L$18)^('MF Rents'!GK$3-1))</f>
        <v/>
      </c>
      <c r="GL30" s="149" t="str">
        <f>IF(OR($B30="",$B30=0),"",($G30*(GL$4&lt;$I30)+$H30*(GL$4&gt;=$I30))*$C30*(1+'Property Summary'!$L$18)^('MF Rents'!GL$3-1))</f>
        <v/>
      </c>
      <c r="GM30" s="149" t="str">
        <f>IF(OR($B30="",$B30=0),"",($G30*(GM$4&lt;$I30)+$H30*(GM$4&gt;=$I30))*$C30*(1+'Property Summary'!$L$18)^('MF Rents'!GM$3-1))</f>
        <v/>
      </c>
      <c r="GN30" s="149" t="str">
        <f>IF(OR($B30="",$B30=0),"",($G30*(GN$4&lt;$I30)+$H30*(GN$4&gt;=$I30))*$C30*(1+'Property Summary'!$L$18)^('MF Rents'!GN$3-1))</f>
        <v/>
      </c>
      <c r="GO30" s="149" t="str">
        <f>IF(OR($B30="",$B30=0),"",($G30*(GO$4&lt;$I30)+$H30*(GO$4&gt;=$I30))*$C30*(1+'Property Summary'!$L$18)^('MF Rents'!GO$3-1))</f>
        <v/>
      </c>
      <c r="GP30" s="149" t="str">
        <f>IF(OR($B30="",$B30=0),"",($G30*(GP$4&lt;$I30)+$H30*(GP$4&gt;=$I30))*$C30*(1+'Property Summary'!$L$18)^('MF Rents'!GP$3-1))</f>
        <v/>
      </c>
      <c r="GQ30" s="149" t="str">
        <f>IF(OR($B30="",$B30=0),"",($G30*(GQ$4&lt;$I30)+$H30*(GQ$4&gt;=$I30))*$C30*(1+'Property Summary'!$L$18)^('MF Rents'!GQ$3-1))</f>
        <v/>
      </c>
      <c r="GR30" s="149" t="str">
        <f>IF(OR($B30="",$B30=0),"",($G30*(GR$4&lt;$I30)+$H30*(GR$4&gt;=$I30))*$C30*(1+'Property Summary'!$L$18)^('MF Rents'!GR$3-1))</f>
        <v/>
      </c>
    </row>
    <row r="31" spans="2:200" x14ac:dyDescent="0.3">
      <c r="B31" s="184">
        <f>'MF Rent Roll'!B30</f>
        <v>0</v>
      </c>
      <c r="C31" s="171">
        <f>'MF Rent Roll'!C30</f>
        <v>0</v>
      </c>
      <c r="D31" s="172">
        <f>'MF Rent Roll'!D30</f>
        <v>0</v>
      </c>
      <c r="E31" s="172">
        <f>'MF Rent Roll'!E30</f>
        <v>0</v>
      </c>
      <c r="F31" s="173">
        <f>'MF Rent Roll'!F30</f>
        <v>0</v>
      </c>
      <c r="G31" s="174">
        <f>'MF Rent Roll'!G30</f>
        <v>0</v>
      </c>
      <c r="H31" s="174">
        <f>IF('MF Rent Roll'!H30="",G31,'MF Rent Roll'!H30)</f>
        <v>0</v>
      </c>
      <c r="I31" s="175">
        <f>IF('MF Rent Roll'!I30="",1,'MF Rent Roll'!I30)</f>
        <v>1</v>
      </c>
      <c r="J31" s="176">
        <f>'MF Rent Roll'!J30</f>
        <v>0</v>
      </c>
      <c r="K31" s="174">
        <f>'MF Rent Roll'!K30</f>
        <v>0</v>
      </c>
      <c r="L31" s="177">
        <f>'MF Rent Roll'!L30</f>
        <v>0</v>
      </c>
      <c r="M31" s="178">
        <f>'MF Rent Roll'!M30</f>
        <v>0</v>
      </c>
      <c r="N31" s="174">
        <f>'MF Rent Roll'!N30</f>
        <v>0</v>
      </c>
      <c r="O31" s="179">
        <f>'MF Rent Roll'!O30</f>
        <v>0</v>
      </c>
      <c r="P31" s="180" t="str">
        <f>'MF Rent Roll'!P30</f>
        <v/>
      </c>
      <c r="Q31" s="181" t="str">
        <f>'MF Rent Roll'!Q30</f>
        <v/>
      </c>
      <c r="R31" s="104" t="str">
        <f>'MF Rent Roll'!R30</f>
        <v/>
      </c>
      <c r="U31" s="149" t="str">
        <f>IF(OR($B31="",$B31=0),"",($G31*(U$4&lt;$I31)+$H31*(U$4&gt;=$I31))*$C31*(1+'Property Summary'!$L$18)^('MF Rents'!U$3-1))</f>
        <v/>
      </c>
      <c r="V31" s="149" t="str">
        <f>IF(OR($B31="",$B31=0),"",($G31*(V$4&lt;$I31)+$H31*(V$4&gt;=$I31))*$C31*(1+'Property Summary'!$L$18)^('MF Rents'!V$3-1))</f>
        <v/>
      </c>
      <c r="W31" s="149" t="str">
        <f>IF(OR($B31="",$B31=0),"",($G31*(W$4&lt;$I31)+$H31*(W$4&gt;=$I31))*$C31*(1+'Property Summary'!$L$18)^('MF Rents'!W$3-1))</f>
        <v/>
      </c>
      <c r="X31" s="149" t="str">
        <f>IF(OR($B31="",$B31=0),"",($G31*(X$4&lt;$I31)+$H31*(X$4&gt;=$I31))*$C31*(1+'Property Summary'!$L$18)^('MF Rents'!X$3-1))</f>
        <v/>
      </c>
      <c r="Y31" s="149" t="str">
        <f>IF(OR($B31="",$B31=0),"",($G31*(Y$4&lt;$I31)+$H31*(Y$4&gt;=$I31))*$C31*(1+'Property Summary'!$L$18)^('MF Rents'!Y$3-1))</f>
        <v/>
      </c>
      <c r="Z31" s="149" t="str">
        <f>IF(OR($B31="",$B31=0),"",($G31*(Z$4&lt;$I31)+$H31*(Z$4&gt;=$I31))*$C31*(1+'Property Summary'!$L$18)^('MF Rents'!Z$3-1))</f>
        <v/>
      </c>
      <c r="AA31" s="149" t="str">
        <f>IF(OR($B31="",$B31=0),"",($G31*(AA$4&lt;$I31)+$H31*(AA$4&gt;=$I31))*$C31*(1+'Property Summary'!$L$18)^('MF Rents'!AA$3-1))</f>
        <v/>
      </c>
      <c r="AB31" s="149" t="str">
        <f>IF(OR($B31="",$B31=0),"",($G31*(AB$4&lt;$I31)+$H31*(AB$4&gt;=$I31))*$C31*(1+'Property Summary'!$L$18)^('MF Rents'!AB$3-1))</f>
        <v/>
      </c>
      <c r="AC31" s="149" t="str">
        <f>IF(OR($B31="",$B31=0),"",($G31*(AC$4&lt;$I31)+$H31*(AC$4&gt;=$I31))*$C31*(1+'Property Summary'!$L$18)^('MF Rents'!AC$3-1))</f>
        <v/>
      </c>
      <c r="AD31" s="149" t="str">
        <f>IF(OR($B31="",$B31=0),"",($G31*(AD$4&lt;$I31)+$H31*(AD$4&gt;=$I31))*$C31*(1+'Property Summary'!$L$18)^('MF Rents'!AD$3-1))</f>
        <v/>
      </c>
      <c r="AE31" s="149" t="str">
        <f>IF(OR($B31="",$B31=0),"",($G31*(AE$4&lt;$I31)+$H31*(AE$4&gt;=$I31))*$C31*(1+'Property Summary'!$L$18)^('MF Rents'!AE$3-1))</f>
        <v/>
      </c>
      <c r="AF31" s="149" t="str">
        <f>IF(OR($B31="",$B31=0),"",($G31*(AF$4&lt;$I31)+$H31*(AF$4&gt;=$I31))*$C31*(1+'Property Summary'!$L$18)^('MF Rents'!AF$3-1))</f>
        <v/>
      </c>
      <c r="AG31" s="149" t="str">
        <f>IF(OR($B31="",$B31=0),"",($G31*(AG$4&lt;$I31)+$H31*(AG$4&gt;=$I31))*$C31*(1+'Property Summary'!$L$18)^('MF Rents'!AG$3-1))</f>
        <v/>
      </c>
      <c r="AH31" s="149" t="str">
        <f>IF(OR($B31="",$B31=0),"",($G31*(AH$4&lt;$I31)+$H31*(AH$4&gt;=$I31))*$C31*(1+'Property Summary'!$L$18)^('MF Rents'!AH$3-1))</f>
        <v/>
      </c>
      <c r="AI31" s="149" t="str">
        <f>IF(OR($B31="",$B31=0),"",($G31*(AI$4&lt;$I31)+$H31*(AI$4&gt;=$I31))*$C31*(1+'Property Summary'!$L$18)^('MF Rents'!AI$3-1))</f>
        <v/>
      </c>
      <c r="AJ31" s="149" t="str">
        <f>IF(OR($B31="",$B31=0),"",($G31*(AJ$4&lt;$I31)+$H31*(AJ$4&gt;=$I31))*$C31*(1+'Property Summary'!$L$18)^('MF Rents'!AJ$3-1))</f>
        <v/>
      </c>
      <c r="AK31" s="149" t="str">
        <f>IF(OR($B31="",$B31=0),"",($G31*(AK$4&lt;$I31)+$H31*(AK$4&gt;=$I31))*$C31*(1+'Property Summary'!$L$18)^('MF Rents'!AK$3-1))</f>
        <v/>
      </c>
      <c r="AL31" s="149" t="str">
        <f>IF(OR($B31="",$B31=0),"",($G31*(AL$4&lt;$I31)+$H31*(AL$4&gt;=$I31))*$C31*(1+'Property Summary'!$L$18)^('MF Rents'!AL$3-1))</f>
        <v/>
      </c>
      <c r="AM31" s="149" t="str">
        <f>IF(OR($B31="",$B31=0),"",($G31*(AM$4&lt;$I31)+$H31*(AM$4&gt;=$I31))*$C31*(1+'Property Summary'!$L$18)^('MF Rents'!AM$3-1))</f>
        <v/>
      </c>
      <c r="AN31" s="149" t="str">
        <f>IF(OR($B31="",$B31=0),"",($G31*(AN$4&lt;$I31)+$H31*(AN$4&gt;=$I31))*$C31*(1+'Property Summary'!$L$18)^('MF Rents'!AN$3-1))</f>
        <v/>
      </c>
      <c r="AO31" s="149" t="str">
        <f>IF(OR($B31="",$B31=0),"",($G31*(AO$4&lt;$I31)+$H31*(AO$4&gt;=$I31))*$C31*(1+'Property Summary'!$L$18)^('MF Rents'!AO$3-1))</f>
        <v/>
      </c>
      <c r="AP31" s="149" t="str">
        <f>IF(OR($B31="",$B31=0),"",($G31*(AP$4&lt;$I31)+$H31*(AP$4&gt;=$I31))*$C31*(1+'Property Summary'!$L$18)^('MF Rents'!AP$3-1))</f>
        <v/>
      </c>
      <c r="AQ31" s="149" t="str">
        <f>IF(OR($B31="",$B31=0),"",($G31*(AQ$4&lt;$I31)+$H31*(AQ$4&gt;=$I31))*$C31*(1+'Property Summary'!$L$18)^('MF Rents'!AQ$3-1))</f>
        <v/>
      </c>
      <c r="AR31" s="149" t="str">
        <f>IF(OR($B31="",$B31=0),"",($G31*(AR$4&lt;$I31)+$H31*(AR$4&gt;=$I31))*$C31*(1+'Property Summary'!$L$18)^('MF Rents'!AR$3-1))</f>
        <v/>
      </c>
      <c r="AS31" s="149" t="str">
        <f>IF(OR($B31="",$B31=0),"",($G31*(AS$4&lt;$I31)+$H31*(AS$4&gt;=$I31))*$C31*(1+'Property Summary'!$L$18)^('MF Rents'!AS$3-1))</f>
        <v/>
      </c>
      <c r="AT31" s="149" t="str">
        <f>IF(OR($B31="",$B31=0),"",($G31*(AT$4&lt;$I31)+$H31*(AT$4&gt;=$I31))*$C31*(1+'Property Summary'!$L$18)^('MF Rents'!AT$3-1))</f>
        <v/>
      </c>
      <c r="AU31" s="149" t="str">
        <f>IF(OR($B31="",$B31=0),"",($G31*(AU$4&lt;$I31)+$H31*(AU$4&gt;=$I31))*$C31*(1+'Property Summary'!$L$18)^('MF Rents'!AU$3-1))</f>
        <v/>
      </c>
      <c r="AV31" s="149" t="str">
        <f>IF(OR($B31="",$B31=0),"",($G31*(AV$4&lt;$I31)+$H31*(AV$4&gt;=$I31))*$C31*(1+'Property Summary'!$L$18)^('MF Rents'!AV$3-1))</f>
        <v/>
      </c>
      <c r="AW31" s="149" t="str">
        <f>IF(OR($B31="",$B31=0),"",($G31*(AW$4&lt;$I31)+$H31*(AW$4&gt;=$I31))*$C31*(1+'Property Summary'!$L$18)^('MF Rents'!AW$3-1))</f>
        <v/>
      </c>
      <c r="AX31" s="149" t="str">
        <f>IF(OR($B31="",$B31=0),"",($G31*(AX$4&lt;$I31)+$H31*(AX$4&gt;=$I31))*$C31*(1+'Property Summary'!$L$18)^('MF Rents'!AX$3-1))</f>
        <v/>
      </c>
      <c r="AY31" s="149" t="str">
        <f>IF(OR($B31="",$B31=0),"",($G31*(AY$4&lt;$I31)+$H31*(AY$4&gt;=$I31))*$C31*(1+'Property Summary'!$L$18)^('MF Rents'!AY$3-1))</f>
        <v/>
      </c>
      <c r="AZ31" s="149" t="str">
        <f>IF(OR($B31="",$B31=0),"",($G31*(AZ$4&lt;$I31)+$H31*(AZ$4&gt;=$I31))*$C31*(1+'Property Summary'!$L$18)^('MF Rents'!AZ$3-1))</f>
        <v/>
      </c>
      <c r="BA31" s="149" t="str">
        <f>IF(OR($B31="",$B31=0),"",($G31*(BA$4&lt;$I31)+$H31*(BA$4&gt;=$I31))*$C31*(1+'Property Summary'!$L$18)^('MF Rents'!BA$3-1))</f>
        <v/>
      </c>
      <c r="BB31" s="149" t="str">
        <f>IF(OR($B31="",$B31=0),"",($G31*(BB$4&lt;$I31)+$H31*(BB$4&gt;=$I31))*$C31*(1+'Property Summary'!$L$18)^('MF Rents'!BB$3-1))</f>
        <v/>
      </c>
      <c r="BC31" s="149" t="str">
        <f>IF(OR($B31="",$B31=0),"",($G31*(BC$4&lt;$I31)+$H31*(BC$4&gt;=$I31))*$C31*(1+'Property Summary'!$L$18)^('MF Rents'!BC$3-1))</f>
        <v/>
      </c>
      <c r="BD31" s="149" t="str">
        <f>IF(OR($B31="",$B31=0),"",($G31*(BD$4&lt;$I31)+$H31*(BD$4&gt;=$I31))*$C31*(1+'Property Summary'!$L$18)^('MF Rents'!BD$3-1))</f>
        <v/>
      </c>
      <c r="BE31" s="149" t="str">
        <f>IF(OR($B31="",$B31=0),"",($G31*(BE$4&lt;$I31)+$H31*(BE$4&gt;=$I31))*$C31*(1+'Property Summary'!$L$18)^('MF Rents'!BE$3-1))</f>
        <v/>
      </c>
      <c r="BF31" s="149" t="str">
        <f>IF(OR($B31="",$B31=0),"",($G31*(BF$4&lt;$I31)+$H31*(BF$4&gt;=$I31))*$C31*(1+'Property Summary'!$L$18)^('MF Rents'!BF$3-1))</f>
        <v/>
      </c>
      <c r="BG31" s="149" t="str">
        <f>IF(OR($B31="",$B31=0),"",($G31*(BG$4&lt;$I31)+$H31*(BG$4&gt;=$I31))*$C31*(1+'Property Summary'!$L$18)^('MF Rents'!BG$3-1))</f>
        <v/>
      </c>
      <c r="BH31" s="149" t="str">
        <f>IF(OR($B31="",$B31=0),"",($G31*(BH$4&lt;$I31)+$H31*(BH$4&gt;=$I31))*$C31*(1+'Property Summary'!$L$18)^('MF Rents'!BH$3-1))</f>
        <v/>
      </c>
      <c r="BI31" s="149" t="str">
        <f>IF(OR($B31="",$B31=0),"",($G31*(BI$4&lt;$I31)+$H31*(BI$4&gt;=$I31))*$C31*(1+'Property Summary'!$L$18)^('MF Rents'!BI$3-1))</f>
        <v/>
      </c>
      <c r="BJ31" s="149" t="str">
        <f>IF(OR($B31="",$B31=0),"",($G31*(BJ$4&lt;$I31)+$H31*(BJ$4&gt;=$I31))*$C31*(1+'Property Summary'!$L$18)^('MF Rents'!BJ$3-1))</f>
        <v/>
      </c>
      <c r="BK31" s="149" t="str">
        <f>IF(OR($B31="",$B31=0),"",($G31*(BK$4&lt;$I31)+$H31*(BK$4&gt;=$I31))*$C31*(1+'Property Summary'!$L$18)^('MF Rents'!BK$3-1))</f>
        <v/>
      </c>
      <c r="BL31" s="149" t="str">
        <f>IF(OR($B31="",$B31=0),"",($G31*(BL$4&lt;$I31)+$H31*(BL$4&gt;=$I31))*$C31*(1+'Property Summary'!$L$18)^('MF Rents'!BL$3-1))</f>
        <v/>
      </c>
      <c r="BM31" s="149" t="str">
        <f>IF(OR($B31="",$B31=0),"",($G31*(BM$4&lt;$I31)+$H31*(BM$4&gt;=$I31))*$C31*(1+'Property Summary'!$L$18)^('MF Rents'!BM$3-1))</f>
        <v/>
      </c>
      <c r="BN31" s="149" t="str">
        <f>IF(OR($B31="",$B31=0),"",($G31*(BN$4&lt;$I31)+$H31*(BN$4&gt;=$I31))*$C31*(1+'Property Summary'!$L$18)^('MF Rents'!BN$3-1))</f>
        <v/>
      </c>
      <c r="BO31" s="149" t="str">
        <f>IF(OR($B31="",$B31=0),"",($G31*(BO$4&lt;$I31)+$H31*(BO$4&gt;=$I31))*$C31*(1+'Property Summary'!$L$18)^('MF Rents'!BO$3-1))</f>
        <v/>
      </c>
      <c r="BP31" s="149" t="str">
        <f>IF(OR($B31="",$B31=0),"",($G31*(BP$4&lt;$I31)+$H31*(BP$4&gt;=$I31))*$C31*(1+'Property Summary'!$L$18)^('MF Rents'!BP$3-1))</f>
        <v/>
      </c>
      <c r="BQ31" s="149" t="str">
        <f>IF(OR($B31="",$B31=0),"",($G31*(BQ$4&lt;$I31)+$H31*(BQ$4&gt;=$I31))*$C31*(1+'Property Summary'!$L$18)^('MF Rents'!BQ$3-1))</f>
        <v/>
      </c>
      <c r="BR31" s="149" t="str">
        <f>IF(OR($B31="",$B31=0),"",($G31*(BR$4&lt;$I31)+$H31*(BR$4&gt;=$I31))*$C31*(1+'Property Summary'!$L$18)^('MF Rents'!BR$3-1))</f>
        <v/>
      </c>
      <c r="BS31" s="149" t="str">
        <f>IF(OR($B31="",$B31=0),"",($G31*(BS$4&lt;$I31)+$H31*(BS$4&gt;=$I31))*$C31*(1+'Property Summary'!$L$18)^('MF Rents'!BS$3-1))</f>
        <v/>
      </c>
      <c r="BT31" s="149" t="str">
        <f>IF(OR($B31="",$B31=0),"",($G31*(BT$4&lt;$I31)+$H31*(BT$4&gt;=$I31))*$C31*(1+'Property Summary'!$L$18)^('MF Rents'!BT$3-1))</f>
        <v/>
      </c>
      <c r="BU31" s="149" t="str">
        <f>IF(OR($B31="",$B31=0),"",($G31*(BU$4&lt;$I31)+$H31*(BU$4&gt;=$I31))*$C31*(1+'Property Summary'!$L$18)^('MF Rents'!BU$3-1))</f>
        <v/>
      </c>
      <c r="BV31" s="149" t="str">
        <f>IF(OR($B31="",$B31=0),"",($G31*(BV$4&lt;$I31)+$H31*(BV$4&gt;=$I31))*$C31*(1+'Property Summary'!$L$18)^('MF Rents'!BV$3-1))</f>
        <v/>
      </c>
      <c r="BW31" s="149" t="str">
        <f>IF(OR($B31="",$B31=0),"",($G31*(BW$4&lt;$I31)+$H31*(BW$4&gt;=$I31))*$C31*(1+'Property Summary'!$L$18)^('MF Rents'!BW$3-1))</f>
        <v/>
      </c>
      <c r="BX31" s="149" t="str">
        <f>IF(OR($B31="",$B31=0),"",($G31*(BX$4&lt;$I31)+$H31*(BX$4&gt;=$I31))*$C31*(1+'Property Summary'!$L$18)^('MF Rents'!BX$3-1))</f>
        <v/>
      </c>
      <c r="BY31" s="149" t="str">
        <f>IF(OR($B31="",$B31=0),"",($G31*(BY$4&lt;$I31)+$H31*(BY$4&gt;=$I31))*$C31*(1+'Property Summary'!$L$18)^('MF Rents'!BY$3-1))</f>
        <v/>
      </c>
      <c r="BZ31" s="149" t="str">
        <f>IF(OR($B31="",$B31=0),"",($G31*(BZ$4&lt;$I31)+$H31*(BZ$4&gt;=$I31))*$C31*(1+'Property Summary'!$L$18)^('MF Rents'!BZ$3-1))</f>
        <v/>
      </c>
      <c r="CA31" s="149" t="str">
        <f>IF(OR($B31="",$B31=0),"",($G31*(CA$4&lt;$I31)+$H31*(CA$4&gt;=$I31))*$C31*(1+'Property Summary'!$L$18)^('MF Rents'!CA$3-1))</f>
        <v/>
      </c>
      <c r="CB31" s="149" t="str">
        <f>IF(OR($B31="",$B31=0),"",($G31*(CB$4&lt;$I31)+$H31*(CB$4&gt;=$I31))*$C31*(1+'Property Summary'!$L$18)^('MF Rents'!CB$3-1))</f>
        <v/>
      </c>
      <c r="CC31" s="149" t="str">
        <f>IF(OR($B31="",$B31=0),"",($G31*(CC$4&lt;$I31)+$H31*(CC$4&gt;=$I31))*$C31*(1+'Property Summary'!$L$18)^('MF Rents'!CC$3-1))</f>
        <v/>
      </c>
      <c r="CD31" s="149" t="str">
        <f>IF(OR($B31="",$B31=0),"",($G31*(CD$4&lt;$I31)+$H31*(CD$4&gt;=$I31))*$C31*(1+'Property Summary'!$L$18)^('MF Rents'!CD$3-1))</f>
        <v/>
      </c>
      <c r="CE31" s="149" t="str">
        <f>IF(OR($B31="",$B31=0),"",($G31*(CE$4&lt;$I31)+$H31*(CE$4&gt;=$I31))*$C31*(1+'Property Summary'!$L$18)^('MF Rents'!CE$3-1))</f>
        <v/>
      </c>
      <c r="CF31" s="149" t="str">
        <f>IF(OR($B31="",$B31=0),"",($G31*(CF$4&lt;$I31)+$H31*(CF$4&gt;=$I31))*$C31*(1+'Property Summary'!$L$18)^('MF Rents'!CF$3-1))</f>
        <v/>
      </c>
      <c r="CG31" s="149" t="str">
        <f>IF(OR($B31="",$B31=0),"",($G31*(CG$4&lt;$I31)+$H31*(CG$4&gt;=$I31))*$C31*(1+'Property Summary'!$L$18)^('MF Rents'!CG$3-1))</f>
        <v/>
      </c>
      <c r="CH31" s="149" t="str">
        <f>IF(OR($B31="",$B31=0),"",($G31*(CH$4&lt;$I31)+$H31*(CH$4&gt;=$I31))*$C31*(1+'Property Summary'!$L$18)^('MF Rents'!CH$3-1))</f>
        <v/>
      </c>
      <c r="CI31" s="149" t="str">
        <f>IF(OR($B31="",$B31=0),"",($G31*(CI$4&lt;$I31)+$H31*(CI$4&gt;=$I31))*$C31*(1+'Property Summary'!$L$18)^('MF Rents'!CI$3-1))</f>
        <v/>
      </c>
      <c r="CJ31" s="149" t="str">
        <f>IF(OR($B31="",$B31=0),"",($G31*(CJ$4&lt;$I31)+$H31*(CJ$4&gt;=$I31))*$C31*(1+'Property Summary'!$L$18)^('MF Rents'!CJ$3-1))</f>
        <v/>
      </c>
      <c r="CK31" s="149" t="str">
        <f>IF(OR($B31="",$B31=0),"",($G31*(CK$4&lt;$I31)+$H31*(CK$4&gt;=$I31))*$C31*(1+'Property Summary'!$L$18)^('MF Rents'!CK$3-1))</f>
        <v/>
      </c>
      <c r="CL31" s="149" t="str">
        <f>IF(OR($B31="",$B31=0),"",($G31*(CL$4&lt;$I31)+$H31*(CL$4&gt;=$I31))*$C31*(1+'Property Summary'!$L$18)^('MF Rents'!CL$3-1))</f>
        <v/>
      </c>
      <c r="CM31" s="149" t="str">
        <f>IF(OR($B31="",$B31=0),"",($G31*(CM$4&lt;$I31)+$H31*(CM$4&gt;=$I31))*$C31*(1+'Property Summary'!$L$18)^('MF Rents'!CM$3-1))</f>
        <v/>
      </c>
      <c r="CN31" s="149" t="str">
        <f>IF(OR($B31="",$B31=0),"",($G31*(CN$4&lt;$I31)+$H31*(CN$4&gt;=$I31))*$C31*(1+'Property Summary'!$L$18)^('MF Rents'!CN$3-1))</f>
        <v/>
      </c>
      <c r="CO31" s="149" t="str">
        <f>IF(OR($B31="",$B31=0),"",($G31*(CO$4&lt;$I31)+$H31*(CO$4&gt;=$I31))*$C31*(1+'Property Summary'!$L$18)^('MF Rents'!CO$3-1))</f>
        <v/>
      </c>
      <c r="CP31" s="149" t="str">
        <f>IF(OR($B31="",$B31=0),"",($G31*(CP$4&lt;$I31)+$H31*(CP$4&gt;=$I31))*$C31*(1+'Property Summary'!$L$18)^('MF Rents'!CP$3-1))</f>
        <v/>
      </c>
      <c r="CQ31" s="149" t="str">
        <f>IF(OR($B31="",$B31=0),"",($G31*(CQ$4&lt;$I31)+$H31*(CQ$4&gt;=$I31))*$C31*(1+'Property Summary'!$L$18)^('MF Rents'!CQ$3-1))</f>
        <v/>
      </c>
      <c r="CR31" s="149" t="str">
        <f>IF(OR($B31="",$B31=0),"",($G31*(CR$4&lt;$I31)+$H31*(CR$4&gt;=$I31))*$C31*(1+'Property Summary'!$L$18)^('MF Rents'!CR$3-1))</f>
        <v/>
      </c>
      <c r="CS31" s="149" t="str">
        <f>IF(OR($B31="",$B31=0),"",($G31*(CS$4&lt;$I31)+$H31*(CS$4&gt;=$I31))*$C31*(1+'Property Summary'!$L$18)^('MF Rents'!CS$3-1))</f>
        <v/>
      </c>
      <c r="CT31" s="149" t="str">
        <f>IF(OR($B31="",$B31=0),"",($G31*(CT$4&lt;$I31)+$H31*(CT$4&gt;=$I31))*$C31*(1+'Property Summary'!$L$18)^('MF Rents'!CT$3-1))</f>
        <v/>
      </c>
      <c r="CU31" s="149" t="str">
        <f>IF(OR($B31="",$B31=0),"",($G31*(CU$4&lt;$I31)+$H31*(CU$4&gt;=$I31))*$C31*(1+'Property Summary'!$L$18)^('MF Rents'!CU$3-1))</f>
        <v/>
      </c>
      <c r="CV31" s="149" t="str">
        <f>IF(OR($B31="",$B31=0),"",($G31*(CV$4&lt;$I31)+$H31*(CV$4&gt;=$I31))*$C31*(1+'Property Summary'!$L$18)^('MF Rents'!CV$3-1))</f>
        <v/>
      </c>
      <c r="CW31" s="149" t="str">
        <f>IF(OR($B31="",$B31=0),"",($G31*(CW$4&lt;$I31)+$H31*(CW$4&gt;=$I31))*$C31*(1+'Property Summary'!$L$18)^('MF Rents'!CW$3-1))</f>
        <v/>
      </c>
      <c r="CX31" s="149" t="str">
        <f>IF(OR($B31="",$B31=0),"",($G31*(CX$4&lt;$I31)+$H31*(CX$4&gt;=$I31))*$C31*(1+'Property Summary'!$L$18)^('MF Rents'!CX$3-1))</f>
        <v/>
      </c>
      <c r="CY31" s="149" t="str">
        <f>IF(OR($B31="",$B31=0),"",($G31*(CY$4&lt;$I31)+$H31*(CY$4&gt;=$I31))*$C31*(1+'Property Summary'!$L$18)^('MF Rents'!CY$3-1))</f>
        <v/>
      </c>
      <c r="CZ31" s="149" t="str">
        <f>IF(OR($B31="",$B31=0),"",($G31*(CZ$4&lt;$I31)+$H31*(CZ$4&gt;=$I31))*$C31*(1+'Property Summary'!$L$18)^('MF Rents'!CZ$3-1))</f>
        <v/>
      </c>
      <c r="DA31" s="149" t="str">
        <f>IF(OR($B31="",$B31=0),"",($G31*(DA$4&lt;$I31)+$H31*(DA$4&gt;=$I31))*$C31*(1+'Property Summary'!$L$18)^('MF Rents'!DA$3-1))</f>
        <v/>
      </c>
      <c r="DB31" s="149" t="str">
        <f>IF(OR($B31="",$B31=0),"",($G31*(DB$4&lt;$I31)+$H31*(DB$4&gt;=$I31))*$C31*(1+'Property Summary'!$L$18)^('MF Rents'!DB$3-1))</f>
        <v/>
      </c>
      <c r="DC31" s="149" t="str">
        <f>IF(OR($B31="",$B31=0),"",($G31*(DC$4&lt;$I31)+$H31*(DC$4&gt;=$I31))*$C31*(1+'Property Summary'!$L$18)^('MF Rents'!DC$3-1))</f>
        <v/>
      </c>
      <c r="DD31" s="149" t="str">
        <f>IF(OR($B31="",$B31=0),"",($G31*(DD$4&lt;$I31)+$H31*(DD$4&gt;=$I31))*$C31*(1+'Property Summary'!$L$18)^('MF Rents'!DD$3-1))</f>
        <v/>
      </c>
      <c r="DE31" s="149" t="str">
        <f>IF(OR($B31="",$B31=0),"",($G31*(DE$4&lt;$I31)+$H31*(DE$4&gt;=$I31))*$C31*(1+'Property Summary'!$L$18)^('MF Rents'!DE$3-1))</f>
        <v/>
      </c>
      <c r="DF31" s="149" t="str">
        <f>IF(OR($B31="",$B31=0),"",($G31*(DF$4&lt;$I31)+$H31*(DF$4&gt;=$I31))*$C31*(1+'Property Summary'!$L$18)^('MF Rents'!DF$3-1))</f>
        <v/>
      </c>
      <c r="DG31" s="149" t="str">
        <f>IF(OR($B31="",$B31=0),"",($G31*(DG$4&lt;$I31)+$H31*(DG$4&gt;=$I31))*$C31*(1+'Property Summary'!$L$18)^('MF Rents'!DG$3-1))</f>
        <v/>
      </c>
      <c r="DH31" s="149" t="str">
        <f>IF(OR($B31="",$B31=0),"",($G31*(DH$4&lt;$I31)+$H31*(DH$4&gt;=$I31))*$C31*(1+'Property Summary'!$L$18)^('MF Rents'!DH$3-1))</f>
        <v/>
      </c>
      <c r="DI31" s="149" t="str">
        <f>IF(OR($B31="",$B31=0),"",($G31*(DI$4&lt;$I31)+$H31*(DI$4&gt;=$I31))*$C31*(1+'Property Summary'!$L$18)^('MF Rents'!DI$3-1))</f>
        <v/>
      </c>
      <c r="DJ31" s="149" t="str">
        <f>IF(OR($B31="",$B31=0),"",($G31*(DJ$4&lt;$I31)+$H31*(DJ$4&gt;=$I31))*$C31*(1+'Property Summary'!$L$18)^('MF Rents'!DJ$3-1))</f>
        <v/>
      </c>
      <c r="DK31" s="149" t="str">
        <f>IF(OR($B31="",$B31=0),"",($G31*(DK$4&lt;$I31)+$H31*(DK$4&gt;=$I31))*$C31*(1+'Property Summary'!$L$18)^('MF Rents'!DK$3-1))</f>
        <v/>
      </c>
      <c r="DL31" s="149" t="str">
        <f>IF(OR($B31="",$B31=0),"",($G31*(DL$4&lt;$I31)+$H31*(DL$4&gt;=$I31))*$C31*(1+'Property Summary'!$L$18)^('MF Rents'!DL$3-1))</f>
        <v/>
      </c>
      <c r="DM31" s="149" t="str">
        <f>IF(OR($B31="",$B31=0),"",($G31*(DM$4&lt;$I31)+$H31*(DM$4&gt;=$I31))*$C31*(1+'Property Summary'!$L$18)^('MF Rents'!DM$3-1))</f>
        <v/>
      </c>
      <c r="DN31" s="149" t="str">
        <f>IF(OR($B31="",$B31=0),"",($G31*(DN$4&lt;$I31)+$H31*(DN$4&gt;=$I31))*$C31*(1+'Property Summary'!$L$18)^('MF Rents'!DN$3-1))</f>
        <v/>
      </c>
      <c r="DO31" s="149" t="str">
        <f>IF(OR($B31="",$B31=0),"",($G31*(DO$4&lt;$I31)+$H31*(DO$4&gt;=$I31))*$C31*(1+'Property Summary'!$L$18)^('MF Rents'!DO$3-1))</f>
        <v/>
      </c>
      <c r="DP31" s="149" t="str">
        <f>IF(OR($B31="",$B31=0),"",($G31*(DP$4&lt;$I31)+$H31*(DP$4&gt;=$I31))*$C31*(1+'Property Summary'!$L$18)^('MF Rents'!DP$3-1))</f>
        <v/>
      </c>
      <c r="DQ31" s="149" t="str">
        <f>IF(OR($B31="",$B31=0),"",($G31*(DQ$4&lt;$I31)+$H31*(DQ$4&gt;=$I31))*$C31*(1+'Property Summary'!$L$18)^('MF Rents'!DQ$3-1))</f>
        <v/>
      </c>
      <c r="DR31" s="149" t="str">
        <f>IF(OR($B31="",$B31=0),"",($G31*(DR$4&lt;$I31)+$H31*(DR$4&gt;=$I31))*$C31*(1+'Property Summary'!$L$18)^('MF Rents'!DR$3-1))</f>
        <v/>
      </c>
      <c r="DS31" s="149" t="str">
        <f>IF(OR($B31="",$B31=0),"",($G31*(DS$4&lt;$I31)+$H31*(DS$4&gt;=$I31))*$C31*(1+'Property Summary'!$L$18)^('MF Rents'!DS$3-1))</f>
        <v/>
      </c>
      <c r="DT31" s="149" t="str">
        <f>IF(OR($B31="",$B31=0),"",($G31*(DT$4&lt;$I31)+$H31*(DT$4&gt;=$I31))*$C31*(1+'Property Summary'!$L$18)^('MF Rents'!DT$3-1))</f>
        <v/>
      </c>
      <c r="DU31" s="149" t="str">
        <f>IF(OR($B31="",$B31=0),"",($G31*(DU$4&lt;$I31)+$H31*(DU$4&gt;=$I31))*$C31*(1+'Property Summary'!$L$18)^('MF Rents'!DU$3-1))</f>
        <v/>
      </c>
      <c r="DV31" s="149" t="str">
        <f>IF(OR($B31="",$B31=0),"",($G31*(DV$4&lt;$I31)+$H31*(DV$4&gt;=$I31))*$C31*(1+'Property Summary'!$L$18)^('MF Rents'!DV$3-1))</f>
        <v/>
      </c>
      <c r="DW31" s="149" t="str">
        <f>IF(OR($B31="",$B31=0),"",($G31*(DW$4&lt;$I31)+$H31*(DW$4&gt;=$I31))*$C31*(1+'Property Summary'!$L$18)^('MF Rents'!DW$3-1))</f>
        <v/>
      </c>
      <c r="DX31" s="149" t="str">
        <f>IF(OR($B31="",$B31=0),"",($G31*(DX$4&lt;$I31)+$H31*(DX$4&gt;=$I31))*$C31*(1+'Property Summary'!$L$18)^('MF Rents'!DX$3-1))</f>
        <v/>
      </c>
      <c r="DY31" s="149" t="str">
        <f>IF(OR($B31="",$B31=0),"",($G31*(DY$4&lt;$I31)+$H31*(DY$4&gt;=$I31))*$C31*(1+'Property Summary'!$L$18)^('MF Rents'!DY$3-1))</f>
        <v/>
      </c>
      <c r="DZ31" s="149" t="str">
        <f>IF(OR($B31="",$B31=0),"",($G31*(DZ$4&lt;$I31)+$H31*(DZ$4&gt;=$I31))*$C31*(1+'Property Summary'!$L$18)^('MF Rents'!DZ$3-1))</f>
        <v/>
      </c>
      <c r="EA31" s="149" t="str">
        <f>IF(OR($B31="",$B31=0),"",($G31*(EA$4&lt;$I31)+$H31*(EA$4&gt;=$I31))*$C31*(1+'Property Summary'!$L$18)^('MF Rents'!EA$3-1))</f>
        <v/>
      </c>
      <c r="EB31" s="149" t="str">
        <f>IF(OR($B31="",$B31=0),"",($G31*(EB$4&lt;$I31)+$H31*(EB$4&gt;=$I31))*$C31*(1+'Property Summary'!$L$18)^('MF Rents'!EB$3-1))</f>
        <v/>
      </c>
      <c r="EC31" s="149" t="str">
        <f>IF(OR($B31="",$B31=0),"",($G31*(EC$4&lt;$I31)+$H31*(EC$4&gt;=$I31))*$C31*(1+'Property Summary'!$L$18)^('MF Rents'!EC$3-1))</f>
        <v/>
      </c>
      <c r="ED31" s="149" t="str">
        <f>IF(OR($B31="",$B31=0),"",($G31*(ED$4&lt;$I31)+$H31*(ED$4&gt;=$I31))*$C31*(1+'Property Summary'!$L$18)^('MF Rents'!ED$3-1))</f>
        <v/>
      </c>
      <c r="EE31" s="149" t="str">
        <f>IF(OR($B31="",$B31=0),"",($G31*(EE$4&lt;$I31)+$H31*(EE$4&gt;=$I31))*$C31*(1+'Property Summary'!$L$18)^('MF Rents'!EE$3-1))</f>
        <v/>
      </c>
      <c r="EF31" s="149" t="str">
        <f>IF(OR($B31="",$B31=0),"",($G31*(EF$4&lt;$I31)+$H31*(EF$4&gt;=$I31))*$C31*(1+'Property Summary'!$L$18)^('MF Rents'!EF$3-1))</f>
        <v/>
      </c>
      <c r="EG31" s="149" t="str">
        <f>IF(OR($B31="",$B31=0),"",($G31*(EG$4&lt;$I31)+$H31*(EG$4&gt;=$I31))*$C31*(1+'Property Summary'!$L$18)^('MF Rents'!EG$3-1))</f>
        <v/>
      </c>
      <c r="EH31" s="149" t="str">
        <f>IF(OR($B31="",$B31=0),"",($G31*(EH$4&lt;$I31)+$H31*(EH$4&gt;=$I31))*$C31*(1+'Property Summary'!$L$18)^('MF Rents'!EH$3-1))</f>
        <v/>
      </c>
      <c r="EI31" s="149" t="str">
        <f>IF(OR($B31="",$B31=0),"",($G31*(EI$4&lt;$I31)+$H31*(EI$4&gt;=$I31))*$C31*(1+'Property Summary'!$L$18)^('MF Rents'!EI$3-1))</f>
        <v/>
      </c>
      <c r="EJ31" s="149" t="str">
        <f>IF(OR($B31="",$B31=0),"",($G31*(EJ$4&lt;$I31)+$H31*(EJ$4&gt;=$I31))*$C31*(1+'Property Summary'!$L$18)^('MF Rents'!EJ$3-1))</f>
        <v/>
      </c>
      <c r="EK31" s="149" t="str">
        <f>IF(OR($B31="",$B31=0),"",($G31*(EK$4&lt;$I31)+$H31*(EK$4&gt;=$I31))*$C31*(1+'Property Summary'!$L$18)^('MF Rents'!EK$3-1))</f>
        <v/>
      </c>
      <c r="EL31" s="149" t="str">
        <f>IF(OR($B31="",$B31=0),"",($G31*(EL$4&lt;$I31)+$H31*(EL$4&gt;=$I31))*$C31*(1+'Property Summary'!$L$18)^('MF Rents'!EL$3-1))</f>
        <v/>
      </c>
      <c r="EM31" s="149" t="str">
        <f>IF(OR($B31="",$B31=0),"",($G31*(EM$4&lt;$I31)+$H31*(EM$4&gt;=$I31))*$C31*(1+'Property Summary'!$L$18)^('MF Rents'!EM$3-1))</f>
        <v/>
      </c>
      <c r="EN31" s="149" t="str">
        <f>IF(OR($B31="",$B31=0),"",($G31*(EN$4&lt;$I31)+$H31*(EN$4&gt;=$I31))*$C31*(1+'Property Summary'!$L$18)^('MF Rents'!EN$3-1))</f>
        <v/>
      </c>
      <c r="EO31" s="149" t="str">
        <f>IF(OR($B31="",$B31=0),"",($G31*(EO$4&lt;$I31)+$H31*(EO$4&gt;=$I31))*$C31*(1+'Property Summary'!$L$18)^('MF Rents'!EO$3-1))</f>
        <v/>
      </c>
      <c r="EP31" s="149" t="str">
        <f>IF(OR($B31="",$B31=0),"",($G31*(EP$4&lt;$I31)+$H31*(EP$4&gt;=$I31))*$C31*(1+'Property Summary'!$L$18)^('MF Rents'!EP$3-1))</f>
        <v/>
      </c>
      <c r="EQ31" s="149" t="str">
        <f>IF(OR($B31="",$B31=0),"",($G31*(EQ$4&lt;$I31)+$H31*(EQ$4&gt;=$I31))*$C31*(1+'Property Summary'!$L$18)^('MF Rents'!EQ$3-1))</f>
        <v/>
      </c>
      <c r="ER31" s="149" t="str">
        <f>IF(OR($B31="",$B31=0),"",($G31*(ER$4&lt;$I31)+$H31*(ER$4&gt;=$I31))*$C31*(1+'Property Summary'!$L$18)^('MF Rents'!ER$3-1))</f>
        <v/>
      </c>
      <c r="ES31" s="149" t="str">
        <f>IF(OR($B31="",$B31=0),"",($G31*(ES$4&lt;$I31)+$H31*(ES$4&gt;=$I31))*$C31*(1+'Property Summary'!$L$18)^('MF Rents'!ES$3-1))</f>
        <v/>
      </c>
      <c r="ET31" s="149" t="str">
        <f>IF(OR($B31="",$B31=0),"",($G31*(ET$4&lt;$I31)+$H31*(ET$4&gt;=$I31))*$C31*(1+'Property Summary'!$L$18)^('MF Rents'!ET$3-1))</f>
        <v/>
      </c>
      <c r="EU31" s="149" t="str">
        <f>IF(OR($B31="",$B31=0),"",($G31*(EU$4&lt;$I31)+$H31*(EU$4&gt;=$I31))*$C31*(1+'Property Summary'!$L$18)^('MF Rents'!EU$3-1))</f>
        <v/>
      </c>
      <c r="EV31" s="149" t="str">
        <f>IF(OR($B31="",$B31=0),"",($G31*(EV$4&lt;$I31)+$H31*(EV$4&gt;=$I31))*$C31*(1+'Property Summary'!$L$18)^('MF Rents'!EV$3-1))</f>
        <v/>
      </c>
      <c r="EW31" s="149" t="str">
        <f>IF(OR($B31="",$B31=0),"",($G31*(EW$4&lt;$I31)+$H31*(EW$4&gt;=$I31))*$C31*(1+'Property Summary'!$L$18)^('MF Rents'!EW$3-1))</f>
        <v/>
      </c>
      <c r="EX31" s="149" t="str">
        <f>IF(OR($B31="",$B31=0),"",($G31*(EX$4&lt;$I31)+$H31*(EX$4&gt;=$I31))*$C31*(1+'Property Summary'!$L$18)^('MF Rents'!EX$3-1))</f>
        <v/>
      </c>
      <c r="EY31" s="149" t="str">
        <f>IF(OR($B31="",$B31=0),"",($G31*(EY$4&lt;$I31)+$H31*(EY$4&gt;=$I31))*$C31*(1+'Property Summary'!$L$18)^('MF Rents'!EY$3-1))</f>
        <v/>
      </c>
      <c r="EZ31" s="149" t="str">
        <f>IF(OR($B31="",$B31=0),"",($G31*(EZ$4&lt;$I31)+$H31*(EZ$4&gt;=$I31))*$C31*(1+'Property Summary'!$L$18)^('MF Rents'!EZ$3-1))</f>
        <v/>
      </c>
      <c r="FA31" s="149" t="str">
        <f>IF(OR($B31="",$B31=0),"",($G31*(FA$4&lt;$I31)+$H31*(FA$4&gt;=$I31))*$C31*(1+'Property Summary'!$L$18)^('MF Rents'!FA$3-1))</f>
        <v/>
      </c>
      <c r="FB31" s="149" t="str">
        <f>IF(OR($B31="",$B31=0),"",($G31*(FB$4&lt;$I31)+$H31*(FB$4&gt;=$I31))*$C31*(1+'Property Summary'!$L$18)^('MF Rents'!FB$3-1))</f>
        <v/>
      </c>
      <c r="FC31" s="149" t="str">
        <f>IF(OR($B31="",$B31=0),"",($G31*(FC$4&lt;$I31)+$H31*(FC$4&gt;=$I31))*$C31*(1+'Property Summary'!$L$18)^('MF Rents'!FC$3-1))</f>
        <v/>
      </c>
      <c r="FD31" s="149" t="str">
        <f>IF(OR($B31="",$B31=0),"",($G31*(FD$4&lt;$I31)+$H31*(FD$4&gt;=$I31))*$C31*(1+'Property Summary'!$L$18)^('MF Rents'!FD$3-1))</f>
        <v/>
      </c>
      <c r="FE31" s="149" t="str">
        <f>IF(OR($B31="",$B31=0),"",($G31*(FE$4&lt;$I31)+$H31*(FE$4&gt;=$I31))*$C31*(1+'Property Summary'!$L$18)^('MF Rents'!FE$3-1))</f>
        <v/>
      </c>
      <c r="FF31" s="149" t="str">
        <f>IF(OR($B31="",$B31=0),"",($G31*(FF$4&lt;$I31)+$H31*(FF$4&gt;=$I31))*$C31*(1+'Property Summary'!$L$18)^('MF Rents'!FF$3-1))</f>
        <v/>
      </c>
      <c r="FG31" s="149" t="str">
        <f>IF(OR($B31="",$B31=0),"",($G31*(FG$4&lt;$I31)+$H31*(FG$4&gt;=$I31))*$C31*(1+'Property Summary'!$L$18)^('MF Rents'!FG$3-1))</f>
        <v/>
      </c>
      <c r="FH31" s="149" t="str">
        <f>IF(OR($B31="",$B31=0),"",($G31*(FH$4&lt;$I31)+$H31*(FH$4&gt;=$I31))*$C31*(1+'Property Summary'!$L$18)^('MF Rents'!FH$3-1))</f>
        <v/>
      </c>
      <c r="FI31" s="149" t="str">
        <f>IF(OR($B31="",$B31=0),"",($G31*(FI$4&lt;$I31)+$H31*(FI$4&gt;=$I31))*$C31*(1+'Property Summary'!$L$18)^('MF Rents'!FI$3-1))</f>
        <v/>
      </c>
      <c r="FJ31" s="149" t="str">
        <f>IF(OR($B31="",$B31=0),"",($G31*(FJ$4&lt;$I31)+$H31*(FJ$4&gt;=$I31))*$C31*(1+'Property Summary'!$L$18)^('MF Rents'!FJ$3-1))</f>
        <v/>
      </c>
      <c r="FK31" s="149" t="str">
        <f>IF(OR($B31="",$B31=0),"",($G31*(FK$4&lt;$I31)+$H31*(FK$4&gt;=$I31))*$C31*(1+'Property Summary'!$L$18)^('MF Rents'!FK$3-1))</f>
        <v/>
      </c>
      <c r="FL31" s="149" t="str">
        <f>IF(OR($B31="",$B31=0),"",($G31*(FL$4&lt;$I31)+$H31*(FL$4&gt;=$I31))*$C31*(1+'Property Summary'!$L$18)^('MF Rents'!FL$3-1))</f>
        <v/>
      </c>
      <c r="FM31" s="149" t="str">
        <f>IF(OR($B31="",$B31=0),"",($G31*(FM$4&lt;$I31)+$H31*(FM$4&gt;=$I31))*$C31*(1+'Property Summary'!$L$18)^('MF Rents'!FM$3-1))</f>
        <v/>
      </c>
      <c r="FN31" s="149" t="str">
        <f>IF(OR($B31="",$B31=0),"",($G31*(FN$4&lt;$I31)+$H31*(FN$4&gt;=$I31))*$C31*(1+'Property Summary'!$L$18)^('MF Rents'!FN$3-1))</f>
        <v/>
      </c>
      <c r="FO31" s="149" t="str">
        <f>IF(OR($B31="",$B31=0),"",($G31*(FO$4&lt;$I31)+$H31*(FO$4&gt;=$I31))*$C31*(1+'Property Summary'!$L$18)^('MF Rents'!FO$3-1))</f>
        <v/>
      </c>
      <c r="FP31" s="149" t="str">
        <f>IF(OR($B31="",$B31=0),"",($G31*(FP$4&lt;$I31)+$H31*(FP$4&gt;=$I31))*$C31*(1+'Property Summary'!$L$18)^('MF Rents'!FP$3-1))</f>
        <v/>
      </c>
      <c r="FQ31" s="149" t="str">
        <f>IF(OR($B31="",$B31=0),"",($G31*(FQ$4&lt;$I31)+$H31*(FQ$4&gt;=$I31))*$C31*(1+'Property Summary'!$L$18)^('MF Rents'!FQ$3-1))</f>
        <v/>
      </c>
      <c r="FR31" s="149" t="str">
        <f>IF(OR($B31="",$B31=0),"",($G31*(FR$4&lt;$I31)+$H31*(FR$4&gt;=$I31))*$C31*(1+'Property Summary'!$L$18)^('MF Rents'!FR$3-1))</f>
        <v/>
      </c>
      <c r="FS31" s="149" t="str">
        <f>IF(OR($B31="",$B31=0),"",($G31*(FS$4&lt;$I31)+$H31*(FS$4&gt;=$I31))*$C31*(1+'Property Summary'!$L$18)^('MF Rents'!FS$3-1))</f>
        <v/>
      </c>
      <c r="FT31" s="149" t="str">
        <f>IF(OR($B31="",$B31=0),"",($G31*(FT$4&lt;$I31)+$H31*(FT$4&gt;=$I31))*$C31*(1+'Property Summary'!$L$18)^('MF Rents'!FT$3-1))</f>
        <v/>
      </c>
      <c r="FU31" s="149" t="str">
        <f>IF(OR($B31="",$B31=0),"",($G31*(FU$4&lt;$I31)+$H31*(FU$4&gt;=$I31))*$C31*(1+'Property Summary'!$L$18)^('MF Rents'!FU$3-1))</f>
        <v/>
      </c>
      <c r="FV31" s="149" t="str">
        <f>IF(OR($B31="",$B31=0),"",($G31*(FV$4&lt;$I31)+$H31*(FV$4&gt;=$I31))*$C31*(1+'Property Summary'!$L$18)^('MF Rents'!FV$3-1))</f>
        <v/>
      </c>
      <c r="FW31" s="149" t="str">
        <f>IF(OR($B31="",$B31=0),"",($G31*(FW$4&lt;$I31)+$H31*(FW$4&gt;=$I31))*$C31*(1+'Property Summary'!$L$18)^('MF Rents'!FW$3-1))</f>
        <v/>
      </c>
      <c r="FX31" s="149" t="str">
        <f>IF(OR($B31="",$B31=0),"",($G31*(FX$4&lt;$I31)+$H31*(FX$4&gt;=$I31))*$C31*(1+'Property Summary'!$L$18)^('MF Rents'!FX$3-1))</f>
        <v/>
      </c>
      <c r="FY31" s="149" t="str">
        <f>IF(OR($B31="",$B31=0),"",($G31*(FY$4&lt;$I31)+$H31*(FY$4&gt;=$I31))*$C31*(1+'Property Summary'!$L$18)^('MF Rents'!FY$3-1))</f>
        <v/>
      </c>
      <c r="FZ31" s="149" t="str">
        <f>IF(OR($B31="",$B31=0),"",($G31*(FZ$4&lt;$I31)+$H31*(FZ$4&gt;=$I31))*$C31*(1+'Property Summary'!$L$18)^('MF Rents'!FZ$3-1))</f>
        <v/>
      </c>
      <c r="GA31" s="149" t="str">
        <f>IF(OR($B31="",$B31=0),"",($G31*(GA$4&lt;$I31)+$H31*(GA$4&gt;=$I31))*$C31*(1+'Property Summary'!$L$18)^('MF Rents'!GA$3-1))</f>
        <v/>
      </c>
      <c r="GB31" s="149" t="str">
        <f>IF(OR($B31="",$B31=0),"",($G31*(GB$4&lt;$I31)+$H31*(GB$4&gt;=$I31))*$C31*(1+'Property Summary'!$L$18)^('MF Rents'!GB$3-1))</f>
        <v/>
      </c>
      <c r="GC31" s="149" t="str">
        <f>IF(OR($B31="",$B31=0),"",($G31*(GC$4&lt;$I31)+$H31*(GC$4&gt;=$I31))*$C31*(1+'Property Summary'!$L$18)^('MF Rents'!GC$3-1))</f>
        <v/>
      </c>
      <c r="GD31" s="149" t="str">
        <f>IF(OR($B31="",$B31=0),"",($G31*(GD$4&lt;$I31)+$H31*(GD$4&gt;=$I31))*$C31*(1+'Property Summary'!$L$18)^('MF Rents'!GD$3-1))</f>
        <v/>
      </c>
      <c r="GE31" s="149" t="str">
        <f>IF(OR($B31="",$B31=0),"",($G31*(GE$4&lt;$I31)+$H31*(GE$4&gt;=$I31))*$C31*(1+'Property Summary'!$L$18)^('MF Rents'!GE$3-1))</f>
        <v/>
      </c>
      <c r="GF31" s="149" t="str">
        <f>IF(OR($B31="",$B31=0),"",($G31*(GF$4&lt;$I31)+$H31*(GF$4&gt;=$I31))*$C31*(1+'Property Summary'!$L$18)^('MF Rents'!GF$3-1))</f>
        <v/>
      </c>
      <c r="GG31" s="149" t="str">
        <f>IF(OR($B31="",$B31=0),"",($G31*(GG$4&lt;$I31)+$H31*(GG$4&gt;=$I31))*$C31*(1+'Property Summary'!$L$18)^('MF Rents'!GG$3-1))</f>
        <v/>
      </c>
      <c r="GH31" s="149" t="str">
        <f>IF(OR($B31="",$B31=0),"",($G31*(GH$4&lt;$I31)+$H31*(GH$4&gt;=$I31))*$C31*(1+'Property Summary'!$L$18)^('MF Rents'!GH$3-1))</f>
        <v/>
      </c>
      <c r="GI31" s="149" t="str">
        <f>IF(OR($B31="",$B31=0),"",($G31*(GI$4&lt;$I31)+$H31*(GI$4&gt;=$I31))*$C31*(1+'Property Summary'!$L$18)^('MF Rents'!GI$3-1))</f>
        <v/>
      </c>
      <c r="GJ31" s="149" t="str">
        <f>IF(OR($B31="",$B31=0),"",($G31*(GJ$4&lt;$I31)+$H31*(GJ$4&gt;=$I31))*$C31*(1+'Property Summary'!$L$18)^('MF Rents'!GJ$3-1))</f>
        <v/>
      </c>
      <c r="GK31" s="149" t="str">
        <f>IF(OR($B31="",$B31=0),"",($G31*(GK$4&lt;$I31)+$H31*(GK$4&gt;=$I31))*$C31*(1+'Property Summary'!$L$18)^('MF Rents'!GK$3-1))</f>
        <v/>
      </c>
      <c r="GL31" s="149" t="str">
        <f>IF(OR($B31="",$B31=0),"",($G31*(GL$4&lt;$I31)+$H31*(GL$4&gt;=$I31))*$C31*(1+'Property Summary'!$L$18)^('MF Rents'!GL$3-1))</f>
        <v/>
      </c>
      <c r="GM31" s="149" t="str">
        <f>IF(OR($B31="",$B31=0),"",($G31*(GM$4&lt;$I31)+$H31*(GM$4&gt;=$I31))*$C31*(1+'Property Summary'!$L$18)^('MF Rents'!GM$3-1))</f>
        <v/>
      </c>
      <c r="GN31" s="149" t="str">
        <f>IF(OR($B31="",$B31=0),"",($G31*(GN$4&lt;$I31)+$H31*(GN$4&gt;=$I31))*$C31*(1+'Property Summary'!$L$18)^('MF Rents'!GN$3-1))</f>
        <v/>
      </c>
      <c r="GO31" s="149" t="str">
        <f>IF(OR($B31="",$B31=0),"",($G31*(GO$4&lt;$I31)+$H31*(GO$4&gt;=$I31))*$C31*(1+'Property Summary'!$L$18)^('MF Rents'!GO$3-1))</f>
        <v/>
      </c>
      <c r="GP31" s="149" t="str">
        <f>IF(OR($B31="",$B31=0),"",($G31*(GP$4&lt;$I31)+$H31*(GP$4&gt;=$I31))*$C31*(1+'Property Summary'!$L$18)^('MF Rents'!GP$3-1))</f>
        <v/>
      </c>
      <c r="GQ31" s="149" t="str">
        <f>IF(OR($B31="",$B31=0),"",($G31*(GQ$4&lt;$I31)+$H31*(GQ$4&gt;=$I31))*$C31*(1+'Property Summary'!$L$18)^('MF Rents'!GQ$3-1))</f>
        <v/>
      </c>
      <c r="GR31" s="149" t="str">
        <f>IF(OR($B31="",$B31=0),"",($G31*(GR$4&lt;$I31)+$H31*(GR$4&gt;=$I31))*$C31*(1+'Property Summary'!$L$18)^('MF Rents'!GR$3-1))</f>
        <v/>
      </c>
    </row>
    <row r="32" spans="2:200" x14ac:dyDescent="0.3">
      <c r="B32" s="184">
        <f>'MF Rent Roll'!B31</f>
        <v>0</v>
      </c>
      <c r="C32" s="171">
        <f>'MF Rent Roll'!C31</f>
        <v>0</v>
      </c>
      <c r="D32" s="172">
        <f>'MF Rent Roll'!D31</f>
        <v>0</v>
      </c>
      <c r="E32" s="172">
        <f>'MF Rent Roll'!E31</f>
        <v>0</v>
      </c>
      <c r="F32" s="173">
        <f>'MF Rent Roll'!F31</f>
        <v>0</v>
      </c>
      <c r="G32" s="174">
        <f>'MF Rent Roll'!G31</f>
        <v>0</v>
      </c>
      <c r="H32" s="174">
        <f>IF('MF Rent Roll'!H31="",G32,'MF Rent Roll'!H31)</f>
        <v>0</v>
      </c>
      <c r="I32" s="175">
        <f>IF('MF Rent Roll'!I31="",1,'MF Rent Roll'!I31)</f>
        <v>1</v>
      </c>
      <c r="J32" s="176">
        <f>'MF Rent Roll'!J31</f>
        <v>0</v>
      </c>
      <c r="K32" s="174">
        <f>'MF Rent Roll'!K31</f>
        <v>0</v>
      </c>
      <c r="L32" s="177">
        <f>'MF Rent Roll'!L31</f>
        <v>0</v>
      </c>
      <c r="M32" s="178">
        <f>'MF Rent Roll'!M31</f>
        <v>0</v>
      </c>
      <c r="N32" s="174">
        <f>'MF Rent Roll'!N31</f>
        <v>0</v>
      </c>
      <c r="O32" s="179">
        <f>'MF Rent Roll'!O31</f>
        <v>0</v>
      </c>
      <c r="P32" s="180" t="str">
        <f>'MF Rent Roll'!P31</f>
        <v/>
      </c>
      <c r="Q32" s="181" t="str">
        <f>'MF Rent Roll'!Q31</f>
        <v/>
      </c>
      <c r="R32" s="104" t="str">
        <f>'MF Rent Roll'!R31</f>
        <v/>
      </c>
      <c r="U32" s="149" t="str">
        <f>IF(OR($B32="",$B32=0),"",($G32*(U$4&lt;$I32)+$H32*(U$4&gt;=$I32))*$C32*(1+'Property Summary'!$L$18)^('MF Rents'!U$3-1))</f>
        <v/>
      </c>
      <c r="V32" s="149" t="str">
        <f>IF(OR($B32="",$B32=0),"",($G32*(V$4&lt;$I32)+$H32*(V$4&gt;=$I32))*$C32*(1+'Property Summary'!$L$18)^('MF Rents'!V$3-1))</f>
        <v/>
      </c>
      <c r="W32" s="149" t="str">
        <f>IF(OR($B32="",$B32=0),"",($G32*(W$4&lt;$I32)+$H32*(W$4&gt;=$I32))*$C32*(1+'Property Summary'!$L$18)^('MF Rents'!W$3-1))</f>
        <v/>
      </c>
      <c r="X32" s="149" t="str">
        <f>IF(OR($B32="",$B32=0),"",($G32*(X$4&lt;$I32)+$H32*(X$4&gt;=$I32))*$C32*(1+'Property Summary'!$L$18)^('MF Rents'!X$3-1))</f>
        <v/>
      </c>
      <c r="Y32" s="149" t="str">
        <f>IF(OR($B32="",$B32=0),"",($G32*(Y$4&lt;$I32)+$H32*(Y$4&gt;=$I32))*$C32*(1+'Property Summary'!$L$18)^('MF Rents'!Y$3-1))</f>
        <v/>
      </c>
      <c r="Z32" s="149" t="str">
        <f>IF(OR($B32="",$B32=0),"",($G32*(Z$4&lt;$I32)+$H32*(Z$4&gt;=$I32))*$C32*(1+'Property Summary'!$L$18)^('MF Rents'!Z$3-1))</f>
        <v/>
      </c>
      <c r="AA32" s="149" t="str">
        <f>IF(OR($B32="",$B32=0),"",($G32*(AA$4&lt;$I32)+$H32*(AA$4&gt;=$I32))*$C32*(1+'Property Summary'!$L$18)^('MF Rents'!AA$3-1))</f>
        <v/>
      </c>
      <c r="AB32" s="149" t="str">
        <f>IF(OR($B32="",$B32=0),"",($G32*(AB$4&lt;$I32)+$H32*(AB$4&gt;=$I32))*$C32*(1+'Property Summary'!$L$18)^('MF Rents'!AB$3-1))</f>
        <v/>
      </c>
      <c r="AC32" s="149" t="str">
        <f>IF(OR($B32="",$B32=0),"",($G32*(AC$4&lt;$I32)+$H32*(AC$4&gt;=$I32))*$C32*(1+'Property Summary'!$L$18)^('MF Rents'!AC$3-1))</f>
        <v/>
      </c>
      <c r="AD32" s="149" t="str">
        <f>IF(OR($B32="",$B32=0),"",($G32*(AD$4&lt;$I32)+$H32*(AD$4&gt;=$I32))*$C32*(1+'Property Summary'!$L$18)^('MF Rents'!AD$3-1))</f>
        <v/>
      </c>
      <c r="AE32" s="149" t="str">
        <f>IF(OR($B32="",$B32=0),"",($G32*(AE$4&lt;$I32)+$H32*(AE$4&gt;=$I32))*$C32*(1+'Property Summary'!$L$18)^('MF Rents'!AE$3-1))</f>
        <v/>
      </c>
      <c r="AF32" s="149" t="str">
        <f>IF(OR($B32="",$B32=0),"",($G32*(AF$4&lt;$I32)+$H32*(AF$4&gt;=$I32))*$C32*(1+'Property Summary'!$L$18)^('MF Rents'!AF$3-1))</f>
        <v/>
      </c>
      <c r="AG32" s="149" t="str">
        <f>IF(OR($B32="",$B32=0),"",($G32*(AG$4&lt;$I32)+$H32*(AG$4&gt;=$I32))*$C32*(1+'Property Summary'!$L$18)^('MF Rents'!AG$3-1))</f>
        <v/>
      </c>
      <c r="AH32" s="149" t="str">
        <f>IF(OR($B32="",$B32=0),"",($G32*(AH$4&lt;$I32)+$H32*(AH$4&gt;=$I32))*$C32*(1+'Property Summary'!$L$18)^('MF Rents'!AH$3-1))</f>
        <v/>
      </c>
      <c r="AI32" s="149" t="str">
        <f>IF(OR($B32="",$B32=0),"",($G32*(AI$4&lt;$I32)+$H32*(AI$4&gt;=$I32))*$C32*(1+'Property Summary'!$L$18)^('MF Rents'!AI$3-1))</f>
        <v/>
      </c>
      <c r="AJ32" s="149" t="str">
        <f>IF(OR($B32="",$B32=0),"",($G32*(AJ$4&lt;$I32)+$H32*(AJ$4&gt;=$I32))*$C32*(1+'Property Summary'!$L$18)^('MF Rents'!AJ$3-1))</f>
        <v/>
      </c>
      <c r="AK32" s="149" t="str">
        <f>IF(OR($B32="",$B32=0),"",($G32*(AK$4&lt;$I32)+$H32*(AK$4&gt;=$I32))*$C32*(1+'Property Summary'!$L$18)^('MF Rents'!AK$3-1))</f>
        <v/>
      </c>
      <c r="AL32" s="149" t="str">
        <f>IF(OR($B32="",$B32=0),"",($G32*(AL$4&lt;$I32)+$H32*(AL$4&gt;=$I32))*$C32*(1+'Property Summary'!$L$18)^('MF Rents'!AL$3-1))</f>
        <v/>
      </c>
      <c r="AM32" s="149" t="str">
        <f>IF(OR($B32="",$B32=0),"",($G32*(AM$4&lt;$I32)+$H32*(AM$4&gt;=$I32))*$C32*(1+'Property Summary'!$L$18)^('MF Rents'!AM$3-1))</f>
        <v/>
      </c>
      <c r="AN32" s="149" t="str">
        <f>IF(OR($B32="",$B32=0),"",($G32*(AN$4&lt;$I32)+$H32*(AN$4&gt;=$I32))*$C32*(1+'Property Summary'!$L$18)^('MF Rents'!AN$3-1))</f>
        <v/>
      </c>
      <c r="AO32" s="149" t="str">
        <f>IF(OR($B32="",$B32=0),"",($G32*(AO$4&lt;$I32)+$H32*(AO$4&gt;=$I32))*$C32*(1+'Property Summary'!$L$18)^('MF Rents'!AO$3-1))</f>
        <v/>
      </c>
      <c r="AP32" s="149" t="str">
        <f>IF(OR($B32="",$B32=0),"",($G32*(AP$4&lt;$I32)+$H32*(AP$4&gt;=$I32))*$C32*(1+'Property Summary'!$L$18)^('MF Rents'!AP$3-1))</f>
        <v/>
      </c>
      <c r="AQ32" s="149" t="str">
        <f>IF(OR($B32="",$B32=0),"",($G32*(AQ$4&lt;$I32)+$H32*(AQ$4&gt;=$I32))*$C32*(1+'Property Summary'!$L$18)^('MF Rents'!AQ$3-1))</f>
        <v/>
      </c>
      <c r="AR32" s="149" t="str">
        <f>IF(OR($B32="",$B32=0),"",($G32*(AR$4&lt;$I32)+$H32*(AR$4&gt;=$I32))*$C32*(1+'Property Summary'!$L$18)^('MF Rents'!AR$3-1))</f>
        <v/>
      </c>
      <c r="AS32" s="149" t="str">
        <f>IF(OR($B32="",$B32=0),"",($G32*(AS$4&lt;$I32)+$H32*(AS$4&gt;=$I32))*$C32*(1+'Property Summary'!$L$18)^('MF Rents'!AS$3-1))</f>
        <v/>
      </c>
      <c r="AT32" s="149" t="str">
        <f>IF(OR($B32="",$B32=0),"",($G32*(AT$4&lt;$I32)+$H32*(AT$4&gt;=$I32))*$C32*(1+'Property Summary'!$L$18)^('MF Rents'!AT$3-1))</f>
        <v/>
      </c>
      <c r="AU32" s="149" t="str">
        <f>IF(OR($B32="",$B32=0),"",($G32*(AU$4&lt;$I32)+$H32*(AU$4&gt;=$I32))*$C32*(1+'Property Summary'!$L$18)^('MF Rents'!AU$3-1))</f>
        <v/>
      </c>
      <c r="AV32" s="149" t="str">
        <f>IF(OR($B32="",$B32=0),"",($G32*(AV$4&lt;$I32)+$H32*(AV$4&gt;=$I32))*$C32*(1+'Property Summary'!$L$18)^('MF Rents'!AV$3-1))</f>
        <v/>
      </c>
      <c r="AW32" s="149" t="str">
        <f>IF(OR($B32="",$B32=0),"",($G32*(AW$4&lt;$I32)+$H32*(AW$4&gt;=$I32))*$C32*(1+'Property Summary'!$L$18)^('MF Rents'!AW$3-1))</f>
        <v/>
      </c>
      <c r="AX32" s="149" t="str">
        <f>IF(OR($B32="",$B32=0),"",($G32*(AX$4&lt;$I32)+$H32*(AX$4&gt;=$I32))*$C32*(1+'Property Summary'!$L$18)^('MF Rents'!AX$3-1))</f>
        <v/>
      </c>
      <c r="AY32" s="149" t="str">
        <f>IF(OR($B32="",$B32=0),"",($G32*(AY$4&lt;$I32)+$H32*(AY$4&gt;=$I32))*$C32*(1+'Property Summary'!$L$18)^('MF Rents'!AY$3-1))</f>
        <v/>
      </c>
      <c r="AZ32" s="149" t="str">
        <f>IF(OR($B32="",$B32=0),"",($G32*(AZ$4&lt;$I32)+$H32*(AZ$4&gt;=$I32))*$C32*(1+'Property Summary'!$L$18)^('MF Rents'!AZ$3-1))</f>
        <v/>
      </c>
      <c r="BA32" s="149" t="str">
        <f>IF(OR($B32="",$B32=0),"",($G32*(BA$4&lt;$I32)+$H32*(BA$4&gt;=$I32))*$C32*(1+'Property Summary'!$L$18)^('MF Rents'!BA$3-1))</f>
        <v/>
      </c>
      <c r="BB32" s="149" t="str">
        <f>IF(OR($B32="",$B32=0),"",($G32*(BB$4&lt;$I32)+$H32*(BB$4&gt;=$I32))*$C32*(1+'Property Summary'!$L$18)^('MF Rents'!BB$3-1))</f>
        <v/>
      </c>
      <c r="BC32" s="149" t="str">
        <f>IF(OR($B32="",$B32=0),"",($G32*(BC$4&lt;$I32)+$H32*(BC$4&gt;=$I32))*$C32*(1+'Property Summary'!$L$18)^('MF Rents'!BC$3-1))</f>
        <v/>
      </c>
      <c r="BD32" s="149" t="str">
        <f>IF(OR($B32="",$B32=0),"",($G32*(BD$4&lt;$I32)+$H32*(BD$4&gt;=$I32))*$C32*(1+'Property Summary'!$L$18)^('MF Rents'!BD$3-1))</f>
        <v/>
      </c>
      <c r="BE32" s="149" t="str">
        <f>IF(OR($B32="",$B32=0),"",($G32*(BE$4&lt;$I32)+$H32*(BE$4&gt;=$I32))*$C32*(1+'Property Summary'!$L$18)^('MF Rents'!BE$3-1))</f>
        <v/>
      </c>
      <c r="BF32" s="149" t="str">
        <f>IF(OR($B32="",$B32=0),"",($G32*(BF$4&lt;$I32)+$H32*(BF$4&gt;=$I32))*$C32*(1+'Property Summary'!$L$18)^('MF Rents'!BF$3-1))</f>
        <v/>
      </c>
      <c r="BG32" s="149" t="str">
        <f>IF(OR($B32="",$B32=0),"",($G32*(BG$4&lt;$I32)+$H32*(BG$4&gt;=$I32))*$C32*(1+'Property Summary'!$L$18)^('MF Rents'!BG$3-1))</f>
        <v/>
      </c>
      <c r="BH32" s="149" t="str">
        <f>IF(OR($B32="",$B32=0),"",($G32*(BH$4&lt;$I32)+$H32*(BH$4&gt;=$I32))*$C32*(1+'Property Summary'!$L$18)^('MF Rents'!BH$3-1))</f>
        <v/>
      </c>
      <c r="BI32" s="149" t="str">
        <f>IF(OR($B32="",$B32=0),"",($G32*(BI$4&lt;$I32)+$H32*(BI$4&gt;=$I32))*$C32*(1+'Property Summary'!$L$18)^('MF Rents'!BI$3-1))</f>
        <v/>
      </c>
      <c r="BJ32" s="149" t="str">
        <f>IF(OR($B32="",$B32=0),"",($G32*(BJ$4&lt;$I32)+$H32*(BJ$4&gt;=$I32))*$C32*(1+'Property Summary'!$L$18)^('MF Rents'!BJ$3-1))</f>
        <v/>
      </c>
      <c r="BK32" s="149" t="str">
        <f>IF(OR($B32="",$B32=0),"",($G32*(BK$4&lt;$I32)+$H32*(BK$4&gt;=$I32))*$C32*(1+'Property Summary'!$L$18)^('MF Rents'!BK$3-1))</f>
        <v/>
      </c>
      <c r="BL32" s="149" t="str">
        <f>IF(OR($B32="",$B32=0),"",($G32*(BL$4&lt;$I32)+$H32*(BL$4&gt;=$I32))*$C32*(1+'Property Summary'!$L$18)^('MF Rents'!BL$3-1))</f>
        <v/>
      </c>
      <c r="BM32" s="149" t="str">
        <f>IF(OR($B32="",$B32=0),"",($G32*(BM$4&lt;$I32)+$H32*(BM$4&gt;=$I32))*$C32*(1+'Property Summary'!$L$18)^('MF Rents'!BM$3-1))</f>
        <v/>
      </c>
      <c r="BN32" s="149" t="str">
        <f>IF(OR($B32="",$B32=0),"",($G32*(BN$4&lt;$I32)+$H32*(BN$4&gt;=$I32))*$C32*(1+'Property Summary'!$L$18)^('MF Rents'!BN$3-1))</f>
        <v/>
      </c>
      <c r="BO32" s="149" t="str">
        <f>IF(OR($B32="",$B32=0),"",($G32*(BO$4&lt;$I32)+$H32*(BO$4&gt;=$I32))*$C32*(1+'Property Summary'!$L$18)^('MF Rents'!BO$3-1))</f>
        <v/>
      </c>
      <c r="BP32" s="149" t="str">
        <f>IF(OR($B32="",$B32=0),"",($G32*(BP$4&lt;$I32)+$H32*(BP$4&gt;=$I32))*$C32*(1+'Property Summary'!$L$18)^('MF Rents'!BP$3-1))</f>
        <v/>
      </c>
      <c r="BQ32" s="149" t="str">
        <f>IF(OR($B32="",$B32=0),"",($G32*(BQ$4&lt;$I32)+$H32*(BQ$4&gt;=$I32))*$C32*(1+'Property Summary'!$L$18)^('MF Rents'!BQ$3-1))</f>
        <v/>
      </c>
      <c r="BR32" s="149" t="str">
        <f>IF(OR($B32="",$B32=0),"",($G32*(BR$4&lt;$I32)+$H32*(BR$4&gt;=$I32))*$C32*(1+'Property Summary'!$L$18)^('MF Rents'!BR$3-1))</f>
        <v/>
      </c>
      <c r="BS32" s="149" t="str">
        <f>IF(OR($B32="",$B32=0),"",($G32*(BS$4&lt;$I32)+$H32*(BS$4&gt;=$I32))*$C32*(1+'Property Summary'!$L$18)^('MF Rents'!BS$3-1))</f>
        <v/>
      </c>
      <c r="BT32" s="149" t="str">
        <f>IF(OR($B32="",$B32=0),"",($G32*(BT$4&lt;$I32)+$H32*(BT$4&gt;=$I32))*$C32*(1+'Property Summary'!$L$18)^('MF Rents'!BT$3-1))</f>
        <v/>
      </c>
      <c r="BU32" s="149" t="str">
        <f>IF(OR($B32="",$B32=0),"",($G32*(BU$4&lt;$I32)+$H32*(BU$4&gt;=$I32))*$C32*(1+'Property Summary'!$L$18)^('MF Rents'!BU$3-1))</f>
        <v/>
      </c>
      <c r="BV32" s="149" t="str">
        <f>IF(OR($B32="",$B32=0),"",($G32*(BV$4&lt;$I32)+$H32*(BV$4&gt;=$I32))*$C32*(1+'Property Summary'!$L$18)^('MF Rents'!BV$3-1))</f>
        <v/>
      </c>
      <c r="BW32" s="149" t="str">
        <f>IF(OR($B32="",$B32=0),"",($G32*(BW$4&lt;$I32)+$H32*(BW$4&gt;=$I32))*$C32*(1+'Property Summary'!$L$18)^('MF Rents'!BW$3-1))</f>
        <v/>
      </c>
      <c r="BX32" s="149" t="str">
        <f>IF(OR($B32="",$B32=0),"",($G32*(BX$4&lt;$I32)+$H32*(BX$4&gt;=$I32))*$C32*(1+'Property Summary'!$L$18)^('MF Rents'!BX$3-1))</f>
        <v/>
      </c>
      <c r="BY32" s="149" t="str">
        <f>IF(OR($B32="",$B32=0),"",($G32*(BY$4&lt;$I32)+$H32*(BY$4&gt;=$I32))*$C32*(1+'Property Summary'!$L$18)^('MF Rents'!BY$3-1))</f>
        <v/>
      </c>
      <c r="BZ32" s="149" t="str">
        <f>IF(OR($B32="",$B32=0),"",($G32*(BZ$4&lt;$I32)+$H32*(BZ$4&gt;=$I32))*$C32*(1+'Property Summary'!$L$18)^('MF Rents'!BZ$3-1))</f>
        <v/>
      </c>
      <c r="CA32" s="149" t="str">
        <f>IF(OR($B32="",$B32=0),"",($G32*(CA$4&lt;$I32)+$H32*(CA$4&gt;=$I32))*$C32*(1+'Property Summary'!$L$18)^('MF Rents'!CA$3-1))</f>
        <v/>
      </c>
      <c r="CB32" s="149" t="str">
        <f>IF(OR($B32="",$B32=0),"",($G32*(CB$4&lt;$I32)+$H32*(CB$4&gt;=$I32))*$C32*(1+'Property Summary'!$L$18)^('MF Rents'!CB$3-1))</f>
        <v/>
      </c>
      <c r="CC32" s="149" t="str">
        <f>IF(OR($B32="",$B32=0),"",($G32*(CC$4&lt;$I32)+$H32*(CC$4&gt;=$I32))*$C32*(1+'Property Summary'!$L$18)^('MF Rents'!CC$3-1))</f>
        <v/>
      </c>
      <c r="CD32" s="149" t="str">
        <f>IF(OR($B32="",$B32=0),"",($G32*(CD$4&lt;$I32)+$H32*(CD$4&gt;=$I32))*$C32*(1+'Property Summary'!$L$18)^('MF Rents'!CD$3-1))</f>
        <v/>
      </c>
      <c r="CE32" s="149" t="str">
        <f>IF(OR($B32="",$B32=0),"",($G32*(CE$4&lt;$I32)+$H32*(CE$4&gt;=$I32))*$C32*(1+'Property Summary'!$L$18)^('MF Rents'!CE$3-1))</f>
        <v/>
      </c>
      <c r="CF32" s="149" t="str">
        <f>IF(OR($B32="",$B32=0),"",($G32*(CF$4&lt;$I32)+$H32*(CF$4&gt;=$I32))*$C32*(1+'Property Summary'!$L$18)^('MF Rents'!CF$3-1))</f>
        <v/>
      </c>
      <c r="CG32" s="149" t="str">
        <f>IF(OR($B32="",$B32=0),"",($G32*(CG$4&lt;$I32)+$H32*(CG$4&gt;=$I32))*$C32*(1+'Property Summary'!$L$18)^('MF Rents'!CG$3-1))</f>
        <v/>
      </c>
      <c r="CH32" s="149" t="str">
        <f>IF(OR($B32="",$B32=0),"",($G32*(CH$4&lt;$I32)+$H32*(CH$4&gt;=$I32))*$C32*(1+'Property Summary'!$L$18)^('MF Rents'!CH$3-1))</f>
        <v/>
      </c>
      <c r="CI32" s="149" t="str">
        <f>IF(OR($B32="",$B32=0),"",($G32*(CI$4&lt;$I32)+$H32*(CI$4&gt;=$I32))*$C32*(1+'Property Summary'!$L$18)^('MF Rents'!CI$3-1))</f>
        <v/>
      </c>
      <c r="CJ32" s="149" t="str">
        <f>IF(OR($B32="",$B32=0),"",($G32*(CJ$4&lt;$I32)+$H32*(CJ$4&gt;=$I32))*$C32*(1+'Property Summary'!$L$18)^('MF Rents'!CJ$3-1))</f>
        <v/>
      </c>
      <c r="CK32" s="149" t="str">
        <f>IF(OR($B32="",$B32=0),"",($G32*(CK$4&lt;$I32)+$H32*(CK$4&gt;=$I32))*$C32*(1+'Property Summary'!$L$18)^('MF Rents'!CK$3-1))</f>
        <v/>
      </c>
      <c r="CL32" s="149" t="str">
        <f>IF(OR($B32="",$B32=0),"",($G32*(CL$4&lt;$I32)+$H32*(CL$4&gt;=$I32))*$C32*(1+'Property Summary'!$L$18)^('MF Rents'!CL$3-1))</f>
        <v/>
      </c>
      <c r="CM32" s="149" t="str">
        <f>IF(OR($B32="",$B32=0),"",($G32*(CM$4&lt;$I32)+$H32*(CM$4&gt;=$I32))*$C32*(1+'Property Summary'!$L$18)^('MF Rents'!CM$3-1))</f>
        <v/>
      </c>
      <c r="CN32" s="149" t="str">
        <f>IF(OR($B32="",$B32=0),"",($G32*(CN$4&lt;$I32)+$H32*(CN$4&gt;=$I32))*$C32*(1+'Property Summary'!$L$18)^('MF Rents'!CN$3-1))</f>
        <v/>
      </c>
      <c r="CO32" s="149" t="str">
        <f>IF(OR($B32="",$B32=0),"",($G32*(CO$4&lt;$I32)+$H32*(CO$4&gt;=$I32))*$C32*(1+'Property Summary'!$L$18)^('MF Rents'!CO$3-1))</f>
        <v/>
      </c>
      <c r="CP32" s="149" t="str">
        <f>IF(OR($B32="",$B32=0),"",($G32*(CP$4&lt;$I32)+$H32*(CP$4&gt;=$I32))*$C32*(1+'Property Summary'!$L$18)^('MF Rents'!CP$3-1))</f>
        <v/>
      </c>
      <c r="CQ32" s="149" t="str">
        <f>IF(OR($B32="",$B32=0),"",($G32*(CQ$4&lt;$I32)+$H32*(CQ$4&gt;=$I32))*$C32*(1+'Property Summary'!$L$18)^('MF Rents'!CQ$3-1))</f>
        <v/>
      </c>
      <c r="CR32" s="149" t="str">
        <f>IF(OR($B32="",$B32=0),"",($G32*(CR$4&lt;$I32)+$H32*(CR$4&gt;=$I32))*$C32*(1+'Property Summary'!$L$18)^('MF Rents'!CR$3-1))</f>
        <v/>
      </c>
      <c r="CS32" s="149" t="str">
        <f>IF(OR($B32="",$B32=0),"",($G32*(CS$4&lt;$I32)+$H32*(CS$4&gt;=$I32))*$C32*(1+'Property Summary'!$L$18)^('MF Rents'!CS$3-1))</f>
        <v/>
      </c>
      <c r="CT32" s="149" t="str">
        <f>IF(OR($B32="",$B32=0),"",($G32*(CT$4&lt;$I32)+$H32*(CT$4&gt;=$I32))*$C32*(1+'Property Summary'!$L$18)^('MF Rents'!CT$3-1))</f>
        <v/>
      </c>
      <c r="CU32" s="149" t="str">
        <f>IF(OR($B32="",$B32=0),"",($G32*(CU$4&lt;$I32)+$H32*(CU$4&gt;=$I32))*$C32*(1+'Property Summary'!$L$18)^('MF Rents'!CU$3-1))</f>
        <v/>
      </c>
      <c r="CV32" s="149" t="str">
        <f>IF(OR($B32="",$B32=0),"",($G32*(CV$4&lt;$I32)+$H32*(CV$4&gt;=$I32))*$C32*(1+'Property Summary'!$L$18)^('MF Rents'!CV$3-1))</f>
        <v/>
      </c>
      <c r="CW32" s="149" t="str">
        <f>IF(OR($B32="",$B32=0),"",($G32*(CW$4&lt;$I32)+$H32*(CW$4&gt;=$I32))*$C32*(1+'Property Summary'!$L$18)^('MF Rents'!CW$3-1))</f>
        <v/>
      </c>
      <c r="CX32" s="149" t="str">
        <f>IF(OR($B32="",$B32=0),"",($G32*(CX$4&lt;$I32)+$H32*(CX$4&gt;=$I32))*$C32*(1+'Property Summary'!$L$18)^('MF Rents'!CX$3-1))</f>
        <v/>
      </c>
      <c r="CY32" s="149" t="str">
        <f>IF(OR($B32="",$B32=0),"",($G32*(CY$4&lt;$I32)+$H32*(CY$4&gt;=$I32))*$C32*(1+'Property Summary'!$L$18)^('MF Rents'!CY$3-1))</f>
        <v/>
      </c>
      <c r="CZ32" s="149" t="str">
        <f>IF(OR($B32="",$B32=0),"",($G32*(CZ$4&lt;$I32)+$H32*(CZ$4&gt;=$I32))*$C32*(1+'Property Summary'!$L$18)^('MF Rents'!CZ$3-1))</f>
        <v/>
      </c>
      <c r="DA32" s="149" t="str">
        <f>IF(OR($B32="",$B32=0),"",($G32*(DA$4&lt;$I32)+$H32*(DA$4&gt;=$I32))*$C32*(1+'Property Summary'!$L$18)^('MF Rents'!DA$3-1))</f>
        <v/>
      </c>
      <c r="DB32" s="149" t="str">
        <f>IF(OR($B32="",$B32=0),"",($G32*(DB$4&lt;$I32)+$H32*(DB$4&gt;=$I32))*$C32*(1+'Property Summary'!$L$18)^('MF Rents'!DB$3-1))</f>
        <v/>
      </c>
      <c r="DC32" s="149" t="str">
        <f>IF(OR($B32="",$B32=0),"",($G32*(DC$4&lt;$I32)+$H32*(DC$4&gt;=$I32))*$C32*(1+'Property Summary'!$L$18)^('MF Rents'!DC$3-1))</f>
        <v/>
      </c>
      <c r="DD32" s="149" t="str">
        <f>IF(OR($B32="",$B32=0),"",($G32*(DD$4&lt;$I32)+$H32*(DD$4&gt;=$I32))*$C32*(1+'Property Summary'!$L$18)^('MF Rents'!DD$3-1))</f>
        <v/>
      </c>
      <c r="DE32" s="149" t="str">
        <f>IF(OR($B32="",$B32=0),"",($G32*(DE$4&lt;$I32)+$H32*(DE$4&gt;=$I32))*$C32*(1+'Property Summary'!$L$18)^('MF Rents'!DE$3-1))</f>
        <v/>
      </c>
      <c r="DF32" s="149" t="str">
        <f>IF(OR($B32="",$B32=0),"",($G32*(DF$4&lt;$I32)+$H32*(DF$4&gt;=$I32))*$C32*(1+'Property Summary'!$L$18)^('MF Rents'!DF$3-1))</f>
        <v/>
      </c>
      <c r="DG32" s="149" t="str">
        <f>IF(OR($B32="",$B32=0),"",($G32*(DG$4&lt;$I32)+$H32*(DG$4&gt;=$I32))*$C32*(1+'Property Summary'!$L$18)^('MF Rents'!DG$3-1))</f>
        <v/>
      </c>
      <c r="DH32" s="149" t="str">
        <f>IF(OR($B32="",$B32=0),"",($G32*(DH$4&lt;$I32)+$H32*(DH$4&gt;=$I32))*$C32*(1+'Property Summary'!$L$18)^('MF Rents'!DH$3-1))</f>
        <v/>
      </c>
      <c r="DI32" s="149" t="str">
        <f>IF(OR($B32="",$B32=0),"",($G32*(DI$4&lt;$I32)+$H32*(DI$4&gt;=$I32))*$C32*(1+'Property Summary'!$L$18)^('MF Rents'!DI$3-1))</f>
        <v/>
      </c>
      <c r="DJ32" s="149" t="str">
        <f>IF(OR($B32="",$B32=0),"",($G32*(DJ$4&lt;$I32)+$H32*(DJ$4&gt;=$I32))*$C32*(1+'Property Summary'!$L$18)^('MF Rents'!DJ$3-1))</f>
        <v/>
      </c>
      <c r="DK32" s="149" t="str">
        <f>IF(OR($B32="",$B32=0),"",($G32*(DK$4&lt;$I32)+$H32*(DK$4&gt;=$I32))*$C32*(1+'Property Summary'!$L$18)^('MF Rents'!DK$3-1))</f>
        <v/>
      </c>
      <c r="DL32" s="149" t="str">
        <f>IF(OR($B32="",$B32=0),"",($G32*(DL$4&lt;$I32)+$H32*(DL$4&gt;=$I32))*$C32*(1+'Property Summary'!$L$18)^('MF Rents'!DL$3-1))</f>
        <v/>
      </c>
      <c r="DM32" s="149" t="str">
        <f>IF(OR($B32="",$B32=0),"",($G32*(DM$4&lt;$I32)+$H32*(DM$4&gt;=$I32))*$C32*(1+'Property Summary'!$L$18)^('MF Rents'!DM$3-1))</f>
        <v/>
      </c>
      <c r="DN32" s="149" t="str">
        <f>IF(OR($B32="",$B32=0),"",($G32*(DN$4&lt;$I32)+$H32*(DN$4&gt;=$I32))*$C32*(1+'Property Summary'!$L$18)^('MF Rents'!DN$3-1))</f>
        <v/>
      </c>
      <c r="DO32" s="149" t="str">
        <f>IF(OR($B32="",$B32=0),"",($G32*(DO$4&lt;$I32)+$H32*(DO$4&gt;=$I32))*$C32*(1+'Property Summary'!$L$18)^('MF Rents'!DO$3-1))</f>
        <v/>
      </c>
      <c r="DP32" s="149" t="str">
        <f>IF(OR($B32="",$B32=0),"",($G32*(DP$4&lt;$I32)+$H32*(DP$4&gt;=$I32))*$C32*(1+'Property Summary'!$L$18)^('MF Rents'!DP$3-1))</f>
        <v/>
      </c>
      <c r="DQ32" s="149" t="str">
        <f>IF(OR($B32="",$B32=0),"",($G32*(DQ$4&lt;$I32)+$H32*(DQ$4&gt;=$I32))*$C32*(1+'Property Summary'!$L$18)^('MF Rents'!DQ$3-1))</f>
        <v/>
      </c>
      <c r="DR32" s="149" t="str">
        <f>IF(OR($B32="",$B32=0),"",($G32*(DR$4&lt;$I32)+$H32*(DR$4&gt;=$I32))*$C32*(1+'Property Summary'!$L$18)^('MF Rents'!DR$3-1))</f>
        <v/>
      </c>
      <c r="DS32" s="149" t="str">
        <f>IF(OR($B32="",$B32=0),"",($G32*(DS$4&lt;$I32)+$H32*(DS$4&gt;=$I32))*$C32*(1+'Property Summary'!$L$18)^('MF Rents'!DS$3-1))</f>
        <v/>
      </c>
      <c r="DT32" s="149" t="str">
        <f>IF(OR($B32="",$B32=0),"",($G32*(DT$4&lt;$I32)+$H32*(DT$4&gt;=$I32))*$C32*(1+'Property Summary'!$L$18)^('MF Rents'!DT$3-1))</f>
        <v/>
      </c>
      <c r="DU32" s="149" t="str">
        <f>IF(OR($B32="",$B32=0),"",($G32*(DU$4&lt;$I32)+$H32*(DU$4&gt;=$I32))*$C32*(1+'Property Summary'!$L$18)^('MF Rents'!DU$3-1))</f>
        <v/>
      </c>
      <c r="DV32" s="149" t="str">
        <f>IF(OR($B32="",$B32=0),"",($G32*(DV$4&lt;$I32)+$H32*(DV$4&gt;=$I32))*$C32*(1+'Property Summary'!$L$18)^('MF Rents'!DV$3-1))</f>
        <v/>
      </c>
      <c r="DW32" s="149" t="str">
        <f>IF(OR($B32="",$B32=0),"",($G32*(DW$4&lt;$I32)+$H32*(DW$4&gt;=$I32))*$C32*(1+'Property Summary'!$L$18)^('MF Rents'!DW$3-1))</f>
        <v/>
      </c>
      <c r="DX32" s="149" t="str">
        <f>IF(OR($B32="",$B32=0),"",($G32*(DX$4&lt;$I32)+$H32*(DX$4&gt;=$I32))*$C32*(1+'Property Summary'!$L$18)^('MF Rents'!DX$3-1))</f>
        <v/>
      </c>
      <c r="DY32" s="149" t="str">
        <f>IF(OR($B32="",$B32=0),"",($G32*(DY$4&lt;$I32)+$H32*(DY$4&gt;=$I32))*$C32*(1+'Property Summary'!$L$18)^('MF Rents'!DY$3-1))</f>
        <v/>
      </c>
      <c r="DZ32" s="149" t="str">
        <f>IF(OR($B32="",$B32=0),"",($G32*(DZ$4&lt;$I32)+$H32*(DZ$4&gt;=$I32))*$C32*(1+'Property Summary'!$L$18)^('MF Rents'!DZ$3-1))</f>
        <v/>
      </c>
      <c r="EA32" s="149" t="str">
        <f>IF(OR($B32="",$B32=0),"",($G32*(EA$4&lt;$I32)+$H32*(EA$4&gt;=$I32))*$C32*(1+'Property Summary'!$L$18)^('MF Rents'!EA$3-1))</f>
        <v/>
      </c>
      <c r="EB32" s="149" t="str">
        <f>IF(OR($B32="",$B32=0),"",($G32*(EB$4&lt;$I32)+$H32*(EB$4&gt;=$I32))*$C32*(1+'Property Summary'!$L$18)^('MF Rents'!EB$3-1))</f>
        <v/>
      </c>
      <c r="EC32" s="149" t="str">
        <f>IF(OR($B32="",$B32=0),"",($G32*(EC$4&lt;$I32)+$H32*(EC$4&gt;=$I32))*$C32*(1+'Property Summary'!$L$18)^('MF Rents'!EC$3-1))</f>
        <v/>
      </c>
      <c r="ED32" s="149" t="str">
        <f>IF(OR($B32="",$B32=0),"",($G32*(ED$4&lt;$I32)+$H32*(ED$4&gt;=$I32))*$C32*(1+'Property Summary'!$L$18)^('MF Rents'!ED$3-1))</f>
        <v/>
      </c>
      <c r="EE32" s="149" t="str">
        <f>IF(OR($B32="",$B32=0),"",($G32*(EE$4&lt;$I32)+$H32*(EE$4&gt;=$I32))*$C32*(1+'Property Summary'!$L$18)^('MF Rents'!EE$3-1))</f>
        <v/>
      </c>
      <c r="EF32" s="149" t="str">
        <f>IF(OR($B32="",$B32=0),"",($G32*(EF$4&lt;$I32)+$H32*(EF$4&gt;=$I32))*$C32*(1+'Property Summary'!$L$18)^('MF Rents'!EF$3-1))</f>
        <v/>
      </c>
      <c r="EG32" s="149" t="str">
        <f>IF(OR($B32="",$B32=0),"",($G32*(EG$4&lt;$I32)+$H32*(EG$4&gt;=$I32))*$C32*(1+'Property Summary'!$L$18)^('MF Rents'!EG$3-1))</f>
        <v/>
      </c>
      <c r="EH32" s="149" t="str">
        <f>IF(OR($B32="",$B32=0),"",($G32*(EH$4&lt;$I32)+$H32*(EH$4&gt;=$I32))*$C32*(1+'Property Summary'!$L$18)^('MF Rents'!EH$3-1))</f>
        <v/>
      </c>
      <c r="EI32" s="149" t="str">
        <f>IF(OR($B32="",$B32=0),"",($G32*(EI$4&lt;$I32)+$H32*(EI$4&gt;=$I32))*$C32*(1+'Property Summary'!$L$18)^('MF Rents'!EI$3-1))</f>
        <v/>
      </c>
      <c r="EJ32" s="149" t="str">
        <f>IF(OR($B32="",$B32=0),"",($G32*(EJ$4&lt;$I32)+$H32*(EJ$4&gt;=$I32))*$C32*(1+'Property Summary'!$L$18)^('MF Rents'!EJ$3-1))</f>
        <v/>
      </c>
      <c r="EK32" s="149" t="str">
        <f>IF(OR($B32="",$B32=0),"",($G32*(EK$4&lt;$I32)+$H32*(EK$4&gt;=$I32))*$C32*(1+'Property Summary'!$L$18)^('MF Rents'!EK$3-1))</f>
        <v/>
      </c>
      <c r="EL32" s="149" t="str">
        <f>IF(OR($B32="",$B32=0),"",($G32*(EL$4&lt;$I32)+$H32*(EL$4&gt;=$I32))*$C32*(1+'Property Summary'!$L$18)^('MF Rents'!EL$3-1))</f>
        <v/>
      </c>
      <c r="EM32" s="149" t="str">
        <f>IF(OR($B32="",$B32=0),"",($G32*(EM$4&lt;$I32)+$H32*(EM$4&gt;=$I32))*$C32*(1+'Property Summary'!$L$18)^('MF Rents'!EM$3-1))</f>
        <v/>
      </c>
      <c r="EN32" s="149" t="str">
        <f>IF(OR($B32="",$B32=0),"",($G32*(EN$4&lt;$I32)+$H32*(EN$4&gt;=$I32))*$C32*(1+'Property Summary'!$L$18)^('MF Rents'!EN$3-1))</f>
        <v/>
      </c>
      <c r="EO32" s="149" t="str">
        <f>IF(OR($B32="",$B32=0),"",($G32*(EO$4&lt;$I32)+$H32*(EO$4&gt;=$I32))*$C32*(1+'Property Summary'!$L$18)^('MF Rents'!EO$3-1))</f>
        <v/>
      </c>
      <c r="EP32" s="149" t="str">
        <f>IF(OR($B32="",$B32=0),"",($G32*(EP$4&lt;$I32)+$H32*(EP$4&gt;=$I32))*$C32*(1+'Property Summary'!$L$18)^('MF Rents'!EP$3-1))</f>
        <v/>
      </c>
      <c r="EQ32" s="149" t="str">
        <f>IF(OR($B32="",$B32=0),"",($G32*(EQ$4&lt;$I32)+$H32*(EQ$4&gt;=$I32))*$C32*(1+'Property Summary'!$L$18)^('MF Rents'!EQ$3-1))</f>
        <v/>
      </c>
      <c r="ER32" s="149" t="str">
        <f>IF(OR($B32="",$B32=0),"",($G32*(ER$4&lt;$I32)+$H32*(ER$4&gt;=$I32))*$C32*(1+'Property Summary'!$L$18)^('MF Rents'!ER$3-1))</f>
        <v/>
      </c>
      <c r="ES32" s="149" t="str">
        <f>IF(OR($B32="",$B32=0),"",($G32*(ES$4&lt;$I32)+$H32*(ES$4&gt;=$I32))*$C32*(1+'Property Summary'!$L$18)^('MF Rents'!ES$3-1))</f>
        <v/>
      </c>
      <c r="ET32" s="149" t="str">
        <f>IF(OR($B32="",$B32=0),"",($G32*(ET$4&lt;$I32)+$H32*(ET$4&gt;=$I32))*$C32*(1+'Property Summary'!$L$18)^('MF Rents'!ET$3-1))</f>
        <v/>
      </c>
      <c r="EU32" s="149" t="str">
        <f>IF(OR($B32="",$B32=0),"",($G32*(EU$4&lt;$I32)+$H32*(EU$4&gt;=$I32))*$C32*(1+'Property Summary'!$L$18)^('MF Rents'!EU$3-1))</f>
        <v/>
      </c>
      <c r="EV32" s="149" t="str">
        <f>IF(OR($B32="",$B32=0),"",($G32*(EV$4&lt;$I32)+$H32*(EV$4&gt;=$I32))*$C32*(1+'Property Summary'!$L$18)^('MF Rents'!EV$3-1))</f>
        <v/>
      </c>
      <c r="EW32" s="149" t="str">
        <f>IF(OR($B32="",$B32=0),"",($G32*(EW$4&lt;$I32)+$H32*(EW$4&gt;=$I32))*$C32*(1+'Property Summary'!$L$18)^('MF Rents'!EW$3-1))</f>
        <v/>
      </c>
      <c r="EX32" s="149" t="str">
        <f>IF(OR($B32="",$B32=0),"",($G32*(EX$4&lt;$I32)+$H32*(EX$4&gt;=$I32))*$C32*(1+'Property Summary'!$L$18)^('MF Rents'!EX$3-1))</f>
        <v/>
      </c>
      <c r="EY32" s="149" t="str">
        <f>IF(OR($B32="",$B32=0),"",($G32*(EY$4&lt;$I32)+$H32*(EY$4&gt;=$I32))*$C32*(1+'Property Summary'!$L$18)^('MF Rents'!EY$3-1))</f>
        <v/>
      </c>
      <c r="EZ32" s="149" t="str">
        <f>IF(OR($B32="",$B32=0),"",($G32*(EZ$4&lt;$I32)+$H32*(EZ$4&gt;=$I32))*$C32*(1+'Property Summary'!$L$18)^('MF Rents'!EZ$3-1))</f>
        <v/>
      </c>
      <c r="FA32" s="149" t="str">
        <f>IF(OR($B32="",$B32=0),"",($G32*(FA$4&lt;$I32)+$H32*(FA$4&gt;=$I32))*$C32*(1+'Property Summary'!$L$18)^('MF Rents'!FA$3-1))</f>
        <v/>
      </c>
      <c r="FB32" s="149" t="str">
        <f>IF(OR($B32="",$B32=0),"",($G32*(FB$4&lt;$I32)+$H32*(FB$4&gt;=$I32))*$C32*(1+'Property Summary'!$L$18)^('MF Rents'!FB$3-1))</f>
        <v/>
      </c>
      <c r="FC32" s="149" t="str">
        <f>IF(OR($B32="",$B32=0),"",($G32*(FC$4&lt;$I32)+$H32*(FC$4&gt;=$I32))*$C32*(1+'Property Summary'!$L$18)^('MF Rents'!FC$3-1))</f>
        <v/>
      </c>
      <c r="FD32" s="149" t="str">
        <f>IF(OR($B32="",$B32=0),"",($G32*(FD$4&lt;$I32)+$H32*(FD$4&gt;=$I32))*$C32*(1+'Property Summary'!$L$18)^('MF Rents'!FD$3-1))</f>
        <v/>
      </c>
      <c r="FE32" s="149" t="str">
        <f>IF(OR($B32="",$B32=0),"",($G32*(FE$4&lt;$I32)+$H32*(FE$4&gt;=$I32))*$C32*(1+'Property Summary'!$L$18)^('MF Rents'!FE$3-1))</f>
        <v/>
      </c>
      <c r="FF32" s="149" t="str">
        <f>IF(OR($B32="",$B32=0),"",($G32*(FF$4&lt;$I32)+$H32*(FF$4&gt;=$I32))*$C32*(1+'Property Summary'!$L$18)^('MF Rents'!FF$3-1))</f>
        <v/>
      </c>
      <c r="FG32" s="149" t="str">
        <f>IF(OR($B32="",$B32=0),"",($G32*(FG$4&lt;$I32)+$H32*(FG$4&gt;=$I32))*$C32*(1+'Property Summary'!$L$18)^('MF Rents'!FG$3-1))</f>
        <v/>
      </c>
      <c r="FH32" s="149" t="str">
        <f>IF(OR($B32="",$B32=0),"",($G32*(FH$4&lt;$I32)+$H32*(FH$4&gt;=$I32))*$C32*(1+'Property Summary'!$L$18)^('MF Rents'!FH$3-1))</f>
        <v/>
      </c>
      <c r="FI32" s="149" t="str">
        <f>IF(OR($B32="",$B32=0),"",($G32*(FI$4&lt;$I32)+$H32*(FI$4&gt;=$I32))*$C32*(1+'Property Summary'!$L$18)^('MF Rents'!FI$3-1))</f>
        <v/>
      </c>
      <c r="FJ32" s="149" t="str">
        <f>IF(OR($B32="",$B32=0),"",($G32*(FJ$4&lt;$I32)+$H32*(FJ$4&gt;=$I32))*$C32*(1+'Property Summary'!$L$18)^('MF Rents'!FJ$3-1))</f>
        <v/>
      </c>
      <c r="FK32" s="149" t="str">
        <f>IF(OR($B32="",$B32=0),"",($G32*(FK$4&lt;$I32)+$H32*(FK$4&gt;=$I32))*$C32*(1+'Property Summary'!$L$18)^('MF Rents'!FK$3-1))</f>
        <v/>
      </c>
      <c r="FL32" s="149" t="str">
        <f>IF(OR($B32="",$B32=0),"",($G32*(FL$4&lt;$I32)+$H32*(FL$4&gt;=$I32))*$C32*(1+'Property Summary'!$L$18)^('MF Rents'!FL$3-1))</f>
        <v/>
      </c>
      <c r="FM32" s="149" t="str">
        <f>IF(OR($B32="",$B32=0),"",($G32*(FM$4&lt;$I32)+$H32*(FM$4&gt;=$I32))*$C32*(1+'Property Summary'!$L$18)^('MF Rents'!FM$3-1))</f>
        <v/>
      </c>
      <c r="FN32" s="149" t="str">
        <f>IF(OR($B32="",$B32=0),"",($G32*(FN$4&lt;$I32)+$H32*(FN$4&gt;=$I32))*$C32*(1+'Property Summary'!$L$18)^('MF Rents'!FN$3-1))</f>
        <v/>
      </c>
      <c r="FO32" s="149" t="str">
        <f>IF(OR($B32="",$B32=0),"",($G32*(FO$4&lt;$I32)+$H32*(FO$4&gt;=$I32))*$C32*(1+'Property Summary'!$L$18)^('MF Rents'!FO$3-1))</f>
        <v/>
      </c>
      <c r="FP32" s="149" t="str">
        <f>IF(OR($B32="",$B32=0),"",($G32*(FP$4&lt;$I32)+$H32*(FP$4&gt;=$I32))*$C32*(1+'Property Summary'!$L$18)^('MF Rents'!FP$3-1))</f>
        <v/>
      </c>
      <c r="FQ32" s="149" t="str">
        <f>IF(OR($B32="",$B32=0),"",($G32*(FQ$4&lt;$I32)+$H32*(FQ$4&gt;=$I32))*$C32*(1+'Property Summary'!$L$18)^('MF Rents'!FQ$3-1))</f>
        <v/>
      </c>
      <c r="FR32" s="149" t="str">
        <f>IF(OR($B32="",$B32=0),"",($G32*(FR$4&lt;$I32)+$H32*(FR$4&gt;=$I32))*$C32*(1+'Property Summary'!$L$18)^('MF Rents'!FR$3-1))</f>
        <v/>
      </c>
      <c r="FS32" s="149" t="str">
        <f>IF(OR($B32="",$B32=0),"",($G32*(FS$4&lt;$I32)+$H32*(FS$4&gt;=$I32))*$C32*(1+'Property Summary'!$L$18)^('MF Rents'!FS$3-1))</f>
        <v/>
      </c>
      <c r="FT32" s="149" t="str">
        <f>IF(OR($B32="",$B32=0),"",($G32*(FT$4&lt;$I32)+$H32*(FT$4&gt;=$I32))*$C32*(1+'Property Summary'!$L$18)^('MF Rents'!FT$3-1))</f>
        <v/>
      </c>
      <c r="FU32" s="149" t="str">
        <f>IF(OR($B32="",$B32=0),"",($G32*(FU$4&lt;$I32)+$H32*(FU$4&gt;=$I32))*$C32*(1+'Property Summary'!$L$18)^('MF Rents'!FU$3-1))</f>
        <v/>
      </c>
      <c r="FV32" s="149" t="str">
        <f>IF(OR($B32="",$B32=0),"",($G32*(FV$4&lt;$I32)+$H32*(FV$4&gt;=$I32))*$C32*(1+'Property Summary'!$L$18)^('MF Rents'!FV$3-1))</f>
        <v/>
      </c>
      <c r="FW32" s="149" t="str">
        <f>IF(OR($B32="",$B32=0),"",($G32*(FW$4&lt;$I32)+$H32*(FW$4&gt;=$I32))*$C32*(1+'Property Summary'!$L$18)^('MF Rents'!FW$3-1))</f>
        <v/>
      </c>
      <c r="FX32" s="149" t="str">
        <f>IF(OR($B32="",$B32=0),"",($G32*(FX$4&lt;$I32)+$H32*(FX$4&gt;=$I32))*$C32*(1+'Property Summary'!$L$18)^('MF Rents'!FX$3-1))</f>
        <v/>
      </c>
      <c r="FY32" s="149" t="str">
        <f>IF(OR($B32="",$B32=0),"",($G32*(FY$4&lt;$I32)+$H32*(FY$4&gt;=$I32))*$C32*(1+'Property Summary'!$L$18)^('MF Rents'!FY$3-1))</f>
        <v/>
      </c>
      <c r="FZ32" s="149" t="str">
        <f>IF(OR($B32="",$B32=0),"",($G32*(FZ$4&lt;$I32)+$H32*(FZ$4&gt;=$I32))*$C32*(1+'Property Summary'!$L$18)^('MF Rents'!FZ$3-1))</f>
        <v/>
      </c>
      <c r="GA32" s="149" t="str">
        <f>IF(OR($B32="",$B32=0),"",($G32*(GA$4&lt;$I32)+$H32*(GA$4&gt;=$I32))*$C32*(1+'Property Summary'!$L$18)^('MF Rents'!GA$3-1))</f>
        <v/>
      </c>
      <c r="GB32" s="149" t="str">
        <f>IF(OR($B32="",$B32=0),"",($G32*(GB$4&lt;$I32)+$H32*(GB$4&gt;=$I32))*$C32*(1+'Property Summary'!$L$18)^('MF Rents'!GB$3-1))</f>
        <v/>
      </c>
      <c r="GC32" s="149" t="str">
        <f>IF(OR($B32="",$B32=0),"",($G32*(GC$4&lt;$I32)+$H32*(GC$4&gt;=$I32))*$C32*(1+'Property Summary'!$L$18)^('MF Rents'!GC$3-1))</f>
        <v/>
      </c>
      <c r="GD32" s="149" t="str">
        <f>IF(OR($B32="",$B32=0),"",($G32*(GD$4&lt;$I32)+$H32*(GD$4&gt;=$I32))*$C32*(1+'Property Summary'!$L$18)^('MF Rents'!GD$3-1))</f>
        <v/>
      </c>
      <c r="GE32" s="149" t="str">
        <f>IF(OR($B32="",$B32=0),"",($G32*(GE$4&lt;$I32)+$H32*(GE$4&gt;=$I32))*$C32*(1+'Property Summary'!$L$18)^('MF Rents'!GE$3-1))</f>
        <v/>
      </c>
      <c r="GF32" s="149" t="str">
        <f>IF(OR($B32="",$B32=0),"",($G32*(GF$4&lt;$I32)+$H32*(GF$4&gt;=$I32))*$C32*(1+'Property Summary'!$L$18)^('MF Rents'!GF$3-1))</f>
        <v/>
      </c>
      <c r="GG32" s="149" t="str">
        <f>IF(OR($B32="",$B32=0),"",($G32*(GG$4&lt;$I32)+$H32*(GG$4&gt;=$I32))*$C32*(1+'Property Summary'!$L$18)^('MF Rents'!GG$3-1))</f>
        <v/>
      </c>
      <c r="GH32" s="149" t="str">
        <f>IF(OR($B32="",$B32=0),"",($G32*(GH$4&lt;$I32)+$H32*(GH$4&gt;=$I32))*$C32*(1+'Property Summary'!$L$18)^('MF Rents'!GH$3-1))</f>
        <v/>
      </c>
      <c r="GI32" s="149" t="str">
        <f>IF(OR($B32="",$B32=0),"",($G32*(GI$4&lt;$I32)+$H32*(GI$4&gt;=$I32))*$C32*(1+'Property Summary'!$L$18)^('MF Rents'!GI$3-1))</f>
        <v/>
      </c>
      <c r="GJ32" s="149" t="str">
        <f>IF(OR($B32="",$B32=0),"",($G32*(GJ$4&lt;$I32)+$H32*(GJ$4&gt;=$I32))*$C32*(1+'Property Summary'!$L$18)^('MF Rents'!GJ$3-1))</f>
        <v/>
      </c>
      <c r="GK32" s="149" t="str">
        <f>IF(OR($B32="",$B32=0),"",($G32*(GK$4&lt;$I32)+$H32*(GK$4&gt;=$I32))*$C32*(1+'Property Summary'!$L$18)^('MF Rents'!GK$3-1))</f>
        <v/>
      </c>
      <c r="GL32" s="149" t="str">
        <f>IF(OR($B32="",$B32=0),"",($G32*(GL$4&lt;$I32)+$H32*(GL$4&gt;=$I32))*$C32*(1+'Property Summary'!$L$18)^('MF Rents'!GL$3-1))</f>
        <v/>
      </c>
      <c r="GM32" s="149" t="str">
        <f>IF(OR($B32="",$B32=0),"",($G32*(GM$4&lt;$I32)+$H32*(GM$4&gt;=$I32))*$C32*(1+'Property Summary'!$L$18)^('MF Rents'!GM$3-1))</f>
        <v/>
      </c>
      <c r="GN32" s="149" t="str">
        <f>IF(OR($B32="",$B32=0),"",($G32*(GN$4&lt;$I32)+$H32*(GN$4&gt;=$I32))*$C32*(1+'Property Summary'!$L$18)^('MF Rents'!GN$3-1))</f>
        <v/>
      </c>
      <c r="GO32" s="149" t="str">
        <f>IF(OR($B32="",$B32=0),"",($G32*(GO$4&lt;$I32)+$H32*(GO$4&gt;=$I32))*$C32*(1+'Property Summary'!$L$18)^('MF Rents'!GO$3-1))</f>
        <v/>
      </c>
      <c r="GP32" s="149" t="str">
        <f>IF(OR($B32="",$B32=0),"",($G32*(GP$4&lt;$I32)+$H32*(GP$4&gt;=$I32))*$C32*(1+'Property Summary'!$L$18)^('MF Rents'!GP$3-1))</f>
        <v/>
      </c>
      <c r="GQ32" s="149" t="str">
        <f>IF(OR($B32="",$B32=0),"",($G32*(GQ$4&lt;$I32)+$H32*(GQ$4&gt;=$I32))*$C32*(1+'Property Summary'!$L$18)^('MF Rents'!GQ$3-1))</f>
        <v/>
      </c>
      <c r="GR32" s="149" t="str">
        <f>IF(OR($B32="",$B32=0),"",($G32*(GR$4&lt;$I32)+$H32*(GR$4&gt;=$I32))*$C32*(1+'Property Summary'!$L$18)^('MF Rents'!GR$3-1))</f>
        <v/>
      </c>
    </row>
    <row r="33" spans="2:200" x14ac:dyDescent="0.3">
      <c r="B33" s="184">
        <f>'MF Rent Roll'!B32</f>
        <v>0</v>
      </c>
      <c r="C33" s="171">
        <f>'MF Rent Roll'!C32</f>
        <v>0</v>
      </c>
      <c r="D33" s="172">
        <f>'MF Rent Roll'!D32</f>
        <v>0</v>
      </c>
      <c r="E33" s="172">
        <f>'MF Rent Roll'!E32</f>
        <v>0</v>
      </c>
      <c r="F33" s="173">
        <f>'MF Rent Roll'!F32</f>
        <v>0</v>
      </c>
      <c r="G33" s="174">
        <f>'MF Rent Roll'!G32</f>
        <v>0</v>
      </c>
      <c r="H33" s="174">
        <f>IF('MF Rent Roll'!H32="",G33,'MF Rent Roll'!H32)</f>
        <v>0</v>
      </c>
      <c r="I33" s="175">
        <f>IF('MF Rent Roll'!I32="",1,'MF Rent Roll'!I32)</f>
        <v>1</v>
      </c>
      <c r="J33" s="176">
        <f>'MF Rent Roll'!J32</f>
        <v>0</v>
      </c>
      <c r="K33" s="174">
        <f>'MF Rent Roll'!K32</f>
        <v>0</v>
      </c>
      <c r="L33" s="177">
        <f>'MF Rent Roll'!L32</f>
        <v>0</v>
      </c>
      <c r="M33" s="178">
        <f>'MF Rent Roll'!M32</f>
        <v>0</v>
      </c>
      <c r="N33" s="174">
        <f>'MF Rent Roll'!N32</f>
        <v>0</v>
      </c>
      <c r="O33" s="179">
        <f>'MF Rent Roll'!O32</f>
        <v>0</v>
      </c>
      <c r="P33" s="180" t="str">
        <f>'MF Rent Roll'!P32</f>
        <v/>
      </c>
      <c r="Q33" s="181" t="str">
        <f>'MF Rent Roll'!Q32</f>
        <v/>
      </c>
      <c r="R33" s="104" t="str">
        <f>'MF Rent Roll'!R32</f>
        <v/>
      </c>
      <c r="U33" s="149" t="str">
        <f>IF(OR($B33="",$B33=0),"",($G33*(U$4&lt;$I33)+$H33*(U$4&gt;=$I33))*$C33*(1+'Property Summary'!$L$18)^('MF Rents'!U$3-1))</f>
        <v/>
      </c>
      <c r="V33" s="149" t="str">
        <f>IF(OR($B33="",$B33=0),"",($G33*(V$4&lt;$I33)+$H33*(V$4&gt;=$I33))*$C33*(1+'Property Summary'!$L$18)^('MF Rents'!V$3-1))</f>
        <v/>
      </c>
      <c r="W33" s="149" t="str">
        <f>IF(OR($B33="",$B33=0),"",($G33*(W$4&lt;$I33)+$H33*(W$4&gt;=$I33))*$C33*(1+'Property Summary'!$L$18)^('MF Rents'!W$3-1))</f>
        <v/>
      </c>
      <c r="X33" s="149" t="str">
        <f>IF(OR($B33="",$B33=0),"",($G33*(X$4&lt;$I33)+$H33*(X$4&gt;=$I33))*$C33*(1+'Property Summary'!$L$18)^('MF Rents'!X$3-1))</f>
        <v/>
      </c>
      <c r="Y33" s="149" t="str">
        <f>IF(OR($B33="",$B33=0),"",($G33*(Y$4&lt;$I33)+$H33*(Y$4&gt;=$I33))*$C33*(1+'Property Summary'!$L$18)^('MF Rents'!Y$3-1))</f>
        <v/>
      </c>
      <c r="Z33" s="149" t="str">
        <f>IF(OR($B33="",$B33=0),"",($G33*(Z$4&lt;$I33)+$H33*(Z$4&gt;=$I33))*$C33*(1+'Property Summary'!$L$18)^('MF Rents'!Z$3-1))</f>
        <v/>
      </c>
      <c r="AA33" s="149" t="str">
        <f>IF(OR($B33="",$B33=0),"",($G33*(AA$4&lt;$I33)+$H33*(AA$4&gt;=$I33))*$C33*(1+'Property Summary'!$L$18)^('MF Rents'!AA$3-1))</f>
        <v/>
      </c>
      <c r="AB33" s="149" t="str">
        <f>IF(OR($B33="",$B33=0),"",($G33*(AB$4&lt;$I33)+$H33*(AB$4&gt;=$I33))*$C33*(1+'Property Summary'!$L$18)^('MF Rents'!AB$3-1))</f>
        <v/>
      </c>
      <c r="AC33" s="149" t="str">
        <f>IF(OR($B33="",$B33=0),"",($G33*(AC$4&lt;$I33)+$H33*(AC$4&gt;=$I33))*$C33*(1+'Property Summary'!$L$18)^('MF Rents'!AC$3-1))</f>
        <v/>
      </c>
      <c r="AD33" s="149" t="str">
        <f>IF(OR($B33="",$B33=0),"",($G33*(AD$4&lt;$I33)+$H33*(AD$4&gt;=$I33))*$C33*(1+'Property Summary'!$L$18)^('MF Rents'!AD$3-1))</f>
        <v/>
      </c>
      <c r="AE33" s="149" t="str">
        <f>IF(OR($B33="",$B33=0),"",($G33*(AE$4&lt;$I33)+$H33*(AE$4&gt;=$I33))*$C33*(1+'Property Summary'!$L$18)^('MF Rents'!AE$3-1))</f>
        <v/>
      </c>
      <c r="AF33" s="149" t="str">
        <f>IF(OR($B33="",$B33=0),"",($G33*(AF$4&lt;$I33)+$H33*(AF$4&gt;=$I33))*$C33*(1+'Property Summary'!$L$18)^('MF Rents'!AF$3-1))</f>
        <v/>
      </c>
      <c r="AG33" s="149" t="str">
        <f>IF(OR($B33="",$B33=0),"",($G33*(AG$4&lt;$I33)+$H33*(AG$4&gt;=$I33))*$C33*(1+'Property Summary'!$L$18)^('MF Rents'!AG$3-1))</f>
        <v/>
      </c>
      <c r="AH33" s="149" t="str">
        <f>IF(OR($B33="",$B33=0),"",($G33*(AH$4&lt;$I33)+$H33*(AH$4&gt;=$I33))*$C33*(1+'Property Summary'!$L$18)^('MF Rents'!AH$3-1))</f>
        <v/>
      </c>
      <c r="AI33" s="149" t="str">
        <f>IF(OR($B33="",$B33=0),"",($G33*(AI$4&lt;$I33)+$H33*(AI$4&gt;=$I33))*$C33*(1+'Property Summary'!$L$18)^('MF Rents'!AI$3-1))</f>
        <v/>
      </c>
      <c r="AJ33" s="149" t="str">
        <f>IF(OR($B33="",$B33=0),"",($G33*(AJ$4&lt;$I33)+$H33*(AJ$4&gt;=$I33))*$C33*(1+'Property Summary'!$L$18)^('MF Rents'!AJ$3-1))</f>
        <v/>
      </c>
      <c r="AK33" s="149" t="str">
        <f>IF(OR($B33="",$B33=0),"",($G33*(AK$4&lt;$I33)+$H33*(AK$4&gt;=$I33))*$C33*(1+'Property Summary'!$L$18)^('MF Rents'!AK$3-1))</f>
        <v/>
      </c>
      <c r="AL33" s="149" t="str">
        <f>IF(OR($B33="",$B33=0),"",($G33*(AL$4&lt;$I33)+$H33*(AL$4&gt;=$I33))*$C33*(1+'Property Summary'!$L$18)^('MF Rents'!AL$3-1))</f>
        <v/>
      </c>
      <c r="AM33" s="149" t="str">
        <f>IF(OR($B33="",$B33=0),"",($G33*(AM$4&lt;$I33)+$H33*(AM$4&gt;=$I33))*$C33*(1+'Property Summary'!$L$18)^('MF Rents'!AM$3-1))</f>
        <v/>
      </c>
      <c r="AN33" s="149" t="str">
        <f>IF(OR($B33="",$B33=0),"",($G33*(AN$4&lt;$I33)+$H33*(AN$4&gt;=$I33))*$C33*(1+'Property Summary'!$L$18)^('MF Rents'!AN$3-1))</f>
        <v/>
      </c>
      <c r="AO33" s="149" t="str">
        <f>IF(OR($B33="",$B33=0),"",($G33*(AO$4&lt;$I33)+$H33*(AO$4&gt;=$I33))*$C33*(1+'Property Summary'!$L$18)^('MF Rents'!AO$3-1))</f>
        <v/>
      </c>
      <c r="AP33" s="149" t="str">
        <f>IF(OR($B33="",$B33=0),"",($G33*(AP$4&lt;$I33)+$H33*(AP$4&gt;=$I33))*$C33*(1+'Property Summary'!$L$18)^('MF Rents'!AP$3-1))</f>
        <v/>
      </c>
      <c r="AQ33" s="149" t="str">
        <f>IF(OR($B33="",$B33=0),"",($G33*(AQ$4&lt;$I33)+$H33*(AQ$4&gt;=$I33))*$C33*(1+'Property Summary'!$L$18)^('MF Rents'!AQ$3-1))</f>
        <v/>
      </c>
      <c r="AR33" s="149" t="str">
        <f>IF(OR($B33="",$B33=0),"",($G33*(AR$4&lt;$I33)+$H33*(AR$4&gt;=$I33))*$C33*(1+'Property Summary'!$L$18)^('MF Rents'!AR$3-1))</f>
        <v/>
      </c>
      <c r="AS33" s="149" t="str">
        <f>IF(OR($B33="",$B33=0),"",($G33*(AS$4&lt;$I33)+$H33*(AS$4&gt;=$I33))*$C33*(1+'Property Summary'!$L$18)^('MF Rents'!AS$3-1))</f>
        <v/>
      </c>
      <c r="AT33" s="149" t="str">
        <f>IF(OR($B33="",$B33=0),"",($G33*(AT$4&lt;$I33)+$H33*(AT$4&gt;=$I33))*$C33*(1+'Property Summary'!$L$18)^('MF Rents'!AT$3-1))</f>
        <v/>
      </c>
      <c r="AU33" s="149" t="str">
        <f>IF(OR($B33="",$B33=0),"",($G33*(AU$4&lt;$I33)+$H33*(AU$4&gt;=$I33))*$C33*(1+'Property Summary'!$L$18)^('MF Rents'!AU$3-1))</f>
        <v/>
      </c>
      <c r="AV33" s="149" t="str">
        <f>IF(OR($B33="",$B33=0),"",($G33*(AV$4&lt;$I33)+$H33*(AV$4&gt;=$I33))*$C33*(1+'Property Summary'!$L$18)^('MF Rents'!AV$3-1))</f>
        <v/>
      </c>
      <c r="AW33" s="149" t="str">
        <f>IF(OR($B33="",$B33=0),"",($G33*(AW$4&lt;$I33)+$H33*(AW$4&gt;=$I33))*$C33*(1+'Property Summary'!$L$18)^('MF Rents'!AW$3-1))</f>
        <v/>
      </c>
      <c r="AX33" s="149" t="str">
        <f>IF(OR($B33="",$B33=0),"",($G33*(AX$4&lt;$I33)+$H33*(AX$4&gt;=$I33))*$C33*(1+'Property Summary'!$L$18)^('MF Rents'!AX$3-1))</f>
        <v/>
      </c>
      <c r="AY33" s="149" t="str">
        <f>IF(OR($B33="",$B33=0),"",($G33*(AY$4&lt;$I33)+$H33*(AY$4&gt;=$I33))*$C33*(1+'Property Summary'!$L$18)^('MF Rents'!AY$3-1))</f>
        <v/>
      </c>
      <c r="AZ33" s="149" t="str">
        <f>IF(OR($B33="",$B33=0),"",($G33*(AZ$4&lt;$I33)+$H33*(AZ$4&gt;=$I33))*$C33*(1+'Property Summary'!$L$18)^('MF Rents'!AZ$3-1))</f>
        <v/>
      </c>
      <c r="BA33" s="149" t="str">
        <f>IF(OR($B33="",$B33=0),"",($G33*(BA$4&lt;$I33)+$H33*(BA$4&gt;=$I33))*$C33*(1+'Property Summary'!$L$18)^('MF Rents'!BA$3-1))</f>
        <v/>
      </c>
      <c r="BB33" s="149" t="str">
        <f>IF(OR($B33="",$B33=0),"",($G33*(BB$4&lt;$I33)+$H33*(BB$4&gt;=$I33))*$C33*(1+'Property Summary'!$L$18)^('MF Rents'!BB$3-1))</f>
        <v/>
      </c>
      <c r="BC33" s="149" t="str">
        <f>IF(OR($B33="",$B33=0),"",($G33*(BC$4&lt;$I33)+$H33*(BC$4&gt;=$I33))*$C33*(1+'Property Summary'!$L$18)^('MF Rents'!BC$3-1))</f>
        <v/>
      </c>
      <c r="BD33" s="149" t="str">
        <f>IF(OR($B33="",$B33=0),"",($G33*(BD$4&lt;$I33)+$H33*(BD$4&gt;=$I33))*$C33*(1+'Property Summary'!$L$18)^('MF Rents'!BD$3-1))</f>
        <v/>
      </c>
      <c r="BE33" s="149" t="str">
        <f>IF(OR($B33="",$B33=0),"",($G33*(BE$4&lt;$I33)+$H33*(BE$4&gt;=$I33))*$C33*(1+'Property Summary'!$L$18)^('MF Rents'!BE$3-1))</f>
        <v/>
      </c>
      <c r="BF33" s="149" t="str">
        <f>IF(OR($B33="",$B33=0),"",($G33*(BF$4&lt;$I33)+$H33*(BF$4&gt;=$I33))*$C33*(1+'Property Summary'!$L$18)^('MF Rents'!BF$3-1))</f>
        <v/>
      </c>
      <c r="BG33" s="149" t="str">
        <f>IF(OR($B33="",$B33=0),"",($G33*(BG$4&lt;$I33)+$H33*(BG$4&gt;=$I33))*$C33*(1+'Property Summary'!$L$18)^('MF Rents'!BG$3-1))</f>
        <v/>
      </c>
      <c r="BH33" s="149" t="str">
        <f>IF(OR($B33="",$B33=0),"",($G33*(BH$4&lt;$I33)+$H33*(BH$4&gt;=$I33))*$C33*(1+'Property Summary'!$L$18)^('MF Rents'!BH$3-1))</f>
        <v/>
      </c>
      <c r="BI33" s="149" t="str">
        <f>IF(OR($B33="",$B33=0),"",($G33*(BI$4&lt;$I33)+$H33*(BI$4&gt;=$I33))*$C33*(1+'Property Summary'!$L$18)^('MF Rents'!BI$3-1))</f>
        <v/>
      </c>
      <c r="BJ33" s="149" t="str">
        <f>IF(OR($B33="",$B33=0),"",($G33*(BJ$4&lt;$I33)+$H33*(BJ$4&gt;=$I33))*$C33*(1+'Property Summary'!$L$18)^('MF Rents'!BJ$3-1))</f>
        <v/>
      </c>
      <c r="BK33" s="149" t="str">
        <f>IF(OR($B33="",$B33=0),"",($G33*(BK$4&lt;$I33)+$H33*(BK$4&gt;=$I33))*$C33*(1+'Property Summary'!$L$18)^('MF Rents'!BK$3-1))</f>
        <v/>
      </c>
      <c r="BL33" s="149" t="str">
        <f>IF(OR($B33="",$B33=0),"",($G33*(BL$4&lt;$I33)+$H33*(BL$4&gt;=$I33))*$C33*(1+'Property Summary'!$L$18)^('MF Rents'!BL$3-1))</f>
        <v/>
      </c>
      <c r="BM33" s="149" t="str">
        <f>IF(OR($B33="",$B33=0),"",($G33*(BM$4&lt;$I33)+$H33*(BM$4&gt;=$I33))*$C33*(1+'Property Summary'!$L$18)^('MF Rents'!BM$3-1))</f>
        <v/>
      </c>
      <c r="BN33" s="149" t="str">
        <f>IF(OR($B33="",$B33=0),"",($G33*(BN$4&lt;$I33)+$H33*(BN$4&gt;=$I33))*$C33*(1+'Property Summary'!$L$18)^('MF Rents'!BN$3-1))</f>
        <v/>
      </c>
      <c r="BO33" s="149" t="str">
        <f>IF(OR($B33="",$B33=0),"",($G33*(BO$4&lt;$I33)+$H33*(BO$4&gt;=$I33))*$C33*(1+'Property Summary'!$L$18)^('MF Rents'!BO$3-1))</f>
        <v/>
      </c>
      <c r="BP33" s="149" t="str">
        <f>IF(OR($B33="",$B33=0),"",($G33*(BP$4&lt;$I33)+$H33*(BP$4&gt;=$I33))*$C33*(1+'Property Summary'!$L$18)^('MF Rents'!BP$3-1))</f>
        <v/>
      </c>
      <c r="BQ33" s="149" t="str">
        <f>IF(OR($B33="",$B33=0),"",($G33*(BQ$4&lt;$I33)+$H33*(BQ$4&gt;=$I33))*$C33*(1+'Property Summary'!$L$18)^('MF Rents'!BQ$3-1))</f>
        <v/>
      </c>
      <c r="BR33" s="149" t="str">
        <f>IF(OR($B33="",$B33=0),"",($G33*(BR$4&lt;$I33)+$H33*(BR$4&gt;=$I33))*$C33*(1+'Property Summary'!$L$18)^('MF Rents'!BR$3-1))</f>
        <v/>
      </c>
      <c r="BS33" s="149" t="str">
        <f>IF(OR($B33="",$B33=0),"",($G33*(BS$4&lt;$I33)+$H33*(BS$4&gt;=$I33))*$C33*(1+'Property Summary'!$L$18)^('MF Rents'!BS$3-1))</f>
        <v/>
      </c>
      <c r="BT33" s="149" t="str">
        <f>IF(OR($B33="",$B33=0),"",($G33*(BT$4&lt;$I33)+$H33*(BT$4&gt;=$I33))*$C33*(1+'Property Summary'!$L$18)^('MF Rents'!BT$3-1))</f>
        <v/>
      </c>
      <c r="BU33" s="149" t="str">
        <f>IF(OR($B33="",$B33=0),"",($G33*(BU$4&lt;$I33)+$H33*(BU$4&gt;=$I33))*$C33*(1+'Property Summary'!$L$18)^('MF Rents'!BU$3-1))</f>
        <v/>
      </c>
      <c r="BV33" s="149" t="str">
        <f>IF(OR($B33="",$B33=0),"",($G33*(BV$4&lt;$I33)+$H33*(BV$4&gt;=$I33))*$C33*(1+'Property Summary'!$L$18)^('MF Rents'!BV$3-1))</f>
        <v/>
      </c>
      <c r="BW33" s="149" t="str">
        <f>IF(OR($B33="",$B33=0),"",($G33*(BW$4&lt;$I33)+$H33*(BW$4&gt;=$I33))*$C33*(1+'Property Summary'!$L$18)^('MF Rents'!BW$3-1))</f>
        <v/>
      </c>
      <c r="BX33" s="149" t="str">
        <f>IF(OR($B33="",$B33=0),"",($G33*(BX$4&lt;$I33)+$H33*(BX$4&gt;=$I33))*$C33*(1+'Property Summary'!$L$18)^('MF Rents'!BX$3-1))</f>
        <v/>
      </c>
      <c r="BY33" s="149" t="str">
        <f>IF(OR($B33="",$B33=0),"",($G33*(BY$4&lt;$I33)+$H33*(BY$4&gt;=$I33))*$C33*(1+'Property Summary'!$L$18)^('MF Rents'!BY$3-1))</f>
        <v/>
      </c>
      <c r="BZ33" s="149" t="str">
        <f>IF(OR($B33="",$B33=0),"",($G33*(BZ$4&lt;$I33)+$H33*(BZ$4&gt;=$I33))*$C33*(1+'Property Summary'!$L$18)^('MF Rents'!BZ$3-1))</f>
        <v/>
      </c>
      <c r="CA33" s="149" t="str">
        <f>IF(OR($B33="",$B33=0),"",($G33*(CA$4&lt;$I33)+$H33*(CA$4&gt;=$I33))*$C33*(1+'Property Summary'!$L$18)^('MF Rents'!CA$3-1))</f>
        <v/>
      </c>
      <c r="CB33" s="149" t="str">
        <f>IF(OR($B33="",$B33=0),"",($G33*(CB$4&lt;$I33)+$H33*(CB$4&gt;=$I33))*$C33*(1+'Property Summary'!$L$18)^('MF Rents'!CB$3-1))</f>
        <v/>
      </c>
      <c r="CC33" s="149" t="str">
        <f>IF(OR($B33="",$B33=0),"",($G33*(CC$4&lt;$I33)+$H33*(CC$4&gt;=$I33))*$C33*(1+'Property Summary'!$L$18)^('MF Rents'!CC$3-1))</f>
        <v/>
      </c>
      <c r="CD33" s="149" t="str">
        <f>IF(OR($B33="",$B33=0),"",($G33*(CD$4&lt;$I33)+$H33*(CD$4&gt;=$I33))*$C33*(1+'Property Summary'!$L$18)^('MF Rents'!CD$3-1))</f>
        <v/>
      </c>
      <c r="CE33" s="149" t="str">
        <f>IF(OR($B33="",$B33=0),"",($G33*(CE$4&lt;$I33)+$H33*(CE$4&gt;=$I33))*$C33*(1+'Property Summary'!$L$18)^('MF Rents'!CE$3-1))</f>
        <v/>
      </c>
      <c r="CF33" s="149" t="str">
        <f>IF(OR($B33="",$B33=0),"",($G33*(CF$4&lt;$I33)+$H33*(CF$4&gt;=$I33))*$C33*(1+'Property Summary'!$L$18)^('MF Rents'!CF$3-1))</f>
        <v/>
      </c>
      <c r="CG33" s="149" t="str">
        <f>IF(OR($B33="",$B33=0),"",($G33*(CG$4&lt;$I33)+$H33*(CG$4&gt;=$I33))*$C33*(1+'Property Summary'!$L$18)^('MF Rents'!CG$3-1))</f>
        <v/>
      </c>
      <c r="CH33" s="149" t="str">
        <f>IF(OR($B33="",$B33=0),"",($G33*(CH$4&lt;$I33)+$H33*(CH$4&gt;=$I33))*$C33*(1+'Property Summary'!$L$18)^('MF Rents'!CH$3-1))</f>
        <v/>
      </c>
      <c r="CI33" s="149" t="str">
        <f>IF(OR($B33="",$B33=0),"",($G33*(CI$4&lt;$I33)+$H33*(CI$4&gt;=$I33))*$C33*(1+'Property Summary'!$L$18)^('MF Rents'!CI$3-1))</f>
        <v/>
      </c>
      <c r="CJ33" s="149" t="str">
        <f>IF(OR($B33="",$B33=0),"",($G33*(CJ$4&lt;$I33)+$H33*(CJ$4&gt;=$I33))*$C33*(1+'Property Summary'!$L$18)^('MF Rents'!CJ$3-1))</f>
        <v/>
      </c>
      <c r="CK33" s="149" t="str">
        <f>IF(OR($B33="",$B33=0),"",($G33*(CK$4&lt;$I33)+$H33*(CK$4&gt;=$I33))*$C33*(1+'Property Summary'!$L$18)^('MF Rents'!CK$3-1))</f>
        <v/>
      </c>
      <c r="CL33" s="149" t="str">
        <f>IF(OR($B33="",$B33=0),"",($G33*(CL$4&lt;$I33)+$H33*(CL$4&gt;=$I33))*$C33*(1+'Property Summary'!$L$18)^('MF Rents'!CL$3-1))</f>
        <v/>
      </c>
      <c r="CM33" s="149" t="str">
        <f>IF(OR($B33="",$B33=0),"",($G33*(CM$4&lt;$I33)+$H33*(CM$4&gt;=$I33))*$C33*(1+'Property Summary'!$L$18)^('MF Rents'!CM$3-1))</f>
        <v/>
      </c>
      <c r="CN33" s="149" t="str">
        <f>IF(OR($B33="",$B33=0),"",($G33*(CN$4&lt;$I33)+$H33*(CN$4&gt;=$I33))*$C33*(1+'Property Summary'!$L$18)^('MF Rents'!CN$3-1))</f>
        <v/>
      </c>
      <c r="CO33" s="149" t="str">
        <f>IF(OR($B33="",$B33=0),"",($G33*(CO$4&lt;$I33)+$H33*(CO$4&gt;=$I33))*$C33*(1+'Property Summary'!$L$18)^('MF Rents'!CO$3-1))</f>
        <v/>
      </c>
      <c r="CP33" s="149" t="str">
        <f>IF(OR($B33="",$B33=0),"",($G33*(CP$4&lt;$I33)+$H33*(CP$4&gt;=$I33))*$C33*(1+'Property Summary'!$L$18)^('MF Rents'!CP$3-1))</f>
        <v/>
      </c>
      <c r="CQ33" s="149" t="str">
        <f>IF(OR($B33="",$B33=0),"",($G33*(CQ$4&lt;$I33)+$H33*(CQ$4&gt;=$I33))*$C33*(1+'Property Summary'!$L$18)^('MF Rents'!CQ$3-1))</f>
        <v/>
      </c>
      <c r="CR33" s="149" t="str">
        <f>IF(OR($B33="",$B33=0),"",($G33*(CR$4&lt;$I33)+$H33*(CR$4&gt;=$I33))*$C33*(1+'Property Summary'!$L$18)^('MF Rents'!CR$3-1))</f>
        <v/>
      </c>
      <c r="CS33" s="149" t="str">
        <f>IF(OR($B33="",$B33=0),"",($G33*(CS$4&lt;$I33)+$H33*(CS$4&gt;=$I33))*$C33*(1+'Property Summary'!$L$18)^('MF Rents'!CS$3-1))</f>
        <v/>
      </c>
      <c r="CT33" s="149" t="str">
        <f>IF(OR($B33="",$B33=0),"",($G33*(CT$4&lt;$I33)+$H33*(CT$4&gt;=$I33))*$C33*(1+'Property Summary'!$L$18)^('MF Rents'!CT$3-1))</f>
        <v/>
      </c>
      <c r="CU33" s="149" t="str">
        <f>IF(OR($B33="",$B33=0),"",($G33*(CU$4&lt;$I33)+$H33*(CU$4&gt;=$I33))*$C33*(1+'Property Summary'!$L$18)^('MF Rents'!CU$3-1))</f>
        <v/>
      </c>
      <c r="CV33" s="149" t="str">
        <f>IF(OR($B33="",$B33=0),"",($G33*(CV$4&lt;$I33)+$H33*(CV$4&gt;=$I33))*$C33*(1+'Property Summary'!$L$18)^('MF Rents'!CV$3-1))</f>
        <v/>
      </c>
      <c r="CW33" s="149" t="str">
        <f>IF(OR($B33="",$B33=0),"",($G33*(CW$4&lt;$I33)+$H33*(CW$4&gt;=$I33))*$C33*(1+'Property Summary'!$L$18)^('MF Rents'!CW$3-1))</f>
        <v/>
      </c>
      <c r="CX33" s="149" t="str">
        <f>IF(OR($B33="",$B33=0),"",($G33*(CX$4&lt;$I33)+$H33*(CX$4&gt;=$I33))*$C33*(1+'Property Summary'!$L$18)^('MF Rents'!CX$3-1))</f>
        <v/>
      </c>
      <c r="CY33" s="149" t="str">
        <f>IF(OR($B33="",$B33=0),"",($G33*(CY$4&lt;$I33)+$H33*(CY$4&gt;=$I33))*$C33*(1+'Property Summary'!$L$18)^('MF Rents'!CY$3-1))</f>
        <v/>
      </c>
      <c r="CZ33" s="149" t="str">
        <f>IF(OR($B33="",$B33=0),"",($G33*(CZ$4&lt;$I33)+$H33*(CZ$4&gt;=$I33))*$C33*(1+'Property Summary'!$L$18)^('MF Rents'!CZ$3-1))</f>
        <v/>
      </c>
      <c r="DA33" s="149" t="str">
        <f>IF(OR($B33="",$B33=0),"",($G33*(DA$4&lt;$I33)+$H33*(DA$4&gt;=$I33))*$C33*(1+'Property Summary'!$L$18)^('MF Rents'!DA$3-1))</f>
        <v/>
      </c>
      <c r="DB33" s="149" t="str">
        <f>IF(OR($B33="",$B33=0),"",($G33*(DB$4&lt;$I33)+$H33*(DB$4&gt;=$I33))*$C33*(1+'Property Summary'!$L$18)^('MF Rents'!DB$3-1))</f>
        <v/>
      </c>
      <c r="DC33" s="149" t="str">
        <f>IF(OR($B33="",$B33=0),"",($G33*(DC$4&lt;$I33)+$H33*(DC$4&gt;=$I33))*$C33*(1+'Property Summary'!$L$18)^('MF Rents'!DC$3-1))</f>
        <v/>
      </c>
      <c r="DD33" s="149" t="str">
        <f>IF(OR($B33="",$B33=0),"",($G33*(DD$4&lt;$I33)+$H33*(DD$4&gt;=$I33))*$C33*(1+'Property Summary'!$L$18)^('MF Rents'!DD$3-1))</f>
        <v/>
      </c>
      <c r="DE33" s="149" t="str">
        <f>IF(OR($B33="",$B33=0),"",($G33*(DE$4&lt;$I33)+$H33*(DE$4&gt;=$I33))*$C33*(1+'Property Summary'!$L$18)^('MF Rents'!DE$3-1))</f>
        <v/>
      </c>
      <c r="DF33" s="149" t="str">
        <f>IF(OR($B33="",$B33=0),"",($G33*(DF$4&lt;$I33)+$H33*(DF$4&gt;=$I33))*$C33*(1+'Property Summary'!$L$18)^('MF Rents'!DF$3-1))</f>
        <v/>
      </c>
      <c r="DG33" s="149" t="str">
        <f>IF(OR($B33="",$B33=0),"",($G33*(DG$4&lt;$I33)+$H33*(DG$4&gt;=$I33))*$C33*(1+'Property Summary'!$L$18)^('MF Rents'!DG$3-1))</f>
        <v/>
      </c>
      <c r="DH33" s="149" t="str">
        <f>IF(OR($B33="",$B33=0),"",($G33*(DH$4&lt;$I33)+$H33*(DH$4&gt;=$I33))*$C33*(1+'Property Summary'!$L$18)^('MF Rents'!DH$3-1))</f>
        <v/>
      </c>
      <c r="DI33" s="149" t="str">
        <f>IF(OR($B33="",$B33=0),"",($G33*(DI$4&lt;$I33)+$H33*(DI$4&gt;=$I33))*$C33*(1+'Property Summary'!$L$18)^('MF Rents'!DI$3-1))</f>
        <v/>
      </c>
      <c r="DJ33" s="149" t="str">
        <f>IF(OR($B33="",$B33=0),"",($G33*(DJ$4&lt;$I33)+$H33*(DJ$4&gt;=$I33))*$C33*(1+'Property Summary'!$L$18)^('MF Rents'!DJ$3-1))</f>
        <v/>
      </c>
      <c r="DK33" s="149" t="str">
        <f>IF(OR($B33="",$B33=0),"",($G33*(DK$4&lt;$I33)+$H33*(DK$4&gt;=$I33))*$C33*(1+'Property Summary'!$L$18)^('MF Rents'!DK$3-1))</f>
        <v/>
      </c>
      <c r="DL33" s="149" t="str">
        <f>IF(OR($B33="",$B33=0),"",($G33*(DL$4&lt;$I33)+$H33*(DL$4&gt;=$I33))*$C33*(1+'Property Summary'!$L$18)^('MF Rents'!DL$3-1))</f>
        <v/>
      </c>
      <c r="DM33" s="149" t="str">
        <f>IF(OR($B33="",$B33=0),"",($G33*(DM$4&lt;$I33)+$H33*(DM$4&gt;=$I33))*$C33*(1+'Property Summary'!$L$18)^('MF Rents'!DM$3-1))</f>
        <v/>
      </c>
      <c r="DN33" s="149" t="str">
        <f>IF(OR($B33="",$B33=0),"",($G33*(DN$4&lt;$I33)+$H33*(DN$4&gt;=$I33))*$C33*(1+'Property Summary'!$L$18)^('MF Rents'!DN$3-1))</f>
        <v/>
      </c>
      <c r="DO33" s="149" t="str">
        <f>IF(OR($B33="",$B33=0),"",($G33*(DO$4&lt;$I33)+$H33*(DO$4&gt;=$I33))*$C33*(1+'Property Summary'!$L$18)^('MF Rents'!DO$3-1))</f>
        <v/>
      </c>
      <c r="DP33" s="149" t="str">
        <f>IF(OR($B33="",$B33=0),"",($G33*(DP$4&lt;$I33)+$H33*(DP$4&gt;=$I33))*$C33*(1+'Property Summary'!$L$18)^('MF Rents'!DP$3-1))</f>
        <v/>
      </c>
      <c r="DQ33" s="149" t="str">
        <f>IF(OR($B33="",$B33=0),"",($G33*(DQ$4&lt;$I33)+$H33*(DQ$4&gt;=$I33))*$C33*(1+'Property Summary'!$L$18)^('MF Rents'!DQ$3-1))</f>
        <v/>
      </c>
      <c r="DR33" s="149" t="str">
        <f>IF(OR($B33="",$B33=0),"",($G33*(DR$4&lt;$I33)+$H33*(DR$4&gt;=$I33))*$C33*(1+'Property Summary'!$L$18)^('MF Rents'!DR$3-1))</f>
        <v/>
      </c>
      <c r="DS33" s="149" t="str">
        <f>IF(OR($B33="",$B33=0),"",($G33*(DS$4&lt;$I33)+$H33*(DS$4&gt;=$I33))*$C33*(1+'Property Summary'!$L$18)^('MF Rents'!DS$3-1))</f>
        <v/>
      </c>
      <c r="DT33" s="149" t="str">
        <f>IF(OR($B33="",$B33=0),"",($G33*(DT$4&lt;$I33)+$H33*(DT$4&gt;=$I33))*$C33*(1+'Property Summary'!$L$18)^('MF Rents'!DT$3-1))</f>
        <v/>
      </c>
      <c r="DU33" s="149" t="str">
        <f>IF(OR($B33="",$B33=0),"",($G33*(DU$4&lt;$I33)+$H33*(DU$4&gt;=$I33))*$C33*(1+'Property Summary'!$L$18)^('MF Rents'!DU$3-1))</f>
        <v/>
      </c>
      <c r="DV33" s="149" t="str">
        <f>IF(OR($B33="",$B33=0),"",($G33*(DV$4&lt;$I33)+$H33*(DV$4&gt;=$I33))*$C33*(1+'Property Summary'!$L$18)^('MF Rents'!DV$3-1))</f>
        <v/>
      </c>
      <c r="DW33" s="149" t="str">
        <f>IF(OR($B33="",$B33=0),"",($G33*(DW$4&lt;$I33)+$H33*(DW$4&gt;=$I33))*$C33*(1+'Property Summary'!$L$18)^('MF Rents'!DW$3-1))</f>
        <v/>
      </c>
      <c r="DX33" s="149" t="str">
        <f>IF(OR($B33="",$B33=0),"",($G33*(DX$4&lt;$I33)+$H33*(DX$4&gt;=$I33))*$C33*(1+'Property Summary'!$L$18)^('MF Rents'!DX$3-1))</f>
        <v/>
      </c>
      <c r="DY33" s="149" t="str">
        <f>IF(OR($B33="",$B33=0),"",($G33*(DY$4&lt;$I33)+$H33*(DY$4&gt;=$I33))*$C33*(1+'Property Summary'!$L$18)^('MF Rents'!DY$3-1))</f>
        <v/>
      </c>
      <c r="DZ33" s="149" t="str">
        <f>IF(OR($B33="",$B33=0),"",($G33*(DZ$4&lt;$I33)+$H33*(DZ$4&gt;=$I33))*$C33*(1+'Property Summary'!$L$18)^('MF Rents'!DZ$3-1))</f>
        <v/>
      </c>
      <c r="EA33" s="149" t="str">
        <f>IF(OR($B33="",$B33=0),"",($G33*(EA$4&lt;$I33)+$H33*(EA$4&gt;=$I33))*$C33*(1+'Property Summary'!$L$18)^('MF Rents'!EA$3-1))</f>
        <v/>
      </c>
      <c r="EB33" s="149" t="str">
        <f>IF(OR($B33="",$B33=0),"",($G33*(EB$4&lt;$I33)+$H33*(EB$4&gt;=$I33))*$C33*(1+'Property Summary'!$L$18)^('MF Rents'!EB$3-1))</f>
        <v/>
      </c>
      <c r="EC33" s="149" t="str">
        <f>IF(OR($B33="",$B33=0),"",($G33*(EC$4&lt;$I33)+$H33*(EC$4&gt;=$I33))*$C33*(1+'Property Summary'!$L$18)^('MF Rents'!EC$3-1))</f>
        <v/>
      </c>
      <c r="ED33" s="149" t="str">
        <f>IF(OR($B33="",$B33=0),"",($G33*(ED$4&lt;$I33)+$H33*(ED$4&gt;=$I33))*$C33*(1+'Property Summary'!$L$18)^('MF Rents'!ED$3-1))</f>
        <v/>
      </c>
      <c r="EE33" s="149" t="str">
        <f>IF(OR($B33="",$B33=0),"",($G33*(EE$4&lt;$I33)+$H33*(EE$4&gt;=$I33))*$C33*(1+'Property Summary'!$L$18)^('MF Rents'!EE$3-1))</f>
        <v/>
      </c>
      <c r="EF33" s="149" t="str">
        <f>IF(OR($B33="",$B33=0),"",($G33*(EF$4&lt;$I33)+$H33*(EF$4&gt;=$I33))*$C33*(1+'Property Summary'!$L$18)^('MF Rents'!EF$3-1))</f>
        <v/>
      </c>
      <c r="EG33" s="149" t="str">
        <f>IF(OR($B33="",$B33=0),"",($G33*(EG$4&lt;$I33)+$H33*(EG$4&gt;=$I33))*$C33*(1+'Property Summary'!$L$18)^('MF Rents'!EG$3-1))</f>
        <v/>
      </c>
      <c r="EH33" s="149" t="str">
        <f>IF(OR($B33="",$B33=0),"",($G33*(EH$4&lt;$I33)+$H33*(EH$4&gt;=$I33))*$C33*(1+'Property Summary'!$L$18)^('MF Rents'!EH$3-1))</f>
        <v/>
      </c>
      <c r="EI33" s="149" t="str">
        <f>IF(OR($B33="",$B33=0),"",($G33*(EI$4&lt;$I33)+$H33*(EI$4&gt;=$I33))*$C33*(1+'Property Summary'!$L$18)^('MF Rents'!EI$3-1))</f>
        <v/>
      </c>
      <c r="EJ33" s="149" t="str">
        <f>IF(OR($B33="",$B33=0),"",($G33*(EJ$4&lt;$I33)+$H33*(EJ$4&gt;=$I33))*$C33*(1+'Property Summary'!$L$18)^('MF Rents'!EJ$3-1))</f>
        <v/>
      </c>
      <c r="EK33" s="149" t="str">
        <f>IF(OR($B33="",$B33=0),"",($G33*(EK$4&lt;$I33)+$H33*(EK$4&gt;=$I33))*$C33*(1+'Property Summary'!$L$18)^('MF Rents'!EK$3-1))</f>
        <v/>
      </c>
      <c r="EL33" s="149" t="str">
        <f>IF(OR($B33="",$B33=0),"",($G33*(EL$4&lt;$I33)+$H33*(EL$4&gt;=$I33))*$C33*(1+'Property Summary'!$L$18)^('MF Rents'!EL$3-1))</f>
        <v/>
      </c>
      <c r="EM33" s="149" t="str">
        <f>IF(OR($B33="",$B33=0),"",($G33*(EM$4&lt;$I33)+$H33*(EM$4&gt;=$I33))*$C33*(1+'Property Summary'!$L$18)^('MF Rents'!EM$3-1))</f>
        <v/>
      </c>
      <c r="EN33" s="149" t="str">
        <f>IF(OR($B33="",$B33=0),"",($G33*(EN$4&lt;$I33)+$H33*(EN$4&gt;=$I33))*$C33*(1+'Property Summary'!$L$18)^('MF Rents'!EN$3-1))</f>
        <v/>
      </c>
      <c r="EO33" s="149" t="str">
        <f>IF(OR($B33="",$B33=0),"",($G33*(EO$4&lt;$I33)+$H33*(EO$4&gt;=$I33))*$C33*(1+'Property Summary'!$L$18)^('MF Rents'!EO$3-1))</f>
        <v/>
      </c>
      <c r="EP33" s="149" t="str">
        <f>IF(OR($B33="",$B33=0),"",($G33*(EP$4&lt;$I33)+$H33*(EP$4&gt;=$I33))*$C33*(1+'Property Summary'!$L$18)^('MF Rents'!EP$3-1))</f>
        <v/>
      </c>
      <c r="EQ33" s="149" t="str">
        <f>IF(OR($B33="",$B33=0),"",($G33*(EQ$4&lt;$I33)+$H33*(EQ$4&gt;=$I33))*$C33*(1+'Property Summary'!$L$18)^('MF Rents'!EQ$3-1))</f>
        <v/>
      </c>
      <c r="ER33" s="149" t="str">
        <f>IF(OR($B33="",$B33=0),"",($G33*(ER$4&lt;$I33)+$H33*(ER$4&gt;=$I33))*$C33*(1+'Property Summary'!$L$18)^('MF Rents'!ER$3-1))</f>
        <v/>
      </c>
      <c r="ES33" s="149" t="str">
        <f>IF(OR($B33="",$B33=0),"",($G33*(ES$4&lt;$I33)+$H33*(ES$4&gt;=$I33))*$C33*(1+'Property Summary'!$L$18)^('MF Rents'!ES$3-1))</f>
        <v/>
      </c>
      <c r="ET33" s="149" t="str">
        <f>IF(OR($B33="",$B33=0),"",($G33*(ET$4&lt;$I33)+$H33*(ET$4&gt;=$I33))*$C33*(1+'Property Summary'!$L$18)^('MF Rents'!ET$3-1))</f>
        <v/>
      </c>
      <c r="EU33" s="149" t="str">
        <f>IF(OR($B33="",$B33=0),"",($G33*(EU$4&lt;$I33)+$H33*(EU$4&gt;=$I33))*$C33*(1+'Property Summary'!$L$18)^('MF Rents'!EU$3-1))</f>
        <v/>
      </c>
      <c r="EV33" s="149" t="str">
        <f>IF(OR($B33="",$B33=0),"",($G33*(EV$4&lt;$I33)+$H33*(EV$4&gt;=$I33))*$C33*(1+'Property Summary'!$L$18)^('MF Rents'!EV$3-1))</f>
        <v/>
      </c>
      <c r="EW33" s="149" t="str">
        <f>IF(OR($B33="",$B33=0),"",($G33*(EW$4&lt;$I33)+$H33*(EW$4&gt;=$I33))*$C33*(1+'Property Summary'!$L$18)^('MF Rents'!EW$3-1))</f>
        <v/>
      </c>
      <c r="EX33" s="149" t="str">
        <f>IF(OR($B33="",$B33=0),"",($G33*(EX$4&lt;$I33)+$H33*(EX$4&gt;=$I33))*$C33*(1+'Property Summary'!$L$18)^('MF Rents'!EX$3-1))</f>
        <v/>
      </c>
      <c r="EY33" s="149" t="str">
        <f>IF(OR($B33="",$B33=0),"",($G33*(EY$4&lt;$I33)+$H33*(EY$4&gt;=$I33))*$C33*(1+'Property Summary'!$L$18)^('MF Rents'!EY$3-1))</f>
        <v/>
      </c>
      <c r="EZ33" s="149" t="str">
        <f>IF(OR($B33="",$B33=0),"",($G33*(EZ$4&lt;$I33)+$H33*(EZ$4&gt;=$I33))*$C33*(1+'Property Summary'!$L$18)^('MF Rents'!EZ$3-1))</f>
        <v/>
      </c>
      <c r="FA33" s="149" t="str">
        <f>IF(OR($B33="",$B33=0),"",($G33*(FA$4&lt;$I33)+$H33*(FA$4&gt;=$I33))*$C33*(1+'Property Summary'!$L$18)^('MF Rents'!FA$3-1))</f>
        <v/>
      </c>
      <c r="FB33" s="149" t="str">
        <f>IF(OR($B33="",$B33=0),"",($G33*(FB$4&lt;$I33)+$H33*(FB$4&gt;=$I33))*$C33*(1+'Property Summary'!$L$18)^('MF Rents'!FB$3-1))</f>
        <v/>
      </c>
      <c r="FC33" s="149" t="str">
        <f>IF(OR($B33="",$B33=0),"",($G33*(FC$4&lt;$I33)+$H33*(FC$4&gt;=$I33))*$C33*(1+'Property Summary'!$L$18)^('MF Rents'!FC$3-1))</f>
        <v/>
      </c>
      <c r="FD33" s="149" t="str">
        <f>IF(OR($B33="",$B33=0),"",($G33*(FD$4&lt;$I33)+$H33*(FD$4&gt;=$I33))*$C33*(1+'Property Summary'!$L$18)^('MF Rents'!FD$3-1))</f>
        <v/>
      </c>
      <c r="FE33" s="149" t="str">
        <f>IF(OR($B33="",$B33=0),"",($G33*(FE$4&lt;$I33)+$H33*(FE$4&gt;=$I33))*$C33*(1+'Property Summary'!$L$18)^('MF Rents'!FE$3-1))</f>
        <v/>
      </c>
      <c r="FF33" s="149" t="str">
        <f>IF(OR($B33="",$B33=0),"",($G33*(FF$4&lt;$I33)+$H33*(FF$4&gt;=$I33))*$C33*(1+'Property Summary'!$L$18)^('MF Rents'!FF$3-1))</f>
        <v/>
      </c>
      <c r="FG33" s="149" t="str">
        <f>IF(OR($B33="",$B33=0),"",($G33*(FG$4&lt;$I33)+$H33*(FG$4&gt;=$I33))*$C33*(1+'Property Summary'!$L$18)^('MF Rents'!FG$3-1))</f>
        <v/>
      </c>
      <c r="FH33" s="149" t="str">
        <f>IF(OR($B33="",$B33=0),"",($G33*(FH$4&lt;$I33)+$H33*(FH$4&gt;=$I33))*$C33*(1+'Property Summary'!$L$18)^('MF Rents'!FH$3-1))</f>
        <v/>
      </c>
      <c r="FI33" s="149" t="str">
        <f>IF(OR($B33="",$B33=0),"",($G33*(FI$4&lt;$I33)+$H33*(FI$4&gt;=$I33))*$C33*(1+'Property Summary'!$L$18)^('MF Rents'!FI$3-1))</f>
        <v/>
      </c>
      <c r="FJ33" s="149" t="str">
        <f>IF(OR($B33="",$B33=0),"",($G33*(FJ$4&lt;$I33)+$H33*(FJ$4&gt;=$I33))*$C33*(1+'Property Summary'!$L$18)^('MF Rents'!FJ$3-1))</f>
        <v/>
      </c>
      <c r="FK33" s="149" t="str">
        <f>IF(OR($B33="",$B33=0),"",($G33*(FK$4&lt;$I33)+$H33*(FK$4&gt;=$I33))*$C33*(1+'Property Summary'!$L$18)^('MF Rents'!FK$3-1))</f>
        <v/>
      </c>
      <c r="FL33" s="149" t="str">
        <f>IF(OR($B33="",$B33=0),"",($G33*(FL$4&lt;$I33)+$H33*(FL$4&gt;=$I33))*$C33*(1+'Property Summary'!$L$18)^('MF Rents'!FL$3-1))</f>
        <v/>
      </c>
      <c r="FM33" s="149" t="str">
        <f>IF(OR($B33="",$B33=0),"",($G33*(FM$4&lt;$I33)+$H33*(FM$4&gt;=$I33))*$C33*(1+'Property Summary'!$L$18)^('MF Rents'!FM$3-1))</f>
        <v/>
      </c>
      <c r="FN33" s="149" t="str">
        <f>IF(OR($B33="",$B33=0),"",($G33*(FN$4&lt;$I33)+$H33*(FN$4&gt;=$I33))*$C33*(1+'Property Summary'!$L$18)^('MF Rents'!FN$3-1))</f>
        <v/>
      </c>
      <c r="FO33" s="149" t="str">
        <f>IF(OR($B33="",$B33=0),"",($G33*(FO$4&lt;$I33)+$H33*(FO$4&gt;=$I33))*$C33*(1+'Property Summary'!$L$18)^('MF Rents'!FO$3-1))</f>
        <v/>
      </c>
      <c r="FP33" s="149" t="str">
        <f>IF(OR($B33="",$B33=0),"",($G33*(FP$4&lt;$I33)+$H33*(FP$4&gt;=$I33))*$C33*(1+'Property Summary'!$L$18)^('MF Rents'!FP$3-1))</f>
        <v/>
      </c>
      <c r="FQ33" s="149" t="str">
        <f>IF(OR($B33="",$B33=0),"",($G33*(FQ$4&lt;$I33)+$H33*(FQ$4&gt;=$I33))*$C33*(1+'Property Summary'!$L$18)^('MF Rents'!FQ$3-1))</f>
        <v/>
      </c>
      <c r="FR33" s="149" t="str">
        <f>IF(OR($B33="",$B33=0),"",($G33*(FR$4&lt;$I33)+$H33*(FR$4&gt;=$I33))*$C33*(1+'Property Summary'!$L$18)^('MF Rents'!FR$3-1))</f>
        <v/>
      </c>
      <c r="FS33" s="149" t="str">
        <f>IF(OR($B33="",$B33=0),"",($G33*(FS$4&lt;$I33)+$H33*(FS$4&gt;=$I33))*$C33*(1+'Property Summary'!$L$18)^('MF Rents'!FS$3-1))</f>
        <v/>
      </c>
      <c r="FT33" s="149" t="str">
        <f>IF(OR($B33="",$B33=0),"",($G33*(FT$4&lt;$I33)+$H33*(FT$4&gt;=$I33))*$C33*(1+'Property Summary'!$L$18)^('MF Rents'!FT$3-1))</f>
        <v/>
      </c>
      <c r="FU33" s="149" t="str">
        <f>IF(OR($B33="",$B33=0),"",($G33*(FU$4&lt;$I33)+$H33*(FU$4&gt;=$I33))*$C33*(1+'Property Summary'!$L$18)^('MF Rents'!FU$3-1))</f>
        <v/>
      </c>
      <c r="FV33" s="149" t="str">
        <f>IF(OR($B33="",$B33=0),"",($G33*(FV$4&lt;$I33)+$H33*(FV$4&gt;=$I33))*$C33*(1+'Property Summary'!$L$18)^('MF Rents'!FV$3-1))</f>
        <v/>
      </c>
      <c r="FW33" s="149" t="str">
        <f>IF(OR($B33="",$B33=0),"",($G33*(FW$4&lt;$I33)+$H33*(FW$4&gt;=$I33))*$C33*(1+'Property Summary'!$L$18)^('MF Rents'!FW$3-1))</f>
        <v/>
      </c>
      <c r="FX33" s="149" t="str">
        <f>IF(OR($B33="",$B33=0),"",($G33*(FX$4&lt;$I33)+$H33*(FX$4&gt;=$I33))*$C33*(1+'Property Summary'!$L$18)^('MF Rents'!FX$3-1))</f>
        <v/>
      </c>
      <c r="FY33" s="149" t="str">
        <f>IF(OR($B33="",$B33=0),"",($G33*(FY$4&lt;$I33)+$H33*(FY$4&gt;=$I33))*$C33*(1+'Property Summary'!$L$18)^('MF Rents'!FY$3-1))</f>
        <v/>
      </c>
      <c r="FZ33" s="149" t="str">
        <f>IF(OR($B33="",$B33=0),"",($G33*(FZ$4&lt;$I33)+$H33*(FZ$4&gt;=$I33))*$C33*(1+'Property Summary'!$L$18)^('MF Rents'!FZ$3-1))</f>
        <v/>
      </c>
      <c r="GA33" s="149" t="str">
        <f>IF(OR($B33="",$B33=0),"",($G33*(GA$4&lt;$I33)+$H33*(GA$4&gt;=$I33))*$C33*(1+'Property Summary'!$L$18)^('MF Rents'!GA$3-1))</f>
        <v/>
      </c>
      <c r="GB33" s="149" t="str">
        <f>IF(OR($B33="",$B33=0),"",($G33*(GB$4&lt;$I33)+$H33*(GB$4&gt;=$I33))*$C33*(1+'Property Summary'!$L$18)^('MF Rents'!GB$3-1))</f>
        <v/>
      </c>
      <c r="GC33" s="149" t="str">
        <f>IF(OR($B33="",$B33=0),"",($G33*(GC$4&lt;$I33)+$H33*(GC$4&gt;=$I33))*$C33*(1+'Property Summary'!$L$18)^('MF Rents'!GC$3-1))</f>
        <v/>
      </c>
      <c r="GD33" s="149" t="str">
        <f>IF(OR($B33="",$B33=0),"",($G33*(GD$4&lt;$I33)+$H33*(GD$4&gt;=$I33))*$C33*(1+'Property Summary'!$L$18)^('MF Rents'!GD$3-1))</f>
        <v/>
      </c>
      <c r="GE33" s="149" t="str">
        <f>IF(OR($B33="",$B33=0),"",($G33*(GE$4&lt;$I33)+$H33*(GE$4&gt;=$I33))*$C33*(1+'Property Summary'!$L$18)^('MF Rents'!GE$3-1))</f>
        <v/>
      </c>
      <c r="GF33" s="149" t="str">
        <f>IF(OR($B33="",$B33=0),"",($G33*(GF$4&lt;$I33)+$H33*(GF$4&gt;=$I33))*$C33*(1+'Property Summary'!$L$18)^('MF Rents'!GF$3-1))</f>
        <v/>
      </c>
      <c r="GG33" s="149" t="str">
        <f>IF(OR($B33="",$B33=0),"",($G33*(GG$4&lt;$I33)+$H33*(GG$4&gt;=$I33))*$C33*(1+'Property Summary'!$L$18)^('MF Rents'!GG$3-1))</f>
        <v/>
      </c>
      <c r="GH33" s="149" t="str">
        <f>IF(OR($B33="",$B33=0),"",($G33*(GH$4&lt;$I33)+$H33*(GH$4&gt;=$I33))*$C33*(1+'Property Summary'!$L$18)^('MF Rents'!GH$3-1))</f>
        <v/>
      </c>
      <c r="GI33" s="149" t="str">
        <f>IF(OR($B33="",$B33=0),"",($G33*(GI$4&lt;$I33)+$H33*(GI$4&gt;=$I33))*$C33*(1+'Property Summary'!$L$18)^('MF Rents'!GI$3-1))</f>
        <v/>
      </c>
      <c r="GJ33" s="149" t="str">
        <f>IF(OR($B33="",$B33=0),"",($G33*(GJ$4&lt;$I33)+$H33*(GJ$4&gt;=$I33))*$C33*(1+'Property Summary'!$L$18)^('MF Rents'!GJ$3-1))</f>
        <v/>
      </c>
      <c r="GK33" s="149" t="str">
        <f>IF(OR($B33="",$B33=0),"",($G33*(GK$4&lt;$I33)+$H33*(GK$4&gt;=$I33))*$C33*(1+'Property Summary'!$L$18)^('MF Rents'!GK$3-1))</f>
        <v/>
      </c>
      <c r="GL33" s="149" t="str">
        <f>IF(OR($B33="",$B33=0),"",($G33*(GL$4&lt;$I33)+$H33*(GL$4&gt;=$I33))*$C33*(1+'Property Summary'!$L$18)^('MF Rents'!GL$3-1))</f>
        <v/>
      </c>
      <c r="GM33" s="149" t="str">
        <f>IF(OR($B33="",$B33=0),"",($G33*(GM$4&lt;$I33)+$H33*(GM$4&gt;=$I33))*$C33*(1+'Property Summary'!$L$18)^('MF Rents'!GM$3-1))</f>
        <v/>
      </c>
      <c r="GN33" s="149" t="str">
        <f>IF(OR($B33="",$B33=0),"",($G33*(GN$4&lt;$I33)+$H33*(GN$4&gt;=$I33))*$C33*(1+'Property Summary'!$L$18)^('MF Rents'!GN$3-1))</f>
        <v/>
      </c>
      <c r="GO33" s="149" t="str">
        <f>IF(OR($B33="",$B33=0),"",($G33*(GO$4&lt;$I33)+$H33*(GO$4&gt;=$I33))*$C33*(1+'Property Summary'!$L$18)^('MF Rents'!GO$3-1))</f>
        <v/>
      </c>
      <c r="GP33" s="149" t="str">
        <f>IF(OR($B33="",$B33=0),"",($G33*(GP$4&lt;$I33)+$H33*(GP$4&gt;=$I33))*$C33*(1+'Property Summary'!$L$18)^('MF Rents'!GP$3-1))</f>
        <v/>
      </c>
      <c r="GQ33" s="149" t="str">
        <f>IF(OR($B33="",$B33=0),"",($G33*(GQ$4&lt;$I33)+$H33*(GQ$4&gt;=$I33))*$C33*(1+'Property Summary'!$L$18)^('MF Rents'!GQ$3-1))</f>
        <v/>
      </c>
      <c r="GR33" s="149" t="str">
        <f>IF(OR($B33="",$B33=0),"",($G33*(GR$4&lt;$I33)+$H33*(GR$4&gt;=$I33))*$C33*(1+'Property Summary'!$L$18)^('MF Rents'!GR$3-1))</f>
        <v/>
      </c>
    </row>
    <row r="34" spans="2:200" x14ac:dyDescent="0.3">
      <c r="B34" s="184">
        <f>'MF Rent Roll'!B33</f>
        <v>0</v>
      </c>
      <c r="C34" s="171">
        <f>'MF Rent Roll'!C33</f>
        <v>0</v>
      </c>
      <c r="D34" s="172">
        <f>'MF Rent Roll'!D33</f>
        <v>0</v>
      </c>
      <c r="E34" s="172">
        <f>'MF Rent Roll'!E33</f>
        <v>0</v>
      </c>
      <c r="F34" s="173">
        <f>'MF Rent Roll'!F33</f>
        <v>0</v>
      </c>
      <c r="G34" s="174">
        <f>'MF Rent Roll'!G33</f>
        <v>0</v>
      </c>
      <c r="H34" s="174">
        <f>IF('MF Rent Roll'!H33="",G34,'MF Rent Roll'!H33)</f>
        <v>0</v>
      </c>
      <c r="I34" s="175">
        <f>IF('MF Rent Roll'!I33="",1,'MF Rent Roll'!I33)</f>
        <v>1</v>
      </c>
      <c r="J34" s="176">
        <f>'MF Rent Roll'!J33</f>
        <v>0</v>
      </c>
      <c r="K34" s="174">
        <f>'MF Rent Roll'!K33</f>
        <v>0</v>
      </c>
      <c r="L34" s="177">
        <f>'MF Rent Roll'!L33</f>
        <v>0</v>
      </c>
      <c r="M34" s="178">
        <f>'MF Rent Roll'!M33</f>
        <v>0</v>
      </c>
      <c r="N34" s="174">
        <f>'MF Rent Roll'!N33</f>
        <v>0</v>
      </c>
      <c r="O34" s="179">
        <f>'MF Rent Roll'!O33</f>
        <v>0</v>
      </c>
      <c r="P34" s="180" t="str">
        <f>'MF Rent Roll'!P33</f>
        <v/>
      </c>
      <c r="Q34" s="181" t="str">
        <f>'MF Rent Roll'!Q33</f>
        <v/>
      </c>
      <c r="R34" s="104" t="str">
        <f>'MF Rent Roll'!R33</f>
        <v/>
      </c>
      <c r="U34" s="149" t="str">
        <f>IF(OR($B34="",$B34=0),"",($G34*(U$4&lt;$I34)+$H34*(U$4&gt;=$I34))*$C34*(1+'Property Summary'!$L$18)^('MF Rents'!U$3-1))</f>
        <v/>
      </c>
      <c r="V34" s="149" t="str">
        <f>IF(OR($B34="",$B34=0),"",($G34*(V$4&lt;$I34)+$H34*(V$4&gt;=$I34))*$C34*(1+'Property Summary'!$L$18)^('MF Rents'!V$3-1))</f>
        <v/>
      </c>
      <c r="W34" s="149" t="str">
        <f>IF(OR($B34="",$B34=0),"",($G34*(W$4&lt;$I34)+$H34*(W$4&gt;=$I34))*$C34*(1+'Property Summary'!$L$18)^('MF Rents'!W$3-1))</f>
        <v/>
      </c>
      <c r="X34" s="149" t="str">
        <f>IF(OR($B34="",$B34=0),"",($G34*(X$4&lt;$I34)+$H34*(X$4&gt;=$I34))*$C34*(1+'Property Summary'!$L$18)^('MF Rents'!X$3-1))</f>
        <v/>
      </c>
      <c r="Y34" s="149" t="str">
        <f>IF(OR($B34="",$B34=0),"",($G34*(Y$4&lt;$I34)+$H34*(Y$4&gt;=$I34))*$C34*(1+'Property Summary'!$L$18)^('MF Rents'!Y$3-1))</f>
        <v/>
      </c>
      <c r="Z34" s="149" t="str">
        <f>IF(OR($B34="",$B34=0),"",($G34*(Z$4&lt;$I34)+$H34*(Z$4&gt;=$I34))*$C34*(1+'Property Summary'!$L$18)^('MF Rents'!Z$3-1))</f>
        <v/>
      </c>
      <c r="AA34" s="149" t="str">
        <f>IF(OR($B34="",$B34=0),"",($G34*(AA$4&lt;$I34)+$H34*(AA$4&gt;=$I34))*$C34*(1+'Property Summary'!$L$18)^('MF Rents'!AA$3-1))</f>
        <v/>
      </c>
      <c r="AB34" s="149" t="str">
        <f>IF(OR($B34="",$B34=0),"",($G34*(AB$4&lt;$I34)+$H34*(AB$4&gt;=$I34))*$C34*(1+'Property Summary'!$L$18)^('MF Rents'!AB$3-1))</f>
        <v/>
      </c>
      <c r="AC34" s="149" t="str">
        <f>IF(OR($B34="",$B34=0),"",($G34*(AC$4&lt;$I34)+$H34*(AC$4&gt;=$I34))*$C34*(1+'Property Summary'!$L$18)^('MF Rents'!AC$3-1))</f>
        <v/>
      </c>
      <c r="AD34" s="149" t="str">
        <f>IF(OR($B34="",$B34=0),"",($G34*(AD$4&lt;$I34)+$H34*(AD$4&gt;=$I34))*$C34*(1+'Property Summary'!$L$18)^('MF Rents'!AD$3-1))</f>
        <v/>
      </c>
      <c r="AE34" s="149" t="str">
        <f>IF(OR($B34="",$B34=0),"",($G34*(AE$4&lt;$I34)+$H34*(AE$4&gt;=$I34))*$C34*(1+'Property Summary'!$L$18)^('MF Rents'!AE$3-1))</f>
        <v/>
      </c>
      <c r="AF34" s="149" t="str">
        <f>IF(OR($B34="",$B34=0),"",($G34*(AF$4&lt;$I34)+$H34*(AF$4&gt;=$I34))*$C34*(1+'Property Summary'!$L$18)^('MF Rents'!AF$3-1))</f>
        <v/>
      </c>
      <c r="AG34" s="149" t="str">
        <f>IF(OR($B34="",$B34=0),"",($G34*(AG$4&lt;$I34)+$H34*(AG$4&gt;=$I34))*$C34*(1+'Property Summary'!$L$18)^('MF Rents'!AG$3-1))</f>
        <v/>
      </c>
      <c r="AH34" s="149" t="str">
        <f>IF(OR($B34="",$B34=0),"",($G34*(AH$4&lt;$I34)+$H34*(AH$4&gt;=$I34))*$C34*(1+'Property Summary'!$L$18)^('MF Rents'!AH$3-1))</f>
        <v/>
      </c>
      <c r="AI34" s="149" t="str">
        <f>IF(OR($B34="",$B34=0),"",($G34*(AI$4&lt;$I34)+$H34*(AI$4&gt;=$I34))*$C34*(1+'Property Summary'!$L$18)^('MF Rents'!AI$3-1))</f>
        <v/>
      </c>
      <c r="AJ34" s="149" t="str">
        <f>IF(OR($B34="",$B34=0),"",($G34*(AJ$4&lt;$I34)+$H34*(AJ$4&gt;=$I34))*$C34*(1+'Property Summary'!$L$18)^('MF Rents'!AJ$3-1))</f>
        <v/>
      </c>
      <c r="AK34" s="149" t="str">
        <f>IF(OR($B34="",$B34=0),"",($G34*(AK$4&lt;$I34)+$H34*(AK$4&gt;=$I34))*$C34*(1+'Property Summary'!$L$18)^('MF Rents'!AK$3-1))</f>
        <v/>
      </c>
      <c r="AL34" s="149" t="str">
        <f>IF(OR($B34="",$B34=0),"",($G34*(AL$4&lt;$I34)+$H34*(AL$4&gt;=$I34))*$C34*(1+'Property Summary'!$L$18)^('MF Rents'!AL$3-1))</f>
        <v/>
      </c>
      <c r="AM34" s="149" t="str">
        <f>IF(OR($B34="",$B34=0),"",($G34*(AM$4&lt;$I34)+$H34*(AM$4&gt;=$I34))*$C34*(1+'Property Summary'!$L$18)^('MF Rents'!AM$3-1))</f>
        <v/>
      </c>
      <c r="AN34" s="149" t="str">
        <f>IF(OR($B34="",$B34=0),"",($G34*(AN$4&lt;$I34)+$H34*(AN$4&gt;=$I34))*$C34*(1+'Property Summary'!$L$18)^('MF Rents'!AN$3-1))</f>
        <v/>
      </c>
      <c r="AO34" s="149" t="str">
        <f>IF(OR($B34="",$B34=0),"",($G34*(AO$4&lt;$I34)+$H34*(AO$4&gt;=$I34))*$C34*(1+'Property Summary'!$L$18)^('MF Rents'!AO$3-1))</f>
        <v/>
      </c>
      <c r="AP34" s="149" t="str">
        <f>IF(OR($B34="",$B34=0),"",($G34*(AP$4&lt;$I34)+$H34*(AP$4&gt;=$I34))*$C34*(1+'Property Summary'!$L$18)^('MF Rents'!AP$3-1))</f>
        <v/>
      </c>
      <c r="AQ34" s="149" t="str">
        <f>IF(OR($B34="",$B34=0),"",($G34*(AQ$4&lt;$I34)+$H34*(AQ$4&gt;=$I34))*$C34*(1+'Property Summary'!$L$18)^('MF Rents'!AQ$3-1))</f>
        <v/>
      </c>
      <c r="AR34" s="149" t="str">
        <f>IF(OR($B34="",$B34=0),"",($G34*(AR$4&lt;$I34)+$H34*(AR$4&gt;=$I34))*$C34*(1+'Property Summary'!$L$18)^('MF Rents'!AR$3-1))</f>
        <v/>
      </c>
      <c r="AS34" s="149" t="str">
        <f>IF(OR($B34="",$B34=0),"",($G34*(AS$4&lt;$I34)+$H34*(AS$4&gt;=$I34))*$C34*(1+'Property Summary'!$L$18)^('MF Rents'!AS$3-1))</f>
        <v/>
      </c>
      <c r="AT34" s="149" t="str">
        <f>IF(OR($B34="",$B34=0),"",($G34*(AT$4&lt;$I34)+$H34*(AT$4&gt;=$I34))*$C34*(1+'Property Summary'!$L$18)^('MF Rents'!AT$3-1))</f>
        <v/>
      </c>
      <c r="AU34" s="149" t="str">
        <f>IF(OR($B34="",$B34=0),"",($G34*(AU$4&lt;$I34)+$H34*(AU$4&gt;=$I34))*$C34*(1+'Property Summary'!$L$18)^('MF Rents'!AU$3-1))</f>
        <v/>
      </c>
      <c r="AV34" s="149" t="str">
        <f>IF(OR($B34="",$B34=0),"",($G34*(AV$4&lt;$I34)+$H34*(AV$4&gt;=$I34))*$C34*(1+'Property Summary'!$L$18)^('MF Rents'!AV$3-1))</f>
        <v/>
      </c>
      <c r="AW34" s="149" t="str">
        <f>IF(OR($B34="",$B34=0),"",($G34*(AW$4&lt;$I34)+$H34*(AW$4&gt;=$I34))*$C34*(1+'Property Summary'!$L$18)^('MF Rents'!AW$3-1))</f>
        <v/>
      </c>
      <c r="AX34" s="149" t="str">
        <f>IF(OR($B34="",$B34=0),"",($G34*(AX$4&lt;$I34)+$H34*(AX$4&gt;=$I34))*$C34*(1+'Property Summary'!$L$18)^('MF Rents'!AX$3-1))</f>
        <v/>
      </c>
      <c r="AY34" s="149" t="str">
        <f>IF(OR($B34="",$B34=0),"",($G34*(AY$4&lt;$I34)+$H34*(AY$4&gt;=$I34))*$C34*(1+'Property Summary'!$L$18)^('MF Rents'!AY$3-1))</f>
        <v/>
      </c>
      <c r="AZ34" s="149" t="str">
        <f>IF(OR($B34="",$B34=0),"",($G34*(AZ$4&lt;$I34)+$H34*(AZ$4&gt;=$I34))*$C34*(1+'Property Summary'!$L$18)^('MF Rents'!AZ$3-1))</f>
        <v/>
      </c>
      <c r="BA34" s="149" t="str">
        <f>IF(OR($B34="",$B34=0),"",($G34*(BA$4&lt;$I34)+$H34*(BA$4&gt;=$I34))*$C34*(1+'Property Summary'!$L$18)^('MF Rents'!BA$3-1))</f>
        <v/>
      </c>
      <c r="BB34" s="149" t="str">
        <f>IF(OR($B34="",$B34=0),"",($G34*(BB$4&lt;$I34)+$H34*(BB$4&gt;=$I34))*$C34*(1+'Property Summary'!$L$18)^('MF Rents'!BB$3-1))</f>
        <v/>
      </c>
      <c r="BC34" s="149" t="str">
        <f>IF(OR($B34="",$B34=0),"",($G34*(BC$4&lt;$I34)+$H34*(BC$4&gt;=$I34))*$C34*(1+'Property Summary'!$L$18)^('MF Rents'!BC$3-1))</f>
        <v/>
      </c>
      <c r="BD34" s="149" t="str">
        <f>IF(OR($B34="",$B34=0),"",($G34*(BD$4&lt;$I34)+$H34*(BD$4&gt;=$I34))*$C34*(1+'Property Summary'!$L$18)^('MF Rents'!BD$3-1))</f>
        <v/>
      </c>
      <c r="BE34" s="149" t="str">
        <f>IF(OR($B34="",$B34=0),"",($G34*(BE$4&lt;$I34)+$H34*(BE$4&gt;=$I34))*$C34*(1+'Property Summary'!$L$18)^('MF Rents'!BE$3-1))</f>
        <v/>
      </c>
      <c r="BF34" s="149" t="str">
        <f>IF(OR($B34="",$B34=0),"",($G34*(BF$4&lt;$I34)+$H34*(BF$4&gt;=$I34))*$C34*(1+'Property Summary'!$L$18)^('MF Rents'!BF$3-1))</f>
        <v/>
      </c>
      <c r="BG34" s="149" t="str">
        <f>IF(OR($B34="",$B34=0),"",($G34*(BG$4&lt;$I34)+$H34*(BG$4&gt;=$I34))*$C34*(1+'Property Summary'!$L$18)^('MF Rents'!BG$3-1))</f>
        <v/>
      </c>
      <c r="BH34" s="149" t="str">
        <f>IF(OR($B34="",$B34=0),"",($G34*(BH$4&lt;$I34)+$H34*(BH$4&gt;=$I34))*$C34*(1+'Property Summary'!$L$18)^('MF Rents'!BH$3-1))</f>
        <v/>
      </c>
      <c r="BI34" s="149" t="str">
        <f>IF(OR($B34="",$B34=0),"",($G34*(BI$4&lt;$I34)+$H34*(BI$4&gt;=$I34))*$C34*(1+'Property Summary'!$L$18)^('MF Rents'!BI$3-1))</f>
        <v/>
      </c>
      <c r="BJ34" s="149" t="str">
        <f>IF(OR($B34="",$B34=0),"",($G34*(BJ$4&lt;$I34)+$H34*(BJ$4&gt;=$I34))*$C34*(1+'Property Summary'!$L$18)^('MF Rents'!BJ$3-1))</f>
        <v/>
      </c>
      <c r="BK34" s="149" t="str">
        <f>IF(OR($B34="",$B34=0),"",($G34*(BK$4&lt;$I34)+$H34*(BK$4&gt;=$I34))*$C34*(1+'Property Summary'!$L$18)^('MF Rents'!BK$3-1))</f>
        <v/>
      </c>
      <c r="BL34" s="149" t="str">
        <f>IF(OR($B34="",$B34=0),"",($G34*(BL$4&lt;$I34)+$H34*(BL$4&gt;=$I34))*$C34*(1+'Property Summary'!$L$18)^('MF Rents'!BL$3-1))</f>
        <v/>
      </c>
      <c r="BM34" s="149" t="str">
        <f>IF(OR($B34="",$B34=0),"",($G34*(BM$4&lt;$I34)+$H34*(BM$4&gt;=$I34))*$C34*(1+'Property Summary'!$L$18)^('MF Rents'!BM$3-1))</f>
        <v/>
      </c>
      <c r="BN34" s="149" t="str">
        <f>IF(OR($B34="",$B34=0),"",($G34*(BN$4&lt;$I34)+$H34*(BN$4&gt;=$I34))*$C34*(1+'Property Summary'!$L$18)^('MF Rents'!BN$3-1))</f>
        <v/>
      </c>
      <c r="BO34" s="149" t="str">
        <f>IF(OR($B34="",$B34=0),"",($G34*(BO$4&lt;$I34)+$H34*(BO$4&gt;=$I34))*$C34*(1+'Property Summary'!$L$18)^('MF Rents'!BO$3-1))</f>
        <v/>
      </c>
      <c r="BP34" s="149" t="str">
        <f>IF(OR($B34="",$B34=0),"",($G34*(BP$4&lt;$I34)+$H34*(BP$4&gt;=$I34))*$C34*(1+'Property Summary'!$L$18)^('MF Rents'!BP$3-1))</f>
        <v/>
      </c>
      <c r="BQ34" s="149" t="str">
        <f>IF(OR($B34="",$B34=0),"",($G34*(BQ$4&lt;$I34)+$H34*(BQ$4&gt;=$I34))*$C34*(1+'Property Summary'!$L$18)^('MF Rents'!BQ$3-1))</f>
        <v/>
      </c>
      <c r="BR34" s="149" t="str">
        <f>IF(OR($B34="",$B34=0),"",($G34*(BR$4&lt;$I34)+$H34*(BR$4&gt;=$I34))*$C34*(1+'Property Summary'!$L$18)^('MF Rents'!BR$3-1))</f>
        <v/>
      </c>
      <c r="BS34" s="149" t="str">
        <f>IF(OR($B34="",$B34=0),"",($G34*(BS$4&lt;$I34)+$H34*(BS$4&gt;=$I34))*$C34*(1+'Property Summary'!$L$18)^('MF Rents'!BS$3-1))</f>
        <v/>
      </c>
      <c r="BT34" s="149" t="str">
        <f>IF(OR($B34="",$B34=0),"",($G34*(BT$4&lt;$I34)+$H34*(BT$4&gt;=$I34))*$C34*(1+'Property Summary'!$L$18)^('MF Rents'!BT$3-1))</f>
        <v/>
      </c>
      <c r="BU34" s="149" t="str">
        <f>IF(OR($B34="",$B34=0),"",($G34*(BU$4&lt;$I34)+$H34*(BU$4&gt;=$I34))*$C34*(1+'Property Summary'!$L$18)^('MF Rents'!BU$3-1))</f>
        <v/>
      </c>
      <c r="BV34" s="149" t="str">
        <f>IF(OR($B34="",$B34=0),"",($G34*(BV$4&lt;$I34)+$H34*(BV$4&gt;=$I34))*$C34*(1+'Property Summary'!$L$18)^('MF Rents'!BV$3-1))</f>
        <v/>
      </c>
      <c r="BW34" s="149" t="str">
        <f>IF(OR($B34="",$B34=0),"",($G34*(BW$4&lt;$I34)+$H34*(BW$4&gt;=$I34))*$C34*(1+'Property Summary'!$L$18)^('MF Rents'!BW$3-1))</f>
        <v/>
      </c>
      <c r="BX34" s="149" t="str">
        <f>IF(OR($B34="",$B34=0),"",($G34*(BX$4&lt;$I34)+$H34*(BX$4&gt;=$I34))*$C34*(1+'Property Summary'!$L$18)^('MF Rents'!BX$3-1))</f>
        <v/>
      </c>
      <c r="BY34" s="149" t="str">
        <f>IF(OR($B34="",$B34=0),"",($G34*(BY$4&lt;$I34)+$H34*(BY$4&gt;=$I34))*$C34*(1+'Property Summary'!$L$18)^('MF Rents'!BY$3-1))</f>
        <v/>
      </c>
      <c r="BZ34" s="149" t="str">
        <f>IF(OR($B34="",$B34=0),"",($G34*(BZ$4&lt;$I34)+$H34*(BZ$4&gt;=$I34))*$C34*(1+'Property Summary'!$L$18)^('MF Rents'!BZ$3-1))</f>
        <v/>
      </c>
      <c r="CA34" s="149" t="str">
        <f>IF(OR($B34="",$B34=0),"",($G34*(CA$4&lt;$I34)+$H34*(CA$4&gt;=$I34))*$C34*(1+'Property Summary'!$L$18)^('MF Rents'!CA$3-1))</f>
        <v/>
      </c>
      <c r="CB34" s="149" t="str">
        <f>IF(OR($B34="",$B34=0),"",($G34*(CB$4&lt;$I34)+$H34*(CB$4&gt;=$I34))*$C34*(1+'Property Summary'!$L$18)^('MF Rents'!CB$3-1))</f>
        <v/>
      </c>
      <c r="CC34" s="149" t="str">
        <f>IF(OR($B34="",$B34=0),"",($G34*(CC$4&lt;$I34)+$H34*(CC$4&gt;=$I34))*$C34*(1+'Property Summary'!$L$18)^('MF Rents'!CC$3-1))</f>
        <v/>
      </c>
      <c r="CD34" s="149" t="str">
        <f>IF(OR($B34="",$B34=0),"",($G34*(CD$4&lt;$I34)+$H34*(CD$4&gt;=$I34))*$C34*(1+'Property Summary'!$L$18)^('MF Rents'!CD$3-1))</f>
        <v/>
      </c>
      <c r="CE34" s="149" t="str">
        <f>IF(OR($B34="",$B34=0),"",($G34*(CE$4&lt;$I34)+$H34*(CE$4&gt;=$I34))*$C34*(1+'Property Summary'!$L$18)^('MF Rents'!CE$3-1))</f>
        <v/>
      </c>
      <c r="CF34" s="149" t="str">
        <f>IF(OR($B34="",$B34=0),"",($G34*(CF$4&lt;$I34)+$H34*(CF$4&gt;=$I34))*$C34*(1+'Property Summary'!$L$18)^('MF Rents'!CF$3-1))</f>
        <v/>
      </c>
      <c r="CG34" s="149" t="str">
        <f>IF(OR($B34="",$B34=0),"",($G34*(CG$4&lt;$I34)+$H34*(CG$4&gt;=$I34))*$C34*(1+'Property Summary'!$L$18)^('MF Rents'!CG$3-1))</f>
        <v/>
      </c>
      <c r="CH34" s="149" t="str">
        <f>IF(OR($B34="",$B34=0),"",($G34*(CH$4&lt;$I34)+$H34*(CH$4&gt;=$I34))*$C34*(1+'Property Summary'!$L$18)^('MF Rents'!CH$3-1))</f>
        <v/>
      </c>
      <c r="CI34" s="149" t="str">
        <f>IF(OR($B34="",$B34=0),"",($G34*(CI$4&lt;$I34)+$H34*(CI$4&gt;=$I34))*$C34*(1+'Property Summary'!$L$18)^('MF Rents'!CI$3-1))</f>
        <v/>
      </c>
      <c r="CJ34" s="149" t="str">
        <f>IF(OR($B34="",$B34=0),"",($G34*(CJ$4&lt;$I34)+$H34*(CJ$4&gt;=$I34))*$C34*(1+'Property Summary'!$L$18)^('MF Rents'!CJ$3-1))</f>
        <v/>
      </c>
      <c r="CK34" s="149" t="str">
        <f>IF(OR($B34="",$B34=0),"",($G34*(CK$4&lt;$I34)+$H34*(CK$4&gt;=$I34))*$C34*(1+'Property Summary'!$L$18)^('MF Rents'!CK$3-1))</f>
        <v/>
      </c>
      <c r="CL34" s="149" t="str">
        <f>IF(OR($B34="",$B34=0),"",($G34*(CL$4&lt;$I34)+$H34*(CL$4&gt;=$I34))*$C34*(1+'Property Summary'!$L$18)^('MF Rents'!CL$3-1))</f>
        <v/>
      </c>
      <c r="CM34" s="149" t="str">
        <f>IF(OR($B34="",$B34=0),"",($G34*(CM$4&lt;$I34)+$H34*(CM$4&gt;=$I34))*$C34*(1+'Property Summary'!$L$18)^('MF Rents'!CM$3-1))</f>
        <v/>
      </c>
      <c r="CN34" s="149" t="str">
        <f>IF(OR($B34="",$B34=0),"",($G34*(CN$4&lt;$I34)+$H34*(CN$4&gt;=$I34))*$C34*(1+'Property Summary'!$L$18)^('MF Rents'!CN$3-1))</f>
        <v/>
      </c>
      <c r="CO34" s="149" t="str">
        <f>IF(OR($B34="",$B34=0),"",($G34*(CO$4&lt;$I34)+$H34*(CO$4&gt;=$I34))*$C34*(1+'Property Summary'!$L$18)^('MF Rents'!CO$3-1))</f>
        <v/>
      </c>
      <c r="CP34" s="149" t="str">
        <f>IF(OR($B34="",$B34=0),"",($G34*(CP$4&lt;$I34)+$H34*(CP$4&gt;=$I34))*$C34*(1+'Property Summary'!$L$18)^('MF Rents'!CP$3-1))</f>
        <v/>
      </c>
      <c r="CQ34" s="149" t="str">
        <f>IF(OR($B34="",$B34=0),"",($G34*(CQ$4&lt;$I34)+$H34*(CQ$4&gt;=$I34))*$C34*(1+'Property Summary'!$L$18)^('MF Rents'!CQ$3-1))</f>
        <v/>
      </c>
      <c r="CR34" s="149" t="str">
        <f>IF(OR($B34="",$B34=0),"",($G34*(CR$4&lt;$I34)+$H34*(CR$4&gt;=$I34))*$C34*(1+'Property Summary'!$L$18)^('MF Rents'!CR$3-1))</f>
        <v/>
      </c>
      <c r="CS34" s="149" t="str">
        <f>IF(OR($B34="",$B34=0),"",($G34*(CS$4&lt;$I34)+$H34*(CS$4&gt;=$I34))*$C34*(1+'Property Summary'!$L$18)^('MF Rents'!CS$3-1))</f>
        <v/>
      </c>
      <c r="CT34" s="149" t="str">
        <f>IF(OR($B34="",$B34=0),"",($G34*(CT$4&lt;$I34)+$H34*(CT$4&gt;=$I34))*$C34*(1+'Property Summary'!$L$18)^('MF Rents'!CT$3-1))</f>
        <v/>
      </c>
      <c r="CU34" s="149" t="str">
        <f>IF(OR($B34="",$B34=0),"",($G34*(CU$4&lt;$I34)+$H34*(CU$4&gt;=$I34))*$C34*(1+'Property Summary'!$L$18)^('MF Rents'!CU$3-1))</f>
        <v/>
      </c>
      <c r="CV34" s="149" t="str">
        <f>IF(OR($B34="",$B34=0),"",($G34*(CV$4&lt;$I34)+$H34*(CV$4&gt;=$I34))*$C34*(1+'Property Summary'!$L$18)^('MF Rents'!CV$3-1))</f>
        <v/>
      </c>
      <c r="CW34" s="149" t="str">
        <f>IF(OR($B34="",$B34=0),"",($G34*(CW$4&lt;$I34)+$H34*(CW$4&gt;=$I34))*$C34*(1+'Property Summary'!$L$18)^('MF Rents'!CW$3-1))</f>
        <v/>
      </c>
      <c r="CX34" s="149" t="str">
        <f>IF(OR($B34="",$B34=0),"",($G34*(CX$4&lt;$I34)+$H34*(CX$4&gt;=$I34))*$C34*(1+'Property Summary'!$L$18)^('MF Rents'!CX$3-1))</f>
        <v/>
      </c>
      <c r="CY34" s="149" t="str">
        <f>IF(OR($B34="",$B34=0),"",($G34*(CY$4&lt;$I34)+$H34*(CY$4&gt;=$I34))*$C34*(1+'Property Summary'!$L$18)^('MF Rents'!CY$3-1))</f>
        <v/>
      </c>
      <c r="CZ34" s="149" t="str">
        <f>IF(OR($B34="",$B34=0),"",($G34*(CZ$4&lt;$I34)+$H34*(CZ$4&gt;=$I34))*$C34*(1+'Property Summary'!$L$18)^('MF Rents'!CZ$3-1))</f>
        <v/>
      </c>
      <c r="DA34" s="149" t="str">
        <f>IF(OR($B34="",$B34=0),"",($G34*(DA$4&lt;$I34)+$H34*(DA$4&gt;=$I34))*$C34*(1+'Property Summary'!$L$18)^('MF Rents'!DA$3-1))</f>
        <v/>
      </c>
      <c r="DB34" s="149" t="str">
        <f>IF(OR($B34="",$B34=0),"",($G34*(DB$4&lt;$I34)+$H34*(DB$4&gt;=$I34))*$C34*(1+'Property Summary'!$L$18)^('MF Rents'!DB$3-1))</f>
        <v/>
      </c>
      <c r="DC34" s="149" t="str">
        <f>IF(OR($B34="",$B34=0),"",($G34*(DC$4&lt;$I34)+$H34*(DC$4&gt;=$I34))*$C34*(1+'Property Summary'!$L$18)^('MF Rents'!DC$3-1))</f>
        <v/>
      </c>
      <c r="DD34" s="149" t="str">
        <f>IF(OR($B34="",$B34=0),"",($G34*(DD$4&lt;$I34)+$H34*(DD$4&gt;=$I34))*$C34*(1+'Property Summary'!$L$18)^('MF Rents'!DD$3-1))</f>
        <v/>
      </c>
      <c r="DE34" s="149" t="str">
        <f>IF(OR($B34="",$B34=0),"",($G34*(DE$4&lt;$I34)+$H34*(DE$4&gt;=$I34))*$C34*(1+'Property Summary'!$L$18)^('MF Rents'!DE$3-1))</f>
        <v/>
      </c>
      <c r="DF34" s="149" t="str">
        <f>IF(OR($B34="",$B34=0),"",($G34*(DF$4&lt;$I34)+$H34*(DF$4&gt;=$I34))*$C34*(1+'Property Summary'!$L$18)^('MF Rents'!DF$3-1))</f>
        <v/>
      </c>
      <c r="DG34" s="149" t="str">
        <f>IF(OR($B34="",$B34=0),"",($G34*(DG$4&lt;$I34)+$H34*(DG$4&gt;=$I34))*$C34*(1+'Property Summary'!$L$18)^('MF Rents'!DG$3-1))</f>
        <v/>
      </c>
      <c r="DH34" s="149" t="str">
        <f>IF(OR($B34="",$B34=0),"",($G34*(DH$4&lt;$I34)+$H34*(DH$4&gt;=$I34))*$C34*(1+'Property Summary'!$L$18)^('MF Rents'!DH$3-1))</f>
        <v/>
      </c>
      <c r="DI34" s="149" t="str">
        <f>IF(OR($B34="",$B34=0),"",($G34*(DI$4&lt;$I34)+$H34*(DI$4&gt;=$I34))*$C34*(1+'Property Summary'!$L$18)^('MF Rents'!DI$3-1))</f>
        <v/>
      </c>
      <c r="DJ34" s="149" t="str">
        <f>IF(OR($B34="",$B34=0),"",($G34*(DJ$4&lt;$I34)+$H34*(DJ$4&gt;=$I34))*$C34*(1+'Property Summary'!$L$18)^('MF Rents'!DJ$3-1))</f>
        <v/>
      </c>
      <c r="DK34" s="149" t="str">
        <f>IF(OR($B34="",$B34=0),"",($G34*(DK$4&lt;$I34)+$H34*(DK$4&gt;=$I34))*$C34*(1+'Property Summary'!$L$18)^('MF Rents'!DK$3-1))</f>
        <v/>
      </c>
      <c r="DL34" s="149" t="str">
        <f>IF(OR($B34="",$B34=0),"",($G34*(DL$4&lt;$I34)+$H34*(DL$4&gt;=$I34))*$C34*(1+'Property Summary'!$L$18)^('MF Rents'!DL$3-1))</f>
        <v/>
      </c>
      <c r="DM34" s="149" t="str">
        <f>IF(OR($B34="",$B34=0),"",($G34*(DM$4&lt;$I34)+$H34*(DM$4&gt;=$I34))*$C34*(1+'Property Summary'!$L$18)^('MF Rents'!DM$3-1))</f>
        <v/>
      </c>
      <c r="DN34" s="149" t="str">
        <f>IF(OR($B34="",$B34=0),"",($G34*(DN$4&lt;$I34)+$H34*(DN$4&gt;=$I34))*$C34*(1+'Property Summary'!$L$18)^('MF Rents'!DN$3-1))</f>
        <v/>
      </c>
      <c r="DO34" s="149" t="str">
        <f>IF(OR($B34="",$B34=0),"",($G34*(DO$4&lt;$I34)+$H34*(DO$4&gt;=$I34))*$C34*(1+'Property Summary'!$L$18)^('MF Rents'!DO$3-1))</f>
        <v/>
      </c>
      <c r="DP34" s="149" t="str">
        <f>IF(OR($B34="",$B34=0),"",($G34*(DP$4&lt;$I34)+$H34*(DP$4&gt;=$I34))*$C34*(1+'Property Summary'!$L$18)^('MF Rents'!DP$3-1))</f>
        <v/>
      </c>
      <c r="DQ34" s="149" t="str">
        <f>IF(OR($B34="",$B34=0),"",($G34*(DQ$4&lt;$I34)+$H34*(DQ$4&gt;=$I34))*$C34*(1+'Property Summary'!$L$18)^('MF Rents'!DQ$3-1))</f>
        <v/>
      </c>
      <c r="DR34" s="149" t="str">
        <f>IF(OR($B34="",$B34=0),"",($G34*(DR$4&lt;$I34)+$H34*(DR$4&gt;=$I34))*$C34*(1+'Property Summary'!$L$18)^('MF Rents'!DR$3-1))</f>
        <v/>
      </c>
      <c r="DS34" s="149" t="str">
        <f>IF(OR($B34="",$B34=0),"",($G34*(DS$4&lt;$I34)+$H34*(DS$4&gt;=$I34))*$C34*(1+'Property Summary'!$L$18)^('MF Rents'!DS$3-1))</f>
        <v/>
      </c>
      <c r="DT34" s="149" t="str">
        <f>IF(OR($B34="",$B34=0),"",($G34*(DT$4&lt;$I34)+$H34*(DT$4&gt;=$I34))*$C34*(1+'Property Summary'!$L$18)^('MF Rents'!DT$3-1))</f>
        <v/>
      </c>
      <c r="DU34" s="149" t="str">
        <f>IF(OR($B34="",$B34=0),"",($G34*(DU$4&lt;$I34)+$H34*(DU$4&gt;=$I34))*$C34*(1+'Property Summary'!$L$18)^('MF Rents'!DU$3-1))</f>
        <v/>
      </c>
      <c r="DV34" s="149" t="str">
        <f>IF(OR($B34="",$B34=0),"",($G34*(DV$4&lt;$I34)+$H34*(DV$4&gt;=$I34))*$C34*(1+'Property Summary'!$L$18)^('MF Rents'!DV$3-1))</f>
        <v/>
      </c>
      <c r="DW34" s="149" t="str">
        <f>IF(OR($B34="",$B34=0),"",($G34*(DW$4&lt;$I34)+$H34*(DW$4&gt;=$I34))*$C34*(1+'Property Summary'!$L$18)^('MF Rents'!DW$3-1))</f>
        <v/>
      </c>
      <c r="DX34" s="149" t="str">
        <f>IF(OR($B34="",$B34=0),"",($G34*(DX$4&lt;$I34)+$H34*(DX$4&gt;=$I34))*$C34*(1+'Property Summary'!$L$18)^('MF Rents'!DX$3-1))</f>
        <v/>
      </c>
      <c r="DY34" s="149" t="str">
        <f>IF(OR($B34="",$B34=0),"",($G34*(DY$4&lt;$I34)+$H34*(DY$4&gt;=$I34))*$C34*(1+'Property Summary'!$L$18)^('MF Rents'!DY$3-1))</f>
        <v/>
      </c>
      <c r="DZ34" s="149" t="str">
        <f>IF(OR($B34="",$B34=0),"",($G34*(DZ$4&lt;$I34)+$H34*(DZ$4&gt;=$I34))*$C34*(1+'Property Summary'!$L$18)^('MF Rents'!DZ$3-1))</f>
        <v/>
      </c>
      <c r="EA34" s="149" t="str">
        <f>IF(OR($B34="",$B34=0),"",($G34*(EA$4&lt;$I34)+$H34*(EA$4&gt;=$I34))*$C34*(1+'Property Summary'!$L$18)^('MF Rents'!EA$3-1))</f>
        <v/>
      </c>
      <c r="EB34" s="149" t="str">
        <f>IF(OR($B34="",$B34=0),"",($G34*(EB$4&lt;$I34)+$H34*(EB$4&gt;=$I34))*$C34*(1+'Property Summary'!$L$18)^('MF Rents'!EB$3-1))</f>
        <v/>
      </c>
      <c r="EC34" s="149" t="str">
        <f>IF(OR($B34="",$B34=0),"",($G34*(EC$4&lt;$I34)+$H34*(EC$4&gt;=$I34))*$C34*(1+'Property Summary'!$L$18)^('MF Rents'!EC$3-1))</f>
        <v/>
      </c>
      <c r="ED34" s="149" t="str">
        <f>IF(OR($B34="",$B34=0),"",($G34*(ED$4&lt;$I34)+$H34*(ED$4&gt;=$I34))*$C34*(1+'Property Summary'!$L$18)^('MF Rents'!ED$3-1))</f>
        <v/>
      </c>
      <c r="EE34" s="149" t="str">
        <f>IF(OR($B34="",$B34=0),"",($G34*(EE$4&lt;$I34)+$H34*(EE$4&gt;=$I34))*$C34*(1+'Property Summary'!$L$18)^('MF Rents'!EE$3-1))</f>
        <v/>
      </c>
      <c r="EF34" s="149" t="str">
        <f>IF(OR($B34="",$B34=0),"",($G34*(EF$4&lt;$I34)+$H34*(EF$4&gt;=$I34))*$C34*(1+'Property Summary'!$L$18)^('MF Rents'!EF$3-1))</f>
        <v/>
      </c>
      <c r="EG34" s="149" t="str">
        <f>IF(OR($B34="",$B34=0),"",($G34*(EG$4&lt;$I34)+$H34*(EG$4&gt;=$I34))*$C34*(1+'Property Summary'!$L$18)^('MF Rents'!EG$3-1))</f>
        <v/>
      </c>
      <c r="EH34" s="149" t="str">
        <f>IF(OR($B34="",$B34=0),"",($G34*(EH$4&lt;$I34)+$H34*(EH$4&gt;=$I34))*$C34*(1+'Property Summary'!$L$18)^('MF Rents'!EH$3-1))</f>
        <v/>
      </c>
      <c r="EI34" s="149" t="str">
        <f>IF(OR($B34="",$B34=0),"",($G34*(EI$4&lt;$I34)+$H34*(EI$4&gt;=$I34))*$C34*(1+'Property Summary'!$L$18)^('MF Rents'!EI$3-1))</f>
        <v/>
      </c>
      <c r="EJ34" s="149" t="str">
        <f>IF(OR($B34="",$B34=0),"",($G34*(EJ$4&lt;$I34)+$H34*(EJ$4&gt;=$I34))*$C34*(1+'Property Summary'!$L$18)^('MF Rents'!EJ$3-1))</f>
        <v/>
      </c>
      <c r="EK34" s="149" t="str">
        <f>IF(OR($B34="",$B34=0),"",($G34*(EK$4&lt;$I34)+$H34*(EK$4&gt;=$I34))*$C34*(1+'Property Summary'!$L$18)^('MF Rents'!EK$3-1))</f>
        <v/>
      </c>
      <c r="EL34" s="149" t="str">
        <f>IF(OR($B34="",$B34=0),"",($G34*(EL$4&lt;$I34)+$H34*(EL$4&gt;=$I34))*$C34*(1+'Property Summary'!$L$18)^('MF Rents'!EL$3-1))</f>
        <v/>
      </c>
      <c r="EM34" s="149" t="str">
        <f>IF(OR($B34="",$B34=0),"",($G34*(EM$4&lt;$I34)+$H34*(EM$4&gt;=$I34))*$C34*(1+'Property Summary'!$L$18)^('MF Rents'!EM$3-1))</f>
        <v/>
      </c>
      <c r="EN34" s="149" t="str">
        <f>IF(OR($B34="",$B34=0),"",($G34*(EN$4&lt;$I34)+$H34*(EN$4&gt;=$I34))*$C34*(1+'Property Summary'!$L$18)^('MF Rents'!EN$3-1))</f>
        <v/>
      </c>
      <c r="EO34" s="149" t="str">
        <f>IF(OR($B34="",$B34=0),"",($G34*(EO$4&lt;$I34)+$H34*(EO$4&gt;=$I34))*$C34*(1+'Property Summary'!$L$18)^('MF Rents'!EO$3-1))</f>
        <v/>
      </c>
      <c r="EP34" s="149" t="str">
        <f>IF(OR($B34="",$B34=0),"",($G34*(EP$4&lt;$I34)+$H34*(EP$4&gt;=$I34))*$C34*(1+'Property Summary'!$L$18)^('MF Rents'!EP$3-1))</f>
        <v/>
      </c>
      <c r="EQ34" s="149" t="str">
        <f>IF(OR($B34="",$B34=0),"",($G34*(EQ$4&lt;$I34)+$H34*(EQ$4&gt;=$I34))*$C34*(1+'Property Summary'!$L$18)^('MF Rents'!EQ$3-1))</f>
        <v/>
      </c>
      <c r="ER34" s="149" t="str">
        <f>IF(OR($B34="",$B34=0),"",($G34*(ER$4&lt;$I34)+$H34*(ER$4&gt;=$I34))*$C34*(1+'Property Summary'!$L$18)^('MF Rents'!ER$3-1))</f>
        <v/>
      </c>
      <c r="ES34" s="149" t="str">
        <f>IF(OR($B34="",$B34=0),"",($G34*(ES$4&lt;$I34)+$H34*(ES$4&gt;=$I34))*$C34*(1+'Property Summary'!$L$18)^('MF Rents'!ES$3-1))</f>
        <v/>
      </c>
      <c r="ET34" s="149" t="str">
        <f>IF(OR($B34="",$B34=0),"",($G34*(ET$4&lt;$I34)+$H34*(ET$4&gt;=$I34))*$C34*(1+'Property Summary'!$L$18)^('MF Rents'!ET$3-1))</f>
        <v/>
      </c>
      <c r="EU34" s="149" t="str">
        <f>IF(OR($B34="",$B34=0),"",($G34*(EU$4&lt;$I34)+$H34*(EU$4&gt;=$I34))*$C34*(1+'Property Summary'!$L$18)^('MF Rents'!EU$3-1))</f>
        <v/>
      </c>
      <c r="EV34" s="149" t="str">
        <f>IF(OR($B34="",$B34=0),"",($G34*(EV$4&lt;$I34)+$H34*(EV$4&gt;=$I34))*$C34*(1+'Property Summary'!$L$18)^('MF Rents'!EV$3-1))</f>
        <v/>
      </c>
      <c r="EW34" s="149" t="str">
        <f>IF(OR($B34="",$B34=0),"",($G34*(EW$4&lt;$I34)+$H34*(EW$4&gt;=$I34))*$C34*(1+'Property Summary'!$L$18)^('MF Rents'!EW$3-1))</f>
        <v/>
      </c>
      <c r="EX34" s="149" t="str">
        <f>IF(OR($B34="",$B34=0),"",($G34*(EX$4&lt;$I34)+$H34*(EX$4&gt;=$I34))*$C34*(1+'Property Summary'!$L$18)^('MF Rents'!EX$3-1))</f>
        <v/>
      </c>
      <c r="EY34" s="149" t="str">
        <f>IF(OR($B34="",$B34=0),"",($G34*(EY$4&lt;$I34)+$H34*(EY$4&gt;=$I34))*$C34*(1+'Property Summary'!$L$18)^('MF Rents'!EY$3-1))</f>
        <v/>
      </c>
      <c r="EZ34" s="149" t="str">
        <f>IF(OR($B34="",$B34=0),"",($G34*(EZ$4&lt;$I34)+$H34*(EZ$4&gt;=$I34))*$C34*(1+'Property Summary'!$L$18)^('MF Rents'!EZ$3-1))</f>
        <v/>
      </c>
      <c r="FA34" s="149" t="str">
        <f>IF(OR($B34="",$B34=0),"",($G34*(FA$4&lt;$I34)+$H34*(FA$4&gt;=$I34))*$C34*(1+'Property Summary'!$L$18)^('MF Rents'!FA$3-1))</f>
        <v/>
      </c>
      <c r="FB34" s="149" t="str">
        <f>IF(OR($B34="",$B34=0),"",($G34*(FB$4&lt;$I34)+$H34*(FB$4&gt;=$I34))*$C34*(1+'Property Summary'!$L$18)^('MF Rents'!FB$3-1))</f>
        <v/>
      </c>
      <c r="FC34" s="149" t="str">
        <f>IF(OR($B34="",$B34=0),"",($G34*(FC$4&lt;$I34)+$H34*(FC$4&gt;=$I34))*$C34*(1+'Property Summary'!$L$18)^('MF Rents'!FC$3-1))</f>
        <v/>
      </c>
      <c r="FD34" s="149" t="str">
        <f>IF(OR($B34="",$B34=0),"",($G34*(FD$4&lt;$I34)+$H34*(FD$4&gt;=$I34))*$C34*(1+'Property Summary'!$L$18)^('MF Rents'!FD$3-1))</f>
        <v/>
      </c>
      <c r="FE34" s="149" t="str">
        <f>IF(OR($B34="",$B34=0),"",($G34*(FE$4&lt;$I34)+$H34*(FE$4&gt;=$I34))*$C34*(1+'Property Summary'!$L$18)^('MF Rents'!FE$3-1))</f>
        <v/>
      </c>
      <c r="FF34" s="149" t="str">
        <f>IF(OR($B34="",$B34=0),"",($G34*(FF$4&lt;$I34)+$H34*(FF$4&gt;=$I34))*$C34*(1+'Property Summary'!$L$18)^('MF Rents'!FF$3-1))</f>
        <v/>
      </c>
      <c r="FG34" s="149" t="str">
        <f>IF(OR($B34="",$B34=0),"",($G34*(FG$4&lt;$I34)+$H34*(FG$4&gt;=$I34))*$C34*(1+'Property Summary'!$L$18)^('MF Rents'!FG$3-1))</f>
        <v/>
      </c>
      <c r="FH34" s="149" t="str">
        <f>IF(OR($B34="",$B34=0),"",($G34*(FH$4&lt;$I34)+$H34*(FH$4&gt;=$I34))*$C34*(1+'Property Summary'!$L$18)^('MF Rents'!FH$3-1))</f>
        <v/>
      </c>
      <c r="FI34" s="149" t="str">
        <f>IF(OR($B34="",$B34=0),"",($G34*(FI$4&lt;$I34)+$H34*(FI$4&gt;=$I34))*$C34*(1+'Property Summary'!$L$18)^('MF Rents'!FI$3-1))</f>
        <v/>
      </c>
      <c r="FJ34" s="149" t="str">
        <f>IF(OR($B34="",$B34=0),"",($G34*(FJ$4&lt;$I34)+$H34*(FJ$4&gt;=$I34))*$C34*(1+'Property Summary'!$L$18)^('MF Rents'!FJ$3-1))</f>
        <v/>
      </c>
      <c r="FK34" s="149" t="str">
        <f>IF(OR($B34="",$B34=0),"",($G34*(FK$4&lt;$I34)+$H34*(FK$4&gt;=$I34))*$C34*(1+'Property Summary'!$L$18)^('MF Rents'!FK$3-1))</f>
        <v/>
      </c>
      <c r="FL34" s="149" t="str">
        <f>IF(OR($B34="",$B34=0),"",($G34*(FL$4&lt;$I34)+$H34*(FL$4&gt;=$I34))*$C34*(1+'Property Summary'!$L$18)^('MF Rents'!FL$3-1))</f>
        <v/>
      </c>
      <c r="FM34" s="149" t="str">
        <f>IF(OR($B34="",$B34=0),"",($G34*(FM$4&lt;$I34)+$H34*(FM$4&gt;=$I34))*$C34*(1+'Property Summary'!$L$18)^('MF Rents'!FM$3-1))</f>
        <v/>
      </c>
      <c r="FN34" s="149" t="str">
        <f>IF(OR($B34="",$B34=0),"",($G34*(FN$4&lt;$I34)+$H34*(FN$4&gt;=$I34))*$C34*(1+'Property Summary'!$L$18)^('MF Rents'!FN$3-1))</f>
        <v/>
      </c>
      <c r="FO34" s="149" t="str">
        <f>IF(OR($B34="",$B34=0),"",($G34*(FO$4&lt;$I34)+$H34*(FO$4&gt;=$I34))*$C34*(1+'Property Summary'!$L$18)^('MF Rents'!FO$3-1))</f>
        <v/>
      </c>
      <c r="FP34" s="149" t="str">
        <f>IF(OR($B34="",$B34=0),"",($G34*(FP$4&lt;$I34)+$H34*(FP$4&gt;=$I34))*$C34*(1+'Property Summary'!$L$18)^('MF Rents'!FP$3-1))</f>
        <v/>
      </c>
      <c r="FQ34" s="149" t="str">
        <f>IF(OR($B34="",$B34=0),"",($G34*(FQ$4&lt;$I34)+$H34*(FQ$4&gt;=$I34))*$C34*(1+'Property Summary'!$L$18)^('MF Rents'!FQ$3-1))</f>
        <v/>
      </c>
      <c r="FR34" s="149" t="str">
        <f>IF(OR($B34="",$B34=0),"",($G34*(FR$4&lt;$I34)+$H34*(FR$4&gt;=$I34))*$C34*(1+'Property Summary'!$L$18)^('MF Rents'!FR$3-1))</f>
        <v/>
      </c>
      <c r="FS34" s="149" t="str">
        <f>IF(OR($B34="",$B34=0),"",($G34*(FS$4&lt;$I34)+$H34*(FS$4&gt;=$I34))*$C34*(1+'Property Summary'!$L$18)^('MF Rents'!FS$3-1))</f>
        <v/>
      </c>
      <c r="FT34" s="149" t="str">
        <f>IF(OR($B34="",$B34=0),"",($G34*(FT$4&lt;$I34)+$H34*(FT$4&gt;=$I34))*$C34*(1+'Property Summary'!$L$18)^('MF Rents'!FT$3-1))</f>
        <v/>
      </c>
      <c r="FU34" s="149" t="str">
        <f>IF(OR($B34="",$B34=0),"",($G34*(FU$4&lt;$I34)+$H34*(FU$4&gt;=$I34))*$C34*(1+'Property Summary'!$L$18)^('MF Rents'!FU$3-1))</f>
        <v/>
      </c>
      <c r="FV34" s="149" t="str">
        <f>IF(OR($B34="",$B34=0),"",($G34*(FV$4&lt;$I34)+$H34*(FV$4&gt;=$I34))*$C34*(1+'Property Summary'!$L$18)^('MF Rents'!FV$3-1))</f>
        <v/>
      </c>
      <c r="FW34" s="149" t="str">
        <f>IF(OR($B34="",$B34=0),"",($G34*(FW$4&lt;$I34)+$H34*(FW$4&gt;=$I34))*$C34*(1+'Property Summary'!$L$18)^('MF Rents'!FW$3-1))</f>
        <v/>
      </c>
      <c r="FX34" s="149" t="str">
        <f>IF(OR($B34="",$B34=0),"",($G34*(FX$4&lt;$I34)+$H34*(FX$4&gt;=$I34))*$C34*(1+'Property Summary'!$L$18)^('MF Rents'!FX$3-1))</f>
        <v/>
      </c>
      <c r="FY34" s="149" t="str">
        <f>IF(OR($B34="",$B34=0),"",($G34*(FY$4&lt;$I34)+$H34*(FY$4&gt;=$I34))*$C34*(1+'Property Summary'!$L$18)^('MF Rents'!FY$3-1))</f>
        <v/>
      </c>
      <c r="FZ34" s="149" t="str">
        <f>IF(OR($B34="",$B34=0),"",($G34*(FZ$4&lt;$I34)+$H34*(FZ$4&gt;=$I34))*$C34*(1+'Property Summary'!$L$18)^('MF Rents'!FZ$3-1))</f>
        <v/>
      </c>
      <c r="GA34" s="149" t="str">
        <f>IF(OR($B34="",$B34=0),"",($G34*(GA$4&lt;$I34)+$H34*(GA$4&gt;=$I34))*$C34*(1+'Property Summary'!$L$18)^('MF Rents'!GA$3-1))</f>
        <v/>
      </c>
      <c r="GB34" s="149" t="str">
        <f>IF(OR($B34="",$B34=0),"",($G34*(GB$4&lt;$I34)+$H34*(GB$4&gt;=$I34))*$C34*(1+'Property Summary'!$L$18)^('MF Rents'!GB$3-1))</f>
        <v/>
      </c>
      <c r="GC34" s="149" t="str">
        <f>IF(OR($B34="",$B34=0),"",($G34*(GC$4&lt;$I34)+$H34*(GC$4&gt;=$I34))*$C34*(1+'Property Summary'!$L$18)^('MF Rents'!GC$3-1))</f>
        <v/>
      </c>
      <c r="GD34" s="149" t="str">
        <f>IF(OR($B34="",$B34=0),"",($G34*(GD$4&lt;$I34)+$H34*(GD$4&gt;=$I34))*$C34*(1+'Property Summary'!$L$18)^('MF Rents'!GD$3-1))</f>
        <v/>
      </c>
      <c r="GE34" s="149" t="str">
        <f>IF(OR($B34="",$B34=0),"",($G34*(GE$4&lt;$I34)+$H34*(GE$4&gt;=$I34))*$C34*(1+'Property Summary'!$L$18)^('MF Rents'!GE$3-1))</f>
        <v/>
      </c>
      <c r="GF34" s="149" t="str">
        <f>IF(OR($B34="",$B34=0),"",($G34*(GF$4&lt;$I34)+$H34*(GF$4&gt;=$I34))*$C34*(1+'Property Summary'!$L$18)^('MF Rents'!GF$3-1))</f>
        <v/>
      </c>
      <c r="GG34" s="149" t="str">
        <f>IF(OR($B34="",$B34=0),"",($G34*(GG$4&lt;$I34)+$H34*(GG$4&gt;=$I34))*$C34*(1+'Property Summary'!$L$18)^('MF Rents'!GG$3-1))</f>
        <v/>
      </c>
      <c r="GH34" s="149" t="str">
        <f>IF(OR($B34="",$B34=0),"",($G34*(GH$4&lt;$I34)+$H34*(GH$4&gt;=$I34))*$C34*(1+'Property Summary'!$L$18)^('MF Rents'!GH$3-1))</f>
        <v/>
      </c>
      <c r="GI34" s="149" t="str">
        <f>IF(OR($B34="",$B34=0),"",($G34*(GI$4&lt;$I34)+$H34*(GI$4&gt;=$I34))*$C34*(1+'Property Summary'!$L$18)^('MF Rents'!GI$3-1))</f>
        <v/>
      </c>
      <c r="GJ34" s="149" t="str">
        <f>IF(OR($B34="",$B34=0),"",($G34*(GJ$4&lt;$I34)+$H34*(GJ$4&gt;=$I34))*$C34*(1+'Property Summary'!$L$18)^('MF Rents'!GJ$3-1))</f>
        <v/>
      </c>
      <c r="GK34" s="149" t="str">
        <f>IF(OR($B34="",$B34=0),"",($G34*(GK$4&lt;$I34)+$H34*(GK$4&gt;=$I34))*$C34*(1+'Property Summary'!$L$18)^('MF Rents'!GK$3-1))</f>
        <v/>
      </c>
      <c r="GL34" s="149" t="str">
        <f>IF(OR($B34="",$B34=0),"",($G34*(GL$4&lt;$I34)+$H34*(GL$4&gt;=$I34))*$C34*(1+'Property Summary'!$L$18)^('MF Rents'!GL$3-1))</f>
        <v/>
      </c>
      <c r="GM34" s="149" t="str">
        <f>IF(OR($B34="",$B34=0),"",($G34*(GM$4&lt;$I34)+$H34*(GM$4&gt;=$I34))*$C34*(1+'Property Summary'!$L$18)^('MF Rents'!GM$3-1))</f>
        <v/>
      </c>
      <c r="GN34" s="149" t="str">
        <f>IF(OR($B34="",$B34=0),"",($G34*(GN$4&lt;$I34)+$H34*(GN$4&gt;=$I34))*$C34*(1+'Property Summary'!$L$18)^('MF Rents'!GN$3-1))</f>
        <v/>
      </c>
      <c r="GO34" s="149" t="str">
        <f>IF(OR($B34="",$B34=0),"",($G34*(GO$4&lt;$I34)+$H34*(GO$4&gt;=$I34))*$C34*(1+'Property Summary'!$L$18)^('MF Rents'!GO$3-1))</f>
        <v/>
      </c>
      <c r="GP34" s="149" t="str">
        <f>IF(OR($B34="",$B34=0),"",($G34*(GP$4&lt;$I34)+$H34*(GP$4&gt;=$I34))*$C34*(1+'Property Summary'!$L$18)^('MF Rents'!GP$3-1))</f>
        <v/>
      </c>
      <c r="GQ34" s="149" t="str">
        <f>IF(OR($B34="",$B34=0),"",($G34*(GQ$4&lt;$I34)+$H34*(GQ$4&gt;=$I34))*$C34*(1+'Property Summary'!$L$18)^('MF Rents'!GQ$3-1))</f>
        <v/>
      </c>
      <c r="GR34" s="149" t="str">
        <f>IF(OR($B34="",$B34=0),"",($G34*(GR$4&lt;$I34)+$H34*(GR$4&gt;=$I34))*$C34*(1+'Property Summary'!$L$18)^('MF Rents'!GR$3-1))</f>
        <v/>
      </c>
    </row>
    <row r="35" spans="2:200" x14ac:dyDescent="0.3">
      <c r="B35" s="184">
        <f>'MF Rent Roll'!B34</f>
        <v>0</v>
      </c>
      <c r="C35" s="171">
        <f>'MF Rent Roll'!C34</f>
        <v>0</v>
      </c>
      <c r="D35" s="172">
        <f>'MF Rent Roll'!D34</f>
        <v>0</v>
      </c>
      <c r="E35" s="172">
        <f>'MF Rent Roll'!E34</f>
        <v>0</v>
      </c>
      <c r="F35" s="173">
        <f>'MF Rent Roll'!F34</f>
        <v>0</v>
      </c>
      <c r="G35" s="174">
        <f>'MF Rent Roll'!G34</f>
        <v>0</v>
      </c>
      <c r="H35" s="174">
        <f>IF('MF Rent Roll'!H34="",G35,'MF Rent Roll'!H34)</f>
        <v>0</v>
      </c>
      <c r="I35" s="175">
        <f>IF('MF Rent Roll'!I34="",1,'MF Rent Roll'!I34)</f>
        <v>1</v>
      </c>
      <c r="J35" s="176">
        <f>'MF Rent Roll'!J34</f>
        <v>0</v>
      </c>
      <c r="K35" s="174">
        <f>'MF Rent Roll'!K34</f>
        <v>0</v>
      </c>
      <c r="L35" s="177">
        <f>'MF Rent Roll'!L34</f>
        <v>0</v>
      </c>
      <c r="M35" s="178">
        <f>'MF Rent Roll'!M34</f>
        <v>0</v>
      </c>
      <c r="N35" s="174">
        <f>'MF Rent Roll'!N34</f>
        <v>0</v>
      </c>
      <c r="O35" s="179">
        <f>'MF Rent Roll'!O34</f>
        <v>0</v>
      </c>
      <c r="P35" s="180" t="str">
        <f>'MF Rent Roll'!P34</f>
        <v/>
      </c>
      <c r="Q35" s="181" t="str">
        <f>'MF Rent Roll'!Q34</f>
        <v/>
      </c>
      <c r="R35" s="104" t="str">
        <f>'MF Rent Roll'!R34</f>
        <v/>
      </c>
      <c r="U35" s="149" t="str">
        <f>IF(OR($B35="",$B35=0),"",($G35*(U$4&lt;$I35)+$H35*(U$4&gt;=$I35))*$C35*(1+'Property Summary'!$L$18)^('MF Rents'!U$3-1))</f>
        <v/>
      </c>
      <c r="V35" s="149" t="str">
        <f>IF(OR($B35="",$B35=0),"",($G35*(V$4&lt;$I35)+$H35*(V$4&gt;=$I35))*$C35*(1+'Property Summary'!$L$18)^('MF Rents'!V$3-1))</f>
        <v/>
      </c>
      <c r="W35" s="149" t="str">
        <f>IF(OR($B35="",$B35=0),"",($G35*(W$4&lt;$I35)+$H35*(W$4&gt;=$I35))*$C35*(1+'Property Summary'!$L$18)^('MF Rents'!W$3-1))</f>
        <v/>
      </c>
      <c r="X35" s="149" t="str">
        <f>IF(OR($B35="",$B35=0),"",($G35*(X$4&lt;$I35)+$H35*(X$4&gt;=$I35))*$C35*(1+'Property Summary'!$L$18)^('MF Rents'!X$3-1))</f>
        <v/>
      </c>
      <c r="Y35" s="149" t="str">
        <f>IF(OR($B35="",$B35=0),"",($G35*(Y$4&lt;$I35)+$H35*(Y$4&gt;=$I35))*$C35*(1+'Property Summary'!$L$18)^('MF Rents'!Y$3-1))</f>
        <v/>
      </c>
      <c r="Z35" s="149" t="str">
        <f>IF(OR($B35="",$B35=0),"",($G35*(Z$4&lt;$I35)+$H35*(Z$4&gt;=$I35))*$C35*(1+'Property Summary'!$L$18)^('MF Rents'!Z$3-1))</f>
        <v/>
      </c>
      <c r="AA35" s="149" t="str">
        <f>IF(OR($B35="",$B35=0),"",($G35*(AA$4&lt;$I35)+$H35*(AA$4&gt;=$I35))*$C35*(1+'Property Summary'!$L$18)^('MF Rents'!AA$3-1))</f>
        <v/>
      </c>
      <c r="AB35" s="149" t="str">
        <f>IF(OR($B35="",$B35=0),"",($G35*(AB$4&lt;$I35)+$H35*(AB$4&gt;=$I35))*$C35*(1+'Property Summary'!$L$18)^('MF Rents'!AB$3-1))</f>
        <v/>
      </c>
      <c r="AC35" s="149" t="str">
        <f>IF(OR($B35="",$B35=0),"",($G35*(AC$4&lt;$I35)+$H35*(AC$4&gt;=$I35))*$C35*(1+'Property Summary'!$L$18)^('MF Rents'!AC$3-1))</f>
        <v/>
      </c>
      <c r="AD35" s="149" t="str">
        <f>IF(OR($B35="",$B35=0),"",($G35*(AD$4&lt;$I35)+$H35*(AD$4&gt;=$I35))*$C35*(1+'Property Summary'!$L$18)^('MF Rents'!AD$3-1))</f>
        <v/>
      </c>
      <c r="AE35" s="149" t="str">
        <f>IF(OR($B35="",$B35=0),"",($G35*(AE$4&lt;$I35)+$H35*(AE$4&gt;=$I35))*$C35*(1+'Property Summary'!$L$18)^('MF Rents'!AE$3-1))</f>
        <v/>
      </c>
      <c r="AF35" s="149" t="str">
        <f>IF(OR($B35="",$B35=0),"",($G35*(AF$4&lt;$I35)+$H35*(AF$4&gt;=$I35))*$C35*(1+'Property Summary'!$L$18)^('MF Rents'!AF$3-1))</f>
        <v/>
      </c>
      <c r="AG35" s="149" t="str">
        <f>IF(OR($B35="",$B35=0),"",($G35*(AG$4&lt;$I35)+$H35*(AG$4&gt;=$I35))*$C35*(1+'Property Summary'!$L$18)^('MF Rents'!AG$3-1))</f>
        <v/>
      </c>
      <c r="AH35" s="149" t="str">
        <f>IF(OR($B35="",$B35=0),"",($G35*(AH$4&lt;$I35)+$H35*(AH$4&gt;=$I35))*$C35*(1+'Property Summary'!$L$18)^('MF Rents'!AH$3-1))</f>
        <v/>
      </c>
      <c r="AI35" s="149" t="str">
        <f>IF(OR($B35="",$B35=0),"",($G35*(AI$4&lt;$I35)+$H35*(AI$4&gt;=$I35))*$C35*(1+'Property Summary'!$L$18)^('MF Rents'!AI$3-1))</f>
        <v/>
      </c>
      <c r="AJ35" s="149" t="str">
        <f>IF(OR($B35="",$B35=0),"",($G35*(AJ$4&lt;$I35)+$H35*(AJ$4&gt;=$I35))*$C35*(1+'Property Summary'!$L$18)^('MF Rents'!AJ$3-1))</f>
        <v/>
      </c>
      <c r="AK35" s="149" t="str">
        <f>IF(OR($B35="",$B35=0),"",($G35*(AK$4&lt;$I35)+$H35*(AK$4&gt;=$I35))*$C35*(1+'Property Summary'!$L$18)^('MF Rents'!AK$3-1))</f>
        <v/>
      </c>
      <c r="AL35" s="149" t="str">
        <f>IF(OR($B35="",$B35=0),"",($G35*(AL$4&lt;$I35)+$H35*(AL$4&gt;=$I35))*$C35*(1+'Property Summary'!$L$18)^('MF Rents'!AL$3-1))</f>
        <v/>
      </c>
      <c r="AM35" s="149" t="str">
        <f>IF(OR($B35="",$B35=0),"",($G35*(AM$4&lt;$I35)+$H35*(AM$4&gt;=$I35))*$C35*(1+'Property Summary'!$L$18)^('MF Rents'!AM$3-1))</f>
        <v/>
      </c>
      <c r="AN35" s="149" t="str">
        <f>IF(OR($B35="",$B35=0),"",($G35*(AN$4&lt;$I35)+$H35*(AN$4&gt;=$I35))*$C35*(1+'Property Summary'!$L$18)^('MF Rents'!AN$3-1))</f>
        <v/>
      </c>
      <c r="AO35" s="149" t="str">
        <f>IF(OR($B35="",$B35=0),"",($G35*(AO$4&lt;$I35)+$H35*(AO$4&gt;=$I35))*$C35*(1+'Property Summary'!$L$18)^('MF Rents'!AO$3-1))</f>
        <v/>
      </c>
      <c r="AP35" s="149" t="str">
        <f>IF(OR($B35="",$B35=0),"",($G35*(AP$4&lt;$I35)+$H35*(AP$4&gt;=$I35))*$C35*(1+'Property Summary'!$L$18)^('MF Rents'!AP$3-1))</f>
        <v/>
      </c>
      <c r="AQ35" s="149" t="str">
        <f>IF(OR($B35="",$B35=0),"",($G35*(AQ$4&lt;$I35)+$H35*(AQ$4&gt;=$I35))*$C35*(1+'Property Summary'!$L$18)^('MF Rents'!AQ$3-1))</f>
        <v/>
      </c>
      <c r="AR35" s="149" t="str">
        <f>IF(OR($B35="",$B35=0),"",($G35*(AR$4&lt;$I35)+$H35*(AR$4&gt;=$I35))*$C35*(1+'Property Summary'!$L$18)^('MF Rents'!AR$3-1))</f>
        <v/>
      </c>
      <c r="AS35" s="149" t="str">
        <f>IF(OR($B35="",$B35=0),"",($G35*(AS$4&lt;$I35)+$H35*(AS$4&gt;=$I35))*$C35*(1+'Property Summary'!$L$18)^('MF Rents'!AS$3-1))</f>
        <v/>
      </c>
      <c r="AT35" s="149" t="str">
        <f>IF(OR($B35="",$B35=0),"",($G35*(AT$4&lt;$I35)+$H35*(AT$4&gt;=$I35))*$C35*(1+'Property Summary'!$L$18)^('MF Rents'!AT$3-1))</f>
        <v/>
      </c>
      <c r="AU35" s="149" t="str">
        <f>IF(OR($B35="",$B35=0),"",($G35*(AU$4&lt;$I35)+$H35*(AU$4&gt;=$I35))*$C35*(1+'Property Summary'!$L$18)^('MF Rents'!AU$3-1))</f>
        <v/>
      </c>
      <c r="AV35" s="149" t="str">
        <f>IF(OR($B35="",$B35=0),"",($G35*(AV$4&lt;$I35)+$H35*(AV$4&gt;=$I35))*$C35*(1+'Property Summary'!$L$18)^('MF Rents'!AV$3-1))</f>
        <v/>
      </c>
      <c r="AW35" s="149" t="str">
        <f>IF(OR($B35="",$B35=0),"",($G35*(AW$4&lt;$I35)+$H35*(AW$4&gt;=$I35))*$C35*(1+'Property Summary'!$L$18)^('MF Rents'!AW$3-1))</f>
        <v/>
      </c>
      <c r="AX35" s="149" t="str">
        <f>IF(OR($B35="",$B35=0),"",($G35*(AX$4&lt;$I35)+$H35*(AX$4&gt;=$I35))*$C35*(1+'Property Summary'!$L$18)^('MF Rents'!AX$3-1))</f>
        <v/>
      </c>
      <c r="AY35" s="149" t="str">
        <f>IF(OR($B35="",$B35=0),"",($G35*(AY$4&lt;$I35)+$H35*(AY$4&gt;=$I35))*$C35*(1+'Property Summary'!$L$18)^('MF Rents'!AY$3-1))</f>
        <v/>
      </c>
      <c r="AZ35" s="149" t="str">
        <f>IF(OR($B35="",$B35=0),"",($G35*(AZ$4&lt;$I35)+$H35*(AZ$4&gt;=$I35))*$C35*(1+'Property Summary'!$L$18)^('MF Rents'!AZ$3-1))</f>
        <v/>
      </c>
      <c r="BA35" s="149" t="str">
        <f>IF(OR($B35="",$B35=0),"",($G35*(BA$4&lt;$I35)+$H35*(BA$4&gt;=$I35))*$C35*(1+'Property Summary'!$L$18)^('MF Rents'!BA$3-1))</f>
        <v/>
      </c>
      <c r="BB35" s="149" t="str">
        <f>IF(OR($B35="",$B35=0),"",($G35*(BB$4&lt;$I35)+$H35*(BB$4&gt;=$I35))*$C35*(1+'Property Summary'!$L$18)^('MF Rents'!BB$3-1))</f>
        <v/>
      </c>
      <c r="BC35" s="149" t="str">
        <f>IF(OR($B35="",$B35=0),"",($G35*(BC$4&lt;$I35)+$H35*(BC$4&gt;=$I35))*$C35*(1+'Property Summary'!$L$18)^('MF Rents'!BC$3-1))</f>
        <v/>
      </c>
      <c r="BD35" s="149" t="str">
        <f>IF(OR($B35="",$B35=0),"",($G35*(BD$4&lt;$I35)+$H35*(BD$4&gt;=$I35))*$C35*(1+'Property Summary'!$L$18)^('MF Rents'!BD$3-1))</f>
        <v/>
      </c>
      <c r="BE35" s="149" t="str">
        <f>IF(OR($B35="",$B35=0),"",($G35*(BE$4&lt;$I35)+$H35*(BE$4&gt;=$I35))*$C35*(1+'Property Summary'!$L$18)^('MF Rents'!BE$3-1))</f>
        <v/>
      </c>
      <c r="BF35" s="149" t="str">
        <f>IF(OR($B35="",$B35=0),"",($G35*(BF$4&lt;$I35)+$H35*(BF$4&gt;=$I35))*$C35*(1+'Property Summary'!$L$18)^('MF Rents'!BF$3-1))</f>
        <v/>
      </c>
      <c r="BG35" s="149" t="str">
        <f>IF(OR($B35="",$B35=0),"",($G35*(BG$4&lt;$I35)+$H35*(BG$4&gt;=$I35))*$C35*(1+'Property Summary'!$L$18)^('MF Rents'!BG$3-1))</f>
        <v/>
      </c>
      <c r="BH35" s="149" t="str">
        <f>IF(OR($B35="",$B35=0),"",($G35*(BH$4&lt;$I35)+$H35*(BH$4&gt;=$I35))*$C35*(1+'Property Summary'!$L$18)^('MF Rents'!BH$3-1))</f>
        <v/>
      </c>
      <c r="BI35" s="149" t="str">
        <f>IF(OR($B35="",$B35=0),"",($G35*(BI$4&lt;$I35)+$H35*(BI$4&gt;=$I35))*$C35*(1+'Property Summary'!$L$18)^('MF Rents'!BI$3-1))</f>
        <v/>
      </c>
      <c r="BJ35" s="149" t="str">
        <f>IF(OR($B35="",$B35=0),"",($G35*(BJ$4&lt;$I35)+$H35*(BJ$4&gt;=$I35))*$C35*(1+'Property Summary'!$L$18)^('MF Rents'!BJ$3-1))</f>
        <v/>
      </c>
      <c r="BK35" s="149" t="str">
        <f>IF(OR($B35="",$B35=0),"",($G35*(BK$4&lt;$I35)+$H35*(BK$4&gt;=$I35))*$C35*(1+'Property Summary'!$L$18)^('MF Rents'!BK$3-1))</f>
        <v/>
      </c>
      <c r="BL35" s="149" t="str">
        <f>IF(OR($B35="",$B35=0),"",($G35*(BL$4&lt;$I35)+$H35*(BL$4&gt;=$I35))*$C35*(1+'Property Summary'!$L$18)^('MF Rents'!BL$3-1))</f>
        <v/>
      </c>
      <c r="BM35" s="149" t="str">
        <f>IF(OR($B35="",$B35=0),"",($G35*(BM$4&lt;$I35)+$H35*(BM$4&gt;=$I35))*$C35*(1+'Property Summary'!$L$18)^('MF Rents'!BM$3-1))</f>
        <v/>
      </c>
      <c r="BN35" s="149" t="str">
        <f>IF(OR($B35="",$B35=0),"",($G35*(BN$4&lt;$I35)+$H35*(BN$4&gt;=$I35))*$C35*(1+'Property Summary'!$L$18)^('MF Rents'!BN$3-1))</f>
        <v/>
      </c>
      <c r="BO35" s="149" t="str">
        <f>IF(OR($B35="",$B35=0),"",($G35*(BO$4&lt;$I35)+$H35*(BO$4&gt;=$I35))*$C35*(1+'Property Summary'!$L$18)^('MF Rents'!BO$3-1))</f>
        <v/>
      </c>
      <c r="BP35" s="149" t="str">
        <f>IF(OR($B35="",$B35=0),"",($G35*(BP$4&lt;$I35)+$H35*(BP$4&gt;=$I35))*$C35*(1+'Property Summary'!$L$18)^('MF Rents'!BP$3-1))</f>
        <v/>
      </c>
      <c r="BQ35" s="149" t="str">
        <f>IF(OR($B35="",$B35=0),"",($G35*(BQ$4&lt;$I35)+$H35*(BQ$4&gt;=$I35))*$C35*(1+'Property Summary'!$L$18)^('MF Rents'!BQ$3-1))</f>
        <v/>
      </c>
      <c r="BR35" s="149" t="str">
        <f>IF(OR($B35="",$B35=0),"",($G35*(BR$4&lt;$I35)+$H35*(BR$4&gt;=$I35))*$C35*(1+'Property Summary'!$L$18)^('MF Rents'!BR$3-1))</f>
        <v/>
      </c>
      <c r="BS35" s="149" t="str">
        <f>IF(OR($B35="",$B35=0),"",($G35*(BS$4&lt;$I35)+$H35*(BS$4&gt;=$I35))*$C35*(1+'Property Summary'!$L$18)^('MF Rents'!BS$3-1))</f>
        <v/>
      </c>
      <c r="BT35" s="149" t="str">
        <f>IF(OR($B35="",$B35=0),"",($G35*(BT$4&lt;$I35)+$H35*(BT$4&gt;=$I35))*$C35*(1+'Property Summary'!$L$18)^('MF Rents'!BT$3-1))</f>
        <v/>
      </c>
      <c r="BU35" s="149" t="str">
        <f>IF(OR($B35="",$B35=0),"",($G35*(BU$4&lt;$I35)+$H35*(BU$4&gt;=$I35))*$C35*(1+'Property Summary'!$L$18)^('MF Rents'!BU$3-1))</f>
        <v/>
      </c>
      <c r="BV35" s="149" t="str">
        <f>IF(OR($B35="",$B35=0),"",($G35*(BV$4&lt;$I35)+$H35*(BV$4&gt;=$I35))*$C35*(1+'Property Summary'!$L$18)^('MF Rents'!BV$3-1))</f>
        <v/>
      </c>
      <c r="BW35" s="149" t="str">
        <f>IF(OR($B35="",$B35=0),"",($G35*(BW$4&lt;$I35)+$H35*(BW$4&gt;=$I35))*$C35*(1+'Property Summary'!$L$18)^('MF Rents'!BW$3-1))</f>
        <v/>
      </c>
      <c r="BX35" s="149" t="str">
        <f>IF(OR($B35="",$B35=0),"",($G35*(BX$4&lt;$I35)+$H35*(BX$4&gt;=$I35))*$C35*(1+'Property Summary'!$L$18)^('MF Rents'!BX$3-1))</f>
        <v/>
      </c>
      <c r="BY35" s="149" t="str">
        <f>IF(OR($B35="",$B35=0),"",($G35*(BY$4&lt;$I35)+$H35*(BY$4&gt;=$I35))*$C35*(1+'Property Summary'!$L$18)^('MF Rents'!BY$3-1))</f>
        <v/>
      </c>
      <c r="BZ35" s="149" t="str">
        <f>IF(OR($B35="",$B35=0),"",($G35*(BZ$4&lt;$I35)+$H35*(BZ$4&gt;=$I35))*$C35*(1+'Property Summary'!$L$18)^('MF Rents'!BZ$3-1))</f>
        <v/>
      </c>
      <c r="CA35" s="149" t="str">
        <f>IF(OR($B35="",$B35=0),"",($G35*(CA$4&lt;$I35)+$H35*(CA$4&gt;=$I35))*$C35*(1+'Property Summary'!$L$18)^('MF Rents'!CA$3-1))</f>
        <v/>
      </c>
      <c r="CB35" s="149" t="str">
        <f>IF(OR($B35="",$B35=0),"",($G35*(CB$4&lt;$I35)+$H35*(CB$4&gt;=$I35))*$C35*(1+'Property Summary'!$L$18)^('MF Rents'!CB$3-1))</f>
        <v/>
      </c>
      <c r="CC35" s="149" t="str">
        <f>IF(OR($B35="",$B35=0),"",($G35*(CC$4&lt;$I35)+$H35*(CC$4&gt;=$I35))*$C35*(1+'Property Summary'!$L$18)^('MF Rents'!CC$3-1))</f>
        <v/>
      </c>
      <c r="CD35" s="149" t="str">
        <f>IF(OR($B35="",$B35=0),"",($G35*(CD$4&lt;$I35)+$H35*(CD$4&gt;=$I35))*$C35*(1+'Property Summary'!$L$18)^('MF Rents'!CD$3-1))</f>
        <v/>
      </c>
      <c r="CE35" s="149" t="str">
        <f>IF(OR($B35="",$B35=0),"",($G35*(CE$4&lt;$I35)+$H35*(CE$4&gt;=$I35))*$C35*(1+'Property Summary'!$L$18)^('MF Rents'!CE$3-1))</f>
        <v/>
      </c>
      <c r="CF35" s="149" t="str">
        <f>IF(OR($B35="",$B35=0),"",($G35*(CF$4&lt;$I35)+$H35*(CF$4&gt;=$I35))*$C35*(1+'Property Summary'!$L$18)^('MF Rents'!CF$3-1))</f>
        <v/>
      </c>
      <c r="CG35" s="149" t="str">
        <f>IF(OR($B35="",$B35=0),"",($G35*(CG$4&lt;$I35)+$H35*(CG$4&gt;=$I35))*$C35*(1+'Property Summary'!$L$18)^('MF Rents'!CG$3-1))</f>
        <v/>
      </c>
      <c r="CH35" s="149" t="str">
        <f>IF(OR($B35="",$B35=0),"",($G35*(CH$4&lt;$I35)+$H35*(CH$4&gt;=$I35))*$C35*(1+'Property Summary'!$L$18)^('MF Rents'!CH$3-1))</f>
        <v/>
      </c>
      <c r="CI35" s="149" t="str">
        <f>IF(OR($B35="",$B35=0),"",($G35*(CI$4&lt;$I35)+$H35*(CI$4&gt;=$I35))*$C35*(1+'Property Summary'!$L$18)^('MF Rents'!CI$3-1))</f>
        <v/>
      </c>
      <c r="CJ35" s="149" t="str">
        <f>IF(OR($B35="",$B35=0),"",($G35*(CJ$4&lt;$I35)+$H35*(CJ$4&gt;=$I35))*$C35*(1+'Property Summary'!$L$18)^('MF Rents'!CJ$3-1))</f>
        <v/>
      </c>
      <c r="CK35" s="149" t="str">
        <f>IF(OR($B35="",$B35=0),"",($G35*(CK$4&lt;$I35)+$H35*(CK$4&gt;=$I35))*$C35*(1+'Property Summary'!$L$18)^('MF Rents'!CK$3-1))</f>
        <v/>
      </c>
      <c r="CL35" s="149" t="str">
        <f>IF(OR($B35="",$B35=0),"",($G35*(CL$4&lt;$I35)+$H35*(CL$4&gt;=$I35))*$C35*(1+'Property Summary'!$L$18)^('MF Rents'!CL$3-1))</f>
        <v/>
      </c>
      <c r="CM35" s="149" t="str">
        <f>IF(OR($B35="",$B35=0),"",($G35*(CM$4&lt;$I35)+$H35*(CM$4&gt;=$I35))*$C35*(1+'Property Summary'!$L$18)^('MF Rents'!CM$3-1))</f>
        <v/>
      </c>
      <c r="CN35" s="149" t="str">
        <f>IF(OR($B35="",$B35=0),"",($G35*(CN$4&lt;$I35)+$H35*(CN$4&gt;=$I35))*$C35*(1+'Property Summary'!$L$18)^('MF Rents'!CN$3-1))</f>
        <v/>
      </c>
      <c r="CO35" s="149" t="str">
        <f>IF(OR($B35="",$B35=0),"",($G35*(CO$4&lt;$I35)+$H35*(CO$4&gt;=$I35))*$C35*(1+'Property Summary'!$L$18)^('MF Rents'!CO$3-1))</f>
        <v/>
      </c>
      <c r="CP35" s="149" t="str">
        <f>IF(OR($B35="",$B35=0),"",($G35*(CP$4&lt;$I35)+$H35*(CP$4&gt;=$I35))*$C35*(1+'Property Summary'!$L$18)^('MF Rents'!CP$3-1))</f>
        <v/>
      </c>
      <c r="CQ35" s="149" t="str">
        <f>IF(OR($B35="",$B35=0),"",($G35*(CQ$4&lt;$I35)+$H35*(CQ$4&gt;=$I35))*$C35*(1+'Property Summary'!$L$18)^('MF Rents'!CQ$3-1))</f>
        <v/>
      </c>
      <c r="CR35" s="149" t="str">
        <f>IF(OR($B35="",$B35=0),"",($G35*(CR$4&lt;$I35)+$H35*(CR$4&gt;=$I35))*$C35*(1+'Property Summary'!$L$18)^('MF Rents'!CR$3-1))</f>
        <v/>
      </c>
      <c r="CS35" s="149" t="str">
        <f>IF(OR($B35="",$B35=0),"",($G35*(CS$4&lt;$I35)+$H35*(CS$4&gt;=$I35))*$C35*(1+'Property Summary'!$L$18)^('MF Rents'!CS$3-1))</f>
        <v/>
      </c>
      <c r="CT35" s="149" t="str">
        <f>IF(OR($B35="",$B35=0),"",($G35*(CT$4&lt;$I35)+$H35*(CT$4&gt;=$I35))*$C35*(1+'Property Summary'!$L$18)^('MF Rents'!CT$3-1))</f>
        <v/>
      </c>
      <c r="CU35" s="149" t="str">
        <f>IF(OR($B35="",$B35=0),"",($G35*(CU$4&lt;$I35)+$H35*(CU$4&gt;=$I35))*$C35*(1+'Property Summary'!$L$18)^('MF Rents'!CU$3-1))</f>
        <v/>
      </c>
      <c r="CV35" s="149" t="str">
        <f>IF(OR($B35="",$B35=0),"",($G35*(CV$4&lt;$I35)+$H35*(CV$4&gt;=$I35))*$C35*(1+'Property Summary'!$L$18)^('MF Rents'!CV$3-1))</f>
        <v/>
      </c>
      <c r="CW35" s="149" t="str">
        <f>IF(OR($B35="",$B35=0),"",($G35*(CW$4&lt;$I35)+$H35*(CW$4&gt;=$I35))*$C35*(1+'Property Summary'!$L$18)^('MF Rents'!CW$3-1))</f>
        <v/>
      </c>
      <c r="CX35" s="149" t="str">
        <f>IF(OR($B35="",$B35=0),"",($G35*(CX$4&lt;$I35)+$H35*(CX$4&gt;=$I35))*$C35*(1+'Property Summary'!$L$18)^('MF Rents'!CX$3-1))</f>
        <v/>
      </c>
      <c r="CY35" s="149" t="str">
        <f>IF(OR($B35="",$B35=0),"",($G35*(CY$4&lt;$I35)+$H35*(CY$4&gt;=$I35))*$C35*(1+'Property Summary'!$L$18)^('MF Rents'!CY$3-1))</f>
        <v/>
      </c>
      <c r="CZ35" s="149" t="str">
        <f>IF(OR($B35="",$B35=0),"",($G35*(CZ$4&lt;$I35)+$H35*(CZ$4&gt;=$I35))*$C35*(1+'Property Summary'!$L$18)^('MF Rents'!CZ$3-1))</f>
        <v/>
      </c>
      <c r="DA35" s="149" t="str">
        <f>IF(OR($B35="",$B35=0),"",($G35*(DA$4&lt;$I35)+$H35*(DA$4&gt;=$I35))*$C35*(1+'Property Summary'!$L$18)^('MF Rents'!DA$3-1))</f>
        <v/>
      </c>
      <c r="DB35" s="149" t="str">
        <f>IF(OR($B35="",$B35=0),"",($G35*(DB$4&lt;$I35)+$H35*(DB$4&gt;=$I35))*$C35*(1+'Property Summary'!$L$18)^('MF Rents'!DB$3-1))</f>
        <v/>
      </c>
      <c r="DC35" s="149" t="str">
        <f>IF(OR($B35="",$B35=0),"",($G35*(DC$4&lt;$I35)+$H35*(DC$4&gt;=$I35))*$C35*(1+'Property Summary'!$L$18)^('MF Rents'!DC$3-1))</f>
        <v/>
      </c>
      <c r="DD35" s="149" t="str">
        <f>IF(OR($B35="",$B35=0),"",($G35*(DD$4&lt;$I35)+$H35*(DD$4&gt;=$I35))*$C35*(1+'Property Summary'!$L$18)^('MF Rents'!DD$3-1))</f>
        <v/>
      </c>
      <c r="DE35" s="149" t="str">
        <f>IF(OR($B35="",$B35=0),"",($G35*(DE$4&lt;$I35)+$H35*(DE$4&gt;=$I35))*$C35*(1+'Property Summary'!$L$18)^('MF Rents'!DE$3-1))</f>
        <v/>
      </c>
      <c r="DF35" s="149" t="str">
        <f>IF(OR($B35="",$B35=0),"",($G35*(DF$4&lt;$I35)+$H35*(DF$4&gt;=$I35))*$C35*(1+'Property Summary'!$L$18)^('MF Rents'!DF$3-1))</f>
        <v/>
      </c>
      <c r="DG35" s="149" t="str">
        <f>IF(OR($B35="",$B35=0),"",($G35*(DG$4&lt;$I35)+$H35*(DG$4&gt;=$I35))*$C35*(1+'Property Summary'!$L$18)^('MF Rents'!DG$3-1))</f>
        <v/>
      </c>
      <c r="DH35" s="149" t="str">
        <f>IF(OR($B35="",$B35=0),"",($G35*(DH$4&lt;$I35)+$H35*(DH$4&gt;=$I35))*$C35*(1+'Property Summary'!$L$18)^('MF Rents'!DH$3-1))</f>
        <v/>
      </c>
      <c r="DI35" s="149" t="str">
        <f>IF(OR($B35="",$B35=0),"",($G35*(DI$4&lt;$I35)+$H35*(DI$4&gt;=$I35))*$C35*(1+'Property Summary'!$L$18)^('MF Rents'!DI$3-1))</f>
        <v/>
      </c>
      <c r="DJ35" s="149" t="str">
        <f>IF(OR($B35="",$B35=0),"",($G35*(DJ$4&lt;$I35)+$H35*(DJ$4&gt;=$I35))*$C35*(1+'Property Summary'!$L$18)^('MF Rents'!DJ$3-1))</f>
        <v/>
      </c>
      <c r="DK35" s="149" t="str">
        <f>IF(OR($B35="",$B35=0),"",($G35*(DK$4&lt;$I35)+$H35*(DK$4&gt;=$I35))*$C35*(1+'Property Summary'!$L$18)^('MF Rents'!DK$3-1))</f>
        <v/>
      </c>
      <c r="DL35" s="149" t="str">
        <f>IF(OR($B35="",$B35=0),"",($G35*(DL$4&lt;$I35)+$H35*(DL$4&gt;=$I35))*$C35*(1+'Property Summary'!$L$18)^('MF Rents'!DL$3-1))</f>
        <v/>
      </c>
      <c r="DM35" s="149" t="str">
        <f>IF(OR($B35="",$B35=0),"",($G35*(DM$4&lt;$I35)+$H35*(DM$4&gt;=$I35))*$C35*(1+'Property Summary'!$L$18)^('MF Rents'!DM$3-1))</f>
        <v/>
      </c>
      <c r="DN35" s="149" t="str">
        <f>IF(OR($B35="",$B35=0),"",($G35*(DN$4&lt;$I35)+$H35*(DN$4&gt;=$I35))*$C35*(1+'Property Summary'!$L$18)^('MF Rents'!DN$3-1))</f>
        <v/>
      </c>
      <c r="DO35" s="149" t="str">
        <f>IF(OR($B35="",$B35=0),"",($G35*(DO$4&lt;$I35)+$H35*(DO$4&gt;=$I35))*$C35*(1+'Property Summary'!$L$18)^('MF Rents'!DO$3-1))</f>
        <v/>
      </c>
      <c r="DP35" s="149" t="str">
        <f>IF(OR($B35="",$B35=0),"",($G35*(DP$4&lt;$I35)+$H35*(DP$4&gt;=$I35))*$C35*(1+'Property Summary'!$L$18)^('MF Rents'!DP$3-1))</f>
        <v/>
      </c>
      <c r="DQ35" s="149" t="str">
        <f>IF(OR($B35="",$B35=0),"",($G35*(DQ$4&lt;$I35)+$H35*(DQ$4&gt;=$I35))*$C35*(1+'Property Summary'!$L$18)^('MF Rents'!DQ$3-1))</f>
        <v/>
      </c>
      <c r="DR35" s="149" t="str">
        <f>IF(OR($B35="",$B35=0),"",($G35*(DR$4&lt;$I35)+$H35*(DR$4&gt;=$I35))*$C35*(1+'Property Summary'!$L$18)^('MF Rents'!DR$3-1))</f>
        <v/>
      </c>
      <c r="DS35" s="149" t="str">
        <f>IF(OR($B35="",$B35=0),"",($G35*(DS$4&lt;$I35)+$H35*(DS$4&gt;=$I35))*$C35*(1+'Property Summary'!$L$18)^('MF Rents'!DS$3-1))</f>
        <v/>
      </c>
      <c r="DT35" s="149" t="str">
        <f>IF(OR($B35="",$B35=0),"",($G35*(DT$4&lt;$I35)+$H35*(DT$4&gt;=$I35))*$C35*(1+'Property Summary'!$L$18)^('MF Rents'!DT$3-1))</f>
        <v/>
      </c>
      <c r="DU35" s="149" t="str">
        <f>IF(OR($B35="",$B35=0),"",($G35*(DU$4&lt;$I35)+$H35*(DU$4&gt;=$I35))*$C35*(1+'Property Summary'!$L$18)^('MF Rents'!DU$3-1))</f>
        <v/>
      </c>
      <c r="DV35" s="149" t="str">
        <f>IF(OR($B35="",$B35=0),"",($G35*(DV$4&lt;$I35)+$H35*(DV$4&gt;=$I35))*$C35*(1+'Property Summary'!$L$18)^('MF Rents'!DV$3-1))</f>
        <v/>
      </c>
      <c r="DW35" s="149" t="str">
        <f>IF(OR($B35="",$B35=0),"",($G35*(DW$4&lt;$I35)+$H35*(DW$4&gt;=$I35))*$C35*(1+'Property Summary'!$L$18)^('MF Rents'!DW$3-1))</f>
        <v/>
      </c>
      <c r="DX35" s="149" t="str">
        <f>IF(OR($B35="",$B35=0),"",($G35*(DX$4&lt;$I35)+$H35*(DX$4&gt;=$I35))*$C35*(1+'Property Summary'!$L$18)^('MF Rents'!DX$3-1))</f>
        <v/>
      </c>
      <c r="DY35" s="149" t="str">
        <f>IF(OR($B35="",$B35=0),"",($G35*(DY$4&lt;$I35)+$H35*(DY$4&gt;=$I35))*$C35*(1+'Property Summary'!$L$18)^('MF Rents'!DY$3-1))</f>
        <v/>
      </c>
      <c r="DZ35" s="149" t="str">
        <f>IF(OR($B35="",$B35=0),"",($G35*(DZ$4&lt;$I35)+$H35*(DZ$4&gt;=$I35))*$C35*(1+'Property Summary'!$L$18)^('MF Rents'!DZ$3-1))</f>
        <v/>
      </c>
      <c r="EA35" s="149" t="str">
        <f>IF(OR($B35="",$B35=0),"",($G35*(EA$4&lt;$I35)+$H35*(EA$4&gt;=$I35))*$C35*(1+'Property Summary'!$L$18)^('MF Rents'!EA$3-1))</f>
        <v/>
      </c>
      <c r="EB35" s="149" t="str">
        <f>IF(OR($B35="",$B35=0),"",($G35*(EB$4&lt;$I35)+$H35*(EB$4&gt;=$I35))*$C35*(1+'Property Summary'!$L$18)^('MF Rents'!EB$3-1))</f>
        <v/>
      </c>
      <c r="EC35" s="149" t="str">
        <f>IF(OR($B35="",$B35=0),"",($G35*(EC$4&lt;$I35)+$H35*(EC$4&gt;=$I35))*$C35*(1+'Property Summary'!$L$18)^('MF Rents'!EC$3-1))</f>
        <v/>
      </c>
      <c r="ED35" s="149" t="str">
        <f>IF(OR($B35="",$B35=0),"",($G35*(ED$4&lt;$I35)+$H35*(ED$4&gt;=$I35))*$C35*(1+'Property Summary'!$L$18)^('MF Rents'!ED$3-1))</f>
        <v/>
      </c>
      <c r="EE35" s="149" t="str">
        <f>IF(OR($B35="",$B35=0),"",($G35*(EE$4&lt;$I35)+$H35*(EE$4&gt;=$I35))*$C35*(1+'Property Summary'!$L$18)^('MF Rents'!EE$3-1))</f>
        <v/>
      </c>
      <c r="EF35" s="149" t="str">
        <f>IF(OR($B35="",$B35=0),"",($G35*(EF$4&lt;$I35)+$H35*(EF$4&gt;=$I35))*$C35*(1+'Property Summary'!$L$18)^('MF Rents'!EF$3-1))</f>
        <v/>
      </c>
      <c r="EG35" s="149" t="str">
        <f>IF(OR($B35="",$B35=0),"",($G35*(EG$4&lt;$I35)+$H35*(EG$4&gt;=$I35))*$C35*(1+'Property Summary'!$L$18)^('MF Rents'!EG$3-1))</f>
        <v/>
      </c>
      <c r="EH35" s="149" t="str">
        <f>IF(OR($B35="",$B35=0),"",($G35*(EH$4&lt;$I35)+$H35*(EH$4&gt;=$I35))*$C35*(1+'Property Summary'!$L$18)^('MF Rents'!EH$3-1))</f>
        <v/>
      </c>
      <c r="EI35" s="149" t="str">
        <f>IF(OR($B35="",$B35=0),"",($G35*(EI$4&lt;$I35)+$H35*(EI$4&gt;=$I35))*$C35*(1+'Property Summary'!$L$18)^('MF Rents'!EI$3-1))</f>
        <v/>
      </c>
      <c r="EJ35" s="149" t="str">
        <f>IF(OR($B35="",$B35=0),"",($G35*(EJ$4&lt;$I35)+$H35*(EJ$4&gt;=$I35))*$C35*(1+'Property Summary'!$L$18)^('MF Rents'!EJ$3-1))</f>
        <v/>
      </c>
      <c r="EK35" s="149" t="str">
        <f>IF(OR($B35="",$B35=0),"",($G35*(EK$4&lt;$I35)+$H35*(EK$4&gt;=$I35))*$C35*(1+'Property Summary'!$L$18)^('MF Rents'!EK$3-1))</f>
        <v/>
      </c>
      <c r="EL35" s="149" t="str">
        <f>IF(OR($B35="",$B35=0),"",($G35*(EL$4&lt;$I35)+$H35*(EL$4&gt;=$I35))*$C35*(1+'Property Summary'!$L$18)^('MF Rents'!EL$3-1))</f>
        <v/>
      </c>
      <c r="EM35" s="149" t="str">
        <f>IF(OR($B35="",$B35=0),"",($G35*(EM$4&lt;$I35)+$H35*(EM$4&gt;=$I35))*$C35*(1+'Property Summary'!$L$18)^('MF Rents'!EM$3-1))</f>
        <v/>
      </c>
      <c r="EN35" s="149" t="str">
        <f>IF(OR($B35="",$B35=0),"",($G35*(EN$4&lt;$I35)+$H35*(EN$4&gt;=$I35))*$C35*(1+'Property Summary'!$L$18)^('MF Rents'!EN$3-1))</f>
        <v/>
      </c>
      <c r="EO35" s="149" t="str">
        <f>IF(OR($B35="",$B35=0),"",($G35*(EO$4&lt;$I35)+$H35*(EO$4&gt;=$I35))*$C35*(1+'Property Summary'!$L$18)^('MF Rents'!EO$3-1))</f>
        <v/>
      </c>
      <c r="EP35" s="149" t="str">
        <f>IF(OR($B35="",$B35=0),"",($G35*(EP$4&lt;$I35)+$H35*(EP$4&gt;=$I35))*$C35*(1+'Property Summary'!$L$18)^('MF Rents'!EP$3-1))</f>
        <v/>
      </c>
      <c r="EQ35" s="149" t="str">
        <f>IF(OR($B35="",$B35=0),"",($G35*(EQ$4&lt;$I35)+$H35*(EQ$4&gt;=$I35))*$C35*(1+'Property Summary'!$L$18)^('MF Rents'!EQ$3-1))</f>
        <v/>
      </c>
      <c r="ER35" s="149" t="str">
        <f>IF(OR($B35="",$B35=0),"",($G35*(ER$4&lt;$I35)+$H35*(ER$4&gt;=$I35))*$C35*(1+'Property Summary'!$L$18)^('MF Rents'!ER$3-1))</f>
        <v/>
      </c>
      <c r="ES35" s="149" t="str">
        <f>IF(OR($B35="",$B35=0),"",($G35*(ES$4&lt;$I35)+$H35*(ES$4&gt;=$I35))*$C35*(1+'Property Summary'!$L$18)^('MF Rents'!ES$3-1))</f>
        <v/>
      </c>
      <c r="ET35" s="149" t="str">
        <f>IF(OR($B35="",$B35=0),"",($G35*(ET$4&lt;$I35)+$H35*(ET$4&gt;=$I35))*$C35*(1+'Property Summary'!$L$18)^('MF Rents'!ET$3-1))</f>
        <v/>
      </c>
      <c r="EU35" s="149" t="str">
        <f>IF(OR($B35="",$B35=0),"",($G35*(EU$4&lt;$I35)+$H35*(EU$4&gt;=$I35))*$C35*(1+'Property Summary'!$L$18)^('MF Rents'!EU$3-1))</f>
        <v/>
      </c>
      <c r="EV35" s="149" t="str">
        <f>IF(OR($B35="",$B35=0),"",($G35*(EV$4&lt;$I35)+$H35*(EV$4&gt;=$I35))*$C35*(1+'Property Summary'!$L$18)^('MF Rents'!EV$3-1))</f>
        <v/>
      </c>
      <c r="EW35" s="149" t="str">
        <f>IF(OR($B35="",$B35=0),"",($G35*(EW$4&lt;$I35)+$H35*(EW$4&gt;=$I35))*$C35*(1+'Property Summary'!$L$18)^('MF Rents'!EW$3-1))</f>
        <v/>
      </c>
      <c r="EX35" s="149" t="str">
        <f>IF(OR($B35="",$B35=0),"",($G35*(EX$4&lt;$I35)+$H35*(EX$4&gt;=$I35))*$C35*(1+'Property Summary'!$L$18)^('MF Rents'!EX$3-1))</f>
        <v/>
      </c>
      <c r="EY35" s="149" t="str">
        <f>IF(OR($B35="",$B35=0),"",($G35*(EY$4&lt;$I35)+$H35*(EY$4&gt;=$I35))*$C35*(1+'Property Summary'!$L$18)^('MF Rents'!EY$3-1))</f>
        <v/>
      </c>
      <c r="EZ35" s="149" t="str">
        <f>IF(OR($B35="",$B35=0),"",($G35*(EZ$4&lt;$I35)+$H35*(EZ$4&gt;=$I35))*$C35*(1+'Property Summary'!$L$18)^('MF Rents'!EZ$3-1))</f>
        <v/>
      </c>
      <c r="FA35" s="149" t="str">
        <f>IF(OR($B35="",$B35=0),"",($G35*(FA$4&lt;$I35)+$H35*(FA$4&gt;=$I35))*$C35*(1+'Property Summary'!$L$18)^('MF Rents'!FA$3-1))</f>
        <v/>
      </c>
      <c r="FB35" s="149" t="str">
        <f>IF(OR($B35="",$B35=0),"",($G35*(FB$4&lt;$I35)+$H35*(FB$4&gt;=$I35))*$C35*(1+'Property Summary'!$L$18)^('MF Rents'!FB$3-1))</f>
        <v/>
      </c>
      <c r="FC35" s="149" t="str">
        <f>IF(OR($B35="",$B35=0),"",($G35*(FC$4&lt;$I35)+$H35*(FC$4&gt;=$I35))*$C35*(1+'Property Summary'!$L$18)^('MF Rents'!FC$3-1))</f>
        <v/>
      </c>
      <c r="FD35" s="149" t="str">
        <f>IF(OR($B35="",$B35=0),"",($G35*(FD$4&lt;$I35)+$H35*(FD$4&gt;=$I35))*$C35*(1+'Property Summary'!$L$18)^('MF Rents'!FD$3-1))</f>
        <v/>
      </c>
      <c r="FE35" s="149" t="str">
        <f>IF(OR($B35="",$B35=0),"",($G35*(FE$4&lt;$I35)+$H35*(FE$4&gt;=$I35))*$C35*(1+'Property Summary'!$L$18)^('MF Rents'!FE$3-1))</f>
        <v/>
      </c>
      <c r="FF35" s="149" t="str">
        <f>IF(OR($B35="",$B35=0),"",($G35*(FF$4&lt;$I35)+$H35*(FF$4&gt;=$I35))*$C35*(1+'Property Summary'!$L$18)^('MF Rents'!FF$3-1))</f>
        <v/>
      </c>
      <c r="FG35" s="149" t="str">
        <f>IF(OR($B35="",$B35=0),"",($G35*(FG$4&lt;$I35)+$H35*(FG$4&gt;=$I35))*$C35*(1+'Property Summary'!$L$18)^('MF Rents'!FG$3-1))</f>
        <v/>
      </c>
      <c r="FH35" s="149" t="str">
        <f>IF(OR($B35="",$B35=0),"",($G35*(FH$4&lt;$I35)+$H35*(FH$4&gt;=$I35))*$C35*(1+'Property Summary'!$L$18)^('MF Rents'!FH$3-1))</f>
        <v/>
      </c>
      <c r="FI35" s="149" t="str">
        <f>IF(OR($B35="",$B35=0),"",($G35*(FI$4&lt;$I35)+$H35*(FI$4&gt;=$I35))*$C35*(1+'Property Summary'!$L$18)^('MF Rents'!FI$3-1))</f>
        <v/>
      </c>
      <c r="FJ35" s="149" t="str">
        <f>IF(OR($B35="",$B35=0),"",($G35*(FJ$4&lt;$I35)+$H35*(FJ$4&gt;=$I35))*$C35*(1+'Property Summary'!$L$18)^('MF Rents'!FJ$3-1))</f>
        <v/>
      </c>
      <c r="FK35" s="149" t="str">
        <f>IF(OR($B35="",$B35=0),"",($G35*(FK$4&lt;$I35)+$H35*(FK$4&gt;=$I35))*$C35*(1+'Property Summary'!$L$18)^('MF Rents'!FK$3-1))</f>
        <v/>
      </c>
      <c r="FL35" s="149" t="str">
        <f>IF(OR($B35="",$B35=0),"",($G35*(FL$4&lt;$I35)+$H35*(FL$4&gt;=$I35))*$C35*(1+'Property Summary'!$L$18)^('MF Rents'!FL$3-1))</f>
        <v/>
      </c>
      <c r="FM35" s="149" t="str">
        <f>IF(OR($B35="",$B35=0),"",($G35*(FM$4&lt;$I35)+$H35*(FM$4&gt;=$I35))*$C35*(1+'Property Summary'!$L$18)^('MF Rents'!FM$3-1))</f>
        <v/>
      </c>
      <c r="FN35" s="149" t="str">
        <f>IF(OR($B35="",$B35=0),"",($G35*(FN$4&lt;$I35)+$H35*(FN$4&gt;=$I35))*$C35*(1+'Property Summary'!$L$18)^('MF Rents'!FN$3-1))</f>
        <v/>
      </c>
      <c r="FO35" s="149" t="str">
        <f>IF(OR($B35="",$B35=0),"",($G35*(FO$4&lt;$I35)+$H35*(FO$4&gt;=$I35))*$C35*(1+'Property Summary'!$L$18)^('MF Rents'!FO$3-1))</f>
        <v/>
      </c>
      <c r="FP35" s="149" t="str">
        <f>IF(OR($B35="",$B35=0),"",($G35*(FP$4&lt;$I35)+$H35*(FP$4&gt;=$I35))*$C35*(1+'Property Summary'!$L$18)^('MF Rents'!FP$3-1))</f>
        <v/>
      </c>
      <c r="FQ35" s="149" t="str">
        <f>IF(OR($B35="",$B35=0),"",($G35*(FQ$4&lt;$I35)+$H35*(FQ$4&gt;=$I35))*$C35*(1+'Property Summary'!$L$18)^('MF Rents'!FQ$3-1))</f>
        <v/>
      </c>
      <c r="FR35" s="149" t="str">
        <f>IF(OR($B35="",$B35=0),"",($G35*(FR$4&lt;$I35)+$H35*(FR$4&gt;=$I35))*$C35*(1+'Property Summary'!$L$18)^('MF Rents'!FR$3-1))</f>
        <v/>
      </c>
      <c r="FS35" s="149" t="str">
        <f>IF(OR($B35="",$B35=0),"",($G35*(FS$4&lt;$I35)+$H35*(FS$4&gt;=$I35))*$C35*(1+'Property Summary'!$L$18)^('MF Rents'!FS$3-1))</f>
        <v/>
      </c>
      <c r="FT35" s="149" t="str">
        <f>IF(OR($B35="",$B35=0),"",($G35*(FT$4&lt;$I35)+$H35*(FT$4&gt;=$I35))*$C35*(1+'Property Summary'!$L$18)^('MF Rents'!FT$3-1))</f>
        <v/>
      </c>
      <c r="FU35" s="149" t="str">
        <f>IF(OR($B35="",$B35=0),"",($G35*(FU$4&lt;$I35)+$H35*(FU$4&gt;=$I35))*$C35*(1+'Property Summary'!$L$18)^('MF Rents'!FU$3-1))</f>
        <v/>
      </c>
      <c r="FV35" s="149" t="str">
        <f>IF(OR($B35="",$B35=0),"",($G35*(FV$4&lt;$I35)+$H35*(FV$4&gt;=$I35))*$C35*(1+'Property Summary'!$L$18)^('MF Rents'!FV$3-1))</f>
        <v/>
      </c>
      <c r="FW35" s="149" t="str">
        <f>IF(OR($B35="",$B35=0),"",($G35*(FW$4&lt;$I35)+$H35*(FW$4&gt;=$I35))*$C35*(1+'Property Summary'!$L$18)^('MF Rents'!FW$3-1))</f>
        <v/>
      </c>
      <c r="FX35" s="149" t="str">
        <f>IF(OR($B35="",$B35=0),"",($G35*(FX$4&lt;$I35)+$H35*(FX$4&gt;=$I35))*$C35*(1+'Property Summary'!$L$18)^('MF Rents'!FX$3-1))</f>
        <v/>
      </c>
      <c r="FY35" s="149" t="str">
        <f>IF(OR($B35="",$B35=0),"",($G35*(FY$4&lt;$I35)+$H35*(FY$4&gt;=$I35))*$C35*(1+'Property Summary'!$L$18)^('MF Rents'!FY$3-1))</f>
        <v/>
      </c>
      <c r="FZ35" s="149" t="str">
        <f>IF(OR($B35="",$B35=0),"",($G35*(FZ$4&lt;$I35)+$H35*(FZ$4&gt;=$I35))*$C35*(1+'Property Summary'!$L$18)^('MF Rents'!FZ$3-1))</f>
        <v/>
      </c>
      <c r="GA35" s="149" t="str">
        <f>IF(OR($B35="",$B35=0),"",($G35*(GA$4&lt;$I35)+$H35*(GA$4&gt;=$I35))*$C35*(1+'Property Summary'!$L$18)^('MF Rents'!GA$3-1))</f>
        <v/>
      </c>
      <c r="GB35" s="149" t="str">
        <f>IF(OR($B35="",$B35=0),"",($G35*(GB$4&lt;$I35)+$H35*(GB$4&gt;=$I35))*$C35*(1+'Property Summary'!$L$18)^('MF Rents'!GB$3-1))</f>
        <v/>
      </c>
      <c r="GC35" s="149" t="str">
        <f>IF(OR($B35="",$B35=0),"",($G35*(GC$4&lt;$I35)+$H35*(GC$4&gt;=$I35))*$C35*(1+'Property Summary'!$L$18)^('MF Rents'!GC$3-1))</f>
        <v/>
      </c>
      <c r="GD35" s="149" t="str">
        <f>IF(OR($B35="",$B35=0),"",($G35*(GD$4&lt;$I35)+$H35*(GD$4&gt;=$I35))*$C35*(1+'Property Summary'!$L$18)^('MF Rents'!GD$3-1))</f>
        <v/>
      </c>
      <c r="GE35" s="149" t="str">
        <f>IF(OR($B35="",$B35=0),"",($G35*(GE$4&lt;$I35)+$H35*(GE$4&gt;=$I35))*$C35*(1+'Property Summary'!$L$18)^('MF Rents'!GE$3-1))</f>
        <v/>
      </c>
      <c r="GF35" s="149" t="str">
        <f>IF(OR($B35="",$B35=0),"",($G35*(GF$4&lt;$I35)+$H35*(GF$4&gt;=$I35))*$C35*(1+'Property Summary'!$L$18)^('MF Rents'!GF$3-1))</f>
        <v/>
      </c>
      <c r="GG35" s="149" t="str">
        <f>IF(OR($B35="",$B35=0),"",($G35*(GG$4&lt;$I35)+$H35*(GG$4&gt;=$I35))*$C35*(1+'Property Summary'!$L$18)^('MF Rents'!GG$3-1))</f>
        <v/>
      </c>
      <c r="GH35" s="149" t="str">
        <f>IF(OR($B35="",$B35=0),"",($G35*(GH$4&lt;$I35)+$H35*(GH$4&gt;=$I35))*$C35*(1+'Property Summary'!$L$18)^('MF Rents'!GH$3-1))</f>
        <v/>
      </c>
      <c r="GI35" s="149" t="str">
        <f>IF(OR($B35="",$B35=0),"",($G35*(GI$4&lt;$I35)+$H35*(GI$4&gt;=$I35))*$C35*(1+'Property Summary'!$L$18)^('MF Rents'!GI$3-1))</f>
        <v/>
      </c>
      <c r="GJ35" s="149" t="str">
        <f>IF(OR($B35="",$B35=0),"",($G35*(GJ$4&lt;$I35)+$H35*(GJ$4&gt;=$I35))*$C35*(1+'Property Summary'!$L$18)^('MF Rents'!GJ$3-1))</f>
        <v/>
      </c>
      <c r="GK35" s="149" t="str">
        <f>IF(OR($B35="",$B35=0),"",($G35*(GK$4&lt;$I35)+$H35*(GK$4&gt;=$I35))*$C35*(1+'Property Summary'!$L$18)^('MF Rents'!GK$3-1))</f>
        <v/>
      </c>
      <c r="GL35" s="149" t="str">
        <f>IF(OR($B35="",$B35=0),"",($G35*(GL$4&lt;$I35)+$H35*(GL$4&gt;=$I35))*$C35*(1+'Property Summary'!$L$18)^('MF Rents'!GL$3-1))</f>
        <v/>
      </c>
      <c r="GM35" s="149" t="str">
        <f>IF(OR($B35="",$B35=0),"",($G35*(GM$4&lt;$I35)+$H35*(GM$4&gt;=$I35))*$C35*(1+'Property Summary'!$L$18)^('MF Rents'!GM$3-1))</f>
        <v/>
      </c>
      <c r="GN35" s="149" t="str">
        <f>IF(OR($B35="",$B35=0),"",($G35*(GN$4&lt;$I35)+$H35*(GN$4&gt;=$I35))*$C35*(1+'Property Summary'!$L$18)^('MF Rents'!GN$3-1))</f>
        <v/>
      </c>
      <c r="GO35" s="149" t="str">
        <f>IF(OR($B35="",$B35=0),"",($G35*(GO$4&lt;$I35)+$H35*(GO$4&gt;=$I35))*$C35*(1+'Property Summary'!$L$18)^('MF Rents'!GO$3-1))</f>
        <v/>
      </c>
      <c r="GP35" s="149" t="str">
        <f>IF(OR($B35="",$B35=0),"",($G35*(GP$4&lt;$I35)+$H35*(GP$4&gt;=$I35))*$C35*(1+'Property Summary'!$L$18)^('MF Rents'!GP$3-1))</f>
        <v/>
      </c>
      <c r="GQ35" s="149" t="str">
        <f>IF(OR($B35="",$B35=0),"",($G35*(GQ$4&lt;$I35)+$H35*(GQ$4&gt;=$I35))*$C35*(1+'Property Summary'!$L$18)^('MF Rents'!GQ$3-1))</f>
        <v/>
      </c>
      <c r="GR35" s="149" t="str">
        <f>IF(OR($B35="",$B35=0),"",($G35*(GR$4&lt;$I35)+$H35*(GR$4&gt;=$I35))*$C35*(1+'Property Summary'!$L$18)^('MF Rents'!GR$3-1))</f>
        <v/>
      </c>
    </row>
    <row r="36" spans="2:200" x14ac:dyDescent="0.3">
      <c r="B36" s="184">
        <f>'MF Rent Roll'!B35</f>
        <v>0</v>
      </c>
      <c r="C36" s="171">
        <f>'MF Rent Roll'!C35</f>
        <v>0</v>
      </c>
      <c r="D36" s="172">
        <f>'MF Rent Roll'!D35</f>
        <v>0</v>
      </c>
      <c r="E36" s="172">
        <f>'MF Rent Roll'!E35</f>
        <v>0</v>
      </c>
      <c r="F36" s="173">
        <f>'MF Rent Roll'!F35</f>
        <v>0</v>
      </c>
      <c r="G36" s="174">
        <f>'MF Rent Roll'!G35</f>
        <v>0</v>
      </c>
      <c r="H36" s="174">
        <f>IF('MF Rent Roll'!H35="",G36,'MF Rent Roll'!H35)</f>
        <v>0</v>
      </c>
      <c r="I36" s="175">
        <f>IF('MF Rent Roll'!I35="",1,'MF Rent Roll'!I35)</f>
        <v>1</v>
      </c>
      <c r="J36" s="176">
        <f>'MF Rent Roll'!J35</f>
        <v>0</v>
      </c>
      <c r="K36" s="174">
        <f>'MF Rent Roll'!K35</f>
        <v>0</v>
      </c>
      <c r="L36" s="177">
        <f>'MF Rent Roll'!L35</f>
        <v>0</v>
      </c>
      <c r="M36" s="178">
        <f>'MF Rent Roll'!M35</f>
        <v>0</v>
      </c>
      <c r="N36" s="174">
        <f>'MF Rent Roll'!N35</f>
        <v>0</v>
      </c>
      <c r="O36" s="179">
        <f>'MF Rent Roll'!O35</f>
        <v>0</v>
      </c>
      <c r="P36" s="180" t="str">
        <f>'MF Rent Roll'!P35</f>
        <v/>
      </c>
      <c r="Q36" s="181" t="str">
        <f>'MF Rent Roll'!Q35</f>
        <v/>
      </c>
      <c r="R36" s="104" t="str">
        <f>'MF Rent Roll'!R35</f>
        <v/>
      </c>
      <c r="U36" s="149" t="str">
        <f>IF(OR($B36="",$B36=0),"",($G36*(U$4&lt;$I36)+$H36*(U$4&gt;=$I36))*$C36*(1+'Property Summary'!$L$18)^('MF Rents'!U$3-1))</f>
        <v/>
      </c>
      <c r="V36" s="149" t="str">
        <f>IF(OR($B36="",$B36=0),"",($G36*(V$4&lt;$I36)+$H36*(V$4&gt;=$I36))*$C36*(1+'Property Summary'!$L$18)^('MF Rents'!V$3-1))</f>
        <v/>
      </c>
      <c r="W36" s="149" t="str">
        <f>IF(OR($B36="",$B36=0),"",($G36*(W$4&lt;$I36)+$H36*(W$4&gt;=$I36))*$C36*(1+'Property Summary'!$L$18)^('MF Rents'!W$3-1))</f>
        <v/>
      </c>
      <c r="X36" s="149" t="str">
        <f>IF(OR($B36="",$B36=0),"",($G36*(X$4&lt;$I36)+$H36*(X$4&gt;=$I36))*$C36*(1+'Property Summary'!$L$18)^('MF Rents'!X$3-1))</f>
        <v/>
      </c>
      <c r="Y36" s="149" t="str">
        <f>IF(OR($B36="",$B36=0),"",($G36*(Y$4&lt;$I36)+$H36*(Y$4&gt;=$I36))*$C36*(1+'Property Summary'!$L$18)^('MF Rents'!Y$3-1))</f>
        <v/>
      </c>
      <c r="Z36" s="149" t="str">
        <f>IF(OR($B36="",$B36=0),"",($G36*(Z$4&lt;$I36)+$H36*(Z$4&gt;=$I36))*$C36*(1+'Property Summary'!$L$18)^('MF Rents'!Z$3-1))</f>
        <v/>
      </c>
      <c r="AA36" s="149" t="str">
        <f>IF(OR($B36="",$B36=0),"",($G36*(AA$4&lt;$I36)+$H36*(AA$4&gt;=$I36))*$C36*(1+'Property Summary'!$L$18)^('MF Rents'!AA$3-1))</f>
        <v/>
      </c>
      <c r="AB36" s="149" t="str">
        <f>IF(OR($B36="",$B36=0),"",($G36*(AB$4&lt;$I36)+$H36*(AB$4&gt;=$I36))*$C36*(1+'Property Summary'!$L$18)^('MF Rents'!AB$3-1))</f>
        <v/>
      </c>
      <c r="AC36" s="149" t="str">
        <f>IF(OR($B36="",$B36=0),"",($G36*(AC$4&lt;$I36)+$H36*(AC$4&gt;=$I36))*$C36*(1+'Property Summary'!$L$18)^('MF Rents'!AC$3-1))</f>
        <v/>
      </c>
      <c r="AD36" s="149" t="str">
        <f>IF(OR($B36="",$B36=0),"",($G36*(AD$4&lt;$I36)+$H36*(AD$4&gt;=$I36))*$C36*(1+'Property Summary'!$L$18)^('MF Rents'!AD$3-1))</f>
        <v/>
      </c>
      <c r="AE36" s="149" t="str">
        <f>IF(OR($B36="",$B36=0),"",($G36*(AE$4&lt;$I36)+$H36*(AE$4&gt;=$I36))*$C36*(1+'Property Summary'!$L$18)^('MF Rents'!AE$3-1))</f>
        <v/>
      </c>
      <c r="AF36" s="149" t="str">
        <f>IF(OR($B36="",$B36=0),"",($G36*(AF$4&lt;$I36)+$H36*(AF$4&gt;=$I36))*$C36*(1+'Property Summary'!$L$18)^('MF Rents'!AF$3-1))</f>
        <v/>
      </c>
      <c r="AG36" s="149" t="str">
        <f>IF(OR($B36="",$B36=0),"",($G36*(AG$4&lt;$I36)+$H36*(AG$4&gt;=$I36))*$C36*(1+'Property Summary'!$L$18)^('MF Rents'!AG$3-1))</f>
        <v/>
      </c>
      <c r="AH36" s="149" t="str">
        <f>IF(OR($B36="",$B36=0),"",($G36*(AH$4&lt;$I36)+$H36*(AH$4&gt;=$I36))*$C36*(1+'Property Summary'!$L$18)^('MF Rents'!AH$3-1))</f>
        <v/>
      </c>
      <c r="AI36" s="149" t="str">
        <f>IF(OR($B36="",$B36=0),"",($G36*(AI$4&lt;$I36)+$H36*(AI$4&gt;=$I36))*$C36*(1+'Property Summary'!$L$18)^('MF Rents'!AI$3-1))</f>
        <v/>
      </c>
      <c r="AJ36" s="149" t="str">
        <f>IF(OR($B36="",$B36=0),"",($G36*(AJ$4&lt;$I36)+$H36*(AJ$4&gt;=$I36))*$C36*(1+'Property Summary'!$L$18)^('MF Rents'!AJ$3-1))</f>
        <v/>
      </c>
      <c r="AK36" s="149" t="str">
        <f>IF(OR($B36="",$B36=0),"",($G36*(AK$4&lt;$I36)+$H36*(AK$4&gt;=$I36))*$C36*(1+'Property Summary'!$L$18)^('MF Rents'!AK$3-1))</f>
        <v/>
      </c>
      <c r="AL36" s="149" t="str">
        <f>IF(OR($B36="",$B36=0),"",($G36*(AL$4&lt;$I36)+$H36*(AL$4&gt;=$I36))*$C36*(1+'Property Summary'!$L$18)^('MF Rents'!AL$3-1))</f>
        <v/>
      </c>
      <c r="AM36" s="149" t="str">
        <f>IF(OR($B36="",$B36=0),"",($G36*(AM$4&lt;$I36)+$H36*(AM$4&gt;=$I36))*$C36*(1+'Property Summary'!$L$18)^('MF Rents'!AM$3-1))</f>
        <v/>
      </c>
      <c r="AN36" s="149" t="str">
        <f>IF(OR($B36="",$B36=0),"",($G36*(AN$4&lt;$I36)+$H36*(AN$4&gt;=$I36))*$C36*(1+'Property Summary'!$L$18)^('MF Rents'!AN$3-1))</f>
        <v/>
      </c>
      <c r="AO36" s="149" t="str">
        <f>IF(OR($B36="",$B36=0),"",($G36*(AO$4&lt;$I36)+$H36*(AO$4&gt;=$I36))*$C36*(1+'Property Summary'!$L$18)^('MF Rents'!AO$3-1))</f>
        <v/>
      </c>
      <c r="AP36" s="149" t="str">
        <f>IF(OR($B36="",$B36=0),"",($G36*(AP$4&lt;$I36)+$H36*(AP$4&gt;=$I36))*$C36*(1+'Property Summary'!$L$18)^('MF Rents'!AP$3-1))</f>
        <v/>
      </c>
      <c r="AQ36" s="149" t="str">
        <f>IF(OR($B36="",$B36=0),"",($G36*(AQ$4&lt;$I36)+$H36*(AQ$4&gt;=$I36))*$C36*(1+'Property Summary'!$L$18)^('MF Rents'!AQ$3-1))</f>
        <v/>
      </c>
      <c r="AR36" s="149" t="str">
        <f>IF(OR($B36="",$B36=0),"",($G36*(AR$4&lt;$I36)+$H36*(AR$4&gt;=$I36))*$C36*(1+'Property Summary'!$L$18)^('MF Rents'!AR$3-1))</f>
        <v/>
      </c>
      <c r="AS36" s="149" t="str">
        <f>IF(OR($B36="",$B36=0),"",($G36*(AS$4&lt;$I36)+$H36*(AS$4&gt;=$I36))*$C36*(1+'Property Summary'!$L$18)^('MF Rents'!AS$3-1))</f>
        <v/>
      </c>
      <c r="AT36" s="149" t="str">
        <f>IF(OR($B36="",$B36=0),"",($G36*(AT$4&lt;$I36)+$H36*(AT$4&gt;=$I36))*$C36*(1+'Property Summary'!$L$18)^('MF Rents'!AT$3-1))</f>
        <v/>
      </c>
      <c r="AU36" s="149" t="str">
        <f>IF(OR($B36="",$B36=0),"",($G36*(AU$4&lt;$I36)+$H36*(AU$4&gt;=$I36))*$C36*(1+'Property Summary'!$L$18)^('MF Rents'!AU$3-1))</f>
        <v/>
      </c>
      <c r="AV36" s="149" t="str">
        <f>IF(OR($B36="",$B36=0),"",($G36*(AV$4&lt;$I36)+$H36*(AV$4&gt;=$I36))*$C36*(1+'Property Summary'!$L$18)^('MF Rents'!AV$3-1))</f>
        <v/>
      </c>
      <c r="AW36" s="149" t="str">
        <f>IF(OR($B36="",$B36=0),"",($G36*(AW$4&lt;$I36)+$H36*(AW$4&gt;=$I36))*$C36*(1+'Property Summary'!$L$18)^('MF Rents'!AW$3-1))</f>
        <v/>
      </c>
      <c r="AX36" s="149" t="str">
        <f>IF(OR($B36="",$B36=0),"",($G36*(AX$4&lt;$I36)+$H36*(AX$4&gt;=$I36))*$C36*(1+'Property Summary'!$L$18)^('MF Rents'!AX$3-1))</f>
        <v/>
      </c>
      <c r="AY36" s="149" t="str">
        <f>IF(OR($B36="",$B36=0),"",($G36*(AY$4&lt;$I36)+$H36*(AY$4&gt;=$I36))*$C36*(1+'Property Summary'!$L$18)^('MF Rents'!AY$3-1))</f>
        <v/>
      </c>
      <c r="AZ36" s="149" t="str">
        <f>IF(OR($B36="",$B36=0),"",($G36*(AZ$4&lt;$I36)+$H36*(AZ$4&gt;=$I36))*$C36*(1+'Property Summary'!$L$18)^('MF Rents'!AZ$3-1))</f>
        <v/>
      </c>
      <c r="BA36" s="149" t="str">
        <f>IF(OR($B36="",$B36=0),"",($G36*(BA$4&lt;$I36)+$H36*(BA$4&gt;=$I36))*$C36*(1+'Property Summary'!$L$18)^('MF Rents'!BA$3-1))</f>
        <v/>
      </c>
      <c r="BB36" s="149" t="str">
        <f>IF(OR($B36="",$B36=0),"",($G36*(BB$4&lt;$I36)+$H36*(BB$4&gt;=$I36))*$C36*(1+'Property Summary'!$L$18)^('MF Rents'!BB$3-1))</f>
        <v/>
      </c>
      <c r="BC36" s="149" t="str">
        <f>IF(OR($B36="",$B36=0),"",($G36*(BC$4&lt;$I36)+$H36*(BC$4&gt;=$I36))*$C36*(1+'Property Summary'!$L$18)^('MF Rents'!BC$3-1))</f>
        <v/>
      </c>
      <c r="BD36" s="149" t="str">
        <f>IF(OR($B36="",$B36=0),"",($G36*(BD$4&lt;$I36)+$H36*(BD$4&gt;=$I36))*$C36*(1+'Property Summary'!$L$18)^('MF Rents'!BD$3-1))</f>
        <v/>
      </c>
      <c r="BE36" s="149" t="str">
        <f>IF(OR($B36="",$B36=0),"",($G36*(BE$4&lt;$I36)+$H36*(BE$4&gt;=$I36))*$C36*(1+'Property Summary'!$L$18)^('MF Rents'!BE$3-1))</f>
        <v/>
      </c>
      <c r="BF36" s="149" t="str">
        <f>IF(OR($B36="",$B36=0),"",($G36*(BF$4&lt;$I36)+$H36*(BF$4&gt;=$I36))*$C36*(1+'Property Summary'!$L$18)^('MF Rents'!BF$3-1))</f>
        <v/>
      </c>
      <c r="BG36" s="149" t="str">
        <f>IF(OR($B36="",$B36=0),"",($G36*(BG$4&lt;$I36)+$H36*(BG$4&gt;=$I36))*$C36*(1+'Property Summary'!$L$18)^('MF Rents'!BG$3-1))</f>
        <v/>
      </c>
      <c r="BH36" s="149" t="str">
        <f>IF(OR($B36="",$B36=0),"",($G36*(BH$4&lt;$I36)+$H36*(BH$4&gt;=$I36))*$C36*(1+'Property Summary'!$L$18)^('MF Rents'!BH$3-1))</f>
        <v/>
      </c>
      <c r="BI36" s="149" t="str">
        <f>IF(OR($B36="",$B36=0),"",($G36*(BI$4&lt;$I36)+$H36*(BI$4&gt;=$I36))*$C36*(1+'Property Summary'!$L$18)^('MF Rents'!BI$3-1))</f>
        <v/>
      </c>
      <c r="BJ36" s="149" t="str">
        <f>IF(OR($B36="",$B36=0),"",($G36*(BJ$4&lt;$I36)+$H36*(BJ$4&gt;=$I36))*$C36*(1+'Property Summary'!$L$18)^('MF Rents'!BJ$3-1))</f>
        <v/>
      </c>
      <c r="BK36" s="149" t="str">
        <f>IF(OR($B36="",$B36=0),"",($G36*(BK$4&lt;$I36)+$H36*(BK$4&gt;=$I36))*$C36*(1+'Property Summary'!$L$18)^('MF Rents'!BK$3-1))</f>
        <v/>
      </c>
      <c r="BL36" s="149" t="str">
        <f>IF(OR($B36="",$B36=0),"",($G36*(BL$4&lt;$I36)+$H36*(BL$4&gt;=$I36))*$C36*(1+'Property Summary'!$L$18)^('MF Rents'!BL$3-1))</f>
        <v/>
      </c>
      <c r="BM36" s="149" t="str">
        <f>IF(OR($B36="",$B36=0),"",($G36*(BM$4&lt;$I36)+$H36*(BM$4&gt;=$I36))*$C36*(1+'Property Summary'!$L$18)^('MF Rents'!BM$3-1))</f>
        <v/>
      </c>
      <c r="BN36" s="149" t="str">
        <f>IF(OR($B36="",$B36=0),"",($G36*(BN$4&lt;$I36)+$H36*(BN$4&gt;=$I36))*$C36*(1+'Property Summary'!$L$18)^('MF Rents'!BN$3-1))</f>
        <v/>
      </c>
      <c r="BO36" s="149" t="str">
        <f>IF(OR($B36="",$B36=0),"",($G36*(BO$4&lt;$I36)+$H36*(BO$4&gt;=$I36))*$C36*(1+'Property Summary'!$L$18)^('MF Rents'!BO$3-1))</f>
        <v/>
      </c>
      <c r="BP36" s="149" t="str">
        <f>IF(OR($B36="",$B36=0),"",($G36*(BP$4&lt;$I36)+$H36*(BP$4&gt;=$I36))*$C36*(1+'Property Summary'!$L$18)^('MF Rents'!BP$3-1))</f>
        <v/>
      </c>
      <c r="BQ36" s="149" t="str">
        <f>IF(OR($B36="",$B36=0),"",($G36*(BQ$4&lt;$I36)+$H36*(BQ$4&gt;=$I36))*$C36*(1+'Property Summary'!$L$18)^('MF Rents'!BQ$3-1))</f>
        <v/>
      </c>
      <c r="BR36" s="149" t="str">
        <f>IF(OR($B36="",$B36=0),"",($G36*(BR$4&lt;$I36)+$H36*(BR$4&gt;=$I36))*$C36*(1+'Property Summary'!$L$18)^('MF Rents'!BR$3-1))</f>
        <v/>
      </c>
      <c r="BS36" s="149" t="str">
        <f>IF(OR($B36="",$B36=0),"",($G36*(BS$4&lt;$I36)+$H36*(BS$4&gt;=$I36))*$C36*(1+'Property Summary'!$L$18)^('MF Rents'!BS$3-1))</f>
        <v/>
      </c>
      <c r="BT36" s="149" t="str">
        <f>IF(OR($B36="",$B36=0),"",($G36*(BT$4&lt;$I36)+$H36*(BT$4&gt;=$I36))*$C36*(1+'Property Summary'!$L$18)^('MF Rents'!BT$3-1))</f>
        <v/>
      </c>
      <c r="BU36" s="149" t="str">
        <f>IF(OR($B36="",$B36=0),"",($G36*(BU$4&lt;$I36)+$H36*(BU$4&gt;=$I36))*$C36*(1+'Property Summary'!$L$18)^('MF Rents'!BU$3-1))</f>
        <v/>
      </c>
      <c r="BV36" s="149" t="str">
        <f>IF(OR($B36="",$B36=0),"",($G36*(BV$4&lt;$I36)+$H36*(BV$4&gt;=$I36))*$C36*(1+'Property Summary'!$L$18)^('MF Rents'!BV$3-1))</f>
        <v/>
      </c>
      <c r="BW36" s="149" t="str">
        <f>IF(OR($B36="",$B36=0),"",($G36*(BW$4&lt;$I36)+$H36*(BW$4&gt;=$I36))*$C36*(1+'Property Summary'!$L$18)^('MF Rents'!BW$3-1))</f>
        <v/>
      </c>
      <c r="BX36" s="149" t="str">
        <f>IF(OR($B36="",$B36=0),"",($G36*(BX$4&lt;$I36)+$H36*(BX$4&gt;=$I36))*$C36*(1+'Property Summary'!$L$18)^('MF Rents'!BX$3-1))</f>
        <v/>
      </c>
      <c r="BY36" s="149" t="str">
        <f>IF(OR($B36="",$B36=0),"",($G36*(BY$4&lt;$I36)+$H36*(BY$4&gt;=$I36))*$C36*(1+'Property Summary'!$L$18)^('MF Rents'!BY$3-1))</f>
        <v/>
      </c>
      <c r="BZ36" s="149" t="str">
        <f>IF(OR($B36="",$B36=0),"",($G36*(BZ$4&lt;$I36)+$H36*(BZ$4&gt;=$I36))*$C36*(1+'Property Summary'!$L$18)^('MF Rents'!BZ$3-1))</f>
        <v/>
      </c>
      <c r="CA36" s="149" t="str">
        <f>IF(OR($B36="",$B36=0),"",($G36*(CA$4&lt;$I36)+$H36*(CA$4&gt;=$I36))*$C36*(1+'Property Summary'!$L$18)^('MF Rents'!CA$3-1))</f>
        <v/>
      </c>
      <c r="CB36" s="149" t="str">
        <f>IF(OR($B36="",$B36=0),"",($G36*(CB$4&lt;$I36)+$H36*(CB$4&gt;=$I36))*$C36*(1+'Property Summary'!$L$18)^('MF Rents'!CB$3-1))</f>
        <v/>
      </c>
      <c r="CC36" s="149" t="str">
        <f>IF(OR($B36="",$B36=0),"",($G36*(CC$4&lt;$I36)+$H36*(CC$4&gt;=$I36))*$C36*(1+'Property Summary'!$L$18)^('MF Rents'!CC$3-1))</f>
        <v/>
      </c>
      <c r="CD36" s="149" t="str">
        <f>IF(OR($B36="",$B36=0),"",($G36*(CD$4&lt;$I36)+$H36*(CD$4&gt;=$I36))*$C36*(1+'Property Summary'!$L$18)^('MF Rents'!CD$3-1))</f>
        <v/>
      </c>
      <c r="CE36" s="149" t="str">
        <f>IF(OR($B36="",$B36=0),"",($G36*(CE$4&lt;$I36)+$H36*(CE$4&gt;=$I36))*$C36*(1+'Property Summary'!$L$18)^('MF Rents'!CE$3-1))</f>
        <v/>
      </c>
      <c r="CF36" s="149" t="str">
        <f>IF(OR($B36="",$B36=0),"",($G36*(CF$4&lt;$I36)+$H36*(CF$4&gt;=$I36))*$C36*(1+'Property Summary'!$L$18)^('MF Rents'!CF$3-1))</f>
        <v/>
      </c>
      <c r="CG36" s="149" t="str">
        <f>IF(OR($B36="",$B36=0),"",($G36*(CG$4&lt;$I36)+$H36*(CG$4&gt;=$I36))*$C36*(1+'Property Summary'!$L$18)^('MF Rents'!CG$3-1))</f>
        <v/>
      </c>
      <c r="CH36" s="149" t="str">
        <f>IF(OR($B36="",$B36=0),"",($G36*(CH$4&lt;$I36)+$H36*(CH$4&gt;=$I36))*$C36*(1+'Property Summary'!$L$18)^('MF Rents'!CH$3-1))</f>
        <v/>
      </c>
      <c r="CI36" s="149" t="str">
        <f>IF(OR($B36="",$B36=0),"",($G36*(CI$4&lt;$I36)+$H36*(CI$4&gt;=$I36))*$C36*(1+'Property Summary'!$L$18)^('MF Rents'!CI$3-1))</f>
        <v/>
      </c>
      <c r="CJ36" s="149" t="str">
        <f>IF(OR($B36="",$B36=0),"",($G36*(CJ$4&lt;$I36)+$H36*(CJ$4&gt;=$I36))*$C36*(1+'Property Summary'!$L$18)^('MF Rents'!CJ$3-1))</f>
        <v/>
      </c>
      <c r="CK36" s="149" t="str">
        <f>IF(OR($B36="",$B36=0),"",($G36*(CK$4&lt;$I36)+$H36*(CK$4&gt;=$I36))*$C36*(1+'Property Summary'!$L$18)^('MF Rents'!CK$3-1))</f>
        <v/>
      </c>
      <c r="CL36" s="149" t="str">
        <f>IF(OR($B36="",$B36=0),"",($G36*(CL$4&lt;$I36)+$H36*(CL$4&gt;=$I36))*$C36*(1+'Property Summary'!$L$18)^('MF Rents'!CL$3-1))</f>
        <v/>
      </c>
      <c r="CM36" s="149" t="str">
        <f>IF(OR($B36="",$B36=0),"",($G36*(CM$4&lt;$I36)+$H36*(CM$4&gt;=$I36))*$C36*(1+'Property Summary'!$L$18)^('MF Rents'!CM$3-1))</f>
        <v/>
      </c>
      <c r="CN36" s="149" t="str">
        <f>IF(OR($B36="",$B36=0),"",($G36*(CN$4&lt;$I36)+$H36*(CN$4&gt;=$I36))*$C36*(1+'Property Summary'!$L$18)^('MF Rents'!CN$3-1))</f>
        <v/>
      </c>
      <c r="CO36" s="149" t="str">
        <f>IF(OR($B36="",$B36=0),"",($G36*(CO$4&lt;$I36)+$H36*(CO$4&gt;=$I36))*$C36*(1+'Property Summary'!$L$18)^('MF Rents'!CO$3-1))</f>
        <v/>
      </c>
      <c r="CP36" s="149" t="str">
        <f>IF(OR($B36="",$B36=0),"",($G36*(CP$4&lt;$I36)+$H36*(CP$4&gt;=$I36))*$C36*(1+'Property Summary'!$L$18)^('MF Rents'!CP$3-1))</f>
        <v/>
      </c>
      <c r="CQ36" s="149" t="str">
        <f>IF(OR($B36="",$B36=0),"",($G36*(CQ$4&lt;$I36)+$H36*(CQ$4&gt;=$I36))*$C36*(1+'Property Summary'!$L$18)^('MF Rents'!CQ$3-1))</f>
        <v/>
      </c>
      <c r="CR36" s="149" t="str">
        <f>IF(OR($B36="",$B36=0),"",($G36*(CR$4&lt;$I36)+$H36*(CR$4&gt;=$I36))*$C36*(1+'Property Summary'!$L$18)^('MF Rents'!CR$3-1))</f>
        <v/>
      </c>
      <c r="CS36" s="149" t="str">
        <f>IF(OR($B36="",$B36=0),"",($G36*(CS$4&lt;$I36)+$H36*(CS$4&gt;=$I36))*$C36*(1+'Property Summary'!$L$18)^('MF Rents'!CS$3-1))</f>
        <v/>
      </c>
      <c r="CT36" s="149" t="str">
        <f>IF(OR($B36="",$B36=0),"",($G36*(CT$4&lt;$I36)+$H36*(CT$4&gt;=$I36))*$C36*(1+'Property Summary'!$L$18)^('MF Rents'!CT$3-1))</f>
        <v/>
      </c>
      <c r="CU36" s="149" t="str">
        <f>IF(OR($B36="",$B36=0),"",($G36*(CU$4&lt;$I36)+$H36*(CU$4&gt;=$I36))*$C36*(1+'Property Summary'!$L$18)^('MF Rents'!CU$3-1))</f>
        <v/>
      </c>
      <c r="CV36" s="149" t="str">
        <f>IF(OR($B36="",$B36=0),"",($G36*(CV$4&lt;$I36)+$H36*(CV$4&gt;=$I36))*$C36*(1+'Property Summary'!$L$18)^('MF Rents'!CV$3-1))</f>
        <v/>
      </c>
      <c r="CW36" s="149" t="str">
        <f>IF(OR($B36="",$B36=0),"",($G36*(CW$4&lt;$I36)+$H36*(CW$4&gt;=$I36))*$C36*(1+'Property Summary'!$L$18)^('MF Rents'!CW$3-1))</f>
        <v/>
      </c>
      <c r="CX36" s="149" t="str">
        <f>IF(OR($B36="",$B36=0),"",($G36*(CX$4&lt;$I36)+$H36*(CX$4&gt;=$I36))*$C36*(1+'Property Summary'!$L$18)^('MF Rents'!CX$3-1))</f>
        <v/>
      </c>
      <c r="CY36" s="149" t="str">
        <f>IF(OR($B36="",$B36=0),"",($G36*(CY$4&lt;$I36)+$H36*(CY$4&gt;=$I36))*$C36*(1+'Property Summary'!$L$18)^('MF Rents'!CY$3-1))</f>
        <v/>
      </c>
      <c r="CZ36" s="149" t="str">
        <f>IF(OR($B36="",$B36=0),"",($G36*(CZ$4&lt;$I36)+$H36*(CZ$4&gt;=$I36))*$C36*(1+'Property Summary'!$L$18)^('MF Rents'!CZ$3-1))</f>
        <v/>
      </c>
      <c r="DA36" s="149" t="str">
        <f>IF(OR($B36="",$B36=0),"",($G36*(DA$4&lt;$I36)+$H36*(DA$4&gt;=$I36))*$C36*(1+'Property Summary'!$L$18)^('MF Rents'!DA$3-1))</f>
        <v/>
      </c>
      <c r="DB36" s="149" t="str">
        <f>IF(OR($B36="",$B36=0),"",($G36*(DB$4&lt;$I36)+$H36*(DB$4&gt;=$I36))*$C36*(1+'Property Summary'!$L$18)^('MF Rents'!DB$3-1))</f>
        <v/>
      </c>
      <c r="DC36" s="149" t="str">
        <f>IF(OR($B36="",$B36=0),"",($G36*(DC$4&lt;$I36)+$H36*(DC$4&gt;=$I36))*$C36*(1+'Property Summary'!$L$18)^('MF Rents'!DC$3-1))</f>
        <v/>
      </c>
      <c r="DD36" s="149" t="str">
        <f>IF(OR($B36="",$B36=0),"",($G36*(DD$4&lt;$I36)+$H36*(DD$4&gt;=$I36))*$C36*(1+'Property Summary'!$L$18)^('MF Rents'!DD$3-1))</f>
        <v/>
      </c>
      <c r="DE36" s="149" t="str">
        <f>IF(OR($B36="",$B36=0),"",($G36*(DE$4&lt;$I36)+$H36*(DE$4&gt;=$I36))*$C36*(1+'Property Summary'!$L$18)^('MF Rents'!DE$3-1))</f>
        <v/>
      </c>
      <c r="DF36" s="149" t="str">
        <f>IF(OR($B36="",$B36=0),"",($G36*(DF$4&lt;$I36)+$H36*(DF$4&gt;=$I36))*$C36*(1+'Property Summary'!$L$18)^('MF Rents'!DF$3-1))</f>
        <v/>
      </c>
      <c r="DG36" s="149" t="str">
        <f>IF(OR($B36="",$B36=0),"",($G36*(DG$4&lt;$I36)+$H36*(DG$4&gt;=$I36))*$C36*(1+'Property Summary'!$L$18)^('MF Rents'!DG$3-1))</f>
        <v/>
      </c>
      <c r="DH36" s="149" t="str">
        <f>IF(OR($B36="",$B36=0),"",($G36*(DH$4&lt;$I36)+$H36*(DH$4&gt;=$I36))*$C36*(1+'Property Summary'!$L$18)^('MF Rents'!DH$3-1))</f>
        <v/>
      </c>
      <c r="DI36" s="149" t="str">
        <f>IF(OR($B36="",$B36=0),"",($G36*(DI$4&lt;$I36)+$H36*(DI$4&gt;=$I36))*$C36*(1+'Property Summary'!$L$18)^('MF Rents'!DI$3-1))</f>
        <v/>
      </c>
      <c r="DJ36" s="149" t="str">
        <f>IF(OR($B36="",$B36=0),"",($G36*(DJ$4&lt;$I36)+$H36*(DJ$4&gt;=$I36))*$C36*(1+'Property Summary'!$L$18)^('MF Rents'!DJ$3-1))</f>
        <v/>
      </c>
      <c r="DK36" s="149" t="str">
        <f>IF(OR($B36="",$B36=0),"",($G36*(DK$4&lt;$I36)+$H36*(DK$4&gt;=$I36))*$C36*(1+'Property Summary'!$L$18)^('MF Rents'!DK$3-1))</f>
        <v/>
      </c>
      <c r="DL36" s="149" t="str">
        <f>IF(OR($B36="",$B36=0),"",($G36*(DL$4&lt;$I36)+$H36*(DL$4&gt;=$I36))*$C36*(1+'Property Summary'!$L$18)^('MF Rents'!DL$3-1))</f>
        <v/>
      </c>
      <c r="DM36" s="149" t="str">
        <f>IF(OR($B36="",$B36=0),"",($G36*(DM$4&lt;$I36)+$H36*(DM$4&gt;=$I36))*$C36*(1+'Property Summary'!$L$18)^('MF Rents'!DM$3-1))</f>
        <v/>
      </c>
      <c r="DN36" s="149" t="str">
        <f>IF(OR($B36="",$B36=0),"",($G36*(DN$4&lt;$I36)+$H36*(DN$4&gt;=$I36))*$C36*(1+'Property Summary'!$L$18)^('MF Rents'!DN$3-1))</f>
        <v/>
      </c>
      <c r="DO36" s="149" t="str">
        <f>IF(OR($B36="",$B36=0),"",($G36*(DO$4&lt;$I36)+$H36*(DO$4&gt;=$I36))*$C36*(1+'Property Summary'!$L$18)^('MF Rents'!DO$3-1))</f>
        <v/>
      </c>
      <c r="DP36" s="149" t="str">
        <f>IF(OR($B36="",$B36=0),"",($G36*(DP$4&lt;$I36)+$H36*(DP$4&gt;=$I36))*$C36*(1+'Property Summary'!$L$18)^('MF Rents'!DP$3-1))</f>
        <v/>
      </c>
      <c r="DQ36" s="149" t="str">
        <f>IF(OR($B36="",$B36=0),"",($G36*(DQ$4&lt;$I36)+$H36*(DQ$4&gt;=$I36))*$C36*(1+'Property Summary'!$L$18)^('MF Rents'!DQ$3-1))</f>
        <v/>
      </c>
      <c r="DR36" s="149" t="str">
        <f>IF(OR($B36="",$B36=0),"",($G36*(DR$4&lt;$I36)+$H36*(DR$4&gt;=$I36))*$C36*(1+'Property Summary'!$L$18)^('MF Rents'!DR$3-1))</f>
        <v/>
      </c>
      <c r="DS36" s="149" t="str">
        <f>IF(OR($B36="",$B36=0),"",($G36*(DS$4&lt;$I36)+$H36*(DS$4&gt;=$I36))*$C36*(1+'Property Summary'!$L$18)^('MF Rents'!DS$3-1))</f>
        <v/>
      </c>
      <c r="DT36" s="149" t="str">
        <f>IF(OR($B36="",$B36=0),"",($G36*(DT$4&lt;$I36)+$H36*(DT$4&gt;=$I36))*$C36*(1+'Property Summary'!$L$18)^('MF Rents'!DT$3-1))</f>
        <v/>
      </c>
      <c r="DU36" s="149" t="str">
        <f>IF(OR($B36="",$B36=0),"",($G36*(DU$4&lt;$I36)+$H36*(DU$4&gt;=$I36))*$C36*(1+'Property Summary'!$L$18)^('MF Rents'!DU$3-1))</f>
        <v/>
      </c>
      <c r="DV36" s="149" t="str">
        <f>IF(OR($B36="",$B36=0),"",($G36*(DV$4&lt;$I36)+$H36*(DV$4&gt;=$I36))*$C36*(1+'Property Summary'!$L$18)^('MF Rents'!DV$3-1))</f>
        <v/>
      </c>
      <c r="DW36" s="149" t="str">
        <f>IF(OR($B36="",$B36=0),"",($G36*(DW$4&lt;$I36)+$H36*(DW$4&gt;=$I36))*$C36*(1+'Property Summary'!$L$18)^('MF Rents'!DW$3-1))</f>
        <v/>
      </c>
      <c r="DX36" s="149" t="str">
        <f>IF(OR($B36="",$B36=0),"",($G36*(DX$4&lt;$I36)+$H36*(DX$4&gt;=$I36))*$C36*(1+'Property Summary'!$L$18)^('MF Rents'!DX$3-1))</f>
        <v/>
      </c>
      <c r="DY36" s="149" t="str">
        <f>IF(OR($B36="",$B36=0),"",($G36*(DY$4&lt;$I36)+$H36*(DY$4&gt;=$I36))*$C36*(1+'Property Summary'!$L$18)^('MF Rents'!DY$3-1))</f>
        <v/>
      </c>
      <c r="DZ36" s="149" t="str">
        <f>IF(OR($B36="",$B36=0),"",($G36*(DZ$4&lt;$I36)+$H36*(DZ$4&gt;=$I36))*$C36*(1+'Property Summary'!$L$18)^('MF Rents'!DZ$3-1))</f>
        <v/>
      </c>
      <c r="EA36" s="149" t="str">
        <f>IF(OR($B36="",$B36=0),"",($G36*(EA$4&lt;$I36)+$H36*(EA$4&gt;=$I36))*$C36*(1+'Property Summary'!$L$18)^('MF Rents'!EA$3-1))</f>
        <v/>
      </c>
      <c r="EB36" s="149" t="str">
        <f>IF(OR($B36="",$B36=0),"",($G36*(EB$4&lt;$I36)+$H36*(EB$4&gt;=$I36))*$C36*(1+'Property Summary'!$L$18)^('MF Rents'!EB$3-1))</f>
        <v/>
      </c>
      <c r="EC36" s="149" t="str">
        <f>IF(OR($B36="",$B36=0),"",($G36*(EC$4&lt;$I36)+$H36*(EC$4&gt;=$I36))*$C36*(1+'Property Summary'!$L$18)^('MF Rents'!EC$3-1))</f>
        <v/>
      </c>
      <c r="ED36" s="149" t="str">
        <f>IF(OR($B36="",$B36=0),"",($G36*(ED$4&lt;$I36)+$H36*(ED$4&gt;=$I36))*$C36*(1+'Property Summary'!$L$18)^('MF Rents'!ED$3-1))</f>
        <v/>
      </c>
      <c r="EE36" s="149" t="str">
        <f>IF(OR($B36="",$B36=0),"",($G36*(EE$4&lt;$I36)+$H36*(EE$4&gt;=$I36))*$C36*(1+'Property Summary'!$L$18)^('MF Rents'!EE$3-1))</f>
        <v/>
      </c>
      <c r="EF36" s="149" t="str">
        <f>IF(OR($B36="",$B36=0),"",($G36*(EF$4&lt;$I36)+$H36*(EF$4&gt;=$I36))*$C36*(1+'Property Summary'!$L$18)^('MF Rents'!EF$3-1))</f>
        <v/>
      </c>
      <c r="EG36" s="149" t="str">
        <f>IF(OR($B36="",$B36=0),"",($G36*(EG$4&lt;$I36)+$H36*(EG$4&gt;=$I36))*$C36*(1+'Property Summary'!$L$18)^('MF Rents'!EG$3-1))</f>
        <v/>
      </c>
      <c r="EH36" s="149" t="str">
        <f>IF(OR($B36="",$B36=0),"",($G36*(EH$4&lt;$I36)+$H36*(EH$4&gt;=$I36))*$C36*(1+'Property Summary'!$L$18)^('MF Rents'!EH$3-1))</f>
        <v/>
      </c>
      <c r="EI36" s="149" t="str">
        <f>IF(OR($B36="",$B36=0),"",($G36*(EI$4&lt;$I36)+$H36*(EI$4&gt;=$I36))*$C36*(1+'Property Summary'!$L$18)^('MF Rents'!EI$3-1))</f>
        <v/>
      </c>
      <c r="EJ36" s="149" t="str">
        <f>IF(OR($B36="",$B36=0),"",($G36*(EJ$4&lt;$I36)+$H36*(EJ$4&gt;=$I36))*$C36*(1+'Property Summary'!$L$18)^('MF Rents'!EJ$3-1))</f>
        <v/>
      </c>
      <c r="EK36" s="149" t="str">
        <f>IF(OR($B36="",$B36=0),"",($G36*(EK$4&lt;$I36)+$H36*(EK$4&gt;=$I36))*$C36*(1+'Property Summary'!$L$18)^('MF Rents'!EK$3-1))</f>
        <v/>
      </c>
      <c r="EL36" s="149" t="str">
        <f>IF(OR($B36="",$B36=0),"",($G36*(EL$4&lt;$I36)+$H36*(EL$4&gt;=$I36))*$C36*(1+'Property Summary'!$L$18)^('MF Rents'!EL$3-1))</f>
        <v/>
      </c>
      <c r="EM36" s="149" t="str">
        <f>IF(OR($B36="",$B36=0),"",($G36*(EM$4&lt;$I36)+$H36*(EM$4&gt;=$I36))*$C36*(1+'Property Summary'!$L$18)^('MF Rents'!EM$3-1))</f>
        <v/>
      </c>
      <c r="EN36" s="149" t="str">
        <f>IF(OR($B36="",$B36=0),"",($G36*(EN$4&lt;$I36)+$H36*(EN$4&gt;=$I36))*$C36*(1+'Property Summary'!$L$18)^('MF Rents'!EN$3-1))</f>
        <v/>
      </c>
      <c r="EO36" s="149" t="str">
        <f>IF(OR($B36="",$B36=0),"",($G36*(EO$4&lt;$I36)+$H36*(EO$4&gt;=$I36))*$C36*(1+'Property Summary'!$L$18)^('MF Rents'!EO$3-1))</f>
        <v/>
      </c>
      <c r="EP36" s="149" t="str">
        <f>IF(OR($B36="",$B36=0),"",($G36*(EP$4&lt;$I36)+$H36*(EP$4&gt;=$I36))*$C36*(1+'Property Summary'!$L$18)^('MF Rents'!EP$3-1))</f>
        <v/>
      </c>
      <c r="EQ36" s="149" t="str">
        <f>IF(OR($B36="",$B36=0),"",($G36*(EQ$4&lt;$I36)+$H36*(EQ$4&gt;=$I36))*$C36*(1+'Property Summary'!$L$18)^('MF Rents'!EQ$3-1))</f>
        <v/>
      </c>
      <c r="ER36" s="149" t="str">
        <f>IF(OR($B36="",$B36=0),"",($G36*(ER$4&lt;$I36)+$H36*(ER$4&gt;=$I36))*$C36*(1+'Property Summary'!$L$18)^('MF Rents'!ER$3-1))</f>
        <v/>
      </c>
      <c r="ES36" s="149" t="str">
        <f>IF(OR($B36="",$B36=0),"",($G36*(ES$4&lt;$I36)+$H36*(ES$4&gt;=$I36))*$C36*(1+'Property Summary'!$L$18)^('MF Rents'!ES$3-1))</f>
        <v/>
      </c>
      <c r="ET36" s="149" t="str">
        <f>IF(OR($B36="",$B36=0),"",($G36*(ET$4&lt;$I36)+$H36*(ET$4&gt;=$I36))*$C36*(1+'Property Summary'!$L$18)^('MF Rents'!ET$3-1))</f>
        <v/>
      </c>
      <c r="EU36" s="149" t="str">
        <f>IF(OR($B36="",$B36=0),"",($G36*(EU$4&lt;$I36)+$H36*(EU$4&gt;=$I36))*$C36*(1+'Property Summary'!$L$18)^('MF Rents'!EU$3-1))</f>
        <v/>
      </c>
      <c r="EV36" s="149" t="str">
        <f>IF(OR($B36="",$B36=0),"",($G36*(EV$4&lt;$I36)+$H36*(EV$4&gt;=$I36))*$C36*(1+'Property Summary'!$L$18)^('MF Rents'!EV$3-1))</f>
        <v/>
      </c>
      <c r="EW36" s="149" t="str">
        <f>IF(OR($B36="",$B36=0),"",($G36*(EW$4&lt;$I36)+$H36*(EW$4&gt;=$I36))*$C36*(1+'Property Summary'!$L$18)^('MF Rents'!EW$3-1))</f>
        <v/>
      </c>
      <c r="EX36" s="149" t="str">
        <f>IF(OR($B36="",$B36=0),"",($G36*(EX$4&lt;$I36)+$H36*(EX$4&gt;=$I36))*$C36*(1+'Property Summary'!$L$18)^('MF Rents'!EX$3-1))</f>
        <v/>
      </c>
      <c r="EY36" s="149" t="str">
        <f>IF(OR($B36="",$B36=0),"",($G36*(EY$4&lt;$I36)+$H36*(EY$4&gt;=$I36))*$C36*(1+'Property Summary'!$L$18)^('MF Rents'!EY$3-1))</f>
        <v/>
      </c>
      <c r="EZ36" s="149" t="str">
        <f>IF(OR($B36="",$B36=0),"",($G36*(EZ$4&lt;$I36)+$H36*(EZ$4&gt;=$I36))*$C36*(1+'Property Summary'!$L$18)^('MF Rents'!EZ$3-1))</f>
        <v/>
      </c>
      <c r="FA36" s="149" t="str">
        <f>IF(OR($B36="",$B36=0),"",($G36*(FA$4&lt;$I36)+$H36*(FA$4&gt;=$I36))*$C36*(1+'Property Summary'!$L$18)^('MF Rents'!FA$3-1))</f>
        <v/>
      </c>
      <c r="FB36" s="149" t="str">
        <f>IF(OR($B36="",$B36=0),"",($G36*(FB$4&lt;$I36)+$H36*(FB$4&gt;=$I36))*$C36*(1+'Property Summary'!$L$18)^('MF Rents'!FB$3-1))</f>
        <v/>
      </c>
      <c r="FC36" s="149" t="str">
        <f>IF(OR($B36="",$B36=0),"",($G36*(FC$4&lt;$I36)+$H36*(FC$4&gt;=$I36))*$C36*(1+'Property Summary'!$L$18)^('MF Rents'!FC$3-1))</f>
        <v/>
      </c>
      <c r="FD36" s="149" t="str">
        <f>IF(OR($B36="",$B36=0),"",($G36*(FD$4&lt;$I36)+$H36*(FD$4&gt;=$I36))*$C36*(1+'Property Summary'!$L$18)^('MF Rents'!FD$3-1))</f>
        <v/>
      </c>
      <c r="FE36" s="149" t="str">
        <f>IF(OR($B36="",$B36=0),"",($G36*(FE$4&lt;$I36)+$H36*(FE$4&gt;=$I36))*$C36*(1+'Property Summary'!$L$18)^('MF Rents'!FE$3-1))</f>
        <v/>
      </c>
      <c r="FF36" s="149" t="str">
        <f>IF(OR($B36="",$B36=0),"",($G36*(FF$4&lt;$I36)+$H36*(FF$4&gt;=$I36))*$C36*(1+'Property Summary'!$L$18)^('MF Rents'!FF$3-1))</f>
        <v/>
      </c>
      <c r="FG36" s="149" t="str">
        <f>IF(OR($B36="",$B36=0),"",($G36*(FG$4&lt;$I36)+$H36*(FG$4&gt;=$I36))*$C36*(1+'Property Summary'!$L$18)^('MF Rents'!FG$3-1))</f>
        <v/>
      </c>
      <c r="FH36" s="149" t="str">
        <f>IF(OR($B36="",$B36=0),"",($G36*(FH$4&lt;$I36)+$H36*(FH$4&gt;=$I36))*$C36*(1+'Property Summary'!$L$18)^('MF Rents'!FH$3-1))</f>
        <v/>
      </c>
      <c r="FI36" s="149" t="str">
        <f>IF(OR($B36="",$B36=0),"",($G36*(FI$4&lt;$I36)+$H36*(FI$4&gt;=$I36))*$C36*(1+'Property Summary'!$L$18)^('MF Rents'!FI$3-1))</f>
        <v/>
      </c>
      <c r="FJ36" s="149" t="str">
        <f>IF(OR($B36="",$B36=0),"",($G36*(FJ$4&lt;$I36)+$H36*(FJ$4&gt;=$I36))*$C36*(1+'Property Summary'!$L$18)^('MF Rents'!FJ$3-1))</f>
        <v/>
      </c>
      <c r="FK36" s="149" t="str">
        <f>IF(OR($B36="",$B36=0),"",($G36*(FK$4&lt;$I36)+$H36*(FK$4&gt;=$I36))*$C36*(1+'Property Summary'!$L$18)^('MF Rents'!FK$3-1))</f>
        <v/>
      </c>
      <c r="FL36" s="149" t="str">
        <f>IF(OR($B36="",$B36=0),"",($G36*(FL$4&lt;$I36)+$H36*(FL$4&gt;=$I36))*$C36*(1+'Property Summary'!$L$18)^('MF Rents'!FL$3-1))</f>
        <v/>
      </c>
      <c r="FM36" s="149" t="str">
        <f>IF(OR($B36="",$B36=0),"",($G36*(FM$4&lt;$I36)+$H36*(FM$4&gt;=$I36))*$C36*(1+'Property Summary'!$L$18)^('MF Rents'!FM$3-1))</f>
        <v/>
      </c>
      <c r="FN36" s="149" t="str">
        <f>IF(OR($B36="",$B36=0),"",($G36*(FN$4&lt;$I36)+$H36*(FN$4&gt;=$I36))*$C36*(1+'Property Summary'!$L$18)^('MF Rents'!FN$3-1))</f>
        <v/>
      </c>
      <c r="FO36" s="149" t="str">
        <f>IF(OR($B36="",$B36=0),"",($G36*(FO$4&lt;$I36)+$H36*(FO$4&gt;=$I36))*$C36*(1+'Property Summary'!$L$18)^('MF Rents'!FO$3-1))</f>
        <v/>
      </c>
      <c r="FP36" s="149" t="str">
        <f>IF(OR($B36="",$B36=0),"",($G36*(FP$4&lt;$I36)+$H36*(FP$4&gt;=$I36))*$C36*(1+'Property Summary'!$L$18)^('MF Rents'!FP$3-1))</f>
        <v/>
      </c>
      <c r="FQ36" s="149" t="str">
        <f>IF(OR($B36="",$B36=0),"",($G36*(FQ$4&lt;$I36)+$H36*(FQ$4&gt;=$I36))*$C36*(1+'Property Summary'!$L$18)^('MF Rents'!FQ$3-1))</f>
        <v/>
      </c>
      <c r="FR36" s="149" t="str">
        <f>IF(OR($B36="",$B36=0),"",($G36*(FR$4&lt;$I36)+$H36*(FR$4&gt;=$I36))*$C36*(1+'Property Summary'!$L$18)^('MF Rents'!FR$3-1))</f>
        <v/>
      </c>
      <c r="FS36" s="149" t="str">
        <f>IF(OR($B36="",$B36=0),"",($G36*(FS$4&lt;$I36)+$H36*(FS$4&gt;=$I36))*$C36*(1+'Property Summary'!$L$18)^('MF Rents'!FS$3-1))</f>
        <v/>
      </c>
      <c r="FT36" s="149" t="str">
        <f>IF(OR($B36="",$B36=0),"",($G36*(FT$4&lt;$I36)+$H36*(FT$4&gt;=$I36))*$C36*(1+'Property Summary'!$L$18)^('MF Rents'!FT$3-1))</f>
        <v/>
      </c>
      <c r="FU36" s="149" t="str">
        <f>IF(OR($B36="",$B36=0),"",($G36*(FU$4&lt;$I36)+$H36*(FU$4&gt;=$I36))*$C36*(1+'Property Summary'!$L$18)^('MF Rents'!FU$3-1))</f>
        <v/>
      </c>
      <c r="FV36" s="149" t="str">
        <f>IF(OR($B36="",$B36=0),"",($G36*(FV$4&lt;$I36)+$H36*(FV$4&gt;=$I36))*$C36*(1+'Property Summary'!$L$18)^('MF Rents'!FV$3-1))</f>
        <v/>
      </c>
      <c r="FW36" s="149" t="str">
        <f>IF(OR($B36="",$B36=0),"",($G36*(FW$4&lt;$I36)+$H36*(FW$4&gt;=$I36))*$C36*(1+'Property Summary'!$L$18)^('MF Rents'!FW$3-1))</f>
        <v/>
      </c>
      <c r="FX36" s="149" t="str">
        <f>IF(OR($B36="",$B36=0),"",($G36*(FX$4&lt;$I36)+$H36*(FX$4&gt;=$I36))*$C36*(1+'Property Summary'!$L$18)^('MF Rents'!FX$3-1))</f>
        <v/>
      </c>
      <c r="FY36" s="149" t="str">
        <f>IF(OR($B36="",$B36=0),"",($G36*(FY$4&lt;$I36)+$H36*(FY$4&gt;=$I36))*$C36*(1+'Property Summary'!$L$18)^('MF Rents'!FY$3-1))</f>
        <v/>
      </c>
      <c r="FZ36" s="149" t="str">
        <f>IF(OR($B36="",$B36=0),"",($G36*(FZ$4&lt;$I36)+$H36*(FZ$4&gt;=$I36))*$C36*(1+'Property Summary'!$L$18)^('MF Rents'!FZ$3-1))</f>
        <v/>
      </c>
      <c r="GA36" s="149" t="str">
        <f>IF(OR($B36="",$B36=0),"",($G36*(GA$4&lt;$I36)+$H36*(GA$4&gt;=$I36))*$C36*(1+'Property Summary'!$L$18)^('MF Rents'!GA$3-1))</f>
        <v/>
      </c>
      <c r="GB36" s="149" t="str">
        <f>IF(OR($B36="",$B36=0),"",($G36*(GB$4&lt;$I36)+$H36*(GB$4&gt;=$I36))*$C36*(1+'Property Summary'!$L$18)^('MF Rents'!GB$3-1))</f>
        <v/>
      </c>
      <c r="GC36" s="149" t="str">
        <f>IF(OR($B36="",$B36=0),"",($G36*(GC$4&lt;$I36)+$H36*(GC$4&gt;=$I36))*$C36*(1+'Property Summary'!$L$18)^('MF Rents'!GC$3-1))</f>
        <v/>
      </c>
      <c r="GD36" s="149" t="str">
        <f>IF(OR($B36="",$B36=0),"",($G36*(GD$4&lt;$I36)+$H36*(GD$4&gt;=$I36))*$C36*(1+'Property Summary'!$L$18)^('MF Rents'!GD$3-1))</f>
        <v/>
      </c>
      <c r="GE36" s="149" t="str">
        <f>IF(OR($B36="",$B36=0),"",($G36*(GE$4&lt;$I36)+$H36*(GE$4&gt;=$I36))*$C36*(1+'Property Summary'!$L$18)^('MF Rents'!GE$3-1))</f>
        <v/>
      </c>
      <c r="GF36" s="149" t="str">
        <f>IF(OR($B36="",$B36=0),"",($G36*(GF$4&lt;$I36)+$H36*(GF$4&gt;=$I36))*$C36*(1+'Property Summary'!$L$18)^('MF Rents'!GF$3-1))</f>
        <v/>
      </c>
      <c r="GG36" s="149" t="str">
        <f>IF(OR($B36="",$B36=0),"",($G36*(GG$4&lt;$I36)+$H36*(GG$4&gt;=$I36))*$C36*(1+'Property Summary'!$L$18)^('MF Rents'!GG$3-1))</f>
        <v/>
      </c>
      <c r="GH36" s="149" t="str">
        <f>IF(OR($B36="",$B36=0),"",($G36*(GH$4&lt;$I36)+$H36*(GH$4&gt;=$I36))*$C36*(1+'Property Summary'!$L$18)^('MF Rents'!GH$3-1))</f>
        <v/>
      </c>
      <c r="GI36" s="149" t="str">
        <f>IF(OR($B36="",$B36=0),"",($G36*(GI$4&lt;$I36)+$H36*(GI$4&gt;=$I36))*$C36*(1+'Property Summary'!$L$18)^('MF Rents'!GI$3-1))</f>
        <v/>
      </c>
      <c r="GJ36" s="149" t="str">
        <f>IF(OR($B36="",$B36=0),"",($G36*(GJ$4&lt;$I36)+$H36*(GJ$4&gt;=$I36))*$C36*(1+'Property Summary'!$L$18)^('MF Rents'!GJ$3-1))</f>
        <v/>
      </c>
      <c r="GK36" s="149" t="str">
        <f>IF(OR($B36="",$B36=0),"",($G36*(GK$4&lt;$I36)+$H36*(GK$4&gt;=$I36))*$C36*(1+'Property Summary'!$L$18)^('MF Rents'!GK$3-1))</f>
        <v/>
      </c>
      <c r="GL36" s="149" t="str">
        <f>IF(OR($B36="",$B36=0),"",($G36*(GL$4&lt;$I36)+$H36*(GL$4&gt;=$I36))*$C36*(1+'Property Summary'!$L$18)^('MF Rents'!GL$3-1))</f>
        <v/>
      </c>
      <c r="GM36" s="149" t="str">
        <f>IF(OR($B36="",$B36=0),"",($G36*(GM$4&lt;$I36)+$H36*(GM$4&gt;=$I36))*$C36*(1+'Property Summary'!$L$18)^('MF Rents'!GM$3-1))</f>
        <v/>
      </c>
      <c r="GN36" s="149" t="str">
        <f>IF(OR($B36="",$B36=0),"",($G36*(GN$4&lt;$I36)+$H36*(GN$4&gt;=$I36))*$C36*(1+'Property Summary'!$L$18)^('MF Rents'!GN$3-1))</f>
        <v/>
      </c>
      <c r="GO36" s="149" t="str">
        <f>IF(OR($B36="",$B36=0),"",($G36*(GO$4&lt;$I36)+$H36*(GO$4&gt;=$I36))*$C36*(1+'Property Summary'!$L$18)^('MF Rents'!GO$3-1))</f>
        <v/>
      </c>
      <c r="GP36" s="149" t="str">
        <f>IF(OR($B36="",$B36=0),"",($G36*(GP$4&lt;$I36)+$H36*(GP$4&gt;=$I36))*$C36*(1+'Property Summary'!$L$18)^('MF Rents'!GP$3-1))</f>
        <v/>
      </c>
      <c r="GQ36" s="149" t="str">
        <f>IF(OR($B36="",$B36=0),"",($G36*(GQ$4&lt;$I36)+$H36*(GQ$4&gt;=$I36))*$C36*(1+'Property Summary'!$L$18)^('MF Rents'!GQ$3-1))</f>
        <v/>
      </c>
      <c r="GR36" s="149" t="str">
        <f>IF(OR($B36="",$B36=0),"",($G36*(GR$4&lt;$I36)+$H36*(GR$4&gt;=$I36))*$C36*(1+'Property Summary'!$L$18)^('MF Rents'!GR$3-1))</f>
        <v/>
      </c>
    </row>
    <row r="37" spans="2:200" x14ac:dyDescent="0.3">
      <c r="B37" s="184">
        <f>'MF Rent Roll'!B36</f>
        <v>0</v>
      </c>
      <c r="C37" s="171">
        <f>'MF Rent Roll'!C36</f>
        <v>0</v>
      </c>
      <c r="D37" s="172">
        <f>'MF Rent Roll'!D36</f>
        <v>0</v>
      </c>
      <c r="E37" s="172">
        <f>'MF Rent Roll'!E36</f>
        <v>0</v>
      </c>
      <c r="F37" s="173">
        <f>'MF Rent Roll'!F36</f>
        <v>0</v>
      </c>
      <c r="G37" s="174">
        <f>'MF Rent Roll'!G36</f>
        <v>0</v>
      </c>
      <c r="H37" s="174">
        <f>IF('MF Rent Roll'!H36="",G37,'MF Rent Roll'!H36)</f>
        <v>0</v>
      </c>
      <c r="I37" s="175">
        <f>IF('MF Rent Roll'!I36="",1,'MF Rent Roll'!I36)</f>
        <v>1</v>
      </c>
      <c r="J37" s="176">
        <f>'MF Rent Roll'!J36</f>
        <v>0</v>
      </c>
      <c r="K37" s="174">
        <f>'MF Rent Roll'!K36</f>
        <v>0</v>
      </c>
      <c r="L37" s="177">
        <f>'MF Rent Roll'!L36</f>
        <v>0</v>
      </c>
      <c r="M37" s="178">
        <f>'MF Rent Roll'!M36</f>
        <v>0</v>
      </c>
      <c r="N37" s="174">
        <f>'MF Rent Roll'!N36</f>
        <v>0</v>
      </c>
      <c r="O37" s="179">
        <f>'MF Rent Roll'!O36</f>
        <v>0</v>
      </c>
      <c r="P37" s="180" t="str">
        <f>'MF Rent Roll'!P36</f>
        <v/>
      </c>
      <c r="Q37" s="181" t="str">
        <f>'MF Rent Roll'!Q36</f>
        <v/>
      </c>
      <c r="R37" s="104" t="str">
        <f>'MF Rent Roll'!R36</f>
        <v/>
      </c>
      <c r="U37" s="149" t="str">
        <f>IF(OR($B37="",$B37=0),"",($G37*(U$4&lt;$I37)+$H37*(U$4&gt;=$I37))*$C37*(1+'Property Summary'!$L$18)^('MF Rents'!U$3-1))</f>
        <v/>
      </c>
      <c r="V37" s="149" t="str">
        <f>IF(OR($B37="",$B37=0),"",($G37*(V$4&lt;$I37)+$H37*(V$4&gt;=$I37))*$C37*(1+'Property Summary'!$L$18)^('MF Rents'!V$3-1))</f>
        <v/>
      </c>
      <c r="W37" s="149" t="str">
        <f>IF(OR($B37="",$B37=0),"",($G37*(W$4&lt;$I37)+$H37*(W$4&gt;=$I37))*$C37*(1+'Property Summary'!$L$18)^('MF Rents'!W$3-1))</f>
        <v/>
      </c>
      <c r="X37" s="149" t="str">
        <f>IF(OR($B37="",$B37=0),"",($G37*(X$4&lt;$I37)+$H37*(X$4&gt;=$I37))*$C37*(1+'Property Summary'!$L$18)^('MF Rents'!X$3-1))</f>
        <v/>
      </c>
      <c r="Y37" s="149" t="str">
        <f>IF(OR($B37="",$B37=0),"",($G37*(Y$4&lt;$I37)+$H37*(Y$4&gt;=$I37))*$C37*(1+'Property Summary'!$L$18)^('MF Rents'!Y$3-1))</f>
        <v/>
      </c>
      <c r="Z37" s="149" t="str">
        <f>IF(OR($B37="",$B37=0),"",($G37*(Z$4&lt;$I37)+$H37*(Z$4&gt;=$I37))*$C37*(1+'Property Summary'!$L$18)^('MF Rents'!Z$3-1))</f>
        <v/>
      </c>
      <c r="AA37" s="149" t="str">
        <f>IF(OR($B37="",$B37=0),"",($G37*(AA$4&lt;$I37)+$H37*(AA$4&gt;=$I37))*$C37*(1+'Property Summary'!$L$18)^('MF Rents'!AA$3-1))</f>
        <v/>
      </c>
      <c r="AB37" s="149" t="str">
        <f>IF(OR($B37="",$B37=0),"",($G37*(AB$4&lt;$I37)+$H37*(AB$4&gt;=$I37))*$C37*(1+'Property Summary'!$L$18)^('MF Rents'!AB$3-1))</f>
        <v/>
      </c>
      <c r="AC37" s="149" t="str">
        <f>IF(OR($B37="",$B37=0),"",($G37*(AC$4&lt;$I37)+$H37*(AC$4&gt;=$I37))*$C37*(1+'Property Summary'!$L$18)^('MF Rents'!AC$3-1))</f>
        <v/>
      </c>
      <c r="AD37" s="149" t="str">
        <f>IF(OR($B37="",$B37=0),"",($G37*(AD$4&lt;$I37)+$H37*(AD$4&gt;=$I37))*$C37*(1+'Property Summary'!$L$18)^('MF Rents'!AD$3-1))</f>
        <v/>
      </c>
      <c r="AE37" s="149" t="str">
        <f>IF(OR($B37="",$B37=0),"",($G37*(AE$4&lt;$I37)+$H37*(AE$4&gt;=$I37))*$C37*(1+'Property Summary'!$L$18)^('MF Rents'!AE$3-1))</f>
        <v/>
      </c>
      <c r="AF37" s="149" t="str">
        <f>IF(OR($B37="",$B37=0),"",($G37*(AF$4&lt;$I37)+$H37*(AF$4&gt;=$I37))*$C37*(1+'Property Summary'!$L$18)^('MF Rents'!AF$3-1))</f>
        <v/>
      </c>
      <c r="AG37" s="149" t="str">
        <f>IF(OR($B37="",$B37=0),"",($G37*(AG$4&lt;$I37)+$H37*(AG$4&gt;=$I37))*$C37*(1+'Property Summary'!$L$18)^('MF Rents'!AG$3-1))</f>
        <v/>
      </c>
      <c r="AH37" s="149" t="str">
        <f>IF(OR($B37="",$B37=0),"",($G37*(AH$4&lt;$I37)+$H37*(AH$4&gt;=$I37))*$C37*(1+'Property Summary'!$L$18)^('MF Rents'!AH$3-1))</f>
        <v/>
      </c>
      <c r="AI37" s="149" t="str">
        <f>IF(OR($B37="",$B37=0),"",($G37*(AI$4&lt;$I37)+$H37*(AI$4&gt;=$I37))*$C37*(1+'Property Summary'!$L$18)^('MF Rents'!AI$3-1))</f>
        <v/>
      </c>
      <c r="AJ37" s="149" t="str">
        <f>IF(OR($B37="",$B37=0),"",($G37*(AJ$4&lt;$I37)+$H37*(AJ$4&gt;=$I37))*$C37*(1+'Property Summary'!$L$18)^('MF Rents'!AJ$3-1))</f>
        <v/>
      </c>
      <c r="AK37" s="149" t="str">
        <f>IF(OR($B37="",$B37=0),"",($G37*(AK$4&lt;$I37)+$H37*(AK$4&gt;=$I37))*$C37*(1+'Property Summary'!$L$18)^('MF Rents'!AK$3-1))</f>
        <v/>
      </c>
      <c r="AL37" s="149" t="str">
        <f>IF(OR($B37="",$B37=0),"",($G37*(AL$4&lt;$I37)+$H37*(AL$4&gt;=$I37))*$C37*(1+'Property Summary'!$L$18)^('MF Rents'!AL$3-1))</f>
        <v/>
      </c>
      <c r="AM37" s="149" t="str">
        <f>IF(OR($B37="",$B37=0),"",($G37*(AM$4&lt;$I37)+$H37*(AM$4&gt;=$I37))*$C37*(1+'Property Summary'!$L$18)^('MF Rents'!AM$3-1))</f>
        <v/>
      </c>
      <c r="AN37" s="149" t="str">
        <f>IF(OR($B37="",$B37=0),"",($G37*(AN$4&lt;$I37)+$H37*(AN$4&gt;=$I37))*$C37*(1+'Property Summary'!$L$18)^('MF Rents'!AN$3-1))</f>
        <v/>
      </c>
      <c r="AO37" s="149" t="str">
        <f>IF(OR($B37="",$B37=0),"",($G37*(AO$4&lt;$I37)+$H37*(AO$4&gt;=$I37))*$C37*(1+'Property Summary'!$L$18)^('MF Rents'!AO$3-1))</f>
        <v/>
      </c>
      <c r="AP37" s="149" t="str">
        <f>IF(OR($B37="",$B37=0),"",($G37*(AP$4&lt;$I37)+$H37*(AP$4&gt;=$I37))*$C37*(1+'Property Summary'!$L$18)^('MF Rents'!AP$3-1))</f>
        <v/>
      </c>
      <c r="AQ37" s="149" t="str">
        <f>IF(OR($B37="",$B37=0),"",($G37*(AQ$4&lt;$I37)+$H37*(AQ$4&gt;=$I37))*$C37*(1+'Property Summary'!$L$18)^('MF Rents'!AQ$3-1))</f>
        <v/>
      </c>
      <c r="AR37" s="149" t="str">
        <f>IF(OR($B37="",$B37=0),"",($G37*(AR$4&lt;$I37)+$H37*(AR$4&gt;=$I37))*$C37*(1+'Property Summary'!$L$18)^('MF Rents'!AR$3-1))</f>
        <v/>
      </c>
      <c r="AS37" s="149" t="str">
        <f>IF(OR($B37="",$B37=0),"",($G37*(AS$4&lt;$I37)+$H37*(AS$4&gt;=$I37))*$C37*(1+'Property Summary'!$L$18)^('MF Rents'!AS$3-1))</f>
        <v/>
      </c>
      <c r="AT37" s="149" t="str">
        <f>IF(OR($B37="",$B37=0),"",($G37*(AT$4&lt;$I37)+$H37*(AT$4&gt;=$I37))*$C37*(1+'Property Summary'!$L$18)^('MF Rents'!AT$3-1))</f>
        <v/>
      </c>
      <c r="AU37" s="149" t="str">
        <f>IF(OR($B37="",$B37=0),"",($G37*(AU$4&lt;$I37)+$H37*(AU$4&gt;=$I37))*$C37*(1+'Property Summary'!$L$18)^('MF Rents'!AU$3-1))</f>
        <v/>
      </c>
      <c r="AV37" s="149" t="str">
        <f>IF(OR($B37="",$B37=0),"",($G37*(AV$4&lt;$I37)+$H37*(AV$4&gt;=$I37))*$C37*(1+'Property Summary'!$L$18)^('MF Rents'!AV$3-1))</f>
        <v/>
      </c>
      <c r="AW37" s="149" t="str">
        <f>IF(OR($B37="",$B37=0),"",($G37*(AW$4&lt;$I37)+$H37*(AW$4&gt;=$I37))*$C37*(1+'Property Summary'!$L$18)^('MF Rents'!AW$3-1))</f>
        <v/>
      </c>
      <c r="AX37" s="149" t="str">
        <f>IF(OR($B37="",$B37=0),"",($G37*(AX$4&lt;$I37)+$H37*(AX$4&gt;=$I37))*$C37*(1+'Property Summary'!$L$18)^('MF Rents'!AX$3-1))</f>
        <v/>
      </c>
      <c r="AY37" s="149" t="str">
        <f>IF(OR($B37="",$B37=0),"",($G37*(AY$4&lt;$I37)+$H37*(AY$4&gt;=$I37))*$C37*(1+'Property Summary'!$L$18)^('MF Rents'!AY$3-1))</f>
        <v/>
      </c>
      <c r="AZ37" s="149" t="str">
        <f>IF(OR($B37="",$B37=0),"",($G37*(AZ$4&lt;$I37)+$H37*(AZ$4&gt;=$I37))*$C37*(1+'Property Summary'!$L$18)^('MF Rents'!AZ$3-1))</f>
        <v/>
      </c>
      <c r="BA37" s="149" t="str">
        <f>IF(OR($B37="",$B37=0),"",($G37*(BA$4&lt;$I37)+$H37*(BA$4&gt;=$I37))*$C37*(1+'Property Summary'!$L$18)^('MF Rents'!BA$3-1))</f>
        <v/>
      </c>
      <c r="BB37" s="149" t="str">
        <f>IF(OR($B37="",$B37=0),"",($G37*(BB$4&lt;$I37)+$H37*(BB$4&gt;=$I37))*$C37*(1+'Property Summary'!$L$18)^('MF Rents'!BB$3-1))</f>
        <v/>
      </c>
      <c r="BC37" s="149" t="str">
        <f>IF(OR($B37="",$B37=0),"",($G37*(BC$4&lt;$I37)+$H37*(BC$4&gt;=$I37))*$C37*(1+'Property Summary'!$L$18)^('MF Rents'!BC$3-1))</f>
        <v/>
      </c>
      <c r="BD37" s="149" t="str">
        <f>IF(OR($B37="",$B37=0),"",($G37*(BD$4&lt;$I37)+$H37*(BD$4&gt;=$I37))*$C37*(1+'Property Summary'!$L$18)^('MF Rents'!BD$3-1))</f>
        <v/>
      </c>
      <c r="BE37" s="149" t="str">
        <f>IF(OR($B37="",$B37=0),"",($G37*(BE$4&lt;$I37)+$H37*(BE$4&gt;=$I37))*$C37*(1+'Property Summary'!$L$18)^('MF Rents'!BE$3-1))</f>
        <v/>
      </c>
      <c r="BF37" s="149" t="str">
        <f>IF(OR($B37="",$B37=0),"",($G37*(BF$4&lt;$I37)+$H37*(BF$4&gt;=$I37))*$C37*(1+'Property Summary'!$L$18)^('MF Rents'!BF$3-1))</f>
        <v/>
      </c>
      <c r="BG37" s="149" t="str">
        <f>IF(OR($B37="",$B37=0),"",($G37*(BG$4&lt;$I37)+$H37*(BG$4&gt;=$I37))*$C37*(1+'Property Summary'!$L$18)^('MF Rents'!BG$3-1))</f>
        <v/>
      </c>
      <c r="BH37" s="149" t="str">
        <f>IF(OR($B37="",$B37=0),"",($G37*(BH$4&lt;$I37)+$H37*(BH$4&gt;=$I37))*$C37*(1+'Property Summary'!$L$18)^('MF Rents'!BH$3-1))</f>
        <v/>
      </c>
      <c r="BI37" s="149" t="str">
        <f>IF(OR($B37="",$B37=0),"",($G37*(BI$4&lt;$I37)+$H37*(BI$4&gt;=$I37))*$C37*(1+'Property Summary'!$L$18)^('MF Rents'!BI$3-1))</f>
        <v/>
      </c>
      <c r="BJ37" s="149" t="str">
        <f>IF(OR($B37="",$B37=0),"",($G37*(BJ$4&lt;$I37)+$H37*(BJ$4&gt;=$I37))*$C37*(1+'Property Summary'!$L$18)^('MF Rents'!BJ$3-1))</f>
        <v/>
      </c>
      <c r="BK37" s="149" t="str">
        <f>IF(OR($B37="",$B37=0),"",($G37*(BK$4&lt;$I37)+$H37*(BK$4&gt;=$I37))*$C37*(1+'Property Summary'!$L$18)^('MF Rents'!BK$3-1))</f>
        <v/>
      </c>
      <c r="BL37" s="149" t="str">
        <f>IF(OR($B37="",$B37=0),"",($G37*(BL$4&lt;$I37)+$H37*(BL$4&gt;=$I37))*$C37*(1+'Property Summary'!$L$18)^('MF Rents'!BL$3-1))</f>
        <v/>
      </c>
      <c r="BM37" s="149" t="str">
        <f>IF(OR($B37="",$B37=0),"",($G37*(BM$4&lt;$I37)+$H37*(BM$4&gt;=$I37))*$C37*(1+'Property Summary'!$L$18)^('MF Rents'!BM$3-1))</f>
        <v/>
      </c>
      <c r="BN37" s="149" t="str">
        <f>IF(OR($B37="",$B37=0),"",($G37*(BN$4&lt;$I37)+$H37*(BN$4&gt;=$I37))*$C37*(1+'Property Summary'!$L$18)^('MF Rents'!BN$3-1))</f>
        <v/>
      </c>
      <c r="BO37" s="149" t="str">
        <f>IF(OR($B37="",$B37=0),"",($G37*(BO$4&lt;$I37)+$H37*(BO$4&gt;=$I37))*$C37*(1+'Property Summary'!$L$18)^('MF Rents'!BO$3-1))</f>
        <v/>
      </c>
      <c r="BP37" s="149" t="str">
        <f>IF(OR($B37="",$B37=0),"",($G37*(BP$4&lt;$I37)+$H37*(BP$4&gt;=$I37))*$C37*(1+'Property Summary'!$L$18)^('MF Rents'!BP$3-1))</f>
        <v/>
      </c>
      <c r="BQ37" s="149" t="str">
        <f>IF(OR($B37="",$B37=0),"",($G37*(BQ$4&lt;$I37)+$H37*(BQ$4&gt;=$I37))*$C37*(1+'Property Summary'!$L$18)^('MF Rents'!BQ$3-1))</f>
        <v/>
      </c>
      <c r="BR37" s="149" t="str">
        <f>IF(OR($B37="",$B37=0),"",($G37*(BR$4&lt;$I37)+$H37*(BR$4&gt;=$I37))*$C37*(1+'Property Summary'!$L$18)^('MF Rents'!BR$3-1))</f>
        <v/>
      </c>
      <c r="BS37" s="149" t="str">
        <f>IF(OR($B37="",$B37=0),"",($G37*(BS$4&lt;$I37)+$H37*(BS$4&gt;=$I37))*$C37*(1+'Property Summary'!$L$18)^('MF Rents'!BS$3-1))</f>
        <v/>
      </c>
      <c r="BT37" s="149" t="str">
        <f>IF(OR($B37="",$B37=0),"",($G37*(BT$4&lt;$I37)+$H37*(BT$4&gt;=$I37))*$C37*(1+'Property Summary'!$L$18)^('MF Rents'!BT$3-1))</f>
        <v/>
      </c>
      <c r="BU37" s="149" t="str">
        <f>IF(OR($B37="",$B37=0),"",($G37*(BU$4&lt;$I37)+$H37*(BU$4&gt;=$I37))*$C37*(1+'Property Summary'!$L$18)^('MF Rents'!BU$3-1))</f>
        <v/>
      </c>
      <c r="BV37" s="149" t="str">
        <f>IF(OR($B37="",$B37=0),"",($G37*(BV$4&lt;$I37)+$H37*(BV$4&gt;=$I37))*$C37*(1+'Property Summary'!$L$18)^('MF Rents'!BV$3-1))</f>
        <v/>
      </c>
      <c r="BW37" s="149" t="str">
        <f>IF(OR($B37="",$B37=0),"",($G37*(BW$4&lt;$I37)+$H37*(BW$4&gt;=$I37))*$C37*(1+'Property Summary'!$L$18)^('MF Rents'!BW$3-1))</f>
        <v/>
      </c>
      <c r="BX37" s="149" t="str">
        <f>IF(OR($B37="",$B37=0),"",($G37*(BX$4&lt;$I37)+$H37*(BX$4&gt;=$I37))*$C37*(1+'Property Summary'!$L$18)^('MF Rents'!BX$3-1))</f>
        <v/>
      </c>
      <c r="BY37" s="149" t="str">
        <f>IF(OR($B37="",$B37=0),"",($G37*(BY$4&lt;$I37)+$H37*(BY$4&gt;=$I37))*$C37*(1+'Property Summary'!$L$18)^('MF Rents'!BY$3-1))</f>
        <v/>
      </c>
      <c r="BZ37" s="149" t="str">
        <f>IF(OR($B37="",$B37=0),"",($G37*(BZ$4&lt;$I37)+$H37*(BZ$4&gt;=$I37))*$C37*(1+'Property Summary'!$L$18)^('MF Rents'!BZ$3-1))</f>
        <v/>
      </c>
      <c r="CA37" s="149" t="str">
        <f>IF(OR($B37="",$B37=0),"",($G37*(CA$4&lt;$I37)+$H37*(CA$4&gt;=$I37))*$C37*(1+'Property Summary'!$L$18)^('MF Rents'!CA$3-1))</f>
        <v/>
      </c>
      <c r="CB37" s="149" t="str">
        <f>IF(OR($B37="",$B37=0),"",($G37*(CB$4&lt;$I37)+$H37*(CB$4&gt;=$I37))*$C37*(1+'Property Summary'!$L$18)^('MF Rents'!CB$3-1))</f>
        <v/>
      </c>
      <c r="CC37" s="149" t="str">
        <f>IF(OR($B37="",$B37=0),"",($G37*(CC$4&lt;$I37)+$H37*(CC$4&gt;=$I37))*$C37*(1+'Property Summary'!$L$18)^('MF Rents'!CC$3-1))</f>
        <v/>
      </c>
      <c r="CD37" s="149" t="str">
        <f>IF(OR($B37="",$B37=0),"",($G37*(CD$4&lt;$I37)+$H37*(CD$4&gt;=$I37))*$C37*(1+'Property Summary'!$L$18)^('MF Rents'!CD$3-1))</f>
        <v/>
      </c>
      <c r="CE37" s="149" t="str">
        <f>IF(OR($B37="",$B37=0),"",($G37*(CE$4&lt;$I37)+$H37*(CE$4&gt;=$I37))*$C37*(1+'Property Summary'!$L$18)^('MF Rents'!CE$3-1))</f>
        <v/>
      </c>
      <c r="CF37" s="149" t="str">
        <f>IF(OR($B37="",$B37=0),"",($G37*(CF$4&lt;$I37)+$H37*(CF$4&gt;=$I37))*$C37*(1+'Property Summary'!$L$18)^('MF Rents'!CF$3-1))</f>
        <v/>
      </c>
      <c r="CG37" s="149" t="str">
        <f>IF(OR($B37="",$B37=0),"",($G37*(CG$4&lt;$I37)+$H37*(CG$4&gt;=$I37))*$C37*(1+'Property Summary'!$L$18)^('MF Rents'!CG$3-1))</f>
        <v/>
      </c>
      <c r="CH37" s="149" t="str">
        <f>IF(OR($B37="",$B37=0),"",($G37*(CH$4&lt;$I37)+$H37*(CH$4&gt;=$I37))*$C37*(1+'Property Summary'!$L$18)^('MF Rents'!CH$3-1))</f>
        <v/>
      </c>
      <c r="CI37" s="149" t="str">
        <f>IF(OR($B37="",$B37=0),"",($G37*(CI$4&lt;$I37)+$H37*(CI$4&gt;=$I37))*$C37*(1+'Property Summary'!$L$18)^('MF Rents'!CI$3-1))</f>
        <v/>
      </c>
      <c r="CJ37" s="149" t="str">
        <f>IF(OR($B37="",$B37=0),"",($G37*(CJ$4&lt;$I37)+$H37*(CJ$4&gt;=$I37))*$C37*(1+'Property Summary'!$L$18)^('MF Rents'!CJ$3-1))</f>
        <v/>
      </c>
      <c r="CK37" s="149" t="str">
        <f>IF(OR($B37="",$B37=0),"",($G37*(CK$4&lt;$I37)+$H37*(CK$4&gt;=$I37))*$C37*(1+'Property Summary'!$L$18)^('MF Rents'!CK$3-1))</f>
        <v/>
      </c>
      <c r="CL37" s="149" t="str">
        <f>IF(OR($B37="",$B37=0),"",($G37*(CL$4&lt;$I37)+$H37*(CL$4&gt;=$I37))*$C37*(1+'Property Summary'!$L$18)^('MF Rents'!CL$3-1))</f>
        <v/>
      </c>
      <c r="CM37" s="149" t="str">
        <f>IF(OR($B37="",$B37=0),"",($G37*(CM$4&lt;$I37)+$H37*(CM$4&gt;=$I37))*$C37*(1+'Property Summary'!$L$18)^('MF Rents'!CM$3-1))</f>
        <v/>
      </c>
      <c r="CN37" s="149" t="str">
        <f>IF(OR($B37="",$B37=0),"",($G37*(CN$4&lt;$I37)+$H37*(CN$4&gt;=$I37))*$C37*(1+'Property Summary'!$L$18)^('MF Rents'!CN$3-1))</f>
        <v/>
      </c>
      <c r="CO37" s="149" t="str">
        <f>IF(OR($B37="",$B37=0),"",($G37*(CO$4&lt;$I37)+$H37*(CO$4&gt;=$I37))*$C37*(1+'Property Summary'!$L$18)^('MF Rents'!CO$3-1))</f>
        <v/>
      </c>
      <c r="CP37" s="149" t="str">
        <f>IF(OR($B37="",$B37=0),"",($G37*(CP$4&lt;$I37)+$H37*(CP$4&gt;=$I37))*$C37*(1+'Property Summary'!$L$18)^('MF Rents'!CP$3-1))</f>
        <v/>
      </c>
      <c r="CQ37" s="149" t="str">
        <f>IF(OR($B37="",$B37=0),"",($G37*(CQ$4&lt;$I37)+$H37*(CQ$4&gt;=$I37))*$C37*(1+'Property Summary'!$L$18)^('MF Rents'!CQ$3-1))</f>
        <v/>
      </c>
      <c r="CR37" s="149" t="str">
        <f>IF(OR($B37="",$B37=0),"",($G37*(CR$4&lt;$I37)+$H37*(CR$4&gt;=$I37))*$C37*(1+'Property Summary'!$L$18)^('MF Rents'!CR$3-1))</f>
        <v/>
      </c>
      <c r="CS37" s="149" t="str">
        <f>IF(OR($B37="",$B37=0),"",($G37*(CS$4&lt;$I37)+$H37*(CS$4&gt;=$I37))*$C37*(1+'Property Summary'!$L$18)^('MF Rents'!CS$3-1))</f>
        <v/>
      </c>
      <c r="CT37" s="149" t="str">
        <f>IF(OR($B37="",$B37=0),"",($G37*(CT$4&lt;$I37)+$H37*(CT$4&gt;=$I37))*$C37*(1+'Property Summary'!$L$18)^('MF Rents'!CT$3-1))</f>
        <v/>
      </c>
      <c r="CU37" s="149" t="str">
        <f>IF(OR($B37="",$B37=0),"",($G37*(CU$4&lt;$I37)+$H37*(CU$4&gt;=$I37))*$C37*(1+'Property Summary'!$L$18)^('MF Rents'!CU$3-1))</f>
        <v/>
      </c>
      <c r="CV37" s="149" t="str">
        <f>IF(OR($B37="",$B37=0),"",($G37*(CV$4&lt;$I37)+$H37*(CV$4&gt;=$I37))*$C37*(1+'Property Summary'!$L$18)^('MF Rents'!CV$3-1))</f>
        <v/>
      </c>
      <c r="CW37" s="149" t="str">
        <f>IF(OR($B37="",$B37=0),"",($G37*(CW$4&lt;$I37)+$H37*(CW$4&gt;=$I37))*$C37*(1+'Property Summary'!$L$18)^('MF Rents'!CW$3-1))</f>
        <v/>
      </c>
      <c r="CX37" s="149" t="str">
        <f>IF(OR($B37="",$B37=0),"",($G37*(CX$4&lt;$I37)+$H37*(CX$4&gt;=$I37))*$C37*(1+'Property Summary'!$L$18)^('MF Rents'!CX$3-1))</f>
        <v/>
      </c>
      <c r="CY37" s="149" t="str">
        <f>IF(OR($B37="",$B37=0),"",($G37*(CY$4&lt;$I37)+$H37*(CY$4&gt;=$I37))*$C37*(1+'Property Summary'!$L$18)^('MF Rents'!CY$3-1))</f>
        <v/>
      </c>
      <c r="CZ37" s="149" t="str">
        <f>IF(OR($B37="",$B37=0),"",($G37*(CZ$4&lt;$I37)+$H37*(CZ$4&gt;=$I37))*$C37*(1+'Property Summary'!$L$18)^('MF Rents'!CZ$3-1))</f>
        <v/>
      </c>
      <c r="DA37" s="149" t="str">
        <f>IF(OR($B37="",$B37=0),"",($G37*(DA$4&lt;$I37)+$H37*(DA$4&gt;=$I37))*$C37*(1+'Property Summary'!$L$18)^('MF Rents'!DA$3-1))</f>
        <v/>
      </c>
      <c r="DB37" s="149" t="str">
        <f>IF(OR($B37="",$B37=0),"",($G37*(DB$4&lt;$I37)+$H37*(DB$4&gt;=$I37))*$C37*(1+'Property Summary'!$L$18)^('MF Rents'!DB$3-1))</f>
        <v/>
      </c>
      <c r="DC37" s="149" t="str">
        <f>IF(OR($B37="",$B37=0),"",($G37*(DC$4&lt;$I37)+$H37*(DC$4&gt;=$I37))*$C37*(1+'Property Summary'!$L$18)^('MF Rents'!DC$3-1))</f>
        <v/>
      </c>
      <c r="DD37" s="149" t="str">
        <f>IF(OR($B37="",$B37=0),"",($G37*(DD$4&lt;$I37)+$H37*(DD$4&gt;=$I37))*$C37*(1+'Property Summary'!$L$18)^('MF Rents'!DD$3-1))</f>
        <v/>
      </c>
      <c r="DE37" s="149" t="str">
        <f>IF(OR($B37="",$B37=0),"",($G37*(DE$4&lt;$I37)+$H37*(DE$4&gt;=$I37))*$C37*(1+'Property Summary'!$L$18)^('MF Rents'!DE$3-1))</f>
        <v/>
      </c>
      <c r="DF37" s="149" t="str">
        <f>IF(OR($B37="",$B37=0),"",($G37*(DF$4&lt;$I37)+$H37*(DF$4&gt;=$I37))*$C37*(1+'Property Summary'!$L$18)^('MF Rents'!DF$3-1))</f>
        <v/>
      </c>
      <c r="DG37" s="149" t="str">
        <f>IF(OR($B37="",$B37=0),"",($G37*(DG$4&lt;$I37)+$H37*(DG$4&gt;=$I37))*$C37*(1+'Property Summary'!$L$18)^('MF Rents'!DG$3-1))</f>
        <v/>
      </c>
      <c r="DH37" s="149" t="str">
        <f>IF(OR($B37="",$B37=0),"",($G37*(DH$4&lt;$I37)+$H37*(DH$4&gt;=$I37))*$C37*(1+'Property Summary'!$L$18)^('MF Rents'!DH$3-1))</f>
        <v/>
      </c>
      <c r="DI37" s="149" t="str">
        <f>IF(OR($B37="",$B37=0),"",($G37*(DI$4&lt;$I37)+$H37*(DI$4&gt;=$I37))*$C37*(1+'Property Summary'!$L$18)^('MF Rents'!DI$3-1))</f>
        <v/>
      </c>
      <c r="DJ37" s="149" t="str">
        <f>IF(OR($B37="",$B37=0),"",($G37*(DJ$4&lt;$I37)+$H37*(DJ$4&gt;=$I37))*$C37*(1+'Property Summary'!$L$18)^('MF Rents'!DJ$3-1))</f>
        <v/>
      </c>
      <c r="DK37" s="149" t="str">
        <f>IF(OR($B37="",$B37=0),"",($G37*(DK$4&lt;$I37)+$H37*(DK$4&gt;=$I37))*$C37*(1+'Property Summary'!$L$18)^('MF Rents'!DK$3-1))</f>
        <v/>
      </c>
      <c r="DL37" s="149" t="str">
        <f>IF(OR($B37="",$B37=0),"",($G37*(DL$4&lt;$I37)+$H37*(DL$4&gt;=$I37))*$C37*(1+'Property Summary'!$L$18)^('MF Rents'!DL$3-1))</f>
        <v/>
      </c>
      <c r="DM37" s="149" t="str">
        <f>IF(OR($B37="",$B37=0),"",($G37*(DM$4&lt;$I37)+$H37*(DM$4&gt;=$I37))*$C37*(1+'Property Summary'!$L$18)^('MF Rents'!DM$3-1))</f>
        <v/>
      </c>
      <c r="DN37" s="149" t="str">
        <f>IF(OR($B37="",$B37=0),"",($G37*(DN$4&lt;$I37)+$H37*(DN$4&gt;=$I37))*$C37*(1+'Property Summary'!$L$18)^('MF Rents'!DN$3-1))</f>
        <v/>
      </c>
      <c r="DO37" s="149" t="str">
        <f>IF(OR($B37="",$B37=0),"",($G37*(DO$4&lt;$I37)+$H37*(DO$4&gt;=$I37))*$C37*(1+'Property Summary'!$L$18)^('MF Rents'!DO$3-1))</f>
        <v/>
      </c>
      <c r="DP37" s="149" t="str">
        <f>IF(OR($B37="",$B37=0),"",($G37*(DP$4&lt;$I37)+$H37*(DP$4&gt;=$I37))*$C37*(1+'Property Summary'!$L$18)^('MF Rents'!DP$3-1))</f>
        <v/>
      </c>
      <c r="DQ37" s="149" t="str">
        <f>IF(OR($B37="",$B37=0),"",($G37*(DQ$4&lt;$I37)+$H37*(DQ$4&gt;=$I37))*$C37*(1+'Property Summary'!$L$18)^('MF Rents'!DQ$3-1))</f>
        <v/>
      </c>
      <c r="DR37" s="149" t="str">
        <f>IF(OR($B37="",$B37=0),"",($G37*(DR$4&lt;$I37)+$H37*(DR$4&gt;=$I37))*$C37*(1+'Property Summary'!$L$18)^('MF Rents'!DR$3-1))</f>
        <v/>
      </c>
      <c r="DS37" s="149" t="str">
        <f>IF(OR($B37="",$B37=0),"",($G37*(DS$4&lt;$I37)+$H37*(DS$4&gt;=$I37))*$C37*(1+'Property Summary'!$L$18)^('MF Rents'!DS$3-1))</f>
        <v/>
      </c>
      <c r="DT37" s="149" t="str">
        <f>IF(OR($B37="",$B37=0),"",($G37*(DT$4&lt;$I37)+$H37*(DT$4&gt;=$I37))*$C37*(1+'Property Summary'!$L$18)^('MF Rents'!DT$3-1))</f>
        <v/>
      </c>
      <c r="DU37" s="149" t="str">
        <f>IF(OR($B37="",$B37=0),"",($G37*(DU$4&lt;$I37)+$H37*(DU$4&gt;=$I37))*$C37*(1+'Property Summary'!$L$18)^('MF Rents'!DU$3-1))</f>
        <v/>
      </c>
      <c r="DV37" s="149" t="str">
        <f>IF(OR($B37="",$B37=0),"",($G37*(DV$4&lt;$I37)+$H37*(DV$4&gt;=$I37))*$C37*(1+'Property Summary'!$L$18)^('MF Rents'!DV$3-1))</f>
        <v/>
      </c>
      <c r="DW37" s="149" t="str">
        <f>IF(OR($B37="",$B37=0),"",($G37*(DW$4&lt;$I37)+$H37*(DW$4&gt;=$I37))*$C37*(1+'Property Summary'!$L$18)^('MF Rents'!DW$3-1))</f>
        <v/>
      </c>
      <c r="DX37" s="149" t="str">
        <f>IF(OR($B37="",$B37=0),"",($G37*(DX$4&lt;$I37)+$H37*(DX$4&gt;=$I37))*$C37*(1+'Property Summary'!$L$18)^('MF Rents'!DX$3-1))</f>
        <v/>
      </c>
      <c r="DY37" s="149" t="str">
        <f>IF(OR($B37="",$B37=0),"",($G37*(DY$4&lt;$I37)+$H37*(DY$4&gt;=$I37))*$C37*(1+'Property Summary'!$L$18)^('MF Rents'!DY$3-1))</f>
        <v/>
      </c>
      <c r="DZ37" s="149" t="str">
        <f>IF(OR($B37="",$B37=0),"",($G37*(DZ$4&lt;$I37)+$H37*(DZ$4&gt;=$I37))*$C37*(1+'Property Summary'!$L$18)^('MF Rents'!DZ$3-1))</f>
        <v/>
      </c>
      <c r="EA37" s="149" t="str">
        <f>IF(OR($B37="",$B37=0),"",($G37*(EA$4&lt;$I37)+$H37*(EA$4&gt;=$I37))*$C37*(1+'Property Summary'!$L$18)^('MF Rents'!EA$3-1))</f>
        <v/>
      </c>
      <c r="EB37" s="149" t="str">
        <f>IF(OR($B37="",$B37=0),"",($G37*(EB$4&lt;$I37)+$H37*(EB$4&gt;=$I37))*$C37*(1+'Property Summary'!$L$18)^('MF Rents'!EB$3-1))</f>
        <v/>
      </c>
      <c r="EC37" s="149" t="str">
        <f>IF(OR($B37="",$B37=0),"",($G37*(EC$4&lt;$I37)+$H37*(EC$4&gt;=$I37))*$C37*(1+'Property Summary'!$L$18)^('MF Rents'!EC$3-1))</f>
        <v/>
      </c>
      <c r="ED37" s="149" t="str">
        <f>IF(OR($B37="",$B37=0),"",($G37*(ED$4&lt;$I37)+$H37*(ED$4&gt;=$I37))*$C37*(1+'Property Summary'!$L$18)^('MF Rents'!ED$3-1))</f>
        <v/>
      </c>
      <c r="EE37" s="149" t="str">
        <f>IF(OR($B37="",$B37=0),"",($G37*(EE$4&lt;$I37)+$H37*(EE$4&gt;=$I37))*$C37*(1+'Property Summary'!$L$18)^('MF Rents'!EE$3-1))</f>
        <v/>
      </c>
      <c r="EF37" s="149" t="str">
        <f>IF(OR($B37="",$B37=0),"",($G37*(EF$4&lt;$I37)+$H37*(EF$4&gt;=$I37))*$C37*(1+'Property Summary'!$L$18)^('MF Rents'!EF$3-1))</f>
        <v/>
      </c>
      <c r="EG37" s="149" t="str">
        <f>IF(OR($B37="",$B37=0),"",($G37*(EG$4&lt;$I37)+$H37*(EG$4&gt;=$I37))*$C37*(1+'Property Summary'!$L$18)^('MF Rents'!EG$3-1))</f>
        <v/>
      </c>
      <c r="EH37" s="149" t="str">
        <f>IF(OR($B37="",$B37=0),"",($G37*(EH$4&lt;$I37)+$H37*(EH$4&gt;=$I37))*$C37*(1+'Property Summary'!$L$18)^('MF Rents'!EH$3-1))</f>
        <v/>
      </c>
      <c r="EI37" s="149" t="str">
        <f>IF(OR($B37="",$B37=0),"",($G37*(EI$4&lt;$I37)+$H37*(EI$4&gt;=$I37))*$C37*(1+'Property Summary'!$L$18)^('MF Rents'!EI$3-1))</f>
        <v/>
      </c>
      <c r="EJ37" s="149" t="str">
        <f>IF(OR($B37="",$B37=0),"",($G37*(EJ$4&lt;$I37)+$H37*(EJ$4&gt;=$I37))*$C37*(1+'Property Summary'!$L$18)^('MF Rents'!EJ$3-1))</f>
        <v/>
      </c>
      <c r="EK37" s="149" t="str">
        <f>IF(OR($B37="",$B37=0),"",($G37*(EK$4&lt;$I37)+$H37*(EK$4&gt;=$I37))*$C37*(1+'Property Summary'!$L$18)^('MF Rents'!EK$3-1))</f>
        <v/>
      </c>
      <c r="EL37" s="149" t="str">
        <f>IF(OR($B37="",$B37=0),"",($G37*(EL$4&lt;$I37)+$H37*(EL$4&gt;=$I37))*$C37*(1+'Property Summary'!$L$18)^('MF Rents'!EL$3-1))</f>
        <v/>
      </c>
      <c r="EM37" s="149" t="str">
        <f>IF(OR($B37="",$B37=0),"",($G37*(EM$4&lt;$I37)+$H37*(EM$4&gt;=$I37))*$C37*(1+'Property Summary'!$L$18)^('MF Rents'!EM$3-1))</f>
        <v/>
      </c>
      <c r="EN37" s="149" t="str">
        <f>IF(OR($B37="",$B37=0),"",($G37*(EN$4&lt;$I37)+$H37*(EN$4&gt;=$I37))*$C37*(1+'Property Summary'!$L$18)^('MF Rents'!EN$3-1))</f>
        <v/>
      </c>
      <c r="EO37" s="149" t="str">
        <f>IF(OR($B37="",$B37=0),"",($G37*(EO$4&lt;$I37)+$H37*(EO$4&gt;=$I37))*$C37*(1+'Property Summary'!$L$18)^('MF Rents'!EO$3-1))</f>
        <v/>
      </c>
      <c r="EP37" s="149" t="str">
        <f>IF(OR($B37="",$B37=0),"",($G37*(EP$4&lt;$I37)+$H37*(EP$4&gt;=$I37))*$C37*(1+'Property Summary'!$L$18)^('MF Rents'!EP$3-1))</f>
        <v/>
      </c>
      <c r="EQ37" s="149" t="str">
        <f>IF(OR($B37="",$B37=0),"",($G37*(EQ$4&lt;$I37)+$H37*(EQ$4&gt;=$I37))*$C37*(1+'Property Summary'!$L$18)^('MF Rents'!EQ$3-1))</f>
        <v/>
      </c>
      <c r="ER37" s="149" t="str">
        <f>IF(OR($B37="",$B37=0),"",($G37*(ER$4&lt;$I37)+$H37*(ER$4&gt;=$I37))*$C37*(1+'Property Summary'!$L$18)^('MF Rents'!ER$3-1))</f>
        <v/>
      </c>
      <c r="ES37" s="149" t="str">
        <f>IF(OR($B37="",$B37=0),"",($G37*(ES$4&lt;$I37)+$H37*(ES$4&gt;=$I37))*$C37*(1+'Property Summary'!$L$18)^('MF Rents'!ES$3-1))</f>
        <v/>
      </c>
      <c r="ET37" s="149" t="str">
        <f>IF(OR($B37="",$B37=0),"",($G37*(ET$4&lt;$I37)+$H37*(ET$4&gt;=$I37))*$C37*(1+'Property Summary'!$L$18)^('MF Rents'!ET$3-1))</f>
        <v/>
      </c>
      <c r="EU37" s="149" t="str">
        <f>IF(OR($B37="",$B37=0),"",($G37*(EU$4&lt;$I37)+$H37*(EU$4&gt;=$I37))*$C37*(1+'Property Summary'!$L$18)^('MF Rents'!EU$3-1))</f>
        <v/>
      </c>
      <c r="EV37" s="149" t="str">
        <f>IF(OR($B37="",$B37=0),"",($G37*(EV$4&lt;$I37)+$H37*(EV$4&gt;=$I37))*$C37*(1+'Property Summary'!$L$18)^('MF Rents'!EV$3-1))</f>
        <v/>
      </c>
      <c r="EW37" s="149" t="str">
        <f>IF(OR($B37="",$B37=0),"",($G37*(EW$4&lt;$I37)+$H37*(EW$4&gt;=$I37))*$C37*(1+'Property Summary'!$L$18)^('MF Rents'!EW$3-1))</f>
        <v/>
      </c>
      <c r="EX37" s="149" t="str">
        <f>IF(OR($B37="",$B37=0),"",($G37*(EX$4&lt;$I37)+$H37*(EX$4&gt;=$I37))*$C37*(1+'Property Summary'!$L$18)^('MF Rents'!EX$3-1))</f>
        <v/>
      </c>
      <c r="EY37" s="149" t="str">
        <f>IF(OR($B37="",$B37=0),"",($G37*(EY$4&lt;$I37)+$H37*(EY$4&gt;=$I37))*$C37*(1+'Property Summary'!$L$18)^('MF Rents'!EY$3-1))</f>
        <v/>
      </c>
      <c r="EZ37" s="149" t="str">
        <f>IF(OR($B37="",$B37=0),"",($G37*(EZ$4&lt;$I37)+$H37*(EZ$4&gt;=$I37))*$C37*(1+'Property Summary'!$L$18)^('MF Rents'!EZ$3-1))</f>
        <v/>
      </c>
      <c r="FA37" s="149" t="str">
        <f>IF(OR($B37="",$B37=0),"",($G37*(FA$4&lt;$I37)+$H37*(FA$4&gt;=$I37))*$C37*(1+'Property Summary'!$L$18)^('MF Rents'!FA$3-1))</f>
        <v/>
      </c>
      <c r="FB37" s="149" t="str">
        <f>IF(OR($B37="",$B37=0),"",($G37*(FB$4&lt;$I37)+$H37*(FB$4&gt;=$I37))*$C37*(1+'Property Summary'!$L$18)^('MF Rents'!FB$3-1))</f>
        <v/>
      </c>
      <c r="FC37" s="149" t="str">
        <f>IF(OR($B37="",$B37=0),"",($G37*(FC$4&lt;$I37)+$H37*(FC$4&gt;=$I37))*$C37*(1+'Property Summary'!$L$18)^('MF Rents'!FC$3-1))</f>
        <v/>
      </c>
      <c r="FD37" s="149" t="str">
        <f>IF(OR($B37="",$B37=0),"",($G37*(FD$4&lt;$I37)+$H37*(FD$4&gt;=$I37))*$C37*(1+'Property Summary'!$L$18)^('MF Rents'!FD$3-1))</f>
        <v/>
      </c>
      <c r="FE37" s="149" t="str">
        <f>IF(OR($B37="",$B37=0),"",($G37*(FE$4&lt;$I37)+$H37*(FE$4&gt;=$I37))*$C37*(1+'Property Summary'!$L$18)^('MF Rents'!FE$3-1))</f>
        <v/>
      </c>
      <c r="FF37" s="149" t="str">
        <f>IF(OR($B37="",$B37=0),"",($G37*(FF$4&lt;$I37)+$H37*(FF$4&gt;=$I37))*$C37*(1+'Property Summary'!$L$18)^('MF Rents'!FF$3-1))</f>
        <v/>
      </c>
      <c r="FG37" s="149" t="str">
        <f>IF(OR($B37="",$B37=0),"",($G37*(FG$4&lt;$I37)+$H37*(FG$4&gt;=$I37))*$C37*(1+'Property Summary'!$L$18)^('MF Rents'!FG$3-1))</f>
        <v/>
      </c>
      <c r="FH37" s="149" t="str">
        <f>IF(OR($B37="",$B37=0),"",($G37*(FH$4&lt;$I37)+$H37*(FH$4&gt;=$I37))*$C37*(1+'Property Summary'!$L$18)^('MF Rents'!FH$3-1))</f>
        <v/>
      </c>
      <c r="FI37" s="149" t="str">
        <f>IF(OR($B37="",$B37=0),"",($G37*(FI$4&lt;$I37)+$H37*(FI$4&gt;=$I37))*$C37*(1+'Property Summary'!$L$18)^('MF Rents'!FI$3-1))</f>
        <v/>
      </c>
      <c r="FJ37" s="149" t="str">
        <f>IF(OR($B37="",$B37=0),"",($G37*(FJ$4&lt;$I37)+$H37*(FJ$4&gt;=$I37))*$C37*(1+'Property Summary'!$L$18)^('MF Rents'!FJ$3-1))</f>
        <v/>
      </c>
      <c r="FK37" s="149" t="str">
        <f>IF(OR($B37="",$B37=0),"",($G37*(FK$4&lt;$I37)+$H37*(FK$4&gt;=$I37))*$C37*(1+'Property Summary'!$L$18)^('MF Rents'!FK$3-1))</f>
        <v/>
      </c>
      <c r="FL37" s="149" t="str">
        <f>IF(OR($B37="",$B37=0),"",($G37*(FL$4&lt;$I37)+$H37*(FL$4&gt;=$I37))*$C37*(1+'Property Summary'!$L$18)^('MF Rents'!FL$3-1))</f>
        <v/>
      </c>
      <c r="FM37" s="149" t="str">
        <f>IF(OR($B37="",$B37=0),"",($G37*(FM$4&lt;$I37)+$H37*(FM$4&gt;=$I37))*$C37*(1+'Property Summary'!$L$18)^('MF Rents'!FM$3-1))</f>
        <v/>
      </c>
      <c r="FN37" s="149" t="str">
        <f>IF(OR($B37="",$B37=0),"",($G37*(FN$4&lt;$I37)+$H37*(FN$4&gt;=$I37))*$C37*(1+'Property Summary'!$L$18)^('MF Rents'!FN$3-1))</f>
        <v/>
      </c>
      <c r="FO37" s="149" t="str">
        <f>IF(OR($B37="",$B37=0),"",($G37*(FO$4&lt;$I37)+$H37*(FO$4&gt;=$I37))*$C37*(1+'Property Summary'!$L$18)^('MF Rents'!FO$3-1))</f>
        <v/>
      </c>
      <c r="FP37" s="149" t="str">
        <f>IF(OR($B37="",$B37=0),"",($G37*(FP$4&lt;$I37)+$H37*(FP$4&gt;=$I37))*$C37*(1+'Property Summary'!$L$18)^('MF Rents'!FP$3-1))</f>
        <v/>
      </c>
      <c r="FQ37" s="149" t="str">
        <f>IF(OR($B37="",$B37=0),"",($G37*(FQ$4&lt;$I37)+$H37*(FQ$4&gt;=$I37))*$C37*(1+'Property Summary'!$L$18)^('MF Rents'!FQ$3-1))</f>
        <v/>
      </c>
      <c r="FR37" s="149" t="str">
        <f>IF(OR($B37="",$B37=0),"",($G37*(FR$4&lt;$I37)+$H37*(FR$4&gt;=$I37))*$C37*(1+'Property Summary'!$L$18)^('MF Rents'!FR$3-1))</f>
        <v/>
      </c>
      <c r="FS37" s="149" t="str">
        <f>IF(OR($B37="",$B37=0),"",($G37*(FS$4&lt;$I37)+$H37*(FS$4&gt;=$I37))*$C37*(1+'Property Summary'!$L$18)^('MF Rents'!FS$3-1))</f>
        <v/>
      </c>
      <c r="FT37" s="149" t="str">
        <f>IF(OR($B37="",$B37=0),"",($G37*(FT$4&lt;$I37)+$H37*(FT$4&gt;=$I37))*$C37*(1+'Property Summary'!$L$18)^('MF Rents'!FT$3-1))</f>
        <v/>
      </c>
      <c r="FU37" s="149" t="str">
        <f>IF(OR($B37="",$B37=0),"",($G37*(FU$4&lt;$I37)+$H37*(FU$4&gt;=$I37))*$C37*(1+'Property Summary'!$L$18)^('MF Rents'!FU$3-1))</f>
        <v/>
      </c>
      <c r="FV37" s="149" t="str">
        <f>IF(OR($B37="",$B37=0),"",($G37*(FV$4&lt;$I37)+$H37*(FV$4&gt;=$I37))*$C37*(1+'Property Summary'!$L$18)^('MF Rents'!FV$3-1))</f>
        <v/>
      </c>
      <c r="FW37" s="149" t="str">
        <f>IF(OR($B37="",$B37=0),"",($G37*(FW$4&lt;$I37)+$H37*(FW$4&gt;=$I37))*$C37*(1+'Property Summary'!$L$18)^('MF Rents'!FW$3-1))</f>
        <v/>
      </c>
      <c r="FX37" s="149" t="str">
        <f>IF(OR($B37="",$B37=0),"",($G37*(FX$4&lt;$I37)+$H37*(FX$4&gt;=$I37))*$C37*(1+'Property Summary'!$L$18)^('MF Rents'!FX$3-1))</f>
        <v/>
      </c>
      <c r="FY37" s="149" t="str">
        <f>IF(OR($B37="",$B37=0),"",($G37*(FY$4&lt;$I37)+$H37*(FY$4&gt;=$I37))*$C37*(1+'Property Summary'!$L$18)^('MF Rents'!FY$3-1))</f>
        <v/>
      </c>
      <c r="FZ37" s="149" t="str">
        <f>IF(OR($B37="",$B37=0),"",($G37*(FZ$4&lt;$I37)+$H37*(FZ$4&gt;=$I37))*$C37*(1+'Property Summary'!$L$18)^('MF Rents'!FZ$3-1))</f>
        <v/>
      </c>
      <c r="GA37" s="149" t="str">
        <f>IF(OR($B37="",$B37=0),"",($G37*(GA$4&lt;$I37)+$H37*(GA$4&gt;=$I37))*$C37*(1+'Property Summary'!$L$18)^('MF Rents'!GA$3-1))</f>
        <v/>
      </c>
      <c r="GB37" s="149" t="str">
        <f>IF(OR($B37="",$B37=0),"",($G37*(GB$4&lt;$I37)+$H37*(GB$4&gt;=$I37))*$C37*(1+'Property Summary'!$L$18)^('MF Rents'!GB$3-1))</f>
        <v/>
      </c>
      <c r="GC37" s="149" t="str">
        <f>IF(OR($B37="",$B37=0),"",($G37*(GC$4&lt;$I37)+$H37*(GC$4&gt;=$I37))*$C37*(1+'Property Summary'!$L$18)^('MF Rents'!GC$3-1))</f>
        <v/>
      </c>
      <c r="GD37" s="149" t="str">
        <f>IF(OR($B37="",$B37=0),"",($G37*(GD$4&lt;$I37)+$H37*(GD$4&gt;=$I37))*$C37*(1+'Property Summary'!$L$18)^('MF Rents'!GD$3-1))</f>
        <v/>
      </c>
      <c r="GE37" s="149" t="str">
        <f>IF(OR($B37="",$B37=0),"",($G37*(GE$4&lt;$I37)+$H37*(GE$4&gt;=$I37))*$C37*(1+'Property Summary'!$L$18)^('MF Rents'!GE$3-1))</f>
        <v/>
      </c>
      <c r="GF37" s="149" t="str">
        <f>IF(OR($B37="",$B37=0),"",($G37*(GF$4&lt;$I37)+$H37*(GF$4&gt;=$I37))*$C37*(1+'Property Summary'!$L$18)^('MF Rents'!GF$3-1))</f>
        <v/>
      </c>
      <c r="GG37" s="149" t="str">
        <f>IF(OR($B37="",$B37=0),"",($G37*(GG$4&lt;$I37)+$H37*(GG$4&gt;=$I37))*$C37*(1+'Property Summary'!$L$18)^('MF Rents'!GG$3-1))</f>
        <v/>
      </c>
      <c r="GH37" s="149" t="str">
        <f>IF(OR($B37="",$B37=0),"",($G37*(GH$4&lt;$I37)+$H37*(GH$4&gt;=$I37))*$C37*(1+'Property Summary'!$L$18)^('MF Rents'!GH$3-1))</f>
        <v/>
      </c>
      <c r="GI37" s="149" t="str">
        <f>IF(OR($B37="",$B37=0),"",($G37*(GI$4&lt;$I37)+$H37*(GI$4&gt;=$I37))*$C37*(1+'Property Summary'!$L$18)^('MF Rents'!GI$3-1))</f>
        <v/>
      </c>
      <c r="GJ37" s="149" t="str">
        <f>IF(OR($B37="",$B37=0),"",($G37*(GJ$4&lt;$I37)+$H37*(GJ$4&gt;=$I37))*$C37*(1+'Property Summary'!$L$18)^('MF Rents'!GJ$3-1))</f>
        <v/>
      </c>
      <c r="GK37" s="149" t="str">
        <f>IF(OR($B37="",$B37=0),"",($G37*(GK$4&lt;$I37)+$H37*(GK$4&gt;=$I37))*$C37*(1+'Property Summary'!$L$18)^('MF Rents'!GK$3-1))</f>
        <v/>
      </c>
      <c r="GL37" s="149" t="str">
        <f>IF(OR($B37="",$B37=0),"",($G37*(GL$4&lt;$I37)+$H37*(GL$4&gt;=$I37))*$C37*(1+'Property Summary'!$L$18)^('MF Rents'!GL$3-1))</f>
        <v/>
      </c>
      <c r="GM37" s="149" t="str">
        <f>IF(OR($B37="",$B37=0),"",($G37*(GM$4&lt;$I37)+$H37*(GM$4&gt;=$I37))*$C37*(1+'Property Summary'!$L$18)^('MF Rents'!GM$3-1))</f>
        <v/>
      </c>
      <c r="GN37" s="149" t="str">
        <f>IF(OR($B37="",$B37=0),"",($G37*(GN$4&lt;$I37)+$H37*(GN$4&gt;=$I37))*$C37*(1+'Property Summary'!$L$18)^('MF Rents'!GN$3-1))</f>
        <v/>
      </c>
      <c r="GO37" s="149" t="str">
        <f>IF(OR($B37="",$B37=0),"",($G37*(GO$4&lt;$I37)+$H37*(GO$4&gt;=$I37))*$C37*(1+'Property Summary'!$L$18)^('MF Rents'!GO$3-1))</f>
        <v/>
      </c>
      <c r="GP37" s="149" t="str">
        <f>IF(OR($B37="",$B37=0),"",($G37*(GP$4&lt;$I37)+$H37*(GP$4&gt;=$I37))*$C37*(1+'Property Summary'!$L$18)^('MF Rents'!GP$3-1))</f>
        <v/>
      </c>
      <c r="GQ37" s="149" t="str">
        <f>IF(OR($B37="",$B37=0),"",($G37*(GQ$4&lt;$I37)+$H37*(GQ$4&gt;=$I37))*$C37*(1+'Property Summary'!$L$18)^('MF Rents'!GQ$3-1))</f>
        <v/>
      </c>
      <c r="GR37" s="149" t="str">
        <f>IF(OR($B37="",$B37=0),"",($G37*(GR$4&lt;$I37)+$H37*(GR$4&gt;=$I37))*$C37*(1+'Property Summary'!$L$18)^('MF Rents'!GR$3-1))</f>
        <v/>
      </c>
    </row>
    <row r="38" spans="2:200" x14ac:dyDescent="0.3">
      <c r="B38" s="184">
        <f>'MF Rent Roll'!B37</f>
        <v>0</v>
      </c>
      <c r="C38" s="171">
        <f>'MF Rent Roll'!C37</f>
        <v>0</v>
      </c>
      <c r="D38" s="172">
        <f>'MF Rent Roll'!D37</f>
        <v>0</v>
      </c>
      <c r="E38" s="172">
        <f>'MF Rent Roll'!E37</f>
        <v>0</v>
      </c>
      <c r="F38" s="173">
        <f>'MF Rent Roll'!F37</f>
        <v>0</v>
      </c>
      <c r="G38" s="174">
        <f>'MF Rent Roll'!G37</f>
        <v>0</v>
      </c>
      <c r="H38" s="174">
        <f>IF('MF Rent Roll'!H37="",G38,'MF Rent Roll'!H37)</f>
        <v>0</v>
      </c>
      <c r="I38" s="175">
        <f>IF('MF Rent Roll'!I37="",1,'MF Rent Roll'!I37)</f>
        <v>1</v>
      </c>
      <c r="J38" s="176">
        <f>'MF Rent Roll'!J37</f>
        <v>0</v>
      </c>
      <c r="K38" s="174">
        <f>'MF Rent Roll'!K37</f>
        <v>0</v>
      </c>
      <c r="L38" s="177">
        <f>'MF Rent Roll'!L37</f>
        <v>0</v>
      </c>
      <c r="M38" s="178">
        <f>'MF Rent Roll'!M37</f>
        <v>0</v>
      </c>
      <c r="N38" s="174">
        <f>'MF Rent Roll'!N37</f>
        <v>0</v>
      </c>
      <c r="O38" s="179">
        <f>'MF Rent Roll'!O37</f>
        <v>0</v>
      </c>
      <c r="P38" s="180" t="str">
        <f>'MF Rent Roll'!P37</f>
        <v/>
      </c>
      <c r="Q38" s="181" t="str">
        <f>'MF Rent Roll'!Q37</f>
        <v/>
      </c>
      <c r="R38" s="104" t="str">
        <f>'MF Rent Roll'!R37</f>
        <v/>
      </c>
      <c r="U38" s="149" t="str">
        <f>IF(OR($B38="",$B38=0),"",($G38*(U$4&lt;$I38)+$H38*(U$4&gt;=$I38))*$C38*(1+'Property Summary'!$L$18)^('MF Rents'!U$3-1))</f>
        <v/>
      </c>
      <c r="V38" s="149" t="str">
        <f>IF(OR($B38="",$B38=0),"",($G38*(V$4&lt;$I38)+$H38*(V$4&gt;=$I38))*$C38*(1+'Property Summary'!$L$18)^('MF Rents'!V$3-1))</f>
        <v/>
      </c>
      <c r="W38" s="149" t="str">
        <f>IF(OR($B38="",$B38=0),"",($G38*(W$4&lt;$I38)+$H38*(W$4&gt;=$I38))*$C38*(1+'Property Summary'!$L$18)^('MF Rents'!W$3-1))</f>
        <v/>
      </c>
      <c r="X38" s="149" t="str">
        <f>IF(OR($B38="",$B38=0),"",($G38*(X$4&lt;$I38)+$H38*(X$4&gt;=$I38))*$C38*(1+'Property Summary'!$L$18)^('MF Rents'!X$3-1))</f>
        <v/>
      </c>
      <c r="Y38" s="149" t="str">
        <f>IF(OR($B38="",$B38=0),"",($G38*(Y$4&lt;$I38)+$H38*(Y$4&gt;=$I38))*$C38*(1+'Property Summary'!$L$18)^('MF Rents'!Y$3-1))</f>
        <v/>
      </c>
      <c r="Z38" s="149" t="str">
        <f>IF(OR($B38="",$B38=0),"",($G38*(Z$4&lt;$I38)+$H38*(Z$4&gt;=$I38))*$C38*(1+'Property Summary'!$L$18)^('MF Rents'!Z$3-1))</f>
        <v/>
      </c>
      <c r="AA38" s="149" t="str">
        <f>IF(OR($B38="",$B38=0),"",($G38*(AA$4&lt;$I38)+$H38*(AA$4&gt;=$I38))*$C38*(1+'Property Summary'!$L$18)^('MF Rents'!AA$3-1))</f>
        <v/>
      </c>
      <c r="AB38" s="149" t="str">
        <f>IF(OR($B38="",$B38=0),"",($G38*(AB$4&lt;$I38)+$H38*(AB$4&gt;=$I38))*$C38*(1+'Property Summary'!$L$18)^('MF Rents'!AB$3-1))</f>
        <v/>
      </c>
      <c r="AC38" s="149" t="str">
        <f>IF(OR($B38="",$B38=0),"",($G38*(AC$4&lt;$I38)+$H38*(AC$4&gt;=$I38))*$C38*(1+'Property Summary'!$L$18)^('MF Rents'!AC$3-1))</f>
        <v/>
      </c>
      <c r="AD38" s="149" t="str">
        <f>IF(OR($B38="",$B38=0),"",($G38*(AD$4&lt;$I38)+$H38*(AD$4&gt;=$I38))*$C38*(1+'Property Summary'!$L$18)^('MF Rents'!AD$3-1))</f>
        <v/>
      </c>
      <c r="AE38" s="149" t="str">
        <f>IF(OR($B38="",$B38=0),"",($G38*(AE$4&lt;$I38)+$H38*(AE$4&gt;=$I38))*$C38*(1+'Property Summary'!$L$18)^('MF Rents'!AE$3-1))</f>
        <v/>
      </c>
      <c r="AF38" s="149" t="str">
        <f>IF(OR($B38="",$B38=0),"",($G38*(AF$4&lt;$I38)+$H38*(AF$4&gt;=$I38))*$C38*(1+'Property Summary'!$L$18)^('MF Rents'!AF$3-1))</f>
        <v/>
      </c>
      <c r="AG38" s="149" t="str">
        <f>IF(OR($B38="",$B38=0),"",($G38*(AG$4&lt;$I38)+$H38*(AG$4&gt;=$I38))*$C38*(1+'Property Summary'!$L$18)^('MF Rents'!AG$3-1))</f>
        <v/>
      </c>
      <c r="AH38" s="149" t="str">
        <f>IF(OR($B38="",$B38=0),"",($G38*(AH$4&lt;$I38)+$H38*(AH$4&gt;=$I38))*$C38*(1+'Property Summary'!$L$18)^('MF Rents'!AH$3-1))</f>
        <v/>
      </c>
      <c r="AI38" s="149" t="str">
        <f>IF(OR($B38="",$B38=0),"",($G38*(AI$4&lt;$I38)+$H38*(AI$4&gt;=$I38))*$C38*(1+'Property Summary'!$L$18)^('MF Rents'!AI$3-1))</f>
        <v/>
      </c>
      <c r="AJ38" s="149" t="str">
        <f>IF(OR($B38="",$B38=0),"",($G38*(AJ$4&lt;$I38)+$H38*(AJ$4&gt;=$I38))*$C38*(1+'Property Summary'!$L$18)^('MF Rents'!AJ$3-1))</f>
        <v/>
      </c>
      <c r="AK38" s="149" t="str">
        <f>IF(OR($B38="",$B38=0),"",($G38*(AK$4&lt;$I38)+$H38*(AK$4&gt;=$I38))*$C38*(1+'Property Summary'!$L$18)^('MF Rents'!AK$3-1))</f>
        <v/>
      </c>
      <c r="AL38" s="149" t="str">
        <f>IF(OR($B38="",$B38=0),"",($G38*(AL$4&lt;$I38)+$H38*(AL$4&gt;=$I38))*$C38*(1+'Property Summary'!$L$18)^('MF Rents'!AL$3-1))</f>
        <v/>
      </c>
      <c r="AM38" s="149" t="str">
        <f>IF(OR($B38="",$B38=0),"",($G38*(AM$4&lt;$I38)+$H38*(AM$4&gt;=$I38))*$C38*(1+'Property Summary'!$L$18)^('MF Rents'!AM$3-1))</f>
        <v/>
      </c>
      <c r="AN38" s="149" t="str">
        <f>IF(OR($B38="",$B38=0),"",($G38*(AN$4&lt;$I38)+$H38*(AN$4&gt;=$I38))*$C38*(1+'Property Summary'!$L$18)^('MF Rents'!AN$3-1))</f>
        <v/>
      </c>
      <c r="AO38" s="149" t="str">
        <f>IF(OR($B38="",$B38=0),"",($G38*(AO$4&lt;$I38)+$H38*(AO$4&gt;=$I38))*$C38*(1+'Property Summary'!$L$18)^('MF Rents'!AO$3-1))</f>
        <v/>
      </c>
      <c r="AP38" s="149" t="str">
        <f>IF(OR($B38="",$B38=0),"",($G38*(AP$4&lt;$I38)+$H38*(AP$4&gt;=$I38))*$C38*(1+'Property Summary'!$L$18)^('MF Rents'!AP$3-1))</f>
        <v/>
      </c>
      <c r="AQ38" s="149" t="str">
        <f>IF(OR($B38="",$B38=0),"",($G38*(AQ$4&lt;$I38)+$H38*(AQ$4&gt;=$I38))*$C38*(1+'Property Summary'!$L$18)^('MF Rents'!AQ$3-1))</f>
        <v/>
      </c>
      <c r="AR38" s="149" t="str">
        <f>IF(OR($B38="",$B38=0),"",($G38*(AR$4&lt;$I38)+$H38*(AR$4&gt;=$I38))*$C38*(1+'Property Summary'!$L$18)^('MF Rents'!AR$3-1))</f>
        <v/>
      </c>
      <c r="AS38" s="149" t="str">
        <f>IF(OR($B38="",$B38=0),"",($G38*(AS$4&lt;$I38)+$H38*(AS$4&gt;=$I38))*$C38*(1+'Property Summary'!$L$18)^('MF Rents'!AS$3-1))</f>
        <v/>
      </c>
      <c r="AT38" s="149" t="str">
        <f>IF(OR($B38="",$B38=0),"",($G38*(AT$4&lt;$I38)+$H38*(AT$4&gt;=$I38))*$C38*(1+'Property Summary'!$L$18)^('MF Rents'!AT$3-1))</f>
        <v/>
      </c>
      <c r="AU38" s="149" t="str">
        <f>IF(OR($B38="",$B38=0),"",($G38*(AU$4&lt;$I38)+$H38*(AU$4&gt;=$I38))*$C38*(1+'Property Summary'!$L$18)^('MF Rents'!AU$3-1))</f>
        <v/>
      </c>
      <c r="AV38" s="149" t="str">
        <f>IF(OR($B38="",$B38=0),"",($G38*(AV$4&lt;$I38)+$H38*(AV$4&gt;=$I38))*$C38*(1+'Property Summary'!$L$18)^('MF Rents'!AV$3-1))</f>
        <v/>
      </c>
      <c r="AW38" s="149" t="str">
        <f>IF(OR($B38="",$B38=0),"",($G38*(AW$4&lt;$I38)+$H38*(AW$4&gt;=$I38))*$C38*(1+'Property Summary'!$L$18)^('MF Rents'!AW$3-1))</f>
        <v/>
      </c>
      <c r="AX38" s="149" t="str">
        <f>IF(OR($B38="",$B38=0),"",($G38*(AX$4&lt;$I38)+$H38*(AX$4&gt;=$I38))*$C38*(1+'Property Summary'!$L$18)^('MF Rents'!AX$3-1))</f>
        <v/>
      </c>
      <c r="AY38" s="149" t="str">
        <f>IF(OR($B38="",$B38=0),"",($G38*(AY$4&lt;$I38)+$H38*(AY$4&gt;=$I38))*$C38*(1+'Property Summary'!$L$18)^('MF Rents'!AY$3-1))</f>
        <v/>
      </c>
      <c r="AZ38" s="149" t="str">
        <f>IF(OR($B38="",$B38=0),"",($G38*(AZ$4&lt;$I38)+$H38*(AZ$4&gt;=$I38))*$C38*(1+'Property Summary'!$L$18)^('MF Rents'!AZ$3-1))</f>
        <v/>
      </c>
      <c r="BA38" s="149" t="str">
        <f>IF(OR($B38="",$B38=0),"",($G38*(BA$4&lt;$I38)+$H38*(BA$4&gt;=$I38))*$C38*(1+'Property Summary'!$L$18)^('MF Rents'!BA$3-1))</f>
        <v/>
      </c>
      <c r="BB38" s="149" t="str">
        <f>IF(OR($B38="",$B38=0),"",($G38*(BB$4&lt;$I38)+$H38*(BB$4&gt;=$I38))*$C38*(1+'Property Summary'!$L$18)^('MF Rents'!BB$3-1))</f>
        <v/>
      </c>
      <c r="BC38" s="149" t="str">
        <f>IF(OR($B38="",$B38=0),"",($G38*(BC$4&lt;$I38)+$H38*(BC$4&gt;=$I38))*$C38*(1+'Property Summary'!$L$18)^('MF Rents'!BC$3-1))</f>
        <v/>
      </c>
      <c r="BD38" s="149" t="str">
        <f>IF(OR($B38="",$B38=0),"",($G38*(BD$4&lt;$I38)+$H38*(BD$4&gt;=$I38))*$C38*(1+'Property Summary'!$L$18)^('MF Rents'!BD$3-1))</f>
        <v/>
      </c>
      <c r="BE38" s="149" t="str">
        <f>IF(OR($B38="",$B38=0),"",($G38*(BE$4&lt;$I38)+$H38*(BE$4&gt;=$I38))*$C38*(1+'Property Summary'!$L$18)^('MF Rents'!BE$3-1))</f>
        <v/>
      </c>
      <c r="BF38" s="149" t="str">
        <f>IF(OR($B38="",$B38=0),"",($G38*(BF$4&lt;$I38)+$H38*(BF$4&gt;=$I38))*$C38*(1+'Property Summary'!$L$18)^('MF Rents'!BF$3-1))</f>
        <v/>
      </c>
      <c r="BG38" s="149" t="str">
        <f>IF(OR($B38="",$B38=0),"",($G38*(BG$4&lt;$I38)+$H38*(BG$4&gt;=$I38))*$C38*(1+'Property Summary'!$L$18)^('MF Rents'!BG$3-1))</f>
        <v/>
      </c>
      <c r="BH38" s="149" t="str">
        <f>IF(OR($B38="",$B38=0),"",($G38*(BH$4&lt;$I38)+$H38*(BH$4&gt;=$I38))*$C38*(1+'Property Summary'!$L$18)^('MF Rents'!BH$3-1))</f>
        <v/>
      </c>
      <c r="BI38" s="149" t="str">
        <f>IF(OR($B38="",$B38=0),"",($G38*(BI$4&lt;$I38)+$H38*(BI$4&gt;=$I38))*$C38*(1+'Property Summary'!$L$18)^('MF Rents'!BI$3-1))</f>
        <v/>
      </c>
      <c r="BJ38" s="149" t="str">
        <f>IF(OR($B38="",$B38=0),"",($G38*(BJ$4&lt;$I38)+$H38*(BJ$4&gt;=$I38))*$C38*(1+'Property Summary'!$L$18)^('MF Rents'!BJ$3-1))</f>
        <v/>
      </c>
      <c r="BK38" s="149" t="str">
        <f>IF(OR($B38="",$B38=0),"",($G38*(BK$4&lt;$I38)+$H38*(BK$4&gt;=$I38))*$C38*(1+'Property Summary'!$L$18)^('MF Rents'!BK$3-1))</f>
        <v/>
      </c>
      <c r="BL38" s="149" t="str">
        <f>IF(OR($B38="",$B38=0),"",($G38*(BL$4&lt;$I38)+$H38*(BL$4&gt;=$I38))*$C38*(1+'Property Summary'!$L$18)^('MF Rents'!BL$3-1))</f>
        <v/>
      </c>
      <c r="BM38" s="149" t="str">
        <f>IF(OR($B38="",$B38=0),"",($G38*(BM$4&lt;$I38)+$H38*(BM$4&gt;=$I38))*$C38*(1+'Property Summary'!$L$18)^('MF Rents'!BM$3-1))</f>
        <v/>
      </c>
      <c r="BN38" s="149" t="str">
        <f>IF(OR($B38="",$B38=0),"",($G38*(BN$4&lt;$I38)+$H38*(BN$4&gt;=$I38))*$C38*(1+'Property Summary'!$L$18)^('MF Rents'!BN$3-1))</f>
        <v/>
      </c>
      <c r="BO38" s="149" t="str">
        <f>IF(OR($B38="",$B38=0),"",($G38*(BO$4&lt;$I38)+$H38*(BO$4&gt;=$I38))*$C38*(1+'Property Summary'!$L$18)^('MF Rents'!BO$3-1))</f>
        <v/>
      </c>
      <c r="BP38" s="149" t="str">
        <f>IF(OR($B38="",$B38=0),"",($G38*(BP$4&lt;$I38)+$H38*(BP$4&gt;=$I38))*$C38*(1+'Property Summary'!$L$18)^('MF Rents'!BP$3-1))</f>
        <v/>
      </c>
      <c r="BQ38" s="149" t="str">
        <f>IF(OR($B38="",$B38=0),"",($G38*(BQ$4&lt;$I38)+$H38*(BQ$4&gt;=$I38))*$C38*(1+'Property Summary'!$L$18)^('MF Rents'!BQ$3-1))</f>
        <v/>
      </c>
      <c r="BR38" s="149" t="str">
        <f>IF(OR($B38="",$B38=0),"",($G38*(BR$4&lt;$I38)+$H38*(BR$4&gt;=$I38))*$C38*(1+'Property Summary'!$L$18)^('MF Rents'!BR$3-1))</f>
        <v/>
      </c>
      <c r="BS38" s="149" t="str">
        <f>IF(OR($B38="",$B38=0),"",($G38*(BS$4&lt;$I38)+$H38*(BS$4&gt;=$I38))*$C38*(1+'Property Summary'!$L$18)^('MF Rents'!BS$3-1))</f>
        <v/>
      </c>
      <c r="BT38" s="149" t="str">
        <f>IF(OR($B38="",$B38=0),"",($G38*(BT$4&lt;$I38)+$H38*(BT$4&gt;=$I38))*$C38*(1+'Property Summary'!$L$18)^('MF Rents'!BT$3-1))</f>
        <v/>
      </c>
      <c r="BU38" s="149" t="str">
        <f>IF(OR($B38="",$B38=0),"",($G38*(BU$4&lt;$I38)+$H38*(BU$4&gt;=$I38))*$C38*(1+'Property Summary'!$L$18)^('MF Rents'!BU$3-1))</f>
        <v/>
      </c>
      <c r="BV38" s="149" t="str">
        <f>IF(OR($B38="",$B38=0),"",($G38*(BV$4&lt;$I38)+$H38*(BV$4&gt;=$I38))*$C38*(1+'Property Summary'!$L$18)^('MF Rents'!BV$3-1))</f>
        <v/>
      </c>
      <c r="BW38" s="149" t="str">
        <f>IF(OR($B38="",$B38=0),"",($G38*(BW$4&lt;$I38)+$H38*(BW$4&gt;=$I38))*$C38*(1+'Property Summary'!$L$18)^('MF Rents'!BW$3-1))</f>
        <v/>
      </c>
      <c r="BX38" s="149" t="str">
        <f>IF(OR($B38="",$B38=0),"",($G38*(BX$4&lt;$I38)+$H38*(BX$4&gt;=$I38))*$C38*(1+'Property Summary'!$L$18)^('MF Rents'!BX$3-1))</f>
        <v/>
      </c>
      <c r="BY38" s="149" t="str">
        <f>IF(OR($B38="",$B38=0),"",($G38*(BY$4&lt;$I38)+$H38*(BY$4&gt;=$I38))*$C38*(1+'Property Summary'!$L$18)^('MF Rents'!BY$3-1))</f>
        <v/>
      </c>
      <c r="BZ38" s="149" t="str">
        <f>IF(OR($B38="",$B38=0),"",($G38*(BZ$4&lt;$I38)+$H38*(BZ$4&gt;=$I38))*$C38*(1+'Property Summary'!$L$18)^('MF Rents'!BZ$3-1))</f>
        <v/>
      </c>
      <c r="CA38" s="149" t="str">
        <f>IF(OR($B38="",$B38=0),"",($G38*(CA$4&lt;$I38)+$H38*(CA$4&gt;=$I38))*$C38*(1+'Property Summary'!$L$18)^('MF Rents'!CA$3-1))</f>
        <v/>
      </c>
      <c r="CB38" s="149" t="str">
        <f>IF(OR($B38="",$B38=0),"",($G38*(CB$4&lt;$I38)+$H38*(CB$4&gt;=$I38))*$C38*(1+'Property Summary'!$L$18)^('MF Rents'!CB$3-1))</f>
        <v/>
      </c>
      <c r="CC38" s="149" t="str">
        <f>IF(OR($B38="",$B38=0),"",($G38*(CC$4&lt;$I38)+$H38*(CC$4&gt;=$I38))*$C38*(1+'Property Summary'!$L$18)^('MF Rents'!CC$3-1))</f>
        <v/>
      </c>
      <c r="CD38" s="149" t="str">
        <f>IF(OR($B38="",$B38=0),"",($G38*(CD$4&lt;$I38)+$H38*(CD$4&gt;=$I38))*$C38*(1+'Property Summary'!$L$18)^('MF Rents'!CD$3-1))</f>
        <v/>
      </c>
      <c r="CE38" s="149" t="str">
        <f>IF(OR($B38="",$B38=0),"",($G38*(CE$4&lt;$I38)+$H38*(CE$4&gt;=$I38))*$C38*(1+'Property Summary'!$L$18)^('MF Rents'!CE$3-1))</f>
        <v/>
      </c>
      <c r="CF38" s="149" t="str">
        <f>IF(OR($B38="",$B38=0),"",($G38*(CF$4&lt;$I38)+$H38*(CF$4&gt;=$I38))*$C38*(1+'Property Summary'!$L$18)^('MF Rents'!CF$3-1))</f>
        <v/>
      </c>
      <c r="CG38" s="149" t="str">
        <f>IF(OR($B38="",$B38=0),"",($G38*(CG$4&lt;$I38)+$H38*(CG$4&gt;=$I38))*$C38*(1+'Property Summary'!$L$18)^('MF Rents'!CG$3-1))</f>
        <v/>
      </c>
      <c r="CH38" s="149" t="str">
        <f>IF(OR($B38="",$B38=0),"",($G38*(CH$4&lt;$I38)+$H38*(CH$4&gt;=$I38))*$C38*(1+'Property Summary'!$L$18)^('MF Rents'!CH$3-1))</f>
        <v/>
      </c>
      <c r="CI38" s="149" t="str">
        <f>IF(OR($B38="",$B38=0),"",($G38*(CI$4&lt;$I38)+$H38*(CI$4&gt;=$I38))*$C38*(1+'Property Summary'!$L$18)^('MF Rents'!CI$3-1))</f>
        <v/>
      </c>
      <c r="CJ38" s="149" t="str">
        <f>IF(OR($B38="",$B38=0),"",($G38*(CJ$4&lt;$I38)+$H38*(CJ$4&gt;=$I38))*$C38*(1+'Property Summary'!$L$18)^('MF Rents'!CJ$3-1))</f>
        <v/>
      </c>
      <c r="CK38" s="149" t="str">
        <f>IF(OR($B38="",$B38=0),"",($G38*(CK$4&lt;$I38)+$H38*(CK$4&gt;=$I38))*$C38*(1+'Property Summary'!$L$18)^('MF Rents'!CK$3-1))</f>
        <v/>
      </c>
      <c r="CL38" s="149" t="str">
        <f>IF(OR($B38="",$B38=0),"",($G38*(CL$4&lt;$I38)+$H38*(CL$4&gt;=$I38))*$C38*(1+'Property Summary'!$L$18)^('MF Rents'!CL$3-1))</f>
        <v/>
      </c>
      <c r="CM38" s="149" t="str">
        <f>IF(OR($B38="",$B38=0),"",($G38*(CM$4&lt;$I38)+$H38*(CM$4&gt;=$I38))*$C38*(1+'Property Summary'!$L$18)^('MF Rents'!CM$3-1))</f>
        <v/>
      </c>
      <c r="CN38" s="149" t="str">
        <f>IF(OR($B38="",$B38=0),"",($G38*(CN$4&lt;$I38)+$H38*(CN$4&gt;=$I38))*$C38*(1+'Property Summary'!$L$18)^('MF Rents'!CN$3-1))</f>
        <v/>
      </c>
      <c r="CO38" s="149" t="str">
        <f>IF(OR($B38="",$B38=0),"",($G38*(CO$4&lt;$I38)+$H38*(CO$4&gt;=$I38))*$C38*(1+'Property Summary'!$L$18)^('MF Rents'!CO$3-1))</f>
        <v/>
      </c>
      <c r="CP38" s="149" t="str">
        <f>IF(OR($B38="",$B38=0),"",($G38*(CP$4&lt;$I38)+$H38*(CP$4&gt;=$I38))*$C38*(1+'Property Summary'!$L$18)^('MF Rents'!CP$3-1))</f>
        <v/>
      </c>
      <c r="CQ38" s="149" t="str">
        <f>IF(OR($B38="",$B38=0),"",($G38*(CQ$4&lt;$I38)+$H38*(CQ$4&gt;=$I38))*$C38*(1+'Property Summary'!$L$18)^('MF Rents'!CQ$3-1))</f>
        <v/>
      </c>
      <c r="CR38" s="149" t="str">
        <f>IF(OR($B38="",$B38=0),"",($G38*(CR$4&lt;$I38)+$H38*(CR$4&gt;=$I38))*$C38*(1+'Property Summary'!$L$18)^('MF Rents'!CR$3-1))</f>
        <v/>
      </c>
      <c r="CS38" s="149" t="str">
        <f>IF(OR($B38="",$B38=0),"",($G38*(CS$4&lt;$I38)+$H38*(CS$4&gt;=$I38))*$C38*(1+'Property Summary'!$L$18)^('MF Rents'!CS$3-1))</f>
        <v/>
      </c>
      <c r="CT38" s="149" t="str">
        <f>IF(OR($B38="",$B38=0),"",($G38*(CT$4&lt;$I38)+$H38*(CT$4&gt;=$I38))*$C38*(1+'Property Summary'!$L$18)^('MF Rents'!CT$3-1))</f>
        <v/>
      </c>
      <c r="CU38" s="149" t="str">
        <f>IF(OR($B38="",$B38=0),"",($G38*(CU$4&lt;$I38)+$H38*(CU$4&gt;=$I38))*$C38*(1+'Property Summary'!$L$18)^('MF Rents'!CU$3-1))</f>
        <v/>
      </c>
      <c r="CV38" s="149" t="str">
        <f>IF(OR($B38="",$B38=0),"",($G38*(CV$4&lt;$I38)+$H38*(CV$4&gt;=$I38))*$C38*(1+'Property Summary'!$L$18)^('MF Rents'!CV$3-1))</f>
        <v/>
      </c>
      <c r="CW38" s="149" t="str">
        <f>IF(OR($B38="",$B38=0),"",($G38*(CW$4&lt;$I38)+$H38*(CW$4&gt;=$I38))*$C38*(1+'Property Summary'!$L$18)^('MF Rents'!CW$3-1))</f>
        <v/>
      </c>
      <c r="CX38" s="149" t="str">
        <f>IF(OR($B38="",$B38=0),"",($G38*(CX$4&lt;$I38)+$H38*(CX$4&gt;=$I38))*$C38*(1+'Property Summary'!$L$18)^('MF Rents'!CX$3-1))</f>
        <v/>
      </c>
      <c r="CY38" s="149" t="str">
        <f>IF(OR($B38="",$B38=0),"",($G38*(CY$4&lt;$I38)+$H38*(CY$4&gt;=$I38))*$C38*(1+'Property Summary'!$L$18)^('MF Rents'!CY$3-1))</f>
        <v/>
      </c>
      <c r="CZ38" s="149" t="str">
        <f>IF(OR($B38="",$B38=0),"",($G38*(CZ$4&lt;$I38)+$H38*(CZ$4&gt;=$I38))*$C38*(1+'Property Summary'!$L$18)^('MF Rents'!CZ$3-1))</f>
        <v/>
      </c>
      <c r="DA38" s="149" t="str">
        <f>IF(OR($B38="",$B38=0),"",($G38*(DA$4&lt;$I38)+$H38*(DA$4&gt;=$I38))*$C38*(1+'Property Summary'!$L$18)^('MF Rents'!DA$3-1))</f>
        <v/>
      </c>
      <c r="DB38" s="149" t="str">
        <f>IF(OR($B38="",$B38=0),"",($G38*(DB$4&lt;$I38)+$H38*(DB$4&gt;=$I38))*$C38*(1+'Property Summary'!$L$18)^('MF Rents'!DB$3-1))</f>
        <v/>
      </c>
      <c r="DC38" s="149" t="str">
        <f>IF(OR($B38="",$B38=0),"",($G38*(DC$4&lt;$I38)+$H38*(DC$4&gt;=$I38))*$C38*(1+'Property Summary'!$L$18)^('MF Rents'!DC$3-1))</f>
        <v/>
      </c>
      <c r="DD38" s="149" t="str">
        <f>IF(OR($B38="",$B38=0),"",($G38*(DD$4&lt;$I38)+$H38*(DD$4&gt;=$I38))*$C38*(1+'Property Summary'!$L$18)^('MF Rents'!DD$3-1))</f>
        <v/>
      </c>
      <c r="DE38" s="149" t="str">
        <f>IF(OR($B38="",$B38=0),"",($G38*(DE$4&lt;$I38)+$H38*(DE$4&gt;=$I38))*$C38*(1+'Property Summary'!$L$18)^('MF Rents'!DE$3-1))</f>
        <v/>
      </c>
      <c r="DF38" s="149" t="str">
        <f>IF(OR($B38="",$B38=0),"",($G38*(DF$4&lt;$I38)+$H38*(DF$4&gt;=$I38))*$C38*(1+'Property Summary'!$L$18)^('MF Rents'!DF$3-1))</f>
        <v/>
      </c>
      <c r="DG38" s="149" t="str">
        <f>IF(OR($B38="",$B38=0),"",($G38*(DG$4&lt;$I38)+$H38*(DG$4&gt;=$I38))*$C38*(1+'Property Summary'!$L$18)^('MF Rents'!DG$3-1))</f>
        <v/>
      </c>
      <c r="DH38" s="149" t="str">
        <f>IF(OR($B38="",$B38=0),"",($G38*(DH$4&lt;$I38)+$H38*(DH$4&gt;=$I38))*$C38*(1+'Property Summary'!$L$18)^('MF Rents'!DH$3-1))</f>
        <v/>
      </c>
      <c r="DI38" s="149" t="str">
        <f>IF(OR($B38="",$B38=0),"",($G38*(DI$4&lt;$I38)+$H38*(DI$4&gt;=$I38))*$C38*(1+'Property Summary'!$L$18)^('MF Rents'!DI$3-1))</f>
        <v/>
      </c>
      <c r="DJ38" s="149" t="str">
        <f>IF(OR($B38="",$B38=0),"",($G38*(DJ$4&lt;$I38)+$H38*(DJ$4&gt;=$I38))*$C38*(1+'Property Summary'!$L$18)^('MF Rents'!DJ$3-1))</f>
        <v/>
      </c>
      <c r="DK38" s="149" t="str">
        <f>IF(OR($B38="",$B38=0),"",($G38*(DK$4&lt;$I38)+$H38*(DK$4&gt;=$I38))*$C38*(1+'Property Summary'!$L$18)^('MF Rents'!DK$3-1))</f>
        <v/>
      </c>
      <c r="DL38" s="149" t="str">
        <f>IF(OR($B38="",$B38=0),"",($G38*(DL$4&lt;$I38)+$H38*(DL$4&gt;=$I38))*$C38*(1+'Property Summary'!$L$18)^('MF Rents'!DL$3-1))</f>
        <v/>
      </c>
      <c r="DM38" s="149" t="str">
        <f>IF(OR($B38="",$B38=0),"",($G38*(DM$4&lt;$I38)+$H38*(DM$4&gt;=$I38))*$C38*(1+'Property Summary'!$L$18)^('MF Rents'!DM$3-1))</f>
        <v/>
      </c>
      <c r="DN38" s="149" t="str">
        <f>IF(OR($B38="",$B38=0),"",($G38*(DN$4&lt;$I38)+$H38*(DN$4&gt;=$I38))*$C38*(1+'Property Summary'!$L$18)^('MF Rents'!DN$3-1))</f>
        <v/>
      </c>
      <c r="DO38" s="149" t="str">
        <f>IF(OR($B38="",$B38=0),"",($G38*(DO$4&lt;$I38)+$H38*(DO$4&gt;=$I38))*$C38*(1+'Property Summary'!$L$18)^('MF Rents'!DO$3-1))</f>
        <v/>
      </c>
      <c r="DP38" s="149" t="str">
        <f>IF(OR($B38="",$B38=0),"",($G38*(DP$4&lt;$I38)+$H38*(DP$4&gt;=$I38))*$C38*(1+'Property Summary'!$L$18)^('MF Rents'!DP$3-1))</f>
        <v/>
      </c>
      <c r="DQ38" s="149" t="str">
        <f>IF(OR($B38="",$B38=0),"",($G38*(DQ$4&lt;$I38)+$H38*(DQ$4&gt;=$I38))*$C38*(1+'Property Summary'!$L$18)^('MF Rents'!DQ$3-1))</f>
        <v/>
      </c>
      <c r="DR38" s="149" t="str">
        <f>IF(OR($B38="",$B38=0),"",($G38*(DR$4&lt;$I38)+$H38*(DR$4&gt;=$I38))*$C38*(1+'Property Summary'!$L$18)^('MF Rents'!DR$3-1))</f>
        <v/>
      </c>
      <c r="DS38" s="149" t="str">
        <f>IF(OR($B38="",$B38=0),"",($G38*(DS$4&lt;$I38)+$H38*(DS$4&gt;=$I38))*$C38*(1+'Property Summary'!$L$18)^('MF Rents'!DS$3-1))</f>
        <v/>
      </c>
      <c r="DT38" s="149" t="str">
        <f>IF(OR($B38="",$B38=0),"",($G38*(DT$4&lt;$I38)+$H38*(DT$4&gt;=$I38))*$C38*(1+'Property Summary'!$L$18)^('MF Rents'!DT$3-1))</f>
        <v/>
      </c>
      <c r="DU38" s="149" t="str">
        <f>IF(OR($B38="",$B38=0),"",($G38*(DU$4&lt;$I38)+$H38*(DU$4&gt;=$I38))*$C38*(1+'Property Summary'!$L$18)^('MF Rents'!DU$3-1))</f>
        <v/>
      </c>
      <c r="DV38" s="149" t="str">
        <f>IF(OR($B38="",$B38=0),"",($G38*(DV$4&lt;$I38)+$H38*(DV$4&gt;=$I38))*$C38*(1+'Property Summary'!$L$18)^('MF Rents'!DV$3-1))</f>
        <v/>
      </c>
      <c r="DW38" s="149" t="str">
        <f>IF(OR($B38="",$B38=0),"",($G38*(DW$4&lt;$I38)+$H38*(DW$4&gt;=$I38))*$C38*(1+'Property Summary'!$L$18)^('MF Rents'!DW$3-1))</f>
        <v/>
      </c>
      <c r="DX38" s="149" t="str">
        <f>IF(OR($B38="",$B38=0),"",($G38*(DX$4&lt;$I38)+$H38*(DX$4&gt;=$I38))*$C38*(1+'Property Summary'!$L$18)^('MF Rents'!DX$3-1))</f>
        <v/>
      </c>
      <c r="DY38" s="149" t="str">
        <f>IF(OR($B38="",$B38=0),"",($G38*(DY$4&lt;$I38)+$H38*(DY$4&gt;=$I38))*$C38*(1+'Property Summary'!$L$18)^('MF Rents'!DY$3-1))</f>
        <v/>
      </c>
      <c r="DZ38" s="149" t="str">
        <f>IF(OR($B38="",$B38=0),"",($G38*(DZ$4&lt;$I38)+$H38*(DZ$4&gt;=$I38))*$C38*(1+'Property Summary'!$L$18)^('MF Rents'!DZ$3-1))</f>
        <v/>
      </c>
      <c r="EA38" s="149" t="str">
        <f>IF(OR($B38="",$B38=0),"",($G38*(EA$4&lt;$I38)+$H38*(EA$4&gt;=$I38))*$C38*(1+'Property Summary'!$L$18)^('MF Rents'!EA$3-1))</f>
        <v/>
      </c>
      <c r="EB38" s="149" t="str">
        <f>IF(OR($B38="",$B38=0),"",($G38*(EB$4&lt;$I38)+$H38*(EB$4&gt;=$I38))*$C38*(1+'Property Summary'!$L$18)^('MF Rents'!EB$3-1))</f>
        <v/>
      </c>
      <c r="EC38" s="149" t="str">
        <f>IF(OR($B38="",$B38=0),"",($G38*(EC$4&lt;$I38)+$H38*(EC$4&gt;=$I38))*$C38*(1+'Property Summary'!$L$18)^('MF Rents'!EC$3-1))</f>
        <v/>
      </c>
      <c r="ED38" s="149" t="str">
        <f>IF(OR($B38="",$B38=0),"",($G38*(ED$4&lt;$I38)+$H38*(ED$4&gt;=$I38))*$C38*(1+'Property Summary'!$L$18)^('MF Rents'!ED$3-1))</f>
        <v/>
      </c>
      <c r="EE38" s="149" t="str">
        <f>IF(OR($B38="",$B38=0),"",($G38*(EE$4&lt;$I38)+$H38*(EE$4&gt;=$I38))*$C38*(1+'Property Summary'!$L$18)^('MF Rents'!EE$3-1))</f>
        <v/>
      </c>
      <c r="EF38" s="149" t="str">
        <f>IF(OR($B38="",$B38=0),"",($G38*(EF$4&lt;$I38)+$H38*(EF$4&gt;=$I38))*$C38*(1+'Property Summary'!$L$18)^('MF Rents'!EF$3-1))</f>
        <v/>
      </c>
      <c r="EG38" s="149" t="str">
        <f>IF(OR($B38="",$B38=0),"",($G38*(EG$4&lt;$I38)+$H38*(EG$4&gt;=$I38))*$C38*(1+'Property Summary'!$L$18)^('MF Rents'!EG$3-1))</f>
        <v/>
      </c>
      <c r="EH38" s="149" t="str">
        <f>IF(OR($B38="",$B38=0),"",($G38*(EH$4&lt;$I38)+$H38*(EH$4&gt;=$I38))*$C38*(1+'Property Summary'!$L$18)^('MF Rents'!EH$3-1))</f>
        <v/>
      </c>
      <c r="EI38" s="149" t="str">
        <f>IF(OR($B38="",$B38=0),"",($G38*(EI$4&lt;$I38)+$H38*(EI$4&gt;=$I38))*$C38*(1+'Property Summary'!$L$18)^('MF Rents'!EI$3-1))</f>
        <v/>
      </c>
      <c r="EJ38" s="149" t="str">
        <f>IF(OR($B38="",$B38=0),"",($G38*(EJ$4&lt;$I38)+$H38*(EJ$4&gt;=$I38))*$C38*(1+'Property Summary'!$L$18)^('MF Rents'!EJ$3-1))</f>
        <v/>
      </c>
      <c r="EK38" s="149" t="str">
        <f>IF(OR($B38="",$B38=0),"",($G38*(EK$4&lt;$I38)+$H38*(EK$4&gt;=$I38))*$C38*(1+'Property Summary'!$L$18)^('MF Rents'!EK$3-1))</f>
        <v/>
      </c>
      <c r="EL38" s="149" t="str">
        <f>IF(OR($B38="",$B38=0),"",($G38*(EL$4&lt;$I38)+$H38*(EL$4&gt;=$I38))*$C38*(1+'Property Summary'!$L$18)^('MF Rents'!EL$3-1))</f>
        <v/>
      </c>
      <c r="EM38" s="149" t="str">
        <f>IF(OR($B38="",$B38=0),"",($G38*(EM$4&lt;$I38)+$H38*(EM$4&gt;=$I38))*$C38*(1+'Property Summary'!$L$18)^('MF Rents'!EM$3-1))</f>
        <v/>
      </c>
      <c r="EN38" s="149" t="str">
        <f>IF(OR($B38="",$B38=0),"",($G38*(EN$4&lt;$I38)+$H38*(EN$4&gt;=$I38))*$C38*(1+'Property Summary'!$L$18)^('MF Rents'!EN$3-1))</f>
        <v/>
      </c>
      <c r="EO38" s="149" t="str">
        <f>IF(OR($B38="",$B38=0),"",($G38*(EO$4&lt;$I38)+$H38*(EO$4&gt;=$I38))*$C38*(1+'Property Summary'!$L$18)^('MF Rents'!EO$3-1))</f>
        <v/>
      </c>
      <c r="EP38" s="149" t="str">
        <f>IF(OR($B38="",$B38=0),"",($G38*(EP$4&lt;$I38)+$H38*(EP$4&gt;=$I38))*$C38*(1+'Property Summary'!$L$18)^('MF Rents'!EP$3-1))</f>
        <v/>
      </c>
      <c r="EQ38" s="149" t="str">
        <f>IF(OR($B38="",$B38=0),"",($G38*(EQ$4&lt;$I38)+$H38*(EQ$4&gt;=$I38))*$C38*(1+'Property Summary'!$L$18)^('MF Rents'!EQ$3-1))</f>
        <v/>
      </c>
      <c r="ER38" s="149" t="str">
        <f>IF(OR($B38="",$B38=0),"",($G38*(ER$4&lt;$I38)+$H38*(ER$4&gt;=$I38))*$C38*(1+'Property Summary'!$L$18)^('MF Rents'!ER$3-1))</f>
        <v/>
      </c>
      <c r="ES38" s="149" t="str">
        <f>IF(OR($B38="",$B38=0),"",($G38*(ES$4&lt;$I38)+$H38*(ES$4&gt;=$I38))*$C38*(1+'Property Summary'!$L$18)^('MF Rents'!ES$3-1))</f>
        <v/>
      </c>
      <c r="ET38" s="149" t="str">
        <f>IF(OR($B38="",$B38=0),"",($G38*(ET$4&lt;$I38)+$H38*(ET$4&gt;=$I38))*$C38*(1+'Property Summary'!$L$18)^('MF Rents'!ET$3-1))</f>
        <v/>
      </c>
      <c r="EU38" s="149" t="str">
        <f>IF(OR($B38="",$B38=0),"",($G38*(EU$4&lt;$I38)+$H38*(EU$4&gt;=$I38))*$C38*(1+'Property Summary'!$L$18)^('MF Rents'!EU$3-1))</f>
        <v/>
      </c>
      <c r="EV38" s="149" t="str">
        <f>IF(OR($B38="",$B38=0),"",($G38*(EV$4&lt;$I38)+$H38*(EV$4&gt;=$I38))*$C38*(1+'Property Summary'!$L$18)^('MF Rents'!EV$3-1))</f>
        <v/>
      </c>
      <c r="EW38" s="149" t="str">
        <f>IF(OR($B38="",$B38=0),"",($G38*(EW$4&lt;$I38)+$H38*(EW$4&gt;=$I38))*$C38*(1+'Property Summary'!$L$18)^('MF Rents'!EW$3-1))</f>
        <v/>
      </c>
      <c r="EX38" s="149" t="str">
        <f>IF(OR($B38="",$B38=0),"",($G38*(EX$4&lt;$I38)+$H38*(EX$4&gt;=$I38))*$C38*(1+'Property Summary'!$L$18)^('MF Rents'!EX$3-1))</f>
        <v/>
      </c>
      <c r="EY38" s="149" t="str">
        <f>IF(OR($B38="",$B38=0),"",($G38*(EY$4&lt;$I38)+$H38*(EY$4&gt;=$I38))*$C38*(1+'Property Summary'!$L$18)^('MF Rents'!EY$3-1))</f>
        <v/>
      </c>
      <c r="EZ38" s="149" t="str">
        <f>IF(OR($B38="",$B38=0),"",($G38*(EZ$4&lt;$I38)+$H38*(EZ$4&gt;=$I38))*$C38*(1+'Property Summary'!$L$18)^('MF Rents'!EZ$3-1))</f>
        <v/>
      </c>
      <c r="FA38" s="149" t="str">
        <f>IF(OR($B38="",$B38=0),"",($G38*(FA$4&lt;$I38)+$H38*(FA$4&gt;=$I38))*$C38*(1+'Property Summary'!$L$18)^('MF Rents'!FA$3-1))</f>
        <v/>
      </c>
      <c r="FB38" s="149" t="str">
        <f>IF(OR($B38="",$B38=0),"",($G38*(FB$4&lt;$I38)+$H38*(FB$4&gt;=$I38))*$C38*(1+'Property Summary'!$L$18)^('MF Rents'!FB$3-1))</f>
        <v/>
      </c>
      <c r="FC38" s="149" t="str">
        <f>IF(OR($B38="",$B38=0),"",($G38*(FC$4&lt;$I38)+$H38*(FC$4&gt;=$I38))*$C38*(1+'Property Summary'!$L$18)^('MF Rents'!FC$3-1))</f>
        <v/>
      </c>
      <c r="FD38" s="149" t="str">
        <f>IF(OR($B38="",$B38=0),"",($G38*(FD$4&lt;$I38)+$H38*(FD$4&gt;=$I38))*$C38*(1+'Property Summary'!$L$18)^('MF Rents'!FD$3-1))</f>
        <v/>
      </c>
      <c r="FE38" s="149" t="str">
        <f>IF(OR($B38="",$B38=0),"",($G38*(FE$4&lt;$I38)+$H38*(FE$4&gt;=$I38))*$C38*(1+'Property Summary'!$L$18)^('MF Rents'!FE$3-1))</f>
        <v/>
      </c>
      <c r="FF38" s="149" t="str">
        <f>IF(OR($B38="",$B38=0),"",($G38*(FF$4&lt;$I38)+$H38*(FF$4&gt;=$I38))*$C38*(1+'Property Summary'!$L$18)^('MF Rents'!FF$3-1))</f>
        <v/>
      </c>
      <c r="FG38" s="149" t="str">
        <f>IF(OR($B38="",$B38=0),"",($G38*(FG$4&lt;$I38)+$H38*(FG$4&gt;=$I38))*$C38*(1+'Property Summary'!$L$18)^('MF Rents'!FG$3-1))</f>
        <v/>
      </c>
      <c r="FH38" s="149" t="str">
        <f>IF(OR($B38="",$B38=0),"",($G38*(FH$4&lt;$I38)+$H38*(FH$4&gt;=$I38))*$C38*(1+'Property Summary'!$L$18)^('MF Rents'!FH$3-1))</f>
        <v/>
      </c>
      <c r="FI38" s="149" t="str">
        <f>IF(OR($B38="",$B38=0),"",($G38*(FI$4&lt;$I38)+$H38*(FI$4&gt;=$I38))*$C38*(1+'Property Summary'!$L$18)^('MF Rents'!FI$3-1))</f>
        <v/>
      </c>
      <c r="FJ38" s="149" t="str">
        <f>IF(OR($B38="",$B38=0),"",($G38*(FJ$4&lt;$I38)+$H38*(FJ$4&gt;=$I38))*$C38*(1+'Property Summary'!$L$18)^('MF Rents'!FJ$3-1))</f>
        <v/>
      </c>
      <c r="FK38" s="149" t="str">
        <f>IF(OR($B38="",$B38=0),"",($G38*(FK$4&lt;$I38)+$H38*(FK$4&gt;=$I38))*$C38*(1+'Property Summary'!$L$18)^('MF Rents'!FK$3-1))</f>
        <v/>
      </c>
      <c r="FL38" s="149" t="str">
        <f>IF(OR($B38="",$B38=0),"",($G38*(FL$4&lt;$I38)+$H38*(FL$4&gt;=$I38))*$C38*(1+'Property Summary'!$L$18)^('MF Rents'!FL$3-1))</f>
        <v/>
      </c>
      <c r="FM38" s="149" t="str">
        <f>IF(OR($B38="",$B38=0),"",($G38*(FM$4&lt;$I38)+$H38*(FM$4&gt;=$I38))*$C38*(1+'Property Summary'!$L$18)^('MF Rents'!FM$3-1))</f>
        <v/>
      </c>
      <c r="FN38" s="149" t="str">
        <f>IF(OR($B38="",$B38=0),"",($G38*(FN$4&lt;$I38)+$H38*(FN$4&gt;=$I38))*$C38*(1+'Property Summary'!$L$18)^('MF Rents'!FN$3-1))</f>
        <v/>
      </c>
      <c r="FO38" s="149" t="str">
        <f>IF(OR($B38="",$B38=0),"",($G38*(FO$4&lt;$I38)+$H38*(FO$4&gt;=$I38))*$C38*(1+'Property Summary'!$L$18)^('MF Rents'!FO$3-1))</f>
        <v/>
      </c>
      <c r="FP38" s="149" t="str">
        <f>IF(OR($B38="",$B38=0),"",($G38*(FP$4&lt;$I38)+$H38*(FP$4&gt;=$I38))*$C38*(1+'Property Summary'!$L$18)^('MF Rents'!FP$3-1))</f>
        <v/>
      </c>
      <c r="FQ38" s="149" t="str">
        <f>IF(OR($B38="",$B38=0),"",($G38*(FQ$4&lt;$I38)+$H38*(FQ$4&gt;=$I38))*$C38*(1+'Property Summary'!$L$18)^('MF Rents'!FQ$3-1))</f>
        <v/>
      </c>
      <c r="FR38" s="149" t="str">
        <f>IF(OR($B38="",$B38=0),"",($G38*(FR$4&lt;$I38)+$H38*(FR$4&gt;=$I38))*$C38*(1+'Property Summary'!$L$18)^('MF Rents'!FR$3-1))</f>
        <v/>
      </c>
      <c r="FS38" s="149" t="str">
        <f>IF(OR($B38="",$B38=0),"",($G38*(FS$4&lt;$I38)+$H38*(FS$4&gt;=$I38))*$C38*(1+'Property Summary'!$L$18)^('MF Rents'!FS$3-1))</f>
        <v/>
      </c>
      <c r="FT38" s="149" t="str">
        <f>IF(OR($B38="",$B38=0),"",($G38*(FT$4&lt;$I38)+$H38*(FT$4&gt;=$I38))*$C38*(1+'Property Summary'!$L$18)^('MF Rents'!FT$3-1))</f>
        <v/>
      </c>
      <c r="FU38" s="149" t="str">
        <f>IF(OR($B38="",$B38=0),"",($G38*(FU$4&lt;$I38)+$H38*(FU$4&gt;=$I38))*$C38*(1+'Property Summary'!$L$18)^('MF Rents'!FU$3-1))</f>
        <v/>
      </c>
      <c r="FV38" s="149" t="str">
        <f>IF(OR($B38="",$B38=0),"",($G38*(FV$4&lt;$I38)+$H38*(FV$4&gt;=$I38))*$C38*(1+'Property Summary'!$L$18)^('MF Rents'!FV$3-1))</f>
        <v/>
      </c>
      <c r="FW38" s="149" t="str">
        <f>IF(OR($B38="",$B38=0),"",($G38*(FW$4&lt;$I38)+$H38*(FW$4&gt;=$I38))*$C38*(1+'Property Summary'!$L$18)^('MF Rents'!FW$3-1))</f>
        <v/>
      </c>
      <c r="FX38" s="149" t="str">
        <f>IF(OR($B38="",$B38=0),"",($G38*(FX$4&lt;$I38)+$H38*(FX$4&gt;=$I38))*$C38*(1+'Property Summary'!$L$18)^('MF Rents'!FX$3-1))</f>
        <v/>
      </c>
      <c r="FY38" s="149" t="str">
        <f>IF(OR($B38="",$B38=0),"",($G38*(FY$4&lt;$I38)+$H38*(FY$4&gt;=$I38))*$C38*(1+'Property Summary'!$L$18)^('MF Rents'!FY$3-1))</f>
        <v/>
      </c>
      <c r="FZ38" s="149" t="str">
        <f>IF(OR($B38="",$B38=0),"",($G38*(FZ$4&lt;$I38)+$H38*(FZ$4&gt;=$I38))*$C38*(1+'Property Summary'!$L$18)^('MF Rents'!FZ$3-1))</f>
        <v/>
      </c>
      <c r="GA38" s="149" t="str">
        <f>IF(OR($B38="",$B38=0),"",($G38*(GA$4&lt;$I38)+$H38*(GA$4&gt;=$I38))*$C38*(1+'Property Summary'!$L$18)^('MF Rents'!GA$3-1))</f>
        <v/>
      </c>
      <c r="GB38" s="149" t="str">
        <f>IF(OR($B38="",$B38=0),"",($G38*(GB$4&lt;$I38)+$H38*(GB$4&gt;=$I38))*$C38*(1+'Property Summary'!$L$18)^('MF Rents'!GB$3-1))</f>
        <v/>
      </c>
      <c r="GC38" s="149" t="str">
        <f>IF(OR($B38="",$B38=0),"",($G38*(GC$4&lt;$I38)+$H38*(GC$4&gt;=$I38))*$C38*(1+'Property Summary'!$L$18)^('MF Rents'!GC$3-1))</f>
        <v/>
      </c>
      <c r="GD38" s="149" t="str">
        <f>IF(OR($B38="",$B38=0),"",($G38*(GD$4&lt;$I38)+$H38*(GD$4&gt;=$I38))*$C38*(1+'Property Summary'!$L$18)^('MF Rents'!GD$3-1))</f>
        <v/>
      </c>
      <c r="GE38" s="149" t="str">
        <f>IF(OR($B38="",$B38=0),"",($G38*(GE$4&lt;$I38)+$H38*(GE$4&gt;=$I38))*$C38*(1+'Property Summary'!$L$18)^('MF Rents'!GE$3-1))</f>
        <v/>
      </c>
      <c r="GF38" s="149" t="str">
        <f>IF(OR($B38="",$B38=0),"",($G38*(GF$4&lt;$I38)+$H38*(GF$4&gt;=$I38))*$C38*(1+'Property Summary'!$L$18)^('MF Rents'!GF$3-1))</f>
        <v/>
      </c>
      <c r="GG38" s="149" t="str">
        <f>IF(OR($B38="",$B38=0),"",($G38*(GG$4&lt;$I38)+$H38*(GG$4&gt;=$I38))*$C38*(1+'Property Summary'!$L$18)^('MF Rents'!GG$3-1))</f>
        <v/>
      </c>
      <c r="GH38" s="149" t="str">
        <f>IF(OR($B38="",$B38=0),"",($G38*(GH$4&lt;$I38)+$H38*(GH$4&gt;=$I38))*$C38*(1+'Property Summary'!$L$18)^('MF Rents'!GH$3-1))</f>
        <v/>
      </c>
      <c r="GI38" s="149" t="str">
        <f>IF(OR($B38="",$B38=0),"",($G38*(GI$4&lt;$I38)+$H38*(GI$4&gt;=$I38))*$C38*(1+'Property Summary'!$L$18)^('MF Rents'!GI$3-1))</f>
        <v/>
      </c>
      <c r="GJ38" s="149" t="str">
        <f>IF(OR($B38="",$B38=0),"",($G38*(GJ$4&lt;$I38)+$H38*(GJ$4&gt;=$I38))*$C38*(1+'Property Summary'!$L$18)^('MF Rents'!GJ$3-1))</f>
        <v/>
      </c>
      <c r="GK38" s="149" t="str">
        <f>IF(OR($B38="",$B38=0),"",($G38*(GK$4&lt;$I38)+$H38*(GK$4&gt;=$I38))*$C38*(1+'Property Summary'!$L$18)^('MF Rents'!GK$3-1))</f>
        <v/>
      </c>
      <c r="GL38" s="149" t="str">
        <f>IF(OR($B38="",$B38=0),"",($G38*(GL$4&lt;$I38)+$H38*(GL$4&gt;=$I38))*$C38*(1+'Property Summary'!$L$18)^('MF Rents'!GL$3-1))</f>
        <v/>
      </c>
      <c r="GM38" s="149" t="str">
        <f>IF(OR($B38="",$B38=0),"",($G38*(GM$4&lt;$I38)+$H38*(GM$4&gt;=$I38))*$C38*(1+'Property Summary'!$L$18)^('MF Rents'!GM$3-1))</f>
        <v/>
      </c>
      <c r="GN38" s="149" t="str">
        <f>IF(OR($B38="",$B38=0),"",($G38*(GN$4&lt;$I38)+$H38*(GN$4&gt;=$I38))*$C38*(1+'Property Summary'!$L$18)^('MF Rents'!GN$3-1))</f>
        <v/>
      </c>
      <c r="GO38" s="149" t="str">
        <f>IF(OR($B38="",$B38=0),"",($G38*(GO$4&lt;$I38)+$H38*(GO$4&gt;=$I38))*$C38*(1+'Property Summary'!$L$18)^('MF Rents'!GO$3-1))</f>
        <v/>
      </c>
      <c r="GP38" s="149" t="str">
        <f>IF(OR($B38="",$B38=0),"",($G38*(GP$4&lt;$I38)+$H38*(GP$4&gt;=$I38))*$C38*(1+'Property Summary'!$L$18)^('MF Rents'!GP$3-1))</f>
        <v/>
      </c>
      <c r="GQ38" s="149" t="str">
        <f>IF(OR($B38="",$B38=0),"",($G38*(GQ$4&lt;$I38)+$H38*(GQ$4&gt;=$I38))*$C38*(1+'Property Summary'!$L$18)^('MF Rents'!GQ$3-1))</f>
        <v/>
      </c>
      <c r="GR38" s="149" t="str">
        <f>IF(OR($B38="",$B38=0),"",($G38*(GR$4&lt;$I38)+$H38*(GR$4&gt;=$I38))*$C38*(1+'Property Summary'!$L$18)^('MF Rents'!GR$3-1))</f>
        <v/>
      </c>
    </row>
    <row r="39" spans="2:200" x14ac:dyDescent="0.3">
      <c r="B39" s="184">
        <f>'MF Rent Roll'!B38</f>
        <v>0</v>
      </c>
      <c r="C39" s="171">
        <f>'MF Rent Roll'!C38</f>
        <v>0</v>
      </c>
      <c r="D39" s="172">
        <f>'MF Rent Roll'!D38</f>
        <v>0</v>
      </c>
      <c r="E39" s="172">
        <f>'MF Rent Roll'!E38</f>
        <v>0</v>
      </c>
      <c r="F39" s="173">
        <f>'MF Rent Roll'!F38</f>
        <v>0</v>
      </c>
      <c r="G39" s="174">
        <f>'MF Rent Roll'!G38</f>
        <v>0</v>
      </c>
      <c r="H39" s="174">
        <f>IF('MF Rent Roll'!H38="",G39,'MF Rent Roll'!H38)</f>
        <v>0</v>
      </c>
      <c r="I39" s="175">
        <f>IF('MF Rent Roll'!I38="",1,'MF Rent Roll'!I38)</f>
        <v>1</v>
      </c>
      <c r="J39" s="176">
        <f>'MF Rent Roll'!J38</f>
        <v>0</v>
      </c>
      <c r="K39" s="174">
        <f>'MF Rent Roll'!K38</f>
        <v>0</v>
      </c>
      <c r="L39" s="177">
        <f>'MF Rent Roll'!L38</f>
        <v>0</v>
      </c>
      <c r="M39" s="178">
        <f>'MF Rent Roll'!M38</f>
        <v>0</v>
      </c>
      <c r="N39" s="174">
        <f>'MF Rent Roll'!N38</f>
        <v>0</v>
      </c>
      <c r="O39" s="179">
        <f>'MF Rent Roll'!O38</f>
        <v>0</v>
      </c>
      <c r="P39" s="180" t="str">
        <f>'MF Rent Roll'!P38</f>
        <v/>
      </c>
      <c r="Q39" s="181" t="str">
        <f>'MF Rent Roll'!Q38</f>
        <v/>
      </c>
      <c r="R39" s="104" t="str">
        <f>'MF Rent Roll'!R38</f>
        <v/>
      </c>
      <c r="U39" s="149" t="str">
        <f>IF(OR($B39="",$B39=0),"",($G39*(U$4&lt;$I39)+$H39*(U$4&gt;=$I39))*$C39*(1+'Property Summary'!$L$18)^('MF Rents'!U$3-1))</f>
        <v/>
      </c>
      <c r="V39" s="149" t="str">
        <f>IF(OR($B39="",$B39=0),"",($G39*(V$4&lt;$I39)+$H39*(V$4&gt;=$I39))*$C39*(1+'Property Summary'!$L$18)^('MF Rents'!V$3-1))</f>
        <v/>
      </c>
      <c r="W39" s="149" t="str">
        <f>IF(OR($B39="",$B39=0),"",($G39*(W$4&lt;$I39)+$H39*(W$4&gt;=$I39))*$C39*(1+'Property Summary'!$L$18)^('MF Rents'!W$3-1))</f>
        <v/>
      </c>
      <c r="X39" s="149" t="str">
        <f>IF(OR($B39="",$B39=0),"",($G39*(X$4&lt;$I39)+$H39*(X$4&gt;=$I39))*$C39*(1+'Property Summary'!$L$18)^('MF Rents'!X$3-1))</f>
        <v/>
      </c>
      <c r="Y39" s="149" t="str">
        <f>IF(OR($B39="",$B39=0),"",($G39*(Y$4&lt;$I39)+$H39*(Y$4&gt;=$I39))*$C39*(1+'Property Summary'!$L$18)^('MF Rents'!Y$3-1))</f>
        <v/>
      </c>
      <c r="Z39" s="149" t="str">
        <f>IF(OR($B39="",$B39=0),"",($G39*(Z$4&lt;$I39)+$H39*(Z$4&gt;=$I39))*$C39*(1+'Property Summary'!$L$18)^('MF Rents'!Z$3-1))</f>
        <v/>
      </c>
      <c r="AA39" s="149" t="str">
        <f>IF(OR($B39="",$B39=0),"",($G39*(AA$4&lt;$I39)+$H39*(AA$4&gt;=$I39))*$C39*(1+'Property Summary'!$L$18)^('MF Rents'!AA$3-1))</f>
        <v/>
      </c>
      <c r="AB39" s="149" t="str">
        <f>IF(OR($B39="",$B39=0),"",($G39*(AB$4&lt;$I39)+$H39*(AB$4&gt;=$I39))*$C39*(1+'Property Summary'!$L$18)^('MF Rents'!AB$3-1))</f>
        <v/>
      </c>
      <c r="AC39" s="149" t="str">
        <f>IF(OR($B39="",$B39=0),"",($G39*(AC$4&lt;$I39)+$H39*(AC$4&gt;=$I39))*$C39*(1+'Property Summary'!$L$18)^('MF Rents'!AC$3-1))</f>
        <v/>
      </c>
      <c r="AD39" s="149" t="str">
        <f>IF(OR($B39="",$B39=0),"",($G39*(AD$4&lt;$I39)+$H39*(AD$4&gt;=$I39))*$C39*(1+'Property Summary'!$L$18)^('MF Rents'!AD$3-1))</f>
        <v/>
      </c>
      <c r="AE39" s="149" t="str">
        <f>IF(OR($B39="",$B39=0),"",($G39*(AE$4&lt;$I39)+$H39*(AE$4&gt;=$I39))*$C39*(1+'Property Summary'!$L$18)^('MF Rents'!AE$3-1))</f>
        <v/>
      </c>
      <c r="AF39" s="149" t="str">
        <f>IF(OR($B39="",$B39=0),"",($G39*(AF$4&lt;$I39)+$H39*(AF$4&gt;=$I39))*$C39*(1+'Property Summary'!$L$18)^('MF Rents'!AF$3-1))</f>
        <v/>
      </c>
      <c r="AG39" s="149" t="str">
        <f>IF(OR($B39="",$B39=0),"",($G39*(AG$4&lt;$I39)+$H39*(AG$4&gt;=$I39))*$C39*(1+'Property Summary'!$L$18)^('MF Rents'!AG$3-1))</f>
        <v/>
      </c>
      <c r="AH39" s="149" t="str">
        <f>IF(OR($B39="",$B39=0),"",($G39*(AH$4&lt;$I39)+$H39*(AH$4&gt;=$I39))*$C39*(1+'Property Summary'!$L$18)^('MF Rents'!AH$3-1))</f>
        <v/>
      </c>
      <c r="AI39" s="149" t="str">
        <f>IF(OR($B39="",$B39=0),"",($G39*(AI$4&lt;$I39)+$H39*(AI$4&gt;=$I39))*$C39*(1+'Property Summary'!$L$18)^('MF Rents'!AI$3-1))</f>
        <v/>
      </c>
      <c r="AJ39" s="149" t="str">
        <f>IF(OR($B39="",$B39=0),"",($G39*(AJ$4&lt;$I39)+$H39*(AJ$4&gt;=$I39))*$C39*(1+'Property Summary'!$L$18)^('MF Rents'!AJ$3-1))</f>
        <v/>
      </c>
      <c r="AK39" s="149" t="str">
        <f>IF(OR($B39="",$B39=0),"",($G39*(AK$4&lt;$I39)+$H39*(AK$4&gt;=$I39))*$C39*(1+'Property Summary'!$L$18)^('MF Rents'!AK$3-1))</f>
        <v/>
      </c>
      <c r="AL39" s="149" t="str">
        <f>IF(OR($B39="",$B39=0),"",($G39*(AL$4&lt;$I39)+$H39*(AL$4&gt;=$I39))*$C39*(1+'Property Summary'!$L$18)^('MF Rents'!AL$3-1))</f>
        <v/>
      </c>
      <c r="AM39" s="149" t="str">
        <f>IF(OR($B39="",$B39=0),"",($G39*(AM$4&lt;$I39)+$H39*(AM$4&gt;=$I39))*$C39*(1+'Property Summary'!$L$18)^('MF Rents'!AM$3-1))</f>
        <v/>
      </c>
      <c r="AN39" s="149" t="str">
        <f>IF(OR($B39="",$B39=0),"",($G39*(AN$4&lt;$I39)+$H39*(AN$4&gt;=$I39))*$C39*(1+'Property Summary'!$L$18)^('MF Rents'!AN$3-1))</f>
        <v/>
      </c>
      <c r="AO39" s="149" t="str">
        <f>IF(OR($B39="",$B39=0),"",($G39*(AO$4&lt;$I39)+$H39*(AO$4&gt;=$I39))*$C39*(1+'Property Summary'!$L$18)^('MF Rents'!AO$3-1))</f>
        <v/>
      </c>
      <c r="AP39" s="149" t="str">
        <f>IF(OR($B39="",$B39=0),"",($G39*(AP$4&lt;$I39)+$H39*(AP$4&gt;=$I39))*$C39*(1+'Property Summary'!$L$18)^('MF Rents'!AP$3-1))</f>
        <v/>
      </c>
      <c r="AQ39" s="149" t="str">
        <f>IF(OR($B39="",$B39=0),"",($G39*(AQ$4&lt;$I39)+$H39*(AQ$4&gt;=$I39))*$C39*(1+'Property Summary'!$L$18)^('MF Rents'!AQ$3-1))</f>
        <v/>
      </c>
      <c r="AR39" s="149" t="str">
        <f>IF(OR($B39="",$B39=0),"",($G39*(AR$4&lt;$I39)+$H39*(AR$4&gt;=$I39))*$C39*(1+'Property Summary'!$L$18)^('MF Rents'!AR$3-1))</f>
        <v/>
      </c>
      <c r="AS39" s="149" t="str">
        <f>IF(OR($B39="",$B39=0),"",($G39*(AS$4&lt;$I39)+$H39*(AS$4&gt;=$I39))*$C39*(1+'Property Summary'!$L$18)^('MF Rents'!AS$3-1))</f>
        <v/>
      </c>
      <c r="AT39" s="149" t="str">
        <f>IF(OR($B39="",$B39=0),"",($G39*(AT$4&lt;$I39)+$H39*(AT$4&gt;=$I39))*$C39*(1+'Property Summary'!$L$18)^('MF Rents'!AT$3-1))</f>
        <v/>
      </c>
      <c r="AU39" s="149" t="str">
        <f>IF(OR($B39="",$B39=0),"",($G39*(AU$4&lt;$I39)+$H39*(AU$4&gt;=$I39))*$C39*(1+'Property Summary'!$L$18)^('MF Rents'!AU$3-1))</f>
        <v/>
      </c>
      <c r="AV39" s="149" t="str">
        <f>IF(OR($B39="",$B39=0),"",($G39*(AV$4&lt;$I39)+$H39*(AV$4&gt;=$I39))*$C39*(1+'Property Summary'!$L$18)^('MF Rents'!AV$3-1))</f>
        <v/>
      </c>
      <c r="AW39" s="149" t="str">
        <f>IF(OR($B39="",$B39=0),"",($G39*(AW$4&lt;$I39)+$H39*(AW$4&gt;=$I39))*$C39*(1+'Property Summary'!$L$18)^('MF Rents'!AW$3-1))</f>
        <v/>
      </c>
      <c r="AX39" s="149" t="str">
        <f>IF(OR($B39="",$B39=0),"",($G39*(AX$4&lt;$I39)+$H39*(AX$4&gt;=$I39))*$C39*(1+'Property Summary'!$L$18)^('MF Rents'!AX$3-1))</f>
        <v/>
      </c>
      <c r="AY39" s="149" t="str">
        <f>IF(OR($B39="",$B39=0),"",($G39*(AY$4&lt;$I39)+$H39*(AY$4&gt;=$I39))*$C39*(1+'Property Summary'!$L$18)^('MF Rents'!AY$3-1))</f>
        <v/>
      </c>
      <c r="AZ39" s="149" t="str">
        <f>IF(OR($B39="",$B39=0),"",($G39*(AZ$4&lt;$I39)+$H39*(AZ$4&gt;=$I39))*$C39*(1+'Property Summary'!$L$18)^('MF Rents'!AZ$3-1))</f>
        <v/>
      </c>
      <c r="BA39" s="149" t="str">
        <f>IF(OR($B39="",$B39=0),"",($G39*(BA$4&lt;$I39)+$H39*(BA$4&gt;=$I39))*$C39*(1+'Property Summary'!$L$18)^('MF Rents'!BA$3-1))</f>
        <v/>
      </c>
      <c r="BB39" s="149" t="str">
        <f>IF(OR($B39="",$B39=0),"",($G39*(BB$4&lt;$I39)+$H39*(BB$4&gt;=$I39))*$C39*(1+'Property Summary'!$L$18)^('MF Rents'!BB$3-1))</f>
        <v/>
      </c>
      <c r="BC39" s="149" t="str">
        <f>IF(OR($B39="",$B39=0),"",($G39*(BC$4&lt;$I39)+$H39*(BC$4&gt;=$I39))*$C39*(1+'Property Summary'!$L$18)^('MF Rents'!BC$3-1))</f>
        <v/>
      </c>
      <c r="BD39" s="149" t="str">
        <f>IF(OR($B39="",$B39=0),"",($G39*(BD$4&lt;$I39)+$H39*(BD$4&gt;=$I39))*$C39*(1+'Property Summary'!$L$18)^('MF Rents'!BD$3-1))</f>
        <v/>
      </c>
      <c r="BE39" s="149" t="str">
        <f>IF(OR($B39="",$B39=0),"",($G39*(BE$4&lt;$I39)+$H39*(BE$4&gt;=$I39))*$C39*(1+'Property Summary'!$L$18)^('MF Rents'!BE$3-1))</f>
        <v/>
      </c>
      <c r="BF39" s="149" t="str">
        <f>IF(OR($B39="",$B39=0),"",($G39*(BF$4&lt;$I39)+$H39*(BF$4&gt;=$I39))*$C39*(1+'Property Summary'!$L$18)^('MF Rents'!BF$3-1))</f>
        <v/>
      </c>
      <c r="BG39" s="149" t="str">
        <f>IF(OR($B39="",$B39=0),"",($G39*(BG$4&lt;$I39)+$H39*(BG$4&gt;=$I39))*$C39*(1+'Property Summary'!$L$18)^('MF Rents'!BG$3-1))</f>
        <v/>
      </c>
      <c r="BH39" s="149" t="str">
        <f>IF(OR($B39="",$B39=0),"",($G39*(BH$4&lt;$I39)+$H39*(BH$4&gt;=$I39))*$C39*(1+'Property Summary'!$L$18)^('MF Rents'!BH$3-1))</f>
        <v/>
      </c>
      <c r="BI39" s="149" t="str">
        <f>IF(OR($B39="",$B39=0),"",($G39*(BI$4&lt;$I39)+$H39*(BI$4&gt;=$I39))*$C39*(1+'Property Summary'!$L$18)^('MF Rents'!BI$3-1))</f>
        <v/>
      </c>
      <c r="BJ39" s="149" t="str">
        <f>IF(OR($B39="",$B39=0),"",($G39*(BJ$4&lt;$I39)+$H39*(BJ$4&gt;=$I39))*$C39*(1+'Property Summary'!$L$18)^('MF Rents'!BJ$3-1))</f>
        <v/>
      </c>
      <c r="BK39" s="149" t="str">
        <f>IF(OR($B39="",$B39=0),"",($G39*(BK$4&lt;$I39)+$H39*(BK$4&gt;=$I39))*$C39*(1+'Property Summary'!$L$18)^('MF Rents'!BK$3-1))</f>
        <v/>
      </c>
      <c r="BL39" s="149" t="str">
        <f>IF(OR($B39="",$B39=0),"",($G39*(BL$4&lt;$I39)+$H39*(BL$4&gt;=$I39))*$C39*(1+'Property Summary'!$L$18)^('MF Rents'!BL$3-1))</f>
        <v/>
      </c>
      <c r="BM39" s="149" t="str">
        <f>IF(OR($B39="",$B39=0),"",($G39*(BM$4&lt;$I39)+$H39*(BM$4&gt;=$I39))*$C39*(1+'Property Summary'!$L$18)^('MF Rents'!BM$3-1))</f>
        <v/>
      </c>
      <c r="BN39" s="149" t="str">
        <f>IF(OR($B39="",$B39=0),"",($G39*(BN$4&lt;$I39)+$H39*(BN$4&gt;=$I39))*$C39*(1+'Property Summary'!$L$18)^('MF Rents'!BN$3-1))</f>
        <v/>
      </c>
      <c r="BO39" s="149" t="str">
        <f>IF(OR($B39="",$B39=0),"",($G39*(BO$4&lt;$I39)+$H39*(BO$4&gt;=$I39))*$C39*(1+'Property Summary'!$L$18)^('MF Rents'!BO$3-1))</f>
        <v/>
      </c>
      <c r="BP39" s="149" t="str">
        <f>IF(OR($B39="",$B39=0),"",($G39*(BP$4&lt;$I39)+$H39*(BP$4&gt;=$I39))*$C39*(1+'Property Summary'!$L$18)^('MF Rents'!BP$3-1))</f>
        <v/>
      </c>
      <c r="BQ39" s="149" t="str">
        <f>IF(OR($B39="",$B39=0),"",($G39*(BQ$4&lt;$I39)+$H39*(BQ$4&gt;=$I39))*$C39*(1+'Property Summary'!$L$18)^('MF Rents'!BQ$3-1))</f>
        <v/>
      </c>
      <c r="BR39" s="149" t="str">
        <f>IF(OR($B39="",$B39=0),"",($G39*(BR$4&lt;$I39)+$H39*(BR$4&gt;=$I39))*$C39*(1+'Property Summary'!$L$18)^('MF Rents'!BR$3-1))</f>
        <v/>
      </c>
      <c r="BS39" s="149" t="str">
        <f>IF(OR($B39="",$B39=0),"",($G39*(BS$4&lt;$I39)+$H39*(BS$4&gt;=$I39))*$C39*(1+'Property Summary'!$L$18)^('MF Rents'!BS$3-1))</f>
        <v/>
      </c>
      <c r="BT39" s="149" t="str">
        <f>IF(OR($B39="",$B39=0),"",($G39*(BT$4&lt;$I39)+$H39*(BT$4&gt;=$I39))*$C39*(1+'Property Summary'!$L$18)^('MF Rents'!BT$3-1))</f>
        <v/>
      </c>
      <c r="BU39" s="149" t="str">
        <f>IF(OR($B39="",$B39=0),"",($G39*(BU$4&lt;$I39)+$H39*(BU$4&gt;=$I39))*$C39*(1+'Property Summary'!$L$18)^('MF Rents'!BU$3-1))</f>
        <v/>
      </c>
      <c r="BV39" s="149" t="str">
        <f>IF(OR($B39="",$B39=0),"",($G39*(BV$4&lt;$I39)+$H39*(BV$4&gt;=$I39))*$C39*(1+'Property Summary'!$L$18)^('MF Rents'!BV$3-1))</f>
        <v/>
      </c>
      <c r="BW39" s="149" t="str">
        <f>IF(OR($B39="",$B39=0),"",($G39*(BW$4&lt;$I39)+$H39*(BW$4&gt;=$I39))*$C39*(1+'Property Summary'!$L$18)^('MF Rents'!BW$3-1))</f>
        <v/>
      </c>
      <c r="BX39" s="149" t="str">
        <f>IF(OR($B39="",$B39=0),"",($G39*(BX$4&lt;$I39)+$H39*(BX$4&gt;=$I39))*$C39*(1+'Property Summary'!$L$18)^('MF Rents'!BX$3-1))</f>
        <v/>
      </c>
      <c r="BY39" s="149" t="str">
        <f>IF(OR($B39="",$B39=0),"",($G39*(BY$4&lt;$I39)+$H39*(BY$4&gt;=$I39))*$C39*(1+'Property Summary'!$L$18)^('MF Rents'!BY$3-1))</f>
        <v/>
      </c>
      <c r="BZ39" s="149" t="str">
        <f>IF(OR($B39="",$B39=0),"",($G39*(BZ$4&lt;$I39)+$H39*(BZ$4&gt;=$I39))*$C39*(1+'Property Summary'!$L$18)^('MF Rents'!BZ$3-1))</f>
        <v/>
      </c>
      <c r="CA39" s="149" t="str">
        <f>IF(OR($B39="",$B39=0),"",($G39*(CA$4&lt;$I39)+$H39*(CA$4&gt;=$I39))*$C39*(1+'Property Summary'!$L$18)^('MF Rents'!CA$3-1))</f>
        <v/>
      </c>
      <c r="CB39" s="149" t="str">
        <f>IF(OR($B39="",$B39=0),"",($G39*(CB$4&lt;$I39)+$H39*(CB$4&gt;=$I39))*$C39*(1+'Property Summary'!$L$18)^('MF Rents'!CB$3-1))</f>
        <v/>
      </c>
      <c r="CC39" s="149" t="str">
        <f>IF(OR($B39="",$B39=0),"",($G39*(CC$4&lt;$I39)+$H39*(CC$4&gt;=$I39))*$C39*(1+'Property Summary'!$L$18)^('MF Rents'!CC$3-1))</f>
        <v/>
      </c>
      <c r="CD39" s="149" t="str">
        <f>IF(OR($B39="",$B39=0),"",($G39*(CD$4&lt;$I39)+$H39*(CD$4&gt;=$I39))*$C39*(1+'Property Summary'!$L$18)^('MF Rents'!CD$3-1))</f>
        <v/>
      </c>
      <c r="CE39" s="149" t="str">
        <f>IF(OR($B39="",$B39=0),"",($G39*(CE$4&lt;$I39)+$H39*(CE$4&gt;=$I39))*$C39*(1+'Property Summary'!$L$18)^('MF Rents'!CE$3-1))</f>
        <v/>
      </c>
      <c r="CF39" s="149" t="str">
        <f>IF(OR($B39="",$B39=0),"",($G39*(CF$4&lt;$I39)+$H39*(CF$4&gt;=$I39))*$C39*(1+'Property Summary'!$L$18)^('MF Rents'!CF$3-1))</f>
        <v/>
      </c>
      <c r="CG39" s="149" t="str">
        <f>IF(OR($B39="",$B39=0),"",($G39*(CG$4&lt;$I39)+$H39*(CG$4&gt;=$I39))*$C39*(1+'Property Summary'!$L$18)^('MF Rents'!CG$3-1))</f>
        <v/>
      </c>
      <c r="CH39" s="149" t="str">
        <f>IF(OR($B39="",$B39=0),"",($G39*(CH$4&lt;$I39)+$H39*(CH$4&gt;=$I39))*$C39*(1+'Property Summary'!$L$18)^('MF Rents'!CH$3-1))</f>
        <v/>
      </c>
      <c r="CI39" s="149" t="str">
        <f>IF(OR($B39="",$B39=0),"",($G39*(CI$4&lt;$I39)+$H39*(CI$4&gt;=$I39))*$C39*(1+'Property Summary'!$L$18)^('MF Rents'!CI$3-1))</f>
        <v/>
      </c>
      <c r="CJ39" s="149" t="str">
        <f>IF(OR($B39="",$B39=0),"",($G39*(CJ$4&lt;$I39)+$H39*(CJ$4&gt;=$I39))*$C39*(1+'Property Summary'!$L$18)^('MF Rents'!CJ$3-1))</f>
        <v/>
      </c>
      <c r="CK39" s="149" t="str">
        <f>IF(OR($B39="",$B39=0),"",($G39*(CK$4&lt;$I39)+$H39*(CK$4&gt;=$I39))*$C39*(1+'Property Summary'!$L$18)^('MF Rents'!CK$3-1))</f>
        <v/>
      </c>
      <c r="CL39" s="149" t="str">
        <f>IF(OR($B39="",$B39=0),"",($G39*(CL$4&lt;$I39)+$H39*(CL$4&gt;=$I39))*$C39*(1+'Property Summary'!$L$18)^('MF Rents'!CL$3-1))</f>
        <v/>
      </c>
      <c r="CM39" s="149" t="str">
        <f>IF(OR($B39="",$B39=0),"",($G39*(CM$4&lt;$I39)+$H39*(CM$4&gt;=$I39))*$C39*(1+'Property Summary'!$L$18)^('MF Rents'!CM$3-1))</f>
        <v/>
      </c>
      <c r="CN39" s="149" t="str">
        <f>IF(OR($B39="",$B39=0),"",($G39*(CN$4&lt;$I39)+$H39*(CN$4&gt;=$I39))*$C39*(1+'Property Summary'!$L$18)^('MF Rents'!CN$3-1))</f>
        <v/>
      </c>
      <c r="CO39" s="149" t="str">
        <f>IF(OR($B39="",$B39=0),"",($G39*(CO$4&lt;$I39)+$H39*(CO$4&gt;=$I39))*$C39*(1+'Property Summary'!$L$18)^('MF Rents'!CO$3-1))</f>
        <v/>
      </c>
      <c r="CP39" s="149" t="str">
        <f>IF(OR($B39="",$B39=0),"",($G39*(CP$4&lt;$I39)+$H39*(CP$4&gt;=$I39))*$C39*(1+'Property Summary'!$L$18)^('MF Rents'!CP$3-1))</f>
        <v/>
      </c>
      <c r="CQ39" s="149" t="str">
        <f>IF(OR($B39="",$B39=0),"",($G39*(CQ$4&lt;$I39)+$H39*(CQ$4&gt;=$I39))*$C39*(1+'Property Summary'!$L$18)^('MF Rents'!CQ$3-1))</f>
        <v/>
      </c>
      <c r="CR39" s="149" t="str">
        <f>IF(OR($B39="",$B39=0),"",($G39*(CR$4&lt;$I39)+$H39*(CR$4&gt;=$I39))*$C39*(1+'Property Summary'!$L$18)^('MF Rents'!CR$3-1))</f>
        <v/>
      </c>
      <c r="CS39" s="149" t="str">
        <f>IF(OR($B39="",$B39=0),"",($G39*(CS$4&lt;$I39)+$H39*(CS$4&gt;=$I39))*$C39*(1+'Property Summary'!$L$18)^('MF Rents'!CS$3-1))</f>
        <v/>
      </c>
      <c r="CT39" s="149" t="str">
        <f>IF(OR($B39="",$B39=0),"",($G39*(CT$4&lt;$I39)+$H39*(CT$4&gt;=$I39))*$C39*(1+'Property Summary'!$L$18)^('MF Rents'!CT$3-1))</f>
        <v/>
      </c>
      <c r="CU39" s="149" t="str">
        <f>IF(OR($B39="",$B39=0),"",($G39*(CU$4&lt;$I39)+$H39*(CU$4&gt;=$I39))*$C39*(1+'Property Summary'!$L$18)^('MF Rents'!CU$3-1))</f>
        <v/>
      </c>
      <c r="CV39" s="149" t="str">
        <f>IF(OR($B39="",$B39=0),"",($G39*(CV$4&lt;$I39)+$H39*(CV$4&gt;=$I39))*$C39*(1+'Property Summary'!$L$18)^('MF Rents'!CV$3-1))</f>
        <v/>
      </c>
      <c r="CW39" s="149" t="str">
        <f>IF(OR($B39="",$B39=0),"",($G39*(CW$4&lt;$I39)+$H39*(CW$4&gt;=$I39))*$C39*(1+'Property Summary'!$L$18)^('MF Rents'!CW$3-1))</f>
        <v/>
      </c>
      <c r="CX39" s="149" t="str">
        <f>IF(OR($B39="",$B39=0),"",($G39*(CX$4&lt;$I39)+$H39*(CX$4&gt;=$I39))*$C39*(1+'Property Summary'!$L$18)^('MF Rents'!CX$3-1))</f>
        <v/>
      </c>
      <c r="CY39" s="149" t="str">
        <f>IF(OR($B39="",$B39=0),"",($G39*(CY$4&lt;$I39)+$H39*(CY$4&gt;=$I39))*$C39*(1+'Property Summary'!$L$18)^('MF Rents'!CY$3-1))</f>
        <v/>
      </c>
      <c r="CZ39" s="149" t="str">
        <f>IF(OR($B39="",$B39=0),"",($G39*(CZ$4&lt;$I39)+$H39*(CZ$4&gt;=$I39))*$C39*(1+'Property Summary'!$L$18)^('MF Rents'!CZ$3-1))</f>
        <v/>
      </c>
      <c r="DA39" s="149" t="str">
        <f>IF(OR($B39="",$B39=0),"",($G39*(DA$4&lt;$I39)+$H39*(DA$4&gt;=$I39))*$C39*(1+'Property Summary'!$L$18)^('MF Rents'!DA$3-1))</f>
        <v/>
      </c>
      <c r="DB39" s="149" t="str">
        <f>IF(OR($B39="",$B39=0),"",($G39*(DB$4&lt;$I39)+$H39*(DB$4&gt;=$I39))*$C39*(1+'Property Summary'!$L$18)^('MF Rents'!DB$3-1))</f>
        <v/>
      </c>
      <c r="DC39" s="149" t="str">
        <f>IF(OR($B39="",$B39=0),"",($G39*(DC$4&lt;$I39)+$H39*(DC$4&gt;=$I39))*$C39*(1+'Property Summary'!$L$18)^('MF Rents'!DC$3-1))</f>
        <v/>
      </c>
      <c r="DD39" s="149" t="str">
        <f>IF(OR($B39="",$B39=0),"",($G39*(DD$4&lt;$I39)+$H39*(DD$4&gt;=$I39))*$C39*(1+'Property Summary'!$L$18)^('MF Rents'!DD$3-1))</f>
        <v/>
      </c>
      <c r="DE39" s="149" t="str">
        <f>IF(OR($B39="",$B39=0),"",($G39*(DE$4&lt;$I39)+$H39*(DE$4&gt;=$I39))*$C39*(1+'Property Summary'!$L$18)^('MF Rents'!DE$3-1))</f>
        <v/>
      </c>
      <c r="DF39" s="149" t="str">
        <f>IF(OR($B39="",$B39=0),"",($G39*(DF$4&lt;$I39)+$H39*(DF$4&gt;=$I39))*$C39*(1+'Property Summary'!$L$18)^('MF Rents'!DF$3-1))</f>
        <v/>
      </c>
      <c r="DG39" s="149" t="str">
        <f>IF(OR($B39="",$B39=0),"",($G39*(DG$4&lt;$I39)+$H39*(DG$4&gt;=$I39))*$C39*(1+'Property Summary'!$L$18)^('MF Rents'!DG$3-1))</f>
        <v/>
      </c>
      <c r="DH39" s="149" t="str">
        <f>IF(OR($B39="",$B39=0),"",($G39*(DH$4&lt;$I39)+$H39*(DH$4&gt;=$I39))*$C39*(1+'Property Summary'!$L$18)^('MF Rents'!DH$3-1))</f>
        <v/>
      </c>
      <c r="DI39" s="149" t="str">
        <f>IF(OR($B39="",$B39=0),"",($G39*(DI$4&lt;$I39)+$H39*(DI$4&gt;=$I39))*$C39*(1+'Property Summary'!$L$18)^('MF Rents'!DI$3-1))</f>
        <v/>
      </c>
      <c r="DJ39" s="149" t="str">
        <f>IF(OR($B39="",$B39=0),"",($G39*(DJ$4&lt;$I39)+$H39*(DJ$4&gt;=$I39))*$C39*(1+'Property Summary'!$L$18)^('MF Rents'!DJ$3-1))</f>
        <v/>
      </c>
      <c r="DK39" s="149" t="str">
        <f>IF(OR($B39="",$B39=0),"",($G39*(DK$4&lt;$I39)+$H39*(DK$4&gt;=$I39))*$C39*(1+'Property Summary'!$L$18)^('MF Rents'!DK$3-1))</f>
        <v/>
      </c>
      <c r="DL39" s="149" t="str">
        <f>IF(OR($B39="",$B39=0),"",($G39*(DL$4&lt;$I39)+$H39*(DL$4&gt;=$I39))*$C39*(1+'Property Summary'!$L$18)^('MF Rents'!DL$3-1))</f>
        <v/>
      </c>
      <c r="DM39" s="149" t="str">
        <f>IF(OR($B39="",$B39=0),"",($G39*(DM$4&lt;$I39)+$H39*(DM$4&gt;=$I39))*$C39*(1+'Property Summary'!$L$18)^('MF Rents'!DM$3-1))</f>
        <v/>
      </c>
      <c r="DN39" s="149" t="str">
        <f>IF(OR($B39="",$B39=0),"",($G39*(DN$4&lt;$I39)+$H39*(DN$4&gt;=$I39))*$C39*(1+'Property Summary'!$L$18)^('MF Rents'!DN$3-1))</f>
        <v/>
      </c>
      <c r="DO39" s="149" t="str">
        <f>IF(OR($B39="",$B39=0),"",($G39*(DO$4&lt;$I39)+$H39*(DO$4&gt;=$I39))*$C39*(1+'Property Summary'!$L$18)^('MF Rents'!DO$3-1))</f>
        <v/>
      </c>
      <c r="DP39" s="149" t="str">
        <f>IF(OR($B39="",$B39=0),"",($G39*(DP$4&lt;$I39)+$H39*(DP$4&gt;=$I39))*$C39*(1+'Property Summary'!$L$18)^('MF Rents'!DP$3-1))</f>
        <v/>
      </c>
      <c r="DQ39" s="149" t="str">
        <f>IF(OR($B39="",$B39=0),"",($G39*(DQ$4&lt;$I39)+$H39*(DQ$4&gt;=$I39))*$C39*(1+'Property Summary'!$L$18)^('MF Rents'!DQ$3-1))</f>
        <v/>
      </c>
      <c r="DR39" s="149" t="str">
        <f>IF(OR($B39="",$B39=0),"",($G39*(DR$4&lt;$I39)+$H39*(DR$4&gt;=$I39))*$C39*(1+'Property Summary'!$L$18)^('MF Rents'!DR$3-1))</f>
        <v/>
      </c>
      <c r="DS39" s="149" t="str">
        <f>IF(OR($B39="",$B39=0),"",($G39*(DS$4&lt;$I39)+$H39*(DS$4&gt;=$I39))*$C39*(1+'Property Summary'!$L$18)^('MF Rents'!DS$3-1))</f>
        <v/>
      </c>
      <c r="DT39" s="149" t="str">
        <f>IF(OR($B39="",$B39=0),"",($G39*(DT$4&lt;$I39)+$H39*(DT$4&gt;=$I39))*$C39*(1+'Property Summary'!$L$18)^('MF Rents'!DT$3-1))</f>
        <v/>
      </c>
      <c r="DU39" s="149" t="str">
        <f>IF(OR($B39="",$B39=0),"",($G39*(DU$4&lt;$I39)+$H39*(DU$4&gt;=$I39))*$C39*(1+'Property Summary'!$L$18)^('MF Rents'!DU$3-1))</f>
        <v/>
      </c>
      <c r="DV39" s="149" t="str">
        <f>IF(OR($B39="",$B39=0),"",($G39*(DV$4&lt;$I39)+$H39*(DV$4&gt;=$I39))*$C39*(1+'Property Summary'!$L$18)^('MF Rents'!DV$3-1))</f>
        <v/>
      </c>
      <c r="DW39" s="149" t="str">
        <f>IF(OR($B39="",$B39=0),"",($G39*(DW$4&lt;$I39)+$H39*(DW$4&gt;=$I39))*$C39*(1+'Property Summary'!$L$18)^('MF Rents'!DW$3-1))</f>
        <v/>
      </c>
      <c r="DX39" s="149" t="str">
        <f>IF(OR($B39="",$B39=0),"",($G39*(DX$4&lt;$I39)+$H39*(DX$4&gt;=$I39))*$C39*(1+'Property Summary'!$L$18)^('MF Rents'!DX$3-1))</f>
        <v/>
      </c>
      <c r="DY39" s="149" t="str">
        <f>IF(OR($B39="",$B39=0),"",($G39*(DY$4&lt;$I39)+$H39*(DY$4&gt;=$I39))*$C39*(1+'Property Summary'!$L$18)^('MF Rents'!DY$3-1))</f>
        <v/>
      </c>
      <c r="DZ39" s="149" t="str">
        <f>IF(OR($B39="",$B39=0),"",($G39*(DZ$4&lt;$I39)+$H39*(DZ$4&gt;=$I39))*$C39*(1+'Property Summary'!$L$18)^('MF Rents'!DZ$3-1))</f>
        <v/>
      </c>
      <c r="EA39" s="149" t="str">
        <f>IF(OR($B39="",$B39=0),"",($G39*(EA$4&lt;$I39)+$H39*(EA$4&gt;=$I39))*$C39*(1+'Property Summary'!$L$18)^('MF Rents'!EA$3-1))</f>
        <v/>
      </c>
      <c r="EB39" s="149" t="str">
        <f>IF(OR($B39="",$B39=0),"",($G39*(EB$4&lt;$I39)+$H39*(EB$4&gt;=$I39))*$C39*(1+'Property Summary'!$L$18)^('MF Rents'!EB$3-1))</f>
        <v/>
      </c>
      <c r="EC39" s="149" t="str">
        <f>IF(OR($B39="",$B39=0),"",($G39*(EC$4&lt;$I39)+$H39*(EC$4&gt;=$I39))*$C39*(1+'Property Summary'!$L$18)^('MF Rents'!EC$3-1))</f>
        <v/>
      </c>
      <c r="ED39" s="149" t="str">
        <f>IF(OR($B39="",$B39=0),"",($G39*(ED$4&lt;$I39)+$H39*(ED$4&gt;=$I39))*$C39*(1+'Property Summary'!$L$18)^('MF Rents'!ED$3-1))</f>
        <v/>
      </c>
      <c r="EE39" s="149" t="str">
        <f>IF(OR($B39="",$B39=0),"",($G39*(EE$4&lt;$I39)+$H39*(EE$4&gt;=$I39))*$C39*(1+'Property Summary'!$L$18)^('MF Rents'!EE$3-1))</f>
        <v/>
      </c>
      <c r="EF39" s="149" t="str">
        <f>IF(OR($B39="",$B39=0),"",($G39*(EF$4&lt;$I39)+$H39*(EF$4&gt;=$I39))*$C39*(1+'Property Summary'!$L$18)^('MF Rents'!EF$3-1))</f>
        <v/>
      </c>
      <c r="EG39" s="149" t="str">
        <f>IF(OR($B39="",$B39=0),"",($G39*(EG$4&lt;$I39)+$H39*(EG$4&gt;=$I39))*$C39*(1+'Property Summary'!$L$18)^('MF Rents'!EG$3-1))</f>
        <v/>
      </c>
      <c r="EH39" s="149" t="str">
        <f>IF(OR($B39="",$B39=0),"",($G39*(EH$4&lt;$I39)+$H39*(EH$4&gt;=$I39))*$C39*(1+'Property Summary'!$L$18)^('MF Rents'!EH$3-1))</f>
        <v/>
      </c>
      <c r="EI39" s="149" t="str">
        <f>IF(OR($B39="",$B39=0),"",($G39*(EI$4&lt;$I39)+$H39*(EI$4&gt;=$I39))*$C39*(1+'Property Summary'!$L$18)^('MF Rents'!EI$3-1))</f>
        <v/>
      </c>
      <c r="EJ39" s="149" t="str">
        <f>IF(OR($B39="",$B39=0),"",($G39*(EJ$4&lt;$I39)+$H39*(EJ$4&gt;=$I39))*$C39*(1+'Property Summary'!$L$18)^('MF Rents'!EJ$3-1))</f>
        <v/>
      </c>
      <c r="EK39" s="149" t="str">
        <f>IF(OR($B39="",$B39=0),"",($G39*(EK$4&lt;$I39)+$H39*(EK$4&gt;=$I39))*$C39*(1+'Property Summary'!$L$18)^('MF Rents'!EK$3-1))</f>
        <v/>
      </c>
      <c r="EL39" s="149" t="str">
        <f>IF(OR($B39="",$B39=0),"",($G39*(EL$4&lt;$I39)+$H39*(EL$4&gt;=$I39))*$C39*(1+'Property Summary'!$L$18)^('MF Rents'!EL$3-1))</f>
        <v/>
      </c>
      <c r="EM39" s="149" t="str">
        <f>IF(OR($B39="",$B39=0),"",($G39*(EM$4&lt;$I39)+$H39*(EM$4&gt;=$I39))*$C39*(1+'Property Summary'!$L$18)^('MF Rents'!EM$3-1))</f>
        <v/>
      </c>
      <c r="EN39" s="149" t="str">
        <f>IF(OR($B39="",$B39=0),"",($G39*(EN$4&lt;$I39)+$H39*(EN$4&gt;=$I39))*$C39*(1+'Property Summary'!$L$18)^('MF Rents'!EN$3-1))</f>
        <v/>
      </c>
      <c r="EO39" s="149" t="str">
        <f>IF(OR($B39="",$B39=0),"",($G39*(EO$4&lt;$I39)+$H39*(EO$4&gt;=$I39))*$C39*(1+'Property Summary'!$L$18)^('MF Rents'!EO$3-1))</f>
        <v/>
      </c>
      <c r="EP39" s="149" t="str">
        <f>IF(OR($B39="",$B39=0),"",($G39*(EP$4&lt;$I39)+$H39*(EP$4&gt;=$I39))*$C39*(1+'Property Summary'!$L$18)^('MF Rents'!EP$3-1))</f>
        <v/>
      </c>
      <c r="EQ39" s="149" t="str">
        <f>IF(OR($B39="",$B39=0),"",($G39*(EQ$4&lt;$I39)+$H39*(EQ$4&gt;=$I39))*$C39*(1+'Property Summary'!$L$18)^('MF Rents'!EQ$3-1))</f>
        <v/>
      </c>
      <c r="ER39" s="149" t="str">
        <f>IF(OR($B39="",$B39=0),"",($G39*(ER$4&lt;$I39)+$H39*(ER$4&gt;=$I39))*$C39*(1+'Property Summary'!$L$18)^('MF Rents'!ER$3-1))</f>
        <v/>
      </c>
      <c r="ES39" s="149" t="str">
        <f>IF(OR($B39="",$B39=0),"",($G39*(ES$4&lt;$I39)+$H39*(ES$4&gt;=$I39))*$C39*(1+'Property Summary'!$L$18)^('MF Rents'!ES$3-1))</f>
        <v/>
      </c>
      <c r="ET39" s="149" t="str">
        <f>IF(OR($B39="",$B39=0),"",($G39*(ET$4&lt;$I39)+$H39*(ET$4&gt;=$I39))*$C39*(1+'Property Summary'!$L$18)^('MF Rents'!ET$3-1))</f>
        <v/>
      </c>
      <c r="EU39" s="149" t="str">
        <f>IF(OR($B39="",$B39=0),"",($G39*(EU$4&lt;$I39)+$H39*(EU$4&gt;=$I39))*$C39*(1+'Property Summary'!$L$18)^('MF Rents'!EU$3-1))</f>
        <v/>
      </c>
      <c r="EV39" s="149" t="str">
        <f>IF(OR($B39="",$B39=0),"",($G39*(EV$4&lt;$I39)+$H39*(EV$4&gt;=$I39))*$C39*(1+'Property Summary'!$L$18)^('MF Rents'!EV$3-1))</f>
        <v/>
      </c>
      <c r="EW39" s="149" t="str">
        <f>IF(OR($B39="",$B39=0),"",($G39*(EW$4&lt;$I39)+$H39*(EW$4&gt;=$I39))*$C39*(1+'Property Summary'!$L$18)^('MF Rents'!EW$3-1))</f>
        <v/>
      </c>
      <c r="EX39" s="149" t="str">
        <f>IF(OR($B39="",$B39=0),"",($G39*(EX$4&lt;$I39)+$H39*(EX$4&gt;=$I39))*$C39*(1+'Property Summary'!$L$18)^('MF Rents'!EX$3-1))</f>
        <v/>
      </c>
      <c r="EY39" s="149" t="str">
        <f>IF(OR($B39="",$B39=0),"",($G39*(EY$4&lt;$I39)+$H39*(EY$4&gt;=$I39))*$C39*(1+'Property Summary'!$L$18)^('MF Rents'!EY$3-1))</f>
        <v/>
      </c>
      <c r="EZ39" s="149" t="str">
        <f>IF(OR($B39="",$B39=0),"",($G39*(EZ$4&lt;$I39)+$H39*(EZ$4&gt;=$I39))*$C39*(1+'Property Summary'!$L$18)^('MF Rents'!EZ$3-1))</f>
        <v/>
      </c>
      <c r="FA39" s="149" t="str">
        <f>IF(OR($B39="",$B39=0),"",($G39*(FA$4&lt;$I39)+$H39*(FA$4&gt;=$I39))*$C39*(1+'Property Summary'!$L$18)^('MF Rents'!FA$3-1))</f>
        <v/>
      </c>
      <c r="FB39" s="149" t="str">
        <f>IF(OR($B39="",$B39=0),"",($G39*(FB$4&lt;$I39)+$H39*(FB$4&gt;=$I39))*$C39*(1+'Property Summary'!$L$18)^('MF Rents'!FB$3-1))</f>
        <v/>
      </c>
      <c r="FC39" s="149" t="str">
        <f>IF(OR($B39="",$B39=0),"",($G39*(FC$4&lt;$I39)+$H39*(FC$4&gt;=$I39))*$C39*(1+'Property Summary'!$L$18)^('MF Rents'!FC$3-1))</f>
        <v/>
      </c>
      <c r="FD39" s="149" t="str">
        <f>IF(OR($B39="",$B39=0),"",($G39*(FD$4&lt;$I39)+$H39*(FD$4&gt;=$I39))*$C39*(1+'Property Summary'!$L$18)^('MF Rents'!FD$3-1))</f>
        <v/>
      </c>
      <c r="FE39" s="149" t="str">
        <f>IF(OR($B39="",$B39=0),"",($G39*(FE$4&lt;$I39)+$H39*(FE$4&gt;=$I39))*$C39*(1+'Property Summary'!$L$18)^('MF Rents'!FE$3-1))</f>
        <v/>
      </c>
      <c r="FF39" s="149" t="str">
        <f>IF(OR($B39="",$B39=0),"",($G39*(FF$4&lt;$I39)+$H39*(FF$4&gt;=$I39))*$C39*(1+'Property Summary'!$L$18)^('MF Rents'!FF$3-1))</f>
        <v/>
      </c>
      <c r="FG39" s="149" t="str">
        <f>IF(OR($B39="",$B39=0),"",($G39*(FG$4&lt;$I39)+$H39*(FG$4&gt;=$I39))*$C39*(1+'Property Summary'!$L$18)^('MF Rents'!FG$3-1))</f>
        <v/>
      </c>
      <c r="FH39" s="149" t="str">
        <f>IF(OR($B39="",$B39=0),"",($G39*(FH$4&lt;$I39)+$H39*(FH$4&gt;=$I39))*$C39*(1+'Property Summary'!$L$18)^('MF Rents'!FH$3-1))</f>
        <v/>
      </c>
      <c r="FI39" s="149" t="str">
        <f>IF(OR($B39="",$B39=0),"",($G39*(FI$4&lt;$I39)+$H39*(FI$4&gt;=$I39))*$C39*(1+'Property Summary'!$L$18)^('MF Rents'!FI$3-1))</f>
        <v/>
      </c>
      <c r="FJ39" s="149" t="str">
        <f>IF(OR($B39="",$B39=0),"",($G39*(FJ$4&lt;$I39)+$H39*(FJ$4&gt;=$I39))*$C39*(1+'Property Summary'!$L$18)^('MF Rents'!FJ$3-1))</f>
        <v/>
      </c>
      <c r="FK39" s="149" t="str">
        <f>IF(OR($B39="",$B39=0),"",($G39*(FK$4&lt;$I39)+$H39*(FK$4&gt;=$I39))*$C39*(1+'Property Summary'!$L$18)^('MF Rents'!FK$3-1))</f>
        <v/>
      </c>
      <c r="FL39" s="149" t="str">
        <f>IF(OR($B39="",$B39=0),"",($G39*(FL$4&lt;$I39)+$H39*(FL$4&gt;=$I39))*$C39*(1+'Property Summary'!$L$18)^('MF Rents'!FL$3-1))</f>
        <v/>
      </c>
      <c r="FM39" s="149" t="str">
        <f>IF(OR($B39="",$B39=0),"",($G39*(FM$4&lt;$I39)+$H39*(FM$4&gt;=$I39))*$C39*(1+'Property Summary'!$L$18)^('MF Rents'!FM$3-1))</f>
        <v/>
      </c>
      <c r="FN39" s="149" t="str">
        <f>IF(OR($B39="",$B39=0),"",($G39*(FN$4&lt;$I39)+$H39*(FN$4&gt;=$I39))*$C39*(1+'Property Summary'!$L$18)^('MF Rents'!FN$3-1))</f>
        <v/>
      </c>
      <c r="FO39" s="149" t="str">
        <f>IF(OR($B39="",$B39=0),"",($G39*(FO$4&lt;$I39)+$H39*(FO$4&gt;=$I39))*$C39*(1+'Property Summary'!$L$18)^('MF Rents'!FO$3-1))</f>
        <v/>
      </c>
      <c r="FP39" s="149" t="str">
        <f>IF(OR($B39="",$B39=0),"",($G39*(FP$4&lt;$I39)+$H39*(FP$4&gt;=$I39))*$C39*(1+'Property Summary'!$L$18)^('MF Rents'!FP$3-1))</f>
        <v/>
      </c>
      <c r="FQ39" s="149" t="str">
        <f>IF(OR($B39="",$B39=0),"",($G39*(FQ$4&lt;$I39)+$H39*(FQ$4&gt;=$I39))*$C39*(1+'Property Summary'!$L$18)^('MF Rents'!FQ$3-1))</f>
        <v/>
      </c>
      <c r="FR39" s="149" t="str">
        <f>IF(OR($B39="",$B39=0),"",($G39*(FR$4&lt;$I39)+$H39*(FR$4&gt;=$I39))*$C39*(1+'Property Summary'!$L$18)^('MF Rents'!FR$3-1))</f>
        <v/>
      </c>
      <c r="FS39" s="149" t="str">
        <f>IF(OR($B39="",$B39=0),"",($G39*(FS$4&lt;$I39)+$H39*(FS$4&gt;=$I39))*$C39*(1+'Property Summary'!$L$18)^('MF Rents'!FS$3-1))</f>
        <v/>
      </c>
      <c r="FT39" s="149" t="str">
        <f>IF(OR($B39="",$B39=0),"",($G39*(FT$4&lt;$I39)+$H39*(FT$4&gt;=$I39))*$C39*(1+'Property Summary'!$L$18)^('MF Rents'!FT$3-1))</f>
        <v/>
      </c>
      <c r="FU39" s="149" t="str">
        <f>IF(OR($B39="",$B39=0),"",($G39*(FU$4&lt;$I39)+$H39*(FU$4&gt;=$I39))*$C39*(1+'Property Summary'!$L$18)^('MF Rents'!FU$3-1))</f>
        <v/>
      </c>
      <c r="FV39" s="149" t="str">
        <f>IF(OR($B39="",$B39=0),"",($G39*(FV$4&lt;$I39)+$H39*(FV$4&gt;=$I39))*$C39*(1+'Property Summary'!$L$18)^('MF Rents'!FV$3-1))</f>
        <v/>
      </c>
      <c r="FW39" s="149" t="str">
        <f>IF(OR($B39="",$B39=0),"",($G39*(FW$4&lt;$I39)+$H39*(FW$4&gt;=$I39))*$C39*(1+'Property Summary'!$L$18)^('MF Rents'!FW$3-1))</f>
        <v/>
      </c>
      <c r="FX39" s="149" t="str">
        <f>IF(OR($B39="",$B39=0),"",($G39*(FX$4&lt;$I39)+$H39*(FX$4&gt;=$I39))*$C39*(1+'Property Summary'!$L$18)^('MF Rents'!FX$3-1))</f>
        <v/>
      </c>
      <c r="FY39" s="149" t="str">
        <f>IF(OR($B39="",$B39=0),"",($G39*(FY$4&lt;$I39)+$H39*(FY$4&gt;=$I39))*$C39*(1+'Property Summary'!$L$18)^('MF Rents'!FY$3-1))</f>
        <v/>
      </c>
      <c r="FZ39" s="149" t="str">
        <f>IF(OR($B39="",$B39=0),"",($G39*(FZ$4&lt;$I39)+$H39*(FZ$4&gt;=$I39))*$C39*(1+'Property Summary'!$L$18)^('MF Rents'!FZ$3-1))</f>
        <v/>
      </c>
      <c r="GA39" s="149" t="str">
        <f>IF(OR($B39="",$B39=0),"",($G39*(GA$4&lt;$I39)+$H39*(GA$4&gt;=$I39))*$C39*(1+'Property Summary'!$L$18)^('MF Rents'!GA$3-1))</f>
        <v/>
      </c>
      <c r="GB39" s="149" t="str">
        <f>IF(OR($B39="",$B39=0),"",($G39*(GB$4&lt;$I39)+$H39*(GB$4&gt;=$I39))*$C39*(1+'Property Summary'!$L$18)^('MF Rents'!GB$3-1))</f>
        <v/>
      </c>
      <c r="GC39" s="149" t="str">
        <f>IF(OR($B39="",$B39=0),"",($G39*(GC$4&lt;$I39)+$H39*(GC$4&gt;=$I39))*$C39*(1+'Property Summary'!$L$18)^('MF Rents'!GC$3-1))</f>
        <v/>
      </c>
      <c r="GD39" s="149" t="str">
        <f>IF(OR($B39="",$B39=0),"",($G39*(GD$4&lt;$I39)+$H39*(GD$4&gt;=$I39))*$C39*(1+'Property Summary'!$L$18)^('MF Rents'!GD$3-1))</f>
        <v/>
      </c>
      <c r="GE39" s="149" t="str">
        <f>IF(OR($B39="",$B39=0),"",($G39*(GE$4&lt;$I39)+$H39*(GE$4&gt;=$I39))*$C39*(1+'Property Summary'!$L$18)^('MF Rents'!GE$3-1))</f>
        <v/>
      </c>
      <c r="GF39" s="149" t="str">
        <f>IF(OR($B39="",$B39=0),"",($G39*(GF$4&lt;$I39)+$H39*(GF$4&gt;=$I39))*$C39*(1+'Property Summary'!$L$18)^('MF Rents'!GF$3-1))</f>
        <v/>
      </c>
      <c r="GG39" s="149" t="str">
        <f>IF(OR($B39="",$B39=0),"",($G39*(GG$4&lt;$I39)+$H39*(GG$4&gt;=$I39))*$C39*(1+'Property Summary'!$L$18)^('MF Rents'!GG$3-1))</f>
        <v/>
      </c>
      <c r="GH39" s="149" t="str">
        <f>IF(OR($B39="",$B39=0),"",($G39*(GH$4&lt;$I39)+$H39*(GH$4&gt;=$I39))*$C39*(1+'Property Summary'!$L$18)^('MF Rents'!GH$3-1))</f>
        <v/>
      </c>
      <c r="GI39" s="149" t="str">
        <f>IF(OR($B39="",$B39=0),"",($G39*(GI$4&lt;$I39)+$H39*(GI$4&gt;=$I39))*$C39*(1+'Property Summary'!$L$18)^('MF Rents'!GI$3-1))</f>
        <v/>
      </c>
      <c r="GJ39" s="149" t="str">
        <f>IF(OR($B39="",$B39=0),"",($G39*(GJ$4&lt;$I39)+$H39*(GJ$4&gt;=$I39))*$C39*(1+'Property Summary'!$L$18)^('MF Rents'!GJ$3-1))</f>
        <v/>
      </c>
      <c r="GK39" s="149" t="str">
        <f>IF(OR($B39="",$B39=0),"",($G39*(GK$4&lt;$I39)+$H39*(GK$4&gt;=$I39))*$C39*(1+'Property Summary'!$L$18)^('MF Rents'!GK$3-1))</f>
        <v/>
      </c>
      <c r="GL39" s="149" t="str">
        <f>IF(OR($B39="",$B39=0),"",($G39*(GL$4&lt;$I39)+$H39*(GL$4&gt;=$I39))*$C39*(1+'Property Summary'!$L$18)^('MF Rents'!GL$3-1))</f>
        <v/>
      </c>
      <c r="GM39" s="149" t="str">
        <f>IF(OR($B39="",$B39=0),"",($G39*(GM$4&lt;$I39)+$H39*(GM$4&gt;=$I39))*$C39*(1+'Property Summary'!$L$18)^('MF Rents'!GM$3-1))</f>
        <v/>
      </c>
      <c r="GN39" s="149" t="str">
        <f>IF(OR($B39="",$B39=0),"",($G39*(GN$4&lt;$I39)+$H39*(GN$4&gt;=$I39))*$C39*(1+'Property Summary'!$L$18)^('MF Rents'!GN$3-1))</f>
        <v/>
      </c>
      <c r="GO39" s="149" t="str">
        <f>IF(OR($B39="",$B39=0),"",($G39*(GO$4&lt;$I39)+$H39*(GO$4&gt;=$I39))*$C39*(1+'Property Summary'!$L$18)^('MF Rents'!GO$3-1))</f>
        <v/>
      </c>
      <c r="GP39" s="149" t="str">
        <f>IF(OR($B39="",$B39=0),"",($G39*(GP$4&lt;$I39)+$H39*(GP$4&gt;=$I39))*$C39*(1+'Property Summary'!$L$18)^('MF Rents'!GP$3-1))</f>
        <v/>
      </c>
      <c r="GQ39" s="149" t="str">
        <f>IF(OR($B39="",$B39=0),"",($G39*(GQ$4&lt;$I39)+$H39*(GQ$4&gt;=$I39))*$C39*(1+'Property Summary'!$L$18)^('MF Rents'!GQ$3-1))</f>
        <v/>
      </c>
      <c r="GR39" s="149" t="str">
        <f>IF(OR($B39="",$B39=0),"",($G39*(GR$4&lt;$I39)+$H39*(GR$4&gt;=$I39))*$C39*(1+'Property Summary'!$L$18)^('MF Rents'!GR$3-1))</f>
        <v/>
      </c>
    </row>
    <row r="40" spans="2:200" x14ac:dyDescent="0.3">
      <c r="T40" s="89" t="s">
        <v>174</v>
      </c>
      <c r="U40" s="149">
        <f>SUM(U6:U39)</f>
        <v>93240</v>
      </c>
      <c r="V40" s="149">
        <f t="shared" ref="V40:CG40" si="9">SUM(V6:V39)</f>
        <v>93240</v>
      </c>
      <c r="W40" s="149">
        <f t="shared" si="9"/>
        <v>93240</v>
      </c>
      <c r="X40" s="149">
        <f t="shared" si="9"/>
        <v>93240</v>
      </c>
      <c r="Y40" s="149">
        <f t="shared" si="9"/>
        <v>93240</v>
      </c>
      <c r="Z40" s="149">
        <f t="shared" si="9"/>
        <v>93240</v>
      </c>
      <c r="AA40" s="149">
        <f t="shared" si="9"/>
        <v>93240</v>
      </c>
      <c r="AB40" s="149">
        <f t="shared" si="9"/>
        <v>93240</v>
      </c>
      <c r="AC40" s="149">
        <f t="shared" si="9"/>
        <v>93240</v>
      </c>
      <c r="AD40" s="149">
        <f t="shared" si="9"/>
        <v>93240</v>
      </c>
      <c r="AE40" s="149">
        <f t="shared" si="9"/>
        <v>93240</v>
      </c>
      <c r="AF40" s="149">
        <f t="shared" si="9"/>
        <v>93240</v>
      </c>
      <c r="AG40" s="149">
        <f t="shared" si="9"/>
        <v>99510.599999999991</v>
      </c>
      <c r="AH40" s="149">
        <f t="shared" si="9"/>
        <v>99510.599999999991</v>
      </c>
      <c r="AI40" s="149">
        <f t="shared" si="9"/>
        <v>99510.599999999991</v>
      </c>
      <c r="AJ40" s="149">
        <f t="shared" si="9"/>
        <v>102433.79999999999</v>
      </c>
      <c r="AK40" s="149">
        <f t="shared" si="9"/>
        <v>102433.79999999999</v>
      </c>
      <c r="AL40" s="149">
        <f t="shared" si="9"/>
        <v>102433.79999999999</v>
      </c>
      <c r="AM40" s="149">
        <f t="shared" si="9"/>
        <v>105357</v>
      </c>
      <c r="AN40" s="149">
        <f t="shared" si="9"/>
        <v>105357</v>
      </c>
      <c r="AO40" s="149">
        <f t="shared" si="9"/>
        <v>105357</v>
      </c>
      <c r="AP40" s="149">
        <f t="shared" si="9"/>
        <v>106818.6</v>
      </c>
      <c r="AQ40" s="149">
        <f t="shared" si="9"/>
        <v>106818.6</v>
      </c>
      <c r="AR40" s="149">
        <f t="shared" si="9"/>
        <v>106818.6</v>
      </c>
      <c r="AS40" s="149">
        <f t="shared" si="9"/>
        <v>111387.92699999997</v>
      </c>
      <c r="AT40" s="149">
        <f t="shared" si="9"/>
        <v>111387.92699999997</v>
      </c>
      <c r="AU40" s="149">
        <f t="shared" si="9"/>
        <v>111387.92699999997</v>
      </c>
      <c r="AV40" s="149">
        <f t="shared" si="9"/>
        <v>111387.92699999997</v>
      </c>
      <c r="AW40" s="149">
        <f t="shared" si="9"/>
        <v>111387.92699999997</v>
      </c>
      <c r="AX40" s="149">
        <f t="shared" si="9"/>
        <v>111387.92699999997</v>
      </c>
      <c r="AY40" s="149">
        <f t="shared" si="9"/>
        <v>111387.92699999997</v>
      </c>
      <c r="AZ40" s="149">
        <f t="shared" si="9"/>
        <v>111387.92699999997</v>
      </c>
      <c r="BA40" s="149">
        <f t="shared" si="9"/>
        <v>111387.92699999997</v>
      </c>
      <c r="BB40" s="149">
        <f t="shared" si="9"/>
        <v>111387.92699999997</v>
      </c>
      <c r="BC40" s="149">
        <f t="shared" si="9"/>
        <v>111387.92699999997</v>
      </c>
      <c r="BD40" s="149">
        <f t="shared" si="9"/>
        <v>111387.92699999997</v>
      </c>
      <c r="BE40" s="149">
        <f t="shared" si="9"/>
        <v>113058.74590499995</v>
      </c>
      <c r="BF40" s="149">
        <f t="shared" si="9"/>
        <v>113058.74590499995</v>
      </c>
      <c r="BG40" s="149">
        <f t="shared" si="9"/>
        <v>113058.74590499995</v>
      </c>
      <c r="BH40" s="149">
        <f t="shared" si="9"/>
        <v>113058.74590499995</v>
      </c>
      <c r="BI40" s="149">
        <f t="shared" si="9"/>
        <v>113058.74590499995</v>
      </c>
      <c r="BJ40" s="149">
        <f t="shared" si="9"/>
        <v>113058.74590499995</v>
      </c>
      <c r="BK40" s="149">
        <f t="shared" si="9"/>
        <v>113058.74590499995</v>
      </c>
      <c r="BL40" s="149">
        <f t="shared" si="9"/>
        <v>113058.74590499995</v>
      </c>
      <c r="BM40" s="149">
        <f t="shared" si="9"/>
        <v>113058.74590499995</v>
      </c>
      <c r="BN40" s="149">
        <f t="shared" si="9"/>
        <v>113058.74590499995</v>
      </c>
      <c r="BO40" s="149">
        <f t="shared" si="9"/>
        <v>113058.74590499995</v>
      </c>
      <c r="BP40" s="149">
        <f t="shared" si="9"/>
        <v>113058.74590499995</v>
      </c>
      <c r="BQ40" s="149">
        <f t="shared" si="9"/>
        <v>114754.62709357493</v>
      </c>
      <c r="BR40" s="149">
        <f t="shared" si="9"/>
        <v>114754.62709357493</v>
      </c>
      <c r="BS40" s="149">
        <f t="shared" si="9"/>
        <v>114754.62709357493</v>
      </c>
      <c r="BT40" s="149">
        <f t="shared" si="9"/>
        <v>114754.62709357493</v>
      </c>
      <c r="BU40" s="149">
        <f t="shared" si="9"/>
        <v>114754.62709357493</v>
      </c>
      <c r="BV40" s="149">
        <f t="shared" si="9"/>
        <v>114754.62709357493</v>
      </c>
      <c r="BW40" s="149">
        <f t="shared" si="9"/>
        <v>114754.62709357493</v>
      </c>
      <c r="BX40" s="149">
        <f t="shared" si="9"/>
        <v>114754.62709357493</v>
      </c>
      <c r="BY40" s="149">
        <f t="shared" si="9"/>
        <v>114754.62709357493</v>
      </c>
      <c r="BZ40" s="149">
        <f t="shared" si="9"/>
        <v>114754.62709357493</v>
      </c>
      <c r="CA40" s="149">
        <f t="shared" si="9"/>
        <v>114754.62709357493</v>
      </c>
      <c r="CB40" s="149">
        <f t="shared" si="9"/>
        <v>114754.62709357493</v>
      </c>
      <c r="CC40" s="149">
        <f t="shared" si="9"/>
        <v>116475.94649997856</v>
      </c>
      <c r="CD40" s="149">
        <f t="shared" si="9"/>
        <v>116475.94649997856</v>
      </c>
      <c r="CE40" s="149">
        <f t="shared" si="9"/>
        <v>116475.94649997856</v>
      </c>
      <c r="CF40" s="149">
        <f t="shared" si="9"/>
        <v>116475.94649997856</v>
      </c>
      <c r="CG40" s="149">
        <f t="shared" si="9"/>
        <v>116475.94649997856</v>
      </c>
      <c r="CH40" s="149">
        <f t="shared" ref="CH40:ES40" si="10">SUM(CH6:CH39)</f>
        <v>116475.94649997856</v>
      </c>
      <c r="CI40" s="149">
        <f t="shared" si="10"/>
        <v>116475.94649997856</v>
      </c>
      <c r="CJ40" s="149">
        <f t="shared" si="10"/>
        <v>116475.94649997856</v>
      </c>
      <c r="CK40" s="149">
        <f t="shared" si="10"/>
        <v>116475.94649997856</v>
      </c>
      <c r="CL40" s="149">
        <f t="shared" si="10"/>
        <v>116475.94649997856</v>
      </c>
      <c r="CM40" s="149">
        <f t="shared" si="10"/>
        <v>116475.94649997856</v>
      </c>
      <c r="CN40" s="149">
        <f t="shared" si="10"/>
        <v>116475.94649997856</v>
      </c>
      <c r="CO40" s="149">
        <f t="shared" si="10"/>
        <v>118223.08569747821</v>
      </c>
      <c r="CP40" s="149">
        <f t="shared" si="10"/>
        <v>118223.08569747821</v>
      </c>
      <c r="CQ40" s="149">
        <f t="shared" si="10"/>
        <v>118223.08569747821</v>
      </c>
      <c r="CR40" s="149">
        <f t="shared" si="10"/>
        <v>118223.08569747821</v>
      </c>
      <c r="CS40" s="149">
        <f t="shared" si="10"/>
        <v>118223.08569747821</v>
      </c>
      <c r="CT40" s="149">
        <f t="shared" si="10"/>
        <v>118223.08569747821</v>
      </c>
      <c r="CU40" s="149">
        <f t="shared" si="10"/>
        <v>118223.08569747821</v>
      </c>
      <c r="CV40" s="149">
        <f t="shared" si="10"/>
        <v>118223.08569747821</v>
      </c>
      <c r="CW40" s="149">
        <f t="shared" si="10"/>
        <v>118223.08569747821</v>
      </c>
      <c r="CX40" s="149">
        <f t="shared" si="10"/>
        <v>118223.08569747821</v>
      </c>
      <c r="CY40" s="149">
        <f t="shared" si="10"/>
        <v>118223.08569747821</v>
      </c>
      <c r="CZ40" s="149">
        <f t="shared" si="10"/>
        <v>118223.08569747821</v>
      </c>
      <c r="DA40" s="149">
        <f t="shared" si="10"/>
        <v>119996.43198294035</v>
      </c>
      <c r="DB40" s="149">
        <f t="shared" si="10"/>
        <v>119996.43198294035</v>
      </c>
      <c r="DC40" s="149">
        <f t="shared" si="10"/>
        <v>119996.43198294035</v>
      </c>
      <c r="DD40" s="149">
        <f t="shared" si="10"/>
        <v>119996.43198294035</v>
      </c>
      <c r="DE40" s="149">
        <f t="shared" si="10"/>
        <v>119996.43198294035</v>
      </c>
      <c r="DF40" s="149">
        <f t="shared" si="10"/>
        <v>119996.43198294035</v>
      </c>
      <c r="DG40" s="149">
        <f t="shared" si="10"/>
        <v>119996.43198294035</v>
      </c>
      <c r="DH40" s="149">
        <f t="shared" si="10"/>
        <v>119996.43198294035</v>
      </c>
      <c r="DI40" s="149">
        <f t="shared" si="10"/>
        <v>119996.43198294035</v>
      </c>
      <c r="DJ40" s="149">
        <f t="shared" si="10"/>
        <v>119996.43198294035</v>
      </c>
      <c r="DK40" s="149">
        <f t="shared" si="10"/>
        <v>119996.43198294035</v>
      </c>
      <c r="DL40" s="149">
        <f t="shared" si="10"/>
        <v>119996.43198294035</v>
      </c>
      <c r="DM40" s="149">
        <f t="shared" si="10"/>
        <v>121796.37846268444</v>
      </c>
      <c r="DN40" s="149">
        <f t="shared" si="10"/>
        <v>121796.37846268444</v>
      </c>
      <c r="DO40" s="149">
        <f t="shared" si="10"/>
        <v>121796.37846268444</v>
      </c>
      <c r="DP40" s="149">
        <f t="shared" si="10"/>
        <v>121796.37846268444</v>
      </c>
      <c r="DQ40" s="149">
        <f t="shared" si="10"/>
        <v>121796.37846268444</v>
      </c>
      <c r="DR40" s="149">
        <f t="shared" si="10"/>
        <v>121796.37846268444</v>
      </c>
      <c r="DS40" s="149">
        <f t="shared" si="10"/>
        <v>121796.37846268444</v>
      </c>
      <c r="DT40" s="149">
        <f t="shared" si="10"/>
        <v>121796.37846268444</v>
      </c>
      <c r="DU40" s="149">
        <f t="shared" si="10"/>
        <v>121796.37846268444</v>
      </c>
      <c r="DV40" s="149">
        <f t="shared" si="10"/>
        <v>121796.37846268444</v>
      </c>
      <c r="DW40" s="149">
        <f t="shared" si="10"/>
        <v>121796.37846268444</v>
      </c>
      <c r="DX40" s="149">
        <f t="shared" si="10"/>
        <v>121796.37846268444</v>
      </c>
      <c r="DY40" s="149">
        <f t="shared" si="10"/>
        <v>123623.3241396247</v>
      </c>
      <c r="DZ40" s="149">
        <f t="shared" si="10"/>
        <v>123623.3241396247</v>
      </c>
      <c r="EA40" s="149">
        <f t="shared" si="10"/>
        <v>123623.3241396247</v>
      </c>
      <c r="EB40" s="149">
        <f t="shared" si="10"/>
        <v>123623.3241396247</v>
      </c>
      <c r="EC40" s="149">
        <f t="shared" si="10"/>
        <v>123623.3241396247</v>
      </c>
      <c r="ED40" s="149">
        <f t="shared" si="10"/>
        <v>123623.3241396247</v>
      </c>
      <c r="EE40" s="149">
        <f t="shared" si="10"/>
        <v>123623.3241396247</v>
      </c>
      <c r="EF40" s="149">
        <f t="shared" si="10"/>
        <v>123623.3241396247</v>
      </c>
      <c r="EG40" s="149">
        <f t="shared" si="10"/>
        <v>123623.3241396247</v>
      </c>
      <c r="EH40" s="149">
        <f t="shared" si="10"/>
        <v>123623.3241396247</v>
      </c>
      <c r="EI40" s="149">
        <f t="shared" si="10"/>
        <v>123623.3241396247</v>
      </c>
      <c r="EJ40" s="149">
        <f t="shared" si="10"/>
        <v>123623.3241396247</v>
      </c>
      <c r="EK40" s="149">
        <f t="shared" si="10"/>
        <v>125477.67400171905</v>
      </c>
      <c r="EL40" s="149">
        <f t="shared" si="10"/>
        <v>125477.67400171905</v>
      </c>
      <c r="EM40" s="149">
        <f t="shared" si="10"/>
        <v>125477.67400171905</v>
      </c>
      <c r="EN40" s="149">
        <f t="shared" si="10"/>
        <v>125477.67400171905</v>
      </c>
      <c r="EO40" s="149">
        <f t="shared" si="10"/>
        <v>125477.67400171905</v>
      </c>
      <c r="EP40" s="149">
        <f t="shared" si="10"/>
        <v>125477.67400171905</v>
      </c>
      <c r="EQ40" s="149">
        <f t="shared" si="10"/>
        <v>125477.67400171905</v>
      </c>
      <c r="ER40" s="149">
        <f t="shared" si="10"/>
        <v>125477.67400171905</v>
      </c>
      <c r="ES40" s="149">
        <f t="shared" si="10"/>
        <v>125477.67400171905</v>
      </c>
      <c r="ET40" s="149">
        <f t="shared" ref="ET40:GR40" si="11">SUM(ET6:ET39)</f>
        <v>125477.67400171905</v>
      </c>
      <c r="EU40" s="149">
        <f t="shared" si="11"/>
        <v>125477.67400171905</v>
      </c>
      <c r="EV40" s="149">
        <f t="shared" si="11"/>
        <v>125477.67400171905</v>
      </c>
      <c r="EW40" s="149">
        <f t="shared" si="11"/>
        <v>127359.83911174483</v>
      </c>
      <c r="EX40" s="149">
        <f t="shared" si="11"/>
        <v>127359.83911174483</v>
      </c>
      <c r="EY40" s="149">
        <f t="shared" si="11"/>
        <v>127359.83911174483</v>
      </c>
      <c r="EZ40" s="149">
        <f t="shared" si="11"/>
        <v>127359.83911174483</v>
      </c>
      <c r="FA40" s="149">
        <f t="shared" si="11"/>
        <v>127359.83911174483</v>
      </c>
      <c r="FB40" s="149">
        <f t="shared" si="11"/>
        <v>127359.83911174483</v>
      </c>
      <c r="FC40" s="149">
        <f t="shared" si="11"/>
        <v>127359.83911174483</v>
      </c>
      <c r="FD40" s="149">
        <f t="shared" si="11"/>
        <v>127359.83911174483</v>
      </c>
      <c r="FE40" s="149">
        <f t="shared" si="11"/>
        <v>127359.83911174483</v>
      </c>
      <c r="FF40" s="149">
        <f t="shared" si="11"/>
        <v>127359.83911174483</v>
      </c>
      <c r="FG40" s="149">
        <f t="shared" si="11"/>
        <v>127359.83911174483</v>
      </c>
      <c r="FH40" s="149">
        <f t="shared" si="11"/>
        <v>127359.83911174483</v>
      </c>
      <c r="FI40" s="149">
        <f t="shared" si="11"/>
        <v>129270.23669842097</v>
      </c>
      <c r="FJ40" s="149">
        <f t="shared" si="11"/>
        <v>129270.23669842097</v>
      </c>
      <c r="FK40" s="149">
        <f t="shared" si="11"/>
        <v>129270.23669842097</v>
      </c>
      <c r="FL40" s="149">
        <f t="shared" si="11"/>
        <v>129270.23669842097</v>
      </c>
      <c r="FM40" s="149">
        <f t="shared" si="11"/>
        <v>129270.23669842097</v>
      </c>
      <c r="FN40" s="149">
        <f t="shared" si="11"/>
        <v>129270.23669842097</v>
      </c>
      <c r="FO40" s="149">
        <f t="shared" si="11"/>
        <v>129270.23669842097</v>
      </c>
      <c r="FP40" s="149">
        <f t="shared" si="11"/>
        <v>129270.23669842097</v>
      </c>
      <c r="FQ40" s="149">
        <f t="shared" si="11"/>
        <v>129270.23669842097</v>
      </c>
      <c r="FR40" s="149">
        <f t="shared" si="11"/>
        <v>129270.23669842097</v>
      </c>
      <c r="FS40" s="149">
        <f t="shared" si="11"/>
        <v>129270.23669842097</v>
      </c>
      <c r="FT40" s="149">
        <f t="shared" si="11"/>
        <v>129270.23669842097</v>
      </c>
      <c r="FU40" s="149">
        <f t="shared" si="11"/>
        <v>131209.29024889728</v>
      </c>
      <c r="FV40" s="149">
        <f t="shared" si="11"/>
        <v>131209.29024889728</v>
      </c>
      <c r="FW40" s="149">
        <f t="shared" si="11"/>
        <v>131209.29024889728</v>
      </c>
      <c r="FX40" s="149">
        <f t="shared" si="11"/>
        <v>131209.29024889728</v>
      </c>
      <c r="FY40" s="149">
        <f t="shared" si="11"/>
        <v>131209.29024889728</v>
      </c>
      <c r="FZ40" s="149">
        <f t="shared" si="11"/>
        <v>131209.29024889728</v>
      </c>
      <c r="GA40" s="149">
        <f t="shared" si="11"/>
        <v>131209.29024889728</v>
      </c>
      <c r="GB40" s="149">
        <f t="shared" si="11"/>
        <v>131209.29024889728</v>
      </c>
      <c r="GC40" s="149">
        <f t="shared" si="11"/>
        <v>131209.29024889728</v>
      </c>
      <c r="GD40" s="149">
        <f t="shared" si="11"/>
        <v>131209.29024889728</v>
      </c>
      <c r="GE40" s="149">
        <f t="shared" si="11"/>
        <v>131209.29024889728</v>
      </c>
      <c r="GF40" s="149">
        <f t="shared" si="11"/>
        <v>131209.29024889728</v>
      </c>
      <c r="GG40" s="149">
        <f t="shared" si="11"/>
        <v>133177.4296026307</v>
      </c>
      <c r="GH40" s="149">
        <f t="shared" si="11"/>
        <v>133177.4296026307</v>
      </c>
      <c r="GI40" s="149">
        <f t="shared" si="11"/>
        <v>133177.4296026307</v>
      </c>
      <c r="GJ40" s="149">
        <f t="shared" si="11"/>
        <v>133177.4296026307</v>
      </c>
      <c r="GK40" s="149">
        <f t="shared" si="11"/>
        <v>133177.4296026307</v>
      </c>
      <c r="GL40" s="149">
        <f t="shared" si="11"/>
        <v>133177.4296026307</v>
      </c>
      <c r="GM40" s="149">
        <f t="shared" si="11"/>
        <v>133177.4296026307</v>
      </c>
      <c r="GN40" s="149">
        <f t="shared" si="11"/>
        <v>133177.4296026307</v>
      </c>
      <c r="GO40" s="149">
        <f t="shared" si="11"/>
        <v>133177.4296026307</v>
      </c>
      <c r="GP40" s="149">
        <f t="shared" si="11"/>
        <v>133177.4296026307</v>
      </c>
      <c r="GQ40" s="149">
        <f t="shared" si="11"/>
        <v>133177.4296026307</v>
      </c>
      <c r="GR40" s="149">
        <f t="shared" si="11"/>
        <v>133177.4296026307</v>
      </c>
    </row>
  </sheetData>
  <mergeCells count="1">
    <mergeCell ref="P4:R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GP40"/>
  <sheetViews>
    <sheetView workbookViewId="0"/>
  </sheetViews>
  <sheetFormatPr defaultColWidth="9.109375" defaultRowHeight="14.4" x14ac:dyDescent="0.3"/>
  <cols>
    <col min="2" max="2" width="12.88671875" style="185" customWidth="1"/>
    <col min="3" max="3" width="12.88671875" style="89" customWidth="1"/>
    <col min="4" max="4" width="5.6640625" style="89" bestFit="1" customWidth="1"/>
    <col min="5" max="5" width="6.44140625" style="89" bestFit="1" customWidth="1"/>
    <col min="6" max="6" width="8.109375" style="89" bestFit="1" customWidth="1"/>
    <col min="7" max="7" width="9.5546875" style="89" bestFit="1" customWidth="1"/>
    <col min="8" max="8" width="10.88671875" style="89" bestFit="1" customWidth="1"/>
    <col min="9" max="9" width="10.88671875" style="89" customWidth="1"/>
    <col min="10" max="10" width="11.44140625" style="89" customWidth="1"/>
    <col min="11" max="11" width="17" style="89" customWidth="1"/>
    <col min="12" max="12" width="13.5546875" style="89" customWidth="1"/>
    <col min="13" max="13" width="10.88671875" style="89" bestFit="1" customWidth="1"/>
    <col min="14" max="14" width="13.5546875" style="89" bestFit="1" customWidth="1"/>
    <col min="15" max="16" width="10.88671875" style="89" bestFit="1" customWidth="1"/>
    <col min="17" max="18" width="9.109375" style="89"/>
    <col min="19" max="19" width="9.33203125" style="89" bestFit="1" customWidth="1"/>
    <col min="20" max="20" width="9.6640625" style="89" bestFit="1" customWidth="1"/>
    <col min="21" max="21" width="9.88671875" style="89" bestFit="1" customWidth="1"/>
    <col min="22" max="22" width="9.5546875" style="89" bestFit="1" customWidth="1"/>
    <col min="23" max="23" width="10.109375" style="89" bestFit="1" customWidth="1"/>
    <col min="24" max="24" width="9.44140625" style="89" bestFit="1" customWidth="1"/>
    <col min="25" max="25" width="8.88671875" style="89" bestFit="1" customWidth="1"/>
    <col min="26" max="26" width="9.88671875" style="89" bestFit="1" customWidth="1"/>
    <col min="27" max="27" width="9.6640625" style="89" bestFit="1" customWidth="1"/>
    <col min="28" max="28" width="9.44140625" style="89" bestFit="1" customWidth="1"/>
    <col min="29" max="29" width="10" style="89" bestFit="1" customWidth="1"/>
    <col min="30" max="30" width="9.6640625" style="89" bestFit="1" customWidth="1"/>
    <col min="31" max="31" width="9.33203125" style="89" bestFit="1" customWidth="1"/>
    <col min="32" max="32" width="9.6640625" style="89" bestFit="1" customWidth="1"/>
    <col min="33" max="33" width="9.88671875" style="89" bestFit="1" customWidth="1"/>
    <col min="34" max="34" width="9.5546875" style="89" bestFit="1" customWidth="1"/>
    <col min="35" max="35" width="10.109375" style="89" bestFit="1" customWidth="1"/>
    <col min="36" max="36" width="9.44140625" style="89" bestFit="1" customWidth="1"/>
    <col min="37" max="37" width="8.88671875" style="89" bestFit="1" customWidth="1"/>
    <col min="38" max="38" width="9.88671875" style="89" bestFit="1" customWidth="1"/>
    <col min="39" max="39" width="9.6640625" style="89" bestFit="1" customWidth="1"/>
    <col min="40" max="40" width="9.44140625" style="89" bestFit="1" customWidth="1"/>
    <col min="41" max="41" width="10" style="89" bestFit="1" customWidth="1"/>
    <col min="42" max="42" width="9.6640625" style="89" bestFit="1" customWidth="1"/>
    <col min="43" max="43" width="9.33203125" style="89" bestFit="1" customWidth="1"/>
    <col min="44" max="44" width="9.6640625" style="89" bestFit="1" customWidth="1"/>
    <col min="45" max="45" width="9.88671875" style="89" bestFit="1" customWidth="1"/>
    <col min="46" max="46" width="9.5546875" style="89" bestFit="1" customWidth="1"/>
    <col min="47" max="47" width="10.109375" style="89" bestFit="1" customWidth="1"/>
    <col min="48" max="48" width="9.44140625" style="89" bestFit="1" customWidth="1"/>
    <col min="49" max="49" width="8.88671875" style="89" bestFit="1" customWidth="1"/>
    <col min="50" max="50" width="9.88671875" style="89" bestFit="1" customWidth="1"/>
    <col min="51" max="51" width="9.6640625" style="89" bestFit="1" customWidth="1"/>
    <col min="52" max="52" width="9.44140625" style="89" bestFit="1" customWidth="1"/>
    <col min="53" max="53" width="10" style="89" bestFit="1" customWidth="1"/>
    <col min="54" max="54" width="9.6640625" style="89" bestFit="1" customWidth="1"/>
    <col min="55" max="55" width="9.33203125" style="89" bestFit="1" customWidth="1"/>
    <col min="56" max="56" width="9.6640625" style="89" bestFit="1" customWidth="1"/>
    <col min="57" max="57" width="9.88671875" style="89" bestFit="1" customWidth="1"/>
    <col min="58" max="58" width="9.5546875" style="89" bestFit="1" customWidth="1"/>
    <col min="59" max="59" width="10.109375" style="89" bestFit="1" customWidth="1"/>
    <col min="60" max="60" width="9.44140625" style="89" bestFit="1" customWidth="1"/>
    <col min="61" max="61" width="8.88671875" style="89" bestFit="1" customWidth="1"/>
    <col min="62" max="62" width="9.88671875" style="89" bestFit="1" customWidth="1"/>
    <col min="63" max="63" width="9.6640625" style="89" bestFit="1" customWidth="1"/>
    <col min="64" max="64" width="9.44140625" style="89" bestFit="1" customWidth="1"/>
    <col min="65" max="65" width="10" style="89" bestFit="1" customWidth="1"/>
    <col min="66" max="66" width="9.6640625" style="89" bestFit="1" customWidth="1"/>
    <col min="67" max="67" width="9.33203125" style="89" bestFit="1" customWidth="1"/>
    <col min="68" max="68" width="9.6640625" style="89" bestFit="1" customWidth="1"/>
    <col min="69" max="69" width="9.88671875" style="89" bestFit="1" customWidth="1"/>
    <col min="70" max="70" width="9.5546875" style="89" bestFit="1" customWidth="1"/>
    <col min="71" max="71" width="10.109375" style="89" bestFit="1" customWidth="1"/>
    <col min="72" max="72" width="9.44140625" style="89" bestFit="1" customWidth="1"/>
    <col min="73" max="73" width="8.88671875" style="89" bestFit="1" customWidth="1"/>
    <col min="74" max="74" width="9.88671875" style="89" bestFit="1" customWidth="1"/>
    <col min="75" max="75" width="9.6640625" style="89" bestFit="1" customWidth="1"/>
    <col min="76" max="76" width="9.44140625" style="89" bestFit="1" customWidth="1"/>
    <col min="77" max="77" width="10" style="89" bestFit="1" customWidth="1"/>
    <col min="78" max="78" width="9.6640625" style="89" bestFit="1" customWidth="1"/>
    <col min="79" max="79" width="9.33203125" style="89" bestFit="1" customWidth="1"/>
    <col min="80" max="80" width="9.6640625" style="89" bestFit="1" customWidth="1"/>
    <col min="81" max="81" width="9.88671875" style="89" bestFit="1" customWidth="1"/>
    <col min="82" max="82" width="9.5546875" style="89" bestFit="1" customWidth="1"/>
    <col min="83" max="83" width="10.109375" style="89" bestFit="1" customWidth="1"/>
    <col min="84" max="84" width="9.44140625" style="89" bestFit="1" customWidth="1"/>
    <col min="85" max="85" width="8.88671875" style="89" bestFit="1" customWidth="1"/>
    <col min="86" max="86" width="9.88671875" style="89" bestFit="1" customWidth="1"/>
    <col min="87" max="87" width="9.6640625" style="89" bestFit="1" customWidth="1"/>
    <col min="88" max="88" width="9.44140625" style="89" bestFit="1" customWidth="1"/>
    <col min="89" max="89" width="10" style="89" bestFit="1" customWidth="1"/>
    <col min="90" max="90" width="9.6640625" style="89" bestFit="1" customWidth="1"/>
    <col min="91" max="91" width="9.33203125" style="89" bestFit="1" customWidth="1"/>
    <col min="92" max="92" width="9.6640625" style="89" bestFit="1" customWidth="1"/>
    <col min="93" max="93" width="9.88671875" style="89" bestFit="1" customWidth="1"/>
    <col min="94" max="94" width="9.5546875" style="89" bestFit="1" customWidth="1"/>
    <col min="95" max="95" width="10.109375" style="89" bestFit="1" customWidth="1"/>
    <col min="96" max="96" width="9.44140625" style="89" bestFit="1" customWidth="1"/>
    <col min="97" max="97" width="8.88671875" style="89" bestFit="1" customWidth="1"/>
    <col min="98" max="98" width="9.88671875" style="89" bestFit="1" customWidth="1"/>
    <col min="99" max="99" width="9.6640625" style="89" bestFit="1" customWidth="1"/>
    <col min="100" max="100" width="9.44140625" style="89" bestFit="1" customWidth="1"/>
    <col min="101" max="101" width="10" style="89" bestFit="1" customWidth="1"/>
    <col min="102" max="102" width="9.6640625" style="89" bestFit="1" customWidth="1"/>
    <col min="103" max="103" width="9.33203125" style="89" bestFit="1" customWidth="1"/>
    <col min="104" max="104" width="9.6640625" style="89" bestFit="1" customWidth="1"/>
    <col min="105" max="105" width="9.88671875" style="89" bestFit="1" customWidth="1"/>
    <col min="106" max="106" width="9.5546875" style="89" bestFit="1" customWidth="1"/>
    <col min="107" max="107" width="10.109375" style="89" bestFit="1" customWidth="1"/>
    <col min="108" max="108" width="9.44140625" style="89" bestFit="1" customWidth="1"/>
    <col min="109" max="109" width="8.88671875" style="89" bestFit="1" customWidth="1"/>
    <col min="110" max="110" width="9.88671875" style="89" bestFit="1" customWidth="1"/>
    <col min="111" max="111" width="9.6640625" style="89" bestFit="1" customWidth="1"/>
    <col min="112" max="112" width="9.44140625" style="89" bestFit="1" customWidth="1"/>
    <col min="113" max="113" width="10" style="89" bestFit="1" customWidth="1"/>
    <col min="114" max="114" width="9.6640625" style="89" bestFit="1" customWidth="1"/>
    <col min="115" max="115" width="9.33203125" style="89" bestFit="1" customWidth="1"/>
    <col min="116" max="116" width="9.6640625" style="89" bestFit="1" customWidth="1"/>
    <col min="117" max="117" width="9.88671875" style="89" bestFit="1" customWidth="1"/>
    <col min="118" max="118" width="9.5546875" style="89" bestFit="1" customWidth="1"/>
    <col min="119" max="119" width="10.109375" style="89" bestFit="1" customWidth="1"/>
    <col min="120" max="120" width="9.44140625" style="89" bestFit="1" customWidth="1"/>
    <col min="121" max="121" width="8.88671875" style="89" bestFit="1" customWidth="1"/>
    <col min="122" max="122" width="9.88671875" style="89" bestFit="1" customWidth="1"/>
    <col min="123" max="123" width="9.6640625" style="89" bestFit="1" customWidth="1"/>
    <col min="124" max="124" width="9.44140625" style="89" bestFit="1" customWidth="1"/>
    <col min="125" max="125" width="10" style="89" bestFit="1" customWidth="1"/>
    <col min="126" max="126" width="9.6640625" style="89" bestFit="1" customWidth="1"/>
    <col min="127" max="127" width="9.33203125" style="89" bestFit="1" customWidth="1"/>
    <col min="128" max="128" width="9.6640625" style="89" bestFit="1" customWidth="1"/>
    <col min="129" max="129" width="9.88671875" style="89" bestFit="1" customWidth="1"/>
    <col min="130" max="130" width="9.5546875" style="89" bestFit="1" customWidth="1"/>
    <col min="131" max="131" width="10.109375" style="89" bestFit="1" customWidth="1"/>
    <col min="132" max="132" width="9.44140625" style="89" bestFit="1" customWidth="1"/>
    <col min="133" max="133" width="8.88671875" style="89" bestFit="1" customWidth="1"/>
    <col min="134" max="134" width="9.88671875" style="89" bestFit="1" customWidth="1"/>
    <col min="135" max="135" width="9.6640625" style="89" bestFit="1" customWidth="1"/>
    <col min="136" max="136" width="9.44140625" style="89" bestFit="1" customWidth="1"/>
    <col min="137" max="137" width="10" style="89" bestFit="1" customWidth="1"/>
    <col min="138" max="138" width="9.6640625" style="89" bestFit="1" customWidth="1"/>
    <col min="139" max="139" width="9.33203125" style="89" bestFit="1" customWidth="1"/>
    <col min="140" max="140" width="9.6640625" style="89" bestFit="1" customWidth="1"/>
    <col min="141" max="141" width="9.88671875" style="89" bestFit="1" customWidth="1"/>
    <col min="142" max="142" width="9.5546875" style="89" bestFit="1" customWidth="1"/>
    <col min="143" max="143" width="10.109375" style="89" bestFit="1" customWidth="1"/>
    <col min="144" max="144" width="9.44140625" style="89" bestFit="1" customWidth="1"/>
    <col min="145" max="145" width="8.88671875" style="89" bestFit="1" customWidth="1"/>
    <col min="146" max="146" width="9.88671875" style="89" bestFit="1" customWidth="1"/>
    <col min="147" max="147" width="9.6640625" style="89" bestFit="1" customWidth="1"/>
    <col min="148" max="148" width="9.44140625" style="89" bestFit="1" customWidth="1"/>
    <col min="149" max="149" width="10" style="89" bestFit="1" customWidth="1"/>
    <col min="150" max="150" width="9.6640625" style="89" bestFit="1" customWidth="1"/>
    <col min="151" max="151" width="9.33203125" style="89" bestFit="1" customWidth="1"/>
    <col min="152" max="152" width="9.6640625" style="89" bestFit="1" customWidth="1"/>
    <col min="153" max="153" width="9.88671875" style="89" bestFit="1" customWidth="1"/>
    <col min="154" max="154" width="9.5546875" style="89" bestFit="1" customWidth="1"/>
    <col min="155" max="155" width="10.109375" style="89" bestFit="1" customWidth="1"/>
    <col min="156" max="156" width="9.44140625" style="89" bestFit="1" customWidth="1"/>
    <col min="157" max="157" width="8.88671875" style="89" bestFit="1" customWidth="1"/>
    <col min="158" max="158" width="9.88671875" style="89" bestFit="1" customWidth="1"/>
    <col min="159" max="159" width="9.6640625" style="89" bestFit="1" customWidth="1"/>
    <col min="160" max="160" width="9.44140625" style="89" bestFit="1" customWidth="1"/>
    <col min="161" max="161" width="10" style="89" bestFit="1" customWidth="1"/>
    <col min="162" max="162" width="9.6640625" style="89" bestFit="1" customWidth="1"/>
    <col min="163" max="163" width="9.33203125" style="89" bestFit="1" customWidth="1"/>
    <col min="164" max="164" width="9.6640625" style="89" bestFit="1" customWidth="1"/>
    <col min="165" max="165" width="9.88671875" style="89" bestFit="1" customWidth="1"/>
    <col min="166" max="166" width="9.5546875" style="89" bestFit="1" customWidth="1"/>
    <col min="167" max="167" width="10.109375" style="89" bestFit="1" customWidth="1"/>
    <col min="168" max="168" width="9.44140625" style="89" bestFit="1" customWidth="1"/>
    <col min="169" max="169" width="8.88671875" style="89" bestFit="1" customWidth="1"/>
    <col min="170" max="170" width="9.88671875" style="89" bestFit="1" customWidth="1"/>
    <col min="171" max="171" width="9.6640625" style="89" bestFit="1" customWidth="1"/>
    <col min="172" max="172" width="9.44140625" style="89" bestFit="1" customWidth="1"/>
    <col min="173" max="173" width="10" style="89" bestFit="1" customWidth="1"/>
    <col min="174" max="174" width="9.6640625" style="89" bestFit="1" customWidth="1"/>
    <col min="175" max="175" width="9.33203125" style="89" bestFit="1" customWidth="1"/>
    <col min="176" max="176" width="9.6640625" style="89" bestFit="1" customWidth="1"/>
    <col min="177" max="177" width="9.88671875" style="89" bestFit="1" customWidth="1"/>
    <col min="178" max="178" width="9.5546875" style="89" bestFit="1" customWidth="1"/>
    <col min="179" max="179" width="10.109375" style="89" bestFit="1" customWidth="1"/>
    <col min="180" max="180" width="9.44140625" style="89" bestFit="1" customWidth="1"/>
    <col min="181" max="181" width="8.88671875" style="89" bestFit="1" customWidth="1"/>
    <col min="182" max="182" width="9.88671875" style="89" bestFit="1" customWidth="1"/>
    <col min="183" max="183" width="9.6640625" style="89" bestFit="1" customWidth="1"/>
    <col min="184" max="184" width="9.44140625" style="89" bestFit="1" customWidth="1"/>
    <col min="185" max="185" width="10" style="89" bestFit="1" customWidth="1"/>
    <col min="186" max="186" width="9.6640625" style="89" bestFit="1" customWidth="1"/>
    <col min="187" max="187" width="9.33203125" style="89" bestFit="1" customWidth="1"/>
    <col min="188" max="188" width="9.6640625" style="89" bestFit="1" customWidth="1"/>
    <col min="189" max="189" width="9.88671875" style="89" bestFit="1" customWidth="1"/>
    <col min="190" max="190" width="9.5546875" style="89" bestFit="1" customWidth="1"/>
    <col min="191" max="191" width="10.109375" style="89" bestFit="1" customWidth="1"/>
    <col min="192" max="192" width="9.44140625" style="89" bestFit="1" customWidth="1"/>
    <col min="193" max="193" width="8.88671875" style="89" bestFit="1" customWidth="1"/>
    <col min="194" max="194" width="9.88671875" style="89" bestFit="1" customWidth="1"/>
    <col min="195" max="195" width="9.6640625" style="89" bestFit="1" customWidth="1"/>
    <col min="196" max="196" width="9.44140625" style="89" bestFit="1" customWidth="1"/>
    <col min="197" max="197" width="10" style="89" bestFit="1" customWidth="1"/>
    <col min="198" max="198" width="9.6640625" style="89" bestFit="1" customWidth="1"/>
  </cols>
  <sheetData>
    <row r="3" spans="2:198" ht="15.6" x14ac:dyDescent="0.3">
      <c r="B3" s="74" t="s">
        <v>184</v>
      </c>
      <c r="C3" s="109"/>
      <c r="D3" s="88"/>
      <c r="E3" s="88"/>
      <c r="F3" s="88"/>
      <c r="G3" s="88"/>
      <c r="H3" s="88"/>
      <c r="I3" s="169"/>
      <c r="J3" s="88"/>
      <c r="K3" s="88"/>
      <c r="L3" s="88"/>
      <c r="M3" s="88"/>
      <c r="N3" s="88"/>
      <c r="O3" s="88"/>
      <c r="P3" s="88"/>
      <c r="R3" s="89" t="s">
        <v>46</v>
      </c>
      <c r="S3" s="89">
        <f>ROUNDUP(S4/12,0)</f>
        <v>1</v>
      </c>
      <c r="T3" s="89">
        <f t="shared" ref="T3:CE3" si="0">ROUNDUP(T4/12,0)</f>
        <v>1</v>
      </c>
      <c r="U3" s="89">
        <f t="shared" si="0"/>
        <v>1</v>
      </c>
      <c r="V3" s="89">
        <f t="shared" si="0"/>
        <v>1</v>
      </c>
      <c r="W3" s="89">
        <f t="shared" si="0"/>
        <v>1</v>
      </c>
      <c r="X3" s="89">
        <f t="shared" si="0"/>
        <v>1</v>
      </c>
      <c r="Y3" s="89">
        <f t="shared" si="0"/>
        <v>1</v>
      </c>
      <c r="Z3" s="89">
        <f t="shared" si="0"/>
        <v>1</v>
      </c>
      <c r="AA3" s="89">
        <f t="shared" si="0"/>
        <v>1</v>
      </c>
      <c r="AB3" s="89">
        <f t="shared" si="0"/>
        <v>1</v>
      </c>
      <c r="AC3" s="89">
        <f t="shared" si="0"/>
        <v>1</v>
      </c>
      <c r="AD3" s="89">
        <f t="shared" si="0"/>
        <v>1</v>
      </c>
      <c r="AE3" s="89">
        <f t="shared" si="0"/>
        <v>2</v>
      </c>
      <c r="AF3" s="89">
        <f t="shared" si="0"/>
        <v>2</v>
      </c>
      <c r="AG3" s="89">
        <f t="shared" si="0"/>
        <v>2</v>
      </c>
      <c r="AH3" s="89">
        <f t="shared" si="0"/>
        <v>2</v>
      </c>
      <c r="AI3" s="89">
        <f t="shared" si="0"/>
        <v>2</v>
      </c>
      <c r="AJ3" s="89">
        <f t="shared" si="0"/>
        <v>2</v>
      </c>
      <c r="AK3" s="89">
        <f t="shared" si="0"/>
        <v>2</v>
      </c>
      <c r="AL3" s="89">
        <f t="shared" si="0"/>
        <v>2</v>
      </c>
      <c r="AM3" s="89">
        <f t="shared" si="0"/>
        <v>2</v>
      </c>
      <c r="AN3" s="89">
        <f t="shared" si="0"/>
        <v>2</v>
      </c>
      <c r="AO3" s="89">
        <f t="shared" si="0"/>
        <v>2</v>
      </c>
      <c r="AP3" s="89">
        <f t="shared" si="0"/>
        <v>2</v>
      </c>
      <c r="AQ3" s="89">
        <f t="shared" si="0"/>
        <v>3</v>
      </c>
      <c r="AR3" s="89">
        <f t="shared" si="0"/>
        <v>3</v>
      </c>
      <c r="AS3" s="89">
        <f t="shared" si="0"/>
        <v>3</v>
      </c>
      <c r="AT3" s="89">
        <f t="shared" si="0"/>
        <v>3</v>
      </c>
      <c r="AU3" s="89">
        <f t="shared" si="0"/>
        <v>3</v>
      </c>
      <c r="AV3" s="89">
        <f t="shared" si="0"/>
        <v>3</v>
      </c>
      <c r="AW3" s="89">
        <f t="shared" si="0"/>
        <v>3</v>
      </c>
      <c r="AX3" s="89">
        <f t="shared" si="0"/>
        <v>3</v>
      </c>
      <c r="AY3" s="89">
        <f t="shared" si="0"/>
        <v>3</v>
      </c>
      <c r="AZ3" s="89">
        <f t="shared" si="0"/>
        <v>3</v>
      </c>
      <c r="BA3" s="89">
        <f t="shared" si="0"/>
        <v>3</v>
      </c>
      <c r="BB3" s="89">
        <f t="shared" si="0"/>
        <v>3</v>
      </c>
      <c r="BC3" s="89">
        <f t="shared" si="0"/>
        <v>4</v>
      </c>
      <c r="BD3" s="89">
        <f t="shared" si="0"/>
        <v>4</v>
      </c>
      <c r="BE3" s="89">
        <f t="shared" si="0"/>
        <v>4</v>
      </c>
      <c r="BF3" s="89">
        <f t="shared" si="0"/>
        <v>4</v>
      </c>
      <c r="BG3" s="89">
        <f t="shared" si="0"/>
        <v>4</v>
      </c>
      <c r="BH3" s="89">
        <f t="shared" si="0"/>
        <v>4</v>
      </c>
      <c r="BI3" s="89">
        <f t="shared" si="0"/>
        <v>4</v>
      </c>
      <c r="BJ3" s="89">
        <f t="shared" si="0"/>
        <v>4</v>
      </c>
      <c r="BK3" s="89">
        <f t="shared" si="0"/>
        <v>4</v>
      </c>
      <c r="BL3" s="89">
        <f t="shared" si="0"/>
        <v>4</v>
      </c>
      <c r="BM3" s="89">
        <f t="shared" si="0"/>
        <v>4</v>
      </c>
      <c r="BN3" s="89">
        <f t="shared" si="0"/>
        <v>4</v>
      </c>
      <c r="BO3" s="89">
        <f t="shared" si="0"/>
        <v>5</v>
      </c>
      <c r="BP3" s="89">
        <f t="shared" si="0"/>
        <v>5</v>
      </c>
      <c r="BQ3" s="89">
        <f t="shared" si="0"/>
        <v>5</v>
      </c>
      <c r="BR3" s="89">
        <f t="shared" si="0"/>
        <v>5</v>
      </c>
      <c r="BS3" s="89">
        <f t="shared" si="0"/>
        <v>5</v>
      </c>
      <c r="BT3" s="89">
        <f t="shared" si="0"/>
        <v>5</v>
      </c>
      <c r="BU3" s="89">
        <f t="shared" si="0"/>
        <v>5</v>
      </c>
      <c r="BV3" s="89">
        <f t="shared" si="0"/>
        <v>5</v>
      </c>
      <c r="BW3" s="89">
        <f t="shared" si="0"/>
        <v>5</v>
      </c>
      <c r="BX3" s="89">
        <f t="shared" si="0"/>
        <v>5</v>
      </c>
      <c r="BY3" s="89">
        <f t="shared" si="0"/>
        <v>5</v>
      </c>
      <c r="BZ3" s="89">
        <f t="shared" si="0"/>
        <v>5</v>
      </c>
      <c r="CA3" s="89">
        <f t="shared" si="0"/>
        <v>6</v>
      </c>
      <c r="CB3" s="89">
        <f t="shared" si="0"/>
        <v>6</v>
      </c>
      <c r="CC3" s="89">
        <f t="shared" si="0"/>
        <v>6</v>
      </c>
      <c r="CD3" s="89">
        <f t="shared" si="0"/>
        <v>6</v>
      </c>
      <c r="CE3" s="89">
        <f t="shared" si="0"/>
        <v>6</v>
      </c>
      <c r="CF3" s="89">
        <f t="shared" ref="CF3:EQ3" si="1">ROUNDUP(CF4/12,0)</f>
        <v>6</v>
      </c>
      <c r="CG3" s="89">
        <f t="shared" si="1"/>
        <v>6</v>
      </c>
      <c r="CH3" s="89">
        <f t="shared" si="1"/>
        <v>6</v>
      </c>
      <c r="CI3" s="89">
        <f t="shared" si="1"/>
        <v>6</v>
      </c>
      <c r="CJ3" s="89">
        <f t="shared" si="1"/>
        <v>6</v>
      </c>
      <c r="CK3" s="89">
        <f t="shared" si="1"/>
        <v>6</v>
      </c>
      <c r="CL3" s="89">
        <f t="shared" si="1"/>
        <v>6</v>
      </c>
      <c r="CM3" s="89">
        <f t="shared" si="1"/>
        <v>7</v>
      </c>
      <c r="CN3" s="89">
        <f t="shared" si="1"/>
        <v>7</v>
      </c>
      <c r="CO3" s="89">
        <f t="shared" si="1"/>
        <v>7</v>
      </c>
      <c r="CP3" s="89">
        <f t="shared" si="1"/>
        <v>7</v>
      </c>
      <c r="CQ3" s="89">
        <f t="shared" si="1"/>
        <v>7</v>
      </c>
      <c r="CR3" s="89">
        <f t="shared" si="1"/>
        <v>7</v>
      </c>
      <c r="CS3" s="89">
        <f t="shared" si="1"/>
        <v>7</v>
      </c>
      <c r="CT3" s="89">
        <f t="shared" si="1"/>
        <v>7</v>
      </c>
      <c r="CU3" s="89">
        <f t="shared" si="1"/>
        <v>7</v>
      </c>
      <c r="CV3" s="89">
        <f t="shared" si="1"/>
        <v>7</v>
      </c>
      <c r="CW3" s="89">
        <f t="shared" si="1"/>
        <v>7</v>
      </c>
      <c r="CX3" s="89">
        <f t="shared" si="1"/>
        <v>7</v>
      </c>
      <c r="CY3" s="89">
        <f t="shared" si="1"/>
        <v>8</v>
      </c>
      <c r="CZ3" s="89">
        <f t="shared" si="1"/>
        <v>8</v>
      </c>
      <c r="DA3" s="89">
        <f t="shared" si="1"/>
        <v>8</v>
      </c>
      <c r="DB3" s="89">
        <f t="shared" si="1"/>
        <v>8</v>
      </c>
      <c r="DC3" s="89">
        <f t="shared" si="1"/>
        <v>8</v>
      </c>
      <c r="DD3" s="89">
        <f t="shared" si="1"/>
        <v>8</v>
      </c>
      <c r="DE3" s="89">
        <f t="shared" si="1"/>
        <v>8</v>
      </c>
      <c r="DF3" s="89">
        <f t="shared" si="1"/>
        <v>8</v>
      </c>
      <c r="DG3" s="89">
        <f t="shared" si="1"/>
        <v>8</v>
      </c>
      <c r="DH3" s="89">
        <f t="shared" si="1"/>
        <v>8</v>
      </c>
      <c r="DI3" s="89">
        <f t="shared" si="1"/>
        <v>8</v>
      </c>
      <c r="DJ3" s="89">
        <f t="shared" si="1"/>
        <v>8</v>
      </c>
      <c r="DK3" s="89">
        <f t="shared" si="1"/>
        <v>9</v>
      </c>
      <c r="DL3" s="89">
        <f t="shared" si="1"/>
        <v>9</v>
      </c>
      <c r="DM3" s="89">
        <f t="shared" si="1"/>
        <v>9</v>
      </c>
      <c r="DN3" s="89">
        <f t="shared" si="1"/>
        <v>9</v>
      </c>
      <c r="DO3" s="89">
        <f t="shared" si="1"/>
        <v>9</v>
      </c>
      <c r="DP3" s="89">
        <f t="shared" si="1"/>
        <v>9</v>
      </c>
      <c r="DQ3" s="89">
        <f t="shared" si="1"/>
        <v>9</v>
      </c>
      <c r="DR3" s="89">
        <f t="shared" si="1"/>
        <v>9</v>
      </c>
      <c r="DS3" s="89">
        <f t="shared" si="1"/>
        <v>9</v>
      </c>
      <c r="DT3" s="89">
        <f t="shared" si="1"/>
        <v>9</v>
      </c>
      <c r="DU3" s="89">
        <f t="shared" si="1"/>
        <v>9</v>
      </c>
      <c r="DV3" s="89">
        <f t="shared" si="1"/>
        <v>9</v>
      </c>
      <c r="DW3" s="89">
        <f t="shared" si="1"/>
        <v>10</v>
      </c>
      <c r="DX3" s="89">
        <f t="shared" si="1"/>
        <v>10</v>
      </c>
      <c r="DY3" s="89">
        <f t="shared" si="1"/>
        <v>10</v>
      </c>
      <c r="DZ3" s="89">
        <f t="shared" si="1"/>
        <v>10</v>
      </c>
      <c r="EA3" s="89">
        <f t="shared" si="1"/>
        <v>10</v>
      </c>
      <c r="EB3" s="89">
        <f t="shared" si="1"/>
        <v>10</v>
      </c>
      <c r="EC3" s="89">
        <f t="shared" si="1"/>
        <v>10</v>
      </c>
      <c r="ED3" s="89">
        <f t="shared" si="1"/>
        <v>10</v>
      </c>
      <c r="EE3" s="89">
        <f t="shared" si="1"/>
        <v>10</v>
      </c>
      <c r="EF3" s="89">
        <f t="shared" si="1"/>
        <v>10</v>
      </c>
      <c r="EG3" s="89">
        <f t="shared" si="1"/>
        <v>10</v>
      </c>
      <c r="EH3" s="89">
        <f t="shared" si="1"/>
        <v>10</v>
      </c>
      <c r="EI3" s="89">
        <f t="shared" si="1"/>
        <v>11</v>
      </c>
      <c r="EJ3" s="89">
        <f t="shared" si="1"/>
        <v>11</v>
      </c>
      <c r="EK3" s="89">
        <f t="shared" si="1"/>
        <v>11</v>
      </c>
      <c r="EL3" s="89">
        <f t="shared" si="1"/>
        <v>11</v>
      </c>
      <c r="EM3" s="89">
        <f t="shared" si="1"/>
        <v>11</v>
      </c>
      <c r="EN3" s="89">
        <f t="shared" si="1"/>
        <v>11</v>
      </c>
      <c r="EO3" s="89">
        <f t="shared" si="1"/>
        <v>11</v>
      </c>
      <c r="EP3" s="89">
        <f t="shared" si="1"/>
        <v>11</v>
      </c>
      <c r="EQ3" s="89">
        <f t="shared" si="1"/>
        <v>11</v>
      </c>
      <c r="ER3" s="89">
        <f t="shared" ref="ER3:GP3" si="2">ROUNDUP(ER4/12,0)</f>
        <v>11</v>
      </c>
      <c r="ES3" s="89">
        <f t="shared" si="2"/>
        <v>11</v>
      </c>
      <c r="ET3" s="89">
        <f t="shared" si="2"/>
        <v>11</v>
      </c>
      <c r="EU3" s="89">
        <f t="shared" si="2"/>
        <v>12</v>
      </c>
      <c r="EV3" s="89">
        <f t="shared" si="2"/>
        <v>12</v>
      </c>
      <c r="EW3" s="89">
        <f t="shared" si="2"/>
        <v>12</v>
      </c>
      <c r="EX3" s="89">
        <f t="shared" si="2"/>
        <v>12</v>
      </c>
      <c r="EY3" s="89">
        <f t="shared" si="2"/>
        <v>12</v>
      </c>
      <c r="EZ3" s="89">
        <f t="shared" si="2"/>
        <v>12</v>
      </c>
      <c r="FA3" s="89">
        <f t="shared" si="2"/>
        <v>12</v>
      </c>
      <c r="FB3" s="89">
        <f t="shared" si="2"/>
        <v>12</v>
      </c>
      <c r="FC3" s="89">
        <f t="shared" si="2"/>
        <v>12</v>
      </c>
      <c r="FD3" s="89">
        <f t="shared" si="2"/>
        <v>12</v>
      </c>
      <c r="FE3" s="89">
        <f t="shared" si="2"/>
        <v>12</v>
      </c>
      <c r="FF3" s="89">
        <f t="shared" si="2"/>
        <v>12</v>
      </c>
      <c r="FG3" s="89">
        <f t="shared" si="2"/>
        <v>13</v>
      </c>
      <c r="FH3" s="89">
        <f t="shared" si="2"/>
        <v>13</v>
      </c>
      <c r="FI3" s="89">
        <f t="shared" si="2"/>
        <v>13</v>
      </c>
      <c r="FJ3" s="89">
        <f t="shared" si="2"/>
        <v>13</v>
      </c>
      <c r="FK3" s="89">
        <f t="shared" si="2"/>
        <v>13</v>
      </c>
      <c r="FL3" s="89">
        <f t="shared" si="2"/>
        <v>13</v>
      </c>
      <c r="FM3" s="89">
        <f t="shared" si="2"/>
        <v>13</v>
      </c>
      <c r="FN3" s="89">
        <f t="shared" si="2"/>
        <v>13</v>
      </c>
      <c r="FO3" s="89">
        <f t="shared" si="2"/>
        <v>13</v>
      </c>
      <c r="FP3" s="89">
        <f t="shared" si="2"/>
        <v>13</v>
      </c>
      <c r="FQ3" s="89">
        <f t="shared" si="2"/>
        <v>13</v>
      </c>
      <c r="FR3" s="89">
        <f t="shared" si="2"/>
        <v>13</v>
      </c>
      <c r="FS3" s="89">
        <f t="shared" si="2"/>
        <v>14</v>
      </c>
      <c r="FT3" s="89">
        <f t="shared" si="2"/>
        <v>14</v>
      </c>
      <c r="FU3" s="89">
        <f t="shared" si="2"/>
        <v>14</v>
      </c>
      <c r="FV3" s="89">
        <f t="shared" si="2"/>
        <v>14</v>
      </c>
      <c r="FW3" s="89">
        <f t="shared" si="2"/>
        <v>14</v>
      </c>
      <c r="FX3" s="89">
        <f t="shared" si="2"/>
        <v>14</v>
      </c>
      <c r="FY3" s="89">
        <f t="shared" si="2"/>
        <v>14</v>
      </c>
      <c r="FZ3" s="89">
        <f t="shared" si="2"/>
        <v>14</v>
      </c>
      <c r="GA3" s="89">
        <f t="shared" si="2"/>
        <v>14</v>
      </c>
      <c r="GB3" s="89">
        <f t="shared" si="2"/>
        <v>14</v>
      </c>
      <c r="GC3" s="89">
        <f t="shared" si="2"/>
        <v>14</v>
      </c>
      <c r="GD3" s="89">
        <f t="shared" si="2"/>
        <v>14</v>
      </c>
      <c r="GE3" s="89">
        <f t="shared" si="2"/>
        <v>15</v>
      </c>
      <c r="GF3" s="89">
        <f t="shared" si="2"/>
        <v>15</v>
      </c>
      <c r="GG3" s="89">
        <f t="shared" si="2"/>
        <v>15</v>
      </c>
      <c r="GH3" s="89">
        <f t="shared" si="2"/>
        <v>15</v>
      </c>
      <c r="GI3" s="89">
        <f t="shared" si="2"/>
        <v>15</v>
      </c>
      <c r="GJ3" s="89">
        <f t="shared" si="2"/>
        <v>15</v>
      </c>
      <c r="GK3" s="89">
        <f t="shared" si="2"/>
        <v>15</v>
      </c>
      <c r="GL3" s="89">
        <f t="shared" si="2"/>
        <v>15</v>
      </c>
      <c r="GM3" s="89">
        <f t="shared" si="2"/>
        <v>15</v>
      </c>
      <c r="GN3" s="89">
        <f t="shared" si="2"/>
        <v>15</v>
      </c>
      <c r="GO3" s="89">
        <f t="shared" si="2"/>
        <v>15</v>
      </c>
      <c r="GP3" s="89">
        <f t="shared" si="2"/>
        <v>15</v>
      </c>
    </row>
    <row r="4" spans="2:198" x14ac:dyDescent="0.3">
      <c r="B4" s="68"/>
      <c r="C4" s="122"/>
      <c r="D4" s="88"/>
      <c r="E4" s="88"/>
      <c r="F4" s="88"/>
      <c r="G4" s="88"/>
      <c r="H4" s="88"/>
      <c r="I4" s="88"/>
      <c r="J4" s="88"/>
      <c r="K4" s="88"/>
      <c r="L4" s="88"/>
      <c r="M4" s="88"/>
      <c r="N4" s="295" t="s">
        <v>162</v>
      </c>
      <c r="O4" s="296"/>
      <c r="P4" s="296"/>
      <c r="R4" s="89" t="s">
        <v>167</v>
      </c>
      <c r="S4" s="89">
        <v>1</v>
      </c>
      <c r="T4" s="89">
        <f>S4+1</f>
        <v>2</v>
      </c>
      <c r="U4" s="89">
        <f t="shared" ref="U4:CF4" si="3">T4+1</f>
        <v>3</v>
      </c>
      <c r="V4" s="89">
        <f t="shared" si="3"/>
        <v>4</v>
      </c>
      <c r="W4" s="89">
        <f t="shared" si="3"/>
        <v>5</v>
      </c>
      <c r="X4" s="89">
        <f t="shared" si="3"/>
        <v>6</v>
      </c>
      <c r="Y4" s="89">
        <f t="shared" si="3"/>
        <v>7</v>
      </c>
      <c r="Z4" s="89">
        <f t="shared" si="3"/>
        <v>8</v>
      </c>
      <c r="AA4" s="89">
        <f t="shared" si="3"/>
        <v>9</v>
      </c>
      <c r="AB4" s="89">
        <f t="shared" si="3"/>
        <v>10</v>
      </c>
      <c r="AC4" s="89">
        <f t="shared" si="3"/>
        <v>11</v>
      </c>
      <c r="AD4" s="89">
        <f t="shared" si="3"/>
        <v>12</v>
      </c>
      <c r="AE4" s="89">
        <f t="shared" si="3"/>
        <v>13</v>
      </c>
      <c r="AF4" s="89">
        <f t="shared" si="3"/>
        <v>14</v>
      </c>
      <c r="AG4" s="89">
        <f t="shared" si="3"/>
        <v>15</v>
      </c>
      <c r="AH4" s="89">
        <f t="shared" si="3"/>
        <v>16</v>
      </c>
      <c r="AI4" s="89">
        <f t="shared" si="3"/>
        <v>17</v>
      </c>
      <c r="AJ4" s="89">
        <f t="shared" si="3"/>
        <v>18</v>
      </c>
      <c r="AK4" s="89">
        <f t="shared" si="3"/>
        <v>19</v>
      </c>
      <c r="AL4" s="89">
        <f t="shared" si="3"/>
        <v>20</v>
      </c>
      <c r="AM4" s="89">
        <f t="shared" si="3"/>
        <v>21</v>
      </c>
      <c r="AN4" s="89">
        <f t="shared" si="3"/>
        <v>22</v>
      </c>
      <c r="AO4" s="89">
        <f t="shared" si="3"/>
        <v>23</v>
      </c>
      <c r="AP4" s="89">
        <f t="shared" si="3"/>
        <v>24</v>
      </c>
      <c r="AQ4" s="89">
        <f t="shared" si="3"/>
        <v>25</v>
      </c>
      <c r="AR4" s="89">
        <f t="shared" si="3"/>
        <v>26</v>
      </c>
      <c r="AS4" s="89">
        <f t="shared" si="3"/>
        <v>27</v>
      </c>
      <c r="AT4" s="89">
        <f t="shared" si="3"/>
        <v>28</v>
      </c>
      <c r="AU4" s="89">
        <f t="shared" si="3"/>
        <v>29</v>
      </c>
      <c r="AV4" s="89">
        <f t="shared" si="3"/>
        <v>30</v>
      </c>
      <c r="AW4" s="89">
        <f t="shared" si="3"/>
        <v>31</v>
      </c>
      <c r="AX4" s="89">
        <f t="shared" si="3"/>
        <v>32</v>
      </c>
      <c r="AY4" s="89">
        <f t="shared" si="3"/>
        <v>33</v>
      </c>
      <c r="AZ4" s="89">
        <f t="shared" si="3"/>
        <v>34</v>
      </c>
      <c r="BA4" s="89">
        <f t="shared" si="3"/>
        <v>35</v>
      </c>
      <c r="BB4" s="89">
        <f t="shared" si="3"/>
        <v>36</v>
      </c>
      <c r="BC4" s="89">
        <f t="shared" si="3"/>
        <v>37</v>
      </c>
      <c r="BD4" s="89">
        <f t="shared" si="3"/>
        <v>38</v>
      </c>
      <c r="BE4" s="89">
        <f t="shared" si="3"/>
        <v>39</v>
      </c>
      <c r="BF4" s="89">
        <f t="shared" si="3"/>
        <v>40</v>
      </c>
      <c r="BG4" s="89">
        <f t="shared" si="3"/>
        <v>41</v>
      </c>
      <c r="BH4" s="89">
        <f t="shared" si="3"/>
        <v>42</v>
      </c>
      <c r="BI4" s="89">
        <f t="shared" si="3"/>
        <v>43</v>
      </c>
      <c r="BJ4" s="89">
        <f t="shared" si="3"/>
        <v>44</v>
      </c>
      <c r="BK4" s="89">
        <f t="shared" si="3"/>
        <v>45</v>
      </c>
      <c r="BL4" s="89">
        <f t="shared" si="3"/>
        <v>46</v>
      </c>
      <c r="BM4" s="89">
        <f t="shared" si="3"/>
        <v>47</v>
      </c>
      <c r="BN4" s="89">
        <f t="shared" si="3"/>
        <v>48</v>
      </c>
      <c r="BO4" s="89">
        <f t="shared" si="3"/>
        <v>49</v>
      </c>
      <c r="BP4" s="89">
        <f t="shared" si="3"/>
        <v>50</v>
      </c>
      <c r="BQ4" s="89">
        <f t="shared" si="3"/>
        <v>51</v>
      </c>
      <c r="BR4" s="89">
        <f t="shared" si="3"/>
        <v>52</v>
      </c>
      <c r="BS4" s="89">
        <f t="shared" si="3"/>
        <v>53</v>
      </c>
      <c r="BT4" s="89">
        <f t="shared" si="3"/>
        <v>54</v>
      </c>
      <c r="BU4" s="89">
        <f t="shared" si="3"/>
        <v>55</v>
      </c>
      <c r="BV4" s="89">
        <f t="shared" si="3"/>
        <v>56</v>
      </c>
      <c r="BW4" s="89">
        <f t="shared" si="3"/>
        <v>57</v>
      </c>
      <c r="BX4" s="89">
        <f t="shared" si="3"/>
        <v>58</v>
      </c>
      <c r="BY4" s="89">
        <f t="shared" si="3"/>
        <v>59</v>
      </c>
      <c r="BZ4" s="89">
        <f t="shared" si="3"/>
        <v>60</v>
      </c>
      <c r="CA4" s="89">
        <f t="shared" si="3"/>
        <v>61</v>
      </c>
      <c r="CB4" s="89">
        <f t="shared" si="3"/>
        <v>62</v>
      </c>
      <c r="CC4" s="89">
        <f t="shared" si="3"/>
        <v>63</v>
      </c>
      <c r="CD4" s="89">
        <f t="shared" si="3"/>
        <v>64</v>
      </c>
      <c r="CE4" s="89">
        <f t="shared" si="3"/>
        <v>65</v>
      </c>
      <c r="CF4" s="89">
        <f t="shared" si="3"/>
        <v>66</v>
      </c>
      <c r="CG4" s="89">
        <f t="shared" ref="CG4:ER4" si="4">CF4+1</f>
        <v>67</v>
      </c>
      <c r="CH4" s="89">
        <f t="shared" si="4"/>
        <v>68</v>
      </c>
      <c r="CI4" s="89">
        <f t="shared" si="4"/>
        <v>69</v>
      </c>
      <c r="CJ4" s="89">
        <f t="shared" si="4"/>
        <v>70</v>
      </c>
      <c r="CK4" s="89">
        <f t="shared" si="4"/>
        <v>71</v>
      </c>
      <c r="CL4" s="89">
        <f t="shared" si="4"/>
        <v>72</v>
      </c>
      <c r="CM4" s="89">
        <f t="shared" si="4"/>
        <v>73</v>
      </c>
      <c r="CN4" s="89">
        <f t="shared" si="4"/>
        <v>74</v>
      </c>
      <c r="CO4" s="89">
        <f t="shared" si="4"/>
        <v>75</v>
      </c>
      <c r="CP4" s="89">
        <f t="shared" si="4"/>
        <v>76</v>
      </c>
      <c r="CQ4" s="89">
        <f t="shared" si="4"/>
        <v>77</v>
      </c>
      <c r="CR4" s="89">
        <f t="shared" si="4"/>
        <v>78</v>
      </c>
      <c r="CS4" s="89">
        <f t="shared" si="4"/>
        <v>79</v>
      </c>
      <c r="CT4" s="89">
        <f t="shared" si="4"/>
        <v>80</v>
      </c>
      <c r="CU4" s="89">
        <f t="shared" si="4"/>
        <v>81</v>
      </c>
      <c r="CV4" s="89">
        <f t="shared" si="4"/>
        <v>82</v>
      </c>
      <c r="CW4" s="89">
        <f t="shared" si="4"/>
        <v>83</v>
      </c>
      <c r="CX4" s="89">
        <f t="shared" si="4"/>
        <v>84</v>
      </c>
      <c r="CY4" s="89">
        <f t="shared" si="4"/>
        <v>85</v>
      </c>
      <c r="CZ4" s="89">
        <f t="shared" si="4"/>
        <v>86</v>
      </c>
      <c r="DA4" s="89">
        <f t="shared" si="4"/>
        <v>87</v>
      </c>
      <c r="DB4" s="89">
        <f t="shared" si="4"/>
        <v>88</v>
      </c>
      <c r="DC4" s="89">
        <f t="shared" si="4"/>
        <v>89</v>
      </c>
      <c r="DD4" s="89">
        <f t="shared" si="4"/>
        <v>90</v>
      </c>
      <c r="DE4" s="89">
        <f t="shared" si="4"/>
        <v>91</v>
      </c>
      <c r="DF4" s="89">
        <f t="shared" si="4"/>
        <v>92</v>
      </c>
      <c r="DG4" s="89">
        <f t="shared" si="4"/>
        <v>93</v>
      </c>
      <c r="DH4" s="89">
        <f t="shared" si="4"/>
        <v>94</v>
      </c>
      <c r="DI4" s="89">
        <f t="shared" si="4"/>
        <v>95</v>
      </c>
      <c r="DJ4" s="89">
        <f t="shared" si="4"/>
        <v>96</v>
      </c>
      <c r="DK4" s="89">
        <f t="shared" si="4"/>
        <v>97</v>
      </c>
      <c r="DL4" s="89">
        <f t="shared" si="4"/>
        <v>98</v>
      </c>
      <c r="DM4" s="89">
        <f t="shared" si="4"/>
        <v>99</v>
      </c>
      <c r="DN4" s="89">
        <f t="shared" si="4"/>
        <v>100</v>
      </c>
      <c r="DO4" s="89">
        <f t="shared" si="4"/>
        <v>101</v>
      </c>
      <c r="DP4" s="89">
        <f t="shared" si="4"/>
        <v>102</v>
      </c>
      <c r="DQ4" s="89">
        <f t="shared" si="4"/>
        <v>103</v>
      </c>
      <c r="DR4" s="89">
        <f t="shared" si="4"/>
        <v>104</v>
      </c>
      <c r="DS4" s="89">
        <f t="shared" si="4"/>
        <v>105</v>
      </c>
      <c r="DT4" s="89">
        <f t="shared" si="4"/>
        <v>106</v>
      </c>
      <c r="DU4" s="89">
        <f t="shared" si="4"/>
        <v>107</v>
      </c>
      <c r="DV4" s="89">
        <f t="shared" si="4"/>
        <v>108</v>
      </c>
      <c r="DW4" s="89">
        <f t="shared" si="4"/>
        <v>109</v>
      </c>
      <c r="DX4" s="89">
        <f t="shared" si="4"/>
        <v>110</v>
      </c>
      <c r="DY4" s="89">
        <f t="shared" si="4"/>
        <v>111</v>
      </c>
      <c r="DZ4" s="89">
        <f t="shared" si="4"/>
        <v>112</v>
      </c>
      <c r="EA4" s="89">
        <f t="shared" si="4"/>
        <v>113</v>
      </c>
      <c r="EB4" s="89">
        <f t="shared" si="4"/>
        <v>114</v>
      </c>
      <c r="EC4" s="89">
        <f t="shared" si="4"/>
        <v>115</v>
      </c>
      <c r="ED4" s="89">
        <f t="shared" si="4"/>
        <v>116</v>
      </c>
      <c r="EE4" s="89">
        <f t="shared" si="4"/>
        <v>117</v>
      </c>
      <c r="EF4" s="89">
        <f t="shared" si="4"/>
        <v>118</v>
      </c>
      <c r="EG4" s="89">
        <f t="shared" si="4"/>
        <v>119</v>
      </c>
      <c r="EH4" s="89">
        <f t="shared" si="4"/>
        <v>120</v>
      </c>
      <c r="EI4" s="89">
        <f t="shared" si="4"/>
        <v>121</v>
      </c>
      <c r="EJ4" s="89">
        <f t="shared" si="4"/>
        <v>122</v>
      </c>
      <c r="EK4" s="89">
        <f t="shared" si="4"/>
        <v>123</v>
      </c>
      <c r="EL4" s="89">
        <f t="shared" si="4"/>
        <v>124</v>
      </c>
      <c r="EM4" s="89">
        <f t="shared" si="4"/>
        <v>125</v>
      </c>
      <c r="EN4" s="89">
        <f t="shared" si="4"/>
        <v>126</v>
      </c>
      <c r="EO4" s="89">
        <f t="shared" si="4"/>
        <v>127</v>
      </c>
      <c r="EP4" s="89">
        <f t="shared" si="4"/>
        <v>128</v>
      </c>
      <c r="EQ4" s="89">
        <f t="shared" si="4"/>
        <v>129</v>
      </c>
      <c r="ER4" s="89">
        <f t="shared" si="4"/>
        <v>130</v>
      </c>
      <c r="ES4" s="89">
        <f t="shared" ref="ES4:GP4" si="5">ER4+1</f>
        <v>131</v>
      </c>
      <c r="ET4" s="89">
        <f t="shared" si="5"/>
        <v>132</v>
      </c>
      <c r="EU4" s="89">
        <f t="shared" si="5"/>
        <v>133</v>
      </c>
      <c r="EV4" s="89">
        <f t="shared" si="5"/>
        <v>134</v>
      </c>
      <c r="EW4" s="89">
        <f t="shared" si="5"/>
        <v>135</v>
      </c>
      <c r="EX4" s="89">
        <f t="shared" si="5"/>
        <v>136</v>
      </c>
      <c r="EY4" s="89">
        <f t="shared" si="5"/>
        <v>137</v>
      </c>
      <c r="EZ4" s="89">
        <f t="shared" si="5"/>
        <v>138</v>
      </c>
      <c r="FA4" s="89">
        <f t="shared" si="5"/>
        <v>139</v>
      </c>
      <c r="FB4" s="89">
        <f t="shared" si="5"/>
        <v>140</v>
      </c>
      <c r="FC4" s="89">
        <f t="shared" si="5"/>
        <v>141</v>
      </c>
      <c r="FD4" s="89">
        <f t="shared" si="5"/>
        <v>142</v>
      </c>
      <c r="FE4" s="89">
        <f t="shared" si="5"/>
        <v>143</v>
      </c>
      <c r="FF4" s="89">
        <f t="shared" si="5"/>
        <v>144</v>
      </c>
      <c r="FG4" s="89">
        <f t="shared" si="5"/>
        <v>145</v>
      </c>
      <c r="FH4" s="89">
        <f t="shared" si="5"/>
        <v>146</v>
      </c>
      <c r="FI4" s="89">
        <f t="shared" si="5"/>
        <v>147</v>
      </c>
      <c r="FJ4" s="89">
        <f t="shared" si="5"/>
        <v>148</v>
      </c>
      <c r="FK4" s="89">
        <f t="shared" si="5"/>
        <v>149</v>
      </c>
      <c r="FL4" s="89">
        <f t="shared" si="5"/>
        <v>150</v>
      </c>
      <c r="FM4" s="89">
        <f t="shared" si="5"/>
        <v>151</v>
      </c>
      <c r="FN4" s="89">
        <f t="shared" si="5"/>
        <v>152</v>
      </c>
      <c r="FO4" s="89">
        <f t="shared" si="5"/>
        <v>153</v>
      </c>
      <c r="FP4" s="89">
        <f t="shared" si="5"/>
        <v>154</v>
      </c>
      <c r="FQ4" s="89">
        <f t="shared" si="5"/>
        <v>155</v>
      </c>
      <c r="FR4" s="89">
        <f t="shared" si="5"/>
        <v>156</v>
      </c>
      <c r="FS4" s="89">
        <f t="shared" si="5"/>
        <v>157</v>
      </c>
      <c r="FT4" s="89">
        <f t="shared" si="5"/>
        <v>158</v>
      </c>
      <c r="FU4" s="89">
        <f t="shared" si="5"/>
        <v>159</v>
      </c>
      <c r="FV4" s="89">
        <f t="shared" si="5"/>
        <v>160</v>
      </c>
      <c r="FW4" s="89">
        <f t="shared" si="5"/>
        <v>161</v>
      </c>
      <c r="FX4" s="89">
        <f t="shared" si="5"/>
        <v>162</v>
      </c>
      <c r="FY4" s="89">
        <f t="shared" si="5"/>
        <v>163</v>
      </c>
      <c r="FZ4" s="89">
        <f t="shared" si="5"/>
        <v>164</v>
      </c>
      <c r="GA4" s="89">
        <f t="shared" si="5"/>
        <v>165</v>
      </c>
      <c r="GB4" s="89">
        <f t="shared" si="5"/>
        <v>166</v>
      </c>
      <c r="GC4" s="89">
        <f t="shared" si="5"/>
        <v>167</v>
      </c>
      <c r="GD4" s="89">
        <f t="shared" si="5"/>
        <v>168</v>
      </c>
      <c r="GE4" s="89">
        <f t="shared" si="5"/>
        <v>169</v>
      </c>
      <c r="GF4" s="89">
        <f t="shared" si="5"/>
        <v>170</v>
      </c>
      <c r="GG4" s="89">
        <f t="shared" si="5"/>
        <v>171</v>
      </c>
      <c r="GH4" s="89">
        <f t="shared" si="5"/>
        <v>172</v>
      </c>
      <c r="GI4" s="89">
        <f t="shared" si="5"/>
        <v>173</v>
      </c>
      <c r="GJ4" s="89">
        <f t="shared" si="5"/>
        <v>174</v>
      </c>
      <c r="GK4" s="89">
        <f t="shared" si="5"/>
        <v>175</v>
      </c>
      <c r="GL4" s="89">
        <f t="shared" si="5"/>
        <v>176</v>
      </c>
      <c r="GM4" s="89">
        <f t="shared" si="5"/>
        <v>177</v>
      </c>
      <c r="GN4" s="89">
        <f t="shared" si="5"/>
        <v>178</v>
      </c>
      <c r="GO4" s="89">
        <f t="shared" si="5"/>
        <v>179</v>
      </c>
      <c r="GP4" s="89">
        <f t="shared" si="5"/>
        <v>180</v>
      </c>
    </row>
    <row r="5" spans="2:198" ht="28.8" x14ac:dyDescent="0.3">
      <c r="B5" s="183" t="s">
        <v>148</v>
      </c>
      <c r="C5" s="123" t="s">
        <v>153</v>
      </c>
      <c r="D5" s="123" t="s">
        <v>149</v>
      </c>
      <c r="E5" s="123" t="s">
        <v>150</v>
      </c>
      <c r="F5" s="123" t="s">
        <v>151</v>
      </c>
      <c r="G5" s="123" t="s">
        <v>152</v>
      </c>
      <c r="H5" s="123" t="s">
        <v>154</v>
      </c>
      <c r="I5" s="123" t="s">
        <v>163</v>
      </c>
      <c r="J5" s="123" t="s">
        <v>157</v>
      </c>
      <c r="K5" s="123" t="s">
        <v>158</v>
      </c>
      <c r="L5" s="123" t="s">
        <v>156</v>
      </c>
      <c r="M5" s="123" t="s">
        <v>155</v>
      </c>
      <c r="N5" s="124" t="s">
        <v>159</v>
      </c>
      <c r="O5" s="125" t="s">
        <v>160</v>
      </c>
      <c r="P5" s="125" t="s">
        <v>161</v>
      </c>
      <c r="Q5" s="90"/>
      <c r="R5" s="90" t="s">
        <v>166</v>
      </c>
      <c r="S5" s="170">
        <f>EOMONTH(Analysis_Start,0)</f>
        <v>42400</v>
      </c>
      <c r="T5" s="170">
        <f>EOMONTH(S5,1)</f>
        <v>42429</v>
      </c>
      <c r="U5" s="170">
        <f t="shared" ref="U5:CF5" si="6">EOMONTH(T5,1)</f>
        <v>42460</v>
      </c>
      <c r="V5" s="170">
        <f t="shared" si="6"/>
        <v>42490</v>
      </c>
      <c r="W5" s="170">
        <f t="shared" si="6"/>
        <v>42521</v>
      </c>
      <c r="X5" s="170">
        <f t="shared" si="6"/>
        <v>42551</v>
      </c>
      <c r="Y5" s="170">
        <f t="shared" si="6"/>
        <v>42582</v>
      </c>
      <c r="Z5" s="170">
        <f t="shared" si="6"/>
        <v>42613</v>
      </c>
      <c r="AA5" s="170">
        <f t="shared" si="6"/>
        <v>42643</v>
      </c>
      <c r="AB5" s="170">
        <f t="shared" si="6"/>
        <v>42674</v>
      </c>
      <c r="AC5" s="170">
        <f t="shared" si="6"/>
        <v>42704</v>
      </c>
      <c r="AD5" s="170">
        <f t="shared" si="6"/>
        <v>42735</v>
      </c>
      <c r="AE5" s="170">
        <f t="shared" si="6"/>
        <v>42766</v>
      </c>
      <c r="AF5" s="170">
        <f t="shared" si="6"/>
        <v>42794</v>
      </c>
      <c r="AG5" s="170">
        <f t="shared" si="6"/>
        <v>42825</v>
      </c>
      <c r="AH5" s="170">
        <f t="shared" si="6"/>
        <v>42855</v>
      </c>
      <c r="AI5" s="170">
        <f t="shared" si="6"/>
        <v>42886</v>
      </c>
      <c r="AJ5" s="170">
        <f t="shared" si="6"/>
        <v>42916</v>
      </c>
      <c r="AK5" s="170">
        <f t="shared" si="6"/>
        <v>42947</v>
      </c>
      <c r="AL5" s="170">
        <f t="shared" si="6"/>
        <v>42978</v>
      </c>
      <c r="AM5" s="170">
        <f t="shared" si="6"/>
        <v>43008</v>
      </c>
      <c r="AN5" s="170">
        <f t="shared" si="6"/>
        <v>43039</v>
      </c>
      <c r="AO5" s="170">
        <f t="shared" si="6"/>
        <v>43069</v>
      </c>
      <c r="AP5" s="170">
        <f t="shared" si="6"/>
        <v>43100</v>
      </c>
      <c r="AQ5" s="170">
        <f t="shared" si="6"/>
        <v>43131</v>
      </c>
      <c r="AR5" s="170">
        <f t="shared" si="6"/>
        <v>43159</v>
      </c>
      <c r="AS5" s="170">
        <f t="shared" si="6"/>
        <v>43190</v>
      </c>
      <c r="AT5" s="170">
        <f t="shared" si="6"/>
        <v>43220</v>
      </c>
      <c r="AU5" s="170">
        <f t="shared" si="6"/>
        <v>43251</v>
      </c>
      <c r="AV5" s="170">
        <f t="shared" si="6"/>
        <v>43281</v>
      </c>
      <c r="AW5" s="170">
        <f t="shared" si="6"/>
        <v>43312</v>
      </c>
      <c r="AX5" s="170">
        <f t="shared" si="6"/>
        <v>43343</v>
      </c>
      <c r="AY5" s="170">
        <f t="shared" si="6"/>
        <v>43373</v>
      </c>
      <c r="AZ5" s="170">
        <f t="shared" si="6"/>
        <v>43404</v>
      </c>
      <c r="BA5" s="170">
        <f t="shared" si="6"/>
        <v>43434</v>
      </c>
      <c r="BB5" s="170">
        <f t="shared" si="6"/>
        <v>43465</v>
      </c>
      <c r="BC5" s="170">
        <f t="shared" si="6"/>
        <v>43496</v>
      </c>
      <c r="BD5" s="170">
        <f t="shared" si="6"/>
        <v>43524</v>
      </c>
      <c r="BE5" s="170">
        <f t="shared" si="6"/>
        <v>43555</v>
      </c>
      <c r="BF5" s="170">
        <f t="shared" si="6"/>
        <v>43585</v>
      </c>
      <c r="BG5" s="170">
        <f t="shared" si="6"/>
        <v>43616</v>
      </c>
      <c r="BH5" s="170">
        <f t="shared" si="6"/>
        <v>43646</v>
      </c>
      <c r="BI5" s="170">
        <f t="shared" si="6"/>
        <v>43677</v>
      </c>
      <c r="BJ5" s="170">
        <f t="shared" si="6"/>
        <v>43708</v>
      </c>
      <c r="BK5" s="170">
        <f t="shared" si="6"/>
        <v>43738</v>
      </c>
      <c r="BL5" s="170">
        <f t="shared" si="6"/>
        <v>43769</v>
      </c>
      <c r="BM5" s="170">
        <f t="shared" si="6"/>
        <v>43799</v>
      </c>
      <c r="BN5" s="170">
        <f t="shared" si="6"/>
        <v>43830</v>
      </c>
      <c r="BO5" s="170">
        <f t="shared" si="6"/>
        <v>43861</v>
      </c>
      <c r="BP5" s="170">
        <f t="shared" si="6"/>
        <v>43890</v>
      </c>
      <c r="BQ5" s="170">
        <f t="shared" si="6"/>
        <v>43921</v>
      </c>
      <c r="BR5" s="170">
        <f t="shared" si="6"/>
        <v>43951</v>
      </c>
      <c r="BS5" s="170">
        <f t="shared" si="6"/>
        <v>43982</v>
      </c>
      <c r="BT5" s="170">
        <f t="shared" si="6"/>
        <v>44012</v>
      </c>
      <c r="BU5" s="170">
        <f t="shared" si="6"/>
        <v>44043</v>
      </c>
      <c r="BV5" s="170">
        <f t="shared" si="6"/>
        <v>44074</v>
      </c>
      <c r="BW5" s="170">
        <f t="shared" si="6"/>
        <v>44104</v>
      </c>
      <c r="BX5" s="170">
        <f t="shared" si="6"/>
        <v>44135</v>
      </c>
      <c r="BY5" s="170">
        <f t="shared" si="6"/>
        <v>44165</v>
      </c>
      <c r="BZ5" s="170">
        <f t="shared" si="6"/>
        <v>44196</v>
      </c>
      <c r="CA5" s="170">
        <f t="shared" si="6"/>
        <v>44227</v>
      </c>
      <c r="CB5" s="170">
        <f t="shared" si="6"/>
        <v>44255</v>
      </c>
      <c r="CC5" s="170">
        <f t="shared" si="6"/>
        <v>44286</v>
      </c>
      <c r="CD5" s="170">
        <f t="shared" si="6"/>
        <v>44316</v>
      </c>
      <c r="CE5" s="170">
        <f t="shared" si="6"/>
        <v>44347</v>
      </c>
      <c r="CF5" s="170">
        <f t="shared" si="6"/>
        <v>44377</v>
      </c>
      <c r="CG5" s="170">
        <f t="shared" ref="CG5:ER5" si="7">EOMONTH(CF5,1)</f>
        <v>44408</v>
      </c>
      <c r="CH5" s="170">
        <f t="shared" si="7"/>
        <v>44439</v>
      </c>
      <c r="CI5" s="170">
        <f t="shared" si="7"/>
        <v>44469</v>
      </c>
      <c r="CJ5" s="170">
        <f t="shared" si="7"/>
        <v>44500</v>
      </c>
      <c r="CK5" s="170">
        <f t="shared" si="7"/>
        <v>44530</v>
      </c>
      <c r="CL5" s="170">
        <f t="shared" si="7"/>
        <v>44561</v>
      </c>
      <c r="CM5" s="170">
        <f t="shared" si="7"/>
        <v>44592</v>
      </c>
      <c r="CN5" s="170">
        <f t="shared" si="7"/>
        <v>44620</v>
      </c>
      <c r="CO5" s="170">
        <f t="shared" si="7"/>
        <v>44651</v>
      </c>
      <c r="CP5" s="170">
        <f t="shared" si="7"/>
        <v>44681</v>
      </c>
      <c r="CQ5" s="170">
        <f t="shared" si="7"/>
        <v>44712</v>
      </c>
      <c r="CR5" s="170">
        <f t="shared" si="7"/>
        <v>44742</v>
      </c>
      <c r="CS5" s="170">
        <f t="shared" si="7"/>
        <v>44773</v>
      </c>
      <c r="CT5" s="170">
        <f t="shared" si="7"/>
        <v>44804</v>
      </c>
      <c r="CU5" s="170">
        <f t="shared" si="7"/>
        <v>44834</v>
      </c>
      <c r="CV5" s="170">
        <f t="shared" si="7"/>
        <v>44865</v>
      </c>
      <c r="CW5" s="170">
        <f t="shared" si="7"/>
        <v>44895</v>
      </c>
      <c r="CX5" s="170">
        <f t="shared" si="7"/>
        <v>44926</v>
      </c>
      <c r="CY5" s="170">
        <f t="shared" si="7"/>
        <v>44957</v>
      </c>
      <c r="CZ5" s="170">
        <f t="shared" si="7"/>
        <v>44985</v>
      </c>
      <c r="DA5" s="170">
        <f t="shared" si="7"/>
        <v>45016</v>
      </c>
      <c r="DB5" s="170">
        <f t="shared" si="7"/>
        <v>45046</v>
      </c>
      <c r="DC5" s="170">
        <f t="shared" si="7"/>
        <v>45077</v>
      </c>
      <c r="DD5" s="170">
        <f t="shared" si="7"/>
        <v>45107</v>
      </c>
      <c r="DE5" s="170">
        <f t="shared" si="7"/>
        <v>45138</v>
      </c>
      <c r="DF5" s="170">
        <f t="shared" si="7"/>
        <v>45169</v>
      </c>
      <c r="DG5" s="170">
        <f t="shared" si="7"/>
        <v>45199</v>
      </c>
      <c r="DH5" s="170">
        <f t="shared" si="7"/>
        <v>45230</v>
      </c>
      <c r="DI5" s="170">
        <f t="shared" si="7"/>
        <v>45260</v>
      </c>
      <c r="DJ5" s="170">
        <f t="shared" si="7"/>
        <v>45291</v>
      </c>
      <c r="DK5" s="170">
        <f t="shared" si="7"/>
        <v>45322</v>
      </c>
      <c r="DL5" s="170">
        <f t="shared" si="7"/>
        <v>45351</v>
      </c>
      <c r="DM5" s="170">
        <f t="shared" si="7"/>
        <v>45382</v>
      </c>
      <c r="DN5" s="170">
        <f t="shared" si="7"/>
        <v>45412</v>
      </c>
      <c r="DO5" s="170">
        <f t="shared" si="7"/>
        <v>45443</v>
      </c>
      <c r="DP5" s="170">
        <f t="shared" si="7"/>
        <v>45473</v>
      </c>
      <c r="DQ5" s="170">
        <f t="shared" si="7"/>
        <v>45504</v>
      </c>
      <c r="DR5" s="170">
        <f t="shared" si="7"/>
        <v>45535</v>
      </c>
      <c r="DS5" s="170">
        <f t="shared" si="7"/>
        <v>45565</v>
      </c>
      <c r="DT5" s="170">
        <f t="shared" si="7"/>
        <v>45596</v>
      </c>
      <c r="DU5" s="170">
        <f t="shared" si="7"/>
        <v>45626</v>
      </c>
      <c r="DV5" s="170">
        <f t="shared" si="7"/>
        <v>45657</v>
      </c>
      <c r="DW5" s="170">
        <f t="shared" si="7"/>
        <v>45688</v>
      </c>
      <c r="DX5" s="170">
        <f t="shared" si="7"/>
        <v>45716</v>
      </c>
      <c r="DY5" s="170">
        <f t="shared" si="7"/>
        <v>45747</v>
      </c>
      <c r="DZ5" s="170">
        <f t="shared" si="7"/>
        <v>45777</v>
      </c>
      <c r="EA5" s="170">
        <f t="shared" si="7"/>
        <v>45808</v>
      </c>
      <c r="EB5" s="170">
        <f t="shared" si="7"/>
        <v>45838</v>
      </c>
      <c r="EC5" s="170">
        <f t="shared" si="7"/>
        <v>45869</v>
      </c>
      <c r="ED5" s="170">
        <f t="shared" si="7"/>
        <v>45900</v>
      </c>
      <c r="EE5" s="170">
        <f t="shared" si="7"/>
        <v>45930</v>
      </c>
      <c r="EF5" s="170">
        <f t="shared" si="7"/>
        <v>45961</v>
      </c>
      <c r="EG5" s="170">
        <f t="shared" si="7"/>
        <v>45991</v>
      </c>
      <c r="EH5" s="170">
        <f t="shared" si="7"/>
        <v>46022</v>
      </c>
      <c r="EI5" s="170">
        <f t="shared" si="7"/>
        <v>46053</v>
      </c>
      <c r="EJ5" s="170">
        <f t="shared" si="7"/>
        <v>46081</v>
      </c>
      <c r="EK5" s="170">
        <f t="shared" si="7"/>
        <v>46112</v>
      </c>
      <c r="EL5" s="170">
        <f t="shared" si="7"/>
        <v>46142</v>
      </c>
      <c r="EM5" s="170">
        <f t="shared" si="7"/>
        <v>46173</v>
      </c>
      <c r="EN5" s="170">
        <f t="shared" si="7"/>
        <v>46203</v>
      </c>
      <c r="EO5" s="170">
        <f t="shared" si="7"/>
        <v>46234</v>
      </c>
      <c r="EP5" s="170">
        <f t="shared" si="7"/>
        <v>46265</v>
      </c>
      <c r="EQ5" s="170">
        <f t="shared" si="7"/>
        <v>46295</v>
      </c>
      <c r="ER5" s="170">
        <f t="shared" si="7"/>
        <v>46326</v>
      </c>
      <c r="ES5" s="170">
        <f t="shared" ref="ES5:GP5" si="8">EOMONTH(ER5,1)</f>
        <v>46356</v>
      </c>
      <c r="ET5" s="170">
        <f t="shared" si="8"/>
        <v>46387</v>
      </c>
      <c r="EU5" s="170">
        <f t="shared" si="8"/>
        <v>46418</v>
      </c>
      <c r="EV5" s="170">
        <f t="shared" si="8"/>
        <v>46446</v>
      </c>
      <c r="EW5" s="170">
        <f t="shared" si="8"/>
        <v>46477</v>
      </c>
      <c r="EX5" s="170">
        <f t="shared" si="8"/>
        <v>46507</v>
      </c>
      <c r="EY5" s="170">
        <f t="shared" si="8"/>
        <v>46538</v>
      </c>
      <c r="EZ5" s="170">
        <f t="shared" si="8"/>
        <v>46568</v>
      </c>
      <c r="FA5" s="170">
        <f t="shared" si="8"/>
        <v>46599</v>
      </c>
      <c r="FB5" s="170">
        <f t="shared" si="8"/>
        <v>46630</v>
      </c>
      <c r="FC5" s="170">
        <f t="shared" si="8"/>
        <v>46660</v>
      </c>
      <c r="FD5" s="170">
        <f t="shared" si="8"/>
        <v>46691</v>
      </c>
      <c r="FE5" s="170">
        <f t="shared" si="8"/>
        <v>46721</v>
      </c>
      <c r="FF5" s="170">
        <f t="shared" si="8"/>
        <v>46752</v>
      </c>
      <c r="FG5" s="170">
        <f t="shared" si="8"/>
        <v>46783</v>
      </c>
      <c r="FH5" s="170">
        <f t="shared" si="8"/>
        <v>46812</v>
      </c>
      <c r="FI5" s="170">
        <f t="shared" si="8"/>
        <v>46843</v>
      </c>
      <c r="FJ5" s="170">
        <f t="shared" si="8"/>
        <v>46873</v>
      </c>
      <c r="FK5" s="170">
        <f t="shared" si="8"/>
        <v>46904</v>
      </c>
      <c r="FL5" s="170">
        <f t="shared" si="8"/>
        <v>46934</v>
      </c>
      <c r="FM5" s="170">
        <f t="shared" si="8"/>
        <v>46965</v>
      </c>
      <c r="FN5" s="170">
        <f t="shared" si="8"/>
        <v>46996</v>
      </c>
      <c r="FO5" s="170">
        <f t="shared" si="8"/>
        <v>47026</v>
      </c>
      <c r="FP5" s="170">
        <f t="shared" si="8"/>
        <v>47057</v>
      </c>
      <c r="FQ5" s="170">
        <f t="shared" si="8"/>
        <v>47087</v>
      </c>
      <c r="FR5" s="170">
        <f t="shared" si="8"/>
        <v>47118</v>
      </c>
      <c r="FS5" s="170">
        <f t="shared" si="8"/>
        <v>47149</v>
      </c>
      <c r="FT5" s="170">
        <f t="shared" si="8"/>
        <v>47177</v>
      </c>
      <c r="FU5" s="170">
        <f t="shared" si="8"/>
        <v>47208</v>
      </c>
      <c r="FV5" s="170">
        <f t="shared" si="8"/>
        <v>47238</v>
      </c>
      <c r="FW5" s="170">
        <f t="shared" si="8"/>
        <v>47269</v>
      </c>
      <c r="FX5" s="170">
        <f t="shared" si="8"/>
        <v>47299</v>
      </c>
      <c r="FY5" s="170">
        <f t="shared" si="8"/>
        <v>47330</v>
      </c>
      <c r="FZ5" s="170">
        <f t="shared" si="8"/>
        <v>47361</v>
      </c>
      <c r="GA5" s="170">
        <f t="shared" si="8"/>
        <v>47391</v>
      </c>
      <c r="GB5" s="170">
        <f t="shared" si="8"/>
        <v>47422</v>
      </c>
      <c r="GC5" s="170">
        <f t="shared" si="8"/>
        <v>47452</v>
      </c>
      <c r="GD5" s="170">
        <f t="shared" si="8"/>
        <v>47483</v>
      </c>
      <c r="GE5" s="170">
        <f t="shared" si="8"/>
        <v>47514</v>
      </c>
      <c r="GF5" s="170">
        <f t="shared" si="8"/>
        <v>47542</v>
      </c>
      <c r="GG5" s="170">
        <f t="shared" si="8"/>
        <v>47573</v>
      </c>
      <c r="GH5" s="170">
        <f t="shared" si="8"/>
        <v>47603</v>
      </c>
      <c r="GI5" s="170">
        <f t="shared" si="8"/>
        <v>47634</v>
      </c>
      <c r="GJ5" s="170">
        <f t="shared" si="8"/>
        <v>47664</v>
      </c>
      <c r="GK5" s="170">
        <f t="shared" si="8"/>
        <v>47695</v>
      </c>
      <c r="GL5" s="170">
        <f t="shared" si="8"/>
        <v>47726</v>
      </c>
      <c r="GM5" s="170">
        <f t="shared" si="8"/>
        <v>47756</v>
      </c>
      <c r="GN5" s="170">
        <f t="shared" si="8"/>
        <v>47787</v>
      </c>
      <c r="GO5" s="170">
        <f t="shared" si="8"/>
        <v>47817</v>
      </c>
      <c r="GP5" s="170">
        <f t="shared" si="8"/>
        <v>47848</v>
      </c>
    </row>
    <row r="6" spans="2:198" x14ac:dyDescent="0.3">
      <c r="B6" s="184" t="str">
        <f>'MF Rent Roll'!B5</f>
        <v>Studio</v>
      </c>
      <c r="C6" s="171">
        <f>'MF Rent Roll'!C5</f>
        <v>40</v>
      </c>
      <c r="D6" s="172">
        <f>'MF Rent Roll'!D5</f>
        <v>0</v>
      </c>
      <c r="E6" s="172">
        <f>'MF Rent Roll'!E5</f>
        <v>1</v>
      </c>
      <c r="F6" s="173">
        <f>'MF Rent Roll'!F5</f>
        <v>430</v>
      </c>
      <c r="G6" s="174">
        <f>'MF Rent Roll'!G5</f>
        <v>510</v>
      </c>
      <c r="H6" s="176">
        <f>'MF Rent Roll'!J5</f>
        <v>12</v>
      </c>
      <c r="I6" s="174">
        <f>'MF Rent Roll'!K5</f>
        <v>50</v>
      </c>
      <c r="J6" s="177">
        <f>'MF Rent Roll'!L5</f>
        <v>0</v>
      </c>
      <c r="K6" s="178">
        <f>'MF Rent Roll'!M5</f>
        <v>20</v>
      </c>
      <c r="L6" s="174">
        <f>'MF Rent Roll'!N5</f>
        <v>300</v>
      </c>
      <c r="M6" s="179">
        <f>'MF Rent Roll'!O5</f>
        <v>0.6</v>
      </c>
      <c r="N6" s="180">
        <f>'MF Rent Roll'!P5</f>
        <v>0</v>
      </c>
      <c r="O6" s="181">
        <f>'MF Rent Roll'!Q5</f>
        <v>8</v>
      </c>
      <c r="P6" s="104">
        <f>'MF Rent Roll'!R5</f>
        <v>120</v>
      </c>
      <c r="S6" s="149">
        <f>IF(OR($B6="",$B6=0),"",$I6*$C6*(1+'Property Summary'!$L$21)^('MF CapEx'!S$3-1))</f>
        <v>2000</v>
      </c>
      <c r="T6" s="149">
        <f>IF(OR($B6="",$B6=0),"",$I6*$C6*(1+'Property Summary'!$L$21)^('MF CapEx'!T$3-1))</f>
        <v>2000</v>
      </c>
      <c r="U6" s="149">
        <f>IF(OR($B6="",$B6=0),"",$I6*$C6*(1+'Property Summary'!$L$21)^('MF CapEx'!U$3-1))</f>
        <v>2000</v>
      </c>
      <c r="V6" s="149">
        <f>IF(OR($B6="",$B6=0),"",$I6*$C6*(1+'Property Summary'!$L$21)^('MF CapEx'!V$3-1))</f>
        <v>2000</v>
      </c>
      <c r="W6" s="149">
        <f>IF(OR($B6="",$B6=0),"",$I6*$C6*(1+'Property Summary'!$L$21)^('MF CapEx'!W$3-1))</f>
        <v>2000</v>
      </c>
      <c r="X6" s="149">
        <f>IF(OR($B6="",$B6=0),"",$I6*$C6*(1+'Property Summary'!$L$21)^('MF CapEx'!X$3-1))</f>
        <v>2000</v>
      </c>
      <c r="Y6" s="149">
        <f>IF(OR($B6="",$B6=0),"",$I6*$C6*(1+'Property Summary'!$L$21)^('MF CapEx'!Y$3-1))</f>
        <v>2000</v>
      </c>
      <c r="Z6" s="149">
        <f>IF(OR($B6="",$B6=0),"",$I6*$C6*(1+'Property Summary'!$L$21)^('MF CapEx'!Z$3-1))</f>
        <v>2000</v>
      </c>
      <c r="AA6" s="149">
        <f>IF(OR($B6="",$B6=0),"",$I6*$C6*(1+'Property Summary'!$L$21)^('MF CapEx'!AA$3-1))</f>
        <v>2000</v>
      </c>
      <c r="AB6" s="149">
        <f>IF(OR($B6="",$B6=0),"",$I6*$C6*(1+'Property Summary'!$L$21)^('MF CapEx'!AB$3-1))</f>
        <v>2000</v>
      </c>
      <c r="AC6" s="149">
        <f>IF(OR($B6="",$B6=0),"",$I6*$C6*(1+'Property Summary'!$L$21)^('MF CapEx'!AC$3-1))</f>
        <v>2000</v>
      </c>
      <c r="AD6" s="149">
        <f>IF(OR($B6="",$B6=0),"",$I6*$C6*(1+'Property Summary'!$L$21)^('MF CapEx'!AD$3-1))</f>
        <v>2000</v>
      </c>
      <c r="AE6" s="149">
        <f>IF(OR($B6="",$B6=0),"",$I6*$C6*(1+'Property Summary'!$L$21)^('MF CapEx'!AE$3-1))</f>
        <v>2040</v>
      </c>
      <c r="AF6" s="149">
        <f>IF(OR($B6="",$B6=0),"",$I6*$C6*(1+'Property Summary'!$L$21)^('MF CapEx'!AF$3-1))</f>
        <v>2040</v>
      </c>
      <c r="AG6" s="149">
        <f>IF(OR($B6="",$B6=0),"",$I6*$C6*(1+'Property Summary'!$L$21)^('MF CapEx'!AG$3-1))</f>
        <v>2040</v>
      </c>
      <c r="AH6" s="149">
        <f>IF(OR($B6="",$B6=0),"",$I6*$C6*(1+'Property Summary'!$L$21)^('MF CapEx'!AH$3-1))</f>
        <v>2040</v>
      </c>
      <c r="AI6" s="149">
        <f>IF(OR($B6="",$B6=0),"",$I6*$C6*(1+'Property Summary'!$L$21)^('MF CapEx'!AI$3-1))</f>
        <v>2040</v>
      </c>
      <c r="AJ6" s="149">
        <f>IF(OR($B6="",$B6=0),"",$I6*$C6*(1+'Property Summary'!$L$21)^('MF CapEx'!AJ$3-1))</f>
        <v>2040</v>
      </c>
      <c r="AK6" s="149">
        <f>IF(OR($B6="",$B6=0),"",$I6*$C6*(1+'Property Summary'!$L$21)^('MF CapEx'!AK$3-1))</f>
        <v>2040</v>
      </c>
      <c r="AL6" s="149">
        <f>IF(OR($B6="",$B6=0),"",$I6*$C6*(1+'Property Summary'!$L$21)^('MF CapEx'!AL$3-1))</f>
        <v>2040</v>
      </c>
      <c r="AM6" s="149">
        <f>IF(OR($B6="",$B6=0),"",$I6*$C6*(1+'Property Summary'!$L$21)^('MF CapEx'!AM$3-1))</f>
        <v>2040</v>
      </c>
      <c r="AN6" s="149">
        <f>IF(OR($B6="",$B6=0),"",$I6*$C6*(1+'Property Summary'!$L$21)^('MF CapEx'!AN$3-1))</f>
        <v>2040</v>
      </c>
      <c r="AO6" s="149">
        <f>IF(OR($B6="",$B6=0),"",$I6*$C6*(1+'Property Summary'!$L$21)^('MF CapEx'!AO$3-1))</f>
        <v>2040</v>
      </c>
      <c r="AP6" s="149">
        <f>IF(OR($B6="",$B6=0),"",$I6*$C6*(1+'Property Summary'!$L$21)^('MF CapEx'!AP$3-1))</f>
        <v>2040</v>
      </c>
      <c r="AQ6" s="149">
        <f>IF(OR($B6="",$B6=0),"",$I6*$C6*(1+'Property Summary'!$L$21)^('MF CapEx'!AQ$3-1))</f>
        <v>2080.8000000000002</v>
      </c>
      <c r="AR6" s="149">
        <f>IF(OR($B6="",$B6=0),"",$I6*$C6*(1+'Property Summary'!$L$21)^('MF CapEx'!AR$3-1))</f>
        <v>2080.8000000000002</v>
      </c>
      <c r="AS6" s="149">
        <f>IF(OR($B6="",$B6=0),"",$I6*$C6*(1+'Property Summary'!$L$21)^('MF CapEx'!AS$3-1))</f>
        <v>2080.8000000000002</v>
      </c>
      <c r="AT6" s="149">
        <f>IF(OR($B6="",$B6=0),"",$I6*$C6*(1+'Property Summary'!$L$21)^('MF CapEx'!AT$3-1))</f>
        <v>2080.8000000000002</v>
      </c>
      <c r="AU6" s="149">
        <f>IF(OR($B6="",$B6=0),"",$I6*$C6*(1+'Property Summary'!$L$21)^('MF CapEx'!AU$3-1))</f>
        <v>2080.8000000000002</v>
      </c>
      <c r="AV6" s="149">
        <f>IF(OR($B6="",$B6=0),"",$I6*$C6*(1+'Property Summary'!$L$21)^('MF CapEx'!AV$3-1))</f>
        <v>2080.8000000000002</v>
      </c>
      <c r="AW6" s="149">
        <f>IF(OR($B6="",$B6=0),"",$I6*$C6*(1+'Property Summary'!$L$21)^('MF CapEx'!AW$3-1))</f>
        <v>2080.8000000000002</v>
      </c>
      <c r="AX6" s="149">
        <f>IF(OR($B6="",$B6=0),"",$I6*$C6*(1+'Property Summary'!$L$21)^('MF CapEx'!AX$3-1))</f>
        <v>2080.8000000000002</v>
      </c>
      <c r="AY6" s="149">
        <f>IF(OR($B6="",$B6=0),"",$I6*$C6*(1+'Property Summary'!$L$21)^('MF CapEx'!AY$3-1))</f>
        <v>2080.8000000000002</v>
      </c>
      <c r="AZ6" s="149">
        <f>IF(OR($B6="",$B6=0),"",$I6*$C6*(1+'Property Summary'!$L$21)^('MF CapEx'!AZ$3-1))</f>
        <v>2080.8000000000002</v>
      </c>
      <c r="BA6" s="149">
        <f>IF(OR($B6="",$B6=0),"",$I6*$C6*(1+'Property Summary'!$L$21)^('MF CapEx'!BA$3-1))</f>
        <v>2080.8000000000002</v>
      </c>
      <c r="BB6" s="149">
        <f>IF(OR($B6="",$B6=0),"",$I6*$C6*(1+'Property Summary'!$L$21)^('MF CapEx'!BB$3-1))</f>
        <v>2080.8000000000002</v>
      </c>
      <c r="BC6" s="149">
        <f>IF(OR($B6="",$B6=0),"",$I6*$C6*(1+'Property Summary'!$L$21)^('MF CapEx'!BC$3-1))</f>
        <v>2122.4159999999997</v>
      </c>
      <c r="BD6" s="149">
        <f>IF(OR($B6="",$B6=0),"",$I6*$C6*(1+'Property Summary'!$L$21)^('MF CapEx'!BD$3-1))</f>
        <v>2122.4159999999997</v>
      </c>
      <c r="BE6" s="149">
        <f>IF(OR($B6="",$B6=0),"",$I6*$C6*(1+'Property Summary'!$L$21)^('MF CapEx'!BE$3-1))</f>
        <v>2122.4159999999997</v>
      </c>
      <c r="BF6" s="149">
        <f>IF(OR($B6="",$B6=0),"",$I6*$C6*(1+'Property Summary'!$L$21)^('MF CapEx'!BF$3-1))</f>
        <v>2122.4159999999997</v>
      </c>
      <c r="BG6" s="149">
        <f>IF(OR($B6="",$B6=0),"",$I6*$C6*(1+'Property Summary'!$L$21)^('MF CapEx'!BG$3-1))</f>
        <v>2122.4159999999997</v>
      </c>
      <c r="BH6" s="149">
        <f>IF(OR($B6="",$B6=0),"",$I6*$C6*(1+'Property Summary'!$L$21)^('MF CapEx'!BH$3-1))</f>
        <v>2122.4159999999997</v>
      </c>
      <c r="BI6" s="149">
        <f>IF(OR($B6="",$B6=0),"",$I6*$C6*(1+'Property Summary'!$L$21)^('MF CapEx'!BI$3-1))</f>
        <v>2122.4159999999997</v>
      </c>
      <c r="BJ6" s="149">
        <f>IF(OR($B6="",$B6=0),"",$I6*$C6*(1+'Property Summary'!$L$21)^('MF CapEx'!BJ$3-1))</f>
        <v>2122.4159999999997</v>
      </c>
      <c r="BK6" s="149">
        <f>IF(OR($B6="",$B6=0),"",$I6*$C6*(1+'Property Summary'!$L$21)^('MF CapEx'!BK$3-1))</f>
        <v>2122.4159999999997</v>
      </c>
      <c r="BL6" s="149">
        <f>IF(OR($B6="",$B6=0),"",$I6*$C6*(1+'Property Summary'!$L$21)^('MF CapEx'!BL$3-1))</f>
        <v>2122.4159999999997</v>
      </c>
      <c r="BM6" s="149">
        <f>IF(OR($B6="",$B6=0),"",$I6*$C6*(1+'Property Summary'!$L$21)^('MF CapEx'!BM$3-1))</f>
        <v>2122.4159999999997</v>
      </c>
      <c r="BN6" s="149">
        <f>IF(OR($B6="",$B6=0),"",$I6*$C6*(1+'Property Summary'!$L$21)^('MF CapEx'!BN$3-1))</f>
        <v>2122.4159999999997</v>
      </c>
      <c r="BO6" s="149">
        <f>IF(OR($B6="",$B6=0),"",$I6*$C6*(1+'Property Summary'!$L$21)^('MF CapEx'!BO$3-1))</f>
        <v>2164.8643200000001</v>
      </c>
      <c r="BP6" s="149">
        <f>IF(OR($B6="",$B6=0),"",$I6*$C6*(1+'Property Summary'!$L$21)^('MF CapEx'!BP$3-1))</f>
        <v>2164.8643200000001</v>
      </c>
      <c r="BQ6" s="149">
        <f>IF(OR($B6="",$B6=0),"",$I6*$C6*(1+'Property Summary'!$L$21)^('MF CapEx'!BQ$3-1))</f>
        <v>2164.8643200000001</v>
      </c>
      <c r="BR6" s="149">
        <f>IF(OR($B6="",$B6=0),"",$I6*$C6*(1+'Property Summary'!$L$21)^('MF CapEx'!BR$3-1))</f>
        <v>2164.8643200000001</v>
      </c>
      <c r="BS6" s="149">
        <f>IF(OR($B6="",$B6=0),"",$I6*$C6*(1+'Property Summary'!$L$21)^('MF CapEx'!BS$3-1))</f>
        <v>2164.8643200000001</v>
      </c>
      <c r="BT6" s="149">
        <f>IF(OR($B6="",$B6=0),"",$I6*$C6*(1+'Property Summary'!$L$21)^('MF CapEx'!BT$3-1))</f>
        <v>2164.8643200000001</v>
      </c>
      <c r="BU6" s="149">
        <f>IF(OR($B6="",$B6=0),"",$I6*$C6*(1+'Property Summary'!$L$21)^('MF CapEx'!BU$3-1))</f>
        <v>2164.8643200000001</v>
      </c>
      <c r="BV6" s="149">
        <f>IF(OR($B6="",$B6=0),"",$I6*$C6*(1+'Property Summary'!$L$21)^('MF CapEx'!BV$3-1))</f>
        <v>2164.8643200000001</v>
      </c>
      <c r="BW6" s="149">
        <f>IF(OR($B6="",$B6=0),"",$I6*$C6*(1+'Property Summary'!$L$21)^('MF CapEx'!BW$3-1))</f>
        <v>2164.8643200000001</v>
      </c>
      <c r="BX6" s="149">
        <f>IF(OR($B6="",$B6=0),"",$I6*$C6*(1+'Property Summary'!$L$21)^('MF CapEx'!BX$3-1))</f>
        <v>2164.8643200000001</v>
      </c>
      <c r="BY6" s="149">
        <f>IF(OR($B6="",$B6=0),"",$I6*$C6*(1+'Property Summary'!$L$21)^('MF CapEx'!BY$3-1))</f>
        <v>2164.8643200000001</v>
      </c>
      <c r="BZ6" s="149">
        <f>IF(OR($B6="",$B6=0),"",$I6*$C6*(1+'Property Summary'!$L$21)^('MF CapEx'!BZ$3-1))</f>
        <v>2164.8643200000001</v>
      </c>
      <c r="CA6" s="149">
        <f>IF(OR($B6="",$B6=0),"",$I6*$C6*(1+'Property Summary'!$L$21)^('MF CapEx'!CA$3-1))</f>
        <v>2208.1616064</v>
      </c>
      <c r="CB6" s="149">
        <f>IF(OR($B6="",$B6=0),"",$I6*$C6*(1+'Property Summary'!$L$21)^('MF CapEx'!CB$3-1))</f>
        <v>2208.1616064</v>
      </c>
      <c r="CC6" s="149">
        <f>IF(OR($B6="",$B6=0),"",$I6*$C6*(1+'Property Summary'!$L$21)^('MF CapEx'!CC$3-1))</f>
        <v>2208.1616064</v>
      </c>
      <c r="CD6" s="149">
        <f>IF(OR($B6="",$B6=0),"",$I6*$C6*(1+'Property Summary'!$L$21)^('MF CapEx'!CD$3-1))</f>
        <v>2208.1616064</v>
      </c>
      <c r="CE6" s="149">
        <f>IF(OR($B6="",$B6=0),"",$I6*$C6*(1+'Property Summary'!$L$21)^('MF CapEx'!CE$3-1))</f>
        <v>2208.1616064</v>
      </c>
      <c r="CF6" s="149">
        <f>IF(OR($B6="",$B6=0),"",$I6*$C6*(1+'Property Summary'!$L$21)^('MF CapEx'!CF$3-1))</f>
        <v>2208.1616064</v>
      </c>
      <c r="CG6" s="149">
        <f>IF(OR($B6="",$B6=0),"",$I6*$C6*(1+'Property Summary'!$L$21)^('MF CapEx'!CG$3-1))</f>
        <v>2208.1616064</v>
      </c>
      <c r="CH6" s="149">
        <f>IF(OR($B6="",$B6=0),"",$I6*$C6*(1+'Property Summary'!$L$21)^('MF CapEx'!CH$3-1))</f>
        <v>2208.1616064</v>
      </c>
      <c r="CI6" s="149">
        <f>IF(OR($B6="",$B6=0),"",$I6*$C6*(1+'Property Summary'!$L$21)^('MF CapEx'!CI$3-1))</f>
        <v>2208.1616064</v>
      </c>
      <c r="CJ6" s="149">
        <f>IF(OR($B6="",$B6=0),"",$I6*$C6*(1+'Property Summary'!$L$21)^('MF CapEx'!CJ$3-1))</f>
        <v>2208.1616064</v>
      </c>
      <c r="CK6" s="149">
        <f>IF(OR($B6="",$B6=0),"",$I6*$C6*(1+'Property Summary'!$L$21)^('MF CapEx'!CK$3-1))</f>
        <v>2208.1616064</v>
      </c>
      <c r="CL6" s="149">
        <f>IF(OR($B6="",$B6=0),"",$I6*$C6*(1+'Property Summary'!$L$21)^('MF CapEx'!CL$3-1))</f>
        <v>2208.1616064</v>
      </c>
      <c r="CM6" s="149">
        <f>IF(OR($B6="",$B6=0),"",$I6*$C6*(1+'Property Summary'!$L$21)^('MF CapEx'!CM$3-1))</f>
        <v>2252.3248385280003</v>
      </c>
      <c r="CN6" s="149">
        <f>IF(OR($B6="",$B6=0),"",$I6*$C6*(1+'Property Summary'!$L$21)^('MF CapEx'!CN$3-1))</f>
        <v>2252.3248385280003</v>
      </c>
      <c r="CO6" s="149">
        <f>IF(OR($B6="",$B6=0),"",$I6*$C6*(1+'Property Summary'!$L$21)^('MF CapEx'!CO$3-1))</f>
        <v>2252.3248385280003</v>
      </c>
      <c r="CP6" s="149">
        <f>IF(OR($B6="",$B6=0),"",$I6*$C6*(1+'Property Summary'!$L$21)^('MF CapEx'!CP$3-1))</f>
        <v>2252.3248385280003</v>
      </c>
      <c r="CQ6" s="149">
        <f>IF(OR($B6="",$B6=0),"",$I6*$C6*(1+'Property Summary'!$L$21)^('MF CapEx'!CQ$3-1))</f>
        <v>2252.3248385280003</v>
      </c>
      <c r="CR6" s="149">
        <f>IF(OR($B6="",$B6=0),"",$I6*$C6*(1+'Property Summary'!$L$21)^('MF CapEx'!CR$3-1))</f>
        <v>2252.3248385280003</v>
      </c>
      <c r="CS6" s="149">
        <f>IF(OR($B6="",$B6=0),"",$I6*$C6*(1+'Property Summary'!$L$21)^('MF CapEx'!CS$3-1))</f>
        <v>2252.3248385280003</v>
      </c>
      <c r="CT6" s="149">
        <f>IF(OR($B6="",$B6=0),"",$I6*$C6*(1+'Property Summary'!$L$21)^('MF CapEx'!CT$3-1))</f>
        <v>2252.3248385280003</v>
      </c>
      <c r="CU6" s="149">
        <f>IF(OR($B6="",$B6=0),"",$I6*$C6*(1+'Property Summary'!$L$21)^('MF CapEx'!CU$3-1))</f>
        <v>2252.3248385280003</v>
      </c>
      <c r="CV6" s="149">
        <f>IF(OR($B6="",$B6=0),"",$I6*$C6*(1+'Property Summary'!$L$21)^('MF CapEx'!CV$3-1))</f>
        <v>2252.3248385280003</v>
      </c>
      <c r="CW6" s="149">
        <f>IF(OR($B6="",$B6=0),"",$I6*$C6*(1+'Property Summary'!$L$21)^('MF CapEx'!CW$3-1))</f>
        <v>2252.3248385280003</v>
      </c>
      <c r="CX6" s="149">
        <f>IF(OR($B6="",$B6=0),"",$I6*$C6*(1+'Property Summary'!$L$21)^('MF CapEx'!CX$3-1))</f>
        <v>2252.3248385280003</v>
      </c>
      <c r="CY6" s="149">
        <f>IF(OR($B6="",$B6=0),"",$I6*$C6*(1+'Property Summary'!$L$21)^('MF CapEx'!CY$3-1))</f>
        <v>2297.3713352985596</v>
      </c>
      <c r="CZ6" s="149">
        <f>IF(OR($B6="",$B6=0),"",$I6*$C6*(1+'Property Summary'!$L$21)^('MF CapEx'!CZ$3-1))</f>
        <v>2297.3713352985596</v>
      </c>
      <c r="DA6" s="149">
        <f>IF(OR($B6="",$B6=0),"",$I6*$C6*(1+'Property Summary'!$L$21)^('MF CapEx'!DA$3-1))</f>
        <v>2297.3713352985596</v>
      </c>
      <c r="DB6" s="149">
        <f>IF(OR($B6="",$B6=0),"",$I6*$C6*(1+'Property Summary'!$L$21)^('MF CapEx'!DB$3-1))</f>
        <v>2297.3713352985596</v>
      </c>
      <c r="DC6" s="149">
        <f>IF(OR($B6="",$B6=0),"",$I6*$C6*(1+'Property Summary'!$L$21)^('MF CapEx'!DC$3-1))</f>
        <v>2297.3713352985596</v>
      </c>
      <c r="DD6" s="149">
        <f>IF(OR($B6="",$B6=0),"",$I6*$C6*(1+'Property Summary'!$L$21)^('MF CapEx'!DD$3-1))</f>
        <v>2297.3713352985596</v>
      </c>
      <c r="DE6" s="149">
        <f>IF(OR($B6="",$B6=0),"",$I6*$C6*(1+'Property Summary'!$L$21)^('MF CapEx'!DE$3-1))</f>
        <v>2297.3713352985596</v>
      </c>
      <c r="DF6" s="149">
        <f>IF(OR($B6="",$B6=0),"",$I6*$C6*(1+'Property Summary'!$L$21)^('MF CapEx'!DF$3-1))</f>
        <v>2297.3713352985596</v>
      </c>
      <c r="DG6" s="149">
        <f>IF(OR($B6="",$B6=0),"",$I6*$C6*(1+'Property Summary'!$L$21)^('MF CapEx'!DG$3-1))</f>
        <v>2297.3713352985596</v>
      </c>
      <c r="DH6" s="149">
        <f>IF(OR($B6="",$B6=0),"",$I6*$C6*(1+'Property Summary'!$L$21)^('MF CapEx'!DH$3-1))</f>
        <v>2297.3713352985596</v>
      </c>
      <c r="DI6" s="149">
        <f>IF(OR($B6="",$B6=0),"",$I6*$C6*(1+'Property Summary'!$L$21)^('MF CapEx'!DI$3-1))</f>
        <v>2297.3713352985596</v>
      </c>
      <c r="DJ6" s="149">
        <f>IF(OR($B6="",$B6=0),"",$I6*$C6*(1+'Property Summary'!$L$21)^('MF CapEx'!DJ$3-1))</f>
        <v>2297.3713352985596</v>
      </c>
      <c r="DK6" s="149">
        <f>IF(OR($B6="",$B6=0),"",$I6*$C6*(1+'Property Summary'!$L$21)^('MF CapEx'!DK$3-1))</f>
        <v>2343.318762004531</v>
      </c>
      <c r="DL6" s="149">
        <f>IF(OR($B6="",$B6=0),"",$I6*$C6*(1+'Property Summary'!$L$21)^('MF CapEx'!DL$3-1))</f>
        <v>2343.318762004531</v>
      </c>
      <c r="DM6" s="149">
        <f>IF(OR($B6="",$B6=0),"",$I6*$C6*(1+'Property Summary'!$L$21)^('MF CapEx'!DM$3-1))</f>
        <v>2343.318762004531</v>
      </c>
      <c r="DN6" s="149">
        <f>IF(OR($B6="",$B6=0),"",$I6*$C6*(1+'Property Summary'!$L$21)^('MF CapEx'!DN$3-1))</f>
        <v>2343.318762004531</v>
      </c>
      <c r="DO6" s="149">
        <f>IF(OR($B6="",$B6=0),"",$I6*$C6*(1+'Property Summary'!$L$21)^('MF CapEx'!DO$3-1))</f>
        <v>2343.318762004531</v>
      </c>
      <c r="DP6" s="149">
        <f>IF(OR($B6="",$B6=0),"",$I6*$C6*(1+'Property Summary'!$L$21)^('MF CapEx'!DP$3-1))</f>
        <v>2343.318762004531</v>
      </c>
      <c r="DQ6" s="149">
        <f>IF(OR($B6="",$B6=0),"",$I6*$C6*(1+'Property Summary'!$L$21)^('MF CapEx'!DQ$3-1))</f>
        <v>2343.318762004531</v>
      </c>
      <c r="DR6" s="149">
        <f>IF(OR($B6="",$B6=0),"",$I6*$C6*(1+'Property Summary'!$L$21)^('MF CapEx'!DR$3-1))</f>
        <v>2343.318762004531</v>
      </c>
      <c r="DS6" s="149">
        <f>IF(OR($B6="",$B6=0),"",$I6*$C6*(1+'Property Summary'!$L$21)^('MF CapEx'!DS$3-1))</f>
        <v>2343.318762004531</v>
      </c>
      <c r="DT6" s="149">
        <f>IF(OR($B6="",$B6=0),"",$I6*$C6*(1+'Property Summary'!$L$21)^('MF CapEx'!DT$3-1))</f>
        <v>2343.318762004531</v>
      </c>
      <c r="DU6" s="149">
        <f>IF(OR($B6="",$B6=0),"",$I6*$C6*(1+'Property Summary'!$L$21)^('MF CapEx'!DU$3-1))</f>
        <v>2343.318762004531</v>
      </c>
      <c r="DV6" s="149">
        <f>IF(OR($B6="",$B6=0),"",$I6*$C6*(1+'Property Summary'!$L$21)^('MF CapEx'!DV$3-1))</f>
        <v>2343.318762004531</v>
      </c>
      <c r="DW6" s="149">
        <f>IF(OR($B6="",$B6=0),"",$I6*$C6*(1+'Property Summary'!$L$21)^('MF CapEx'!DW$3-1))</f>
        <v>2390.1851372446217</v>
      </c>
      <c r="DX6" s="149">
        <f>IF(OR($B6="",$B6=0),"",$I6*$C6*(1+'Property Summary'!$L$21)^('MF CapEx'!DX$3-1))</f>
        <v>2390.1851372446217</v>
      </c>
      <c r="DY6" s="149">
        <f>IF(OR($B6="",$B6=0),"",$I6*$C6*(1+'Property Summary'!$L$21)^('MF CapEx'!DY$3-1))</f>
        <v>2390.1851372446217</v>
      </c>
      <c r="DZ6" s="149">
        <f>IF(OR($B6="",$B6=0),"",$I6*$C6*(1+'Property Summary'!$L$21)^('MF CapEx'!DZ$3-1))</f>
        <v>2390.1851372446217</v>
      </c>
      <c r="EA6" s="149">
        <f>IF(OR($B6="",$B6=0),"",$I6*$C6*(1+'Property Summary'!$L$21)^('MF CapEx'!EA$3-1))</f>
        <v>2390.1851372446217</v>
      </c>
      <c r="EB6" s="149">
        <f>IF(OR($B6="",$B6=0),"",$I6*$C6*(1+'Property Summary'!$L$21)^('MF CapEx'!EB$3-1))</f>
        <v>2390.1851372446217</v>
      </c>
      <c r="EC6" s="149">
        <f>IF(OR($B6="",$B6=0),"",$I6*$C6*(1+'Property Summary'!$L$21)^('MF CapEx'!EC$3-1))</f>
        <v>2390.1851372446217</v>
      </c>
      <c r="ED6" s="149">
        <f>IF(OR($B6="",$B6=0),"",$I6*$C6*(1+'Property Summary'!$L$21)^('MF CapEx'!ED$3-1))</f>
        <v>2390.1851372446217</v>
      </c>
      <c r="EE6" s="149">
        <f>IF(OR($B6="",$B6=0),"",$I6*$C6*(1+'Property Summary'!$L$21)^('MF CapEx'!EE$3-1))</f>
        <v>2390.1851372446217</v>
      </c>
      <c r="EF6" s="149">
        <f>IF(OR($B6="",$B6=0),"",$I6*$C6*(1+'Property Summary'!$L$21)^('MF CapEx'!EF$3-1))</f>
        <v>2390.1851372446217</v>
      </c>
      <c r="EG6" s="149">
        <f>IF(OR($B6="",$B6=0),"",$I6*$C6*(1+'Property Summary'!$L$21)^('MF CapEx'!EG$3-1))</f>
        <v>2390.1851372446217</v>
      </c>
      <c r="EH6" s="149">
        <f>IF(OR($B6="",$B6=0),"",$I6*$C6*(1+'Property Summary'!$L$21)^('MF CapEx'!EH$3-1))</f>
        <v>2390.1851372446217</v>
      </c>
      <c r="EI6" s="149">
        <f>IF(OR($B6="",$B6=0),"",$I6*$C6*(1+'Property Summary'!$L$21)^('MF CapEx'!EI$3-1))</f>
        <v>2437.9888399895144</v>
      </c>
      <c r="EJ6" s="149">
        <f>IF(OR($B6="",$B6=0),"",$I6*$C6*(1+'Property Summary'!$L$21)^('MF CapEx'!EJ$3-1))</f>
        <v>2437.9888399895144</v>
      </c>
      <c r="EK6" s="149">
        <f>IF(OR($B6="",$B6=0),"",$I6*$C6*(1+'Property Summary'!$L$21)^('MF CapEx'!EK$3-1))</f>
        <v>2437.9888399895144</v>
      </c>
      <c r="EL6" s="149">
        <f>IF(OR($B6="",$B6=0),"",$I6*$C6*(1+'Property Summary'!$L$21)^('MF CapEx'!EL$3-1))</f>
        <v>2437.9888399895144</v>
      </c>
      <c r="EM6" s="149">
        <f>IF(OR($B6="",$B6=0),"",$I6*$C6*(1+'Property Summary'!$L$21)^('MF CapEx'!EM$3-1))</f>
        <v>2437.9888399895144</v>
      </c>
      <c r="EN6" s="149">
        <f>IF(OR($B6="",$B6=0),"",$I6*$C6*(1+'Property Summary'!$L$21)^('MF CapEx'!EN$3-1))</f>
        <v>2437.9888399895144</v>
      </c>
      <c r="EO6" s="149">
        <f>IF(OR($B6="",$B6=0),"",$I6*$C6*(1+'Property Summary'!$L$21)^('MF CapEx'!EO$3-1))</f>
        <v>2437.9888399895144</v>
      </c>
      <c r="EP6" s="149">
        <f>IF(OR($B6="",$B6=0),"",$I6*$C6*(1+'Property Summary'!$L$21)^('MF CapEx'!EP$3-1))</f>
        <v>2437.9888399895144</v>
      </c>
      <c r="EQ6" s="149">
        <f>IF(OR($B6="",$B6=0),"",$I6*$C6*(1+'Property Summary'!$L$21)^('MF CapEx'!EQ$3-1))</f>
        <v>2437.9888399895144</v>
      </c>
      <c r="ER6" s="149">
        <f>IF(OR($B6="",$B6=0),"",$I6*$C6*(1+'Property Summary'!$L$21)^('MF CapEx'!ER$3-1))</f>
        <v>2437.9888399895144</v>
      </c>
      <c r="ES6" s="149">
        <f>IF(OR($B6="",$B6=0),"",$I6*$C6*(1+'Property Summary'!$L$21)^('MF CapEx'!ES$3-1))</f>
        <v>2437.9888399895144</v>
      </c>
      <c r="ET6" s="149">
        <f>IF(OR($B6="",$B6=0),"",$I6*$C6*(1+'Property Summary'!$L$21)^('MF CapEx'!ET$3-1))</f>
        <v>2437.9888399895144</v>
      </c>
      <c r="EU6" s="149">
        <f>IF(OR($B6="",$B6=0),"",$I6*$C6*(1+'Property Summary'!$L$21)^('MF CapEx'!EU$3-1))</f>
        <v>2486.7486167893039</v>
      </c>
      <c r="EV6" s="149">
        <f>IF(OR($B6="",$B6=0),"",$I6*$C6*(1+'Property Summary'!$L$21)^('MF CapEx'!EV$3-1))</f>
        <v>2486.7486167893039</v>
      </c>
      <c r="EW6" s="149">
        <f>IF(OR($B6="",$B6=0),"",$I6*$C6*(1+'Property Summary'!$L$21)^('MF CapEx'!EW$3-1))</f>
        <v>2486.7486167893039</v>
      </c>
      <c r="EX6" s="149">
        <f>IF(OR($B6="",$B6=0),"",$I6*$C6*(1+'Property Summary'!$L$21)^('MF CapEx'!EX$3-1))</f>
        <v>2486.7486167893039</v>
      </c>
      <c r="EY6" s="149">
        <f>IF(OR($B6="",$B6=0),"",$I6*$C6*(1+'Property Summary'!$L$21)^('MF CapEx'!EY$3-1))</f>
        <v>2486.7486167893039</v>
      </c>
      <c r="EZ6" s="149">
        <f>IF(OR($B6="",$B6=0),"",$I6*$C6*(1+'Property Summary'!$L$21)^('MF CapEx'!EZ$3-1))</f>
        <v>2486.7486167893039</v>
      </c>
      <c r="FA6" s="149">
        <f>IF(OR($B6="",$B6=0),"",$I6*$C6*(1+'Property Summary'!$L$21)^('MF CapEx'!FA$3-1))</f>
        <v>2486.7486167893039</v>
      </c>
      <c r="FB6" s="149">
        <f>IF(OR($B6="",$B6=0),"",$I6*$C6*(1+'Property Summary'!$L$21)^('MF CapEx'!FB$3-1))</f>
        <v>2486.7486167893039</v>
      </c>
      <c r="FC6" s="149">
        <f>IF(OR($B6="",$B6=0),"",$I6*$C6*(1+'Property Summary'!$L$21)^('MF CapEx'!FC$3-1))</f>
        <v>2486.7486167893039</v>
      </c>
      <c r="FD6" s="149">
        <f>IF(OR($B6="",$B6=0),"",$I6*$C6*(1+'Property Summary'!$L$21)^('MF CapEx'!FD$3-1))</f>
        <v>2486.7486167893039</v>
      </c>
      <c r="FE6" s="149">
        <f>IF(OR($B6="",$B6=0),"",$I6*$C6*(1+'Property Summary'!$L$21)^('MF CapEx'!FE$3-1))</f>
        <v>2486.7486167893039</v>
      </c>
      <c r="FF6" s="149">
        <f>IF(OR($B6="",$B6=0),"",$I6*$C6*(1+'Property Summary'!$L$21)^('MF CapEx'!FF$3-1))</f>
        <v>2486.7486167893039</v>
      </c>
      <c r="FG6" s="149">
        <f>IF(OR($B6="",$B6=0),"",$I6*$C6*(1+'Property Summary'!$L$21)^('MF CapEx'!FG$3-1))</f>
        <v>2536.4835891250905</v>
      </c>
      <c r="FH6" s="149">
        <f>IF(OR($B6="",$B6=0),"",$I6*$C6*(1+'Property Summary'!$L$21)^('MF CapEx'!FH$3-1))</f>
        <v>2536.4835891250905</v>
      </c>
      <c r="FI6" s="149">
        <f>IF(OR($B6="",$B6=0),"",$I6*$C6*(1+'Property Summary'!$L$21)^('MF CapEx'!FI$3-1))</f>
        <v>2536.4835891250905</v>
      </c>
      <c r="FJ6" s="149">
        <f>IF(OR($B6="",$B6=0),"",$I6*$C6*(1+'Property Summary'!$L$21)^('MF CapEx'!FJ$3-1))</f>
        <v>2536.4835891250905</v>
      </c>
      <c r="FK6" s="149">
        <f>IF(OR($B6="",$B6=0),"",$I6*$C6*(1+'Property Summary'!$L$21)^('MF CapEx'!FK$3-1))</f>
        <v>2536.4835891250905</v>
      </c>
      <c r="FL6" s="149">
        <f>IF(OR($B6="",$B6=0),"",$I6*$C6*(1+'Property Summary'!$L$21)^('MF CapEx'!FL$3-1))</f>
        <v>2536.4835891250905</v>
      </c>
      <c r="FM6" s="149">
        <f>IF(OR($B6="",$B6=0),"",$I6*$C6*(1+'Property Summary'!$L$21)^('MF CapEx'!FM$3-1))</f>
        <v>2536.4835891250905</v>
      </c>
      <c r="FN6" s="149">
        <f>IF(OR($B6="",$B6=0),"",$I6*$C6*(1+'Property Summary'!$L$21)^('MF CapEx'!FN$3-1))</f>
        <v>2536.4835891250905</v>
      </c>
      <c r="FO6" s="149">
        <f>IF(OR($B6="",$B6=0),"",$I6*$C6*(1+'Property Summary'!$L$21)^('MF CapEx'!FO$3-1))</f>
        <v>2536.4835891250905</v>
      </c>
      <c r="FP6" s="149">
        <f>IF(OR($B6="",$B6=0),"",$I6*$C6*(1+'Property Summary'!$L$21)^('MF CapEx'!FP$3-1))</f>
        <v>2536.4835891250905</v>
      </c>
      <c r="FQ6" s="149">
        <f>IF(OR($B6="",$B6=0),"",$I6*$C6*(1+'Property Summary'!$L$21)^('MF CapEx'!FQ$3-1))</f>
        <v>2536.4835891250905</v>
      </c>
      <c r="FR6" s="149">
        <f>IF(OR($B6="",$B6=0),"",$I6*$C6*(1+'Property Summary'!$L$21)^('MF CapEx'!FR$3-1))</f>
        <v>2536.4835891250905</v>
      </c>
      <c r="FS6" s="149">
        <f>IF(OR($B6="",$B6=0),"",$I6*$C6*(1+'Property Summary'!$L$21)^('MF CapEx'!FS$3-1))</f>
        <v>2587.213260907592</v>
      </c>
      <c r="FT6" s="149">
        <f>IF(OR($B6="",$B6=0),"",$I6*$C6*(1+'Property Summary'!$L$21)^('MF CapEx'!FT$3-1))</f>
        <v>2587.213260907592</v>
      </c>
      <c r="FU6" s="149">
        <f>IF(OR($B6="",$B6=0),"",$I6*$C6*(1+'Property Summary'!$L$21)^('MF CapEx'!FU$3-1))</f>
        <v>2587.213260907592</v>
      </c>
      <c r="FV6" s="149">
        <f>IF(OR($B6="",$B6=0),"",$I6*$C6*(1+'Property Summary'!$L$21)^('MF CapEx'!FV$3-1))</f>
        <v>2587.213260907592</v>
      </c>
      <c r="FW6" s="149">
        <f>IF(OR($B6="",$B6=0),"",$I6*$C6*(1+'Property Summary'!$L$21)^('MF CapEx'!FW$3-1))</f>
        <v>2587.213260907592</v>
      </c>
      <c r="FX6" s="149">
        <f>IF(OR($B6="",$B6=0),"",$I6*$C6*(1+'Property Summary'!$L$21)^('MF CapEx'!FX$3-1))</f>
        <v>2587.213260907592</v>
      </c>
      <c r="FY6" s="149">
        <f>IF(OR($B6="",$B6=0),"",$I6*$C6*(1+'Property Summary'!$L$21)^('MF CapEx'!FY$3-1))</f>
        <v>2587.213260907592</v>
      </c>
      <c r="FZ6" s="149">
        <f>IF(OR($B6="",$B6=0),"",$I6*$C6*(1+'Property Summary'!$L$21)^('MF CapEx'!FZ$3-1))</f>
        <v>2587.213260907592</v>
      </c>
      <c r="GA6" s="149">
        <f>IF(OR($B6="",$B6=0),"",$I6*$C6*(1+'Property Summary'!$L$21)^('MF CapEx'!GA$3-1))</f>
        <v>2587.213260907592</v>
      </c>
      <c r="GB6" s="149">
        <f>IF(OR($B6="",$B6=0),"",$I6*$C6*(1+'Property Summary'!$L$21)^('MF CapEx'!GB$3-1))</f>
        <v>2587.213260907592</v>
      </c>
      <c r="GC6" s="149">
        <f>IF(OR($B6="",$B6=0),"",$I6*$C6*(1+'Property Summary'!$L$21)^('MF CapEx'!GC$3-1))</f>
        <v>2587.213260907592</v>
      </c>
      <c r="GD6" s="149">
        <f>IF(OR($B6="",$B6=0),"",$I6*$C6*(1+'Property Summary'!$L$21)^('MF CapEx'!GD$3-1))</f>
        <v>2587.213260907592</v>
      </c>
      <c r="GE6" s="149">
        <f>IF(OR($B6="",$B6=0),"",$I6*$C6*(1+'Property Summary'!$L$21)^('MF CapEx'!GE$3-1))</f>
        <v>2638.9575261257442</v>
      </c>
      <c r="GF6" s="149">
        <f>IF(OR($B6="",$B6=0),"",$I6*$C6*(1+'Property Summary'!$L$21)^('MF CapEx'!GF$3-1))</f>
        <v>2638.9575261257442</v>
      </c>
      <c r="GG6" s="149">
        <f>IF(OR($B6="",$B6=0),"",$I6*$C6*(1+'Property Summary'!$L$21)^('MF CapEx'!GG$3-1))</f>
        <v>2638.9575261257442</v>
      </c>
      <c r="GH6" s="149">
        <f>IF(OR($B6="",$B6=0),"",$I6*$C6*(1+'Property Summary'!$L$21)^('MF CapEx'!GH$3-1))</f>
        <v>2638.9575261257442</v>
      </c>
      <c r="GI6" s="149">
        <f>IF(OR($B6="",$B6=0),"",$I6*$C6*(1+'Property Summary'!$L$21)^('MF CapEx'!GI$3-1))</f>
        <v>2638.9575261257442</v>
      </c>
      <c r="GJ6" s="149">
        <f>IF(OR($B6="",$B6=0),"",$I6*$C6*(1+'Property Summary'!$L$21)^('MF CapEx'!GJ$3-1))</f>
        <v>2638.9575261257442</v>
      </c>
      <c r="GK6" s="149">
        <f>IF(OR($B6="",$B6=0),"",$I6*$C6*(1+'Property Summary'!$L$21)^('MF CapEx'!GK$3-1))</f>
        <v>2638.9575261257442</v>
      </c>
      <c r="GL6" s="149">
        <f>IF(OR($B6="",$B6=0),"",$I6*$C6*(1+'Property Summary'!$L$21)^('MF CapEx'!GL$3-1))</f>
        <v>2638.9575261257442</v>
      </c>
      <c r="GM6" s="149">
        <f>IF(OR($B6="",$B6=0),"",$I6*$C6*(1+'Property Summary'!$L$21)^('MF CapEx'!GM$3-1))</f>
        <v>2638.9575261257442</v>
      </c>
      <c r="GN6" s="149">
        <f>IF(OR($B6="",$B6=0),"",$I6*$C6*(1+'Property Summary'!$L$21)^('MF CapEx'!GN$3-1))</f>
        <v>2638.9575261257442</v>
      </c>
      <c r="GO6" s="149">
        <f>IF(OR($B6="",$B6=0),"",$I6*$C6*(1+'Property Summary'!$L$21)^('MF CapEx'!GO$3-1))</f>
        <v>2638.9575261257442</v>
      </c>
      <c r="GP6" s="149">
        <f>IF(OR($B6="",$B6=0),"",$I6*$C6*(1+'Property Summary'!$L$21)^('MF CapEx'!GP$3-1))</f>
        <v>2638.9575261257442</v>
      </c>
    </row>
    <row r="7" spans="2:198" x14ac:dyDescent="0.3">
      <c r="B7" s="184" t="str">
        <f>'MF Rent Roll'!B6</f>
        <v>1bd/1ba</v>
      </c>
      <c r="C7" s="171">
        <f>'MF Rent Roll'!C6</f>
        <v>24</v>
      </c>
      <c r="D7" s="172">
        <f>'MF Rent Roll'!D6</f>
        <v>1</v>
      </c>
      <c r="E7" s="172">
        <f>'MF Rent Roll'!E6</f>
        <v>1</v>
      </c>
      <c r="F7" s="173">
        <f>'MF Rent Roll'!F6</f>
        <v>671</v>
      </c>
      <c r="G7" s="174">
        <f>'MF Rent Roll'!G6</f>
        <v>660</v>
      </c>
      <c r="H7" s="176">
        <f>'MF Rent Roll'!J6</f>
        <v>12</v>
      </c>
      <c r="I7" s="174">
        <f>'MF Rent Roll'!K6</f>
        <v>50</v>
      </c>
      <c r="J7" s="177">
        <f>'MF Rent Roll'!L6</f>
        <v>0</v>
      </c>
      <c r="K7" s="178">
        <f>'MF Rent Roll'!M6</f>
        <v>20</v>
      </c>
      <c r="L7" s="174">
        <f>'MF Rent Roll'!N6</f>
        <v>300</v>
      </c>
      <c r="M7" s="179">
        <f>'MF Rent Roll'!O6</f>
        <v>0.6</v>
      </c>
      <c r="N7" s="180">
        <f>'MF Rent Roll'!P6</f>
        <v>0</v>
      </c>
      <c r="O7" s="181">
        <f>'MF Rent Roll'!Q6</f>
        <v>8</v>
      </c>
      <c r="P7" s="104">
        <f>'MF Rent Roll'!R6</f>
        <v>120</v>
      </c>
      <c r="S7" s="149">
        <f>IF(OR($B7="",$B7=0),"",$I7*$C7*(1+'Property Summary'!$L$21)^('MF CapEx'!S$3-1))</f>
        <v>1200</v>
      </c>
      <c r="T7" s="149">
        <f>IF(OR($B7="",$B7=0),"",$I7*$C7*(1+'Property Summary'!$L$21)^('MF CapEx'!T$3-1))</f>
        <v>1200</v>
      </c>
      <c r="U7" s="149">
        <f>IF(OR($B7="",$B7=0),"",$I7*$C7*(1+'Property Summary'!$L$21)^('MF CapEx'!U$3-1))</f>
        <v>1200</v>
      </c>
      <c r="V7" s="149">
        <f>IF(OR($B7="",$B7=0),"",$I7*$C7*(1+'Property Summary'!$L$21)^('MF CapEx'!V$3-1))</f>
        <v>1200</v>
      </c>
      <c r="W7" s="149">
        <f>IF(OR($B7="",$B7=0),"",$I7*$C7*(1+'Property Summary'!$L$21)^('MF CapEx'!W$3-1))</f>
        <v>1200</v>
      </c>
      <c r="X7" s="149">
        <f>IF(OR($B7="",$B7=0),"",$I7*$C7*(1+'Property Summary'!$L$21)^('MF CapEx'!X$3-1))</f>
        <v>1200</v>
      </c>
      <c r="Y7" s="149">
        <f>IF(OR($B7="",$B7=0),"",$I7*$C7*(1+'Property Summary'!$L$21)^('MF CapEx'!Y$3-1))</f>
        <v>1200</v>
      </c>
      <c r="Z7" s="149">
        <f>IF(OR($B7="",$B7=0),"",$I7*$C7*(1+'Property Summary'!$L$21)^('MF CapEx'!Z$3-1))</f>
        <v>1200</v>
      </c>
      <c r="AA7" s="149">
        <f>IF(OR($B7="",$B7=0),"",$I7*$C7*(1+'Property Summary'!$L$21)^('MF CapEx'!AA$3-1))</f>
        <v>1200</v>
      </c>
      <c r="AB7" s="149">
        <f>IF(OR($B7="",$B7=0),"",$I7*$C7*(1+'Property Summary'!$L$21)^('MF CapEx'!AB$3-1))</f>
        <v>1200</v>
      </c>
      <c r="AC7" s="149">
        <f>IF(OR($B7="",$B7=0),"",$I7*$C7*(1+'Property Summary'!$L$21)^('MF CapEx'!AC$3-1))</f>
        <v>1200</v>
      </c>
      <c r="AD7" s="149">
        <f>IF(OR($B7="",$B7=0),"",$I7*$C7*(1+'Property Summary'!$L$21)^('MF CapEx'!AD$3-1))</f>
        <v>1200</v>
      </c>
      <c r="AE7" s="149">
        <f>IF(OR($B7="",$B7=0),"",$I7*$C7*(1+'Property Summary'!$L$21)^('MF CapEx'!AE$3-1))</f>
        <v>1224</v>
      </c>
      <c r="AF7" s="149">
        <f>IF(OR($B7="",$B7=0),"",$I7*$C7*(1+'Property Summary'!$L$21)^('MF CapEx'!AF$3-1))</f>
        <v>1224</v>
      </c>
      <c r="AG7" s="149">
        <f>IF(OR($B7="",$B7=0),"",$I7*$C7*(1+'Property Summary'!$L$21)^('MF CapEx'!AG$3-1))</f>
        <v>1224</v>
      </c>
      <c r="AH7" s="149">
        <f>IF(OR($B7="",$B7=0),"",$I7*$C7*(1+'Property Summary'!$L$21)^('MF CapEx'!AH$3-1))</f>
        <v>1224</v>
      </c>
      <c r="AI7" s="149">
        <f>IF(OR($B7="",$B7=0),"",$I7*$C7*(1+'Property Summary'!$L$21)^('MF CapEx'!AI$3-1))</f>
        <v>1224</v>
      </c>
      <c r="AJ7" s="149">
        <f>IF(OR($B7="",$B7=0),"",$I7*$C7*(1+'Property Summary'!$L$21)^('MF CapEx'!AJ$3-1))</f>
        <v>1224</v>
      </c>
      <c r="AK7" s="149">
        <f>IF(OR($B7="",$B7=0),"",$I7*$C7*(1+'Property Summary'!$L$21)^('MF CapEx'!AK$3-1))</f>
        <v>1224</v>
      </c>
      <c r="AL7" s="149">
        <f>IF(OR($B7="",$B7=0),"",$I7*$C7*(1+'Property Summary'!$L$21)^('MF CapEx'!AL$3-1))</f>
        <v>1224</v>
      </c>
      <c r="AM7" s="149">
        <f>IF(OR($B7="",$B7=0),"",$I7*$C7*(1+'Property Summary'!$L$21)^('MF CapEx'!AM$3-1))</f>
        <v>1224</v>
      </c>
      <c r="AN7" s="149">
        <f>IF(OR($B7="",$B7=0),"",$I7*$C7*(1+'Property Summary'!$L$21)^('MF CapEx'!AN$3-1))</f>
        <v>1224</v>
      </c>
      <c r="AO7" s="149">
        <f>IF(OR($B7="",$B7=0),"",$I7*$C7*(1+'Property Summary'!$L$21)^('MF CapEx'!AO$3-1))</f>
        <v>1224</v>
      </c>
      <c r="AP7" s="149">
        <f>IF(OR($B7="",$B7=0),"",$I7*$C7*(1+'Property Summary'!$L$21)^('MF CapEx'!AP$3-1))</f>
        <v>1224</v>
      </c>
      <c r="AQ7" s="149">
        <f>IF(OR($B7="",$B7=0),"",$I7*$C7*(1+'Property Summary'!$L$21)^('MF CapEx'!AQ$3-1))</f>
        <v>1248.48</v>
      </c>
      <c r="AR7" s="149">
        <f>IF(OR($B7="",$B7=0),"",$I7*$C7*(1+'Property Summary'!$L$21)^('MF CapEx'!AR$3-1))</f>
        <v>1248.48</v>
      </c>
      <c r="AS7" s="149">
        <f>IF(OR($B7="",$B7=0),"",$I7*$C7*(1+'Property Summary'!$L$21)^('MF CapEx'!AS$3-1))</f>
        <v>1248.48</v>
      </c>
      <c r="AT7" s="149">
        <f>IF(OR($B7="",$B7=0),"",$I7*$C7*(1+'Property Summary'!$L$21)^('MF CapEx'!AT$3-1))</f>
        <v>1248.48</v>
      </c>
      <c r="AU7" s="149">
        <f>IF(OR($B7="",$B7=0),"",$I7*$C7*(1+'Property Summary'!$L$21)^('MF CapEx'!AU$3-1))</f>
        <v>1248.48</v>
      </c>
      <c r="AV7" s="149">
        <f>IF(OR($B7="",$B7=0),"",$I7*$C7*(1+'Property Summary'!$L$21)^('MF CapEx'!AV$3-1))</f>
        <v>1248.48</v>
      </c>
      <c r="AW7" s="149">
        <f>IF(OR($B7="",$B7=0),"",$I7*$C7*(1+'Property Summary'!$L$21)^('MF CapEx'!AW$3-1))</f>
        <v>1248.48</v>
      </c>
      <c r="AX7" s="149">
        <f>IF(OR($B7="",$B7=0),"",$I7*$C7*(1+'Property Summary'!$L$21)^('MF CapEx'!AX$3-1))</f>
        <v>1248.48</v>
      </c>
      <c r="AY7" s="149">
        <f>IF(OR($B7="",$B7=0),"",$I7*$C7*(1+'Property Summary'!$L$21)^('MF CapEx'!AY$3-1))</f>
        <v>1248.48</v>
      </c>
      <c r="AZ7" s="149">
        <f>IF(OR($B7="",$B7=0),"",$I7*$C7*(1+'Property Summary'!$L$21)^('MF CapEx'!AZ$3-1))</f>
        <v>1248.48</v>
      </c>
      <c r="BA7" s="149">
        <f>IF(OR($B7="",$B7=0),"",$I7*$C7*(1+'Property Summary'!$L$21)^('MF CapEx'!BA$3-1))</f>
        <v>1248.48</v>
      </c>
      <c r="BB7" s="149">
        <f>IF(OR($B7="",$B7=0),"",$I7*$C7*(1+'Property Summary'!$L$21)^('MF CapEx'!BB$3-1))</f>
        <v>1248.48</v>
      </c>
      <c r="BC7" s="149">
        <f>IF(OR($B7="",$B7=0),"",$I7*$C7*(1+'Property Summary'!$L$21)^('MF CapEx'!BC$3-1))</f>
        <v>1273.4495999999999</v>
      </c>
      <c r="BD7" s="149">
        <f>IF(OR($B7="",$B7=0),"",$I7*$C7*(1+'Property Summary'!$L$21)^('MF CapEx'!BD$3-1))</f>
        <v>1273.4495999999999</v>
      </c>
      <c r="BE7" s="149">
        <f>IF(OR($B7="",$B7=0),"",$I7*$C7*(1+'Property Summary'!$L$21)^('MF CapEx'!BE$3-1))</f>
        <v>1273.4495999999999</v>
      </c>
      <c r="BF7" s="149">
        <f>IF(OR($B7="",$B7=0),"",$I7*$C7*(1+'Property Summary'!$L$21)^('MF CapEx'!BF$3-1))</f>
        <v>1273.4495999999999</v>
      </c>
      <c r="BG7" s="149">
        <f>IF(OR($B7="",$B7=0),"",$I7*$C7*(1+'Property Summary'!$L$21)^('MF CapEx'!BG$3-1))</f>
        <v>1273.4495999999999</v>
      </c>
      <c r="BH7" s="149">
        <f>IF(OR($B7="",$B7=0),"",$I7*$C7*(1+'Property Summary'!$L$21)^('MF CapEx'!BH$3-1))</f>
        <v>1273.4495999999999</v>
      </c>
      <c r="BI7" s="149">
        <f>IF(OR($B7="",$B7=0),"",$I7*$C7*(1+'Property Summary'!$L$21)^('MF CapEx'!BI$3-1))</f>
        <v>1273.4495999999999</v>
      </c>
      <c r="BJ7" s="149">
        <f>IF(OR($B7="",$B7=0),"",$I7*$C7*(1+'Property Summary'!$L$21)^('MF CapEx'!BJ$3-1))</f>
        <v>1273.4495999999999</v>
      </c>
      <c r="BK7" s="149">
        <f>IF(OR($B7="",$B7=0),"",$I7*$C7*(1+'Property Summary'!$L$21)^('MF CapEx'!BK$3-1))</f>
        <v>1273.4495999999999</v>
      </c>
      <c r="BL7" s="149">
        <f>IF(OR($B7="",$B7=0),"",$I7*$C7*(1+'Property Summary'!$L$21)^('MF CapEx'!BL$3-1))</f>
        <v>1273.4495999999999</v>
      </c>
      <c r="BM7" s="149">
        <f>IF(OR($B7="",$B7=0),"",$I7*$C7*(1+'Property Summary'!$L$21)^('MF CapEx'!BM$3-1))</f>
        <v>1273.4495999999999</v>
      </c>
      <c r="BN7" s="149">
        <f>IF(OR($B7="",$B7=0),"",$I7*$C7*(1+'Property Summary'!$L$21)^('MF CapEx'!BN$3-1))</f>
        <v>1273.4495999999999</v>
      </c>
      <c r="BO7" s="149">
        <f>IF(OR($B7="",$B7=0),"",$I7*$C7*(1+'Property Summary'!$L$21)^('MF CapEx'!BO$3-1))</f>
        <v>1298.918592</v>
      </c>
      <c r="BP7" s="149">
        <f>IF(OR($B7="",$B7=0),"",$I7*$C7*(1+'Property Summary'!$L$21)^('MF CapEx'!BP$3-1))</f>
        <v>1298.918592</v>
      </c>
      <c r="BQ7" s="149">
        <f>IF(OR($B7="",$B7=0),"",$I7*$C7*(1+'Property Summary'!$L$21)^('MF CapEx'!BQ$3-1))</f>
        <v>1298.918592</v>
      </c>
      <c r="BR7" s="149">
        <f>IF(OR($B7="",$B7=0),"",$I7*$C7*(1+'Property Summary'!$L$21)^('MF CapEx'!BR$3-1))</f>
        <v>1298.918592</v>
      </c>
      <c r="BS7" s="149">
        <f>IF(OR($B7="",$B7=0),"",$I7*$C7*(1+'Property Summary'!$L$21)^('MF CapEx'!BS$3-1))</f>
        <v>1298.918592</v>
      </c>
      <c r="BT7" s="149">
        <f>IF(OR($B7="",$B7=0),"",$I7*$C7*(1+'Property Summary'!$L$21)^('MF CapEx'!BT$3-1))</f>
        <v>1298.918592</v>
      </c>
      <c r="BU7" s="149">
        <f>IF(OR($B7="",$B7=0),"",$I7*$C7*(1+'Property Summary'!$L$21)^('MF CapEx'!BU$3-1))</f>
        <v>1298.918592</v>
      </c>
      <c r="BV7" s="149">
        <f>IF(OR($B7="",$B7=0),"",$I7*$C7*(1+'Property Summary'!$L$21)^('MF CapEx'!BV$3-1))</f>
        <v>1298.918592</v>
      </c>
      <c r="BW7" s="149">
        <f>IF(OR($B7="",$B7=0),"",$I7*$C7*(1+'Property Summary'!$L$21)^('MF CapEx'!BW$3-1))</f>
        <v>1298.918592</v>
      </c>
      <c r="BX7" s="149">
        <f>IF(OR($B7="",$B7=0),"",$I7*$C7*(1+'Property Summary'!$L$21)^('MF CapEx'!BX$3-1))</f>
        <v>1298.918592</v>
      </c>
      <c r="BY7" s="149">
        <f>IF(OR($B7="",$B7=0),"",$I7*$C7*(1+'Property Summary'!$L$21)^('MF CapEx'!BY$3-1))</f>
        <v>1298.918592</v>
      </c>
      <c r="BZ7" s="149">
        <f>IF(OR($B7="",$B7=0),"",$I7*$C7*(1+'Property Summary'!$L$21)^('MF CapEx'!BZ$3-1))</f>
        <v>1298.918592</v>
      </c>
      <c r="CA7" s="149">
        <f>IF(OR($B7="",$B7=0),"",$I7*$C7*(1+'Property Summary'!$L$21)^('MF CapEx'!CA$3-1))</f>
        <v>1324.8969638400001</v>
      </c>
      <c r="CB7" s="149">
        <f>IF(OR($B7="",$B7=0),"",$I7*$C7*(1+'Property Summary'!$L$21)^('MF CapEx'!CB$3-1))</f>
        <v>1324.8969638400001</v>
      </c>
      <c r="CC7" s="149">
        <f>IF(OR($B7="",$B7=0),"",$I7*$C7*(1+'Property Summary'!$L$21)^('MF CapEx'!CC$3-1))</f>
        <v>1324.8969638400001</v>
      </c>
      <c r="CD7" s="149">
        <f>IF(OR($B7="",$B7=0),"",$I7*$C7*(1+'Property Summary'!$L$21)^('MF CapEx'!CD$3-1))</f>
        <v>1324.8969638400001</v>
      </c>
      <c r="CE7" s="149">
        <f>IF(OR($B7="",$B7=0),"",$I7*$C7*(1+'Property Summary'!$L$21)^('MF CapEx'!CE$3-1))</f>
        <v>1324.8969638400001</v>
      </c>
      <c r="CF7" s="149">
        <f>IF(OR($B7="",$B7=0),"",$I7*$C7*(1+'Property Summary'!$L$21)^('MF CapEx'!CF$3-1))</f>
        <v>1324.8969638400001</v>
      </c>
      <c r="CG7" s="149">
        <f>IF(OR($B7="",$B7=0),"",$I7*$C7*(1+'Property Summary'!$L$21)^('MF CapEx'!CG$3-1))</f>
        <v>1324.8969638400001</v>
      </c>
      <c r="CH7" s="149">
        <f>IF(OR($B7="",$B7=0),"",$I7*$C7*(1+'Property Summary'!$L$21)^('MF CapEx'!CH$3-1))</f>
        <v>1324.8969638400001</v>
      </c>
      <c r="CI7" s="149">
        <f>IF(OR($B7="",$B7=0),"",$I7*$C7*(1+'Property Summary'!$L$21)^('MF CapEx'!CI$3-1))</f>
        <v>1324.8969638400001</v>
      </c>
      <c r="CJ7" s="149">
        <f>IF(OR($B7="",$B7=0),"",$I7*$C7*(1+'Property Summary'!$L$21)^('MF CapEx'!CJ$3-1))</f>
        <v>1324.8969638400001</v>
      </c>
      <c r="CK7" s="149">
        <f>IF(OR($B7="",$B7=0),"",$I7*$C7*(1+'Property Summary'!$L$21)^('MF CapEx'!CK$3-1))</f>
        <v>1324.8969638400001</v>
      </c>
      <c r="CL7" s="149">
        <f>IF(OR($B7="",$B7=0),"",$I7*$C7*(1+'Property Summary'!$L$21)^('MF CapEx'!CL$3-1))</f>
        <v>1324.8969638400001</v>
      </c>
      <c r="CM7" s="149">
        <f>IF(OR($B7="",$B7=0),"",$I7*$C7*(1+'Property Summary'!$L$21)^('MF CapEx'!CM$3-1))</f>
        <v>1351.3949031168002</v>
      </c>
      <c r="CN7" s="149">
        <f>IF(OR($B7="",$B7=0),"",$I7*$C7*(1+'Property Summary'!$L$21)^('MF CapEx'!CN$3-1))</f>
        <v>1351.3949031168002</v>
      </c>
      <c r="CO7" s="149">
        <f>IF(OR($B7="",$B7=0),"",$I7*$C7*(1+'Property Summary'!$L$21)^('MF CapEx'!CO$3-1))</f>
        <v>1351.3949031168002</v>
      </c>
      <c r="CP7" s="149">
        <f>IF(OR($B7="",$B7=0),"",$I7*$C7*(1+'Property Summary'!$L$21)^('MF CapEx'!CP$3-1))</f>
        <v>1351.3949031168002</v>
      </c>
      <c r="CQ7" s="149">
        <f>IF(OR($B7="",$B7=0),"",$I7*$C7*(1+'Property Summary'!$L$21)^('MF CapEx'!CQ$3-1))</f>
        <v>1351.3949031168002</v>
      </c>
      <c r="CR7" s="149">
        <f>IF(OR($B7="",$B7=0),"",$I7*$C7*(1+'Property Summary'!$L$21)^('MF CapEx'!CR$3-1))</f>
        <v>1351.3949031168002</v>
      </c>
      <c r="CS7" s="149">
        <f>IF(OR($B7="",$B7=0),"",$I7*$C7*(1+'Property Summary'!$L$21)^('MF CapEx'!CS$3-1))</f>
        <v>1351.3949031168002</v>
      </c>
      <c r="CT7" s="149">
        <f>IF(OR($B7="",$B7=0),"",$I7*$C7*(1+'Property Summary'!$L$21)^('MF CapEx'!CT$3-1))</f>
        <v>1351.3949031168002</v>
      </c>
      <c r="CU7" s="149">
        <f>IF(OR($B7="",$B7=0),"",$I7*$C7*(1+'Property Summary'!$L$21)^('MF CapEx'!CU$3-1))</f>
        <v>1351.3949031168002</v>
      </c>
      <c r="CV7" s="149">
        <f>IF(OR($B7="",$B7=0),"",$I7*$C7*(1+'Property Summary'!$L$21)^('MF CapEx'!CV$3-1))</f>
        <v>1351.3949031168002</v>
      </c>
      <c r="CW7" s="149">
        <f>IF(OR($B7="",$B7=0),"",$I7*$C7*(1+'Property Summary'!$L$21)^('MF CapEx'!CW$3-1))</f>
        <v>1351.3949031168002</v>
      </c>
      <c r="CX7" s="149">
        <f>IF(OR($B7="",$B7=0),"",$I7*$C7*(1+'Property Summary'!$L$21)^('MF CapEx'!CX$3-1))</f>
        <v>1351.3949031168002</v>
      </c>
      <c r="CY7" s="149">
        <f>IF(OR($B7="",$B7=0),"",$I7*$C7*(1+'Property Summary'!$L$21)^('MF CapEx'!CY$3-1))</f>
        <v>1378.4228011791358</v>
      </c>
      <c r="CZ7" s="149">
        <f>IF(OR($B7="",$B7=0),"",$I7*$C7*(1+'Property Summary'!$L$21)^('MF CapEx'!CZ$3-1))</f>
        <v>1378.4228011791358</v>
      </c>
      <c r="DA7" s="149">
        <f>IF(OR($B7="",$B7=0),"",$I7*$C7*(1+'Property Summary'!$L$21)^('MF CapEx'!DA$3-1))</f>
        <v>1378.4228011791358</v>
      </c>
      <c r="DB7" s="149">
        <f>IF(OR($B7="",$B7=0),"",$I7*$C7*(1+'Property Summary'!$L$21)^('MF CapEx'!DB$3-1))</f>
        <v>1378.4228011791358</v>
      </c>
      <c r="DC7" s="149">
        <f>IF(OR($B7="",$B7=0),"",$I7*$C7*(1+'Property Summary'!$L$21)^('MF CapEx'!DC$3-1))</f>
        <v>1378.4228011791358</v>
      </c>
      <c r="DD7" s="149">
        <f>IF(OR($B7="",$B7=0),"",$I7*$C7*(1+'Property Summary'!$L$21)^('MF CapEx'!DD$3-1))</f>
        <v>1378.4228011791358</v>
      </c>
      <c r="DE7" s="149">
        <f>IF(OR($B7="",$B7=0),"",$I7*$C7*(1+'Property Summary'!$L$21)^('MF CapEx'!DE$3-1))</f>
        <v>1378.4228011791358</v>
      </c>
      <c r="DF7" s="149">
        <f>IF(OR($B7="",$B7=0),"",$I7*$C7*(1+'Property Summary'!$L$21)^('MF CapEx'!DF$3-1))</f>
        <v>1378.4228011791358</v>
      </c>
      <c r="DG7" s="149">
        <f>IF(OR($B7="",$B7=0),"",$I7*$C7*(1+'Property Summary'!$L$21)^('MF CapEx'!DG$3-1))</f>
        <v>1378.4228011791358</v>
      </c>
      <c r="DH7" s="149">
        <f>IF(OR($B7="",$B7=0),"",$I7*$C7*(1+'Property Summary'!$L$21)^('MF CapEx'!DH$3-1))</f>
        <v>1378.4228011791358</v>
      </c>
      <c r="DI7" s="149">
        <f>IF(OR($B7="",$B7=0),"",$I7*$C7*(1+'Property Summary'!$L$21)^('MF CapEx'!DI$3-1))</f>
        <v>1378.4228011791358</v>
      </c>
      <c r="DJ7" s="149">
        <f>IF(OR($B7="",$B7=0),"",$I7*$C7*(1+'Property Summary'!$L$21)^('MF CapEx'!DJ$3-1))</f>
        <v>1378.4228011791358</v>
      </c>
      <c r="DK7" s="149">
        <f>IF(OR($B7="",$B7=0),"",$I7*$C7*(1+'Property Summary'!$L$21)^('MF CapEx'!DK$3-1))</f>
        <v>1405.9912572027185</v>
      </c>
      <c r="DL7" s="149">
        <f>IF(OR($B7="",$B7=0),"",$I7*$C7*(1+'Property Summary'!$L$21)^('MF CapEx'!DL$3-1))</f>
        <v>1405.9912572027185</v>
      </c>
      <c r="DM7" s="149">
        <f>IF(OR($B7="",$B7=0),"",$I7*$C7*(1+'Property Summary'!$L$21)^('MF CapEx'!DM$3-1))</f>
        <v>1405.9912572027185</v>
      </c>
      <c r="DN7" s="149">
        <f>IF(OR($B7="",$B7=0),"",$I7*$C7*(1+'Property Summary'!$L$21)^('MF CapEx'!DN$3-1))</f>
        <v>1405.9912572027185</v>
      </c>
      <c r="DO7" s="149">
        <f>IF(OR($B7="",$B7=0),"",$I7*$C7*(1+'Property Summary'!$L$21)^('MF CapEx'!DO$3-1))</f>
        <v>1405.9912572027185</v>
      </c>
      <c r="DP7" s="149">
        <f>IF(OR($B7="",$B7=0),"",$I7*$C7*(1+'Property Summary'!$L$21)^('MF CapEx'!DP$3-1))</f>
        <v>1405.9912572027185</v>
      </c>
      <c r="DQ7" s="149">
        <f>IF(OR($B7="",$B7=0),"",$I7*$C7*(1+'Property Summary'!$L$21)^('MF CapEx'!DQ$3-1))</f>
        <v>1405.9912572027185</v>
      </c>
      <c r="DR7" s="149">
        <f>IF(OR($B7="",$B7=0),"",$I7*$C7*(1+'Property Summary'!$L$21)^('MF CapEx'!DR$3-1))</f>
        <v>1405.9912572027185</v>
      </c>
      <c r="DS7" s="149">
        <f>IF(OR($B7="",$B7=0),"",$I7*$C7*(1+'Property Summary'!$L$21)^('MF CapEx'!DS$3-1))</f>
        <v>1405.9912572027185</v>
      </c>
      <c r="DT7" s="149">
        <f>IF(OR($B7="",$B7=0),"",$I7*$C7*(1+'Property Summary'!$L$21)^('MF CapEx'!DT$3-1))</f>
        <v>1405.9912572027185</v>
      </c>
      <c r="DU7" s="149">
        <f>IF(OR($B7="",$B7=0),"",$I7*$C7*(1+'Property Summary'!$L$21)^('MF CapEx'!DU$3-1))</f>
        <v>1405.9912572027185</v>
      </c>
      <c r="DV7" s="149">
        <f>IF(OR($B7="",$B7=0),"",$I7*$C7*(1+'Property Summary'!$L$21)^('MF CapEx'!DV$3-1))</f>
        <v>1405.9912572027185</v>
      </c>
      <c r="DW7" s="149">
        <f>IF(OR($B7="",$B7=0),"",$I7*$C7*(1+'Property Summary'!$L$21)^('MF CapEx'!DW$3-1))</f>
        <v>1434.1110823467729</v>
      </c>
      <c r="DX7" s="149">
        <f>IF(OR($B7="",$B7=0),"",$I7*$C7*(1+'Property Summary'!$L$21)^('MF CapEx'!DX$3-1))</f>
        <v>1434.1110823467729</v>
      </c>
      <c r="DY7" s="149">
        <f>IF(OR($B7="",$B7=0),"",$I7*$C7*(1+'Property Summary'!$L$21)^('MF CapEx'!DY$3-1))</f>
        <v>1434.1110823467729</v>
      </c>
      <c r="DZ7" s="149">
        <f>IF(OR($B7="",$B7=0),"",$I7*$C7*(1+'Property Summary'!$L$21)^('MF CapEx'!DZ$3-1))</f>
        <v>1434.1110823467729</v>
      </c>
      <c r="EA7" s="149">
        <f>IF(OR($B7="",$B7=0),"",$I7*$C7*(1+'Property Summary'!$L$21)^('MF CapEx'!EA$3-1))</f>
        <v>1434.1110823467729</v>
      </c>
      <c r="EB7" s="149">
        <f>IF(OR($B7="",$B7=0),"",$I7*$C7*(1+'Property Summary'!$L$21)^('MF CapEx'!EB$3-1))</f>
        <v>1434.1110823467729</v>
      </c>
      <c r="EC7" s="149">
        <f>IF(OR($B7="",$B7=0),"",$I7*$C7*(1+'Property Summary'!$L$21)^('MF CapEx'!EC$3-1))</f>
        <v>1434.1110823467729</v>
      </c>
      <c r="ED7" s="149">
        <f>IF(OR($B7="",$B7=0),"",$I7*$C7*(1+'Property Summary'!$L$21)^('MF CapEx'!ED$3-1))</f>
        <v>1434.1110823467729</v>
      </c>
      <c r="EE7" s="149">
        <f>IF(OR($B7="",$B7=0),"",$I7*$C7*(1+'Property Summary'!$L$21)^('MF CapEx'!EE$3-1))</f>
        <v>1434.1110823467729</v>
      </c>
      <c r="EF7" s="149">
        <f>IF(OR($B7="",$B7=0),"",$I7*$C7*(1+'Property Summary'!$L$21)^('MF CapEx'!EF$3-1))</f>
        <v>1434.1110823467729</v>
      </c>
      <c r="EG7" s="149">
        <f>IF(OR($B7="",$B7=0),"",$I7*$C7*(1+'Property Summary'!$L$21)^('MF CapEx'!EG$3-1))</f>
        <v>1434.1110823467729</v>
      </c>
      <c r="EH7" s="149">
        <f>IF(OR($B7="",$B7=0),"",$I7*$C7*(1+'Property Summary'!$L$21)^('MF CapEx'!EH$3-1))</f>
        <v>1434.1110823467729</v>
      </c>
      <c r="EI7" s="149">
        <f>IF(OR($B7="",$B7=0),"",$I7*$C7*(1+'Property Summary'!$L$21)^('MF CapEx'!EI$3-1))</f>
        <v>1462.7933039937086</v>
      </c>
      <c r="EJ7" s="149">
        <f>IF(OR($B7="",$B7=0),"",$I7*$C7*(1+'Property Summary'!$L$21)^('MF CapEx'!EJ$3-1))</f>
        <v>1462.7933039937086</v>
      </c>
      <c r="EK7" s="149">
        <f>IF(OR($B7="",$B7=0),"",$I7*$C7*(1+'Property Summary'!$L$21)^('MF CapEx'!EK$3-1))</f>
        <v>1462.7933039937086</v>
      </c>
      <c r="EL7" s="149">
        <f>IF(OR($B7="",$B7=0),"",$I7*$C7*(1+'Property Summary'!$L$21)^('MF CapEx'!EL$3-1))</f>
        <v>1462.7933039937086</v>
      </c>
      <c r="EM7" s="149">
        <f>IF(OR($B7="",$B7=0),"",$I7*$C7*(1+'Property Summary'!$L$21)^('MF CapEx'!EM$3-1))</f>
        <v>1462.7933039937086</v>
      </c>
      <c r="EN7" s="149">
        <f>IF(OR($B7="",$B7=0),"",$I7*$C7*(1+'Property Summary'!$L$21)^('MF CapEx'!EN$3-1))</f>
        <v>1462.7933039937086</v>
      </c>
      <c r="EO7" s="149">
        <f>IF(OR($B7="",$B7=0),"",$I7*$C7*(1+'Property Summary'!$L$21)^('MF CapEx'!EO$3-1))</f>
        <v>1462.7933039937086</v>
      </c>
      <c r="EP7" s="149">
        <f>IF(OR($B7="",$B7=0),"",$I7*$C7*(1+'Property Summary'!$L$21)^('MF CapEx'!EP$3-1))</f>
        <v>1462.7933039937086</v>
      </c>
      <c r="EQ7" s="149">
        <f>IF(OR($B7="",$B7=0),"",$I7*$C7*(1+'Property Summary'!$L$21)^('MF CapEx'!EQ$3-1))</f>
        <v>1462.7933039937086</v>
      </c>
      <c r="ER7" s="149">
        <f>IF(OR($B7="",$B7=0),"",$I7*$C7*(1+'Property Summary'!$L$21)^('MF CapEx'!ER$3-1))</f>
        <v>1462.7933039937086</v>
      </c>
      <c r="ES7" s="149">
        <f>IF(OR($B7="",$B7=0),"",$I7*$C7*(1+'Property Summary'!$L$21)^('MF CapEx'!ES$3-1))</f>
        <v>1462.7933039937086</v>
      </c>
      <c r="ET7" s="149">
        <f>IF(OR($B7="",$B7=0),"",$I7*$C7*(1+'Property Summary'!$L$21)^('MF CapEx'!ET$3-1))</f>
        <v>1462.7933039937086</v>
      </c>
      <c r="EU7" s="149">
        <f>IF(OR($B7="",$B7=0),"",$I7*$C7*(1+'Property Summary'!$L$21)^('MF CapEx'!EU$3-1))</f>
        <v>1492.0491700735824</v>
      </c>
      <c r="EV7" s="149">
        <f>IF(OR($B7="",$B7=0),"",$I7*$C7*(1+'Property Summary'!$L$21)^('MF CapEx'!EV$3-1))</f>
        <v>1492.0491700735824</v>
      </c>
      <c r="EW7" s="149">
        <f>IF(OR($B7="",$B7=0),"",$I7*$C7*(1+'Property Summary'!$L$21)^('MF CapEx'!EW$3-1))</f>
        <v>1492.0491700735824</v>
      </c>
      <c r="EX7" s="149">
        <f>IF(OR($B7="",$B7=0),"",$I7*$C7*(1+'Property Summary'!$L$21)^('MF CapEx'!EX$3-1))</f>
        <v>1492.0491700735824</v>
      </c>
      <c r="EY7" s="149">
        <f>IF(OR($B7="",$B7=0),"",$I7*$C7*(1+'Property Summary'!$L$21)^('MF CapEx'!EY$3-1))</f>
        <v>1492.0491700735824</v>
      </c>
      <c r="EZ7" s="149">
        <f>IF(OR($B7="",$B7=0),"",$I7*$C7*(1+'Property Summary'!$L$21)^('MF CapEx'!EZ$3-1))</f>
        <v>1492.0491700735824</v>
      </c>
      <c r="FA7" s="149">
        <f>IF(OR($B7="",$B7=0),"",$I7*$C7*(1+'Property Summary'!$L$21)^('MF CapEx'!FA$3-1))</f>
        <v>1492.0491700735824</v>
      </c>
      <c r="FB7" s="149">
        <f>IF(OR($B7="",$B7=0),"",$I7*$C7*(1+'Property Summary'!$L$21)^('MF CapEx'!FB$3-1))</f>
        <v>1492.0491700735824</v>
      </c>
      <c r="FC7" s="149">
        <f>IF(OR($B7="",$B7=0),"",$I7*$C7*(1+'Property Summary'!$L$21)^('MF CapEx'!FC$3-1))</f>
        <v>1492.0491700735824</v>
      </c>
      <c r="FD7" s="149">
        <f>IF(OR($B7="",$B7=0),"",$I7*$C7*(1+'Property Summary'!$L$21)^('MF CapEx'!FD$3-1))</f>
        <v>1492.0491700735824</v>
      </c>
      <c r="FE7" s="149">
        <f>IF(OR($B7="",$B7=0),"",$I7*$C7*(1+'Property Summary'!$L$21)^('MF CapEx'!FE$3-1))</f>
        <v>1492.0491700735824</v>
      </c>
      <c r="FF7" s="149">
        <f>IF(OR($B7="",$B7=0),"",$I7*$C7*(1+'Property Summary'!$L$21)^('MF CapEx'!FF$3-1))</f>
        <v>1492.0491700735824</v>
      </c>
      <c r="FG7" s="149">
        <f>IF(OR($B7="",$B7=0),"",$I7*$C7*(1+'Property Summary'!$L$21)^('MF CapEx'!FG$3-1))</f>
        <v>1521.8901534750544</v>
      </c>
      <c r="FH7" s="149">
        <f>IF(OR($B7="",$B7=0),"",$I7*$C7*(1+'Property Summary'!$L$21)^('MF CapEx'!FH$3-1))</f>
        <v>1521.8901534750544</v>
      </c>
      <c r="FI7" s="149">
        <f>IF(OR($B7="",$B7=0),"",$I7*$C7*(1+'Property Summary'!$L$21)^('MF CapEx'!FI$3-1))</f>
        <v>1521.8901534750544</v>
      </c>
      <c r="FJ7" s="149">
        <f>IF(OR($B7="",$B7=0),"",$I7*$C7*(1+'Property Summary'!$L$21)^('MF CapEx'!FJ$3-1))</f>
        <v>1521.8901534750544</v>
      </c>
      <c r="FK7" s="149">
        <f>IF(OR($B7="",$B7=0),"",$I7*$C7*(1+'Property Summary'!$L$21)^('MF CapEx'!FK$3-1))</f>
        <v>1521.8901534750544</v>
      </c>
      <c r="FL7" s="149">
        <f>IF(OR($B7="",$B7=0),"",$I7*$C7*(1+'Property Summary'!$L$21)^('MF CapEx'!FL$3-1))</f>
        <v>1521.8901534750544</v>
      </c>
      <c r="FM7" s="149">
        <f>IF(OR($B7="",$B7=0),"",$I7*$C7*(1+'Property Summary'!$L$21)^('MF CapEx'!FM$3-1))</f>
        <v>1521.8901534750544</v>
      </c>
      <c r="FN7" s="149">
        <f>IF(OR($B7="",$B7=0),"",$I7*$C7*(1+'Property Summary'!$L$21)^('MF CapEx'!FN$3-1))</f>
        <v>1521.8901534750544</v>
      </c>
      <c r="FO7" s="149">
        <f>IF(OR($B7="",$B7=0),"",$I7*$C7*(1+'Property Summary'!$L$21)^('MF CapEx'!FO$3-1))</f>
        <v>1521.8901534750544</v>
      </c>
      <c r="FP7" s="149">
        <f>IF(OR($B7="",$B7=0),"",$I7*$C7*(1+'Property Summary'!$L$21)^('MF CapEx'!FP$3-1))</f>
        <v>1521.8901534750544</v>
      </c>
      <c r="FQ7" s="149">
        <f>IF(OR($B7="",$B7=0),"",$I7*$C7*(1+'Property Summary'!$L$21)^('MF CapEx'!FQ$3-1))</f>
        <v>1521.8901534750544</v>
      </c>
      <c r="FR7" s="149">
        <f>IF(OR($B7="",$B7=0),"",$I7*$C7*(1+'Property Summary'!$L$21)^('MF CapEx'!FR$3-1))</f>
        <v>1521.8901534750544</v>
      </c>
      <c r="FS7" s="149">
        <f>IF(OR($B7="",$B7=0),"",$I7*$C7*(1+'Property Summary'!$L$21)^('MF CapEx'!FS$3-1))</f>
        <v>1552.3279565445553</v>
      </c>
      <c r="FT7" s="149">
        <f>IF(OR($B7="",$B7=0),"",$I7*$C7*(1+'Property Summary'!$L$21)^('MF CapEx'!FT$3-1))</f>
        <v>1552.3279565445553</v>
      </c>
      <c r="FU7" s="149">
        <f>IF(OR($B7="",$B7=0),"",$I7*$C7*(1+'Property Summary'!$L$21)^('MF CapEx'!FU$3-1))</f>
        <v>1552.3279565445553</v>
      </c>
      <c r="FV7" s="149">
        <f>IF(OR($B7="",$B7=0),"",$I7*$C7*(1+'Property Summary'!$L$21)^('MF CapEx'!FV$3-1))</f>
        <v>1552.3279565445553</v>
      </c>
      <c r="FW7" s="149">
        <f>IF(OR($B7="",$B7=0),"",$I7*$C7*(1+'Property Summary'!$L$21)^('MF CapEx'!FW$3-1))</f>
        <v>1552.3279565445553</v>
      </c>
      <c r="FX7" s="149">
        <f>IF(OR($B7="",$B7=0),"",$I7*$C7*(1+'Property Summary'!$L$21)^('MF CapEx'!FX$3-1))</f>
        <v>1552.3279565445553</v>
      </c>
      <c r="FY7" s="149">
        <f>IF(OR($B7="",$B7=0),"",$I7*$C7*(1+'Property Summary'!$L$21)^('MF CapEx'!FY$3-1))</f>
        <v>1552.3279565445553</v>
      </c>
      <c r="FZ7" s="149">
        <f>IF(OR($B7="",$B7=0),"",$I7*$C7*(1+'Property Summary'!$L$21)^('MF CapEx'!FZ$3-1))</f>
        <v>1552.3279565445553</v>
      </c>
      <c r="GA7" s="149">
        <f>IF(OR($B7="",$B7=0),"",$I7*$C7*(1+'Property Summary'!$L$21)^('MF CapEx'!GA$3-1))</f>
        <v>1552.3279565445553</v>
      </c>
      <c r="GB7" s="149">
        <f>IF(OR($B7="",$B7=0),"",$I7*$C7*(1+'Property Summary'!$L$21)^('MF CapEx'!GB$3-1))</f>
        <v>1552.3279565445553</v>
      </c>
      <c r="GC7" s="149">
        <f>IF(OR($B7="",$B7=0),"",$I7*$C7*(1+'Property Summary'!$L$21)^('MF CapEx'!GC$3-1))</f>
        <v>1552.3279565445553</v>
      </c>
      <c r="GD7" s="149">
        <f>IF(OR($B7="",$B7=0),"",$I7*$C7*(1+'Property Summary'!$L$21)^('MF CapEx'!GD$3-1))</f>
        <v>1552.3279565445553</v>
      </c>
      <c r="GE7" s="149">
        <f>IF(OR($B7="",$B7=0),"",$I7*$C7*(1+'Property Summary'!$L$21)^('MF CapEx'!GE$3-1))</f>
        <v>1583.3745156754467</v>
      </c>
      <c r="GF7" s="149">
        <f>IF(OR($B7="",$B7=0),"",$I7*$C7*(1+'Property Summary'!$L$21)^('MF CapEx'!GF$3-1))</f>
        <v>1583.3745156754467</v>
      </c>
      <c r="GG7" s="149">
        <f>IF(OR($B7="",$B7=0),"",$I7*$C7*(1+'Property Summary'!$L$21)^('MF CapEx'!GG$3-1))</f>
        <v>1583.3745156754467</v>
      </c>
      <c r="GH7" s="149">
        <f>IF(OR($B7="",$B7=0),"",$I7*$C7*(1+'Property Summary'!$L$21)^('MF CapEx'!GH$3-1))</f>
        <v>1583.3745156754467</v>
      </c>
      <c r="GI7" s="149">
        <f>IF(OR($B7="",$B7=0),"",$I7*$C7*(1+'Property Summary'!$L$21)^('MF CapEx'!GI$3-1))</f>
        <v>1583.3745156754467</v>
      </c>
      <c r="GJ7" s="149">
        <f>IF(OR($B7="",$B7=0),"",$I7*$C7*(1+'Property Summary'!$L$21)^('MF CapEx'!GJ$3-1))</f>
        <v>1583.3745156754467</v>
      </c>
      <c r="GK7" s="149">
        <f>IF(OR($B7="",$B7=0),"",$I7*$C7*(1+'Property Summary'!$L$21)^('MF CapEx'!GK$3-1))</f>
        <v>1583.3745156754467</v>
      </c>
      <c r="GL7" s="149">
        <f>IF(OR($B7="",$B7=0),"",$I7*$C7*(1+'Property Summary'!$L$21)^('MF CapEx'!GL$3-1))</f>
        <v>1583.3745156754467</v>
      </c>
      <c r="GM7" s="149">
        <f>IF(OR($B7="",$B7=0),"",$I7*$C7*(1+'Property Summary'!$L$21)^('MF CapEx'!GM$3-1))</f>
        <v>1583.3745156754467</v>
      </c>
      <c r="GN7" s="149">
        <f>IF(OR($B7="",$B7=0),"",$I7*$C7*(1+'Property Summary'!$L$21)^('MF CapEx'!GN$3-1))</f>
        <v>1583.3745156754467</v>
      </c>
      <c r="GO7" s="149">
        <f>IF(OR($B7="",$B7=0),"",$I7*$C7*(1+'Property Summary'!$L$21)^('MF CapEx'!GO$3-1))</f>
        <v>1583.3745156754467</v>
      </c>
      <c r="GP7" s="149">
        <f>IF(OR($B7="",$B7=0),"",$I7*$C7*(1+'Property Summary'!$L$21)^('MF CapEx'!GP$3-1))</f>
        <v>1583.3745156754467</v>
      </c>
    </row>
    <row r="8" spans="2:198" x14ac:dyDescent="0.3">
      <c r="B8" s="184" t="str">
        <f>'MF Rent Roll'!B7</f>
        <v>2bd/2ba</v>
      </c>
      <c r="C8" s="171">
        <f>'MF Rent Roll'!C7</f>
        <v>24</v>
      </c>
      <c r="D8" s="172">
        <f>'MF Rent Roll'!D7</f>
        <v>2</v>
      </c>
      <c r="E8" s="172">
        <f>'MF Rent Roll'!E7</f>
        <v>2</v>
      </c>
      <c r="F8" s="173">
        <f>'MF Rent Roll'!F7</f>
        <v>945</v>
      </c>
      <c r="G8" s="174">
        <f>'MF Rent Roll'!G7</f>
        <v>850</v>
      </c>
      <c r="H8" s="176">
        <f>'MF Rent Roll'!J7</f>
        <v>12</v>
      </c>
      <c r="I8" s="174">
        <f>'MF Rent Roll'!K7</f>
        <v>60</v>
      </c>
      <c r="J8" s="177">
        <f>'MF Rent Roll'!L7</f>
        <v>0</v>
      </c>
      <c r="K8" s="178">
        <f>'MF Rent Roll'!M7</f>
        <v>25</v>
      </c>
      <c r="L8" s="174">
        <f>'MF Rent Roll'!N7</f>
        <v>350</v>
      </c>
      <c r="M8" s="179">
        <f>'MF Rent Roll'!O7</f>
        <v>0.6</v>
      </c>
      <c r="N8" s="180">
        <f>'MF Rent Roll'!P7</f>
        <v>0</v>
      </c>
      <c r="O8" s="181">
        <f>'MF Rent Roll'!Q7</f>
        <v>10</v>
      </c>
      <c r="P8" s="104">
        <f>'MF Rent Roll'!R7</f>
        <v>140</v>
      </c>
      <c r="S8" s="149">
        <f>IF(OR($B8="",$B8=0),"",$I8*$C8*(1+'Property Summary'!$L$21)^('MF CapEx'!S$3-1))</f>
        <v>1440</v>
      </c>
      <c r="T8" s="149">
        <f>IF(OR($B8="",$B8=0),"",$I8*$C8*(1+'Property Summary'!$L$21)^('MF CapEx'!T$3-1))</f>
        <v>1440</v>
      </c>
      <c r="U8" s="149">
        <f>IF(OR($B8="",$B8=0),"",$I8*$C8*(1+'Property Summary'!$L$21)^('MF CapEx'!U$3-1))</f>
        <v>1440</v>
      </c>
      <c r="V8" s="149">
        <f>IF(OR($B8="",$B8=0),"",$I8*$C8*(1+'Property Summary'!$L$21)^('MF CapEx'!V$3-1))</f>
        <v>1440</v>
      </c>
      <c r="W8" s="149">
        <f>IF(OR($B8="",$B8=0),"",$I8*$C8*(1+'Property Summary'!$L$21)^('MF CapEx'!W$3-1))</f>
        <v>1440</v>
      </c>
      <c r="X8" s="149">
        <f>IF(OR($B8="",$B8=0),"",$I8*$C8*(1+'Property Summary'!$L$21)^('MF CapEx'!X$3-1))</f>
        <v>1440</v>
      </c>
      <c r="Y8" s="149">
        <f>IF(OR($B8="",$B8=0),"",$I8*$C8*(1+'Property Summary'!$L$21)^('MF CapEx'!Y$3-1))</f>
        <v>1440</v>
      </c>
      <c r="Z8" s="149">
        <f>IF(OR($B8="",$B8=0),"",$I8*$C8*(1+'Property Summary'!$L$21)^('MF CapEx'!Z$3-1))</f>
        <v>1440</v>
      </c>
      <c r="AA8" s="149">
        <f>IF(OR($B8="",$B8=0),"",$I8*$C8*(1+'Property Summary'!$L$21)^('MF CapEx'!AA$3-1))</f>
        <v>1440</v>
      </c>
      <c r="AB8" s="149">
        <f>IF(OR($B8="",$B8=0),"",$I8*$C8*(1+'Property Summary'!$L$21)^('MF CapEx'!AB$3-1))</f>
        <v>1440</v>
      </c>
      <c r="AC8" s="149">
        <f>IF(OR($B8="",$B8=0),"",$I8*$C8*(1+'Property Summary'!$L$21)^('MF CapEx'!AC$3-1))</f>
        <v>1440</v>
      </c>
      <c r="AD8" s="149">
        <f>IF(OR($B8="",$B8=0),"",$I8*$C8*(1+'Property Summary'!$L$21)^('MF CapEx'!AD$3-1))</f>
        <v>1440</v>
      </c>
      <c r="AE8" s="149">
        <f>IF(OR($B8="",$B8=0),"",$I8*$C8*(1+'Property Summary'!$L$21)^('MF CapEx'!AE$3-1))</f>
        <v>1468.8</v>
      </c>
      <c r="AF8" s="149">
        <f>IF(OR($B8="",$B8=0),"",$I8*$C8*(1+'Property Summary'!$L$21)^('MF CapEx'!AF$3-1))</f>
        <v>1468.8</v>
      </c>
      <c r="AG8" s="149">
        <f>IF(OR($B8="",$B8=0),"",$I8*$C8*(1+'Property Summary'!$L$21)^('MF CapEx'!AG$3-1))</f>
        <v>1468.8</v>
      </c>
      <c r="AH8" s="149">
        <f>IF(OR($B8="",$B8=0),"",$I8*$C8*(1+'Property Summary'!$L$21)^('MF CapEx'!AH$3-1))</f>
        <v>1468.8</v>
      </c>
      <c r="AI8" s="149">
        <f>IF(OR($B8="",$B8=0),"",$I8*$C8*(1+'Property Summary'!$L$21)^('MF CapEx'!AI$3-1))</f>
        <v>1468.8</v>
      </c>
      <c r="AJ8" s="149">
        <f>IF(OR($B8="",$B8=0),"",$I8*$C8*(1+'Property Summary'!$L$21)^('MF CapEx'!AJ$3-1))</f>
        <v>1468.8</v>
      </c>
      <c r="AK8" s="149">
        <f>IF(OR($B8="",$B8=0),"",$I8*$C8*(1+'Property Summary'!$L$21)^('MF CapEx'!AK$3-1))</f>
        <v>1468.8</v>
      </c>
      <c r="AL8" s="149">
        <f>IF(OR($B8="",$B8=0),"",$I8*$C8*(1+'Property Summary'!$L$21)^('MF CapEx'!AL$3-1))</f>
        <v>1468.8</v>
      </c>
      <c r="AM8" s="149">
        <f>IF(OR($B8="",$B8=0),"",$I8*$C8*(1+'Property Summary'!$L$21)^('MF CapEx'!AM$3-1))</f>
        <v>1468.8</v>
      </c>
      <c r="AN8" s="149">
        <f>IF(OR($B8="",$B8=0),"",$I8*$C8*(1+'Property Summary'!$L$21)^('MF CapEx'!AN$3-1))</f>
        <v>1468.8</v>
      </c>
      <c r="AO8" s="149">
        <f>IF(OR($B8="",$B8=0),"",$I8*$C8*(1+'Property Summary'!$L$21)^('MF CapEx'!AO$3-1))</f>
        <v>1468.8</v>
      </c>
      <c r="AP8" s="149">
        <f>IF(OR($B8="",$B8=0),"",$I8*$C8*(1+'Property Summary'!$L$21)^('MF CapEx'!AP$3-1))</f>
        <v>1468.8</v>
      </c>
      <c r="AQ8" s="149">
        <f>IF(OR($B8="",$B8=0),"",$I8*$C8*(1+'Property Summary'!$L$21)^('MF CapEx'!AQ$3-1))</f>
        <v>1498.1759999999999</v>
      </c>
      <c r="AR8" s="149">
        <f>IF(OR($B8="",$B8=0),"",$I8*$C8*(1+'Property Summary'!$L$21)^('MF CapEx'!AR$3-1))</f>
        <v>1498.1759999999999</v>
      </c>
      <c r="AS8" s="149">
        <f>IF(OR($B8="",$B8=0),"",$I8*$C8*(1+'Property Summary'!$L$21)^('MF CapEx'!AS$3-1))</f>
        <v>1498.1759999999999</v>
      </c>
      <c r="AT8" s="149">
        <f>IF(OR($B8="",$B8=0),"",$I8*$C8*(1+'Property Summary'!$L$21)^('MF CapEx'!AT$3-1))</f>
        <v>1498.1759999999999</v>
      </c>
      <c r="AU8" s="149">
        <f>IF(OR($B8="",$B8=0),"",$I8*$C8*(1+'Property Summary'!$L$21)^('MF CapEx'!AU$3-1))</f>
        <v>1498.1759999999999</v>
      </c>
      <c r="AV8" s="149">
        <f>IF(OR($B8="",$B8=0),"",$I8*$C8*(1+'Property Summary'!$L$21)^('MF CapEx'!AV$3-1))</f>
        <v>1498.1759999999999</v>
      </c>
      <c r="AW8" s="149">
        <f>IF(OR($B8="",$B8=0),"",$I8*$C8*(1+'Property Summary'!$L$21)^('MF CapEx'!AW$3-1))</f>
        <v>1498.1759999999999</v>
      </c>
      <c r="AX8" s="149">
        <f>IF(OR($B8="",$B8=0),"",$I8*$C8*(1+'Property Summary'!$L$21)^('MF CapEx'!AX$3-1))</f>
        <v>1498.1759999999999</v>
      </c>
      <c r="AY8" s="149">
        <f>IF(OR($B8="",$B8=0),"",$I8*$C8*(1+'Property Summary'!$L$21)^('MF CapEx'!AY$3-1))</f>
        <v>1498.1759999999999</v>
      </c>
      <c r="AZ8" s="149">
        <f>IF(OR($B8="",$B8=0),"",$I8*$C8*(1+'Property Summary'!$L$21)^('MF CapEx'!AZ$3-1))</f>
        <v>1498.1759999999999</v>
      </c>
      <c r="BA8" s="149">
        <f>IF(OR($B8="",$B8=0),"",$I8*$C8*(1+'Property Summary'!$L$21)^('MF CapEx'!BA$3-1))</f>
        <v>1498.1759999999999</v>
      </c>
      <c r="BB8" s="149">
        <f>IF(OR($B8="",$B8=0),"",$I8*$C8*(1+'Property Summary'!$L$21)^('MF CapEx'!BB$3-1))</f>
        <v>1498.1759999999999</v>
      </c>
      <c r="BC8" s="149">
        <f>IF(OR($B8="",$B8=0),"",$I8*$C8*(1+'Property Summary'!$L$21)^('MF CapEx'!BC$3-1))</f>
        <v>1528.1395199999999</v>
      </c>
      <c r="BD8" s="149">
        <f>IF(OR($B8="",$B8=0),"",$I8*$C8*(1+'Property Summary'!$L$21)^('MF CapEx'!BD$3-1))</f>
        <v>1528.1395199999999</v>
      </c>
      <c r="BE8" s="149">
        <f>IF(OR($B8="",$B8=0),"",$I8*$C8*(1+'Property Summary'!$L$21)^('MF CapEx'!BE$3-1))</f>
        <v>1528.1395199999999</v>
      </c>
      <c r="BF8" s="149">
        <f>IF(OR($B8="",$B8=0),"",$I8*$C8*(1+'Property Summary'!$L$21)^('MF CapEx'!BF$3-1))</f>
        <v>1528.1395199999999</v>
      </c>
      <c r="BG8" s="149">
        <f>IF(OR($B8="",$B8=0),"",$I8*$C8*(1+'Property Summary'!$L$21)^('MF CapEx'!BG$3-1))</f>
        <v>1528.1395199999999</v>
      </c>
      <c r="BH8" s="149">
        <f>IF(OR($B8="",$B8=0),"",$I8*$C8*(1+'Property Summary'!$L$21)^('MF CapEx'!BH$3-1))</f>
        <v>1528.1395199999999</v>
      </c>
      <c r="BI8" s="149">
        <f>IF(OR($B8="",$B8=0),"",$I8*$C8*(1+'Property Summary'!$L$21)^('MF CapEx'!BI$3-1))</f>
        <v>1528.1395199999999</v>
      </c>
      <c r="BJ8" s="149">
        <f>IF(OR($B8="",$B8=0),"",$I8*$C8*(1+'Property Summary'!$L$21)^('MF CapEx'!BJ$3-1))</f>
        <v>1528.1395199999999</v>
      </c>
      <c r="BK8" s="149">
        <f>IF(OR($B8="",$B8=0),"",$I8*$C8*(1+'Property Summary'!$L$21)^('MF CapEx'!BK$3-1))</f>
        <v>1528.1395199999999</v>
      </c>
      <c r="BL8" s="149">
        <f>IF(OR($B8="",$B8=0),"",$I8*$C8*(1+'Property Summary'!$L$21)^('MF CapEx'!BL$3-1))</f>
        <v>1528.1395199999999</v>
      </c>
      <c r="BM8" s="149">
        <f>IF(OR($B8="",$B8=0),"",$I8*$C8*(1+'Property Summary'!$L$21)^('MF CapEx'!BM$3-1))</f>
        <v>1528.1395199999999</v>
      </c>
      <c r="BN8" s="149">
        <f>IF(OR($B8="",$B8=0),"",$I8*$C8*(1+'Property Summary'!$L$21)^('MF CapEx'!BN$3-1))</f>
        <v>1528.1395199999999</v>
      </c>
      <c r="BO8" s="149">
        <f>IF(OR($B8="",$B8=0),"",$I8*$C8*(1+'Property Summary'!$L$21)^('MF CapEx'!BO$3-1))</f>
        <v>1558.7023104</v>
      </c>
      <c r="BP8" s="149">
        <f>IF(OR($B8="",$B8=0),"",$I8*$C8*(1+'Property Summary'!$L$21)^('MF CapEx'!BP$3-1))</f>
        <v>1558.7023104</v>
      </c>
      <c r="BQ8" s="149">
        <f>IF(OR($B8="",$B8=0),"",$I8*$C8*(1+'Property Summary'!$L$21)^('MF CapEx'!BQ$3-1))</f>
        <v>1558.7023104</v>
      </c>
      <c r="BR8" s="149">
        <f>IF(OR($B8="",$B8=0),"",$I8*$C8*(1+'Property Summary'!$L$21)^('MF CapEx'!BR$3-1))</f>
        <v>1558.7023104</v>
      </c>
      <c r="BS8" s="149">
        <f>IF(OR($B8="",$B8=0),"",$I8*$C8*(1+'Property Summary'!$L$21)^('MF CapEx'!BS$3-1))</f>
        <v>1558.7023104</v>
      </c>
      <c r="BT8" s="149">
        <f>IF(OR($B8="",$B8=0),"",$I8*$C8*(1+'Property Summary'!$L$21)^('MF CapEx'!BT$3-1))</f>
        <v>1558.7023104</v>
      </c>
      <c r="BU8" s="149">
        <f>IF(OR($B8="",$B8=0),"",$I8*$C8*(1+'Property Summary'!$L$21)^('MF CapEx'!BU$3-1))</f>
        <v>1558.7023104</v>
      </c>
      <c r="BV8" s="149">
        <f>IF(OR($B8="",$B8=0),"",$I8*$C8*(1+'Property Summary'!$L$21)^('MF CapEx'!BV$3-1))</f>
        <v>1558.7023104</v>
      </c>
      <c r="BW8" s="149">
        <f>IF(OR($B8="",$B8=0),"",$I8*$C8*(1+'Property Summary'!$L$21)^('MF CapEx'!BW$3-1))</f>
        <v>1558.7023104</v>
      </c>
      <c r="BX8" s="149">
        <f>IF(OR($B8="",$B8=0),"",$I8*$C8*(1+'Property Summary'!$L$21)^('MF CapEx'!BX$3-1))</f>
        <v>1558.7023104</v>
      </c>
      <c r="BY8" s="149">
        <f>IF(OR($B8="",$B8=0),"",$I8*$C8*(1+'Property Summary'!$L$21)^('MF CapEx'!BY$3-1))</f>
        <v>1558.7023104</v>
      </c>
      <c r="BZ8" s="149">
        <f>IF(OR($B8="",$B8=0),"",$I8*$C8*(1+'Property Summary'!$L$21)^('MF CapEx'!BZ$3-1))</f>
        <v>1558.7023104</v>
      </c>
      <c r="CA8" s="149">
        <f>IF(OR($B8="",$B8=0),"",$I8*$C8*(1+'Property Summary'!$L$21)^('MF CapEx'!CA$3-1))</f>
        <v>1589.8763566079999</v>
      </c>
      <c r="CB8" s="149">
        <f>IF(OR($B8="",$B8=0),"",$I8*$C8*(1+'Property Summary'!$L$21)^('MF CapEx'!CB$3-1))</f>
        <v>1589.8763566079999</v>
      </c>
      <c r="CC8" s="149">
        <f>IF(OR($B8="",$B8=0),"",$I8*$C8*(1+'Property Summary'!$L$21)^('MF CapEx'!CC$3-1))</f>
        <v>1589.8763566079999</v>
      </c>
      <c r="CD8" s="149">
        <f>IF(OR($B8="",$B8=0),"",$I8*$C8*(1+'Property Summary'!$L$21)^('MF CapEx'!CD$3-1))</f>
        <v>1589.8763566079999</v>
      </c>
      <c r="CE8" s="149">
        <f>IF(OR($B8="",$B8=0),"",$I8*$C8*(1+'Property Summary'!$L$21)^('MF CapEx'!CE$3-1))</f>
        <v>1589.8763566079999</v>
      </c>
      <c r="CF8" s="149">
        <f>IF(OR($B8="",$B8=0),"",$I8*$C8*(1+'Property Summary'!$L$21)^('MF CapEx'!CF$3-1))</f>
        <v>1589.8763566079999</v>
      </c>
      <c r="CG8" s="149">
        <f>IF(OR($B8="",$B8=0),"",$I8*$C8*(1+'Property Summary'!$L$21)^('MF CapEx'!CG$3-1))</f>
        <v>1589.8763566079999</v>
      </c>
      <c r="CH8" s="149">
        <f>IF(OR($B8="",$B8=0),"",$I8*$C8*(1+'Property Summary'!$L$21)^('MF CapEx'!CH$3-1))</f>
        <v>1589.8763566079999</v>
      </c>
      <c r="CI8" s="149">
        <f>IF(OR($B8="",$B8=0),"",$I8*$C8*(1+'Property Summary'!$L$21)^('MF CapEx'!CI$3-1))</f>
        <v>1589.8763566079999</v>
      </c>
      <c r="CJ8" s="149">
        <f>IF(OR($B8="",$B8=0),"",$I8*$C8*(1+'Property Summary'!$L$21)^('MF CapEx'!CJ$3-1))</f>
        <v>1589.8763566079999</v>
      </c>
      <c r="CK8" s="149">
        <f>IF(OR($B8="",$B8=0),"",$I8*$C8*(1+'Property Summary'!$L$21)^('MF CapEx'!CK$3-1))</f>
        <v>1589.8763566079999</v>
      </c>
      <c r="CL8" s="149">
        <f>IF(OR($B8="",$B8=0),"",$I8*$C8*(1+'Property Summary'!$L$21)^('MF CapEx'!CL$3-1))</f>
        <v>1589.8763566079999</v>
      </c>
      <c r="CM8" s="149">
        <f>IF(OR($B8="",$B8=0),"",$I8*$C8*(1+'Property Summary'!$L$21)^('MF CapEx'!CM$3-1))</f>
        <v>1621.6738837401601</v>
      </c>
      <c r="CN8" s="149">
        <f>IF(OR($B8="",$B8=0),"",$I8*$C8*(1+'Property Summary'!$L$21)^('MF CapEx'!CN$3-1))</f>
        <v>1621.6738837401601</v>
      </c>
      <c r="CO8" s="149">
        <f>IF(OR($B8="",$B8=0),"",$I8*$C8*(1+'Property Summary'!$L$21)^('MF CapEx'!CO$3-1))</f>
        <v>1621.6738837401601</v>
      </c>
      <c r="CP8" s="149">
        <f>IF(OR($B8="",$B8=0),"",$I8*$C8*(1+'Property Summary'!$L$21)^('MF CapEx'!CP$3-1))</f>
        <v>1621.6738837401601</v>
      </c>
      <c r="CQ8" s="149">
        <f>IF(OR($B8="",$B8=0),"",$I8*$C8*(1+'Property Summary'!$L$21)^('MF CapEx'!CQ$3-1))</f>
        <v>1621.6738837401601</v>
      </c>
      <c r="CR8" s="149">
        <f>IF(OR($B8="",$B8=0),"",$I8*$C8*(1+'Property Summary'!$L$21)^('MF CapEx'!CR$3-1))</f>
        <v>1621.6738837401601</v>
      </c>
      <c r="CS8" s="149">
        <f>IF(OR($B8="",$B8=0),"",$I8*$C8*(1+'Property Summary'!$L$21)^('MF CapEx'!CS$3-1))</f>
        <v>1621.6738837401601</v>
      </c>
      <c r="CT8" s="149">
        <f>IF(OR($B8="",$B8=0),"",$I8*$C8*(1+'Property Summary'!$L$21)^('MF CapEx'!CT$3-1))</f>
        <v>1621.6738837401601</v>
      </c>
      <c r="CU8" s="149">
        <f>IF(OR($B8="",$B8=0),"",$I8*$C8*(1+'Property Summary'!$L$21)^('MF CapEx'!CU$3-1))</f>
        <v>1621.6738837401601</v>
      </c>
      <c r="CV8" s="149">
        <f>IF(OR($B8="",$B8=0),"",$I8*$C8*(1+'Property Summary'!$L$21)^('MF CapEx'!CV$3-1))</f>
        <v>1621.6738837401601</v>
      </c>
      <c r="CW8" s="149">
        <f>IF(OR($B8="",$B8=0),"",$I8*$C8*(1+'Property Summary'!$L$21)^('MF CapEx'!CW$3-1))</f>
        <v>1621.6738837401601</v>
      </c>
      <c r="CX8" s="149">
        <f>IF(OR($B8="",$B8=0),"",$I8*$C8*(1+'Property Summary'!$L$21)^('MF CapEx'!CX$3-1))</f>
        <v>1621.6738837401601</v>
      </c>
      <c r="CY8" s="149">
        <f>IF(OR($B8="",$B8=0),"",$I8*$C8*(1+'Property Summary'!$L$21)^('MF CapEx'!CY$3-1))</f>
        <v>1654.107361414963</v>
      </c>
      <c r="CZ8" s="149">
        <f>IF(OR($B8="",$B8=0),"",$I8*$C8*(1+'Property Summary'!$L$21)^('MF CapEx'!CZ$3-1))</f>
        <v>1654.107361414963</v>
      </c>
      <c r="DA8" s="149">
        <f>IF(OR($B8="",$B8=0),"",$I8*$C8*(1+'Property Summary'!$L$21)^('MF CapEx'!DA$3-1))</f>
        <v>1654.107361414963</v>
      </c>
      <c r="DB8" s="149">
        <f>IF(OR($B8="",$B8=0),"",$I8*$C8*(1+'Property Summary'!$L$21)^('MF CapEx'!DB$3-1))</f>
        <v>1654.107361414963</v>
      </c>
      <c r="DC8" s="149">
        <f>IF(OR($B8="",$B8=0),"",$I8*$C8*(1+'Property Summary'!$L$21)^('MF CapEx'!DC$3-1))</f>
        <v>1654.107361414963</v>
      </c>
      <c r="DD8" s="149">
        <f>IF(OR($B8="",$B8=0),"",$I8*$C8*(1+'Property Summary'!$L$21)^('MF CapEx'!DD$3-1))</f>
        <v>1654.107361414963</v>
      </c>
      <c r="DE8" s="149">
        <f>IF(OR($B8="",$B8=0),"",$I8*$C8*(1+'Property Summary'!$L$21)^('MF CapEx'!DE$3-1))</f>
        <v>1654.107361414963</v>
      </c>
      <c r="DF8" s="149">
        <f>IF(OR($B8="",$B8=0),"",$I8*$C8*(1+'Property Summary'!$L$21)^('MF CapEx'!DF$3-1))</f>
        <v>1654.107361414963</v>
      </c>
      <c r="DG8" s="149">
        <f>IF(OR($B8="",$B8=0),"",$I8*$C8*(1+'Property Summary'!$L$21)^('MF CapEx'!DG$3-1))</f>
        <v>1654.107361414963</v>
      </c>
      <c r="DH8" s="149">
        <f>IF(OR($B8="",$B8=0),"",$I8*$C8*(1+'Property Summary'!$L$21)^('MF CapEx'!DH$3-1))</f>
        <v>1654.107361414963</v>
      </c>
      <c r="DI8" s="149">
        <f>IF(OR($B8="",$B8=0),"",$I8*$C8*(1+'Property Summary'!$L$21)^('MF CapEx'!DI$3-1))</f>
        <v>1654.107361414963</v>
      </c>
      <c r="DJ8" s="149">
        <f>IF(OR($B8="",$B8=0),"",$I8*$C8*(1+'Property Summary'!$L$21)^('MF CapEx'!DJ$3-1))</f>
        <v>1654.107361414963</v>
      </c>
      <c r="DK8" s="149">
        <f>IF(OR($B8="",$B8=0),"",$I8*$C8*(1+'Property Summary'!$L$21)^('MF CapEx'!DK$3-1))</f>
        <v>1687.1895086432623</v>
      </c>
      <c r="DL8" s="149">
        <f>IF(OR($B8="",$B8=0),"",$I8*$C8*(1+'Property Summary'!$L$21)^('MF CapEx'!DL$3-1))</f>
        <v>1687.1895086432623</v>
      </c>
      <c r="DM8" s="149">
        <f>IF(OR($B8="",$B8=0),"",$I8*$C8*(1+'Property Summary'!$L$21)^('MF CapEx'!DM$3-1))</f>
        <v>1687.1895086432623</v>
      </c>
      <c r="DN8" s="149">
        <f>IF(OR($B8="",$B8=0),"",$I8*$C8*(1+'Property Summary'!$L$21)^('MF CapEx'!DN$3-1))</f>
        <v>1687.1895086432623</v>
      </c>
      <c r="DO8" s="149">
        <f>IF(OR($B8="",$B8=0),"",$I8*$C8*(1+'Property Summary'!$L$21)^('MF CapEx'!DO$3-1))</f>
        <v>1687.1895086432623</v>
      </c>
      <c r="DP8" s="149">
        <f>IF(OR($B8="",$B8=0),"",$I8*$C8*(1+'Property Summary'!$L$21)^('MF CapEx'!DP$3-1))</f>
        <v>1687.1895086432623</v>
      </c>
      <c r="DQ8" s="149">
        <f>IF(OR($B8="",$B8=0),"",$I8*$C8*(1+'Property Summary'!$L$21)^('MF CapEx'!DQ$3-1))</f>
        <v>1687.1895086432623</v>
      </c>
      <c r="DR8" s="149">
        <f>IF(OR($B8="",$B8=0),"",$I8*$C8*(1+'Property Summary'!$L$21)^('MF CapEx'!DR$3-1))</f>
        <v>1687.1895086432623</v>
      </c>
      <c r="DS8" s="149">
        <f>IF(OR($B8="",$B8=0),"",$I8*$C8*(1+'Property Summary'!$L$21)^('MF CapEx'!DS$3-1))</f>
        <v>1687.1895086432623</v>
      </c>
      <c r="DT8" s="149">
        <f>IF(OR($B8="",$B8=0),"",$I8*$C8*(1+'Property Summary'!$L$21)^('MF CapEx'!DT$3-1))</f>
        <v>1687.1895086432623</v>
      </c>
      <c r="DU8" s="149">
        <f>IF(OR($B8="",$B8=0),"",$I8*$C8*(1+'Property Summary'!$L$21)^('MF CapEx'!DU$3-1))</f>
        <v>1687.1895086432623</v>
      </c>
      <c r="DV8" s="149">
        <f>IF(OR($B8="",$B8=0),"",$I8*$C8*(1+'Property Summary'!$L$21)^('MF CapEx'!DV$3-1))</f>
        <v>1687.1895086432623</v>
      </c>
      <c r="DW8" s="149">
        <f>IF(OR($B8="",$B8=0),"",$I8*$C8*(1+'Property Summary'!$L$21)^('MF CapEx'!DW$3-1))</f>
        <v>1720.9332988161277</v>
      </c>
      <c r="DX8" s="149">
        <f>IF(OR($B8="",$B8=0),"",$I8*$C8*(1+'Property Summary'!$L$21)^('MF CapEx'!DX$3-1))</f>
        <v>1720.9332988161277</v>
      </c>
      <c r="DY8" s="149">
        <f>IF(OR($B8="",$B8=0),"",$I8*$C8*(1+'Property Summary'!$L$21)^('MF CapEx'!DY$3-1))</f>
        <v>1720.9332988161277</v>
      </c>
      <c r="DZ8" s="149">
        <f>IF(OR($B8="",$B8=0),"",$I8*$C8*(1+'Property Summary'!$L$21)^('MF CapEx'!DZ$3-1))</f>
        <v>1720.9332988161277</v>
      </c>
      <c r="EA8" s="149">
        <f>IF(OR($B8="",$B8=0),"",$I8*$C8*(1+'Property Summary'!$L$21)^('MF CapEx'!EA$3-1))</f>
        <v>1720.9332988161277</v>
      </c>
      <c r="EB8" s="149">
        <f>IF(OR($B8="",$B8=0),"",$I8*$C8*(1+'Property Summary'!$L$21)^('MF CapEx'!EB$3-1))</f>
        <v>1720.9332988161277</v>
      </c>
      <c r="EC8" s="149">
        <f>IF(OR($B8="",$B8=0),"",$I8*$C8*(1+'Property Summary'!$L$21)^('MF CapEx'!EC$3-1))</f>
        <v>1720.9332988161277</v>
      </c>
      <c r="ED8" s="149">
        <f>IF(OR($B8="",$B8=0),"",$I8*$C8*(1+'Property Summary'!$L$21)^('MF CapEx'!ED$3-1))</f>
        <v>1720.9332988161277</v>
      </c>
      <c r="EE8" s="149">
        <f>IF(OR($B8="",$B8=0),"",$I8*$C8*(1+'Property Summary'!$L$21)^('MF CapEx'!EE$3-1))</f>
        <v>1720.9332988161277</v>
      </c>
      <c r="EF8" s="149">
        <f>IF(OR($B8="",$B8=0),"",$I8*$C8*(1+'Property Summary'!$L$21)^('MF CapEx'!EF$3-1))</f>
        <v>1720.9332988161277</v>
      </c>
      <c r="EG8" s="149">
        <f>IF(OR($B8="",$B8=0),"",$I8*$C8*(1+'Property Summary'!$L$21)^('MF CapEx'!EG$3-1))</f>
        <v>1720.9332988161277</v>
      </c>
      <c r="EH8" s="149">
        <f>IF(OR($B8="",$B8=0),"",$I8*$C8*(1+'Property Summary'!$L$21)^('MF CapEx'!EH$3-1))</f>
        <v>1720.9332988161277</v>
      </c>
      <c r="EI8" s="149">
        <f>IF(OR($B8="",$B8=0),"",$I8*$C8*(1+'Property Summary'!$L$21)^('MF CapEx'!EI$3-1))</f>
        <v>1755.3519647924502</v>
      </c>
      <c r="EJ8" s="149">
        <f>IF(OR($B8="",$B8=0),"",$I8*$C8*(1+'Property Summary'!$L$21)^('MF CapEx'!EJ$3-1))</f>
        <v>1755.3519647924502</v>
      </c>
      <c r="EK8" s="149">
        <f>IF(OR($B8="",$B8=0),"",$I8*$C8*(1+'Property Summary'!$L$21)^('MF CapEx'!EK$3-1))</f>
        <v>1755.3519647924502</v>
      </c>
      <c r="EL8" s="149">
        <f>IF(OR($B8="",$B8=0),"",$I8*$C8*(1+'Property Summary'!$L$21)^('MF CapEx'!EL$3-1))</f>
        <v>1755.3519647924502</v>
      </c>
      <c r="EM8" s="149">
        <f>IF(OR($B8="",$B8=0),"",$I8*$C8*(1+'Property Summary'!$L$21)^('MF CapEx'!EM$3-1))</f>
        <v>1755.3519647924502</v>
      </c>
      <c r="EN8" s="149">
        <f>IF(OR($B8="",$B8=0),"",$I8*$C8*(1+'Property Summary'!$L$21)^('MF CapEx'!EN$3-1))</f>
        <v>1755.3519647924502</v>
      </c>
      <c r="EO8" s="149">
        <f>IF(OR($B8="",$B8=0),"",$I8*$C8*(1+'Property Summary'!$L$21)^('MF CapEx'!EO$3-1))</f>
        <v>1755.3519647924502</v>
      </c>
      <c r="EP8" s="149">
        <f>IF(OR($B8="",$B8=0),"",$I8*$C8*(1+'Property Summary'!$L$21)^('MF CapEx'!EP$3-1))</f>
        <v>1755.3519647924502</v>
      </c>
      <c r="EQ8" s="149">
        <f>IF(OR($B8="",$B8=0),"",$I8*$C8*(1+'Property Summary'!$L$21)^('MF CapEx'!EQ$3-1))</f>
        <v>1755.3519647924502</v>
      </c>
      <c r="ER8" s="149">
        <f>IF(OR($B8="",$B8=0),"",$I8*$C8*(1+'Property Summary'!$L$21)^('MF CapEx'!ER$3-1))</f>
        <v>1755.3519647924502</v>
      </c>
      <c r="ES8" s="149">
        <f>IF(OR($B8="",$B8=0),"",$I8*$C8*(1+'Property Summary'!$L$21)^('MF CapEx'!ES$3-1))</f>
        <v>1755.3519647924502</v>
      </c>
      <c r="ET8" s="149">
        <f>IF(OR($B8="",$B8=0),"",$I8*$C8*(1+'Property Summary'!$L$21)^('MF CapEx'!ET$3-1))</f>
        <v>1755.3519647924502</v>
      </c>
      <c r="EU8" s="149">
        <f>IF(OR($B8="",$B8=0),"",$I8*$C8*(1+'Property Summary'!$L$21)^('MF CapEx'!EU$3-1))</f>
        <v>1790.4590040882988</v>
      </c>
      <c r="EV8" s="149">
        <f>IF(OR($B8="",$B8=0),"",$I8*$C8*(1+'Property Summary'!$L$21)^('MF CapEx'!EV$3-1))</f>
        <v>1790.4590040882988</v>
      </c>
      <c r="EW8" s="149">
        <f>IF(OR($B8="",$B8=0),"",$I8*$C8*(1+'Property Summary'!$L$21)^('MF CapEx'!EW$3-1))</f>
        <v>1790.4590040882988</v>
      </c>
      <c r="EX8" s="149">
        <f>IF(OR($B8="",$B8=0),"",$I8*$C8*(1+'Property Summary'!$L$21)^('MF CapEx'!EX$3-1))</f>
        <v>1790.4590040882988</v>
      </c>
      <c r="EY8" s="149">
        <f>IF(OR($B8="",$B8=0),"",$I8*$C8*(1+'Property Summary'!$L$21)^('MF CapEx'!EY$3-1))</f>
        <v>1790.4590040882988</v>
      </c>
      <c r="EZ8" s="149">
        <f>IF(OR($B8="",$B8=0),"",$I8*$C8*(1+'Property Summary'!$L$21)^('MF CapEx'!EZ$3-1))</f>
        <v>1790.4590040882988</v>
      </c>
      <c r="FA8" s="149">
        <f>IF(OR($B8="",$B8=0),"",$I8*$C8*(1+'Property Summary'!$L$21)^('MF CapEx'!FA$3-1))</f>
        <v>1790.4590040882988</v>
      </c>
      <c r="FB8" s="149">
        <f>IF(OR($B8="",$B8=0),"",$I8*$C8*(1+'Property Summary'!$L$21)^('MF CapEx'!FB$3-1))</f>
        <v>1790.4590040882988</v>
      </c>
      <c r="FC8" s="149">
        <f>IF(OR($B8="",$B8=0),"",$I8*$C8*(1+'Property Summary'!$L$21)^('MF CapEx'!FC$3-1))</f>
        <v>1790.4590040882988</v>
      </c>
      <c r="FD8" s="149">
        <f>IF(OR($B8="",$B8=0),"",$I8*$C8*(1+'Property Summary'!$L$21)^('MF CapEx'!FD$3-1))</f>
        <v>1790.4590040882988</v>
      </c>
      <c r="FE8" s="149">
        <f>IF(OR($B8="",$B8=0),"",$I8*$C8*(1+'Property Summary'!$L$21)^('MF CapEx'!FE$3-1))</f>
        <v>1790.4590040882988</v>
      </c>
      <c r="FF8" s="149">
        <f>IF(OR($B8="",$B8=0),"",$I8*$C8*(1+'Property Summary'!$L$21)^('MF CapEx'!FF$3-1))</f>
        <v>1790.4590040882988</v>
      </c>
      <c r="FG8" s="149">
        <f>IF(OR($B8="",$B8=0),"",$I8*$C8*(1+'Property Summary'!$L$21)^('MF CapEx'!FG$3-1))</f>
        <v>1826.2681841700651</v>
      </c>
      <c r="FH8" s="149">
        <f>IF(OR($B8="",$B8=0),"",$I8*$C8*(1+'Property Summary'!$L$21)^('MF CapEx'!FH$3-1))</f>
        <v>1826.2681841700651</v>
      </c>
      <c r="FI8" s="149">
        <f>IF(OR($B8="",$B8=0),"",$I8*$C8*(1+'Property Summary'!$L$21)^('MF CapEx'!FI$3-1))</f>
        <v>1826.2681841700651</v>
      </c>
      <c r="FJ8" s="149">
        <f>IF(OR($B8="",$B8=0),"",$I8*$C8*(1+'Property Summary'!$L$21)^('MF CapEx'!FJ$3-1))</f>
        <v>1826.2681841700651</v>
      </c>
      <c r="FK8" s="149">
        <f>IF(OR($B8="",$B8=0),"",$I8*$C8*(1+'Property Summary'!$L$21)^('MF CapEx'!FK$3-1))</f>
        <v>1826.2681841700651</v>
      </c>
      <c r="FL8" s="149">
        <f>IF(OR($B8="",$B8=0),"",$I8*$C8*(1+'Property Summary'!$L$21)^('MF CapEx'!FL$3-1))</f>
        <v>1826.2681841700651</v>
      </c>
      <c r="FM8" s="149">
        <f>IF(OR($B8="",$B8=0),"",$I8*$C8*(1+'Property Summary'!$L$21)^('MF CapEx'!FM$3-1))</f>
        <v>1826.2681841700651</v>
      </c>
      <c r="FN8" s="149">
        <f>IF(OR($B8="",$B8=0),"",$I8*$C8*(1+'Property Summary'!$L$21)^('MF CapEx'!FN$3-1))</f>
        <v>1826.2681841700651</v>
      </c>
      <c r="FO8" s="149">
        <f>IF(OR($B8="",$B8=0),"",$I8*$C8*(1+'Property Summary'!$L$21)^('MF CapEx'!FO$3-1))</f>
        <v>1826.2681841700651</v>
      </c>
      <c r="FP8" s="149">
        <f>IF(OR($B8="",$B8=0),"",$I8*$C8*(1+'Property Summary'!$L$21)^('MF CapEx'!FP$3-1))</f>
        <v>1826.2681841700651</v>
      </c>
      <c r="FQ8" s="149">
        <f>IF(OR($B8="",$B8=0),"",$I8*$C8*(1+'Property Summary'!$L$21)^('MF CapEx'!FQ$3-1))</f>
        <v>1826.2681841700651</v>
      </c>
      <c r="FR8" s="149">
        <f>IF(OR($B8="",$B8=0),"",$I8*$C8*(1+'Property Summary'!$L$21)^('MF CapEx'!FR$3-1))</f>
        <v>1826.2681841700651</v>
      </c>
      <c r="FS8" s="149">
        <f>IF(OR($B8="",$B8=0),"",$I8*$C8*(1+'Property Summary'!$L$21)^('MF CapEx'!FS$3-1))</f>
        <v>1862.7935478534664</v>
      </c>
      <c r="FT8" s="149">
        <f>IF(OR($B8="",$B8=0),"",$I8*$C8*(1+'Property Summary'!$L$21)^('MF CapEx'!FT$3-1))</f>
        <v>1862.7935478534664</v>
      </c>
      <c r="FU8" s="149">
        <f>IF(OR($B8="",$B8=0),"",$I8*$C8*(1+'Property Summary'!$L$21)^('MF CapEx'!FU$3-1))</f>
        <v>1862.7935478534664</v>
      </c>
      <c r="FV8" s="149">
        <f>IF(OR($B8="",$B8=0),"",$I8*$C8*(1+'Property Summary'!$L$21)^('MF CapEx'!FV$3-1))</f>
        <v>1862.7935478534664</v>
      </c>
      <c r="FW8" s="149">
        <f>IF(OR($B8="",$B8=0),"",$I8*$C8*(1+'Property Summary'!$L$21)^('MF CapEx'!FW$3-1))</f>
        <v>1862.7935478534664</v>
      </c>
      <c r="FX8" s="149">
        <f>IF(OR($B8="",$B8=0),"",$I8*$C8*(1+'Property Summary'!$L$21)^('MF CapEx'!FX$3-1))</f>
        <v>1862.7935478534664</v>
      </c>
      <c r="FY8" s="149">
        <f>IF(OR($B8="",$B8=0),"",$I8*$C8*(1+'Property Summary'!$L$21)^('MF CapEx'!FY$3-1))</f>
        <v>1862.7935478534664</v>
      </c>
      <c r="FZ8" s="149">
        <f>IF(OR($B8="",$B8=0),"",$I8*$C8*(1+'Property Summary'!$L$21)^('MF CapEx'!FZ$3-1))</f>
        <v>1862.7935478534664</v>
      </c>
      <c r="GA8" s="149">
        <f>IF(OR($B8="",$B8=0),"",$I8*$C8*(1+'Property Summary'!$L$21)^('MF CapEx'!GA$3-1))</f>
        <v>1862.7935478534664</v>
      </c>
      <c r="GB8" s="149">
        <f>IF(OR($B8="",$B8=0),"",$I8*$C8*(1+'Property Summary'!$L$21)^('MF CapEx'!GB$3-1))</f>
        <v>1862.7935478534664</v>
      </c>
      <c r="GC8" s="149">
        <f>IF(OR($B8="",$B8=0),"",$I8*$C8*(1+'Property Summary'!$L$21)^('MF CapEx'!GC$3-1))</f>
        <v>1862.7935478534664</v>
      </c>
      <c r="GD8" s="149">
        <f>IF(OR($B8="",$B8=0),"",$I8*$C8*(1+'Property Summary'!$L$21)^('MF CapEx'!GD$3-1))</f>
        <v>1862.7935478534664</v>
      </c>
      <c r="GE8" s="149">
        <f>IF(OR($B8="",$B8=0),"",$I8*$C8*(1+'Property Summary'!$L$21)^('MF CapEx'!GE$3-1))</f>
        <v>1900.0494188105358</v>
      </c>
      <c r="GF8" s="149">
        <f>IF(OR($B8="",$B8=0),"",$I8*$C8*(1+'Property Summary'!$L$21)^('MF CapEx'!GF$3-1))</f>
        <v>1900.0494188105358</v>
      </c>
      <c r="GG8" s="149">
        <f>IF(OR($B8="",$B8=0),"",$I8*$C8*(1+'Property Summary'!$L$21)^('MF CapEx'!GG$3-1))</f>
        <v>1900.0494188105358</v>
      </c>
      <c r="GH8" s="149">
        <f>IF(OR($B8="",$B8=0),"",$I8*$C8*(1+'Property Summary'!$L$21)^('MF CapEx'!GH$3-1))</f>
        <v>1900.0494188105358</v>
      </c>
      <c r="GI8" s="149">
        <f>IF(OR($B8="",$B8=0),"",$I8*$C8*(1+'Property Summary'!$L$21)^('MF CapEx'!GI$3-1))</f>
        <v>1900.0494188105358</v>
      </c>
      <c r="GJ8" s="149">
        <f>IF(OR($B8="",$B8=0),"",$I8*$C8*(1+'Property Summary'!$L$21)^('MF CapEx'!GJ$3-1))</f>
        <v>1900.0494188105358</v>
      </c>
      <c r="GK8" s="149">
        <f>IF(OR($B8="",$B8=0),"",$I8*$C8*(1+'Property Summary'!$L$21)^('MF CapEx'!GK$3-1))</f>
        <v>1900.0494188105358</v>
      </c>
      <c r="GL8" s="149">
        <f>IF(OR($B8="",$B8=0),"",$I8*$C8*(1+'Property Summary'!$L$21)^('MF CapEx'!GL$3-1))</f>
        <v>1900.0494188105358</v>
      </c>
      <c r="GM8" s="149">
        <f>IF(OR($B8="",$B8=0),"",$I8*$C8*(1+'Property Summary'!$L$21)^('MF CapEx'!GM$3-1))</f>
        <v>1900.0494188105358</v>
      </c>
      <c r="GN8" s="149">
        <f>IF(OR($B8="",$B8=0),"",$I8*$C8*(1+'Property Summary'!$L$21)^('MF CapEx'!GN$3-1))</f>
        <v>1900.0494188105358</v>
      </c>
      <c r="GO8" s="149">
        <f>IF(OR($B8="",$B8=0),"",$I8*$C8*(1+'Property Summary'!$L$21)^('MF CapEx'!GO$3-1))</f>
        <v>1900.0494188105358</v>
      </c>
      <c r="GP8" s="149">
        <f>IF(OR($B8="",$B8=0),"",$I8*$C8*(1+'Property Summary'!$L$21)^('MF CapEx'!GP$3-1))</f>
        <v>1900.0494188105358</v>
      </c>
    </row>
    <row r="9" spans="2:198" x14ac:dyDescent="0.3">
      <c r="B9" s="184" t="str">
        <f>'MF Rent Roll'!B8</f>
        <v>2bd/1.5ba</v>
      </c>
      <c r="C9" s="171">
        <f>'MF Rent Roll'!C8</f>
        <v>12</v>
      </c>
      <c r="D9" s="172">
        <f>'MF Rent Roll'!D8</f>
        <v>2</v>
      </c>
      <c r="E9" s="172">
        <f>'MF Rent Roll'!E8</f>
        <v>1.5</v>
      </c>
      <c r="F9" s="173">
        <f>'MF Rent Roll'!F8</f>
        <v>1025</v>
      </c>
      <c r="G9" s="174">
        <f>'MF Rent Roll'!G8</f>
        <v>850</v>
      </c>
      <c r="H9" s="176">
        <f>'MF Rent Roll'!J8</f>
        <v>12</v>
      </c>
      <c r="I9" s="174">
        <f>'MF Rent Roll'!K8</f>
        <v>65</v>
      </c>
      <c r="J9" s="177">
        <f>'MF Rent Roll'!L8</f>
        <v>0</v>
      </c>
      <c r="K9" s="178">
        <f>'MF Rent Roll'!M8</f>
        <v>25</v>
      </c>
      <c r="L9" s="174">
        <f>'MF Rent Roll'!N8</f>
        <v>350</v>
      </c>
      <c r="M9" s="179">
        <f>'MF Rent Roll'!O8</f>
        <v>0.6</v>
      </c>
      <c r="N9" s="180">
        <f>'MF Rent Roll'!P8</f>
        <v>0</v>
      </c>
      <c r="O9" s="181">
        <f>'MF Rent Roll'!Q8</f>
        <v>10</v>
      </c>
      <c r="P9" s="104">
        <f>'MF Rent Roll'!R8</f>
        <v>140</v>
      </c>
      <c r="S9" s="149">
        <f>IF(OR($B9="",$B9=0),"",$I9*$C9*(1+'Property Summary'!$L$21)^('MF CapEx'!S$3-1))</f>
        <v>780</v>
      </c>
      <c r="T9" s="149">
        <f>IF(OR($B9="",$B9=0),"",$I9*$C9*(1+'Property Summary'!$L$21)^('MF CapEx'!T$3-1))</f>
        <v>780</v>
      </c>
      <c r="U9" s="149">
        <f>IF(OR($B9="",$B9=0),"",$I9*$C9*(1+'Property Summary'!$L$21)^('MF CapEx'!U$3-1))</f>
        <v>780</v>
      </c>
      <c r="V9" s="149">
        <f>IF(OR($B9="",$B9=0),"",$I9*$C9*(1+'Property Summary'!$L$21)^('MF CapEx'!V$3-1))</f>
        <v>780</v>
      </c>
      <c r="W9" s="149">
        <f>IF(OR($B9="",$B9=0),"",$I9*$C9*(1+'Property Summary'!$L$21)^('MF CapEx'!W$3-1))</f>
        <v>780</v>
      </c>
      <c r="X9" s="149">
        <f>IF(OR($B9="",$B9=0),"",$I9*$C9*(1+'Property Summary'!$L$21)^('MF CapEx'!X$3-1))</f>
        <v>780</v>
      </c>
      <c r="Y9" s="149">
        <f>IF(OR($B9="",$B9=0),"",$I9*$C9*(1+'Property Summary'!$L$21)^('MF CapEx'!Y$3-1))</f>
        <v>780</v>
      </c>
      <c r="Z9" s="149">
        <f>IF(OR($B9="",$B9=0),"",$I9*$C9*(1+'Property Summary'!$L$21)^('MF CapEx'!Z$3-1))</f>
        <v>780</v>
      </c>
      <c r="AA9" s="149">
        <f>IF(OR($B9="",$B9=0),"",$I9*$C9*(1+'Property Summary'!$L$21)^('MF CapEx'!AA$3-1))</f>
        <v>780</v>
      </c>
      <c r="AB9" s="149">
        <f>IF(OR($B9="",$B9=0),"",$I9*$C9*(1+'Property Summary'!$L$21)^('MF CapEx'!AB$3-1))</f>
        <v>780</v>
      </c>
      <c r="AC9" s="149">
        <f>IF(OR($B9="",$B9=0),"",$I9*$C9*(1+'Property Summary'!$L$21)^('MF CapEx'!AC$3-1))</f>
        <v>780</v>
      </c>
      <c r="AD9" s="149">
        <f>IF(OR($B9="",$B9=0),"",$I9*$C9*(1+'Property Summary'!$L$21)^('MF CapEx'!AD$3-1))</f>
        <v>780</v>
      </c>
      <c r="AE9" s="149">
        <f>IF(OR($B9="",$B9=0),"",$I9*$C9*(1+'Property Summary'!$L$21)^('MF CapEx'!AE$3-1))</f>
        <v>795.6</v>
      </c>
      <c r="AF9" s="149">
        <f>IF(OR($B9="",$B9=0),"",$I9*$C9*(1+'Property Summary'!$L$21)^('MF CapEx'!AF$3-1))</f>
        <v>795.6</v>
      </c>
      <c r="AG9" s="149">
        <f>IF(OR($B9="",$B9=0),"",$I9*$C9*(1+'Property Summary'!$L$21)^('MF CapEx'!AG$3-1))</f>
        <v>795.6</v>
      </c>
      <c r="AH9" s="149">
        <f>IF(OR($B9="",$B9=0),"",$I9*$C9*(1+'Property Summary'!$L$21)^('MF CapEx'!AH$3-1))</f>
        <v>795.6</v>
      </c>
      <c r="AI9" s="149">
        <f>IF(OR($B9="",$B9=0),"",$I9*$C9*(1+'Property Summary'!$L$21)^('MF CapEx'!AI$3-1))</f>
        <v>795.6</v>
      </c>
      <c r="AJ9" s="149">
        <f>IF(OR($B9="",$B9=0),"",$I9*$C9*(1+'Property Summary'!$L$21)^('MF CapEx'!AJ$3-1))</f>
        <v>795.6</v>
      </c>
      <c r="AK9" s="149">
        <f>IF(OR($B9="",$B9=0),"",$I9*$C9*(1+'Property Summary'!$L$21)^('MF CapEx'!AK$3-1))</f>
        <v>795.6</v>
      </c>
      <c r="AL9" s="149">
        <f>IF(OR($B9="",$B9=0),"",$I9*$C9*(1+'Property Summary'!$L$21)^('MF CapEx'!AL$3-1))</f>
        <v>795.6</v>
      </c>
      <c r="AM9" s="149">
        <f>IF(OR($B9="",$B9=0),"",$I9*$C9*(1+'Property Summary'!$L$21)^('MF CapEx'!AM$3-1))</f>
        <v>795.6</v>
      </c>
      <c r="AN9" s="149">
        <f>IF(OR($B9="",$B9=0),"",$I9*$C9*(1+'Property Summary'!$L$21)^('MF CapEx'!AN$3-1))</f>
        <v>795.6</v>
      </c>
      <c r="AO9" s="149">
        <f>IF(OR($B9="",$B9=0),"",$I9*$C9*(1+'Property Summary'!$L$21)^('MF CapEx'!AO$3-1))</f>
        <v>795.6</v>
      </c>
      <c r="AP9" s="149">
        <f>IF(OR($B9="",$B9=0),"",$I9*$C9*(1+'Property Summary'!$L$21)^('MF CapEx'!AP$3-1))</f>
        <v>795.6</v>
      </c>
      <c r="AQ9" s="149">
        <f>IF(OR($B9="",$B9=0),"",$I9*$C9*(1+'Property Summary'!$L$21)^('MF CapEx'!AQ$3-1))</f>
        <v>811.51199999999994</v>
      </c>
      <c r="AR9" s="149">
        <f>IF(OR($B9="",$B9=0),"",$I9*$C9*(1+'Property Summary'!$L$21)^('MF CapEx'!AR$3-1))</f>
        <v>811.51199999999994</v>
      </c>
      <c r="AS9" s="149">
        <f>IF(OR($B9="",$B9=0),"",$I9*$C9*(1+'Property Summary'!$L$21)^('MF CapEx'!AS$3-1))</f>
        <v>811.51199999999994</v>
      </c>
      <c r="AT9" s="149">
        <f>IF(OR($B9="",$B9=0),"",$I9*$C9*(1+'Property Summary'!$L$21)^('MF CapEx'!AT$3-1))</f>
        <v>811.51199999999994</v>
      </c>
      <c r="AU9" s="149">
        <f>IF(OR($B9="",$B9=0),"",$I9*$C9*(1+'Property Summary'!$L$21)^('MF CapEx'!AU$3-1))</f>
        <v>811.51199999999994</v>
      </c>
      <c r="AV9" s="149">
        <f>IF(OR($B9="",$B9=0),"",$I9*$C9*(1+'Property Summary'!$L$21)^('MF CapEx'!AV$3-1))</f>
        <v>811.51199999999994</v>
      </c>
      <c r="AW9" s="149">
        <f>IF(OR($B9="",$B9=0),"",$I9*$C9*(1+'Property Summary'!$L$21)^('MF CapEx'!AW$3-1))</f>
        <v>811.51199999999994</v>
      </c>
      <c r="AX9" s="149">
        <f>IF(OR($B9="",$B9=0),"",$I9*$C9*(1+'Property Summary'!$L$21)^('MF CapEx'!AX$3-1))</f>
        <v>811.51199999999994</v>
      </c>
      <c r="AY9" s="149">
        <f>IF(OR($B9="",$B9=0),"",$I9*$C9*(1+'Property Summary'!$L$21)^('MF CapEx'!AY$3-1))</f>
        <v>811.51199999999994</v>
      </c>
      <c r="AZ9" s="149">
        <f>IF(OR($B9="",$B9=0),"",$I9*$C9*(1+'Property Summary'!$L$21)^('MF CapEx'!AZ$3-1))</f>
        <v>811.51199999999994</v>
      </c>
      <c r="BA9" s="149">
        <f>IF(OR($B9="",$B9=0),"",$I9*$C9*(1+'Property Summary'!$L$21)^('MF CapEx'!BA$3-1))</f>
        <v>811.51199999999994</v>
      </c>
      <c r="BB9" s="149">
        <f>IF(OR($B9="",$B9=0),"",$I9*$C9*(1+'Property Summary'!$L$21)^('MF CapEx'!BB$3-1))</f>
        <v>811.51199999999994</v>
      </c>
      <c r="BC9" s="149">
        <f>IF(OR($B9="",$B9=0),"",$I9*$C9*(1+'Property Summary'!$L$21)^('MF CapEx'!BC$3-1))</f>
        <v>827.74223999999992</v>
      </c>
      <c r="BD9" s="149">
        <f>IF(OR($B9="",$B9=0),"",$I9*$C9*(1+'Property Summary'!$L$21)^('MF CapEx'!BD$3-1))</f>
        <v>827.74223999999992</v>
      </c>
      <c r="BE9" s="149">
        <f>IF(OR($B9="",$B9=0),"",$I9*$C9*(1+'Property Summary'!$L$21)^('MF CapEx'!BE$3-1))</f>
        <v>827.74223999999992</v>
      </c>
      <c r="BF9" s="149">
        <f>IF(OR($B9="",$B9=0),"",$I9*$C9*(1+'Property Summary'!$L$21)^('MF CapEx'!BF$3-1))</f>
        <v>827.74223999999992</v>
      </c>
      <c r="BG9" s="149">
        <f>IF(OR($B9="",$B9=0),"",$I9*$C9*(1+'Property Summary'!$L$21)^('MF CapEx'!BG$3-1))</f>
        <v>827.74223999999992</v>
      </c>
      <c r="BH9" s="149">
        <f>IF(OR($B9="",$B9=0),"",$I9*$C9*(1+'Property Summary'!$L$21)^('MF CapEx'!BH$3-1))</f>
        <v>827.74223999999992</v>
      </c>
      <c r="BI9" s="149">
        <f>IF(OR($B9="",$B9=0),"",$I9*$C9*(1+'Property Summary'!$L$21)^('MF CapEx'!BI$3-1))</f>
        <v>827.74223999999992</v>
      </c>
      <c r="BJ9" s="149">
        <f>IF(OR($B9="",$B9=0),"",$I9*$C9*(1+'Property Summary'!$L$21)^('MF CapEx'!BJ$3-1))</f>
        <v>827.74223999999992</v>
      </c>
      <c r="BK9" s="149">
        <f>IF(OR($B9="",$B9=0),"",$I9*$C9*(1+'Property Summary'!$L$21)^('MF CapEx'!BK$3-1))</f>
        <v>827.74223999999992</v>
      </c>
      <c r="BL9" s="149">
        <f>IF(OR($B9="",$B9=0),"",$I9*$C9*(1+'Property Summary'!$L$21)^('MF CapEx'!BL$3-1))</f>
        <v>827.74223999999992</v>
      </c>
      <c r="BM9" s="149">
        <f>IF(OR($B9="",$B9=0),"",$I9*$C9*(1+'Property Summary'!$L$21)^('MF CapEx'!BM$3-1))</f>
        <v>827.74223999999992</v>
      </c>
      <c r="BN9" s="149">
        <f>IF(OR($B9="",$B9=0),"",$I9*$C9*(1+'Property Summary'!$L$21)^('MF CapEx'!BN$3-1))</f>
        <v>827.74223999999992</v>
      </c>
      <c r="BO9" s="149">
        <f>IF(OR($B9="",$B9=0),"",$I9*$C9*(1+'Property Summary'!$L$21)^('MF CapEx'!BO$3-1))</f>
        <v>844.29708479999999</v>
      </c>
      <c r="BP9" s="149">
        <f>IF(OR($B9="",$B9=0),"",$I9*$C9*(1+'Property Summary'!$L$21)^('MF CapEx'!BP$3-1))</f>
        <v>844.29708479999999</v>
      </c>
      <c r="BQ9" s="149">
        <f>IF(OR($B9="",$B9=0),"",$I9*$C9*(1+'Property Summary'!$L$21)^('MF CapEx'!BQ$3-1))</f>
        <v>844.29708479999999</v>
      </c>
      <c r="BR9" s="149">
        <f>IF(OR($B9="",$B9=0),"",$I9*$C9*(1+'Property Summary'!$L$21)^('MF CapEx'!BR$3-1))</f>
        <v>844.29708479999999</v>
      </c>
      <c r="BS9" s="149">
        <f>IF(OR($B9="",$B9=0),"",$I9*$C9*(1+'Property Summary'!$L$21)^('MF CapEx'!BS$3-1))</f>
        <v>844.29708479999999</v>
      </c>
      <c r="BT9" s="149">
        <f>IF(OR($B9="",$B9=0),"",$I9*$C9*(1+'Property Summary'!$L$21)^('MF CapEx'!BT$3-1))</f>
        <v>844.29708479999999</v>
      </c>
      <c r="BU9" s="149">
        <f>IF(OR($B9="",$B9=0),"",$I9*$C9*(1+'Property Summary'!$L$21)^('MF CapEx'!BU$3-1))</f>
        <v>844.29708479999999</v>
      </c>
      <c r="BV9" s="149">
        <f>IF(OR($B9="",$B9=0),"",$I9*$C9*(1+'Property Summary'!$L$21)^('MF CapEx'!BV$3-1))</f>
        <v>844.29708479999999</v>
      </c>
      <c r="BW9" s="149">
        <f>IF(OR($B9="",$B9=0),"",$I9*$C9*(1+'Property Summary'!$L$21)^('MF CapEx'!BW$3-1))</f>
        <v>844.29708479999999</v>
      </c>
      <c r="BX9" s="149">
        <f>IF(OR($B9="",$B9=0),"",$I9*$C9*(1+'Property Summary'!$L$21)^('MF CapEx'!BX$3-1))</f>
        <v>844.29708479999999</v>
      </c>
      <c r="BY9" s="149">
        <f>IF(OR($B9="",$B9=0),"",$I9*$C9*(1+'Property Summary'!$L$21)^('MF CapEx'!BY$3-1))</f>
        <v>844.29708479999999</v>
      </c>
      <c r="BZ9" s="149">
        <f>IF(OR($B9="",$B9=0),"",$I9*$C9*(1+'Property Summary'!$L$21)^('MF CapEx'!BZ$3-1))</f>
        <v>844.29708479999999</v>
      </c>
      <c r="CA9" s="149">
        <f>IF(OR($B9="",$B9=0),"",$I9*$C9*(1+'Property Summary'!$L$21)^('MF CapEx'!CA$3-1))</f>
        <v>861.18302649600002</v>
      </c>
      <c r="CB9" s="149">
        <f>IF(OR($B9="",$B9=0),"",$I9*$C9*(1+'Property Summary'!$L$21)^('MF CapEx'!CB$3-1))</f>
        <v>861.18302649600002</v>
      </c>
      <c r="CC9" s="149">
        <f>IF(OR($B9="",$B9=0),"",$I9*$C9*(1+'Property Summary'!$L$21)^('MF CapEx'!CC$3-1))</f>
        <v>861.18302649600002</v>
      </c>
      <c r="CD9" s="149">
        <f>IF(OR($B9="",$B9=0),"",$I9*$C9*(1+'Property Summary'!$L$21)^('MF CapEx'!CD$3-1))</f>
        <v>861.18302649600002</v>
      </c>
      <c r="CE9" s="149">
        <f>IF(OR($B9="",$B9=0),"",$I9*$C9*(1+'Property Summary'!$L$21)^('MF CapEx'!CE$3-1))</f>
        <v>861.18302649600002</v>
      </c>
      <c r="CF9" s="149">
        <f>IF(OR($B9="",$B9=0),"",$I9*$C9*(1+'Property Summary'!$L$21)^('MF CapEx'!CF$3-1))</f>
        <v>861.18302649600002</v>
      </c>
      <c r="CG9" s="149">
        <f>IF(OR($B9="",$B9=0),"",$I9*$C9*(1+'Property Summary'!$L$21)^('MF CapEx'!CG$3-1))</f>
        <v>861.18302649600002</v>
      </c>
      <c r="CH9" s="149">
        <f>IF(OR($B9="",$B9=0),"",$I9*$C9*(1+'Property Summary'!$L$21)^('MF CapEx'!CH$3-1))</f>
        <v>861.18302649600002</v>
      </c>
      <c r="CI9" s="149">
        <f>IF(OR($B9="",$B9=0),"",$I9*$C9*(1+'Property Summary'!$L$21)^('MF CapEx'!CI$3-1))</f>
        <v>861.18302649600002</v>
      </c>
      <c r="CJ9" s="149">
        <f>IF(OR($B9="",$B9=0),"",$I9*$C9*(1+'Property Summary'!$L$21)^('MF CapEx'!CJ$3-1))</f>
        <v>861.18302649600002</v>
      </c>
      <c r="CK9" s="149">
        <f>IF(OR($B9="",$B9=0),"",$I9*$C9*(1+'Property Summary'!$L$21)^('MF CapEx'!CK$3-1))</f>
        <v>861.18302649600002</v>
      </c>
      <c r="CL9" s="149">
        <f>IF(OR($B9="",$B9=0),"",$I9*$C9*(1+'Property Summary'!$L$21)^('MF CapEx'!CL$3-1))</f>
        <v>861.18302649600002</v>
      </c>
      <c r="CM9" s="149">
        <f>IF(OR($B9="",$B9=0),"",$I9*$C9*(1+'Property Summary'!$L$21)^('MF CapEx'!CM$3-1))</f>
        <v>878.40668702592006</v>
      </c>
      <c r="CN9" s="149">
        <f>IF(OR($B9="",$B9=0),"",$I9*$C9*(1+'Property Summary'!$L$21)^('MF CapEx'!CN$3-1))</f>
        <v>878.40668702592006</v>
      </c>
      <c r="CO9" s="149">
        <f>IF(OR($B9="",$B9=0),"",$I9*$C9*(1+'Property Summary'!$L$21)^('MF CapEx'!CO$3-1))</f>
        <v>878.40668702592006</v>
      </c>
      <c r="CP9" s="149">
        <f>IF(OR($B9="",$B9=0),"",$I9*$C9*(1+'Property Summary'!$L$21)^('MF CapEx'!CP$3-1))</f>
        <v>878.40668702592006</v>
      </c>
      <c r="CQ9" s="149">
        <f>IF(OR($B9="",$B9=0),"",$I9*$C9*(1+'Property Summary'!$L$21)^('MF CapEx'!CQ$3-1))</f>
        <v>878.40668702592006</v>
      </c>
      <c r="CR9" s="149">
        <f>IF(OR($B9="",$B9=0),"",$I9*$C9*(1+'Property Summary'!$L$21)^('MF CapEx'!CR$3-1))</f>
        <v>878.40668702592006</v>
      </c>
      <c r="CS9" s="149">
        <f>IF(OR($B9="",$B9=0),"",$I9*$C9*(1+'Property Summary'!$L$21)^('MF CapEx'!CS$3-1))</f>
        <v>878.40668702592006</v>
      </c>
      <c r="CT9" s="149">
        <f>IF(OR($B9="",$B9=0),"",$I9*$C9*(1+'Property Summary'!$L$21)^('MF CapEx'!CT$3-1))</f>
        <v>878.40668702592006</v>
      </c>
      <c r="CU9" s="149">
        <f>IF(OR($B9="",$B9=0),"",$I9*$C9*(1+'Property Summary'!$L$21)^('MF CapEx'!CU$3-1))</f>
        <v>878.40668702592006</v>
      </c>
      <c r="CV9" s="149">
        <f>IF(OR($B9="",$B9=0),"",$I9*$C9*(1+'Property Summary'!$L$21)^('MF CapEx'!CV$3-1))</f>
        <v>878.40668702592006</v>
      </c>
      <c r="CW9" s="149">
        <f>IF(OR($B9="",$B9=0),"",$I9*$C9*(1+'Property Summary'!$L$21)^('MF CapEx'!CW$3-1))</f>
        <v>878.40668702592006</v>
      </c>
      <c r="CX9" s="149">
        <f>IF(OR($B9="",$B9=0),"",$I9*$C9*(1+'Property Summary'!$L$21)^('MF CapEx'!CX$3-1))</f>
        <v>878.40668702592006</v>
      </c>
      <c r="CY9" s="149">
        <f>IF(OR($B9="",$B9=0),"",$I9*$C9*(1+'Property Summary'!$L$21)^('MF CapEx'!CY$3-1))</f>
        <v>895.97482076643826</v>
      </c>
      <c r="CZ9" s="149">
        <f>IF(OR($B9="",$B9=0),"",$I9*$C9*(1+'Property Summary'!$L$21)^('MF CapEx'!CZ$3-1))</f>
        <v>895.97482076643826</v>
      </c>
      <c r="DA9" s="149">
        <f>IF(OR($B9="",$B9=0),"",$I9*$C9*(1+'Property Summary'!$L$21)^('MF CapEx'!DA$3-1))</f>
        <v>895.97482076643826</v>
      </c>
      <c r="DB9" s="149">
        <f>IF(OR($B9="",$B9=0),"",$I9*$C9*(1+'Property Summary'!$L$21)^('MF CapEx'!DB$3-1))</f>
        <v>895.97482076643826</v>
      </c>
      <c r="DC9" s="149">
        <f>IF(OR($B9="",$B9=0),"",$I9*$C9*(1+'Property Summary'!$L$21)^('MF CapEx'!DC$3-1))</f>
        <v>895.97482076643826</v>
      </c>
      <c r="DD9" s="149">
        <f>IF(OR($B9="",$B9=0),"",$I9*$C9*(1+'Property Summary'!$L$21)^('MF CapEx'!DD$3-1))</f>
        <v>895.97482076643826</v>
      </c>
      <c r="DE9" s="149">
        <f>IF(OR($B9="",$B9=0),"",$I9*$C9*(1+'Property Summary'!$L$21)^('MF CapEx'!DE$3-1))</f>
        <v>895.97482076643826</v>
      </c>
      <c r="DF9" s="149">
        <f>IF(OR($B9="",$B9=0),"",$I9*$C9*(1+'Property Summary'!$L$21)^('MF CapEx'!DF$3-1))</f>
        <v>895.97482076643826</v>
      </c>
      <c r="DG9" s="149">
        <f>IF(OR($B9="",$B9=0),"",$I9*$C9*(1+'Property Summary'!$L$21)^('MF CapEx'!DG$3-1))</f>
        <v>895.97482076643826</v>
      </c>
      <c r="DH9" s="149">
        <f>IF(OR($B9="",$B9=0),"",$I9*$C9*(1+'Property Summary'!$L$21)^('MF CapEx'!DH$3-1))</f>
        <v>895.97482076643826</v>
      </c>
      <c r="DI9" s="149">
        <f>IF(OR($B9="",$B9=0),"",$I9*$C9*(1+'Property Summary'!$L$21)^('MF CapEx'!DI$3-1))</f>
        <v>895.97482076643826</v>
      </c>
      <c r="DJ9" s="149">
        <f>IF(OR($B9="",$B9=0),"",$I9*$C9*(1+'Property Summary'!$L$21)^('MF CapEx'!DJ$3-1))</f>
        <v>895.97482076643826</v>
      </c>
      <c r="DK9" s="149">
        <f>IF(OR($B9="",$B9=0),"",$I9*$C9*(1+'Property Summary'!$L$21)^('MF CapEx'!DK$3-1))</f>
        <v>913.89431718176706</v>
      </c>
      <c r="DL9" s="149">
        <f>IF(OR($B9="",$B9=0),"",$I9*$C9*(1+'Property Summary'!$L$21)^('MF CapEx'!DL$3-1))</f>
        <v>913.89431718176706</v>
      </c>
      <c r="DM9" s="149">
        <f>IF(OR($B9="",$B9=0),"",$I9*$C9*(1+'Property Summary'!$L$21)^('MF CapEx'!DM$3-1))</f>
        <v>913.89431718176706</v>
      </c>
      <c r="DN9" s="149">
        <f>IF(OR($B9="",$B9=0),"",$I9*$C9*(1+'Property Summary'!$L$21)^('MF CapEx'!DN$3-1))</f>
        <v>913.89431718176706</v>
      </c>
      <c r="DO9" s="149">
        <f>IF(OR($B9="",$B9=0),"",$I9*$C9*(1+'Property Summary'!$L$21)^('MF CapEx'!DO$3-1))</f>
        <v>913.89431718176706</v>
      </c>
      <c r="DP9" s="149">
        <f>IF(OR($B9="",$B9=0),"",$I9*$C9*(1+'Property Summary'!$L$21)^('MF CapEx'!DP$3-1))</f>
        <v>913.89431718176706</v>
      </c>
      <c r="DQ9" s="149">
        <f>IF(OR($B9="",$B9=0),"",$I9*$C9*(1+'Property Summary'!$L$21)^('MF CapEx'!DQ$3-1))</f>
        <v>913.89431718176706</v>
      </c>
      <c r="DR9" s="149">
        <f>IF(OR($B9="",$B9=0),"",$I9*$C9*(1+'Property Summary'!$L$21)^('MF CapEx'!DR$3-1))</f>
        <v>913.89431718176706</v>
      </c>
      <c r="DS9" s="149">
        <f>IF(OR($B9="",$B9=0),"",$I9*$C9*(1+'Property Summary'!$L$21)^('MF CapEx'!DS$3-1))</f>
        <v>913.89431718176706</v>
      </c>
      <c r="DT9" s="149">
        <f>IF(OR($B9="",$B9=0),"",$I9*$C9*(1+'Property Summary'!$L$21)^('MF CapEx'!DT$3-1))</f>
        <v>913.89431718176706</v>
      </c>
      <c r="DU9" s="149">
        <f>IF(OR($B9="",$B9=0),"",$I9*$C9*(1+'Property Summary'!$L$21)^('MF CapEx'!DU$3-1))</f>
        <v>913.89431718176706</v>
      </c>
      <c r="DV9" s="149">
        <f>IF(OR($B9="",$B9=0),"",$I9*$C9*(1+'Property Summary'!$L$21)^('MF CapEx'!DV$3-1))</f>
        <v>913.89431718176706</v>
      </c>
      <c r="DW9" s="149">
        <f>IF(OR($B9="",$B9=0),"",$I9*$C9*(1+'Property Summary'!$L$21)^('MF CapEx'!DW$3-1))</f>
        <v>932.17220352540244</v>
      </c>
      <c r="DX9" s="149">
        <f>IF(OR($B9="",$B9=0),"",$I9*$C9*(1+'Property Summary'!$L$21)^('MF CapEx'!DX$3-1))</f>
        <v>932.17220352540244</v>
      </c>
      <c r="DY9" s="149">
        <f>IF(OR($B9="",$B9=0),"",$I9*$C9*(1+'Property Summary'!$L$21)^('MF CapEx'!DY$3-1))</f>
        <v>932.17220352540244</v>
      </c>
      <c r="DZ9" s="149">
        <f>IF(OR($B9="",$B9=0),"",$I9*$C9*(1+'Property Summary'!$L$21)^('MF CapEx'!DZ$3-1))</f>
        <v>932.17220352540244</v>
      </c>
      <c r="EA9" s="149">
        <f>IF(OR($B9="",$B9=0),"",$I9*$C9*(1+'Property Summary'!$L$21)^('MF CapEx'!EA$3-1))</f>
        <v>932.17220352540244</v>
      </c>
      <c r="EB9" s="149">
        <f>IF(OR($B9="",$B9=0),"",$I9*$C9*(1+'Property Summary'!$L$21)^('MF CapEx'!EB$3-1))</f>
        <v>932.17220352540244</v>
      </c>
      <c r="EC9" s="149">
        <f>IF(OR($B9="",$B9=0),"",$I9*$C9*(1+'Property Summary'!$L$21)^('MF CapEx'!EC$3-1))</f>
        <v>932.17220352540244</v>
      </c>
      <c r="ED9" s="149">
        <f>IF(OR($B9="",$B9=0),"",$I9*$C9*(1+'Property Summary'!$L$21)^('MF CapEx'!ED$3-1))</f>
        <v>932.17220352540244</v>
      </c>
      <c r="EE9" s="149">
        <f>IF(OR($B9="",$B9=0),"",$I9*$C9*(1+'Property Summary'!$L$21)^('MF CapEx'!EE$3-1))</f>
        <v>932.17220352540244</v>
      </c>
      <c r="EF9" s="149">
        <f>IF(OR($B9="",$B9=0),"",$I9*$C9*(1+'Property Summary'!$L$21)^('MF CapEx'!EF$3-1))</f>
        <v>932.17220352540244</v>
      </c>
      <c r="EG9" s="149">
        <f>IF(OR($B9="",$B9=0),"",$I9*$C9*(1+'Property Summary'!$L$21)^('MF CapEx'!EG$3-1))</f>
        <v>932.17220352540244</v>
      </c>
      <c r="EH9" s="149">
        <f>IF(OR($B9="",$B9=0),"",$I9*$C9*(1+'Property Summary'!$L$21)^('MF CapEx'!EH$3-1))</f>
        <v>932.17220352540244</v>
      </c>
      <c r="EI9" s="149">
        <f>IF(OR($B9="",$B9=0),"",$I9*$C9*(1+'Property Summary'!$L$21)^('MF CapEx'!EI$3-1))</f>
        <v>950.81564759591049</v>
      </c>
      <c r="EJ9" s="149">
        <f>IF(OR($B9="",$B9=0),"",$I9*$C9*(1+'Property Summary'!$L$21)^('MF CapEx'!EJ$3-1))</f>
        <v>950.81564759591049</v>
      </c>
      <c r="EK9" s="149">
        <f>IF(OR($B9="",$B9=0),"",$I9*$C9*(1+'Property Summary'!$L$21)^('MF CapEx'!EK$3-1))</f>
        <v>950.81564759591049</v>
      </c>
      <c r="EL9" s="149">
        <f>IF(OR($B9="",$B9=0),"",$I9*$C9*(1+'Property Summary'!$L$21)^('MF CapEx'!EL$3-1))</f>
        <v>950.81564759591049</v>
      </c>
      <c r="EM9" s="149">
        <f>IF(OR($B9="",$B9=0),"",$I9*$C9*(1+'Property Summary'!$L$21)^('MF CapEx'!EM$3-1))</f>
        <v>950.81564759591049</v>
      </c>
      <c r="EN9" s="149">
        <f>IF(OR($B9="",$B9=0),"",$I9*$C9*(1+'Property Summary'!$L$21)^('MF CapEx'!EN$3-1))</f>
        <v>950.81564759591049</v>
      </c>
      <c r="EO9" s="149">
        <f>IF(OR($B9="",$B9=0),"",$I9*$C9*(1+'Property Summary'!$L$21)^('MF CapEx'!EO$3-1))</f>
        <v>950.81564759591049</v>
      </c>
      <c r="EP9" s="149">
        <f>IF(OR($B9="",$B9=0),"",$I9*$C9*(1+'Property Summary'!$L$21)^('MF CapEx'!EP$3-1))</f>
        <v>950.81564759591049</v>
      </c>
      <c r="EQ9" s="149">
        <f>IF(OR($B9="",$B9=0),"",$I9*$C9*(1+'Property Summary'!$L$21)^('MF CapEx'!EQ$3-1))</f>
        <v>950.81564759591049</v>
      </c>
      <c r="ER9" s="149">
        <f>IF(OR($B9="",$B9=0),"",$I9*$C9*(1+'Property Summary'!$L$21)^('MF CapEx'!ER$3-1))</f>
        <v>950.81564759591049</v>
      </c>
      <c r="ES9" s="149">
        <f>IF(OR($B9="",$B9=0),"",$I9*$C9*(1+'Property Summary'!$L$21)^('MF CapEx'!ES$3-1))</f>
        <v>950.81564759591049</v>
      </c>
      <c r="ET9" s="149">
        <f>IF(OR($B9="",$B9=0),"",$I9*$C9*(1+'Property Summary'!$L$21)^('MF CapEx'!ET$3-1))</f>
        <v>950.81564759591049</v>
      </c>
      <c r="EU9" s="149">
        <f>IF(OR($B9="",$B9=0),"",$I9*$C9*(1+'Property Summary'!$L$21)^('MF CapEx'!EU$3-1))</f>
        <v>969.83196054782854</v>
      </c>
      <c r="EV9" s="149">
        <f>IF(OR($B9="",$B9=0),"",$I9*$C9*(1+'Property Summary'!$L$21)^('MF CapEx'!EV$3-1))</f>
        <v>969.83196054782854</v>
      </c>
      <c r="EW9" s="149">
        <f>IF(OR($B9="",$B9=0),"",$I9*$C9*(1+'Property Summary'!$L$21)^('MF CapEx'!EW$3-1))</f>
        <v>969.83196054782854</v>
      </c>
      <c r="EX9" s="149">
        <f>IF(OR($B9="",$B9=0),"",$I9*$C9*(1+'Property Summary'!$L$21)^('MF CapEx'!EX$3-1))</f>
        <v>969.83196054782854</v>
      </c>
      <c r="EY9" s="149">
        <f>IF(OR($B9="",$B9=0),"",$I9*$C9*(1+'Property Summary'!$L$21)^('MF CapEx'!EY$3-1))</f>
        <v>969.83196054782854</v>
      </c>
      <c r="EZ9" s="149">
        <f>IF(OR($B9="",$B9=0),"",$I9*$C9*(1+'Property Summary'!$L$21)^('MF CapEx'!EZ$3-1))</f>
        <v>969.83196054782854</v>
      </c>
      <c r="FA9" s="149">
        <f>IF(OR($B9="",$B9=0),"",$I9*$C9*(1+'Property Summary'!$L$21)^('MF CapEx'!FA$3-1))</f>
        <v>969.83196054782854</v>
      </c>
      <c r="FB9" s="149">
        <f>IF(OR($B9="",$B9=0),"",$I9*$C9*(1+'Property Summary'!$L$21)^('MF CapEx'!FB$3-1))</f>
        <v>969.83196054782854</v>
      </c>
      <c r="FC9" s="149">
        <f>IF(OR($B9="",$B9=0),"",$I9*$C9*(1+'Property Summary'!$L$21)^('MF CapEx'!FC$3-1))</f>
        <v>969.83196054782854</v>
      </c>
      <c r="FD9" s="149">
        <f>IF(OR($B9="",$B9=0),"",$I9*$C9*(1+'Property Summary'!$L$21)^('MF CapEx'!FD$3-1))</f>
        <v>969.83196054782854</v>
      </c>
      <c r="FE9" s="149">
        <f>IF(OR($B9="",$B9=0),"",$I9*$C9*(1+'Property Summary'!$L$21)^('MF CapEx'!FE$3-1))</f>
        <v>969.83196054782854</v>
      </c>
      <c r="FF9" s="149">
        <f>IF(OR($B9="",$B9=0),"",$I9*$C9*(1+'Property Summary'!$L$21)^('MF CapEx'!FF$3-1))</f>
        <v>969.83196054782854</v>
      </c>
      <c r="FG9" s="149">
        <f>IF(OR($B9="",$B9=0),"",$I9*$C9*(1+'Property Summary'!$L$21)^('MF CapEx'!FG$3-1))</f>
        <v>989.22859975878532</v>
      </c>
      <c r="FH9" s="149">
        <f>IF(OR($B9="",$B9=0),"",$I9*$C9*(1+'Property Summary'!$L$21)^('MF CapEx'!FH$3-1))</f>
        <v>989.22859975878532</v>
      </c>
      <c r="FI9" s="149">
        <f>IF(OR($B9="",$B9=0),"",$I9*$C9*(1+'Property Summary'!$L$21)^('MF CapEx'!FI$3-1))</f>
        <v>989.22859975878532</v>
      </c>
      <c r="FJ9" s="149">
        <f>IF(OR($B9="",$B9=0),"",$I9*$C9*(1+'Property Summary'!$L$21)^('MF CapEx'!FJ$3-1))</f>
        <v>989.22859975878532</v>
      </c>
      <c r="FK9" s="149">
        <f>IF(OR($B9="",$B9=0),"",$I9*$C9*(1+'Property Summary'!$L$21)^('MF CapEx'!FK$3-1))</f>
        <v>989.22859975878532</v>
      </c>
      <c r="FL9" s="149">
        <f>IF(OR($B9="",$B9=0),"",$I9*$C9*(1+'Property Summary'!$L$21)^('MF CapEx'!FL$3-1))</f>
        <v>989.22859975878532</v>
      </c>
      <c r="FM9" s="149">
        <f>IF(OR($B9="",$B9=0),"",$I9*$C9*(1+'Property Summary'!$L$21)^('MF CapEx'!FM$3-1))</f>
        <v>989.22859975878532</v>
      </c>
      <c r="FN9" s="149">
        <f>IF(OR($B9="",$B9=0),"",$I9*$C9*(1+'Property Summary'!$L$21)^('MF CapEx'!FN$3-1))</f>
        <v>989.22859975878532</v>
      </c>
      <c r="FO9" s="149">
        <f>IF(OR($B9="",$B9=0),"",$I9*$C9*(1+'Property Summary'!$L$21)^('MF CapEx'!FO$3-1))</f>
        <v>989.22859975878532</v>
      </c>
      <c r="FP9" s="149">
        <f>IF(OR($B9="",$B9=0),"",$I9*$C9*(1+'Property Summary'!$L$21)^('MF CapEx'!FP$3-1))</f>
        <v>989.22859975878532</v>
      </c>
      <c r="FQ9" s="149">
        <f>IF(OR($B9="",$B9=0),"",$I9*$C9*(1+'Property Summary'!$L$21)^('MF CapEx'!FQ$3-1))</f>
        <v>989.22859975878532</v>
      </c>
      <c r="FR9" s="149">
        <f>IF(OR($B9="",$B9=0),"",$I9*$C9*(1+'Property Summary'!$L$21)^('MF CapEx'!FR$3-1))</f>
        <v>989.22859975878532</v>
      </c>
      <c r="FS9" s="149">
        <f>IF(OR($B9="",$B9=0),"",$I9*$C9*(1+'Property Summary'!$L$21)^('MF CapEx'!FS$3-1))</f>
        <v>1009.0131717539609</v>
      </c>
      <c r="FT9" s="149">
        <f>IF(OR($B9="",$B9=0),"",$I9*$C9*(1+'Property Summary'!$L$21)^('MF CapEx'!FT$3-1))</f>
        <v>1009.0131717539609</v>
      </c>
      <c r="FU9" s="149">
        <f>IF(OR($B9="",$B9=0),"",$I9*$C9*(1+'Property Summary'!$L$21)^('MF CapEx'!FU$3-1))</f>
        <v>1009.0131717539609</v>
      </c>
      <c r="FV9" s="149">
        <f>IF(OR($B9="",$B9=0),"",$I9*$C9*(1+'Property Summary'!$L$21)^('MF CapEx'!FV$3-1))</f>
        <v>1009.0131717539609</v>
      </c>
      <c r="FW9" s="149">
        <f>IF(OR($B9="",$B9=0),"",$I9*$C9*(1+'Property Summary'!$L$21)^('MF CapEx'!FW$3-1))</f>
        <v>1009.0131717539609</v>
      </c>
      <c r="FX9" s="149">
        <f>IF(OR($B9="",$B9=0),"",$I9*$C9*(1+'Property Summary'!$L$21)^('MF CapEx'!FX$3-1))</f>
        <v>1009.0131717539609</v>
      </c>
      <c r="FY9" s="149">
        <f>IF(OR($B9="",$B9=0),"",$I9*$C9*(1+'Property Summary'!$L$21)^('MF CapEx'!FY$3-1))</f>
        <v>1009.0131717539609</v>
      </c>
      <c r="FZ9" s="149">
        <f>IF(OR($B9="",$B9=0),"",$I9*$C9*(1+'Property Summary'!$L$21)^('MF CapEx'!FZ$3-1))</f>
        <v>1009.0131717539609</v>
      </c>
      <c r="GA9" s="149">
        <f>IF(OR($B9="",$B9=0),"",$I9*$C9*(1+'Property Summary'!$L$21)^('MF CapEx'!GA$3-1))</f>
        <v>1009.0131717539609</v>
      </c>
      <c r="GB9" s="149">
        <f>IF(OR($B9="",$B9=0),"",$I9*$C9*(1+'Property Summary'!$L$21)^('MF CapEx'!GB$3-1))</f>
        <v>1009.0131717539609</v>
      </c>
      <c r="GC9" s="149">
        <f>IF(OR($B9="",$B9=0),"",$I9*$C9*(1+'Property Summary'!$L$21)^('MF CapEx'!GC$3-1))</f>
        <v>1009.0131717539609</v>
      </c>
      <c r="GD9" s="149">
        <f>IF(OR($B9="",$B9=0),"",$I9*$C9*(1+'Property Summary'!$L$21)^('MF CapEx'!GD$3-1))</f>
        <v>1009.0131717539609</v>
      </c>
      <c r="GE9" s="149">
        <f>IF(OR($B9="",$B9=0),"",$I9*$C9*(1+'Property Summary'!$L$21)^('MF CapEx'!GE$3-1))</f>
        <v>1029.1934351890402</v>
      </c>
      <c r="GF9" s="149">
        <f>IF(OR($B9="",$B9=0),"",$I9*$C9*(1+'Property Summary'!$L$21)^('MF CapEx'!GF$3-1))</f>
        <v>1029.1934351890402</v>
      </c>
      <c r="GG9" s="149">
        <f>IF(OR($B9="",$B9=0),"",$I9*$C9*(1+'Property Summary'!$L$21)^('MF CapEx'!GG$3-1))</f>
        <v>1029.1934351890402</v>
      </c>
      <c r="GH9" s="149">
        <f>IF(OR($B9="",$B9=0),"",$I9*$C9*(1+'Property Summary'!$L$21)^('MF CapEx'!GH$3-1))</f>
        <v>1029.1934351890402</v>
      </c>
      <c r="GI9" s="149">
        <f>IF(OR($B9="",$B9=0),"",$I9*$C9*(1+'Property Summary'!$L$21)^('MF CapEx'!GI$3-1))</f>
        <v>1029.1934351890402</v>
      </c>
      <c r="GJ9" s="149">
        <f>IF(OR($B9="",$B9=0),"",$I9*$C9*(1+'Property Summary'!$L$21)^('MF CapEx'!GJ$3-1))</f>
        <v>1029.1934351890402</v>
      </c>
      <c r="GK9" s="149">
        <f>IF(OR($B9="",$B9=0),"",$I9*$C9*(1+'Property Summary'!$L$21)^('MF CapEx'!GK$3-1))</f>
        <v>1029.1934351890402</v>
      </c>
      <c r="GL9" s="149">
        <f>IF(OR($B9="",$B9=0),"",$I9*$C9*(1+'Property Summary'!$L$21)^('MF CapEx'!GL$3-1))</f>
        <v>1029.1934351890402</v>
      </c>
      <c r="GM9" s="149">
        <f>IF(OR($B9="",$B9=0),"",$I9*$C9*(1+'Property Summary'!$L$21)^('MF CapEx'!GM$3-1))</f>
        <v>1029.1934351890402</v>
      </c>
      <c r="GN9" s="149">
        <f>IF(OR($B9="",$B9=0),"",$I9*$C9*(1+'Property Summary'!$L$21)^('MF CapEx'!GN$3-1))</f>
        <v>1029.1934351890402</v>
      </c>
      <c r="GO9" s="149">
        <f>IF(OR($B9="",$B9=0),"",$I9*$C9*(1+'Property Summary'!$L$21)^('MF CapEx'!GO$3-1))</f>
        <v>1029.1934351890402</v>
      </c>
      <c r="GP9" s="149">
        <f>IF(OR($B9="",$B9=0),"",$I9*$C9*(1+'Property Summary'!$L$21)^('MF CapEx'!GP$3-1))</f>
        <v>1029.1934351890402</v>
      </c>
    </row>
    <row r="10" spans="2:198" x14ac:dyDescent="0.3">
      <c r="B10" s="184" t="str">
        <f>'MF Rent Roll'!B9</f>
        <v>3bd/2ba</v>
      </c>
      <c r="C10" s="171">
        <f>'MF Rent Roll'!C9</f>
        <v>24</v>
      </c>
      <c r="D10" s="172">
        <f>'MF Rent Roll'!D9</f>
        <v>3</v>
      </c>
      <c r="E10" s="172">
        <f>'MF Rent Roll'!E9</f>
        <v>2</v>
      </c>
      <c r="F10" s="173">
        <f>'MF Rent Roll'!F9</f>
        <v>1046</v>
      </c>
      <c r="G10" s="174">
        <f>'MF Rent Roll'!G9</f>
        <v>1100</v>
      </c>
      <c r="H10" s="176">
        <f>'MF Rent Roll'!J9</f>
        <v>12</v>
      </c>
      <c r="I10" s="174">
        <f>'MF Rent Roll'!K9</f>
        <v>70</v>
      </c>
      <c r="J10" s="177">
        <f>'MF Rent Roll'!L9</f>
        <v>0</v>
      </c>
      <c r="K10" s="178">
        <f>'MF Rent Roll'!M9</f>
        <v>30</v>
      </c>
      <c r="L10" s="174">
        <f>'MF Rent Roll'!N9</f>
        <v>400</v>
      </c>
      <c r="M10" s="179">
        <f>'MF Rent Roll'!O9</f>
        <v>0.6</v>
      </c>
      <c r="N10" s="180">
        <f>'MF Rent Roll'!P9</f>
        <v>0</v>
      </c>
      <c r="O10" s="181">
        <f>'MF Rent Roll'!Q9</f>
        <v>12</v>
      </c>
      <c r="P10" s="104">
        <f>'MF Rent Roll'!R9</f>
        <v>160</v>
      </c>
      <c r="S10" s="149">
        <f>IF(OR($B10="",$B10=0),"",$I10*$C10*(1+'Property Summary'!$L$21)^('MF CapEx'!S$3-1))</f>
        <v>1680</v>
      </c>
      <c r="T10" s="149">
        <f>IF(OR($B10="",$B10=0),"",$I10*$C10*(1+'Property Summary'!$L$21)^('MF CapEx'!T$3-1))</f>
        <v>1680</v>
      </c>
      <c r="U10" s="149">
        <f>IF(OR($B10="",$B10=0),"",$I10*$C10*(1+'Property Summary'!$L$21)^('MF CapEx'!U$3-1))</f>
        <v>1680</v>
      </c>
      <c r="V10" s="149">
        <f>IF(OR($B10="",$B10=0),"",$I10*$C10*(1+'Property Summary'!$L$21)^('MF CapEx'!V$3-1))</f>
        <v>1680</v>
      </c>
      <c r="W10" s="149">
        <f>IF(OR($B10="",$B10=0),"",$I10*$C10*(1+'Property Summary'!$L$21)^('MF CapEx'!W$3-1))</f>
        <v>1680</v>
      </c>
      <c r="X10" s="149">
        <f>IF(OR($B10="",$B10=0),"",$I10*$C10*(1+'Property Summary'!$L$21)^('MF CapEx'!X$3-1))</f>
        <v>1680</v>
      </c>
      <c r="Y10" s="149">
        <f>IF(OR($B10="",$B10=0),"",$I10*$C10*(1+'Property Summary'!$L$21)^('MF CapEx'!Y$3-1))</f>
        <v>1680</v>
      </c>
      <c r="Z10" s="149">
        <f>IF(OR($B10="",$B10=0),"",$I10*$C10*(1+'Property Summary'!$L$21)^('MF CapEx'!Z$3-1))</f>
        <v>1680</v>
      </c>
      <c r="AA10" s="149">
        <f>IF(OR($B10="",$B10=0),"",$I10*$C10*(1+'Property Summary'!$L$21)^('MF CapEx'!AA$3-1))</f>
        <v>1680</v>
      </c>
      <c r="AB10" s="149">
        <f>IF(OR($B10="",$B10=0),"",$I10*$C10*(1+'Property Summary'!$L$21)^('MF CapEx'!AB$3-1))</f>
        <v>1680</v>
      </c>
      <c r="AC10" s="149">
        <f>IF(OR($B10="",$B10=0),"",$I10*$C10*(1+'Property Summary'!$L$21)^('MF CapEx'!AC$3-1))</f>
        <v>1680</v>
      </c>
      <c r="AD10" s="149">
        <f>IF(OR($B10="",$B10=0),"",$I10*$C10*(1+'Property Summary'!$L$21)^('MF CapEx'!AD$3-1))</f>
        <v>1680</v>
      </c>
      <c r="AE10" s="149">
        <f>IF(OR($B10="",$B10=0),"",$I10*$C10*(1+'Property Summary'!$L$21)^('MF CapEx'!AE$3-1))</f>
        <v>1713.6000000000001</v>
      </c>
      <c r="AF10" s="149">
        <f>IF(OR($B10="",$B10=0),"",$I10*$C10*(1+'Property Summary'!$L$21)^('MF CapEx'!AF$3-1))</f>
        <v>1713.6000000000001</v>
      </c>
      <c r="AG10" s="149">
        <f>IF(OR($B10="",$B10=0),"",$I10*$C10*(1+'Property Summary'!$L$21)^('MF CapEx'!AG$3-1))</f>
        <v>1713.6000000000001</v>
      </c>
      <c r="AH10" s="149">
        <f>IF(OR($B10="",$B10=0),"",$I10*$C10*(1+'Property Summary'!$L$21)^('MF CapEx'!AH$3-1))</f>
        <v>1713.6000000000001</v>
      </c>
      <c r="AI10" s="149">
        <f>IF(OR($B10="",$B10=0),"",$I10*$C10*(1+'Property Summary'!$L$21)^('MF CapEx'!AI$3-1))</f>
        <v>1713.6000000000001</v>
      </c>
      <c r="AJ10" s="149">
        <f>IF(OR($B10="",$B10=0),"",$I10*$C10*(1+'Property Summary'!$L$21)^('MF CapEx'!AJ$3-1))</f>
        <v>1713.6000000000001</v>
      </c>
      <c r="AK10" s="149">
        <f>IF(OR($B10="",$B10=0),"",$I10*$C10*(1+'Property Summary'!$L$21)^('MF CapEx'!AK$3-1))</f>
        <v>1713.6000000000001</v>
      </c>
      <c r="AL10" s="149">
        <f>IF(OR($B10="",$B10=0),"",$I10*$C10*(1+'Property Summary'!$L$21)^('MF CapEx'!AL$3-1))</f>
        <v>1713.6000000000001</v>
      </c>
      <c r="AM10" s="149">
        <f>IF(OR($B10="",$B10=0),"",$I10*$C10*(1+'Property Summary'!$L$21)^('MF CapEx'!AM$3-1))</f>
        <v>1713.6000000000001</v>
      </c>
      <c r="AN10" s="149">
        <f>IF(OR($B10="",$B10=0),"",$I10*$C10*(1+'Property Summary'!$L$21)^('MF CapEx'!AN$3-1))</f>
        <v>1713.6000000000001</v>
      </c>
      <c r="AO10" s="149">
        <f>IF(OR($B10="",$B10=0),"",$I10*$C10*(1+'Property Summary'!$L$21)^('MF CapEx'!AO$3-1))</f>
        <v>1713.6000000000001</v>
      </c>
      <c r="AP10" s="149">
        <f>IF(OR($B10="",$B10=0),"",$I10*$C10*(1+'Property Summary'!$L$21)^('MF CapEx'!AP$3-1))</f>
        <v>1713.6000000000001</v>
      </c>
      <c r="AQ10" s="149">
        <f>IF(OR($B10="",$B10=0),"",$I10*$C10*(1+'Property Summary'!$L$21)^('MF CapEx'!AQ$3-1))</f>
        <v>1747.8720000000001</v>
      </c>
      <c r="AR10" s="149">
        <f>IF(OR($B10="",$B10=0),"",$I10*$C10*(1+'Property Summary'!$L$21)^('MF CapEx'!AR$3-1))</f>
        <v>1747.8720000000001</v>
      </c>
      <c r="AS10" s="149">
        <f>IF(OR($B10="",$B10=0),"",$I10*$C10*(1+'Property Summary'!$L$21)^('MF CapEx'!AS$3-1))</f>
        <v>1747.8720000000001</v>
      </c>
      <c r="AT10" s="149">
        <f>IF(OR($B10="",$B10=0),"",$I10*$C10*(1+'Property Summary'!$L$21)^('MF CapEx'!AT$3-1))</f>
        <v>1747.8720000000001</v>
      </c>
      <c r="AU10" s="149">
        <f>IF(OR($B10="",$B10=0),"",$I10*$C10*(1+'Property Summary'!$L$21)^('MF CapEx'!AU$3-1))</f>
        <v>1747.8720000000001</v>
      </c>
      <c r="AV10" s="149">
        <f>IF(OR($B10="",$B10=0),"",$I10*$C10*(1+'Property Summary'!$L$21)^('MF CapEx'!AV$3-1))</f>
        <v>1747.8720000000001</v>
      </c>
      <c r="AW10" s="149">
        <f>IF(OR($B10="",$B10=0),"",$I10*$C10*(1+'Property Summary'!$L$21)^('MF CapEx'!AW$3-1))</f>
        <v>1747.8720000000001</v>
      </c>
      <c r="AX10" s="149">
        <f>IF(OR($B10="",$B10=0),"",$I10*$C10*(1+'Property Summary'!$L$21)^('MF CapEx'!AX$3-1))</f>
        <v>1747.8720000000001</v>
      </c>
      <c r="AY10" s="149">
        <f>IF(OR($B10="",$B10=0),"",$I10*$C10*(1+'Property Summary'!$L$21)^('MF CapEx'!AY$3-1))</f>
        <v>1747.8720000000001</v>
      </c>
      <c r="AZ10" s="149">
        <f>IF(OR($B10="",$B10=0),"",$I10*$C10*(1+'Property Summary'!$L$21)^('MF CapEx'!AZ$3-1))</f>
        <v>1747.8720000000001</v>
      </c>
      <c r="BA10" s="149">
        <f>IF(OR($B10="",$B10=0),"",$I10*$C10*(1+'Property Summary'!$L$21)^('MF CapEx'!BA$3-1))</f>
        <v>1747.8720000000001</v>
      </c>
      <c r="BB10" s="149">
        <f>IF(OR($B10="",$B10=0),"",$I10*$C10*(1+'Property Summary'!$L$21)^('MF CapEx'!BB$3-1))</f>
        <v>1747.8720000000001</v>
      </c>
      <c r="BC10" s="149">
        <f>IF(OR($B10="",$B10=0),"",$I10*$C10*(1+'Property Summary'!$L$21)^('MF CapEx'!BC$3-1))</f>
        <v>1782.82944</v>
      </c>
      <c r="BD10" s="149">
        <f>IF(OR($B10="",$B10=0),"",$I10*$C10*(1+'Property Summary'!$L$21)^('MF CapEx'!BD$3-1))</f>
        <v>1782.82944</v>
      </c>
      <c r="BE10" s="149">
        <f>IF(OR($B10="",$B10=0),"",$I10*$C10*(1+'Property Summary'!$L$21)^('MF CapEx'!BE$3-1))</f>
        <v>1782.82944</v>
      </c>
      <c r="BF10" s="149">
        <f>IF(OR($B10="",$B10=0),"",$I10*$C10*(1+'Property Summary'!$L$21)^('MF CapEx'!BF$3-1))</f>
        <v>1782.82944</v>
      </c>
      <c r="BG10" s="149">
        <f>IF(OR($B10="",$B10=0),"",$I10*$C10*(1+'Property Summary'!$L$21)^('MF CapEx'!BG$3-1))</f>
        <v>1782.82944</v>
      </c>
      <c r="BH10" s="149">
        <f>IF(OR($B10="",$B10=0),"",$I10*$C10*(1+'Property Summary'!$L$21)^('MF CapEx'!BH$3-1))</f>
        <v>1782.82944</v>
      </c>
      <c r="BI10" s="149">
        <f>IF(OR($B10="",$B10=0),"",$I10*$C10*(1+'Property Summary'!$L$21)^('MF CapEx'!BI$3-1))</f>
        <v>1782.82944</v>
      </c>
      <c r="BJ10" s="149">
        <f>IF(OR($B10="",$B10=0),"",$I10*$C10*(1+'Property Summary'!$L$21)^('MF CapEx'!BJ$3-1))</f>
        <v>1782.82944</v>
      </c>
      <c r="BK10" s="149">
        <f>IF(OR($B10="",$B10=0),"",$I10*$C10*(1+'Property Summary'!$L$21)^('MF CapEx'!BK$3-1))</f>
        <v>1782.82944</v>
      </c>
      <c r="BL10" s="149">
        <f>IF(OR($B10="",$B10=0),"",$I10*$C10*(1+'Property Summary'!$L$21)^('MF CapEx'!BL$3-1))</f>
        <v>1782.82944</v>
      </c>
      <c r="BM10" s="149">
        <f>IF(OR($B10="",$B10=0),"",$I10*$C10*(1+'Property Summary'!$L$21)^('MF CapEx'!BM$3-1))</f>
        <v>1782.82944</v>
      </c>
      <c r="BN10" s="149">
        <f>IF(OR($B10="",$B10=0),"",$I10*$C10*(1+'Property Summary'!$L$21)^('MF CapEx'!BN$3-1))</f>
        <v>1782.82944</v>
      </c>
      <c r="BO10" s="149">
        <f>IF(OR($B10="",$B10=0),"",$I10*$C10*(1+'Property Summary'!$L$21)^('MF CapEx'!BO$3-1))</f>
        <v>1818.4860288</v>
      </c>
      <c r="BP10" s="149">
        <f>IF(OR($B10="",$B10=0),"",$I10*$C10*(1+'Property Summary'!$L$21)^('MF CapEx'!BP$3-1))</f>
        <v>1818.4860288</v>
      </c>
      <c r="BQ10" s="149">
        <f>IF(OR($B10="",$B10=0),"",$I10*$C10*(1+'Property Summary'!$L$21)^('MF CapEx'!BQ$3-1))</f>
        <v>1818.4860288</v>
      </c>
      <c r="BR10" s="149">
        <f>IF(OR($B10="",$B10=0),"",$I10*$C10*(1+'Property Summary'!$L$21)^('MF CapEx'!BR$3-1))</f>
        <v>1818.4860288</v>
      </c>
      <c r="BS10" s="149">
        <f>IF(OR($B10="",$B10=0),"",$I10*$C10*(1+'Property Summary'!$L$21)^('MF CapEx'!BS$3-1))</f>
        <v>1818.4860288</v>
      </c>
      <c r="BT10" s="149">
        <f>IF(OR($B10="",$B10=0),"",$I10*$C10*(1+'Property Summary'!$L$21)^('MF CapEx'!BT$3-1))</f>
        <v>1818.4860288</v>
      </c>
      <c r="BU10" s="149">
        <f>IF(OR($B10="",$B10=0),"",$I10*$C10*(1+'Property Summary'!$L$21)^('MF CapEx'!BU$3-1))</f>
        <v>1818.4860288</v>
      </c>
      <c r="BV10" s="149">
        <f>IF(OR($B10="",$B10=0),"",$I10*$C10*(1+'Property Summary'!$L$21)^('MF CapEx'!BV$3-1))</f>
        <v>1818.4860288</v>
      </c>
      <c r="BW10" s="149">
        <f>IF(OR($B10="",$B10=0),"",$I10*$C10*(1+'Property Summary'!$L$21)^('MF CapEx'!BW$3-1))</f>
        <v>1818.4860288</v>
      </c>
      <c r="BX10" s="149">
        <f>IF(OR($B10="",$B10=0),"",$I10*$C10*(1+'Property Summary'!$L$21)^('MF CapEx'!BX$3-1))</f>
        <v>1818.4860288</v>
      </c>
      <c r="BY10" s="149">
        <f>IF(OR($B10="",$B10=0),"",$I10*$C10*(1+'Property Summary'!$L$21)^('MF CapEx'!BY$3-1))</f>
        <v>1818.4860288</v>
      </c>
      <c r="BZ10" s="149">
        <f>IF(OR($B10="",$B10=0),"",$I10*$C10*(1+'Property Summary'!$L$21)^('MF CapEx'!BZ$3-1))</f>
        <v>1818.4860288</v>
      </c>
      <c r="CA10" s="149">
        <f>IF(OR($B10="",$B10=0),"",$I10*$C10*(1+'Property Summary'!$L$21)^('MF CapEx'!CA$3-1))</f>
        <v>1854.8557493759999</v>
      </c>
      <c r="CB10" s="149">
        <f>IF(OR($B10="",$B10=0),"",$I10*$C10*(1+'Property Summary'!$L$21)^('MF CapEx'!CB$3-1))</f>
        <v>1854.8557493759999</v>
      </c>
      <c r="CC10" s="149">
        <f>IF(OR($B10="",$B10=0),"",$I10*$C10*(1+'Property Summary'!$L$21)^('MF CapEx'!CC$3-1))</f>
        <v>1854.8557493759999</v>
      </c>
      <c r="CD10" s="149">
        <f>IF(OR($B10="",$B10=0),"",$I10*$C10*(1+'Property Summary'!$L$21)^('MF CapEx'!CD$3-1))</f>
        <v>1854.8557493759999</v>
      </c>
      <c r="CE10" s="149">
        <f>IF(OR($B10="",$B10=0),"",$I10*$C10*(1+'Property Summary'!$L$21)^('MF CapEx'!CE$3-1))</f>
        <v>1854.8557493759999</v>
      </c>
      <c r="CF10" s="149">
        <f>IF(OR($B10="",$B10=0),"",$I10*$C10*(1+'Property Summary'!$L$21)^('MF CapEx'!CF$3-1))</f>
        <v>1854.8557493759999</v>
      </c>
      <c r="CG10" s="149">
        <f>IF(OR($B10="",$B10=0),"",$I10*$C10*(1+'Property Summary'!$L$21)^('MF CapEx'!CG$3-1))</f>
        <v>1854.8557493759999</v>
      </c>
      <c r="CH10" s="149">
        <f>IF(OR($B10="",$B10=0),"",$I10*$C10*(1+'Property Summary'!$L$21)^('MF CapEx'!CH$3-1))</f>
        <v>1854.8557493759999</v>
      </c>
      <c r="CI10" s="149">
        <f>IF(OR($B10="",$B10=0),"",$I10*$C10*(1+'Property Summary'!$L$21)^('MF CapEx'!CI$3-1))</f>
        <v>1854.8557493759999</v>
      </c>
      <c r="CJ10" s="149">
        <f>IF(OR($B10="",$B10=0),"",$I10*$C10*(1+'Property Summary'!$L$21)^('MF CapEx'!CJ$3-1))</f>
        <v>1854.8557493759999</v>
      </c>
      <c r="CK10" s="149">
        <f>IF(OR($B10="",$B10=0),"",$I10*$C10*(1+'Property Summary'!$L$21)^('MF CapEx'!CK$3-1))</f>
        <v>1854.8557493759999</v>
      </c>
      <c r="CL10" s="149">
        <f>IF(OR($B10="",$B10=0),"",$I10*$C10*(1+'Property Summary'!$L$21)^('MF CapEx'!CL$3-1))</f>
        <v>1854.8557493759999</v>
      </c>
      <c r="CM10" s="149">
        <f>IF(OR($B10="",$B10=0),"",$I10*$C10*(1+'Property Summary'!$L$21)^('MF CapEx'!CM$3-1))</f>
        <v>1891.9528643635201</v>
      </c>
      <c r="CN10" s="149">
        <f>IF(OR($B10="",$B10=0),"",$I10*$C10*(1+'Property Summary'!$L$21)^('MF CapEx'!CN$3-1))</f>
        <v>1891.9528643635201</v>
      </c>
      <c r="CO10" s="149">
        <f>IF(OR($B10="",$B10=0),"",$I10*$C10*(1+'Property Summary'!$L$21)^('MF CapEx'!CO$3-1))</f>
        <v>1891.9528643635201</v>
      </c>
      <c r="CP10" s="149">
        <f>IF(OR($B10="",$B10=0),"",$I10*$C10*(1+'Property Summary'!$L$21)^('MF CapEx'!CP$3-1))</f>
        <v>1891.9528643635201</v>
      </c>
      <c r="CQ10" s="149">
        <f>IF(OR($B10="",$B10=0),"",$I10*$C10*(1+'Property Summary'!$L$21)^('MF CapEx'!CQ$3-1))</f>
        <v>1891.9528643635201</v>
      </c>
      <c r="CR10" s="149">
        <f>IF(OR($B10="",$B10=0),"",$I10*$C10*(1+'Property Summary'!$L$21)^('MF CapEx'!CR$3-1))</f>
        <v>1891.9528643635201</v>
      </c>
      <c r="CS10" s="149">
        <f>IF(OR($B10="",$B10=0),"",$I10*$C10*(1+'Property Summary'!$L$21)^('MF CapEx'!CS$3-1))</f>
        <v>1891.9528643635201</v>
      </c>
      <c r="CT10" s="149">
        <f>IF(OR($B10="",$B10=0),"",$I10*$C10*(1+'Property Summary'!$L$21)^('MF CapEx'!CT$3-1))</f>
        <v>1891.9528643635201</v>
      </c>
      <c r="CU10" s="149">
        <f>IF(OR($B10="",$B10=0),"",$I10*$C10*(1+'Property Summary'!$L$21)^('MF CapEx'!CU$3-1))</f>
        <v>1891.9528643635201</v>
      </c>
      <c r="CV10" s="149">
        <f>IF(OR($B10="",$B10=0),"",$I10*$C10*(1+'Property Summary'!$L$21)^('MF CapEx'!CV$3-1))</f>
        <v>1891.9528643635201</v>
      </c>
      <c r="CW10" s="149">
        <f>IF(OR($B10="",$B10=0),"",$I10*$C10*(1+'Property Summary'!$L$21)^('MF CapEx'!CW$3-1))</f>
        <v>1891.9528643635201</v>
      </c>
      <c r="CX10" s="149">
        <f>IF(OR($B10="",$B10=0),"",$I10*$C10*(1+'Property Summary'!$L$21)^('MF CapEx'!CX$3-1))</f>
        <v>1891.9528643635201</v>
      </c>
      <c r="CY10" s="149">
        <f>IF(OR($B10="",$B10=0),"",$I10*$C10*(1+'Property Summary'!$L$21)^('MF CapEx'!CY$3-1))</f>
        <v>1929.7919216507901</v>
      </c>
      <c r="CZ10" s="149">
        <f>IF(OR($B10="",$B10=0),"",$I10*$C10*(1+'Property Summary'!$L$21)^('MF CapEx'!CZ$3-1))</f>
        <v>1929.7919216507901</v>
      </c>
      <c r="DA10" s="149">
        <f>IF(OR($B10="",$B10=0),"",$I10*$C10*(1+'Property Summary'!$L$21)^('MF CapEx'!DA$3-1))</f>
        <v>1929.7919216507901</v>
      </c>
      <c r="DB10" s="149">
        <f>IF(OR($B10="",$B10=0),"",$I10*$C10*(1+'Property Summary'!$L$21)^('MF CapEx'!DB$3-1))</f>
        <v>1929.7919216507901</v>
      </c>
      <c r="DC10" s="149">
        <f>IF(OR($B10="",$B10=0),"",$I10*$C10*(1+'Property Summary'!$L$21)^('MF CapEx'!DC$3-1))</f>
        <v>1929.7919216507901</v>
      </c>
      <c r="DD10" s="149">
        <f>IF(OR($B10="",$B10=0),"",$I10*$C10*(1+'Property Summary'!$L$21)^('MF CapEx'!DD$3-1))</f>
        <v>1929.7919216507901</v>
      </c>
      <c r="DE10" s="149">
        <f>IF(OR($B10="",$B10=0),"",$I10*$C10*(1+'Property Summary'!$L$21)^('MF CapEx'!DE$3-1))</f>
        <v>1929.7919216507901</v>
      </c>
      <c r="DF10" s="149">
        <f>IF(OR($B10="",$B10=0),"",$I10*$C10*(1+'Property Summary'!$L$21)^('MF CapEx'!DF$3-1))</f>
        <v>1929.7919216507901</v>
      </c>
      <c r="DG10" s="149">
        <f>IF(OR($B10="",$B10=0),"",$I10*$C10*(1+'Property Summary'!$L$21)^('MF CapEx'!DG$3-1))</f>
        <v>1929.7919216507901</v>
      </c>
      <c r="DH10" s="149">
        <f>IF(OR($B10="",$B10=0),"",$I10*$C10*(1+'Property Summary'!$L$21)^('MF CapEx'!DH$3-1))</f>
        <v>1929.7919216507901</v>
      </c>
      <c r="DI10" s="149">
        <f>IF(OR($B10="",$B10=0),"",$I10*$C10*(1+'Property Summary'!$L$21)^('MF CapEx'!DI$3-1))</f>
        <v>1929.7919216507901</v>
      </c>
      <c r="DJ10" s="149">
        <f>IF(OR($B10="",$B10=0),"",$I10*$C10*(1+'Property Summary'!$L$21)^('MF CapEx'!DJ$3-1))</f>
        <v>1929.7919216507901</v>
      </c>
      <c r="DK10" s="149">
        <f>IF(OR($B10="",$B10=0),"",$I10*$C10*(1+'Property Summary'!$L$21)^('MF CapEx'!DK$3-1))</f>
        <v>1968.3877600838061</v>
      </c>
      <c r="DL10" s="149">
        <f>IF(OR($B10="",$B10=0),"",$I10*$C10*(1+'Property Summary'!$L$21)^('MF CapEx'!DL$3-1))</f>
        <v>1968.3877600838061</v>
      </c>
      <c r="DM10" s="149">
        <f>IF(OR($B10="",$B10=0),"",$I10*$C10*(1+'Property Summary'!$L$21)^('MF CapEx'!DM$3-1))</f>
        <v>1968.3877600838061</v>
      </c>
      <c r="DN10" s="149">
        <f>IF(OR($B10="",$B10=0),"",$I10*$C10*(1+'Property Summary'!$L$21)^('MF CapEx'!DN$3-1))</f>
        <v>1968.3877600838061</v>
      </c>
      <c r="DO10" s="149">
        <f>IF(OR($B10="",$B10=0),"",$I10*$C10*(1+'Property Summary'!$L$21)^('MF CapEx'!DO$3-1))</f>
        <v>1968.3877600838061</v>
      </c>
      <c r="DP10" s="149">
        <f>IF(OR($B10="",$B10=0),"",$I10*$C10*(1+'Property Summary'!$L$21)^('MF CapEx'!DP$3-1))</f>
        <v>1968.3877600838061</v>
      </c>
      <c r="DQ10" s="149">
        <f>IF(OR($B10="",$B10=0),"",$I10*$C10*(1+'Property Summary'!$L$21)^('MF CapEx'!DQ$3-1))</f>
        <v>1968.3877600838061</v>
      </c>
      <c r="DR10" s="149">
        <f>IF(OR($B10="",$B10=0),"",$I10*$C10*(1+'Property Summary'!$L$21)^('MF CapEx'!DR$3-1))</f>
        <v>1968.3877600838061</v>
      </c>
      <c r="DS10" s="149">
        <f>IF(OR($B10="",$B10=0),"",$I10*$C10*(1+'Property Summary'!$L$21)^('MF CapEx'!DS$3-1))</f>
        <v>1968.3877600838061</v>
      </c>
      <c r="DT10" s="149">
        <f>IF(OR($B10="",$B10=0),"",$I10*$C10*(1+'Property Summary'!$L$21)^('MF CapEx'!DT$3-1))</f>
        <v>1968.3877600838061</v>
      </c>
      <c r="DU10" s="149">
        <f>IF(OR($B10="",$B10=0),"",$I10*$C10*(1+'Property Summary'!$L$21)^('MF CapEx'!DU$3-1))</f>
        <v>1968.3877600838061</v>
      </c>
      <c r="DV10" s="149">
        <f>IF(OR($B10="",$B10=0),"",$I10*$C10*(1+'Property Summary'!$L$21)^('MF CapEx'!DV$3-1))</f>
        <v>1968.3877600838061</v>
      </c>
      <c r="DW10" s="149">
        <f>IF(OR($B10="",$B10=0),"",$I10*$C10*(1+'Property Summary'!$L$21)^('MF CapEx'!DW$3-1))</f>
        <v>2007.7555152854823</v>
      </c>
      <c r="DX10" s="149">
        <f>IF(OR($B10="",$B10=0),"",$I10*$C10*(1+'Property Summary'!$L$21)^('MF CapEx'!DX$3-1))</f>
        <v>2007.7555152854823</v>
      </c>
      <c r="DY10" s="149">
        <f>IF(OR($B10="",$B10=0),"",$I10*$C10*(1+'Property Summary'!$L$21)^('MF CapEx'!DY$3-1))</f>
        <v>2007.7555152854823</v>
      </c>
      <c r="DZ10" s="149">
        <f>IF(OR($B10="",$B10=0),"",$I10*$C10*(1+'Property Summary'!$L$21)^('MF CapEx'!DZ$3-1))</f>
        <v>2007.7555152854823</v>
      </c>
      <c r="EA10" s="149">
        <f>IF(OR($B10="",$B10=0),"",$I10*$C10*(1+'Property Summary'!$L$21)^('MF CapEx'!EA$3-1))</f>
        <v>2007.7555152854823</v>
      </c>
      <c r="EB10" s="149">
        <f>IF(OR($B10="",$B10=0),"",$I10*$C10*(1+'Property Summary'!$L$21)^('MF CapEx'!EB$3-1))</f>
        <v>2007.7555152854823</v>
      </c>
      <c r="EC10" s="149">
        <f>IF(OR($B10="",$B10=0),"",$I10*$C10*(1+'Property Summary'!$L$21)^('MF CapEx'!EC$3-1))</f>
        <v>2007.7555152854823</v>
      </c>
      <c r="ED10" s="149">
        <f>IF(OR($B10="",$B10=0),"",$I10*$C10*(1+'Property Summary'!$L$21)^('MF CapEx'!ED$3-1))</f>
        <v>2007.7555152854823</v>
      </c>
      <c r="EE10" s="149">
        <f>IF(OR($B10="",$B10=0),"",$I10*$C10*(1+'Property Summary'!$L$21)^('MF CapEx'!EE$3-1))</f>
        <v>2007.7555152854823</v>
      </c>
      <c r="EF10" s="149">
        <f>IF(OR($B10="",$B10=0),"",$I10*$C10*(1+'Property Summary'!$L$21)^('MF CapEx'!EF$3-1))</f>
        <v>2007.7555152854823</v>
      </c>
      <c r="EG10" s="149">
        <f>IF(OR($B10="",$B10=0),"",$I10*$C10*(1+'Property Summary'!$L$21)^('MF CapEx'!EG$3-1))</f>
        <v>2007.7555152854823</v>
      </c>
      <c r="EH10" s="149">
        <f>IF(OR($B10="",$B10=0),"",$I10*$C10*(1+'Property Summary'!$L$21)^('MF CapEx'!EH$3-1))</f>
        <v>2007.7555152854823</v>
      </c>
      <c r="EI10" s="149">
        <f>IF(OR($B10="",$B10=0),"",$I10*$C10*(1+'Property Summary'!$L$21)^('MF CapEx'!EI$3-1))</f>
        <v>2047.910625591192</v>
      </c>
      <c r="EJ10" s="149">
        <f>IF(OR($B10="",$B10=0),"",$I10*$C10*(1+'Property Summary'!$L$21)^('MF CapEx'!EJ$3-1))</f>
        <v>2047.910625591192</v>
      </c>
      <c r="EK10" s="149">
        <f>IF(OR($B10="",$B10=0),"",$I10*$C10*(1+'Property Summary'!$L$21)^('MF CapEx'!EK$3-1))</f>
        <v>2047.910625591192</v>
      </c>
      <c r="EL10" s="149">
        <f>IF(OR($B10="",$B10=0),"",$I10*$C10*(1+'Property Summary'!$L$21)^('MF CapEx'!EL$3-1))</f>
        <v>2047.910625591192</v>
      </c>
      <c r="EM10" s="149">
        <f>IF(OR($B10="",$B10=0),"",$I10*$C10*(1+'Property Summary'!$L$21)^('MF CapEx'!EM$3-1))</f>
        <v>2047.910625591192</v>
      </c>
      <c r="EN10" s="149">
        <f>IF(OR($B10="",$B10=0),"",$I10*$C10*(1+'Property Summary'!$L$21)^('MF CapEx'!EN$3-1))</f>
        <v>2047.910625591192</v>
      </c>
      <c r="EO10" s="149">
        <f>IF(OR($B10="",$B10=0),"",$I10*$C10*(1+'Property Summary'!$L$21)^('MF CapEx'!EO$3-1))</f>
        <v>2047.910625591192</v>
      </c>
      <c r="EP10" s="149">
        <f>IF(OR($B10="",$B10=0),"",$I10*$C10*(1+'Property Summary'!$L$21)^('MF CapEx'!EP$3-1))</f>
        <v>2047.910625591192</v>
      </c>
      <c r="EQ10" s="149">
        <f>IF(OR($B10="",$B10=0),"",$I10*$C10*(1+'Property Summary'!$L$21)^('MF CapEx'!EQ$3-1))</f>
        <v>2047.910625591192</v>
      </c>
      <c r="ER10" s="149">
        <f>IF(OR($B10="",$B10=0),"",$I10*$C10*(1+'Property Summary'!$L$21)^('MF CapEx'!ER$3-1))</f>
        <v>2047.910625591192</v>
      </c>
      <c r="ES10" s="149">
        <f>IF(OR($B10="",$B10=0),"",$I10*$C10*(1+'Property Summary'!$L$21)^('MF CapEx'!ES$3-1))</f>
        <v>2047.910625591192</v>
      </c>
      <c r="ET10" s="149">
        <f>IF(OR($B10="",$B10=0),"",$I10*$C10*(1+'Property Summary'!$L$21)^('MF CapEx'!ET$3-1))</f>
        <v>2047.910625591192</v>
      </c>
      <c r="EU10" s="149">
        <f>IF(OR($B10="",$B10=0),"",$I10*$C10*(1+'Property Summary'!$L$21)^('MF CapEx'!EU$3-1))</f>
        <v>2088.8688381030156</v>
      </c>
      <c r="EV10" s="149">
        <f>IF(OR($B10="",$B10=0),"",$I10*$C10*(1+'Property Summary'!$L$21)^('MF CapEx'!EV$3-1))</f>
        <v>2088.8688381030156</v>
      </c>
      <c r="EW10" s="149">
        <f>IF(OR($B10="",$B10=0),"",$I10*$C10*(1+'Property Summary'!$L$21)^('MF CapEx'!EW$3-1))</f>
        <v>2088.8688381030156</v>
      </c>
      <c r="EX10" s="149">
        <f>IF(OR($B10="",$B10=0),"",$I10*$C10*(1+'Property Summary'!$L$21)^('MF CapEx'!EX$3-1))</f>
        <v>2088.8688381030156</v>
      </c>
      <c r="EY10" s="149">
        <f>IF(OR($B10="",$B10=0),"",$I10*$C10*(1+'Property Summary'!$L$21)^('MF CapEx'!EY$3-1))</f>
        <v>2088.8688381030156</v>
      </c>
      <c r="EZ10" s="149">
        <f>IF(OR($B10="",$B10=0),"",$I10*$C10*(1+'Property Summary'!$L$21)^('MF CapEx'!EZ$3-1))</f>
        <v>2088.8688381030156</v>
      </c>
      <c r="FA10" s="149">
        <f>IF(OR($B10="",$B10=0),"",$I10*$C10*(1+'Property Summary'!$L$21)^('MF CapEx'!FA$3-1))</f>
        <v>2088.8688381030156</v>
      </c>
      <c r="FB10" s="149">
        <f>IF(OR($B10="",$B10=0),"",$I10*$C10*(1+'Property Summary'!$L$21)^('MF CapEx'!FB$3-1))</f>
        <v>2088.8688381030156</v>
      </c>
      <c r="FC10" s="149">
        <f>IF(OR($B10="",$B10=0),"",$I10*$C10*(1+'Property Summary'!$L$21)^('MF CapEx'!FC$3-1))</f>
        <v>2088.8688381030156</v>
      </c>
      <c r="FD10" s="149">
        <f>IF(OR($B10="",$B10=0),"",$I10*$C10*(1+'Property Summary'!$L$21)^('MF CapEx'!FD$3-1))</f>
        <v>2088.8688381030156</v>
      </c>
      <c r="FE10" s="149">
        <f>IF(OR($B10="",$B10=0),"",$I10*$C10*(1+'Property Summary'!$L$21)^('MF CapEx'!FE$3-1))</f>
        <v>2088.8688381030156</v>
      </c>
      <c r="FF10" s="149">
        <f>IF(OR($B10="",$B10=0),"",$I10*$C10*(1+'Property Summary'!$L$21)^('MF CapEx'!FF$3-1))</f>
        <v>2088.8688381030156</v>
      </c>
      <c r="FG10" s="149">
        <f>IF(OR($B10="",$B10=0),"",$I10*$C10*(1+'Property Summary'!$L$21)^('MF CapEx'!FG$3-1))</f>
        <v>2130.6462148650762</v>
      </c>
      <c r="FH10" s="149">
        <f>IF(OR($B10="",$B10=0),"",$I10*$C10*(1+'Property Summary'!$L$21)^('MF CapEx'!FH$3-1))</f>
        <v>2130.6462148650762</v>
      </c>
      <c r="FI10" s="149">
        <f>IF(OR($B10="",$B10=0),"",$I10*$C10*(1+'Property Summary'!$L$21)^('MF CapEx'!FI$3-1))</f>
        <v>2130.6462148650762</v>
      </c>
      <c r="FJ10" s="149">
        <f>IF(OR($B10="",$B10=0),"",$I10*$C10*(1+'Property Summary'!$L$21)^('MF CapEx'!FJ$3-1))</f>
        <v>2130.6462148650762</v>
      </c>
      <c r="FK10" s="149">
        <f>IF(OR($B10="",$B10=0),"",$I10*$C10*(1+'Property Summary'!$L$21)^('MF CapEx'!FK$3-1))</f>
        <v>2130.6462148650762</v>
      </c>
      <c r="FL10" s="149">
        <f>IF(OR($B10="",$B10=0),"",$I10*$C10*(1+'Property Summary'!$L$21)^('MF CapEx'!FL$3-1))</f>
        <v>2130.6462148650762</v>
      </c>
      <c r="FM10" s="149">
        <f>IF(OR($B10="",$B10=0),"",$I10*$C10*(1+'Property Summary'!$L$21)^('MF CapEx'!FM$3-1))</f>
        <v>2130.6462148650762</v>
      </c>
      <c r="FN10" s="149">
        <f>IF(OR($B10="",$B10=0),"",$I10*$C10*(1+'Property Summary'!$L$21)^('MF CapEx'!FN$3-1))</f>
        <v>2130.6462148650762</v>
      </c>
      <c r="FO10" s="149">
        <f>IF(OR($B10="",$B10=0),"",$I10*$C10*(1+'Property Summary'!$L$21)^('MF CapEx'!FO$3-1))</f>
        <v>2130.6462148650762</v>
      </c>
      <c r="FP10" s="149">
        <f>IF(OR($B10="",$B10=0),"",$I10*$C10*(1+'Property Summary'!$L$21)^('MF CapEx'!FP$3-1))</f>
        <v>2130.6462148650762</v>
      </c>
      <c r="FQ10" s="149">
        <f>IF(OR($B10="",$B10=0),"",$I10*$C10*(1+'Property Summary'!$L$21)^('MF CapEx'!FQ$3-1))</f>
        <v>2130.6462148650762</v>
      </c>
      <c r="FR10" s="149">
        <f>IF(OR($B10="",$B10=0),"",$I10*$C10*(1+'Property Summary'!$L$21)^('MF CapEx'!FR$3-1))</f>
        <v>2130.6462148650762</v>
      </c>
      <c r="FS10" s="149">
        <f>IF(OR($B10="",$B10=0),"",$I10*$C10*(1+'Property Summary'!$L$21)^('MF CapEx'!FS$3-1))</f>
        <v>2173.2591391623773</v>
      </c>
      <c r="FT10" s="149">
        <f>IF(OR($B10="",$B10=0),"",$I10*$C10*(1+'Property Summary'!$L$21)^('MF CapEx'!FT$3-1))</f>
        <v>2173.2591391623773</v>
      </c>
      <c r="FU10" s="149">
        <f>IF(OR($B10="",$B10=0),"",$I10*$C10*(1+'Property Summary'!$L$21)^('MF CapEx'!FU$3-1))</f>
        <v>2173.2591391623773</v>
      </c>
      <c r="FV10" s="149">
        <f>IF(OR($B10="",$B10=0),"",$I10*$C10*(1+'Property Summary'!$L$21)^('MF CapEx'!FV$3-1))</f>
        <v>2173.2591391623773</v>
      </c>
      <c r="FW10" s="149">
        <f>IF(OR($B10="",$B10=0),"",$I10*$C10*(1+'Property Summary'!$L$21)^('MF CapEx'!FW$3-1))</f>
        <v>2173.2591391623773</v>
      </c>
      <c r="FX10" s="149">
        <f>IF(OR($B10="",$B10=0),"",$I10*$C10*(1+'Property Summary'!$L$21)^('MF CapEx'!FX$3-1))</f>
        <v>2173.2591391623773</v>
      </c>
      <c r="FY10" s="149">
        <f>IF(OR($B10="",$B10=0),"",$I10*$C10*(1+'Property Summary'!$L$21)^('MF CapEx'!FY$3-1))</f>
        <v>2173.2591391623773</v>
      </c>
      <c r="FZ10" s="149">
        <f>IF(OR($B10="",$B10=0),"",$I10*$C10*(1+'Property Summary'!$L$21)^('MF CapEx'!FZ$3-1))</f>
        <v>2173.2591391623773</v>
      </c>
      <c r="GA10" s="149">
        <f>IF(OR($B10="",$B10=0),"",$I10*$C10*(1+'Property Summary'!$L$21)^('MF CapEx'!GA$3-1))</f>
        <v>2173.2591391623773</v>
      </c>
      <c r="GB10" s="149">
        <f>IF(OR($B10="",$B10=0),"",$I10*$C10*(1+'Property Summary'!$L$21)^('MF CapEx'!GB$3-1))</f>
        <v>2173.2591391623773</v>
      </c>
      <c r="GC10" s="149">
        <f>IF(OR($B10="",$B10=0),"",$I10*$C10*(1+'Property Summary'!$L$21)^('MF CapEx'!GC$3-1))</f>
        <v>2173.2591391623773</v>
      </c>
      <c r="GD10" s="149">
        <f>IF(OR($B10="",$B10=0),"",$I10*$C10*(1+'Property Summary'!$L$21)^('MF CapEx'!GD$3-1))</f>
        <v>2173.2591391623773</v>
      </c>
      <c r="GE10" s="149">
        <f>IF(OR($B10="",$B10=0),"",$I10*$C10*(1+'Property Summary'!$L$21)^('MF CapEx'!GE$3-1))</f>
        <v>2216.7243219456254</v>
      </c>
      <c r="GF10" s="149">
        <f>IF(OR($B10="",$B10=0),"",$I10*$C10*(1+'Property Summary'!$L$21)^('MF CapEx'!GF$3-1))</f>
        <v>2216.7243219456254</v>
      </c>
      <c r="GG10" s="149">
        <f>IF(OR($B10="",$B10=0),"",$I10*$C10*(1+'Property Summary'!$L$21)^('MF CapEx'!GG$3-1))</f>
        <v>2216.7243219456254</v>
      </c>
      <c r="GH10" s="149">
        <f>IF(OR($B10="",$B10=0),"",$I10*$C10*(1+'Property Summary'!$L$21)^('MF CapEx'!GH$3-1))</f>
        <v>2216.7243219456254</v>
      </c>
      <c r="GI10" s="149">
        <f>IF(OR($B10="",$B10=0),"",$I10*$C10*(1+'Property Summary'!$L$21)^('MF CapEx'!GI$3-1))</f>
        <v>2216.7243219456254</v>
      </c>
      <c r="GJ10" s="149">
        <f>IF(OR($B10="",$B10=0),"",$I10*$C10*(1+'Property Summary'!$L$21)^('MF CapEx'!GJ$3-1))</f>
        <v>2216.7243219456254</v>
      </c>
      <c r="GK10" s="149">
        <f>IF(OR($B10="",$B10=0),"",$I10*$C10*(1+'Property Summary'!$L$21)^('MF CapEx'!GK$3-1))</f>
        <v>2216.7243219456254</v>
      </c>
      <c r="GL10" s="149">
        <f>IF(OR($B10="",$B10=0),"",$I10*$C10*(1+'Property Summary'!$L$21)^('MF CapEx'!GL$3-1))</f>
        <v>2216.7243219456254</v>
      </c>
      <c r="GM10" s="149">
        <f>IF(OR($B10="",$B10=0),"",$I10*$C10*(1+'Property Summary'!$L$21)^('MF CapEx'!GM$3-1))</f>
        <v>2216.7243219456254</v>
      </c>
      <c r="GN10" s="149">
        <f>IF(OR($B10="",$B10=0),"",$I10*$C10*(1+'Property Summary'!$L$21)^('MF CapEx'!GN$3-1))</f>
        <v>2216.7243219456254</v>
      </c>
      <c r="GO10" s="149">
        <f>IF(OR($B10="",$B10=0),"",$I10*$C10*(1+'Property Summary'!$L$21)^('MF CapEx'!GO$3-1))</f>
        <v>2216.7243219456254</v>
      </c>
      <c r="GP10" s="149">
        <f>IF(OR($B10="",$B10=0),"",$I10*$C10*(1+'Property Summary'!$L$21)^('MF CapEx'!GP$3-1))</f>
        <v>2216.7243219456254</v>
      </c>
    </row>
    <row r="11" spans="2:198" x14ac:dyDescent="0.3">
      <c r="B11" s="184">
        <f>'MF Rent Roll'!B10</f>
        <v>0</v>
      </c>
      <c r="C11" s="171">
        <f>'MF Rent Roll'!C10</f>
        <v>0</v>
      </c>
      <c r="D11" s="172">
        <f>'MF Rent Roll'!D10</f>
        <v>0</v>
      </c>
      <c r="E11" s="172">
        <f>'MF Rent Roll'!E10</f>
        <v>0</v>
      </c>
      <c r="F11" s="173">
        <f>'MF Rent Roll'!F10</f>
        <v>0</v>
      </c>
      <c r="G11" s="174">
        <f>'MF Rent Roll'!G10</f>
        <v>0</v>
      </c>
      <c r="H11" s="176">
        <f>'MF Rent Roll'!J10</f>
        <v>0</v>
      </c>
      <c r="I11" s="174">
        <f>'MF Rent Roll'!K10</f>
        <v>0</v>
      </c>
      <c r="J11" s="177">
        <f>'MF Rent Roll'!L10</f>
        <v>0</v>
      </c>
      <c r="K11" s="178">
        <f>'MF Rent Roll'!M10</f>
        <v>0</v>
      </c>
      <c r="L11" s="174">
        <f>'MF Rent Roll'!N10</f>
        <v>0</v>
      </c>
      <c r="M11" s="179">
        <f>'MF Rent Roll'!O10</f>
        <v>0</v>
      </c>
      <c r="N11" s="180" t="str">
        <f>'MF Rent Roll'!P10</f>
        <v/>
      </c>
      <c r="O11" s="181" t="str">
        <f>'MF Rent Roll'!Q10</f>
        <v/>
      </c>
      <c r="P11" s="104" t="str">
        <f>'MF Rent Roll'!R10</f>
        <v/>
      </c>
      <c r="S11" s="149" t="str">
        <f>IF(OR($B11="",$B11=0),"",$I11*$C11*(1+'Property Summary'!$L$21)^('MF CapEx'!S$3-1))</f>
        <v/>
      </c>
      <c r="T11" s="149" t="str">
        <f>IF(OR($B11="",$B11=0),"",$I11*$C11*(1+'Property Summary'!$L$21)^('MF CapEx'!T$3-1))</f>
        <v/>
      </c>
      <c r="U11" s="149" t="str">
        <f>IF(OR($B11="",$B11=0),"",$I11*$C11*(1+'Property Summary'!$L$21)^('MF CapEx'!U$3-1))</f>
        <v/>
      </c>
      <c r="V11" s="149" t="str">
        <f>IF(OR($B11="",$B11=0),"",$I11*$C11*(1+'Property Summary'!$L$21)^('MF CapEx'!V$3-1))</f>
        <v/>
      </c>
      <c r="W11" s="149" t="str">
        <f>IF(OR($B11="",$B11=0),"",$I11*$C11*(1+'Property Summary'!$L$21)^('MF CapEx'!W$3-1))</f>
        <v/>
      </c>
      <c r="X11" s="149" t="str">
        <f>IF(OR($B11="",$B11=0),"",$I11*$C11*(1+'Property Summary'!$L$21)^('MF CapEx'!X$3-1))</f>
        <v/>
      </c>
      <c r="Y11" s="149" t="str">
        <f>IF(OR($B11="",$B11=0),"",$I11*$C11*(1+'Property Summary'!$L$21)^('MF CapEx'!Y$3-1))</f>
        <v/>
      </c>
      <c r="Z11" s="149" t="str">
        <f>IF(OR($B11="",$B11=0),"",$I11*$C11*(1+'Property Summary'!$L$21)^('MF CapEx'!Z$3-1))</f>
        <v/>
      </c>
      <c r="AA11" s="149" t="str">
        <f>IF(OR($B11="",$B11=0),"",$I11*$C11*(1+'Property Summary'!$L$21)^('MF CapEx'!AA$3-1))</f>
        <v/>
      </c>
      <c r="AB11" s="149" t="str">
        <f>IF(OR($B11="",$B11=0),"",$I11*$C11*(1+'Property Summary'!$L$21)^('MF CapEx'!AB$3-1))</f>
        <v/>
      </c>
      <c r="AC11" s="149" t="str">
        <f>IF(OR($B11="",$B11=0),"",$I11*$C11*(1+'Property Summary'!$L$21)^('MF CapEx'!AC$3-1))</f>
        <v/>
      </c>
      <c r="AD11" s="149" t="str">
        <f>IF(OR($B11="",$B11=0),"",$I11*$C11*(1+'Property Summary'!$L$21)^('MF CapEx'!AD$3-1))</f>
        <v/>
      </c>
      <c r="AE11" s="149" t="str">
        <f>IF(OR($B11="",$B11=0),"",$I11*$C11*(1+'Property Summary'!$L$21)^('MF CapEx'!AE$3-1))</f>
        <v/>
      </c>
      <c r="AF11" s="149" t="str">
        <f>IF(OR($B11="",$B11=0),"",$I11*$C11*(1+'Property Summary'!$L$21)^('MF CapEx'!AF$3-1))</f>
        <v/>
      </c>
      <c r="AG11" s="149" t="str">
        <f>IF(OR($B11="",$B11=0),"",$I11*$C11*(1+'Property Summary'!$L$21)^('MF CapEx'!AG$3-1))</f>
        <v/>
      </c>
      <c r="AH11" s="149" t="str">
        <f>IF(OR($B11="",$B11=0),"",$I11*$C11*(1+'Property Summary'!$L$21)^('MF CapEx'!AH$3-1))</f>
        <v/>
      </c>
      <c r="AI11" s="149" t="str">
        <f>IF(OR($B11="",$B11=0),"",$I11*$C11*(1+'Property Summary'!$L$21)^('MF CapEx'!AI$3-1))</f>
        <v/>
      </c>
      <c r="AJ11" s="149" t="str">
        <f>IF(OR($B11="",$B11=0),"",$I11*$C11*(1+'Property Summary'!$L$21)^('MF CapEx'!AJ$3-1))</f>
        <v/>
      </c>
      <c r="AK11" s="149" t="str">
        <f>IF(OR($B11="",$B11=0),"",$I11*$C11*(1+'Property Summary'!$L$21)^('MF CapEx'!AK$3-1))</f>
        <v/>
      </c>
      <c r="AL11" s="149" t="str">
        <f>IF(OR($B11="",$B11=0),"",$I11*$C11*(1+'Property Summary'!$L$21)^('MF CapEx'!AL$3-1))</f>
        <v/>
      </c>
      <c r="AM11" s="149" t="str">
        <f>IF(OR($B11="",$B11=0),"",$I11*$C11*(1+'Property Summary'!$L$21)^('MF CapEx'!AM$3-1))</f>
        <v/>
      </c>
      <c r="AN11" s="149" t="str">
        <f>IF(OR($B11="",$B11=0),"",$I11*$C11*(1+'Property Summary'!$L$21)^('MF CapEx'!AN$3-1))</f>
        <v/>
      </c>
      <c r="AO11" s="149" t="str">
        <f>IF(OR($B11="",$B11=0),"",$I11*$C11*(1+'Property Summary'!$L$21)^('MF CapEx'!AO$3-1))</f>
        <v/>
      </c>
      <c r="AP11" s="149" t="str">
        <f>IF(OR($B11="",$B11=0),"",$I11*$C11*(1+'Property Summary'!$L$21)^('MF CapEx'!AP$3-1))</f>
        <v/>
      </c>
      <c r="AQ11" s="149" t="str">
        <f>IF(OR($B11="",$B11=0),"",$I11*$C11*(1+'Property Summary'!$L$21)^('MF CapEx'!AQ$3-1))</f>
        <v/>
      </c>
      <c r="AR11" s="149" t="str">
        <f>IF(OR($B11="",$B11=0),"",$I11*$C11*(1+'Property Summary'!$L$21)^('MF CapEx'!AR$3-1))</f>
        <v/>
      </c>
      <c r="AS11" s="149" t="str">
        <f>IF(OR($B11="",$B11=0),"",$I11*$C11*(1+'Property Summary'!$L$21)^('MF CapEx'!AS$3-1))</f>
        <v/>
      </c>
      <c r="AT11" s="149" t="str">
        <f>IF(OR($B11="",$B11=0),"",$I11*$C11*(1+'Property Summary'!$L$21)^('MF CapEx'!AT$3-1))</f>
        <v/>
      </c>
      <c r="AU11" s="149" t="str">
        <f>IF(OR($B11="",$B11=0),"",$I11*$C11*(1+'Property Summary'!$L$21)^('MF CapEx'!AU$3-1))</f>
        <v/>
      </c>
      <c r="AV11" s="149" t="str">
        <f>IF(OR($B11="",$B11=0),"",$I11*$C11*(1+'Property Summary'!$L$21)^('MF CapEx'!AV$3-1))</f>
        <v/>
      </c>
      <c r="AW11" s="149" t="str">
        <f>IF(OR($B11="",$B11=0),"",$I11*$C11*(1+'Property Summary'!$L$21)^('MF CapEx'!AW$3-1))</f>
        <v/>
      </c>
      <c r="AX11" s="149" t="str">
        <f>IF(OR($B11="",$B11=0),"",$I11*$C11*(1+'Property Summary'!$L$21)^('MF CapEx'!AX$3-1))</f>
        <v/>
      </c>
      <c r="AY11" s="149" t="str">
        <f>IF(OR($B11="",$B11=0),"",$I11*$C11*(1+'Property Summary'!$L$21)^('MF CapEx'!AY$3-1))</f>
        <v/>
      </c>
      <c r="AZ11" s="149" t="str">
        <f>IF(OR($B11="",$B11=0),"",$I11*$C11*(1+'Property Summary'!$L$21)^('MF CapEx'!AZ$3-1))</f>
        <v/>
      </c>
      <c r="BA11" s="149" t="str">
        <f>IF(OR($B11="",$B11=0),"",$I11*$C11*(1+'Property Summary'!$L$21)^('MF CapEx'!BA$3-1))</f>
        <v/>
      </c>
      <c r="BB11" s="149" t="str">
        <f>IF(OR($B11="",$B11=0),"",$I11*$C11*(1+'Property Summary'!$L$21)^('MF CapEx'!BB$3-1))</f>
        <v/>
      </c>
      <c r="BC11" s="149" t="str">
        <f>IF(OR($B11="",$B11=0),"",$I11*$C11*(1+'Property Summary'!$L$21)^('MF CapEx'!BC$3-1))</f>
        <v/>
      </c>
      <c r="BD11" s="149" t="str">
        <f>IF(OR($B11="",$B11=0),"",$I11*$C11*(1+'Property Summary'!$L$21)^('MF CapEx'!BD$3-1))</f>
        <v/>
      </c>
      <c r="BE11" s="149" t="str">
        <f>IF(OR($B11="",$B11=0),"",$I11*$C11*(1+'Property Summary'!$L$21)^('MF CapEx'!BE$3-1))</f>
        <v/>
      </c>
      <c r="BF11" s="149" t="str">
        <f>IF(OR($B11="",$B11=0),"",$I11*$C11*(1+'Property Summary'!$L$21)^('MF CapEx'!BF$3-1))</f>
        <v/>
      </c>
      <c r="BG11" s="149" t="str">
        <f>IF(OR($B11="",$B11=0),"",$I11*$C11*(1+'Property Summary'!$L$21)^('MF CapEx'!BG$3-1))</f>
        <v/>
      </c>
      <c r="BH11" s="149" t="str">
        <f>IF(OR($B11="",$B11=0),"",$I11*$C11*(1+'Property Summary'!$L$21)^('MF CapEx'!BH$3-1))</f>
        <v/>
      </c>
      <c r="BI11" s="149" t="str">
        <f>IF(OR($B11="",$B11=0),"",$I11*$C11*(1+'Property Summary'!$L$21)^('MF CapEx'!BI$3-1))</f>
        <v/>
      </c>
      <c r="BJ11" s="149" t="str">
        <f>IF(OR($B11="",$B11=0),"",$I11*$C11*(1+'Property Summary'!$L$21)^('MF CapEx'!BJ$3-1))</f>
        <v/>
      </c>
      <c r="BK11" s="149" t="str">
        <f>IF(OR($B11="",$B11=0),"",$I11*$C11*(1+'Property Summary'!$L$21)^('MF CapEx'!BK$3-1))</f>
        <v/>
      </c>
      <c r="BL11" s="149" t="str">
        <f>IF(OR($B11="",$B11=0),"",$I11*$C11*(1+'Property Summary'!$L$21)^('MF CapEx'!BL$3-1))</f>
        <v/>
      </c>
      <c r="BM11" s="149" t="str">
        <f>IF(OR($B11="",$B11=0),"",$I11*$C11*(1+'Property Summary'!$L$21)^('MF CapEx'!BM$3-1))</f>
        <v/>
      </c>
      <c r="BN11" s="149" t="str">
        <f>IF(OR($B11="",$B11=0),"",$I11*$C11*(1+'Property Summary'!$L$21)^('MF CapEx'!BN$3-1))</f>
        <v/>
      </c>
      <c r="BO11" s="149" t="str">
        <f>IF(OR($B11="",$B11=0),"",$I11*$C11*(1+'Property Summary'!$L$21)^('MF CapEx'!BO$3-1))</f>
        <v/>
      </c>
      <c r="BP11" s="149" t="str">
        <f>IF(OR($B11="",$B11=0),"",$I11*$C11*(1+'Property Summary'!$L$21)^('MF CapEx'!BP$3-1))</f>
        <v/>
      </c>
      <c r="BQ11" s="149" t="str">
        <f>IF(OR($B11="",$B11=0),"",$I11*$C11*(1+'Property Summary'!$L$21)^('MF CapEx'!BQ$3-1))</f>
        <v/>
      </c>
      <c r="BR11" s="149" t="str">
        <f>IF(OR($B11="",$B11=0),"",$I11*$C11*(1+'Property Summary'!$L$21)^('MF CapEx'!BR$3-1))</f>
        <v/>
      </c>
      <c r="BS11" s="149" t="str">
        <f>IF(OR($B11="",$B11=0),"",$I11*$C11*(1+'Property Summary'!$L$21)^('MF CapEx'!BS$3-1))</f>
        <v/>
      </c>
      <c r="BT11" s="149" t="str">
        <f>IF(OR($B11="",$B11=0),"",$I11*$C11*(1+'Property Summary'!$L$21)^('MF CapEx'!BT$3-1))</f>
        <v/>
      </c>
      <c r="BU11" s="149" t="str">
        <f>IF(OR($B11="",$B11=0),"",$I11*$C11*(1+'Property Summary'!$L$21)^('MF CapEx'!BU$3-1))</f>
        <v/>
      </c>
      <c r="BV11" s="149" t="str">
        <f>IF(OR($B11="",$B11=0),"",$I11*$C11*(1+'Property Summary'!$L$21)^('MF CapEx'!BV$3-1))</f>
        <v/>
      </c>
      <c r="BW11" s="149" t="str">
        <f>IF(OR($B11="",$B11=0),"",$I11*$C11*(1+'Property Summary'!$L$21)^('MF CapEx'!BW$3-1))</f>
        <v/>
      </c>
      <c r="BX11" s="149" t="str">
        <f>IF(OR($B11="",$B11=0),"",$I11*$C11*(1+'Property Summary'!$L$21)^('MF CapEx'!BX$3-1))</f>
        <v/>
      </c>
      <c r="BY11" s="149" t="str">
        <f>IF(OR($B11="",$B11=0),"",$I11*$C11*(1+'Property Summary'!$L$21)^('MF CapEx'!BY$3-1))</f>
        <v/>
      </c>
      <c r="BZ11" s="149" t="str">
        <f>IF(OR($B11="",$B11=0),"",$I11*$C11*(1+'Property Summary'!$L$21)^('MF CapEx'!BZ$3-1))</f>
        <v/>
      </c>
      <c r="CA11" s="149" t="str">
        <f>IF(OR($B11="",$B11=0),"",$I11*$C11*(1+'Property Summary'!$L$21)^('MF CapEx'!CA$3-1))</f>
        <v/>
      </c>
      <c r="CB11" s="149" t="str">
        <f>IF(OR($B11="",$B11=0),"",$I11*$C11*(1+'Property Summary'!$L$21)^('MF CapEx'!CB$3-1))</f>
        <v/>
      </c>
      <c r="CC11" s="149" t="str">
        <f>IF(OR($B11="",$B11=0),"",$I11*$C11*(1+'Property Summary'!$L$21)^('MF CapEx'!CC$3-1))</f>
        <v/>
      </c>
      <c r="CD11" s="149" t="str">
        <f>IF(OR($B11="",$B11=0),"",$I11*$C11*(1+'Property Summary'!$L$21)^('MF CapEx'!CD$3-1))</f>
        <v/>
      </c>
      <c r="CE11" s="149" t="str">
        <f>IF(OR($B11="",$B11=0),"",$I11*$C11*(1+'Property Summary'!$L$21)^('MF CapEx'!CE$3-1))</f>
        <v/>
      </c>
      <c r="CF11" s="149" t="str">
        <f>IF(OR($B11="",$B11=0),"",$I11*$C11*(1+'Property Summary'!$L$21)^('MF CapEx'!CF$3-1))</f>
        <v/>
      </c>
      <c r="CG11" s="149" t="str">
        <f>IF(OR($B11="",$B11=0),"",$I11*$C11*(1+'Property Summary'!$L$21)^('MF CapEx'!CG$3-1))</f>
        <v/>
      </c>
      <c r="CH11" s="149" t="str">
        <f>IF(OR($B11="",$B11=0),"",$I11*$C11*(1+'Property Summary'!$L$21)^('MF CapEx'!CH$3-1))</f>
        <v/>
      </c>
      <c r="CI11" s="149" t="str">
        <f>IF(OR($B11="",$B11=0),"",$I11*$C11*(1+'Property Summary'!$L$21)^('MF CapEx'!CI$3-1))</f>
        <v/>
      </c>
      <c r="CJ11" s="149" t="str">
        <f>IF(OR($B11="",$B11=0),"",$I11*$C11*(1+'Property Summary'!$L$21)^('MF CapEx'!CJ$3-1))</f>
        <v/>
      </c>
      <c r="CK11" s="149" t="str">
        <f>IF(OR($B11="",$B11=0),"",$I11*$C11*(1+'Property Summary'!$L$21)^('MF CapEx'!CK$3-1))</f>
        <v/>
      </c>
      <c r="CL11" s="149" t="str">
        <f>IF(OR($B11="",$B11=0),"",$I11*$C11*(1+'Property Summary'!$L$21)^('MF CapEx'!CL$3-1))</f>
        <v/>
      </c>
      <c r="CM11" s="149" t="str">
        <f>IF(OR($B11="",$B11=0),"",$I11*$C11*(1+'Property Summary'!$L$21)^('MF CapEx'!CM$3-1))</f>
        <v/>
      </c>
      <c r="CN11" s="149" t="str">
        <f>IF(OR($B11="",$B11=0),"",$I11*$C11*(1+'Property Summary'!$L$21)^('MF CapEx'!CN$3-1))</f>
        <v/>
      </c>
      <c r="CO11" s="149" t="str">
        <f>IF(OR($B11="",$B11=0),"",$I11*$C11*(1+'Property Summary'!$L$21)^('MF CapEx'!CO$3-1))</f>
        <v/>
      </c>
      <c r="CP11" s="149" t="str">
        <f>IF(OR($B11="",$B11=0),"",$I11*$C11*(1+'Property Summary'!$L$21)^('MF CapEx'!CP$3-1))</f>
        <v/>
      </c>
      <c r="CQ11" s="149" t="str">
        <f>IF(OR($B11="",$B11=0),"",$I11*$C11*(1+'Property Summary'!$L$21)^('MF CapEx'!CQ$3-1))</f>
        <v/>
      </c>
      <c r="CR11" s="149" t="str">
        <f>IF(OR($B11="",$B11=0),"",$I11*$C11*(1+'Property Summary'!$L$21)^('MF CapEx'!CR$3-1))</f>
        <v/>
      </c>
      <c r="CS11" s="149" t="str">
        <f>IF(OR($B11="",$B11=0),"",$I11*$C11*(1+'Property Summary'!$L$21)^('MF CapEx'!CS$3-1))</f>
        <v/>
      </c>
      <c r="CT11" s="149" t="str">
        <f>IF(OR($B11="",$B11=0),"",$I11*$C11*(1+'Property Summary'!$L$21)^('MF CapEx'!CT$3-1))</f>
        <v/>
      </c>
      <c r="CU11" s="149" t="str">
        <f>IF(OR($B11="",$B11=0),"",$I11*$C11*(1+'Property Summary'!$L$21)^('MF CapEx'!CU$3-1))</f>
        <v/>
      </c>
      <c r="CV11" s="149" t="str">
        <f>IF(OR($B11="",$B11=0),"",$I11*$C11*(1+'Property Summary'!$L$21)^('MF CapEx'!CV$3-1))</f>
        <v/>
      </c>
      <c r="CW11" s="149" t="str">
        <f>IF(OR($B11="",$B11=0),"",$I11*$C11*(1+'Property Summary'!$L$21)^('MF CapEx'!CW$3-1))</f>
        <v/>
      </c>
      <c r="CX11" s="149" t="str">
        <f>IF(OR($B11="",$B11=0),"",$I11*$C11*(1+'Property Summary'!$L$21)^('MF CapEx'!CX$3-1))</f>
        <v/>
      </c>
      <c r="CY11" s="149" t="str">
        <f>IF(OR($B11="",$B11=0),"",$I11*$C11*(1+'Property Summary'!$L$21)^('MF CapEx'!CY$3-1))</f>
        <v/>
      </c>
      <c r="CZ11" s="149" t="str">
        <f>IF(OR($B11="",$B11=0),"",$I11*$C11*(1+'Property Summary'!$L$21)^('MF CapEx'!CZ$3-1))</f>
        <v/>
      </c>
      <c r="DA11" s="149" t="str">
        <f>IF(OR($B11="",$B11=0),"",$I11*$C11*(1+'Property Summary'!$L$21)^('MF CapEx'!DA$3-1))</f>
        <v/>
      </c>
      <c r="DB11" s="149" t="str">
        <f>IF(OR($B11="",$B11=0),"",$I11*$C11*(1+'Property Summary'!$L$21)^('MF CapEx'!DB$3-1))</f>
        <v/>
      </c>
      <c r="DC11" s="149" t="str">
        <f>IF(OR($B11="",$B11=0),"",$I11*$C11*(1+'Property Summary'!$L$21)^('MF CapEx'!DC$3-1))</f>
        <v/>
      </c>
      <c r="DD11" s="149" t="str">
        <f>IF(OR($B11="",$B11=0),"",$I11*$C11*(1+'Property Summary'!$L$21)^('MF CapEx'!DD$3-1))</f>
        <v/>
      </c>
      <c r="DE11" s="149" t="str">
        <f>IF(OR($B11="",$B11=0),"",$I11*$C11*(1+'Property Summary'!$L$21)^('MF CapEx'!DE$3-1))</f>
        <v/>
      </c>
      <c r="DF11" s="149" t="str">
        <f>IF(OR($B11="",$B11=0),"",$I11*$C11*(1+'Property Summary'!$L$21)^('MF CapEx'!DF$3-1))</f>
        <v/>
      </c>
      <c r="DG11" s="149" t="str">
        <f>IF(OR($B11="",$B11=0),"",$I11*$C11*(1+'Property Summary'!$L$21)^('MF CapEx'!DG$3-1))</f>
        <v/>
      </c>
      <c r="DH11" s="149" t="str">
        <f>IF(OR($B11="",$B11=0),"",$I11*$C11*(1+'Property Summary'!$L$21)^('MF CapEx'!DH$3-1))</f>
        <v/>
      </c>
      <c r="DI11" s="149" t="str">
        <f>IF(OR($B11="",$B11=0),"",$I11*$C11*(1+'Property Summary'!$L$21)^('MF CapEx'!DI$3-1))</f>
        <v/>
      </c>
      <c r="DJ11" s="149" t="str">
        <f>IF(OR($B11="",$B11=0),"",$I11*$C11*(1+'Property Summary'!$L$21)^('MF CapEx'!DJ$3-1))</f>
        <v/>
      </c>
      <c r="DK11" s="149" t="str">
        <f>IF(OR($B11="",$B11=0),"",$I11*$C11*(1+'Property Summary'!$L$21)^('MF CapEx'!DK$3-1))</f>
        <v/>
      </c>
      <c r="DL11" s="149" t="str">
        <f>IF(OR($B11="",$B11=0),"",$I11*$C11*(1+'Property Summary'!$L$21)^('MF CapEx'!DL$3-1))</f>
        <v/>
      </c>
      <c r="DM11" s="149" t="str">
        <f>IF(OR($B11="",$B11=0),"",$I11*$C11*(1+'Property Summary'!$L$21)^('MF CapEx'!DM$3-1))</f>
        <v/>
      </c>
      <c r="DN11" s="149" t="str">
        <f>IF(OR($B11="",$B11=0),"",$I11*$C11*(1+'Property Summary'!$L$21)^('MF CapEx'!DN$3-1))</f>
        <v/>
      </c>
      <c r="DO11" s="149" t="str">
        <f>IF(OR($B11="",$B11=0),"",$I11*$C11*(1+'Property Summary'!$L$21)^('MF CapEx'!DO$3-1))</f>
        <v/>
      </c>
      <c r="DP11" s="149" t="str">
        <f>IF(OR($B11="",$B11=0),"",$I11*$C11*(1+'Property Summary'!$L$21)^('MF CapEx'!DP$3-1))</f>
        <v/>
      </c>
      <c r="DQ11" s="149" t="str">
        <f>IF(OR($B11="",$B11=0),"",$I11*$C11*(1+'Property Summary'!$L$21)^('MF CapEx'!DQ$3-1))</f>
        <v/>
      </c>
      <c r="DR11" s="149" t="str">
        <f>IF(OR($B11="",$B11=0),"",$I11*$C11*(1+'Property Summary'!$L$21)^('MF CapEx'!DR$3-1))</f>
        <v/>
      </c>
      <c r="DS11" s="149" t="str">
        <f>IF(OR($B11="",$B11=0),"",$I11*$C11*(1+'Property Summary'!$L$21)^('MF CapEx'!DS$3-1))</f>
        <v/>
      </c>
      <c r="DT11" s="149" t="str">
        <f>IF(OR($B11="",$B11=0),"",$I11*$C11*(1+'Property Summary'!$L$21)^('MF CapEx'!DT$3-1))</f>
        <v/>
      </c>
      <c r="DU11" s="149" t="str">
        <f>IF(OR($B11="",$B11=0),"",$I11*$C11*(1+'Property Summary'!$L$21)^('MF CapEx'!DU$3-1))</f>
        <v/>
      </c>
      <c r="DV11" s="149" t="str">
        <f>IF(OR($B11="",$B11=0),"",$I11*$C11*(1+'Property Summary'!$L$21)^('MF CapEx'!DV$3-1))</f>
        <v/>
      </c>
      <c r="DW11" s="149" t="str">
        <f>IF(OR($B11="",$B11=0),"",$I11*$C11*(1+'Property Summary'!$L$21)^('MF CapEx'!DW$3-1))</f>
        <v/>
      </c>
      <c r="DX11" s="149" t="str">
        <f>IF(OR($B11="",$B11=0),"",$I11*$C11*(1+'Property Summary'!$L$21)^('MF CapEx'!DX$3-1))</f>
        <v/>
      </c>
      <c r="DY11" s="149" t="str">
        <f>IF(OR($B11="",$B11=0),"",$I11*$C11*(1+'Property Summary'!$L$21)^('MF CapEx'!DY$3-1))</f>
        <v/>
      </c>
      <c r="DZ11" s="149" t="str">
        <f>IF(OR($B11="",$B11=0),"",$I11*$C11*(1+'Property Summary'!$L$21)^('MF CapEx'!DZ$3-1))</f>
        <v/>
      </c>
      <c r="EA11" s="149" t="str">
        <f>IF(OR($B11="",$B11=0),"",$I11*$C11*(1+'Property Summary'!$L$21)^('MF CapEx'!EA$3-1))</f>
        <v/>
      </c>
      <c r="EB11" s="149" t="str">
        <f>IF(OR($B11="",$B11=0),"",$I11*$C11*(1+'Property Summary'!$L$21)^('MF CapEx'!EB$3-1))</f>
        <v/>
      </c>
      <c r="EC11" s="149" t="str">
        <f>IF(OR($B11="",$B11=0),"",$I11*$C11*(1+'Property Summary'!$L$21)^('MF CapEx'!EC$3-1))</f>
        <v/>
      </c>
      <c r="ED11" s="149" t="str">
        <f>IF(OR($B11="",$B11=0),"",$I11*$C11*(1+'Property Summary'!$L$21)^('MF CapEx'!ED$3-1))</f>
        <v/>
      </c>
      <c r="EE11" s="149" t="str">
        <f>IF(OR($B11="",$B11=0),"",$I11*$C11*(1+'Property Summary'!$L$21)^('MF CapEx'!EE$3-1))</f>
        <v/>
      </c>
      <c r="EF11" s="149" t="str">
        <f>IF(OR($B11="",$B11=0),"",$I11*$C11*(1+'Property Summary'!$L$21)^('MF CapEx'!EF$3-1))</f>
        <v/>
      </c>
      <c r="EG11" s="149" t="str">
        <f>IF(OR($B11="",$B11=0),"",$I11*$C11*(1+'Property Summary'!$L$21)^('MF CapEx'!EG$3-1))</f>
        <v/>
      </c>
      <c r="EH11" s="149" t="str">
        <f>IF(OR($B11="",$B11=0),"",$I11*$C11*(1+'Property Summary'!$L$21)^('MF CapEx'!EH$3-1))</f>
        <v/>
      </c>
      <c r="EI11" s="149" t="str">
        <f>IF(OR($B11="",$B11=0),"",$I11*$C11*(1+'Property Summary'!$L$21)^('MF CapEx'!EI$3-1))</f>
        <v/>
      </c>
      <c r="EJ11" s="149" t="str">
        <f>IF(OR($B11="",$B11=0),"",$I11*$C11*(1+'Property Summary'!$L$21)^('MF CapEx'!EJ$3-1))</f>
        <v/>
      </c>
      <c r="EK11" s="149" t="str">
        <f>IF(OR($B11="",$B11=0),"",$I11*$C11*(1+'Property Summary'!$L$21)^('MF CapEx'!EK$3-1))</f>
        <v/>
      </c>
      <c r="EL11" s="149" t="str">
        <f>IF(OR($B11="",$B11=0),"",$I11*$C11*(1+'Property Summary'!$L$21)^('MF CapEx'!EL$3-1))</f>
        <v/>
      </c>
      <c r="EM11" s="149" t="str">
        <f>IF(OR($B11="",$B11=0),"",$I11*$C11*(1+'Property Summary'!$L$21)^('MF CapEx'!EM$3-1))</f>
        <v/>
      </c>
      <c r="EN11" s="149" t="str">
        <f>IF(OR($B11="",$B11=0),"",$I11*$C11*(1+'Property Summary'!$L$21)^('MF CapEx'!EN$3-1))</f>
        <v/>
      </c>
      <c r="EO11" s="149" t="str">
        <f>IF(OR($B11="",$B11=0),"",$I11*$C11*(1+'Property Summary'!$L$21)^('MF CapEx'!EO$3-1))</f>
        <v/>
      </c>
      <c r="EP11" s="149" t="str">
        <f>IF(OR($B11="",$B11=0),"",$I11*$C11*(1+'Property Summary'!$L$21)^('MF CapEx'!EP$3-1))</f>
        <v/>
      </c>
      <c r="EQ11" s="149" t="str">
        <f>IF(OR($B11="",$B11=0),"",$I11*$C11*(1+'Property Summary'!$L$21)^('MF CapEx'!EQ$3-1))</f>
        <v/>
      </c>
      <c r="ER11" s="149" t="str">
        <f>IF(OR($B11="",$B11=0),"",$I11*$C11*(1+'Property Summary'!$L$21)^('MF CapEx'!ER$3-1))</f>
        <v/>
      </c>
      <c r="ES11" s="149" t="str">
        <f>IF(OR($B11="",$B11=0),"",$I11*$C11*(1+'Property Summary'!$L$21)^('MF CapEx'!ES$3-1))</f>
        <v/>
      </c>
      <c r="ET11" s="149" t="str">
        <f>IF(OR($B11="",$B11=0),"",$I11*$C11*(1+'Property Summary'!$L$21)^('MF CapEx'!ET$3-1))</f>
        <v/>
      </c>
      <c r="EU11" s="149" t="str">
        <f>IF(OR($B11="",$B11=0),"",$I11*$C11*(1+'Property Summary'!$L$21)^('MF CapEx'!EU$3-1))</f>
        <v/>
      </c>
      <c r="EV11" s="149" t="str">
        <f>IF(OR($B11="",$B11=0),"",$I11*$C11*(1+'Property Summary'!$L$21)^('MF CapEx'!EV$3-1))</f>
        <v/>
      </c>
      <c r="EW11" s="149" t="str">
        <f>IF(OR($B11="",$B11=0),"",$I11*$C11*(1+'Property Summary'!$L$21)^('MF CapEx'!EW$3-1))</f>
        <v/>
      </c>
      <c r="EX11" s="149" t="str">
        <f>IF(OR($B11="",$B11=0),"",$I11*$C11*(1+'Property Summary'!$L$21)^('MF CapEx'!EX$3-1))</f>
        <v/>
      </c>
      <c r="EY11" s="149" t="str">
        <f>IF(OR($B11="",$B11=0),"",$I11*$C11*(1+'Property Summary'!$L$21)^('MF CapEx'!EY$3-1))</f>
        <v/>
      </c>
      <c r="EZ11" s="149" t="str">
        <f>IF(OR($B11="",$B11=0),"",$I11*$C11*(1+'Property Summary'!$L$21)^('MF CapEx'!EZ$3-1))</f>
        <v/>
      </c>
      <c r="FA11" s="149" t="str">
        <f>IF(OR($B11="",$B11=0),"",$I11*$C11*(1+'Property Summary'!$L$21)^('MF CapEx'!FA$3-1))</f>
        <v/>
      </c>
      <c r="FB11" s="149" t="str">
        <f>IF(OR($B11="",$B11=0),"",$I11*$C11*(1+'Property Summary'!$L$21)^('MF CapEx'!FB$3-1))</f>
        <v/>
      </c>
      <c r="FC11" s="149" t="str">
        <f>IF(OR($B11="",$B11=0),"",$I11*$C11*(1+'Property Summary'!$L$21)^('MF CapEx'!FC$3-1))</f>
        <v/>
      </c>
      <c r="FD11" s="149" t="str">
        <f>IF(OR($B11="",$B11=0),"",$I11*$C11*(1+'Property Summary'!$L$21)^('MF CapEx'!FD$3-1))</f>
        <v/>
      </c>
      <c r="FE11" s="149" t="str">
        <f>IF(OR($B11="",$B11=0),"",$I11*$C11*(1+'Property Summary'!$L$21)^('MF CapEx'!FE$3-1))</f>
        <v/>
      </c>
      <c r="FF11" s="149" t="str">
        <f>IF(OR($B11="",$B11=0),"",$I11*$C11*(1+'Property Summary'!$L$21)^('MF CapEx'!FF$3-1))</f>
        <v/>
      </c>
      <c r="FG11" s="149" t="str">
        <f>IF(OR($B11="",$B11=0),"",$I11*$C11*(1+'Property Summary'!$L$21)^('MF CapEx'!FG$3-1))</f>
        <v/>
      </c>
      <c r="FH11" s="149" t="str">
        <f>IF(OR($B11="",$B11=0),"",$I11*$C11*(1+'Property Summary'!$L$21)^('MF CapEx'!FH$3-1))</f>
        <v/>
      </c>
      <c r="FI11" s="149" t="str">
        <f>IF(OR($B11="",$B11=0),"",$I11*$C11*(1+'Property Summary'!$L$21)^('MF CapEx'!FI$3-1))</f>
        <v/>
      </c>
      <c r="FJ11" s="149" t="str">
        <f>IF(OR($B11="",$B11=0),"",$I11*$C11*(1+'Property Summary'!$L$21)^('MF CapEx'!FJ$3-1))</f>
        <v/>
      </c>
      <c r="FK11" s="149" t="str">
        <f>IF(OR($B11="",$B11=0),"",$I11*$C11*(1+'Property Summary'!$L$21)^('MF CapEx'!FK$3-1))</f>
        <v/>
      </c>
      <c r="FL11" s="149" t="str">
        <f>IF(OR($B11="",$B11=0),"",$I11*$C11*(1+'Property Summary'!$L$21)^('MF CapEx'!FL$3-1))</f>
        <v/>
      </c>
      <c r="FM11" s="149" t="str">
        <f>IF(OR($B11="",$B11=0),"",$I11*$C11*(1+'Property Summary'!$L$21)^('MF CapEx'!FM$3-1))</f>
        <v/>
      </c>
      <c r="FN11" s="149" t="str">
        <f>IF(OR($B11="",$B11=0),"",$I11*$C11*(1+'Property Summary'!$L$21)^('MF CapEx'!FN$3-1))</f>
        <v/>
      </c>
      <c r="FO11" s="149" t="str">
        <f>IF(OR($B11="",$B11=0),"",$I11*$C11*(1+'Property Summary'!$L$21)^('MF CapEx'!FO$3-1))</f>
        <v/>
      </c>
      <c r="FP11" s="149" t="str">
        <f>IF(OR($B11="",$B11=0),"",$I11*$C11*(1+'Property Summary'!$L$21)^('MF CapEx'!FP$3-1))</f>
        <v/>
      </c>
      <c r="FQ11" s="149" t="str">
        <f>IF(OR($B11="",$B11=0),"",$I11*$C11*(1+'Property Summary'!$L$21)^('MF CapEx'!FQ$3-1))</f>
        <v/>
      </c>
      <c r="FR11" s="149" t="str">
        <f>IF(OR($B11="",$B11=0),"",$I11*$C11*(1+'Property Summary'!$L$21)^('MF CapEx'!FR$3-1))</f>
        <v/>
      </c>
      <c r="FS11" s="149" t="str">
        <f>IF(OR($B11="",$B11=0),"",$I11*$C11*(1+'Property Summary'!$L$21)^('MF CapEx'!FS$3-1))</f>
        <v/>
      </c>
      <c r="FT11" s="149" t="str">
        <f>IF(OR($B11="",$B11=0),"",$I11*$C11*(1+'Property Summary'!$L$21)^('MF CapEx'!FT$3-1))</f>
        <v/>
      </c>
      <c r="FU11" s="149" t="str">
        <f>IF(OR($B11="",$B11=0),"",$I11*$C11*(1+'Property Summary'!$L$21)^('MF CapEx'!FU$3-1))</f>
        <v/>
      </c>
      <c r="FV11" s="149" t="str">
        <f>IF(OR($B11="",$B11=0),"",$I11*$C11*(1+'Property Summary'!$L$21)^('MF CapEx'!FV$3-1))</f>
        <v/>
      </c>
      <c r="FW11" s="149" t="str">
        <f>IF(OR($B11="",$B11=0),"",$I11*$C11*(1+'Property Summary'!$L$21)^('MF CapEx'!FW$3-1))</f>
        <v/>
      </c>
      <c r="FX11" s="149" t="str">
        <f>IF(OR($B11="",$B11=0),"",$I11*$C11*(1+'Property Summary'!$L$21)^('MF CapEx'!FX$3-1))</f>
        <v/>
      </c>
      <c r="FY11" s="149" t="str">
        <f>IF(OR($B11="",$B11=0),"",$I11*$C11*(1+'Property Summary'!$L$21)^('MF CapEx'!FY$3-1))</f>
        <v/>
      </c>
      <c r="FZ11" s="149" t="str">
        <f>IF(OR($B11="",$B11=0),"",$I11*$C11*(1+'Property Summary'!$L$21)^('MF CapEx'!FZ$3-1))</f>
        <v/>
      </c>
      <c r="GA11" s="149" t="str">
        <f>IF(OR($B11="",$B11=0),"",$I11*$C11*(1+'Property Summary'!$L$21)^('MF CapEx'!GA$3-1))</f>
        <v/>
      </c>
      <c r="GB11" s="149" t="str">
        <f>IF(OR($B11="",$B11=0),"",$I11*$C11*(1+'Property Summary'!$L$21)^('MF CapEx'!GB$3-1))</f>
        <v/>
      </c>
      <c r="GC11" s="149" t="str">
        <f>IF(OR($B11="",$B11=0),"",$I11*$C11*(1+'Property Summary'!$L$21)^('MF CapEx'!GC$3-1))</f>
        <v/>
      </c>
      <c r="GD11" s="149" t="str">
        <f>IF(OR($B11="",$B11=0),"",$I11*$C11*(1+'Property Summary'!$L$21)^('MF CapEx'!GD$3-1))</f>
        <v/>
      </c>
      <c r="GE11" s="149" t="str">
        <f>IF(OR($B11="",$B11=0),"",$I11*$C11*(1+'Property Summary'!$L$21)^('MF CapEx'!GE$3-1))</f>
        <v/>
      </c>
      <c r="GF11" s="149" t="str">
        <f>IF(OR($B11="",$B11=0),"",$I11*$C11*(1+'Property Summary'!$L$21)^('MF CapEx'!GF$3-1))</f>
        <v/>
      </c>
      <c r="GG11" s="149" t="str">
        <f>IF(OR($B11="",$B11=0),"",$I11*$C11*(1+'Property Summary'!$L$21)^('MF CapEx'!GG$3-1))</f>
        <v/>
      </c>
      <c r="GH11" s="149" t="str">
        <f>IF(OR($B11="",$B11=0),"",$I11*$C11*(1+'Property Summary'!$L$21)^('MF CapEx'!GH$3-1))</f>
        <v/>
      </c>
      <c r="GI11" s="149" t="str">
        <f>IF(OR($B11="",$B11=0),"",$I11*$C11*(1+'Property Summary'!$L$21)^('MF CapEx'!GI$3-1))</f>
        <v/>
      </c>
      <c r="GJ11" s="149" t="str">
        <f>IF(OR($B11="",$B11=0),"",$I11*$C11*(1+'Property Summary'!$L$21)^('MF CapEx'!GJ$3-1))</f>
        <v/>
      </c>
      <c r="GK11" s="149" t="str">
        <f>IF(OR($B11="",$B11=0),"",$I11*$C11*(1+'Property Summary'!$L$21)^('MF CapEx'!GK$3-1))</f>
        <v/>
      </c>
      <c r="GL11" s="149" t="str">
        <f>IF(OR($B11="",$B11=0),"",$I11*$C11*(1+'Property Summary'!$L$21)^('MF CapEx'!GL$3-1))</f>
        <v/>
      </c>
      <c r="GM11" s="149" t="str">
        <f>IF(OR($B11="",$B11=0),"",$I11*$C11*(1+'Property Summary'!$L$21)^('MF CapEx'!GM$3-1))</f>
        <v/>
      </c>
      <c r="GN11" s="149" t="str">
        <f>IF(OR($B11="",$B11=0),"",$I11*$C11*(1+'Property Summary'!$L$21)^('MF CapEx'!GN$3-1))</f>
        <v/>
      </c>
      <c r="GO11" s="149" t="str">
        <f>IF(OR($B11="",$B11=0),"",$I11*$C11*(1+'Property Summary'!$L$21)^('MF CapEx'!GO$3-1))</f>
        <v/>
      </c>
      <c r="GP11" s="149" t="str">
        <f>IF(OR($B11="",$B11=0),"",$I11*$C11*(1+'Property Summary'!$L$21)^('MF CapEx'!GP$3-1))</f>
        <v/>
      </c>
    </row>
    <row r="12" spans="2:198" x14ac:dyDescent="0.3">
      <c r="B12" s="184">
        <f>'MF Rent Roll'!B11</f>
        <v>0</v>
      </c>
      <c r="C12" s="171">
        <f>'MF Rent Roll'!C11</f>
        <v>0</v>
      </c>
      <c r="D12" s="172">
        <f>'MF Rent Roll'!D11</f>
        <v>0</v>
      </c>
      <c r="E12" s="172">
        <f>'MF Rent Roll'!E11</f>
        <v>0</v>
      </c>
      <c r="F12" s="173">
        <f>'MF Rent Roll'!F11</f>
        <v>0</v>
      </c>
      <c r="G12" s="174">
        <f>'MF Rent Roll'!G11</f>
        <v>0</v>
      </c>
      <c r="H12" s="176">
        <f>'MF Rent Roll'!J11</f>
        <v>0</v>
      </c>
      <c r="I12" s="174">
        <f>'MF Rent Roll'!K11</f>
        <v>0</v>
      </c>
      <c r="J12" s="177">
        <f>'MF Rent Roll'!L11</f>
        <v>0</v>
      </c>
      <c r="K12" s="178">
        <f>'MF Rent Roll'!M11</f>
        <v>0</v>
      </c>
      <c r="L12" s="174">
        <f>'MF Rent Roll'!N11</f>
        <v>0</v>
      </c>
      <c r="M12" s="179">
        <f>'MF Rent Roll'!O11</f>
        <v>0</v>
      </c>
      <c r="N12" s="180" t="str">
        <f>'MF Rent Roll'!P11</f>
        <v/>
      </c>
      <c r="O12" s="181" t="str">
        <f>'MF Rent Roll'!Q11</f>
        <v/>
      </c>
      <c r="P12" s="104" t="str">
        <f>'MF Rent Roll'!R11</f>
        <v/>
      </c>
      <c r="S12" s="149" t="str">
        <f>IF(OR($B12="",$B12=0),"",$I12*$C12*(1+'Property Summary'!$L$21)^('MF CapEx'!S$3-1))</f>
        <v/>
      </c>
      <c r="T12" s="149" t="str">
        <f>IF(OR($B12="",$B12=0),"",$I12*$C12*(1+'Property Summary'!$L$21)^('MF CapEx'!T$3-1))</f>
        <v/>
      </c>
      <c r="U12" s="149" t="str">
        <f>IF(OR($B12="",$B12=0),"",$I12*$C12*(1+'Property Summary'!$L$21)^('MF CapEx'!U$3-1))</f>
        <v/>
      </c>
      <c r="V12" s="149" t="str">
        <f>IF(OR($B12="",$B12=0),"",$I12*$C12*(1+'Property Summary'!$L$21)^('MF CapEx'!V$3-1))</f>
        <v/>
      </c>
      <c r="W12" s="149" t="str">
        <f>IF(OR($B12="",$B12=0),"",$I12*$C12*(1+'Property Summary'!$L$21)^('MF CapEx'!W$3-1))</f>
        <v/>
      </c>
      <c r="X12" s="149" t="str">
        <f>IF(OR($B12="",$B12=0),"",$I12*$C12*(1+'Property Summary'!$L$21)^('MF CapEx'!X$3-1))</f>
        <v/>
      </c>
      <c r="Y12" s="149" t="str">
        <f>IF(OR($B12="",$B12=0),"",$I12*$C12*(1+'Property Summary'!$L$21)^('MF CapEx'!Y$3-1))</f>
        <v/>
      </c>
      <c r="Z12" s="149" t="str">
        <f>IF(OR($B12="",$B12=0),"",$I12*$C12*(1+'Property Summary'!$L$21)^('MF CapEx'!Z$3-1))</f>
        <v/>
      </c>
      <c r="AA12" s="149" t="str">
        <f>IF(OR($B12="",$B12=0),"",$I12*$C12*(1+'Property Summary'!$L$21)^('MF CapEx'!AA$3-1))</f>
        <v/>
      </c>
      <c r="AB12" s="149" t="str">
        <f>IF(OR($B12="",$B12=0),"",$I12*$C12*(1+'Property Summary'!$L$21)^('MF CapEx'!AB$3-1))</f>
        <v/>
      </c>
      <c r="AC12" s="149" t="str">
        <f>IF(OR($B12="",$B12=0),"",$I12*$C12*(1+'Property Summary'!$L$21)^('MF CapEx'!AC$3-1))</f>
        <v/>
      </c>
      <c r="AD12" s="149" t="str">
        <f>IF(OR($B12="",$B12=0),"",$I12*$C12*(1+'Property Summary'!$L$21)^('MF CapEx'!AD$3-1))</f>
        <v/>
      </c>
      <c r="AE12" s="149" t="str">
        <f>IF(OR($B12="",$B12=0),"",$I12*$C12*(1+'Property Summary'!$L$21)^('MF CapEx'!AE$3-1))</f>
        <v/>
      </c>
      <c r="AF12" s="149" t="str">
        <f>IF(OR($B12="",$B12=0),"",$I12*$C12*(1+'Property Summary'!$L$21)^('MF CapEx'!AF$3-1))</f>
        <v/>
      </c>
      <c r="AG12" s="149" t="str">
        <f>IF(OR($B12="",$B12=0),"",$I12*$C12*(1+'Property Summary'!$L$21)^('MF CapEx'!AG$3-1))</f>
        <v/>
      </c>
      <c r="AH12" s="149" t="str">
        <f>IF(OR($B12="",$B12=0),"",$I12*$C12*(1+'Property Summary'!$L$21)^('MF CapEx'!AH$3-1))</f>
        <v/>
      </c>
      <c r="AI12" s="149" t="str">
        <f>IF(OR($B12="",$B12=0),"",$I12*$C12*(1+'Property Summary'!$L$21)^('MF CapEx'!AI$3-1))</f>
        <v/>
      </c>
      <c r="AJ12" s="149" t="str">
        <f>IF(OR($B12="",$B12=0),"",$I12*$C12*(1+'Property Summary'!$L$21)^('MF CapEx'!AJ$3-1))</f>
        <v/>
      </c>
      <c r="AK12" s="149" t="str">
        <f>IF(OR($B12="",$B12=0),"",$I12*$C12*(1+'Property Summary'!$L$21)^('MF CapEx'!AK$3-1))</f>
        <v/>
      </c>
      <c r="AL12" s="149" t="str">
        <f>IF(OR($B12="",$B12=0),"",$I12*$C12*(1+'Property Summary'!$L$21)^('MF CapEx'!AL$3-1))</f>
        <v/>
      </c>
      <c r="AM12" s="149" t="str">
        <f>IF(OR($B12="",$B12=0),"",$I12*$C12*(1+'Property Summary'!$L$21)^('MF CapEx'!AM$3-1))</f>
        <v/>
      </c>
      <c r="AN12" s="149" t="str">
        <f>IF(OR($B12="",$B12=0),"",$I12*$C12*(1+'Property Summary'!$L$21)^('MF CapEx'!AN$3-1))</f>
        <v/>
      </c>
      <c r="AO12" s="149" t="str">
        <f>IF(OR($B12="",$B12=0),"",$I12*$C12*(1+'Property Summary'!$L$21)^('MF CapEx'!AO$3-1))</f>
        <v/>
      </c>
      <c r="AP12" s="149" t="str">
        <f>IF(OR($B12="",$B12=0),"",$I12*$C12*(1+'Property Summary'!$L$21)^('MF CapEx'!AP$3-1))</f>
        <v/>
      </c>
      <c r="AQ12" s="149" t="str">
        <f>IF(OR($B12="",$B12=0),"",$I12*$C12*(1+'Property Summary'!$L$21)^('MF CapEx'!AQ$3-1))</f>
        <v/>
      </c>
      <c r="AR12" s="149" t="str">
        <f>IF(OR($B12="",$B12=0),"",$I12*$C12*(1+'Property Summary'!$L$21)^('MF CapEx'!AR$3-1))</f>
        <v/>
      </c>
      <c r="AS12" s="149" t="str">
        <f>IF(OR($B12="",$B12=0),"",$I12*$C12*(1+'Property Summary'!$L$21)^('MF CapEx'!AS$3-1))</f>
        <v/>
      </c>
      <c r="AT12" s="149" t="str">
        <f>IF(OR($B12="",$B12=0),"",$I12*$C12*(1+'Property Summary'!$L$21)^('MF CapEx'!AT$3-1))</f>
        <v/>
      </c>
      <c r="AU12" s="149" t="str">
        <f>IF(OR($B12="",$B12=0),"",$I12*$C12*(1+'Property Summary'!$L$21)^('MF CapEx'!AU$3-1))</f>
        <v/>
      </c>
      <c r="AV12" s="149" t="str">
        <f>IF(OR($B12="",$B12=0),"",$I12*$C12*(1+'Property Summary'!$L$21)^('MF CapEx'!AV$3-1))</f>
        <v/>
      </c>
      <c r="AW12" s="149" t="str">
        <f>IF(OR($B12="",$B12=0),"",$I12*$C12*(1+'Property Summary'!$L$21)^('MF CapEx'!AW$3-1))</f>
        <v/>
      </c>
      <c r="AX12" s="149" t="str">
        <f>IF(OR($B12="",$B12=0),"",$I12*$C12*(1+'Property Summary'!$L$21)^('MF CapEx'!AX$3-1))</f>
        <v/>
      </c>
      <c r="AY12" s="149" t="str">
        <f>IF(OR($B12="",$B12=0),"",$I12*$C12*(1+'Property Summary'!$L$21)^('MF CapEx'!AY$3-1))</f>
        <v/>
      </c>
      <c r="AZ12" s="149" t="str">
        <f>IF(OR($B12="",$B12=0),"",$I12*$C12*(1+'Property Summary'!$L$21)^('MF CapEx'!AZ$3-1))</f>
        <v/>
      </c>
      <c r="BA12" s="149" t="str">
        <f>IF(OR($B12="",$B12=0),"",$I12*$C12*(1+'Property Summary'!$L$21)^('MF CapEx'!BA$3-1))</f>
        <v/>
      </c>
      <c r="BB12" s="149" t="str">
        <f>IF(OR($B12="",$B12=0),"",$I12*$C12*(1+'Property Summary'!$L$21)^('MF CapEx'!BB$3-1))</f>
        <v/>
      </c>
      <c r="BC12" s="149" t="str">
        <f>IF(OR($B12="",$B12=0),"",$I12*$C12*(1+'Property Summary'!$L$21)^('MF CapEx'!BC$3-1))</f>
        <v/>
      </c>
      <c r="BD12" s="149" t="str">
        <f>IF(OR($B12="",$B12=0),"",$I12*$C12*(1+'Property Summary'!$L$21)^('MF CapEx'!BD$3-1))</f>
        <v/>
      </c>
      <c r="BE12" s="149" t="str">
        <f>IF(OR($B12="",$B12=0),"",$I12*$C12*(1+'Property Summary'!$L$21)^('MF CapEx'!BE$3-1))</f>
        <v/>
      </c>
      <c r="BF12" s="149" t="str">
        <f>IF(OR($B12="",$B12=0),"",$I12*$C12*(1+'Property Summary'!$L$21)^('MF CapEx'!BF$3-1))</f>
        <v/>
      </c>
      <c r="BG12" s="149" t="str">
        <f>IF(OR($B12="",$B12=0),"",$I12*$C12*(1+'Property Summary'!$L$21)^('MF CapEx'!BG$3-1))</f>
        <v/>
      </c>
      <c r="BH12" s="149" t="str">
        <f>IF(OR($B12="",$B12=0),"",$I12*$C12*(1+'Property Summary'!$L$21)^('MF CapEx'!BH$3-1))</f>
        <v/>
      </c>
      <c r="BI12" s="149" t="str">
        <f>IF(OR($B12="",$B12=0),"",$I12*$C12*(1+'Property Summary'!$L$21)^('MF CapEx'!BI$3-1))</f>
        <v/>
      </c>
      <c r="BJ12" s="149" t="str">
        <f>IF(OR($B12="",$B12=0),"",$I12*$C12*(1+'Property Summary'!$L$21)^('MF CapEx'!BJ$3-1))</f>
        <v/>
      </c>
      <c r="BK12" s="149" t="str">
        <f>IF(OR($B12="",$B12=0),"",$I12*$C12*(1+'Property Summary'!$L$21)^('MF CapEx'!BK$3-1))</f>
        <v/>
      </c>
      <c r="BL12" s="149" t="str">
        <f>IF(OR($B12="",$B12=0),"",$I12*$C12*(1+'Property Summary'!$L$21)^('MF CapEx'!BL$3-1))</f>
        <v/>
      </c>
      <c r="BM12" s="149" t="str">
        <f>IF(OR($B12="",$B12=0),"",$I12*$C12*(1+'Property Summary'!$L$21)^('MF CapEx'!BM$3-1))</f>
        <v/>
      </c>
      <c r="BN12" s="149" t="str">
        <f>IF(OR($B12="",$B12=0),"",$I12*$C12*(1+'Property Summary'!$L$21)^('MF CapEx'!BN$3-1))</f>
        <v/>
      </c>
      <c r="BO12" s="149" t="str">
        <f>IF(OR($B12="",$B12=0),"",$I12*$C12*(1+'Property Summary'!$L$21)^('MF CapEx'!BO$3-1))</f>
        <v/>
      </c>
      <c r="BP12" s="149" t="str">
        <f>IF(OR($B12="",$B12=0),"",$I12*$C12*(1+'Property Summary'!$L$21)^('MF CapEx'!BP$3-1))</f>
        <v/>
      </c>
      <c r="BQ12" s="149" t="str">
        <f>IF(OR($B12="",$B12=0),"",$I12*$C12*(1+'Property Summary'!$L$21)^('MF CapEx'!BQ$3-1))</f>
        <v/>
      </c>
      <c r="BR12" s="149" t="str">
        <f>IF(OR($B12="",$B12=0),"",$I12*$C12*(1+'Property Summary'!$L$21)^('MF CapEx'!BR$3-1))</f>
        <v/>
      </c>
      <c r="BS12" s="149" t="str">
        <f>IF(OR($B12="",$B12=0),"",$I12*$C12*(1+'Property Summary'!$L$21)^('MF CapEx'!BS$3-1))</f>
        <v/>
      </c>
      <c r="BT12" s="149" t="str">
        <f>IF(OR($B12="",$B12=0),"",$I12*$C12*(1+'Property Summary'!$L$21)^('MF CapEx'!BT$3-1))</f>
        <v/>
      </c>
      <c r="BU12" s="149" t="str">
        <f>IF(OR($B12="",$B12=0),"",$I12*$C12*(1+'Property Summary'!$L$21)^('MF CapEx'!BU$3-1))</f>
        <v/>
      </c>
      <c r="BV12" s="149" t="str">
        <f>IF(OR($B12="",$B12=0),"",$I12*$C12*(1+'Property Summary'!$L$21)^('MF CapEx'!BV$3-1))</f>
        <v/>
      </c>
      <c r="BW12" s="149" t="str">
        <f>IF(OR($B12="",$B12=0),"",$I12*$C12*(1+'Property Summary'!$L$21)^('MF CapEx'!BW$3-1))</f>
        <v/>
      </c>
      <c r="BX12" s="149" t="str">
        <f>IF(OR($B12="",$B12=0),"",$I12*$C12*(1+'Property Summary'!$L$21)^('MF CapEx'!BX$3-1))</f>
        <v/>
      </c>
      <c r="BY12" s="149" t="str">
        <f>IF(OR($B12="",$B12=0),"",$I12*$C12*(1+'Property Summary'!$L$21)^('MF CapEx'!BY$3-1))</f>
        <v/>
      </c>
      <c r="BZ12" s="149" t="str">
        <f>IF(OR($B12="",$B12=0),"",$I12*$C12*(1+'Property Summary'!$L$21)^('MF CapEx'!BZ$3-1))</f>
        <v/>
      </c>
      <c r="CA12" s="149" t="str">
        <f>IF(OR($B12="",$B12=0),"",$I12*$C12*(1+'Property Summary'!$L$21)^('MF CapEx'!CA$3-1))</f>
        <v/>
      </c>
      <c r="CB12" s="149" t="str">
        <f>IF(OR($B12="",$B12=0),"",$I12*$C12*(1+'Property Summary'!$L$21)^('MF CapEx'!CB$3-1))</f>
        <v/>
      </c>
      <c r="CC12" s="149" t="str">
        <f>IF(OR($B12="",$B12=0),"",$I12*$C12*(1+'Property Summary'!$L$21)^('MF CapEx'!CC$3-1))</f>
        <v/>
      </c>
      <c r="CD12" s="149" t="str">
        <f>IF(OR($B12="",$B12=0),"",$I12*$C12*(1+'Property Summary'!$L$21)^('MF CapEx'!CD$3-1))</f>
        <v/>
      </c>
      <c r="CE12" s="149" t="str">
        <f>IF(OR($B12="",$B12=0),"",$I12*$C12*(1+'Property Summary'!$L$21)^('MF CapEx'!CE$3-1))</f>
        <v/>
      </c>
      <c r="CF12" s="149" t="str">
        <f>IF(OR($B12="",$B12=0),"",$I12*$C12*(1+'Property Summary'!$L$21)^('MF CapEx'!CF$3-1))</f>
        <v/>
      </c>
      <c r="CG12" s="149" t="str">
        <f>IF(OR($B12="",$B12=0),"",$I12*$C12*(1+'Property Summary'!$L$21)^('MF CapEx'!CG$3-1))</f>
        <v/>
      </c>
      <c r="CH12" s="149" t="str">
        <f>IF(OR($B12="",$B12=0),"",$I12*$C12*(1+'Property Summary'!$L$21)^('MF CapEx'!CH$3-1))</f>
        <v/>
      </c>
      <c r="CI12" s="149" t="str">
        <f>IF(OR($B12="",$B12=0),"",$I12*$C12*(1+'Property Summary'!$L$21)^('MF CapEx'!CI$3-1))</f>
        <v/>
      </c>
      <c r="CJ12" s="149" t="str">
        <f>IF(OR($B12="",$B12=0),"",$I12*$C12*(1+'Property Summary'!$L$21)^('MF CapEx'!CJ$3-1))</f>
        <v/>
      </c>
      <c r="CK12" s="149" t="str">
        <f>IF(OR($B12="",$B12=0),"",$I12*$C12*(1+'Property Summary'!$L$21)^('MF CapEx'!CK$3-1))</f>
        <v/>
      </c>
      <c r="CL12" s="149" t="str">
        <f>IF(OR($B12="",$B12=0),"",$I12*$C12*(1+'Property Summary'!$L$21)^('MF CapEx'!CL$3-1))</f>
        <v/>
      </c>
      <c r="CM12" s="149" t="str">
        <f>IF(OR($B12="",$B12=0),"",$I12*$C12*(1+'Property Summary'!$L$21)^('MF CapEx'!CM$3-1))</f>
        <v/>
      </c>
      <c r="CN12" s="149" t="str">
        <f>IF(OR($B12="",$B12=0),"",$I12*$C12*(1+'Property Summary'!$L$21)^('MF CapEx'!CN$3-1))</f>
        <v/>
      </c>
      <c r="CO12" s="149" t="str">
        <f>IF(OR($B12="",$B12=0),"",$I12*$C12*(1+'Property Summary'!$L$21)^('MF CapEx'!CO$3-1))</f>
        <v/>
      </c>
      <c r="CP12" s="149" t="str">
        <f>IF(OR($B12="",$B12=0),"",$I12*$C12*(1+'Property Summary'!$L$21)^('MF CapEx'!CP$3-1))</f>
        <v/>
      </c>
      <c r="CQ12" s="149" t="str">
        <f>IF(OR($B12="",$B12=0),"",$I12*$C12*(1+'Property Summary'!$L$21)^('MF CapEx'!CQ$3-1))</f>
        <v/>
      </c>
      <c r="CR12" s="149" t="str">
        <f>IF(OR($B12="",$B12=0),"",$I12*$C12*(1+'Property Summary'!$L$21)^('MF CapEx'!CR$3-1))</f>
        <v/>
      </c>
      <c r="CS12" s="149" t="str">
        <f>IF(OR($B12="",$B12=0),"",$I12*$C12*(1+'Property Summary'!$L$21)^('MF CapEx'!CS$3-1))</f>
        <v/>
      </c>
      <c r="CT12" s="149" t="str">
        <f>IF(OR($B12="",$B12=0),"",$I12*$C12*(1+'Property Summary'!$L$21)^('MF CapEx'!CT$3-1))</f>
        <v/>
      </c>
      <c r="CU12" s="149" t="str">
        <f>IF(OR($B12="",$B12=0),"",$I12*$C12*(1+'Property Summary'!$L$21)^('MF CapEx'!CU$3-1))</f>
        <v/>
      </c>
      <c r="CV12" s="149" t="str">
        <f>IF(OR($B12="",$B12=0),"",$I12*$C12*(1+'Property Summary'!$L$21)^('MF CapEx'!CV$3-1))</f>
        <v/>
      </c>
      <c r="CW12" s="149" t="str">
        <f>IF(OR($B12="",$B12=0),"",$I12*$C12*(1+'Property Summary'!$L$21)^('MF CapEx'!CW$3-1))</f>
        <v/>
      </c>
      <c r="CX12" s="149" t="str">
        <f>IF(OR($B12="",$B12=0),"",$I12*$C12*(1+'Property Summary'!$L$21)^('MF CapEx'!CX$3-1))</f>
        <v/>
      </c>
      <c r="CY12" s="149" t="str">
        <f>IF(OR($B12="",$B12=0),"",$I12*$C12*(1+'Property Summary'!$L$21)^('MF CapEx'!CY$3-1))</f>
        <v/>
      </c>
      <c r="CZ12" s="149" t="str">
        <f>IF(OR($B12="",$B12=0),"",$I12*$C12*(1+'Property Summary'!$L$21)^('MF CapEx'!CZ$3-1))</f>
        <v/>
      </c>
      <c r="DA12" s="149" t="str">
        <f>IF(OR($B12="",$B12=0),"",$I12*$C12*(1+'Property Summary'!$L$21)^('MF CapEx'!DA$3-1))</f>
        <v/>
      </c>
      <c r="DB12" s="149" t="str">
        <f>IF(OR($B12="",$B12=0),"",$I12*$C12*(1+'Property Summary'!$L$21)^('MF CapEx'!DB$3-1))</f>
        <v/>
      </c>
      <c r="DC12" s="149" t="str">
        <f>IF(OR($B12="",$B12=0),"",$I12*$C12*(1+'Property Summary'!$L$21)^('MF CapEx'!DC$3-1))</f>
        <v/>
      </c>
      <c r="DD12" s="149" t="str">
        <f>IF(OR($B12="",$B12=0),"",$I12*$C12*(1+'Property Summary'!$L$21)^('MF CapEx'!DD$3-1))</f>
        <v/>
      </c>
      <c r="DE12" s="149" t="str">
        <f>IF(OR($B12="",$B12=0),"",$I12*$C12*(1+'Property Summary'!$L$21)^('MF CapEx'!DE$3-1))</f>
        <v/>
      </c>
      <c r="DF12" s="149" t="str">
        <f>IF(OR($B12="",$B12=0),"",$I12*$C12*(1+'Property Summary'!$L$21)^('MF CapEx'!DF$3-1))</f>
        <v/>
      </c>
      <c r="DG12" s="149" t="str">
        <f>IF(OR($B12="",$B12=0),"",$I12*$C12*(1+'Property Summary'!$L$21)^('MF CapEx'!DG$3-1))</f>
        <v/>
      </c>
      <c r="DH12" s="149" t="str">
        <f>IF(OR($B12="",$B12=0),"",$I12*$C12*(1+'Property Summary'!$L$21)^('MF CapEx'!DH$3-1))</f>
        <v/>
      </c>
      <c r="DI12" s="149" t="str">
        <f>IF(OR($B12="",$B12=0),"",$I12*$C12*(1+'Property Summary'!$L$21)^('MF CapEx'!DI$3-1))</f>
        <v/>
      </c>
      <c r="DJ12" s="149" t="str">
        <f>IF(OR($B12="",$B12=0),"",$I12*$C12*(1+'Property Summary'!$L$21)^('MF CapEx'!DJ$3-1))</f>
        <v/>
      </c>
      <c r="DK12" s="149" t="str">
        <f>IF(OR($B12="",$B12=0),"",$I12*$C12*(1+'Property Summary'!$L$21)^('MF CapEx'!DK$3-1))</f>
        <v/>
      </c>
      <c r="DL12" s="149" t="str">
        <f>IF(OR($B12="",$B12=0),"",$I12*$C12*(1+'Property Summary'!$L$21)^('MF CapEx'!DL$3-1))</f>
        <v/>
      </c>
      <c r="DM12" s="149" t="str">
        <f>IF(OR($B12="",$B12=0),"",$I12*$C12*(1+'Property Summary'!$L$21)^('MF CapEx'!DM$3-1))</f>
        <v/>
      </c>
      <c r="DN12" s="149" t="str">
        <f>IF(OR($B12="",$B12=0),"",$I12*$C12*(1+'Property Summary'!$L$21)^('MF CapEx'!DN$3-1))</f>
        <v/>
      </c>
      <c r="DO12" s="149" t="str">
        <f>IF(OR($B12="",$B12=0),"",$I12*$C12*(1+'Property Summary'!$L$21)^('MF CapEx'!DO$3-1))</f>
        <v/>
      </c>
      <c r="DP12" s="149" t="str">
        <f>IF(OR($B12="",$B12=0),"",$I12*$C12*(1+'Property Summary'!$L$21)^('MF CapEx'!DP$3-1))</f>
        <v/>
      </c>
      <c r="DQ12" s="149" t="str">
        <f>IF(OR($B12="",$B12=0),"",$I12*$C12*(1+'Property Summary'!$L$21)^('MF CapEx'!DQ$3-1))</f>
        <v/>
      </c>
      <c r="DR12" s="149" t="str">
        <f>IF(OR($B12="",$B12=0),"",$I12*$C12*(1+'Property Summary'!$L$21)^('MF CapEx'!DR$3-1))</f>
        <v/>
      </c>
      <c r="DS12" s="149" t="str">
        <f>IF(OR($B12="",$B12=0),"",$I12*$C12*(1+'Property Summary'!$L$21)^('MF CapEx'!DS$3-1))</f>
        <v/>
      </c>
      <c r="DT12" s="149" t="str">
        <f>IF(OR($B12="",$B12=0),"",$I12*$C12*(1+'Property Summary'!$L$21)^('MF CapEx'!DT$3-1))</f>
        <v/>
      </c>
      <c r="DU12" s="149" t="str">
        <f>IF(OR($B12="",$B12=0),"",$I12*$C12*(1+'Property Summary'!$L$21)^('MF CapEx'!DU$3-1))</f>
        <v/>
      </c>
      <c r="DV12" s="149" t="str">
        <f>IF(OR($B12="",$B12=0),"",$I12*$C12*(1+'Property Summary'!$L$21)^('MF CapEx'!DV$3-1))</f>
        <v/>
      </c>
      <c r="DW12" s="149" t="str">
        <f>IF(OR($B12="",$B12=0),"",$I12*$C12*(1+'Property Summary'!$L$21)^('MF CapEx'!DW$3-1))</f>
        <v/>
      </c>
      <c r="DX12" s="149" t="str">
        <f>IF(OR($B12="",$B12=0),"",$I12*$C12*(1+'Property Summary'!$L$21)^('MF CapEx'!DX$3-1))</f>
        <v/>
      </c>
      <c r="DY12" s="149" t="str">
        <f>IF(OR($B12="",$B12=0),"",$I12*$C12*(1+'Property Summary'!$L$21)^('MF CapEx'!DY$3-1))</f>
        <v/>
      </c>
      <c r="DZ12" s="149" t="str">
        <f>IF(OR($B12="",$B12=0),"",$I12*$C12*(1+'Property Summary'!$L$21)^('MF CapEx'!DZ$3-1))</f>
        <v/>
      </c>
      <c r="EA12" s="149" t="str">
        <f>IF(OR($B12="",$B12=0),"",$I12*$C12*(1+'Property Summary'!$L$21)^('MF CapEx'!EA$3-1))</f>
        <v/>
      </c>
      <c r="EB12" s="149" t="str">
        <f>IF(OR($B12="",$B12=0),"",$I12*$C12*(1+'Property Summary'!$L$21)^('MF CapEx'!EB$3-1))</f>
        <v/>
      </c>
      <c r="EC12" s="149" t="str">
        <f>IF(OR($B12="",$B12=0),"",$I12*$C12*(1+'Property Summary'!$L$21)^('MF CapEx'!EC$3-1))</f>
        <v/>
      </c>
      <c r="ED12" s="149" t="str">
        <f>IF(OR($B12="",$B12=0),"",$I12*$C12*(1+'Property Summary'!$L$21)^('MF CapEx'!ED$3-1))</f>
        <v/>
      </c>
      <c r="EE12" s="149" t="str">
        <f>IF(OR($B12="",$B12=0),"",$I12*$C12*(1+'Property Summary'!$L$21)^('MF CapEx'!EE$3-1))</f>
        <v/>
      </c>
      <c r="EF12" s="149" t="str">
        <f>IF(OR($B12="",$B12=0),"",$I12*$C12*(1+'Property Summary'!$L$21)^('MF CapEx'!EF$3-1))</f>
        <v/>
      </c>
      <c r="EG12" s="149" t="str">
        <f>IF(OR($B12="",$B12=0),"",$I12*$C12*(1+'Property Summary'!$L$21)^('MF CapEx'!EG$3-1))</f>
        <v/>
      </c>
      <c r="EH12" s="149" t="str">
        <f>IF(OR($B12="",$B12=0),"",$I12*$C12*(1+'Property Summary'!$L$21)^('MF CapEx'!EH$3-1))</f>
        <v/>
      </c>
      <c r="EI12" s="149" t="str">
        <f>IF(OR($B12="",$B12=0),"",$I12*$C12*(1+'Property Summary'!$L$21)^('MF CapEx'!EI$3-1))</f>
        <v/>
      </c>
      <c r="EJ12" s="149" t="str">
        <f>IF(OR($B12="",$B12=0),"",$I12*$C12*(1+'Property Summary'!$L$21)^('MF CapEx'!EJ$3-1))</f>
        <v/>
      </c>
      <c r="EK12" s="149" t="str">
        <f>IF(OR($B12="",$B12=0),"",$I12*$C12*(1+'Property Summary'!$L$21)^('MF CapEx'!EK$3-1))</f>
        <v/>
      </c>
      <c r="EL12" s="149" t="str">
        <f>IF(OR($B12="",$B12=0),"",$I12*$C12*(1+'Property Summary'!$L$21)^('MF CapEx'!EL$3-1))</f>
        <v/>
      </c>
      <c r="EM12" s="149" t="str">
        <f>IF(OR($B12="",$B12=0),"",$I12*$C12*(1+'Property Summary'!$L$21)^('MF CapEx'!EM$3-1))</f>
        <v/>
      </c>
      <c r="EN12" s="149" t="str">
        <f>IF(OR($B12="",$B12=0),"",$I12*$C12*(1+'Property Summary'!$L$21)^('MF CapEx'!EN$3-1))</f>
        <v/>
      </c>
      <c r="EO12" s="149" t="str">
        <f>IF(OR($B12="",$B12=0),"",$I12*$C12*(1+'Property Summary'!$L$21)^('MF CapEx'!EO$3-1))</f>
        <v/>
      </c>
      <c r="EP12" s="149" t="str">
        <f>IF(OR($B12="",$B12=0),"",$I12*$C12*(1+'Property Summary'!$L$21)^('MF CapEx'!EP$3-1))</f>
        <v/>
      </c>
      <c r="EQ12" s="149" t="str">
        <f>IF(OR($B12="",$B12=0),"",$I12*$C12*(1+'Property Summary'!$L$21)^('MF CapEx'!EQ$3-1))</f>
        <v/>
      </c>
      <c r="ER12" s="149" t="str">
        <f>IF(OR($B12="",$B12=0),"",$I12*$C12*(1+'Property Summary'!$L$21)^('MF CapEx'!ER$3-1))</f>
        <v/>
      </c>
      <c r="ES12" s="149" t="str">
        <f>IF(OR($B12="",$B12=0),"",$I12*$C12*(1+'Property Summary'!$L$21)^('MF CapEx'!ES$3-1))</f>
        <v/>
      </c>
      <c r="ET12" s="149" t="str">
        <f>IF(OR($B12="",$B12=0),"",$I12*$C12*(1+'Property Summary'!$L$21)^('MF CapEx'!ET$3-1))</f>
        <v/>
      </c>
      <c r="EU12" s="149" t="str">
        <f>IF(OR($B12="",$B12=0),"",$I12*$C12*(1+'Property Summary'!$L$21)^('MF CapEx'!EU$3-1))</f>
        <v/>
      </c>
      <c r="EV12" s="149" t="str">
        <f>IF(OR($B12="",$B12=0),"",$I12*$C12*(1+'Property Summary'!$L$21)^('MF CapEx'!EV$3-1))</f>
        <v/>
      </c>
      <c r="EW12" s="149" t="str">
        <f>IF(OR($B12="",$B12=0),"",$I12*$C12*(1+'Property Summary'!$L$21)^('MF CapEx'!EW$3-1))</f>
        <v/>
      </c>
      <c r="EX12" s="149" t="str">
        <f>IF(OR($B12="",$B12=0),"",$I12*$C12*(1+'Property Summary'!$L$21)^('MF CapEx'!EX$3-1))</f>
        <v/>
      </c>
      <c r="EY12" s="149" t="str">
        <f>IF(OR($B12="",$B12=0),"",$I12*$C12*(1+'Property Summary'!$L$21)^('MF CapEx'!EY$3-1))</f>
        <v/>
      </c>
      <c r="EZ12" s="149" t="str">
        <f>IF(OR($B12="",$B12=0),"",$I12*$C12*(1+'Property Summary'!$L$21)^('MF CapEx'!EZ$3-1))</f>
        <v/>
      </c>
      <c r="FA12" s="149" t="str">
        <f>IF(OR($B12="",$B12=0),"",$I12*$C12*(1+'Property Summary'!$L$21)^('MF CapEx'!FA$3-1))</f>
        <v/>
      </c>
      <c r="FB12" s="149" t="str">
        <f>IF(OR($B12="",$B12=0),"",$I12*$C12*(1+'Property Summary'!$L$21)^('MF CapEx'!FB$3-1))</f>
        <v/>
      </c>
      <c r="FC12" s="149" t="str">
        <f>IF(OR($B12="",$B12=0),"",$I12*$C12*(1+'Property Summary'!$L$21)^('MF CapEx'!FC$3-1))</f>
        <v/>
      </c>
      <c r="FD12" s="149" t="str">
        <f>IF(OR($B12="",$B12=0),"",$I12*$C12*(1+'Property Summary'!$L$21)^('MF CapEx'!FD$3-1))</f>
        <v/>
      </c>
      <c r="FE12" s="149" t="str">
        <f>IF(OR($B12="",$B12=0),"",$I12*$C12*(1+'Property Summary'!$L$21)^('MF CapEx'!FE$3-1))</f>
        <v/>
      </c>
      <c r="FF12" s="149" t="str">
        <f>IF(OR($B12="",$B12=0),"",$I12*$C12*(1+'Property Summary'!$L$21)^('MF CapEx'!FF$3-1))</f>
        <v/>
      </c>
      <c r="FG12" s="149" t="str">
        <f>IF(OR($B12="",$B12=0),"",$I12*$C12*(1+'Property Summary'!$L$21)^('MF CapEx'!FG$3-1))</f>
        <v/>
      </c>
      <c r="FH12" s="149" t="str">
        <f>IF(OR($B12="",$B12=0),"",$I12*$C12*(1+'Property Summary'!$L$21)^('MF CapEx'!FH$3-1))</f>
        <v/>
      </c>
      <c r="FI12" s="149" t="str">
        <f>IF(OR($B12="",$B12=0),"",$I12*$C12*(1+'Property Summary'!$L$21)^('MF CapEx'!FI$3-1))</f>
        <v/>
      </c>
      <c r="FJ12" s="149" t="str">
        <f>IF(OR($B12="",$B12=0),"",$I12*$C12*(1+'Property Summary'!$L$21)^('MF CapEx'!FJ$3-1))</f>
        <v/>
      </c>
      <c r="FK12" s="149" t="str">
        <f>IF(OR($B12="",$B12=0),"",$I12*$C12*(1+'Property Summary'!$L$21)^('MF CapEx'!FK$3-1))</f>
        <v/>
      </c>
      <c r="FL12" s="149" t="str">
        <f>IF(OR($B12="",$B12=0),"",$I12*$C12*(1+'Property Summary'!$L$21)^('MF CapEx'!FL$3-1))</f>
        <v/>
      </c>
      <c r="FM12" s="149" t="str">
        <f>IF(OR($B12="",$B12=0),"",$I12*$C12*(1+'Property Summary'!$L$21)^('MF CapEx'!FM$3-1))</f>
        <v/>
      </c>
      <c r="FN12" s="149" t="str">
        <f>IF(OR($B12="",$B12=0),"",$I12*$C12*(1+'Property Summary'!$L$21)^('MF CapEx'!FN$3-1))</f>
        <v/>
      </c>
      <c r="FO12" s="149" t="str">
        <f>IF(OR($B12="",$B12=0),"",$I12*$C12*(1+'Property Summary'!$L$21)^('MF CapEx'!FO$3-1))</f>
        <v/>
      </c>
      <c r="FP12" s="149" t="str">
        <f>IF(OR($B12="",$B12=0),"",$I12*$C12*(1+'Property Summary'!$L$21)^('MF CapEx'!FP$3-1))</f>
        <v/>
      </c>
      <c r="FQ12" s="149" t="str">
        <f>IF(OR($B12="",$B12=0),"",$I12*$C12*(1+'Property Summary'!$L$21)^('MF CapEx'!FQ$3-1))</f>
        <v/>
      </c>
      <c r="FR12" s="149" t="str">
        <f>IF(OR($B12="",$B12=0),"",$I12*$C12*(1+'Property Summary'!$L$21)^('MF CapEx'!FR$3-1))</f>
        <v/>
      </c>
      <c r="FS12" s="149" t="str">
        <f>IF(OR($B12="",$B12=0),"",$I12*$C12*(1+'Property Summary'!$L$21)^('MF CapEx'!FS$3-1))</f>
        <v/>
      </c>
      <c r="FT12" s="149" t="str">
        <f>IF(OR($B12="",$B12=0),"",$I12*$C12*(1+'Property Summary'!$L$21)^('MF CapEx'!FT$3-1))</f>
        <v/>
      </c>
      <c r="FU12" s="149" t="str">
        <f>IF(OR($B12="",$B12=0),"",$I12*$C12*(1+'Property Summary'!$L$21)^('MF CapEx'!FU$3-1))</f>
        <v/>
      </c>
      <c r="FV12" s="149" t="str">
        <f>IF(OR($B12="",$B12=0),"",$I12*$C12*(1+'Property Summary'!$L$21)^('MF CapEx'!FV$3-1))</f>
        <v/>
      </c>
      <c r="FW12" s="149" t="str">
        <f>IF(OR($B12="",$B12=0),"",$I12*$C12*(1+'Property Summary'!$L$21)^('MF CapEx'!FW$3-1))</f>
        <v/>
      </c>
      <c r="FX12" s="149" t="str">
        <f>IF(OR($B12="",$B12=0),"",$I12*$C12*(1+'Property Summary'!$L$21)^('MF CapEx'!FX$3-1))</f>
        <v/>
      </c>
      <c r="FY12" s="149" t="str">
        <f>IF(OR($B12="",$B12=0),"",$I12*$C12*(1+'Property Summary'!$L$21)^('MF CapEx'!FY$3-1))</f>
        <v/>
      </c>
      <c r="FZ12" s="149" t="str">
        <f>IF(OR($B12="",$B12=0),"",$I12*$C12*(1+'Property Summary'!$L$21)^('MF CapEx'!FZ$3-1))</f>
        <v/>
      </c>
      <c r="GA12" s="149" t="str">
        <f>IF(OR($B12="",$B12=0),"",$I12*$C12*(1+'Property Summary'!$L$21)^('MF CapEx'!GA$3-1))</f>
        <v/>
      </c>
      <c r="GB12" s="149" t="str">
        <f>IF(OR($B12="",$B12=0),"",$I12*$C12*(1+'Property Summary'!$L$21)^('MF CapEx'!GB$3-1))</f>
        <v/>
      </c>
      <c r="GC12" s="149" t="str">
        <f>IF(OR($B12="",$B12=0),"",$I12*$C12*(1+'Property Summary'!$L$21)^('MF CapEx'!GC$3-1))</f>
        <v/>
      </c>
      <c r="GD12" s="149" t="str">
        <f>IF(OR($B12="",$B12=0),"",$I12*$C12*(1+'Property Summary'!$L$21)^('MF CapEx'!GD$3-1))</f>
        <v/>
      </c>
      <c r="GE12" s="149" t="str">
        <f>IF(OR($B12="",$B12=0),"",$I12*$C12*(1+'Property Summary'!$L$21)^('MF CapEx'!GE$3-1))</f>
        <v/>
      </c>
      <c r="GF12" s="149" t="str">
        <f>IF(OR($B12="",$B12=0),"",$I12*$C12*(1+'Property Summary'!$L$21)^('MF CapEx'!GF$3-1))</f>
        <v/>
      </c>
      <c r="GG12" s="149" t="str">
        <f>IF(OR($B12="",$B12=0),"",$I12*$C12*(1+'Property Summary'!$L$21)^('MF CapEx'!GG$3-1))</f>
        <v/>
      </c>
      <c r="GH12" s="149" t="str">
        <f>IF(OR($B12="",$B12=0),"",$I12*$C12*(1+'Property Summary'!$L$21)^('MF CapEx'!GH$3-1))</f>
        <v/>
      </c>
      <c r="GI12" s="149" t="str">
        <f>IF(OR($B12="",$B12=0),"",$I12*$C12*(1+'Property Summary'!$L$21)^('MF CapEx'!GI$3-1))</f>
        <v/>
      </c>
      <c r="GJ12" s="149" t="str">
        <f>IF(OR($B12="",$B12=0),"",$I12*$C12*(1+'Property Summary'!$L$21)^('MF CapEx'!GJ$3-1))</f>
        <v/>
      </c>
      <c r="GK12" s="149" t="str">
        <f>IF(OR($B12="",$B12=0),"",$I12*$C12*(1+'Property Summary'!$L$21)^('MF CapEx'!GK$3-1))</f>
        <v/>
      </c>
      <c r="GL12" s="149" t="str">
        <f>IF(OR($B12="",$B12=0),"",$I12*$C12*(1+'Property Summary'!$L$21)^('MF CapEx'!GL$3-1))</f>
        <v/>
      </c>
      <c r="GM12" s="149" t="str">
        <f>IF(OR($B12="",$B12=0),"",$I12*$C12*(1+'Property Summary'!$L$21)^('MF CapEx'!GM$3-1))</f>
        <v/>
      </c>
      <c r="GN12" s="149" t="str">
        <f>IF(OR($B12="",$B12=0),"",$I12*$C12*(1+'Property Summary'!$L$21)^('MF CapEx'!GN$3-1))</f>
        <v/>
      </c>
      <c r="GO12" s="149" t="str">
        <f>IF(OR($B12="",$B12=0),"",$I12*$C12*(1+'Property Summary'!$L$21)^('MF CapEx'!GO$3-1))</f>
        <v/>
      </c>
      <c r="GP12" s="149" t="str">
        <f>IF(OR($B12="",$B12=0),"",$I12*$C12*(1+'Property Summary'!$L$21)^('MF CapEx'!GP$3-1))</f>
        <v/>
      </c>
    </row>
    <row r="13" spans="2:198" x14ac:dyDescent="0.3">
      <c r="B13" s="184">
        <f>'MF Rent Roll'!B12</f>
        <v>0</v>
      </c>
      <c r="C13" s="171">
        <f>'MF Rent Roll'!C12</f>
        <v>0</v>
      </c>
      <c r="D13" s="172">
        <f>'MF Rent Roll'!D12</f>
        <v>0</v>
      </c>
      <c r="E13" s="172">
        <f>'MF Rent Roll'!E12</f>
        <v>0</v>
      </c>
      <c r="F13" s="173">
        <f>'MF Rent Roll'!F12</f>
        <v>0</v>
      </c>
      <c r="G13" s="174">
        <f>'MF Rent Roll'!G12</f>
        <v>0</v>
      </c>
      <c r="H13" s="176">
        <f>'MF Rent Roll'!J12</f>
        <v>0</v>
      </c>
      <c r="I13" s="174">
        <f>'MF Rent Roll'!K12</f>
        <v>0</v>
      </c>
      <c r="J13" s="177">
        <f>'MF Rent Roll'!L12</f>
        <v>0</v>
      </c>
      <c r="K13" s="178">
        <f>'MF Rent Roll'!M12</f>
        <v>0</v>
      </c>
      <c r="L13" s="174">
        <f>'MF Rent Roll'!N12</f>
        <v>0</v>
      </c>
      <c r="M13" s="179">
        <f>'MF Rent Roll'!O12</f>
        <v>0</v>
      </c>
      <c r="N13" s="180" t="str">
        <f>'MF Rent Roll'!P12</f>
        <v/>
      </c>
      <c r="O13" s="181" t="str">
        <f>'MF Rent Roll'!Q12</f>
        <v/>
      </c>
      <c r="P13" s="104" t="str">
        <f>'MF Rent Roll'!R12</f>
        <v/>
      </c>
      <c r="S13" s="149" t="str">
        <f>IF(OR($B13="",$B13=0),"",$I13*$C13*(1+'Property Summary'!$L$21)^('MF CapEx'!S$3-1))</f>
        <v/>
      </c>
      <c r="T13" s="149" t="str">
        <f>IF(OR($B13="",$B13=0),"",$I13*$C13*(1+'Property Summary'!$L$21)^('MF CapEx'!T$3-1))</f>
        <v/>
      </c>
      <c r="U13" s="149" t="str">
        <f>IF(OR($B13="",$B13=0),"",$I13*$C13*(1+'Property Summary'!$L$21)^('MF CapEx'!U$3-1))</f>
        <v/>
      </c>
      <c r="V13" s="149" t="str">
        <f>IF(OR($B13="",$B13=0),"",$I13*$C13*(1+'Property Summary'!$L$21)^('MF CapEx'!V$3-1))</f>
        <v/>
      </c>
      <c r="W13" s="149" t="str">
        <f>IF(OR($B13="",$B13=0),"",$I13*$C13*(1+'Property Summary'!$L$21)^('MF CapEx'!W$3-1))</f>
        <v/>
      </c>
      <c r="X13" s="149" t="str">
        <f>IF(OR($B13="",$B13=0),"",$I13*$C13*(1+'Property Summary'!$L$21)^('MF CapEx'!X$3-1))</f>
        <v/>
      </c>
      <c r="Y13" s="149" t="str">
        <f>IF(OR($B13="",$B13=0),"",$I13*$C13*(1+'Property Summary'!$L$21)^('MF CapEx'!Y$3-1))</f>
        <v/>
      </c>
      <c r="Z13" s="149" t="str">
        <f>IF(OR($B13="",$B13=0),"",$I13*$C13*(1+'Property Summary'!$L$21)^('MF CapEx'!Z$3-1))</f>
        <v/>
      </c>
      <c r="AA13" s="149" t="str">
        <f>IF(OR($B13="",$B13=0),"",$I13*$C13*(1+'Property Summary'!$L$21)^('MF CapEx'!AA$3-1))</f>
        <v/>
      </c>
      <c r="AB13" s="149" t="str">
        <f>IF(OR($B13="",$B13=0),"",$I13*$C13*(1+'Property Summary'!$L$21)^('MF CapEx'!AB$3-1))</f>
        <v/>
      </c>
      <c r="AC13" s="149" t="str">
        <f>IF(OR($B13="",$B13=0),"",$I13*$C13*(1+'Property Summary'!$L$21)^('MF CapEx'!AC$3-1))</f>
        <v/>
      </c>
      <c r="AD13" s="149" t="str">
        <f>IF(OR($B13="",$B13=0),"",$I13*$C13*(1+'Property Summary'!$L$21)^('MF CapEx'!AD$3-1))</f>
        <v/>
      </c>
      <c r="AE13" s="149" t="str">
        <f>IF(OR($B13="",$B13=0),"",$I13*$C13*(1+'Property Summary'!$L$21)^('MF CapEx'!AE$3-1))</f>
        <v/>
      </c>
      <c r="AF13" s="149" t="str">
        <f>IF(OR($B13="",$B13=0),"",$I13*$C13*(1+'Property Summary'!$L$21)^('MF CapEx'!AF$3-1))</f>
        <v/>
      </c>
      <c r="AG13" s="149" t="str">
        <f>IF(OR($B13="",$B13=0),"",$I13*$C13*(1+'Property Summary'!$L$21)^('MF CapEx'!AG$3-1))</f>
        <v/>
      </c>
      <c r="AH13" s="149" t="str">
        <f>IF(OR($B13="",$B13=0),"",$I13*$C13*(1+'Property Summary'!$L$21)^('MF CapEx'!AH$3-1))</f>
        <v/>
      </c>
      <c r="AI13" s="149" t="str">
        <f>IF(OR($B13="",$B13=0),"",$I13*$C13*(1+'Property Summary'!$L$21)^('MF CapEx'!AI$3-1))</f>
        <v/>
      </c>
      <c r="AJ13" s="149" t="str">
        <f>IF(OR($B13="",$B13=0),"",$I13*$C13*(1+'Property Summary'!$L$21)^('MF CapEx'!AJ$3-1))</f>
        <v/>
      </c>
      <c r="AK13" s="149" t="str">
        <f>IF(OR($B13="",$B13=0),"",$I13*$C13*(1+'Property Summary'!$L$21)^('MF CapEx'!AK$3-1))</f>
        <v/>
      </c>
      <c r="AL13" s="149" t="str">
        <f>IF(OR($B13="",$B13=0),"",$I13*$C13*(1+'Property Summary'!$L$21)^('MF CapEx'!AL$3-1))</f>
        <v/>
      </c>
      <c r="AM13" s="149" t="str">
        <f>IF(OR($B13="",$B13=0),"",$I13*$C13*(1+'Property Summary'!$L$21)^('MF CapEx'!AM$3-1))</f>
        <v/>
      </c>
      <c r="AN13" s="149" t="str">
        <f>IF(OR($B13="",$B13=0),"",$I13*$C13*(1+'Property Summary'!$L$21)^('MF CapEx'!AN$3-1))</f>
        <v/>
      </c>
      <c r="AO13" s="149" t="str">
        <f>IF(OR($B13="",$B13=0),"",$I13*$C13*(1+'Property Summary'!$L$21)^('MF CapEx'!AO$3-1))</f>
        <v/>
      </c>
      <c r="AP13" s="149" t="str">
        <f>IF(OR($B13="",$B13=0),"",$I13*$C13*(1+'Property Summary'!$L$21)^('MF CapEx'!AP$3-1))</f>
        <v/>
      </c>
      <c r="AQ13" s="149" t="str">
        <f>IF(OR($B13="",$B13=0),"",$I13*$C13*(1+'Property Summary'!$L$21)^('MF CapEx'!AQ$3-1))</f>
        <v/>
      </c>
      <c r="AR13" s="149" t="str">
        <f>IF(OR($B13="",$B13=0),"",$I13*$C13*(1+'Property Summary'!$L$21)^('MF CapEx'!AR$3-1))</f>
        <v/>
      </c>
      <c r="AS13" s="149" t="str">
        <f>IF(OR($B13="",$B13=0),"",$I13*$C13*(1+'Property Summary'!$L$21)^('MF CapEx'!AS$3-1))</f>
        <v/>
      </c>
      <c r="AT13" s="149" t="str">
        <f>IF(OR($B13="",$B13=0),"",$I13*$C13*(1+'Property Summary'!$L$21)^('MF CapEx'!AT$3-1))</f>
        <v/>
      </c>
      <c r="AU13" s="149" t="str">
        <f>IF(OR($B13="",$B13=0),"",$I13*$C13*(1+'Property Summary'!$L$21)^('MF CapEx'!AU$3-1))</f>
        <v/>
      </c>
      <c r="AV13" s="149" t="str">
        <f>IF(OR($B13="",$B13=0),"",$I13*$C13*(1+'Property Summary'!$L$21)^('MF CapEx'!AV$3-1))</f>
        <v/>
      </c>
      <c r="AW13" s="149" t="str">
        <f>IF(OR($B13="",$B13=0),"",$I13*$C13*(1+'Property Summary'!$L$21)^('MF CapEx'!AW$3-1))</f>
        <v/>
      </c>
      <c r="AX13" s="149" t="str">
        <f>IF(OR($B13="",$B13=0),"",$I13*$C13*(1+'Property Summary'!$L$21)^('MF CapEx'!AX$3-1))</f>
        <v/>
      </c>
      <c r="AY13" s="149" t="str">
        <f>IF(OR($B13="",$B13=0),"",$I13*$C13*(1+'Property Summary'!$L$21)^('MF CapEx'!AY$3-1))</f>
        <v/>
      </c>
      <c r="AZ13" s="149" t="str">
        <f>IF(OR($B13="",$B13=0),"",$I13*$C13*(1+'Property Summary'!$L$21)^('MF CapEx'!AZ$3-1))</f>
        <v/>
      </c>
      <c r="BA13" s="149" t="str">
        <f>IF(OR($B13="",$B13=0),"",$I13*$C13*(1+'Property Summary'!$L$21)^('MF CapEx'!BA$3-1))</f>
        <v/>
      </c>
      <c r="BB13" s="149" t="str">
        <f>IF(OR($B13="",$B13=0),"",$I13*$C13*(1+'Property Summary'!$L$21)^('MF CapEx'!BB$3-1))</f>
        <v/>
      </c>
      <c r="BC13" s="149" t="str">
        <f>IF(OR($B13="",$B13=0),"",$I13*$C13*(1+'Property Summary'!$L$21)^('MF CapEx'!BC$3-1))</f>
        <v/>
      </c>
      <c r="BD13" s="149" t="str">
        <f>IF(OR($B13="",$B13=0),"",$I13*$C13*(1+'Property Summary'!$L$21)^('MF CapEx'!BD$3-1))</f>
        <v/>
      </c>
      <c r="BE13" s="149" t="str">
        <f>IF(OR($B13="",$B13=0),"",$I13*$C13*(1+'Property Summary'!$L$21)^('MF CapEx'!BE$3-1))</f>
        <v/>
      </c>
      <c r="BF13" s="149" t="str">
        <f>IF(OR($B13="",$B13=0),"",$I13*$C13*(1+'Property Summary'!$L$21)^('MF CapEx'!BF$3-1))</f>
        <v/>
      </c>
      <c r="BG13" s="149" t="str">
        <f>IF(OR($B13="",$B13=0),"",$I13*$C13*(1+'Property Summary'!$L$21)^('MF CapEx'!BG$3-1))</f>
        <v/>
      </c>
      <c r="BH13" s="149" t="str">
        <f>IF(OR($B13="",$B13=0),"",$I13*$C13*(1+'Property Summary'!$L$21)^('MF CapEx'!BH$3-1))</f>
        <v/>
      </c>
      <c r="BI13" s="149" t="str">
        <f>IF(OR($B13="",$B13=0),"",$I13*$C13*(1+'Property Summary'!$L$21)^('MF CapEx'!BI$3-1))</f>
        <v/>
      </c>
      <c r="BJ13" s="149" t="str">
        <f>IF(OR($B13="",$B13=0),"",$I13*$C13*(1+'Property Summary'!$L$21)^('MF CapEx'!BJ$3-1))</f>
        <v/>
      </c>
      <c r="BK13" s="149" t="str">
        <f>IF(OR($B13="",$B13=0),"",$I13*$C13*(1+'Property Summary'!$L$21)^('MF CapEx'!BK$3-1))</f>
        <v/>
      </c>
      <c r="BL13" s="149" t="str">
        <f>IF(OR($B13="",$B13=0),"",$I13*$C13*(1+'Property Summary'!$L$21)^('MF CapEx'!BL$3-1))</f>
        <v/>
      </c>
      <c r="BM13" s="149" t="str">
        <f>IF(OR($B13="",$B13=0),"",$I13*$C13*(1+'Property Summary'!$L$21)^('MF CapEx'!BM$3-1))</f>
        <v/>
      </c>
      <c r="BN13" s="149" t="str">
        <f>IF(OR($B13="",$B13=0),"",$I13*$C13*(1+'Property Summary'!$L$21)^('MF CapEx'!BN$3-1))</f>
        <v/>
      </c>
      <c r="BO13" s="149" t="str">
        <f>IF(OR($B13="",$B13=0),"",$I13*$C13*(1+'Property Summary'!$L$21)^('MF CapEx'!BO$3-1))</f>
        <v/>
      </c>
      <c r="BP13" s="149" t="str">
        <f>IF(OR($B13="",$B13=0),"",$I13*$C13*(1+'Property Summary'!$L$21)^('MF CapEx'!BP$3-1))</f>
        <v/>
      </c>
      <c r="BQ13" s="149" t="str">
        <f>IF(OR($B13="",$B13=0),"",$I13*$C13*(1+'Property Summary'!$L$21)^('MF CapEx'!BQ$3-1))</f>
        <v/>
      </c>
      <c r="BR13" s="149" t="str">
        <f>IF(OR($B13="",$B13=0),"",$I13*$C13*(1+'Property Summary'!$L$21)^('MF CapEx'!BR$3-1))</f>
        <v/>
      </c>
      <c r="BS13" s="149" t="str">
        <f>IF(OR($B13="",$B13=0),"",$I13*$C13*(1+'Property Summary'!$L$21)^('MF CapEx'!BS$3-1))</f>
        <v/>
      </c>
      <c r="BT13" s="149" t="str">
        <f>IF(OR($B13="",$B13=0),"",$I13*$C13*(1+'Property Summary'!$L$21)^('MF CapEx'!BT$3-1))</f>
        <v/>
      </c>
      <c r="BU13" s="149" t="str">
        <f>IF(OR($B13="",$B13=0),"",$I13*$C13*(1+'Property Summary'!$L$21)^('MF CapEx'!BU$3-1))</f>
        <v/>
      </c>
      <c r="BV13" s="149" t="str">
        <f>IF(OR($B13="",$B13=0),"",$I13*$C13*(1+'Property Summary'!$L$21)^('MF CapEx'!BV$3-1))</f>
        <v/>
      </c>
      <c r="BW13" s="149" t="str">
        <f>IF(OR($B13="",$B13=0),"",$I13*$C13*(1+'Property Summary'!$L$21)^('MF CapEx'!BW$3-1))</f>
        <v/>
      </c>
      <c r="BX13" s="149" t="str">
        <f>IF(OR($B13="",$B13=0),"",$I13*$C13*(1+'Property Summary'!$L$21)^('MF CapEx'!BX$3-1))</f>
        <v/>
      </c>
      <c r="BY13" s="149" t="str">
        <f>IF(OR($B13="",$B13=0),"",$I13*$C13*(1+'Property Summary'!$L$21)^('MF CapEx'!BY$3-1))</f>
        <v/>
      </c>
      <c r="BZ13" s="149" t="str">
        <f>IF(OR($B13="",$B13=0),"",$I13*$C13*(1+'Property Summary'!$L$21)^('MF CapEx'!BZ$3-1))</f>
        <v/>
      </c>
      <c r="CA13" s="149" t="str">
        <f>IF(OR($B13="",$B13=0),"",$I13*$C13*(1+'Property Summary'!$L$21)^('MF CapEx'!CA$3-1))</f>
        <v/>
      </c>
      <c r="CB13" s="149" t="str">
        <f>IF(OR($B13="",$B13=0),"",$I13*$C13*(1+'Property Summary'!$L$21)^('MF CapEx'!CB$3-1))</f>
        <v/>
      </c>
      <c r="CC13" s="149" t="str">
        <f>IF(OR($B13="",$B13=0),"",$I13*$C13*(1+'Property Summary'!$L$21)^('MF CapEx'!CC$3-1))</f>
        <v/>
      </c>
      <c r="CD13" s="149" t="str">
        <f>IF(OR($B13="",$B13=0),"",$I13*$C13*(1+'Property Summary'!$L$21)^('MF CapEx'!CD$3-1))</f>
        <v/>
      </c>
      <c r="CE13" s="149" t="str">
        <f>IF(OR($B13="",$B13=0),"",$I13*$C13*(1+'Property Summary'!$L$21)^('MF CapEx'!CE$3-1))</f>
        <v/>
      </c>
      <c r="CF13" s="149" t="str">
        <f>IF(OR($B13="",$B13=0),"",$I13*$C13*(1+'Property Summary'!$L$21)^('MF CapEx'!CF$3-1))</f>
        <v/>
      </c>
      <c r="CG13" s="149" t="str">
        <f>IF(OR($B13="",$B13=0),"",$I13*$C13*(1+'Property Summary'!$L$21)^('MF CapEx'!CG$3-1))</f>
        <v/>
      </c>
      <c r="CH13" s="149" t="str">
        <f>IF(OR($B13="",$B13=0),"",$I13*$C13*(1+'Property Summary'!$L$21)^('MF CapEx'!CH$3-1))</f>
        <v/>
      </c>
      <c r="CI13" s="149" t="str">
        <f>IF(OR($B13="",$B13=0),"",$I13*$C13*(1+'Property Summary'!$L$21)^('MF CapEx'!CI$3-1))</f>
        <v/>
      </c>
      <c r="CJ13" s="149" t="str">
        <f>IF(OR($B13="",$B13=0),"",$I13*$C13*(1+'Property Summary'!$L$21)^('MF CapEx'!CJ$3-1))</f>
        <v/>
      </c>
      <c r="CK13" s="149" t="str">
        <f>IF(OR($B13="",$B13=0),"",$I13*$C13*(1+'Property Summary'!$L$21)^('MF CapEx'!CK$3-1))</f>
        <v/>
      </c>
      <c r="CL13" s="149" t="str">
        <f>IF(OR($B13="",$B13=0),"",$I13*$C13*(1+'Property Summary'!$L$21)^('MF CapEx'!CL$3-1))</f>
        <v/>
      </c>
      <c r="CM13" s="149" t="str">
        <f>IF(OR($B13="",$B13=0),"",$I13*$C13*(1+'Property Summary'!$L$21)^('MF CapEx'!CM$3-1))</f>
        <v/>
      </c>
      <c r="CN13" s="149" t="str">
        <f>IF(OR($B13="",$B13=0),"",$I13*$C13*(1+'Property Summary'!$L$21)^('MF CapEx'!CN$3-1))</f>
        <v/>
      </c>
      <c r="CO13" s="149" t="str">
        <f>IF(OR($B13="",$B13=0),"",$I13*$C13*(1+'Property Summary'!$L$21)^('MF CapEx'!CO$3-1))</f>
        <v/>
      </c>
      <c r="CP13" s="149" t="str">
        <f>IF(OR($B13="",$B13=0),"",$I13*$C13*(1+'Property Summary'!$L$21)^('MF CapEx'!CP$3-1))</f>
        <v/>
      </c>
      <c r="CQ13" s="149" t="str">
        <f>IF(OR($B13="",$B13=0),"",$I13*$C13*(1+'Property Summary'!$L$21)^('MF CapEx'!CQ$3-1))</f>
        <v/>
      </c>
      <c r="CR13" s="149" t="str">
        <f>IF(OR($B13="",$B13=0),"",$I13*$C13*(1+'Property Summary'!$L$21)^('MF CapEx'!CR$3-1))</f>
        <v/>
      </c>
      <c r="CS13" s="149" t="str">
        <f>IF(OR($B13="",$B13=0),"",$I13*$C13*(1+'Property Summary'!$L$21)^('MF CapEx'!CS$3-1))</f>
        <v/>
      </c>
      <c r="CT13" s="149" t="str">
        <f>IF(OR($B13="",$B13=0),"",$I13*$C13*(1+'Property Summary'!$L$21)^('MF CapEx'!CT$3-1))</f>
        <v/>
      </c>
      <c r="CU13" s="149" t="str">
        <f>IF(OR($B13="",$B13=0),"",$I13*$C13*(1+'Property Summary'!$L$21)^('MF CapEx'!CU$3-1))</f>
        <v/>
      </c>
      <c r="CV13" s="149" t="str">
        <f>IF(OR($B13="",$B13=0),"",$I13*$C13*(1+'Property Summary'!$L$21)^('MF CapEx'!CV$3-1))</f>
        <v/>
      </c>
      <c r="CW13" s="149" t="str">
        <f>IF(OR($B13="",$B13=0),"",$I13*$C13*(1+'Property Summary'!$L$21)^('MF CapEx'!CW$3-1))</f>
        <v/>
      </c>
      <c r="CX13" s="149" t="str">
        <f>IF(OR($B13="",$B13=0),"",$I13*$C13*(1+'Property Summary'!$L$21)^('MF CapEx'!CX$3-1))</f>
        <v/>
      </c>
      <c r="CY13" s="149" t="str">
        <f>IF(OR($B13="",$B13=0),"",$I13*$C13*(1+'Property Summary'!$L$21)^('MF CapEx'!CY$3-1))</f>
        <v/>
      </c>
      <c r="CZ13" s="149" t="str">
        <f>IF(OR($B13="",$B13=0),"",$I13*$C13*(1+'Property Summary'!$L$21)^('MF CapEx'!CZ$3-1))</f>
        <v/>
      </c>
      <c r="DA13" s="149" t="str">
        <f>IF(OR($B13="",$B13=0),"",$I13*$C13*(1+'Property Summary'!$L$21)^('MF CapEx'!DA$3-1))</f>
        <v/>
      </c>
      <c r="DB13" s="149" t="str">
        <f>IF(OR($B13="",$B13=0),"",$I13*$C13*(1+'Property Summary'!$L$21)^('MF CapEx'!DB$3-1))</f>
        <v/>
      </c>
      <c r="DC13" s="149" t="str">
        <f>IF(OR($B13="",$B13=0),"",$I13*$C13*(1+'Property Summary'!$L$21)^('MF CapEx'!DC$3-1))</f>
        <v/>
      </c>
      <c r="DD13" s="149" t="str">
        <f>IF(OR($B13="",$B13=0),"",$I13*$C13*(1+'Property Summary'!$L$21)^('MF CapEx'!DD$3-1))</f>
        <v/>
      </c>
      <c r="DE13" s="149" t="str">
        <f>IF(OR($B13="",$B13=0),"",$I13*$C13*(1+'Property Summary'!$L$21)^('MF CapEx'!DE$3-1))</f>
        <v/>
      </c>
      <c r="DF13" s="149" t="str">
        <f>IF(OR($B13="",$B13=0),"",$I13*$C13*(1+'Property Summary'!$L$21)^('MF CapEx'!DF$3-1))</f>
        <v/>
      </c>
      <c r="DG13" s="149" t="str">
        <f>IF(OR($B13="",$B13=0),"",$I13*$C13*(1+'Property Summary'!$L$21)^('MF CapEx'!DG$3-1))</f>
        <v/>
      </c>
      <c r="DH13" s="149" t="str">
        <f>IF(OR($B13="",$B13=0),"",$I13*$C13*(1+'Property Summary'!$L$21)^('MF CapEx'!DH$3-1))</f>
        <v/>
      </c>
      <c r="DI13" s="149" t="str">
        <f>IF(OR($B13="",$B13=0),"",$I13*$C13*(1+'Property Summary'!$L$21)^('MF CapEx'!DI$3-1))</f>
        <v/>
      </c>
      <c r="DJ13" s="149" t="str">
        <f>IF(OR($B13="",$B13=0),"",$I13*$C13*(1+'Property Summary'!$L$21)^('MF CapEx'!DJ$3-1))</f>
        <v/>
      </c>
      <c r="DK13" s="149" t="str">
        <f>IF(OR($B13="",$B13=0),"",$I13*$C13*(1+'Property Summary'!$L$21)^('MF CapEx'!DK$3-1))</f>
        <v/>
      </c>
      <c r="DL13" s="149" t="str">
        <f>IF(OR($B13="",$B13=0),"",$I13*$C13*(1+'Property Summary'!$L$21)^('MF CapEx'!DL$3-1))</f>
        <v/>
      </c>
      <c r="DM13" s="149" t="str">
        <f>IF(OR($B13="",$B13=0),"",$I13*$C13*(1+'Property Summary'!$L$21)^('MF CapEx'!DM$3-1))</f>
        <v/>
      </c>
      <c r="DN13" s="149" t="str">
        <f>IF(OR($B13="",$B13=0),"",$I13*$C13*(1+'Property Summary'!$L$21)^('MF CapEx'!DN$3-1))</f>
        <v/>
      </c>
      <c r="DO13" s="149" t="str">
        <f>IF(OR($B13="",$B13=0),"",$I13*$C13*(1+'Property Summary'!$L$21)^('MF CapEx'!DO$3-1))</f>
        <v/>
      </c>
      <c r="DP13" s="149" t="str">
        <f>IF(OR($B13="",$B13=0),"",$I13*$C13*(1+'Property Summary'!$L$21)^('MF CapEx'!DP$3-1))</f>
        <v/>
      </c>
      <c r="DQ13" s="149" t="str">
        <f>IF(OR($B13="",$B13=0),"",$I13*$C13*(1+'Property Summary'!$L$21)^('MF CapEx'!DQ$3-1))</f>
        <v/>
      </c>
      <c r="DR13" s="149" t="str">
        <f>IF(OR($B13="",$B13=0),"",$I13*$C13*(1+'Property Summary'!$L$21)^('MF CapEx'!DR$3-1))</f>
        <v/>
      </c>
      <c r="DS13" s="149" t="str">
        <f>IF(OR($B13="",$B13=0),"",$I13*$C13*(1+'Property Summary'!$L$21)^('MF CapEx'!DS$3-1))</f>
        <v/>
      </c>
      <c r="DT13" s="149" t="str">
        <f>IF(OR($B13="",$B13=0),"",$I13*$C13*(1+'Property Summary'!$L$21)^('MF CapEx'!DT$3-1))</f>
        <v/>
      </c>
      <c r="DU13" s="149" t="str">
        <f>IF(OR($B13="",$B13=0),"",$I13*$C13*(1+'Property Summary'!$L$21)^('MF CapEx'!DU$3-1))</f>
        <v/>
      </c>
      <c r="DV13" s="149" t="str">
        <f>IF(OR($B13="",$B13=0),"",$I13*$C13*(1+'Property Summary'!$L$21)^('MF CapEx'!DV$3-1))</f>
        <v/>
      </c>
      <c r="DW13" s="149" t="str">
        <f>IF(OR($B13="",$B13=0),"",$I13*$C13*(1+'Property Summary'!$L$21)^('MF CapEx'!DW$3-1))</f>
        <v/>
      </c>
      <c r="DX13" s="149" t="str">
        <f>IF(OR($B13="",$B13=0),"",$I13*$C13*(1+'Property Summary'!$L$21)^('MF CapEx'!DX$3-1))</f>
        <v/>
      </c>
      <c r="DY13" s="149" t="str">
        <f>IF(OR($B13="",$B13=0),"",$I13*$C13*(1+'Property Summary'!$L$21)^('MF CapEx'!DY$3-1))</f>
        <v/>
      </c>
      <c r="DZ13" s="149" t="str">
        <f>IF(OR($B13="",$B13=0),"",$I13*$C13*(1+'Property Summary'!$L$21)^('MF CapEx'!DZ$3-1))</f>
        <v/>
      </c>
      <c r="EA13" s="149" t="str">
        <f>IF(OR($B13="",$B13=0),"",$I13*$C13*(1+'Property Summary'!$L$21)^('MF CapEx'!EA$3-1))</f>
        <v/>
      </c>
      <c r="EB13" s="149" t="str">
        <f>IF(OR($B13="",$B13=0),"",$I13*$C13*(1+'Property Summary'!$L$21)^('MF CapEx'!EB$3-1))</f>
        <v/>
      </c>
      <c r="EC13" s="149" t="str">
        <f>IF(OR($B13="",$B13=0),"",$I13*$C13*(1+'Property Summary'!$L$21)^('MF CapEx'!EC$3-1))</f>
        <v/>
      </c>
      <c r="ED13" s="149" t="str">
        <f>IF(OR($B13="",$B13=0),"",$I13*$C13*(1+'Property Summary'!$L$21)^('MF CapEx'!ED$3-1))</f>
        <v/>
      </c>
      <c r="EE13" s="149" t="str">
        <f>IF(OR($B13="",$B13=0),"",$I13*$C13*(1+'Property Summary'!$L$21)^('MF CapEx'!EE$3-1))</f>
        <v/>
      </c>
      <c r="EF13" s="149" t="str">
        <f>IF(OR($B13="",$B13=0),"",$I13*$C13*(1+'Property Summary'!$L$21)^('MF CapEx'!EF$3-1))</f>
        <v/>
      </c>
      <c r="EG13" s="149" t="str">
        <f>IF(OR($B13="",$B13=0),"",$I13*$C13*(1+'Property Summary'!$L$21)^('MF CapEx'!EG$3-1))</f>
        <v/>
      </c>
      <c r="EH13" s="149" t="str">
        <f>IF(OR($B13="",$B13=0),"",$I13*$C13*(1+'Property Summary'!$L$21)^('MF CapEx'!EH$3-1))</f>
        <v/>
      </c>
      <c r="EI13" s="149" t="str">
        <f>IF(OR($B13="",$B13=0),"",$I13*$C13*(1+'Property Summary'!$L$21)^('MF CapEx'!EI$3-1))</f>
        <v/>
      </c>
      <c r="EJ13" s="149" t="str">
        <f>IF(OR($B13="",$B13=0),"",$I13*$C13*(1+'Property Summary'!$L$21)^('MF CapEx'!EJ$3-1))</f>
        <v/>
      </c>
      <c r="EK13" s="149" t="str">
        <f>IF(OR($B13="",$B13=0),"",$I13*$C13*(1+'Property Summary'!$L$21)^('MF CapEx'!EK$3-1))</f>
        <v/>
      </c>
      <c r="EL13" s="149" t="str">
        <f>IF(OR($B13="",$B13=0),"",$I13*$C13*(1+'Property Summary'!$L$21)^('MF CapEx'!EL$3-1))</f>
        <v/>
      </c>
      <c r="EM13" s="149" t="str">
        <f>IF(OR($B13="",$B13=0),"",$I13*$C13*(1+'Property Summary'!$L$21)^('MF CapEx'!EM$3-1))</f>
        <v/>
      </c>
      <c r="EN13" s="149" t="str">
        <f>IF(OR($B13="",$B13=0),"",$I13*$C13*(1+'Property Summary'!$L$21)^('MF CapEx'!EN$3-1))</f>
        <v/>
      </c>
      <c r="EO13" s="149" t="str">
        <f>IF(OR($B13="",$B13=0),"",$I13*$C13*(1+'Property Summary'!$L$21)^('MF CapEx'!EO$3-1))</f>
        <v/>
      </c>
      <c r="EP13" s="149" t="str">
        <f>IF(OR($B13="",$B13=0),"",$I13*$C13*(1+'Property Summary'!$L$21)^('MF CapEx'!EP$3-1))</f>
        <v/>
      </c>
      <c r="EQ13" s="149" t="str">
        <f>IF(OR($B13="",$B13=0),"",$I13*$C13*(1+'Property Summary'!$L$21)^('MF CapEx'!EQ$3-1))</f>
        <v/>
      </c>
      <c r="ER13" s="149" t="str">
        <f>IF(OR($B13="",$B13=0),"",$I13*$C13*(1+'Property Summary'!$L$21)^('MF CapEx'!ER$3-1))</f>
        <v/>
      </c>
      <c r="ES13" s="149" t="str">
        <f>IF(OR($B13="",$B13=0),"",$I13*$C13*(1+'Property Summary'!$L$21)^('MF CapEx'!ES$3-1))</f>
        <v/>
      </c>
      <c r="ET13" s="149" t="str">
        <f>IF(OR($B13="",$B13=0),"",$I13*$C13*(1+'Property Summary'!$L$21)^('MF CapEx'!ET$3-1))</f>
        <v/>
      </c>
      <c r="EU13" s="149" t="str">
        <f>IF(OR($B13="",$B13=0),"",$I13*$C13*(1+'Property Summary'!$L$21)^('MF CapEx'!EU$3-1))</f>
        <v/>
      </c>
      <c r="EV13" s="149" t="str">
        <f>IF(OR($B13="",$B13=0),"",$I13*$C13*(1+'Property Summary'!$L$21)^('MF CapEx'!EV$3-1))</f>
        <v/>
      </c>
      <c r="EW13" s="149" t="str">
        <f>IF(OR($B13="",$B13=0),"",$I13*$C13*(1+'Property Summary'!$L$21)^('MF CapEx'!EW$3-1))</f>
        <v/>
      </c>
      <c r="EX13" s="149" t="str">
        <f>IF(OR($B13="",$B13=0),"",$I13*$C13*(1+'Property Summary'!$L$21)^('MF CapEx'!EX$3-1))</f>
        <v/>
      </c>
      <c r="EY13" s="149" t="str">
        <f>IF(OR($B13="",$B13=0),"",$I13*$C13*(1+'Property Summary'!$L$21)^('MF CapEx'!EY$3-1))</f>
        <v/>
      </c>
      <c r="EZ13" s="149" t="str">
        <f>IF(OR($B13="",$B13=0),"",$I13*$C13*(1+'Property Summary'!$L$21)^('MF CapEx'!EZ$3-1))</f>
        <v/>
      </c>
      <c r="FA13" s="149" t="str">
        <f>IF(OR($B13="",$B13=0),"",$I13*$C13*(1+'Property Summary'!$L$21)^('MF CapEx'!FA$3-1))</f>
        <v/>
      </c>
      <c r="FB13" s="149" t="str">
        <f>IF(OR($B13="",$B13=0),"",$I13*$C13*(1+'Property Summary'!$L$21)^('MF CapEx'!FB$3-1))</f>
        <v/>
      </c>
      <c r="FC13" s="149" t="str">
        <f>IF(OR($B13="",$B13=0),"",$I13*$C13*(1+'Property Summary'!$L$21)^('MF CapEx'!FC$3-1))</f>
        <v/>
      </c>
      <c r="FD13" s="149" t="str">
        <f>IF(OR($B13="",$B13=0),"",$I13*$C13*(1+'Property Summary'!$L$21)^('MF CapEx'!FD$3-1))</f>
        <v/>
      </c>
      <c r="FE13" s="149" t="str">
        <f>IF(OR($B13="",$B13=0),"",$I13*$C13*(1+'Property Summary'!$L$21)^('MF CapEx'!FE$3-1))</f>
        <v/>
      </c>
      <c r="FF13" s="149" t="str">
        <f>IF(OR($B13="",$B13=0),"",$I13*$C13*(1+'Property Summary'!$L$21)^('MF CapEx'!FF$3-1))</f>
        <v/>
      </c>
      <c r="FG13" s="149" t="str">
        <f>IF(OR($B13="",$B13=0),"",$I13*$C13*(1+'Property Summary'!$L$21)^('MF CapEx'!FG$3-1))</f>
        <v/>
      </c>
      <c r="FH13" s="149" t="str">
        <f>IF(OR($B13="",$B13=0),"",$I13*$C13*(1+'Property Summary'!$L$21)^('MF CapEx'!FH$3-1))</f>
        <v/>
      </c>
      <c r="FI13" s="149" t="str">
        <f>IF(OR($B13="",$B13=0),"",$I13*$C13*(1+'Property Summary'!$L$21)^('MF CapEx'!FI$3-1))</f>
        <v/>
      </c>
      <c r="FJ13" s="149" t="str">
        <f>IF(OR($B13="",$B13=0),"",$I13*$C13*(1+'Property Summary'!$L$21)^('MF CapEx'!FJ$3-1))</f>
        <v/>
      </c>
      <c r="FK13" s="149" t="str">
        <f>IF(OR($B13="",$B13=0),"",$I13*$C13*(1+'Property Summary'!$L$21)^('MF CapEx'!FK$3-1))</f>
        <v/>
      </c>
      <c r="FL13" s="149" t="str">
        <f>IF(OR($B13="",$B13=0),"",$I13*$C13*(1+'Property Summary'!$L$21)^('MF CapEx'!FL$3-1))</f>
        <v/>
      </c>
      <c r="FM13" s="149" t="str">
        <f>IF(OR($B13="",$B13=0),"",$I13*$C13*(1+'Property Summary'!$L$21)^('MF CapEx'!FM$3-1))</f>
        <v/>
      </c>
      <c r="FN13" s="149" t="str">
        <f>IF(OR($B13="",$B13=0),"",$I13*$C13*(1+'Property Summary'!$L$21)^('MF CapEx'!FN$3-1))</f>
        <v/>
      </c>
      <c r="FO13" s="149" t="str">
        <f>IF(OR($B13="",$B13=0),"",$I13*$C13*(1+'Property Summary'!$L$21)^('MF CapEx'!FO$3-1))</f>
        <v/>
      </c>
      <c r="FP13" s="149" t="str">
        <f>IF(OR($B13="",$B13=0),"",$I13*$C13*(1+'Property Summary'!$L$21)^('MF CapEx'!FP$3-1))</f>
        <v/>
      </c>
      <c r="FQ13" s="149" t="str">
        <f>IF(OR($B13="",$B13=0),"",$I13*$C13*(1+'Property Summary'!$L$21)^('MF CapEx'!FQ$3-1))</f>
        <v/>
      </c>
      <c r="FR13" s="149" t="str">
        <f>IF(OR($B13="",$B13=0),"",$I13*$C13*(1+'Property Summary'!$L$21)^('MF CapEx'!FR$3-1))</f>
        <v/>
      </c>
      <c r="FS13" s="149" t="str">
        <f>IF(OR($B13="",$B13=0),"",$I13*$C13*(1+'Property Summary'!$L$21)^('MF CapEx'!FS$3-1))</f>
        <v/>
      </c>
      <c r="FT13" s="149" t="str">
        <f>IF(OR($B13="",$B13=0),"",$I13*$C13*(1+'Property Summary'!$L$21)^('MF CapEx'!FT$3-1))</f>
        <v/>
      </c>
      <c r="FU13" s="149" t="str">
        <f>IF(OR($B13="",$B13=0),"",$I13*$C13*(1+'Property Summary'!$L$21)^('MF CapEx'!FU$3-1))</f>
        <v/>
      </c>
      <c r="FV13" s="149" t="str">
        <f>IF(OR($B13="",$B13=0),"",$I13*$C13*(1+'Property Summary'!$L$21)^('MF CapEx'!FV$3-1))</f>
        <v/>
      </c>
      <c r="FW13" s="149" t="str">
        <f>IF(OR($B13="",$B13=0),"",$I13*$C13*(1+'Property Summary'!$L$21)^('MF CapEx'!FW$3-1))</f>
        <v/>
      </c>
      <c r="FX13" s="149" t="str">
        <f>IF(OR($B13="",$B13=0),"",$I13*$C13*(1+'Property Summary'!$L$21)^('MF CapEx'!FX$3-1))</f>
        <v/>
      </c>
      <c r="FY13" s="149" t="str">
        <f>IF(OR($B13="",$B13=0),"",$I13*$C13*(1+'Property Summary'!$L$21)^('MF CapEx'!FY$3-1))</f>
        <v/>
      </c>
      <c r="FZ13" s="149" t="str">
        <f>IF(OR($B13="",$B13=0),"",$I13*$C13*(1+'Property Summary'!$L$21)^('MF CapEx'!FZ$3-1))</f>
        <v/>
      </c>
      <c r="GA13" s="149" t="str">
        <f>IF(OR($B13="",$B13=0),"",$I13*$C13*(1+'Property Summary'!$L$21)^('MF CapEx'!GA$3-1))</f>
        <v/>
      </c>
      <c r="GB13" s="149" t="str">
        <f>IF(OR($B13="",$B13=0),"",$I13*$C13*(1+'Property Summary'!$L$21)^('MF CapEx'!GB$3-1))</f>
        <v/>
      </c>
      <c r="GC13" s="149" t="str">
        <f>IF(OR($B13="",$B13=0),"",$I13*$C13*(1+'Property Summary'!$L$21)^('MF CapEx'!GC$3-1))</f>
        <v/>
      </c>
      <c r="GD13" s="149" t="str">
        <f>IF(OR($B13="",$B13=0),"",$I13*$C13*(1+'Property Summary'!$L$21)^('MF CapEx'!GD$3-1))</f>
        <v/>
      </c>
      <c r="GE13" s="149" t="str">
        <f>IF(OR($B13="",$B13=0),"",$I13*$C13*(1+'Property Summary'!$L$21)^('MF CapEx'!GE$3-1))</f>
        <v/>
      </c>
      <c r="GF13" s="149" t="str">
        <f>IF(OR($B13="",$B13=0),"",$I13*$C13*(1+'Property Summary'!$L$21)^('MF CapEx'!GF$3-1))</f>
        <v/>
      </c>
      <c r="GG13" s="149" t="str">
        <f>IF(OR($B13="",$B13=0),"",$I13*$C13*(1+'Property Summary'!$L$21)^('MF CapEx'!GG$3-1))</f>
        <v/>
      </c>
      <c r="GH13" s="149" t="str">
        <f>IF(OR($B13="",$B13=0),"",$I13*$C13*(1+'Property Summary'!$L$21)^('MF CapEx'!GH$3-1))</f>
        <v/>
      </c>
      <c r="GI13" s="149" t="str">
        <f>IF(OR($B13="",$B13=0),"",$I13*$C13*(1+'Property Summary'!$L$21)^('MF CapEx'!GI$3-1))</f>
        <v/>
      </c>
      <c r="GJ13" s="149" t="str">
        <f>IF(OR($B13="",$B13=0),"",$I13*$C13*(1+'Property Summary'!$L$21)^('MF CapEx'!GJ$3-1))</f>
        <v/>
      </c>
      <c r="GK13" s="149" t="str">
        <f>IF(OR($B13="",$B13=0),"",$I13*$C13*(1+'Property Summary'!$L$21)^('MF CapEx'!GK$3-1))</f>
        <v/>
      </c>
      <c r="GL13" s="149" t="str">
        <f>IF(OR($B13="",$B13=0),"",$I13*$C13*(1+'Property Summary'!$L$21)^('MF CapEx'!GL$3-1))</f>
        <v/>
      </c>
      <c r="GM13" s="149" t="str">
        <f>IF(OR($B13="",$B13=0),"",$I13*$C13*(1+'Property Summary'!$L$21)^('MF CapEx'!GM$3-1))</f>
        <v/>
      </c>
      <c r="GN13" s="149" t="str">
        <f>IF(OR($B13="",$B13=0),"",$I13*$C13*(1+'Property Summary'!$L$21)^('MF CapEx'!GN$3-1))</f>
        <v/>
      </c>
      <c r="GO13" s="149" t="str">
        <f>IF(OR($B13="",$B13=0),"",$I13*$C13*(1+'Property Summary'!$L$21)^('MF CapEx'!GO$3-1))</f>
        <v/>
      </c>
      <c r="GP13" s="149" t="str">
        <f>IF(OR($B13="",$B13=0),"",$I13*$C13*(1+'Property Summary'!$L$21)^('MF CapEx'!GP$3-1))</f>
        <v/>
      </c>
    </row>
    <row r="14" spans="2:198" x14ac:dyDescent="0.3">
      <c r="B14" s="184">
        <f>'MF Rent Roll'!B13</f>
        <v>0</v>
      </c>
      <c r="C14" s="171">
        <f>'MF Rent Roll'!C13</f>
        <v>0</v>
      </c>
      <c r="D14" s="172">
        <f>'MF Rent Roll'!D13</f>
        <v>0</v>
      </c>
      <c r="E14" s="172">
        <f>'MF Rent Roll'!E13</f>
        <v>0</v>
      </c>
      <c r="F14" s="173">
        <f>'MF Rent Roll'!F13</f>
        <v>0</v>
      </c>
      <c r="G14" s="174">
        <f>'MF Rent Roll'!G13</f>
        <v>0</v>
      </c>
      <c r="H14" s="176">
        <f>'MF Rent Roll'!J13</f>
        <v>0</v>
      </c>
      <c r="I14" s="174">
        <f>'MF Rent Roll'!K13</f>
        <v>0</v>
      </c>
      <c r="J14" s="177">
        <f>'MF Rent Roll'!L13</f>
        <v>0</v>
      </c>
      <c r="K14" s="178">
        <f>'MF Rent Roll'!M13</f>
        <v>0</v>
      </c>
      <c r="L14" s="174">
        <f>'MF Rent Roll'!N13</f>
        <v>0</v>
      </c>
      <c r="M14" s="179">
        <f>'MF Rent Roll'!O13</f>
        <v>0</v>
      </c>
      <c r="N14" s="180" t="str">
        <f>'MF Rent Roll'!P13</f>
        <v/>
      </c>
      <c r="O14" s="181" t="str">
        <f>'MF Rent Roll'!Q13</f>
        <v/>
      </c>
      <c r="P14" s="104" t="str">
        <f>'MF Rent Roll'!R13</f>
        <v/>
      </c>
      <c r="S14" s="149" t="str">
        <f>IF(OR($B14="",$B14=0),"",$I14*$C14*(1+'Property Summary'!$L$21)^('MF CapEx'!S$3-1))</f>
        <v/>
      </c>
      <c r="T14" s="149" t="str">
        <f>IF(OR($B14="",$B14=0),"",$I14*$C14*(1+'Property Summary'!$L$21)^('MF CapEx'!T$3-1))</f>
        <v/>
      </c>
      <c r="U14" s="149" t="str">
        <f>IF(OR($B14="",$B14=0),"",$I14*$C14*(1+'Property Summary'!$L$21)^('MF CapEx'!U$3-1))</f>
        <v/>
      </c>
      <c r="V14" s="149" t="str">
        <f>IF(OR($B14="",$B14=0),"",$I14*$C14*(1+'Property Summary'!$L$21)^('MF CapEx'!V$3-1))</f>
        <v/>
      </c>
      <c r="W14" s="149" t="str">
        <f>IF(OR($B14="",$B14=0),"",$I14*$C14*(1+'Property Summary'!$L$21)^('MF CapEx'!W$3-1))</f>
        <v/>
      </c>
      <c r="X14" s="149" t="str">
        <f>IF(OR($B14="",$B14=0),"",$I14*$C14*(1+'Property Summary'!$L$21)^('MF CapEx'!X$3-1))</f>
        <v/>
      </c>
      <c r="Y14" s="149" t="str">
        <f>IF(OR($B14="",$B14=0),"",$I14*$C14*(1+'Property Summary'!$L$21)^('MF CapEx'!Y$3-1))</f>
        <v/>
      </c>
      <c r="Z14" s="149" t="str">
        <f>IF(OR($B14="",$B14=0),"",$I14*$C14*(1+'Property Summary'!$L$21)^('MF CapEx'!Z$3-1))</f>
        <v/>
      </c>
      <c r="AA14" s="149" t="str">
        <f>IF(OR($B14="",$B14=0),"",$I14*$C14*(1+'Property Summary'!$L$21)^('MF CapEx'!AA$3-1))</f>
        <v/>
      </c>
      <c r="AB14" s="149" t="str">
        <f>IF(OR($B14="",$B14=0),"",$I14*$C14*(1+'Property Summary'!$L$21)^('MF CapEx'!AB$3-1))</f>
        <v/>
      </c>
      <c r="AC14" s="149" t="str">
        <f>IF(OR($B14="",$B14=0),"",$I14*$C14*(1+'Property Summary'!$L$21)^('MF CapEx'!AC$3-1))</f>
        <v/>
      </c>
      <c r="AD14" s="149" t="str">
        <f>IF(OR($B14="",$B14=0),"",$I14*$C14*(1+'Property Summary'!$L$21)^('MF CapEx'!AD$3-1))</f>
        <v/>
      </c>
      <c r="AE14" s="149" t="str">
        <f>IF(OR($B14="",$B14=0),"",$I14*$C14*(1+'Property Summary'!$L$21)^('MF CapEx'!AE$3-1))</f>
        <v/>
      </c>
      <c r="AF14" s="149" t="str">
        <f>IF(OR($B14="",$B14=0),"",$I14*$C14*(1+'Property Summary'!$L$21)^('MF CapEx'!AF$3-1))</f>
        <v/>
      </c>
      <c r="AG14" s="149" t="str">
        <f>IF(OR($B14="",$B14=0),"",$I14*$C14*(1+'Property Summary'!$L$21)^('MF CapEx'!AG$3-1))</f>
        <v/>
      </c>
      <c r="AH14" s="149" t="str">
        <f>IF(OR($B14="",$B14=0),"",$I14*$C14*(1+'Property Summary'!$L$21)^('MF CapEx'!AH$3-1))</f>
        <v/>
      </c>
      <c r="AI14" s="149" t="str">
        <f>IF(OR($B14="",$B14=0),"",$I14*$C14*(1+'Property Summary'!$L$21)^('MF CapEx'!AI$3-1))</f>
        <v/>
      </c>
      <c r="AJ14" s="149" t="str">
        <f>IF(OR($B14="",$B14=0),"",$I14*$C14*(1+'Property Summary'!$L$21)^('MF CapEx'!AJ$3-1))</f>
        <v/>
      </c>
      <c r="AK14" s="149" t="str">
        <f>IF(OR($B14="",$B14=0),"",$I14*$C14*(1+'Property Summary'!$L$21)^('MF CapEx'!AK$3-1))</f>
        <v/>
      </c>
      <c r="AL14" s="149" t="str">
        <f>IF(OR($B14="",$B14=0),"",$I14*$C14*(1+'Property Summary'!$L$21)^('MF CapEx'!AL$3-1))</f>
        <v/>
      </c>
      <c r="AM14" s="149" t="str">
        <f>IF(OR($B14="",$B14=0),"",$I14*$C14*(1+'Property Summary'!$L$21)^('MF CapEx'!AM$3-1))</f>
        <v/>
      </c>
      <c r="AN14" s="149" t="str">
        <f>IF(OR($B14="",$B14=0),"",$I14*$C14*(1+'Property Summary'!$L$21)^('MF CapEx'!AN$3-1))</f>
        <v/>
      </c>
      <c r="AO14" s="149" t="str">
        <f>IF(OR($B14="",$B14=0),"",$I14*$C14*(1+'Property Summary'!$L$21)^('MF CapEx'!AO$3-1))</f>
        <v/>
      </c>
      <c r="AP14" s="149" t="str">
        <f>IF(OR($B14="",$B14=0),"",$I14*$C14*(1+'Property Summary'!$L$21)^('MF CapEx'!AP$3-1))</f>
        <v/>
      </c>
      <c r="AQ14" s="149" t="str">
        <f>IF(OR($B14="",$B14=0),"",$I14*$C14*(1+'Property Summary'!$L$21)^('MF CapEx'!AQ$3-1))</f>
        <v/>
      </c>
      <c r="AR14" s="149" t="str">
        <f>IF(OR($B14="",$B14=0),"",$I14*$C14*(1+'Property Summary'!$L$21)^('MF CapEx'!AR$3-1))</f>
        <v/>
      </c>
      <c r="AS14" s="149" t="str">
        <f>IF(OR($B14="",$B14=0),"",$I14*$C14*(1+'Property Summary'!$L$21)^('MF CapEx'!AS$3-1))</f>
        <v/>
      </c>
      <c r="AT14" s="149" t="str">
        <f>IF(OR($B14="",$B14=0),"",$I14*$C14*(1+'Property Summary'!$L$21)^('MF CapEx'!AT$3-1))</f>
        <v/>
      </c>
      <c r="AU14" s="149" t="str">
        <f>IF(OR($B14="",$B14=0),"",$I14*$C14*(1+'Property Summary'!$L$21)^('MF CapEx'!AU$3-1))</f>
        <v/>
      </c>
      <c r="AV14" s="149" t="str">
        <f>IF(OR($B14="",$B14=0),"",$I14*$C14*(1+'Property Summary'!$L$21)^('MF CapEx'!AV$3-1))</f>
        <v/>
      </c>
      <c r="AW14" s="149" t="str">
        <f>IF(OR($B14="",$B14=0),"",$I14*$C14*(1+'Property Summary'!$L$21)^('MF CapEx'!AW$3-1))</f>
        <v/>
      </c>
      <c r="AX14" s="149" t="str">
        <f>IF(OR($B14="",$B14=0),"",$I14*$C14*(1+'Property Summary'!$L$21)^('MF CapEx'!AX$3-1))</f>
        <v/>
      </c>
      <c r="AY14" s="149" t="str">
        <f>IF(OR($B14="",$B14=0),"",$I14*$C14*(1+'Property Summary'!$L$21)^('MF CapEx'!AY$3-1))</f>
        <v/>
      </c>
      <c r="AZ14" s="149" t="str">
        <f>IF(OR($B14="",$B14=0),"",$I14*$C14*(1+'Property Summary'!$L$21)^('MF CapEx'!AZ$3-1))</f>
        <v/>
      </c>
      <c r="BA14" s="149" t="str">
        <f>IF(OR($B14="",$B14=0),"",$I14*$C14*(1+'Property Summary'!$L$21)^('MF CapEx'!BA$3-1))</f>
        <v/>
      </c>
      <c r="BB14" s="149" t="str">
        <f>IF(OR($B14="",$B14=0),"",$I14*$C14*(1+'Property Summary'!$L$21)^('MF CapEx'!BB$3-1))</f>
        <v/>
      </c>
      <c r="BC14" s="149" t="str">
        <f>IF(OR($B14="",$B14=0),"",$I14*$C14*(1+'Property Summary'!$L$21)^('MF CapEx'!BC$3-1))</f>
        <v/>
      </c>
      <c r="BD14" s="149" t="str">
        <f>IF(OR($B14="",$B14=0),"",$I14*$C14*(1+'Property Summary'!$L$21)^('MF CapEx'!BD$3-1))</f>
        <v/>
      </c>
      <c r="BE14" s="149" t="str">
        <f>IF(OR($B14="",$B14=0),"",$I14*$C14*(1+'Property Summary'!$L$21)^('MF CapEx'!BE$3-1))</f>
        <v/>
      </c>
      <c r="BF14" s="149" t="str">
        <f>IF(OR($B14="",$B14=0),"",$I14*$C14*(1+'Property Summary'!$L$21)^('MF CapEx'!BF$3-1))</f>
        <v/>
      </c>
      <c r="BG14" s="149" t="str">
        <f>IF(OR($B14="",$B14=0),"",$I14*$C14*(1+'Property Summary'!$L$21)^('MF CapEx'!BG$3-1))</f>
        <v/>
      </c>
      <c r="BH14" s="149" t="str">
        <f>IF(OR($B14="",$B14=0),"",$I14*$C14*(1+'Property Summary'!$L$21)^('MF CapEx'!BH$3-1))</f>
        <v/>
      </c>
      <c r="BI14" s="149" t="str">
        <f>IF(OR($B14="",$B14=0),"",$I14*$C14*(1+'Property Summary'!$L$21)^('MF CapEx'!BI$3-1))</f>
        <v/>
      </c>
      <c r="BJ14" s="149" t="str">
        <f>IF(OR($B14="",$B14=0),"",$I14*$C14*(1+'Property Summary'!$L$21)^('MF CapEx'!BJ$3-1))</f>
        <v/>
      </c>
      <c r="BK14" s="149" t="str">
        <f>IF(OR($B14="",$B14=0),"",$I14*$C14*(1+'Property Summary'!$L$21)^('MF CapEx'!BK$3-1))</f>
        <v/>
      </c>
      <c r="BL14" s="149" t="str">
        <f>IF(OR($B14="",$B14=0),"",$I14*$C14*(1+'Property Summary'!$L$21)^('MF CapEx'!BL$3-1))</f>
        <v/>
      </c>
      <c r="BM14" s="149" t="str">
        <f>IF(OR($B14="",$B14=0),"",$I14*$C14*(1+'Property Summary'!$L$21)^('MF CapEx'!BM$3-1))</f>
        <v/>
      </c>
      <c r="BN14" s="149" t="str">
        <f>IF(OR($B14="",$B14=0),"",$I14*$C14*(1+'Property Summary'!$L$21)^('MF CapEx'!BN$3-1))</f>
        <v/>
      </c>
      <c r="BO14" s="149" t="str">
        <f>IF(OR($B14="",$B14=0),"",$I14*$C14*(1+'Property Summary'!$L$21)^('MF CapEx'!BO$3-1))</f>
        <v/>
      </c>
      <c r="BP14" s="149" t="str">
        <f>IF(OR($B14="",$B14=0),"",$I14*$C14*(1+'Property Summary'!$L$21)^('MF CapEx'!BP$3-1))</f>
        <v/>
      </c>
      <c r="BQ14" s="149" t="str">
        <f>IF(OR($B14="",$B14=0),"",$I14*$C14*(1+'Property Summary'!$L$21)^('MF CapEx'!BQ$3-1))</f>
        <v/>
      </c>
      <c r="BR14" s="149" t="str">
        <f>IF(OR($B14="",$B14=0),"",$I14*$C14*(1+'Property Summary'!$L$21)^('MF CapEx'!BR$3-1))</f>
        <v/>
      </c>
      <c r="BS14" s="149" t="str">
        <f>IF(OR($B14="",$B14=0),"",$I14*$C14*(1+'Property Summary'!$L$21)^('MF CapEx'!BS$3-1))</f>
        <v/>
      </c>
      <c r="BT14" s="149" t="str">
        <f>IF(OR($B14="",$B14=0),"",$I14*$C14*(1+'Property Summary'!$L$21)^('MF CapEx'!BT$3-1))</f>
        <v/>
      </c>
      <c r="BU14" s="149" t="str">
        <f>IF(OR($B14="",$B14=0),"",$I14*$C14*(1+'Property Summary'!$L$21)^('MF CapEx'!BU$3-1))</f>
        <v/>
      </c>
      <c r="BV14" s="149" t="str">
        <f>IF(OR($B14="",$B14=0),"",$I14*$C14*(1+'Property Summary'!$L$21)^('MF CapEx'!BV$3-1))</f>
        <v/>
      </c>
      <c r="BW14" s="149" t="str">
        <f>IF(OR($B14="",$B14=0),"",$I14*$C14*(1+'Property Summary'!$L$21)^('MF CapEx'!BW$3-1))</f>
        <v/>
      </c>
      <c r="BX14" s="149" t="str">
        <f>IF(OR($B14="",$B14=0),"",$I14*$C14*(1+'Property Summary'!$L$21)^('MF CapEx'!BX$3-1))</f>
        <v/>
      </c>
      <c r="BY14" s="149" t="str">
        <f>IF(OR($B14="",$B14=0),"",$I14*$C14*(1+'Property Summary'!$L$21)^('MF CapEx'!BY$3-1))</f>
        <v/>
      </c>
      <c r="BZ14" s="149" t="str">
        <f>IF(OR($B14="",$B14=0),"",$I14*$C14*(1+'Property Summary'!$L$21)^('MF CapEx'!BZ$3-1))</f>
        <v/>
      </c>
      <c r="CA14" s="149" t="str">
        <f>IF(OR($B14="",$B14=0),"",$I14*$C14*(1+'Property Summary'!$L$21)^('MF CapEx'!CA$3-1))</f>
        <v/>
      </c>
      <c r="CB14" s="149" t="str">
        <f>IF(OR($B14="",$B14=0),"",$I14*$C14*(1+'Property Summary'!$L$21)^('MF CapEx'!CB$3-1))</f>
        <v/>
      </c>
      <c r="CC14" s="149" t="str">
        <f>IF(OR($B14="",$B14=0),"",$I14*$C14*(1+'Property Summary'!$L$21)^('MF CapEx'!CC$3-1))</f>
        <v/>
      </c>
      <c r="CD14" s="149" t="str">
        <f>IF(OR($B14="",$B14=0),"",$I14*$C14*(1+'Property Summary'!$L$21)^('MF CapEx'!CD$3-1))</f>
        <v/>
      </c>
      <c r="CE14" s="149" t="str">
        <f>IF(OR($B14="",$B14=0),"",$I14*$C14*(1+'Property Summary'!$L$21)^('MF CapEx'!CE$3-1))</f>
        <v/>
      </c>
      <c r="CF14" s="149" t="str">
        <f>IF(OR($B14="",$B14=0),"",$I14*$C14*(1+'Property Summary'!$L$21)^('MF CapEx'!CF$3-1))</f>
        <v/>
      </c>
      <c r="CG14" s="149" t="str">
        <f>IF(OR($B14="",$B14=0),"",$I14*$C14*(1+'Property Summary'!$L$21)^('MF CapEx'!CG$3-1))</f>
        <v/>
      </c>
      <c r="CH14" s="149" t="str">
        <f>IF(OR($B14="",$B14=0),"",$I14*$C14*(1+'Property Summary'!$L$21)^('MF CapEx'!CH$3-1))</f>
        <v/>
      </c>
      <c r="CI14" s="149" t="str">
        <f>IF(OR($B14="",$B14=0),"",$I14*$C14*(1+'Property Summary'!$L$21)^('MF CapEx'!CI$3-1))</f>
        <v/>
      </c>
      <c r="CJ14" s="149" t="str">
        <f>IF(OR($B14="",$B14=0),"",$I14*$C14*(1+'Property Summary'!$L$21)^('MF CapEx'!CJ$3-1))</f>
        <v/>
      </c>
      <c r="CK14" s="149" t="str">
        <f>IF(OR($B14="",$B14=0),"",$I14*$C14*(1+'Property Summary'!$L$21)^('MF CapEx'!CK$3-1))</f>
        <v/>
      </c>
      <c r="CL14" s="149" t="str">
        <f>IF(OR($B14="",$B14=0),"",$I14*$C14*(1+'Property Summary'!$L$21)^('MF CapEx'!CL$3-1))</f>
        <v/>
      </c>
      <c r="CM14" s="149" t="str">
        <f>IF(OR($B14="",$B14=0),"",$I14*$C14*(1+'Property Summary'!$L$21)^('MF CapEx'!CM$3-1))</f>
        <v/>
      </c>
      <c r="CN14" s="149" t="str">
        <f>IF(OR($B14="",$B14=0),"",$I14*$C14*(1+'Property Summary'!$L$21)^('MF CapEx'!CN$3-1))</f>
        <v/>
      </c>
      <c r="CO14" s="149" t="str">
        <f>IF(OR($B14="",$B14=0),"",$I14*$C14*(1+'Property Summary'!$L$21)^('MF CapEx'!CO$3-1))</f>
        <v/>
      </c>
      <c r="CP14" s="149" t="str">
        <f>IF(OR($B14="",$B14=0),"",$I14*$C14*(1+'Property Summary'!$L$21)^('MF CapEx'!CP$3-1))</f>
        <v/>
      </c>
      <c r="CQ14" s="149" t="str">
        <f>IF(OR($B14="",$B14=0),"",$I14*$C14*(1+'Property Summary'!$L$21)^('MF CapEx'!CQ$3-1))</f>
        <v/>
      </c>
      <c r="CR14" s="149" t="str">
        <f>IF(OR($B14="",$B14=0),"",$I14*$C14*(1+'Property Summary'!$L$21)^('MF CapEx'!CR$3-1))</f>
        <v/>
      </c>
      <c r="CS14" s="149" t="str">
        <f>IF(OR($B14="",$B14=0),"",$I14*$C14*(1+'Property Summary'!$L$21)^('MF CapEx'!CS$3-1))</f>
        <v/>
      </c>
      <c r="CT14" s="149" t="str">
        <f>IF(OR($B14="",$B14=0),"",$I14*$C14*(1+'Property Summary'!$L$21)^('MF CapEx'!CT$3-1))</f>
        <v/>
      </c>
      <c r="CU14" s="149" t="str">
        <f>IF(OR($B14="",$B14=0),"",$I14*$C14*(1+'Property Summary'!$L$21)^('MF CapEx'!CU$3-1))</f>
        <v/>
      </c>
      <c r="CV14" s="149" t="str">
        <f>IF(OR($B14="",$B14=0),"",$I14*$C14*(1+'Property Summary'!$L$21)^('MF CapEx'!CV$3-1))</f>
        <v/>
      </c>
      <c r="CW14" s="149" t="str">
        <f>IF(OR($B14="",$B14=0),"",$I14*$C14*(1+'Property Summary'!$L$21)^('MF CapEx'!CW$3-1))</f>
        <v/>
      </c>
      <c r="CX14" s="149" t="str">
        <f>IF(OR($B14="",$B14=0),"",$I14*$C14*(1+'Property Summary'!$L$21)^('MF CapEx'!CX$3-1))</f>
        <v/>
      </c>
      <c r="CY14" s="149" t="str">
        <f>IF(OR($B14="",$B14=0),"",$I14*$C14*(1+'Property Summary'!$L$21)^('MF CapEx'!CY$3-1))</f>
        <v/>
      </c>
      <c r="CZ14" s="149" t="str">
        <f>IF(OR($B14="",$B14=0),"",$I14*$C14*(1+'Property Summary'!$L$21)^('MF CapEx'!CZ$3-1))</f>
        <v/>
      </c>
      <c r="DA14" s="149" t="str">
        <f>IF(OR($B14="",$B14=0),"",$I14*$C14*(1+'Property Summary'!$L$21)^('MF CapEx'!DA$3-1))</f>
        <v/>
      </c>
      <c r="DB14" s="149" t="str">
        <f>IF(OR($B14="",$B14=0),"",$I14*$C14*(1+'Property Summary'!$L$21)^('MF CapEx'!DB$3-1))</f>
        <v/>
      </c>
      <c r="DC14" s="149" t="str">
        <f>IF(OR($B14="",$B14=0),"",$I14*$C14*(1+'Property Summary'!$L$21)^('MF CapEx'!DC$3-1))</f>
        <v/>
      </c>
      <c r="DD14" s="149" t="str">
        <f>IF(OR($B14="",$B14=0),"",$I14*$C14*(1+'Property Summary'!$L$21)^('MF CapEx'!DD$3-1))</f>
        <v/>
      </c>
      <c r="DE14" s="149" t="str">
        <f>IF(OR($B14="",$B14=0),"",$I14*$C14*(1+'Property Summary'!$L$21)^('MF CapEx'!DE$3-1))</f>
        <v/>
      </c>
      <c r="DF14" s="149" t="str">
        <f>IF(OR($B14="",$B14=0),"",$I14*$C14*(1+'Property Summary'!$L$21)^('MF CapEx'!DF$3-1))</f>
        <v/>
      </c>
      <c r="DG14" s="149" t="str">
        <f>IF(OR($B14="",$B14=0),"",$I14*$C14*(1+'Property Summary'!$L$21)^('MF CapEx'!DG$3-1))</f>
        <v/>
      </c>
      <c r="DH14" s="149" t="str">
        <f>IF(OR($B14="",$B14=0),"",$I14*$C14*(1+'Property Summary'!$L$21)^('MF CapEx'!DH$3-1))</f>
        <v/>
      </c>
      <c r="DI14" s="149" t="str">
        <f>IF(OR($B14="",$B14=0),"",$I14*$C14*(1+'Property Summary'!$L$21)^('MF CapEx'!DI$3-1))</f>
        <v/>
      </c>
      <c r="DJ14" s="149" t="str">
        <f>IF(OR($B14="",$B14=0),"",$I14*$C14*(1+'Property Summary'!$L$21)^('MF CapEx'!DJ$3-1))</f>
        <v/>
      </c>
      <c r="DK14" s="149" t="str">
        <f>IF(OR($B14="",$B14=0),"",$I14*$C14*(1+'Property Summary'!$L$21)^('MF CapEx'!DK$3-1))</f>
        <v/>
      </c>
      <c r="DL14" s="149" t="str">
        <f>IF(OR($B14="",$B14=0),"",$I14*$C14*(1+'Property Summary'!$L$21)^('MF CapEx'!DL$3-1))</f>
        <v/>
      </c>
      <c r="DM14" s="149" t="str">
        <f>IF(OR($B14="",$B14=0),"",$I14*$C14*(1+'Property Summary'!$L$21)^('MF CapEx'!DM$3-1))</f>
        <v/>
      </c>
      <c r="DN14" s="149" t="str">
        <f>IF(OR($B14="",$B14=0),"",$I14*$C14*(1+'Property Summary'!$L$21)^('MF CapEx'!DN$3-1))</f>
        <v/>
      </c>
      <c r="DO14" s="149" t="str">
        <f>IF(OR($B14="",$B14=0),"",$I14*$C14*(1+'Property Summary'!$L$21)^('MF CapEx'!DO$3-1))</f>
        <v/>
      </c>
      <c r="DP14" s="149" t="str">
        <f>IF(OR($B14="",$B14=0),"",$I14*$C14*(1+'Property Summary'!$L$21)^('MF CapEx'!DP$3-1))</f>
        <v/>
      </c>
      <c r="DQ14" s="149" t="str">
        <f>IF(OR($B14="",$B14=0),"",$I14*$C14*(1+'Property Summary'!$L$21)^('MF CapEx'!DQ$3-1))</f>
        <v/>
      </c>
      <c r="DR14" s="149" t="str">
        <f>IF(OR($B14="",$B14=0),"",$I14*$C14*(1+'Property Summary'!$L$21)^('MF CapEx'!DR$3-1))</f>
        <v/>
      </c>
      <c r="DS14" s="149" t="str">
        <f>IF(OR($B14="",$B14=0),"",$I14*$C14*(1+'Property Summary'!$L$21)^('MF CapEx'!DS$3-1))</f>
        <v/>
      </c>
      <c r="DT14" s="149" t="str">
        <f>IF(OR($B14="",$B14=0),"",$I14*$C14*(1+'Property Summary'!$L$21)^('MF CapEx'!DT$3-1))</f>
        <v/>
      </c>
      <c r="DU14" s="149" t="str">
        <f>IF(OR($B14="",$B14=0),"",$I14*$C14*(1+'Property Summary'!$L$21)^('MF CapEx'!DU$3-1))</f>
        <v/>
      </c>
      <c r="DV14" s="149" t="str">
        <f>IF(OR($B14="",$B14=0),"",$I14*$C14*(1+'Property Summary'!$L$21)^('MF CapEx'!DV$3-1))</f>
        <v/>
      </c>
      <c r="DW14" s="149" t="str">
        <f>IF(OR($B14="",$B14=0),"",$I14*$C14*(1+'Property Summary'!$L$21)^('MF CapEx'!DW$3-1))</f>
        <v/>
      </c>
      <c r="DX14" s="149" t="str">
        <f>IF(OR($B14="",$B14=0),"",$I14*$C14*(1+'Property Summary'!$L$21)^('MF CapEx'!DX$3-1))</f>
        <v/>
      </c>
      <c r="DY14" s="149" t="str">
        <f>IF(OR($B14="",$B14=0),"",$I14*$C14*(1+'Property Summary'!$L$21)^('MF CapEx'!DY$3-1))</f>
        <v/>
      </c>
      <c r="DZ14" s="149" t="str">
        <f>IF(OR($B14="",$B14=0),"",$I14*$C14*(1+'Property Summary'!$L$21)^('MF CapEx'!DZ$3-1))</f>
        <v/>
      </c>
      <c r="EA14" s="149" t="str">
        <f>IF(OR($B14="",$B14=0),"",$I14*$C14*(1+'Property Summary'!$L$21)^('MF CapEx'!EA$3-1))</f>
        <v/>
      </c>
      <c r="EB14" s="149" t="str">
        <f>IF(OR($B14="",$B14=0),"",$I14*$C14*(1+'Property Summary'!$L$21)^('MF CapEx'!EB$3-1))</f>
        <v/>
      </c>
      <c r="EC14" s="149" t="str">
        <f>IF(OR($B14="",$B14=0),"",$I14*$C14*(1+'Property Summary'!$L$21)^('MF CapEx'!EC$3-1))</f>
        <v/>
      </c>
      <c r="ED14" s="149" t="str">
        <f>IF(OR($B14="",$B14=0),"",$I14*$C14*(1+'Property Summary'!$L$21)^('MF CapEx'!ED$3-1))</f>
        <v/>
      </c>
      <c r="EE14" s="149" t="str">
        <f>IF(OR($B14="",$B14=0),"",$I14*$C14*(1+'Property Summary'!$L$21)^('MF CapEx'!EE$3-1))</f>
        <v/>
      </c>
      <c r="EF14" s="149" t="str">
        <f>IF(OR($B14="",$B14=0),"",$I14*$C14*(1+'Property Summary'!$L$21)^('MF CapEx'!EF$3-1))</f>
        <v/>
      </c>
      <c r="EG14" s="149" t="str">
        <f>IF(OR($B14="",$B14=0),"",$I14*$C14*(1+'Property Summary'!$L$21)^('MF CapEx'!EG$3-1))</f>
        <v/>
      </c>
      <c r="EH14" s="149" t="str">
        <f>IF(OR($B14="",$B14=0),"",$I14*$C14*(1+'Property Summary'!$L$21)^('MF CapEx'!EH$3-1))</f>
        <v/>
      </c>
      <c r="EI14" s="149" t="str">
        <f>IF(OR($B14="",$B14=0),"",$I14*$C14*(1+'Property Summary'!$L$21)^('MF CapEx'!EI$3-1))</f>
        <v/>
      </c>
      <c r="EJ14" s="149" t="str">
        <f>IF(OR($B14="",$B14=0),"",$I14*$C14*(1+'Property Summary'!$L$21)^('MF CapEx'!EJ$3-1))</f>
        <v/>
      </c>
      <c r="EK14" s="149" t="str">
        <f>IF(OR($B14="",$B14=0),"",$I14*$C14*(1+'Property Summary'!$L$21)^('MF CapEx'!EK$3-1))</f>
        <v/>
      </c>
      <c r="EL14" s="149" t="str">
        <f>IF(OR($B14="",$B14=0),"",$I14*$C14*(1+'Property Summary'!$L$21)^('MF CapEx'!EL$3-1))</f>
        <v/>
      </c>
      <c r="EM14" s="149" t="str">
        <f>IF(OR($B14="",$B14=0),"",$I14*$C14*(1+'Property Summary'!$L$21)^('MF CapEx'!EM$3-1))</f>
        <v/>
      </c>
      <c r="EN14" s="149" t="str">
        <f>IF(OR($B14="",$B14=0),"",$I14*$C14*(1+'Property Summary'!$L$21)^('MF CapEx'!EN$3-1))</f>
        <v/>
      </c>
      <c r="EO14" s="149" t="str">
        <f>IF(OR($B14="",$B14=0),"",$I14*$C14*(1+'Property Summary'!$L$21)^('MF CapEx'!EO$3-1))</f>
        <v/>
      </c>
      <c r="EP14" s="149" t="str">
        <f>IF(OR($B14="",$B14=0),"",$I14*$C14*(1+'Property Summary'!$L$21)^('MF CapEx'!EP$3-1))</f>
        <v/>
      </c>
      <c r="EQ14" s="149" t="str">
        <f>IF(OR($B14="",$B14=0),"",$I14*$C14*(1+'Property Summary'!$L$21)^('MF CapEx'!EQ$3-1))</f>
        <v/>
      </c>
      <c r="ER14" s="149" t="str">
        <f>IF(OR($B14="",$B14=0),"",$I14*$C14*(1+'Property Summary'!$L$21)^('MF CapEx'!ER$3-1))</f>
        <v/>
      </c>
      <c r="ES14" s="149" t="str">
        <f>IF(OR($B14="",$B14=0),"",$I14*$C14*(1+'Property Summary'!$L$21)^('MF CapEx'!ES$3-1))</f>
        <v/>
      </c>
      <c r="ET14" s="149" t="str">
        <f>IF(OR($B14="",$B14=0),"",$I14*$C14*(1+'Property Summary'!$L$21)^('MF CapEx'!ET$3-1))</f>
        <v/>
      </c>
      <c r="EU14" s="149" t="str">
        <f>IF(OR($B14="",$B14=0),"",$I14*$C14*(1+'Property Summary'!$L$21)^('MF CapEx'!EU$3-1))</f>
        <v/>
      </c>
      <c r="EV14" s="149" t="str">
        <f>IF(OR($B14="",$B14=0),"",$I14*$C14*(1+'Property Summary'!$L$21)^('MF CapEx'!EV$3-1))</f>
        <v/>
      </c>
      <c r="EW14" s="149" t="str">
        <f>IF(OR($B14="",$B14=0),"",$I14*$C14*(1+'Property Summary'!$L$21)^('MF CapEx'!EW$3-1))</f>
        <v/>
      </c>
      <c r="EX14" s="149" t="str">
        <f>IF(OR($B14="",$B14=0),"",$I14*$C14*(1+'Property Summary'!$L$21)^('MF CapEx'!EX$3-1))</f>
        <v/>
      </c>
      <c r="EY14" s="149" t="str">
        <f>IF(OR($B14="",$B14=0),"",$I14*$C14*(1+'Property Summary'!$L$21)^('MF CapEx'!EY$3-1))</f>
        <v/>
      </c>
      <c r="EZ14" s="149" t="str">
        <f>IF(OR($B14="",$B14=0),"",$I14*$C14*(1+'Property Summary'!$L$21)^('MF CapEx'!EZ$3-1))</f>
        <v/>
      </c>
      <c r="FA14" s="149" t="str">
        <f>IF(OR($B14="",$B14=0),"",$I14*$C14*(1+'Property Summary'!$L$21)^('MF CapEx'!FA$3-1))</f>
        <v/>
      </c>
      <c r="FB14" s="149" t="str">
        <f>IF(OR($B14="",$B14=0),"",$I14*$C14*(1+'Property Summary'!$L$21)^('MF CapEx'!FB$3-1))</f>
        <v/>
      </c>
      <c r="FC14" s="149" t="str">
        <f>IF(OR($B14="",$B14=0),"",$I14*$C14*(1+'Property Summary'!$L$21)^('MF CapEx'!FC$3-1))</f>
        <v/>
      </c>
      <c r="FD14" s="149" t="str">
        <f>IF(OR($B14="",$B14=0),"",$I14*$C14*(1+'Property Summary'!$L$21)^('MF CapEx'!FD$3-1))</f>
        <v/>
      </c>
      <c r="FE14" s="149" t="str">
        <f>IF(OR($B14="",$B14=0),"",$I14*$C14*(1+'Property Summary'!$L$21)^('MF CapEx'!FE$3-1))</f>
        <v/>
      </c>
      <c r="FF14" s="149" t="str">
        <f>IF(OR($B14="",$B14=0),"",$I14*$C14*(1+'Property Summary'!$L$21)^('MF CapEx'!FF$3-1))</f>
        <v/>
      </c>
      <c r="FG14" s="149" t="str">
        <f>IF(OR($B14="",$B14=0),"",$I14*$C14*(1+'Property Summary'!$L$21)^('MF CapEx'!FG$3-1))</f>
        <v/>
      </c>
      <c r="FH14" s="149" t="str">
        <f>IF(OR($B14="",$B14=0),"",$I14*$C14*(1+'Property Summary'!$L$21)^('MF CapEx'!FH$3-1))</f>
        <v/>
      </c>
      <c r="FI14" s="149" t="str">
        <f>IF(OR($B14="",$B14=0),"",$I14*$C14*(1+'Property Summary'!$L$21)^('MF CapEx'!FI$3-1))</f>
        <v/>
      </c>
      <c r="FJ14" s="149" t="str">
        <f>IF(OR($B14="",$B14=0),"",$I14*$C14*(1+'Property Summary'!$L$21)^('MF CapEx'!FJ$3-1))</f>
        <v/>
      </c>
      <c r="FK14" s="149" t="str">
        <f>IF(OR($B14="",$B14=0),"",$I14*$C14*(1+'Property Summary'!$L$21)^('MF CapEx'!FK$3-1))</f>
        <v/>
      </c>
      <c r="FL14" s="149" t="str">
        <f>IF(OR($B14="",$B14=0),"",$I14*$C14*(1+'Property Summary'!$L$21)^('MF CapEx'!FL$3-1))</f>
        <v/>
      </c>
      <c r="FM14" s="149" t="str">
        <f>IF(OR($B14="",$B14=0),"",$I14*$C14*(1+'Property Summary'!$L$21)^('MF CapEx'!FM$3-1))</f>
        <v/>
      </c>
      <c r="FN14" s="149" t="str">
        <f>IF(OR($B14="",$B14=0),"",$I14*$C14*(1+'Property Summary'!$L$21)^('MF CapEx'!FN$3-1))</f>
        <v/>
      </c>
      <c r="FO14" s="149" t="str">
        <f>IF(OR($B14="",$B14=0),"",$I14*$C14*(1+'Property Summary'!$L$21)^('MF CapEx'!FO$3-1))</f>
        <v/>
      </c>
      <c r="FP14" s="149" t="str">
        <f>IF(OR($B14="",$B14=0),"",$I14*$C14*(1+'Property Summary'!$L$21)^('MF CapEx'!FP$3-1))</f>
        <v/>
      </c>
      <c r="FQ14" s="149" t="str">
        <f>IF(OR($B14="",$B14=0),"",$I14*$C14*(1+'Property Summary'!$L$21)^('MF CapEx'!FQ$3-1))</f>
        <v/>
      </c>
      <c r="FR14" s="149" t="str">
        <f>IF(OR($B14="",$B14=0),"",$I14*$C14*(1+'Property Summary'!$L$21)^('MF CapEx'!FR$3-1))</f>
        <v/>
      </c>
      <c r="FS14" s="149" t="str">
        <f>IF(OR($B14="",$B14=0),"",$I14*$C14*(1+'Property Summary'!$L$21)^('MF CapEx'!FS$3-1))</f>
        <v/>
      </c>
      <c r="FT14" s="149" t="str">
        <f>IF(OR($B14="",$B14=0),"",$I14*$C14*(1+'Property Summary'!$L$21)^('MF CapEx'!FT$3-1))</f>
        <v/>
      </c>
      <c r="FU14" s="149" t="str">
        <f>IF(OR($B14="",$B14=0),"",$I14*$C14*(1+'Property Summary'!$L$21)^('MF CapEx'!FU$3-1))</f>
        <v/>
      </c>
      <c r="FV14" s="149" t="str">
        <f>IF(OR($B14="",$B14=0),"",$I14*$C14*(1+'Property Summary'!$L$21)^('MF CapEx'!FV$3-1))</f>
        <v/>
      </c>
      <c r="FW14" s="149" t="str">
        <f>IF(OR($B14="",$B14=0),"",$I14*$C14*(1+'Property Summary'!$L$21)^('MF CapEx'!FW$3-1))</f>
        <v/>
      </c>
      <c r="FX14" s="149" t="str">
        <f>IF(OR($B14="",$B14=0),"",$I14*$C14*(1+'Property Summary'!$L$21)^('MF CapEx'!FX$3-1))</f>
        <v/>
      </c>
      <c r="FY14" s="149" t="str">
        <f>IF(OR($B14="",$B14=0),"",$I14*$C14*(1+'Property Summary'!$L$21)^('MF CapEx'!FY$3-1))</f>
        <v/>
      </c>
      <c r="FZ14" s="149" t="str">
        <f>IF(OR($B14="",$B14=0),"",$I14*$C14*(1+'Property Summary'!$L$21)^('MF CapEx'!FZ$3-1))</f>
        <v/>
      </c>
      <c r="GA14" s="149" t="str">
        <f>IF(OR($B14="",$B14=0),"",$I14*$C14*(1+'Property Summary'!$L$21)^('MF CapEx'!GA$3-1))</f>
        <v/>
      </c>
      <c r="GB14" s="149" t="str">
        <f>IF(OR($B14="",$B14=0),"",$I14*$C14*(1+'Property Summary'!$L$21)^('MF CapEx'!GB$3-1))</f>
        <v/>
      </c>
      <c r="GC14" s="149" t="str">
        <f>IF(OR($B14="",$B14=0),"",$I14*$C14*(1+'Property Summary'!$L$21)^('MF CapEx'!GC$3-1))</f>
        <v/>
      </c>
      <c r="GD14" s="149" t="str">
        <f>IF(OR($B14="",$B14=0),"",$I14*$C14*(1+'Property Summary'!$L$21)^('MF CapEx'!GD$3-1))</f>
        <v/>
      </c>
      <c r="GE14" s="149" t="str">
        <f>IF(OR($B14="",$B14=0),"",$I14*$C14*(1+'Property Summary'!$L$21)^('MF CapEx'!GE$3-1))</f>
        <v/>
      </c>
      <c r="GF14" s="149" t="str">
        <f>IF(OR($B14="",$B14=0),"",$I14*$C14*(1+'Property Summary'!$L$21)^('MF CapEx'!GF$3-1))</f>
        <v/>
      </c>
      <c r="GG14" s="149" t="str">
        <f>IF(OR($B14="",$B14=0),"",$I14*$C14*(1+'Property Summary'!$L$21)^('MF CapEx'!GG$3-1))</f>
        <v/>
      </c>
      <c r="GH14" s="149" t="str">
        <f>IF(OR($B14="",$B14=0),"",$I14*$C14*(1+'Property Summary'!$L$21)^('MF CapEx'!GH$3-1))</f>
        <v/>
      </c>
      <c r="GI14" s="149" t="str">
        <f>IF(OR($B14="",$B14=0),"",$I14*$C14*(1+'Property Summary'!$L$21)^('MF CapEx'!GI$3-1))</f>
        <v/>
      </c>
      <c r="GJ14" s="149" t="str">
        <f>IF(OR($B14="",$B14=0),"",$I14*$C14*(1+'Property Summary'!$L$21)^('MF CapEx'!GJ$3-1))</f>
        <v/>
      </c>
      <c r="GK14" s="149" t="str">
        <f>IF(OR($B14="",$B14=0),"",$I14*$C14*(1+'Property Summary'!$L$21)^('MF CapEx'!GK$3-1))</f>
        <v/>
      </c>
      <c r="GL14" s="149" t="str">
        <f>IF(OR($B14="",$B14=0),"",$I14*$C14*(1+'Property Summary'!$L$21)^('MF CapEx'!GL$3-1))</f>
        <v/>
      </c>
      <c r="GM14" s="149" t="str">
        <f>IF(OR($B14="",$B14=0),"",$I14*$C14*(1+'Property Summary'!$L$21)^('MF CapEx'!GM$3-1))</f>
        <v/>
      </c>
      <c r="GN14" s="149" t="str">
        <f>IF(OR($B14="",$B14=0),"",$I14*$C14*(1+'Property Summary'!$L$21)^('MF CapEx'!GN$3-1))</f>
        <v/>
      </c>
      <c r="GO14" s="149" t="str">
        <f>IF(OR($B14="",$B14=0),"",$I14*$C14*(1+'Property Summary'!$L$21)^('MF CapEx'!GO$3-1))</f>
        <v/>
      </c>
      <c r="GP14" s="149" t="str">
        <f>IF(OR($B14="",$B14=0),"",$I14*$C14*(1+'Property Summary'!$L$21)^('MF CapEx'!GP$3-1))</f>
        <v/>
      </c>
    </row>
    <row r="15" spans="2:198" x14ac:dyDescent="0.3">
      <c r="B15" s="184">
        <f>'MF Rent Roll'!B14</f>
        <v>0</v>
      </c>
      <c r="C15" s="171">
        <f>'MF Rent Roll'!C14</f>
        <v>0</v>
      </c>
      <c r="D15" s="172">
        <f>'MF Rent Roll'!D14</f>
        <v>0</v>
      </c>
      <c r="E15" s="172">
        <f>'MF Rent Roll'!E14</f>
        <v>0</v>
      </c>
      <c r="F15" s="173">
        <f>'MF Rent Roll'!F14</f>
        <v>0</v>
      </c>
      <c r="G15" s="174">
        <f>'MF Rent Roll'!G14</f>
        <v>0</v>
      </c>
      <c r="H15" s="176">
        <f>'MF Rent Roll'!J14</f>
        <v>0</v>
      </c>
      <c r="I15" s="174">
        <f>'MF Rent Roll'!K14</f>
        <v>0</v>
      </c>
      <c r="J15" s="177">
        <f>'MF Rent Roll'!L14</f>
        <v>0</v>
      </c>
      <c r="K15" s="178">
        <f>'MF Rent Roll'!M14</f>
        <v>0</v>
      </c>
      <c r="L15" s="174">
        <f>'MF Rent Roll'!N14</f>
        <v>0</v>
      </c>
      <c r="M15" s="179">
        <f>'MF Rent Roll'!O14</f>
        <v>0</v>
      </c>
      <c r="N15" s="180" t="str">
        <f>'MF Rent Roll'!P14</f>
        <v/>
      </c>
      <c r="O15" s="181" t="str">
        <f>'MF Rent Roll'!Q14</f>
        <v/>
      </c>
      <c r="P15" s="104" t="str">
        <f>'MF Rent Roll'!R14</f>
        <v/>
      </c>
      <c r="S15" s="149" t="str">
        <f>IF(OR($B15="",$B15=0),"",$I15*$C15*(1+'Property Summary'!$L$21)^('MF CapEx'!S$3-1))</f>
        <v/>
      </c>
      <c r="T15" s="149" t="str">
        <f>IF(OR($B15="",$B15=0),"",$I15*$C15*(1+'Property Summary'!$L$21)^('MF CapEx'!T$3-1))</f>
        <v/>
      </c>
      <c r="U15" s="149" t="str">
        <f>IF(OR($B15="",$B15=0),"",$I15*$C15*(1+'Property Summary'!$L$21)^('MF CapEx'!U$3-1))</f>
        <v/>
      </c>
      <c r="V15" s="149" t="str">
        <f>IF(OR($B15="",$B15=0),"",$I15*$C15*(1+'Property Summary'!$L$21)^('MF CapEx'!V$3-1))</f>
        <v/>
      </c>
      <c r="W15" s="149" t="str">
        <f>IF(OR($B15="",$B15=0),"",$I15*$C15*(1+'Property Summary'!$L$21)^('MF CapEx'!W$3-1))</f>
        <v/>
      </c>
      <c r="X15" s="149" t="str">
        <f>IF(OR($B15="",$B15=0),"",$I15*$C15*(1+'Property Summary'!$L$21)^('MF CapEx'!X$3-1))</f>
        <v/>
      </c>
      <c r="Y15" s="149" t="str">
        <f>IF(OR($B15="",$B15=0),"",$I15*$C15*(1+'Property Summary'!$L$21)^('MF CapEx'!Y$3-1))</f>
        <v/>
      </c>
      <c r="Z15" s="149" t="str">
        <f>IF(OR($B15="",$B15=0),"",$I15*$C15*(1+'Property Summary'!$L$21)^('MF CapEx'!Z$3-1))</f>
        <v/>
      </c>
      <c r="AA15" s="149" t="str">
        <f>IF(OR($B15="",$B15=0),"",$I15*$C15*(1+'Property Summary'!$L$21)^('MF CapEx'!AA$3-1))</f>
        <v/>
      </c>
      <c r="AB15" s="149" t="str">
        <f>IF(OR($B15="",$B15=0),"",$I15*$C15*(1+'Property Summary'!$L$21)^('MF CapEx'!AB$3-1))</f>
        <v/>
      </c>
      <c r="AC15" s="149" t="str">
        <f>IF(OR($B15="",$B15=0),"",$I15*$C15*(1+'Property Summary'!$L$21)^('MF CapEx'!AC$3-1))</f>
        <v/>
      </c>
      <c r="AD15" s="149" t="str">
        <f>IF(OR($B15="",$B15=0),"",$I15*$C15*(1+'Property Summary'!$L$21)^('MF CapEx'!AD$3-1))</f>
        <v/>
      </c>
      <c r="AE15" s="149" t="str">
        <f>IF(OR($B15="",$B15=0),"",$I15*$C15*(1+'Property Summary'!$L$21)^('MF CapEx'!AE$3-1))</f>
        <v/>
      </c>
      <c r="AF15" s="149" t="str">
        <f>IF(OR($B15="",$B15=0),"",$I15*$C15*(1+'Property Summary'!$L$21)^('MF CapEx'!AF$3-1))</f>
        <v/>
      </c>
      <c r="AG15" s="149" t="str">
        <f>IF(OR($B15="",$B15=0),"",$I15*$C15*(1+'Property Summary'!$L$21)^('MF CapEx'!AG$3-1))</f>
        <v/>
      </c>
      <c r="AH15" s="149" t="str">
        <f>IF(OR($B15="",$B15=0),"",$I15*$C15*(1+'Property Summary'!$L$21)^('MF CapEx'!AH$3-1))</f>
        <v/>
      </c>
      <c r="AI15" s="149" t="str">
        <f>IF(OR($B15="",$B15=0),"",$I15*$C15*(1+'Property Summary'!$L$21)^('MF CapEx'!AI$3-1))</f>
        <v/>
      </c>
      <c r="AJ15" s="149" t="str">
        <f>IF(OR($B15="",$B15=0),"",$I15*$C15*(1+'Property Summary'!$L$21)^('MF CapEx'!AJ$3-1))</f>
        <v/>
      </c>
      <c r="AK15" s="149" t="str">
        <f>IF(OR($B15="",$B15=0),"",$I15*$C15*(1+'Property Summary'!$L$21)^('MF CapEx'!AK$3-1))</f>
        <v/>
      </c>
      <c r="AL15" s="149" t="str">
        <f>IF(OR($B15="",$B15=0),"",$I15*$C15*(1+'Property Summary'!$L$21)^('MF CapEx'!AL$3-1))</f>
        <v/>
      </c>
      <c r="AM15" s="149" t="str">
        <f>IF(OR($B15="",$B15=0),"",$I15*$C15*(1+'Property Summary'!$L$21)^('MF CapEx'!AM$3-1))</f>
        <v/>
      </c>
      <c r="AN15" s="149" t="str">
        <f>IF(OR($B15="",$B15=0),"",$I15*$C15*(1+'Property Summary'!$L$21)^('MF CapEx'!AN$3-1))</f>
        <v/>
      </c>
      <c r="AO15" s="149" t="str">
        <f>IF(OR($B15="",$B15=0),"",$I15*$C15*(1+'Property Summary'!$L$21)^('MF CapEx'!AO$3-1))</f>
        <v/>
      </c>
      <c r="AP15" s="149" t="str">
        <f>IF(OR($B15="",$B15=0),"",$I15*$C15*(1+'Property Summary'!$L$21)^('MF CapEx'!AP$3-1))</f>
        <v/>
      </c>
      <c r="AQ15" s="149" t="str">
        <f>IF(OR($B15="",$B15=0),"",$I15*$C15*(1+'Property Summary'!$L$21)^('MF CapEx'!AQ$3-1))</f>
        <v/>
      </c>
      <c r="AR15" s="149" t="str">
        <f>IF(OR($B15="",$B15=0),"",$I15*$C15*(1+'Property Summary'!$L$21)^('MF CapEx'!AR$3-1))</f>
        <v/>
      </c>
      <c r="AS15" s="149" t="str">
        <f>IF(OR($B15="",$B15=0),"",$I15*$C15*(1+'Property Summary'!$L$21)^('MF CapEx'!AS$3-1))</f>
        <v/>
      </c>
      <c r="AT15" s="149" t="str">
        <f>IF(OR($B15="",$B15=0),"",$I15*$C15*(1+'Property Summary'!$L$21)^('MF CapEx'!AT$3-1))</f>
        <v/>
      </c>
      <c r="AU15" s="149" t="str">
        <f>IF(OR($B15="",$B15=0),"",$I15*$C15*(1+'Property Summary'!$L$21)^('MF CapEx'!AU$3-1))</f>
        <v/>
      </c>
      <c r="AV15" s="149" t="str">
        <f>IF(OR($B15="",$B15=0),"",$I15*$C15*(1+'Property Summary'!$L$21)^('MF CapEx'!AV$3-1))</f>
        <v/>
      </c>
      <c r="AW15" s="149" t="str">
        <f>IF(OR($B15="",$B15=0),"",$I15*$C15*(1+'Property Summary'!$L$21)^('MF CapEx'!AW$3-1))</f>
        <v/>
      </c>
      <c r="AX15" s="149" t="str">
        <f>IF(OR($B15="",$B15=0),"",$I15*$C15*(1+'Property Summary'!$L$21)^('MF CapEx'!AX$3-1))</f>
        <v/>
      </c>
      <c r="AY15" s="149" t="str">
        <f>IF(OR($B15="",$B15=0),"",$I15*$C15*(1+'Property Summary'!$L$21)^('MF CapEx'!AY$3-1))</f>
        <v/>
      </c>
      <c r="AZ15" s="149" t="str">
        <f>IF(OR($B15="",$B15=0),"",$I15*$C15*(1+'Property Summary'!$L$21)^('MF CapEx'!AZ$3-1))</f>
        <v/>
      </c>
      <c r="BA15" s="149" t="str">
        <f>IF(OR($B15="",$B15=0),"",$I15*$C15*(1+'Property Summary'!$L$21)^('MF CapEx'!BA$3-1))</f>
        <v/>
      </c>
      <c r="BB15" s="149" t="str">
        <f>IF(OR($B15="",$B15=0),"",$I15*$C15*(1+'Property Summary'!$L$21)^('MF CapEx'!BB$3-1))</f>
        <v/>
      </c>
      <c r="BC15" s="149" t="str">
        <f>IF(OR($B15="",$B15=0),"",$I15*$C15*(1+'Property Summary'!$L$21)^('MF CapEx'!BC$3-1))</f>
        <v/>
      </c>
      <c r="BD15" s="149" t="str">
        <f>IF(OR($B15="",$B15=0),"",$I15*$C15*(1+'Property Summary'!$L$21)^('MF CapEx'!BD$3-1))</f>
        <v/>
      </c>
      <c r="BE15" s="149" t="str">
        <f>IF(OR($B15="",$B15=0),"",$I15*$C15*(1+'Property Summary'!$L$21)^('MF CapEx'!BE$3-1))</f>
        <v/>
      </c>
      <c r="BF15" s="149" t="str">
        <f>IF(OR($B15="",$B15=0),"",$I15*$C15*(1+'Property Summary'!$L$21)^('MF CapEx'!BF$3-1))</f>
        <v/>
      </c>
      <c r="BG15" s="149" t="str">
        <f>IF(OR($B15="",$B15=0),"",$I15*$C15*(1+'Property Summary'!$L$21)^('MF CapEx'!BG$3-1))</f>
        <v/>
      </c>
      <c r="BH15" s="149" t="str">
        <f>IF(OR($B15="",$B15=0),"",$I15*$C15*(1+'Property Summary'!$L$21)^('MF CapEx'!BH$3-1))</f>
        <v/>
      </c>
      <c r="BI15" s="149" t="str">
        <f>IF(OR($B15="",$B15=0),"",$I15*$C15*(1+'Property Summary'!$L$21)^('MF CapEx'!BI$3-1))</f>
        <v/>
      </c>
      <c r="BJ15" s="149" t="str">
        <f>IF(OR($B15="",$B15=0),"",$I15*$C15*(1+'Property Summary'!$L$21)^('MF CapEx'!BJ$3-1))</f>
        <v/>
      </c>
      <c r="BK15" s="149" t="str">
        <f>IF(OR($B15="",$B15=0),"",$I15*$C15*(1+'Property Summary'!$L$21)^('MF CapEx'!BK$3-1))</f>
        <v/>
      </c>
      <c r="BL15" s="149" t="str">
        <f>IF(OR($B15="",$B15=0),"",$I15*$C15*(1+'Property Summary'!$L$21)^('MF CapEx'!BL$3-1))</f>
        <v/>
      </c>
      <c r="BM15" s="149" t="str">
        <f>IF(OR($B15="",$B15=0),"",$I15*$C15*(1+'Property Summary'!$L$21)^('MF CapEx'!BM$3-1))</f>
        <v/>
      </c>
      <c r="BN15" s="149" t="str">
        <f>IF(OR($B15="",$B15=0),"",$I15*$C15*(1+'Property Summary'!$L$21)^('MF CapEx'!BN$3-1))</f>
        <v/>
      </c>
      <c r="BO15" s="149" t="str">
        <f>IF(OR($B15="",$B15=0),"",$I15*$C15*(1+'Property Summary'!$L$21)^('MF CapEx'!BO$3-1))</f>
        <v/>
      </c>
      <c r="BP15" s="149" t="str">
        <f>IF(OR($B15="",$B15=0),"",$I15*$C15*(1+'Property Summary'!$L$21)^('MF CapEx'!BP$3-1))</f>
        <v/>
      </c>
      <c r="BQ15" s="149" t="str">
        <f>IF(OR($B15="",$B15=0),"",$I15*$C15*(1+'Property Summary'!$L$21)^('MF CapEx'!BQ$3-1))</f>
        <v/>
      </c>
      <c r="BR15" s="149" t="str">
        <f>IF(OR($B15="",$B15=0),"",$I15*$C15*(1+'Property Summary'!$L$21)^('MF CapEx'!BR$3-1))</f>
        <v/>
      </c>
      <c r="BS15" s="149" t="str">
        <f>IF(OR($B15="",$B15=0),"",$I15*$C15*(1+'Property Summary'!$L$21)^('MF CapEx'!BS$3-1))</f>
        <v/>
      </c>
      <c r="BT15" s="149" t="str">
        <f>IF(OR($B15="",$B15=0),"",$I15*$C15*(1+'Property Summary'!$L$21)^('MF CapEx'!BT$3-1))</f>
        <v/>
      </c>
      <c r="BU15" s="149" t="str">
        <f>IF(OR($B15="",$B15=0),"",$I15*$C15*(1+'Property Summary'!$L$21)^('MF CapEx'!BU$3-1))</f>
        <v/>
      </c>
      <c r="BV15" s="149" t="str">
        <f>IF(OR($B15="",$B15=0),"",$I15*$C15*(1+'Property Summary'!$L$21)^('MF CapEx'!BV$3-1))</f>
        <v/>
      </c>
      <c r="BW15" s="149" t="str">
        <f>IF(OR($B15="",$B15=0),"",$I15*$C15*(1+'Property Summary'!$L$21)^('MF CapEx'!BW$3-1))</f>
        <v/>
      </c>
      <c r="BX15" s="149" t="str">
        <f>IF(OR($B15="",$B15=0),"",$I15*$C15*(1+'Property Summary'!$L$21)^('MF CapEx'!BX$3-1))</f>
        <v/>
      </c>
      <c r="BY15" s="149" t="str">
        <f>IF(OR($B15="",$B15=0),"",$I15*$C15*(1+'Property Summary'!$L$21)^('MF CapEx'!BY$3-1))</f>
        <v/>
      </c>
      <c r="BZ15" s="149" t="str">
        <f>IF(OR($B15="",$B15=0),"",$I15*$C15*(1+'Property Summary'!$L$21)^('MF CapEx'!BZ$3-1))</f>
        <v/>
      </c>
      <c r="CA15" s="149" t="str">
        <f>IF(OR($B15="",$B15=0),"",$I15*$C15*(1+'Property Summary'!$L$21)^('MF CapEx'!CA$3-1))</f>
        <v/>
      </c>
      <c r="CB15" s="149" t="str">
        <f>IF(OR($B15="",$B15=0),"",$I15*$C15*(1+'Property Summary'!$L$21)^('MF CapEx'!CB$3-1))</f>
        <v/>
      </c>
      <c r="CC15" s="149" t="str">
        <f>IF(OR($B15="",$B15=0),"",$I15*$C15*(1+'Property Summary'!$L$21)^('MF CapEx'!CC$3-1))</f>
        <v/>
      </c>
      <c r="CD15" s="149" t="str">
        <f>IF(OR($B15="",$B15=0),"",$I15*$C15*(1+'Property Summary'!$L$21)^('MF CapEx'!CD$3-1))</f>
        <v/>
      </c>
      <c r="CE15" s="149" t="str">
        <f>IF(OR($B15="",$B15=0),"",$I15*$C15*(1+'Property Summary'!$L$21)^('MF CapEx'!CE$3-1))</f>
        <v/>
      </c>
      <c r="CF15" s="149" t="str">
        <f>IF(OR($B15="",$B15=0),"",$I15*$C15*(1+'Property Summary'!$L$21)^('MF CapEx'!CF$3-1))</f>
        <v/>
      </c>
      <c r="CG15" s="149" t="str">
        <f>IF(OR($B15="",$B15=0),"",$I15*$C15*(1+'Property Summary'!$L$21)^('MF CapEx'!CG$3-1))</f>
        <v/>
      </c>
      <c r="CH15" s="149" t="str">
        <f>IF(OR($B15="",$B15=0),"",$I15*$C15*(1+'Property Summary'!$L$21)^('MF CapEx'!CH$3-1))</f>
        <v/>
      </c>
      <c r="CI15" s="149" t="str">
        <f>IF(OR($B15="",$B15=0),"",$I15*$C15*(1+'Property Summary'!$L$21)^('MF CapEx'!CI$3-1))</f>
        <v/>
      </c>
      <c r="CJ15" s="149" t="str">
        <f>IF(OR($B15="",$B15=0),"",$I15*$C15*(1+'Property Summary'!$L$21)^('MF CapEx'!CJ$3-1))</f>
        <v/>
      </c>
      <c r="CK15" s="149" t="str">
        <f>IF(OR($B15="",$B15=0),"",$I15*$C15*(1+'Property Summary'!$L$21)^('MF CapEx'!CK$3-1))</f>
        <v/>
      </c>
      <c r="CL15" s="149" t="str">
        <f>IF(OR($B15="",$B15=0),"",$I15*$C15*(1+'Property Summary'!$L$21)^('MF CapEx'!CL$3-1))</f>
        <v/>
      </c>
      <c r="CM15" s="149" t="str">
        <f>IF(OR($B15="",$B15=0),"",$I15*$C15*(1+'Property Summary'!$L$21)^('MF CapEx'!CM$3-1))</f>
        <v/>
      </c>
      <c r="CN15" s="149" t="str">
        <f>IF(OR($B15="",$B15=0),"",$I15*$C15*(1+'Property Summary'!$L$21)^('MF CapEx'!CN$3-1))</f>
        <v/>
      </c>
      <c r="CO15" s="149" t="str">
        <f>IF(OR($B15="",$B15=0),"",$I15*$C15*(1+'Property Summary'!$L$21)^('MF CapEx'!CO$3-1))</f>
        <v/>
      </c>
      <c r="CP15" s="149" t="str">
        <f>IF(OR($B15="",$B15=0),"",$I15*$C15*(1+'Property Summary'!$L$21)^('MF CapEx'!CP$3-1))</f>
        <v/>
      </c>
      <c r="CQ15" s="149" t="str">
        <f>IF(OR($B15="",$B15=0),"",$I15*$C15*(1+'Property Summary'!$L$21)^('MF CapEx'!CQ$3-1))</f>
        <v/>
      </c>
      <c r="CR15" s="149" t="str">
        <f>IF(OR($B15="",$B15=0),"",$I15*$C15*(1+'Property Summary'!$L$21)^('MF CapEx'!CR$3-1))</f>
        <v/>
      </c>
      <c r="CS15" s="149" t="str">
        <f>IF(OR($B15="",$B15=0),"",$I15*$C15*(1+'Property Summary'!$L$21)^('MF CapEx'!CS$3-1))</f>
        <v/>
      </c>
      <c r="CT15" s="149" t="str">
        <f>IF(OR($B15="",$B15=0),"",$I15*$C15*(1+'Property Summary'!$L$21)^('MF CapEx'!CT$3-1))</f>
        <v/>
      </c>
      <c r="CU15" s="149" t="str">
        <f>IF(OR($B15="",$B15=0),"",$I15*$C15*(1+'Property Summary'!$L$21)^('MF CapEx'!CU$3-1))</f>
        <v/>
      </c>
      <c r="CV15" s="149" t="str">
        <f>IF(OR($B15="",$B15=0),"",$I15*$C15*(1+'Property Summary'!$L$21)^('MF CapEx'!CV$3-1))</f>
        <v/>
      </c>
      <c r="CW15" s="149" t="str">
        <f>IF(OR($B15="",$B15=0),"",$I15*$C15*(1+'Property Summary'!$L$21)^('MF CapEx'!CW$3-1))</f>
        <v/>
      </c>
      <c r="CX15" s="149" t="str">
        <f>IF(OR($B15="",$B15=0),"",$I15*$C15*(1+'Property Summary'!$L$21)^('MF CapEx'!CX$3-1))</f>
        <v/>
      </c>
      <c r="CY15" s="149" t="str">
        <f>IF(OR($B15="",$B15=0),"",$I15*$C15*(1+'Property Summary'!$L$21)^('MF CapEx'!CY$3-1))</f>
        <v/>
      </c>
      <c r="CZ15" s="149" t="str">
        <f>IF(OR($B15="",$B15=0),"",$I15*$C15*(1+'Property Summary'!$L$21)^('MF CapEx'!CZ$3-1))</f>
        <v/>
      </c>
      <c r="DA15" s="149" t="str">
        <f>IF(OR($B15="",$B15=0),"",$I15*$C15*(1+'Property Summary'!$L$21)^('MF CapEx'!DA$3-1))</f>
        <v/>
      </c>
      <c r="DB15" s="149" t="str">
        <f>IF(OR($B15="",$B15=0),"",$I15*$C15*(1+'Property Summary'!$L$21)^('MF CapEx'!DB$3-1))</f>
        <v/>
      </c>
      <c r="DC15" s="149" t="str">
        <f>IF(OR($B15="",$B15=0),"",$I15*$C15*(1+'Property Summary'!$L$21)^('MF CapEx'!DC$3-1))</f>
        <v/>
      </c>
      <c r="DD15" s="149" t="str">
        <f>IF(OR($B15="",$B15=0),"",$I15*$C15*(1+'Property Summary'!$L$21)^('MF CapEx'!DD$3-1))</f>
        <v/>
      </c>
      <c r="DE15" s="149" t="str">
        <f>IF(OR($B15="",$B15=0),"",$I15*$C15*(1+'Property Summary'!$L$21)^('MF CapEx'!DE$3-1))</f>
        <v/>
      </c>
      <c r="DF15" s="149" t="str">
        <f>IF(OR($B15="",$B15=0),"",$I15*$C15*(1+'Property Summary'!$L$21)^('MF CapEx'!DF$3-1))</f>
        <v/>
      </c>
      <c r="DG15" s="149" t="str">
        <f>IF(OR($B15="",$B15=0),"",$I15*$C15*(1+'Property Summary'!$L$21)^('MF CapEx'!DG$3-1))</f>
        <v/>
      </c>
      <c r="DH15" s="149" t="str">
        <f>IF(OR($B15="",$B15=0),"",$I15*$C15*(1+'Property Summary'!$L$21)^('MF CapEx'!DH$3-1))</f>
        <v/>
      </c>
      <c r="DI15" s="149" t="str">
        <f>IF(OR($B15="",$B15=0),"",$I15*$C15*(1+'Property Summary'!$L$21)^('MF CapEx'!DI$3-1))</f>
        <v/>
      </c>
      <c r="DJ15" s="149" t="str">
        <f>IF(OR($B15="",$B15=0),"",$I15*$C15*(1+'Property Summary'!$L$21)^('MF CapEx'!DJ$3-1))</f>
        <v/>
      </c>
      <c r="DK15" s="149" t="str">
        <f>IF(OR($B15="",$B15=0),"",$I15*$C15*(1+'Property Summary'!$L$21)^('MF CapEx'!DK$3-1))</f>
        <v/>
      </c>
      <c r="DL15" s="149" t="str">
        <f>IF(OR($B15="",$B15=0),"",$I15*$C15*(1+'Property Summary'!$L$21)^('MF CapEx'!DL$3-1))</f>
        <v/>
      </c>
      <c r="DM15" s="149" t="str">
        <f>IF(OR($B15="",$B15=0),"",$I15*$C15*(1+'Property Summary'!$L$21)^('MF CapEx'!DM$3-1))</f>
        <v/>
      </c>
      <c r="DN15" s="149" t="str">
        <f>IF(OR($B15="",$B15=0),"",$I15*$C15*(1+'Property Summary'!$L$21)^('MF CapEx'!DN$3-1))</f>
        <v/>
      </c>
      <c r="DO15" s="149" t="str">
        <f>IF(OR($B15="",$B15=0),"",$I15*$C15*(1+'Property Summary'!$L$21)^('MF CapEx'!DO$3-1))</f>
        <v/>
      </c>
      <c r="DP15" s="149" t="str">
        <f>IF(OR($B15="",$B15=0),"",$I15*$C15*(1+'Property Summary'!$L$21)^('MF CapEx'!DP$3-1))</f>
        <v/>
      </c>
      <c r="DQ15" s="149" t="str">
        <f>IF(OR($B15="",$B15=0),"",$I15*$C15*(1+'Property Summary'!$L$21)^('MF CapEx'!DQ$3-1))</f>
        <v/>
      </c>
      <c r="DR15" s="149" t="str">
        <f>IF(OR($B15="",$B15=0),"",$I15*$C15*(1+'Property Summary'!$L$21)^('MF CapEx'!DR$3-1))</f>
        <v/>
      </c>
      <c r="DS15" s="149" t="str">
        <f>IF(OR($B15="",$B15=0),"",$I15*$C15*(1+'Property Summary'!$L$21)^('MF CapEx'!DS$3-1))</f>
        <v/>
      </c>
      <c r="DT15" s="149" t="str">
        <f>IF(OR($B15="",$B15=0),"",$I15*$C15*(1+'Property Summary'!$L$21)^('MF CapEx'!DT$3-1))</f>
        <v/>
      </c>
      <c r="DU15" s="149" t="str">
        <f>IF(OR($B15="",$B15=0),"",$I15*$C15*(1+'Property Summary'!$L$21)^('MF CapEx'!DU$3-1))</f>
        <v/>
      </c>
      <c r="DV15" s="149" t="str">
        <f>IF(OR($B15="",$B15=0),"",$I15*$C15*(1+'Property Summary'!$L$21)^('MF CapEx'!DV$3-1))</f>
        <v/>
      </c>
      <c r="DW15" s="149" t="str">
        <f>IF(OR($B15="",$B15=0),"",$I15*$C15*(1+'Property Summary'!$L$21)^('MF CapEx'!DW$3-1))</f>
        <v/>
      </c>
      <c r="DX15" s="149" t="str">
        <f>IF(OR($B15="",$B15=0),"",$I15*$C15*(1+'Property Summary'!$L$21)^('MF CapEx'!DX$3-1))</f>
        <v/>
      </c>
      <c r="DY15" s="149" t="str">
        <f>IF(OR($B15="",$B15=0),"",$I15*$C15*(1+'Property Summary'!$L$21)^('MF CapEx'!DY$3-1))</f>
        <v/>
      </c>
      <c r="DZ15" s="149" t="str">
        <f>IF(OR($B15="",$B15=0),"",$I15*$C15*(1+'Property Summary'!$L$21)^('MF CapEx'!DZ$3-1))</f>
        <v/>
      </c>
      <c r="EA15" s="149" t="str">
        <f>IF(OR($B15="",$B15=0),"",$I15*$C15*(1+'Property Summary'!$L$21)^('MF CapEx'!EA$3-1))</f>
        <v/>
      </c>
      <c r="EB15" s="149" t="str">
        <f>IF(OR($B15="",$B15=0),"",$I15*$C15*(1+'Property Summary'!$L$21)^('MF CapEx'!EB$3-1))</f>
        <v/>
      </c>
      <c r="EC15" s="149" t="str">
        <f>IF(OR($B15="",$B15=0),"",$I15*$C15*(1+'Property Summary'!$L$21)^('MF CapEx'!EC$3-1))</f>
        <v/>
      </c>
      <c r="ED15" s="149" t="str">
        <f>IF(OR($B15="",$B15=0),"",$I15*$C15*(1+'Property Summary'!$L$21)^('MF CapEx'!ED$3-1))</f>
        <v/>
      </c>
      <c r="EE15" s="149" t="str">
        <f>IF(OR($B15="",$B15=0),"",$I15*$C15*(1+'Property Summary'!$L$21)^('MF CapEx'!EE$3-1))</f>
        <v/>
      </c>
      <c r="EF15" s="149" t="str">
        <f>IF(OR($B15="",$B15=0),"",$I15*$C15*(1+'Property Summary'!$L$21)^('MF CapEx'!EF$3-1))</f>
        <v/>
      </c>
      <c r="EG15" s="149" t="str">
        <f>IF(OR($B15="",$B15=0),"",$I15*$C15*(1+'Property Summary'!$L$21)^('MF CapEx'!EG$3-1))</f>
        <v/>
      </c>
      <c r="EH15" s="149" t="str">
        <f>IF(OR($B15="",$B15=0),"",$I15*$C15*(1+'Property Summary'!$L$21)^('MF CapEx'!EH$3-1))</f>
        <v/>
      </c>
      <c r="EI15" s="149" t="str">
        <f>IF(OR($B15="",$B15=0),"",$I15*$C15*(1+'Property Summary'!$L$21)^('MF CapEx'!EI$3-1))</f>
        <v/>
      </c>
      <c r="EJ15" s="149" t="str">
        <f>IF(OR($B15="",$B15=0),"",$I15*$C15*(1+'Property Summary'!$L$21)^('MF CapEx'!EJ$3-1))</f>
        <v/>
      </c>
      <c r="EK15" s="149" t="str">
        <f>IF(OR($B15="",$B15=0),"",$I15*$C15*(1+'Property Summary'!$L$21)^('MF CapEx'!EK$3-1))</f>
        <v/>
      </c>
      <c r="EL15" s="149" t="str">
        <f>IF(OR($B15="",$B15=0),"",$I15*$C15*(1+'Property Summary'!$L$21)^('MF CapEx'!EL$3-1))</f>
        <v/>
      </c>
      <c r="EM15" s="149" t="str">
        <f>IF(OR($B15="",$B15=0),"",$I15*$C15*(1+'Property Summary'!$L$21)^('MF CapEx'!EM$3-1))</f>
        <v/>
      </c>
      <c r="EN15" s="149" t="str">
        <f>IF(OR($B15="",$B15=0),"",$I15*$C15*(1+'Property Summary'!$L$21)^('MF CapEx'!EN$3-1))</f>
        <v/>
      </c>
      <c r="EO15" s="149" t="str">
        <f>IF(OR($B15="",$B15=0),"",$I15*$C15*(1+'Property Summary'!$L$21)^('MF CapEx'!EO$3-1))</f>
        <v/>
      </c>
      <c r="EP15" s="149" t="str">
        <f>IF(OR($B15="",$B15=0),"",$I15*$C15*(1+'Property Summary'!$L$21)^('MF CapEx'!EP$3-1))</f>
        <v/>
      </c>
      <c r="EQ15" s="149" t="str">
        <f>IF(OR($B15="",$B15=0),"",$I15*$C15*(1+'Property Summary'!$L$21)^('MF CapEx'!EQ$3-1))</f>
        <v/>
      </c>
      <c r="ER15" s="149" t="str">
        <f>IF(OR($B15="",$B15=0),"",$I15*$C15*(1+'Property Summary'!$L$21)^('MF CapEx'!ER$3-1))</f>
        <v/>
      </c>
      <c r="ES15" s="149" t="str">
        <f>IF(OR($B15="",$B15=0),"",$I15*$C15*(1+'Property Summary'!$L$21)^('MF CapEx'!ES$3-1))</f>
        <v/>
      </c>
      <c r="ET15" s="149" t="str">
        <f>IF(OR($B15="",$B15=0),"",$I15*$C15*(1+'Property Summary'!$L$21)^('MF CapEx'!ET$3-1))</f>
        <v/>
      </c>
      <c r="EU15" s="149" t="str">
        <f>IF(OR($B15="",$B15=0),"",$I15*$C15*(1+'Property Summary'!$L$21)^('MF CapEx'!EU$3-1))</f>
        <v/>
      </c>
      <c r="EV15" s="149" t="str">
        <f>IF(OR($B15="",$B15=0),"",$I15*$C15*(1+'Property Summary'!$L$21)^('MF CapEx'!EV$3-1))</f>
        <v/>
      </c>
      <c r="EW15" s="149" t="str">
        <f>IF(OR($B15="",$B15=0),"",$I15*$C15*(1+'Property Summary'!$L$21)^('MF CapEx'!EW$3-1))</f>
        <v/>
      </c>
      <c r="EX15" s="149" t="str">
        <f>IF(OR($B15="",$B15=0),"",$I15*$C15*(1+'Property Summary'!$L$21)^('MF CapEx'!EX$3-1))</f>
        <v/>
      </c>
      <c r="EY15" s="149" t="str">
        <f>IF(OR($B15="",$B15=0),"",$I15*$C15*(1+'Property Summary'!$L$21)^('MF CapEx'!EY$3-1))</f>
        <v/>
      </c>
      <c r="EZ15" s="149" t="str">
        <f>IF(OR($B15="",$B15=0),"",$I15*$C15*(1+'Property Summary'!$L$21)^('MF CapEx'!EZ$3-1))</f>
        <v/>
      </c>
      <c r="FA15" s="149" t="str">
        <f>IF(OR($B15="",$B15=0),"",$I15*$C15*(1+'Property Summary'!$L$21)^('MF CapEx'!FA$3-1))</f>
        <v/>
      </c>
      <c r="FB15" s="149" t="str">
        <f>IF(OR($B15="",$B15=0),"",$I15*$C15*(1+'Property Summary'!$L$21)^('MF CapEx'!FB$3-1))</f>
        <v/>
      </c>
      <c r="FC15" s="149" t="str">
        <f>IF(OR($B15="",$B15=0),"",$I15*$C15*(1+'Property Summary'!$L$21)^('MF CapEx'!FC$3-1))</f>
        <v/>
      </c>
      <c r="FD15" s="149" t="str">
        <f>IF(OR($B15="",$B15=0),"",$I15*$C15*(1+'Property Summary'!$L$21)^('MF CapEx'!FD$3-1))</f>
        <v/>
      </c>
      <c r="FE15" s="149" t="str">
        <f>IF(OR($B15="",$B15=0),"",$I15*$C15*(1+'Property Summary'!$L$21)^('MF CapEx'!FE$3-1))</f>
        <v/>
      </c>
      <c r="FF15" s="149" t="str">
        <f>IF(OR($B15="",$B15=0),"",$I15*$C15*(1+'Property Summary'!$L$21)^('MF CapEx'!FF$3-1))</f>
        <v/>
      </c>
      <c r="FG15" s="149" t="str">
        <f>IF(OR($B15="",$B15=0),"",$I15*$C15*(1+'Property Summary'!$L$21)^('MF CapEx'!FG$3-1))</f>
        <v/>
      </c>
      <c r="FH15" s="149" t="str">
        <f>IF(OR($B15="",$B15=0),"",$I15*$C15*(1+'Property Summary'!$L$21)^('MF CapEx'!FH$3-1))</f>
        <v/>
      </c>
      <c r="FI15" s="149" t="str">
        <f>IF(OR($B15="",$B15=0),"",$I15*$C15*(1+'Property Summary'!$L$21)^('MF CapEx'!FI$3-1))</f>
        <v/>
      </c>
      <c r="FJ15" s="149" t="str">
        <f>IF(OR($B15="",$B15=0),"",$I15*$C15*(1+'Property Summary'!$L$21)^('MF CapEx'!FJ$3-1))</f>
        <v/>
      </c>
      <c r="FK15" s="149" t="str">
        <f>IF(OR($B15="",$B15=0),"",$I15*$C15*(1+'Property Summary'!$L$21)^('MF CapEx'!FK$3-1))</f>
        <v/>
      </c>
      <c r="FL15" s="149" t="str">
        <f>IF(OR($B15="",$B15=0),"",$I15*$C15*(1+'Property Summary'!$L$21)^('MF CapEx'!FL$3-1))</f>
        <v/>
      </c>
      <c r="FM15" s="149" t="str">
        <f>IF(OR($B15="",$B15=0),"",$I15*$C15*(1+'Property Summary'!$L$21)^('MF CapEx'!FM$3-1))</f>
        <v/>
      </c>
      <c r="FN15" s="149" t="str">
        <f>IF(OR($B15="",$B15=0),"",$I15*$C15*(1+'Property Summary'!$L$21)^('MF CapEx'!FN$3-1))</f>
        <v/>
      </c>
      <c r="FO15" s="149" t="str">
        <f>IF(OR($B15="",$B15=0),"",$I15*$C15*(1+'Property Summary'!$L$21)^('MF CapEx'!FO$3-1))</f>
        <v/>
      </c>
      <c r="FP15" s="149" t="str">
        <f>IF(OR($B15="",$B15=0),"",$I15*$C15*(1+'Property Summary'!$L$21)^('MF CapEx'!FP$3-1))</f>
        <v/>
      </c>
      <c r="FQ15" s="149" t="str">
        <f>IF(OR($B15="",$B15=0),"",$I15*$C15*(1+'Property Summary'!$L$21)^('MF CapEx'!FQ$3-1))</f>
        <v/>
      </c>
      <c r="FR15" s="149" t="str">
        <f>IF(OR($B15="",$B15=0),"",$I15*$C15*(1+'Property Summary'!$L$21)^('MF CapEx'!FR$3-1))</f>
        <v/>
      </c>
      <c r="FS15" s="149" t="str">
        <f>IF(OR($B15="",$B15=0),"",$I15*$C15*(1+'Property Summary'!$L$21)^('MF CapEx'!FS$3-1))</f>
        <v/>
      </c>
      <c r="FT15" s="149" t="str">
        <f>IF(OR($B15="",$B15=0),"",$I15*$C15*(1+'Property Summary'!$L$21)^('MF CapEx'!FT$3-1))</f>
        <v/>
      </c>
      <c r="FU15" s="149" t="str">
        <f>IF(OR($B15="",$B15=0),"",$I15*$C15*(1+'Property Summary'!$L$21)^('MF CapEx'!FU$3-1))</f>
        <v/>
      </c>
      <c r="FV15" s="149" t="str">
        <f>IF(OR($B15="",$B15=0),"",$I15*$C15*(1+'Property Summary'!$L$21)^('MF CapEx'!FV$3-1))</f>
        <v/>
      </c>
      <c r="FW15" s="149" t="str">
        <f>IF(OR($B15="",$B15=0),"",$I15*$C15*(1+'Property Summary'!$L$21)^('MF CapEx'!FW$3-1))</f>
        <v/>
      </c>
      <c r="FX15" s="149" t="str">
        <f>IF(OR($B15="",$B15=0),"",$I15*$C15*(1+'Property Summary'!$L$21)^('MF CapEx'!FX$3-1))</f>
        <v/>
      </c>
      <c r="FY15" s="149" t="str">
        <f>IF(OR($B15="",$B15=0),"",$I15*$C15*(1+'Property Summary'!$L$21)^('MF CapEx'!FY$3-1))</f>
        <v/>
      </c>
      <c r="FZ15" s="149" t="str">
        <f>IF(OR($B15="",$B15=0),"",$I15*$C15*(1+'Property Summary'!$L$21)^('MF CapEx'!FZ$3-1))</f>
        <v/>
      </c>
      <c r="GA15" s="149" t="str">
        <f>IF(OR($B15="",$B15=0),"",$I15*$C15*(1+'Property Summary'!$L$21)^('MF CapEx'!GA$3-1))</f>
        <v/>
      </c>
      <c r="GB15" s="149" t="str">
        <f>IF(OR($B15="",$B15=0),"",$I15*$C15*(1+'Property Summary'!$L$21)^('MF CapEx'!GB$3-1))</f>
        <v/>
      </c>
      <c r="GC15" s="149" t="str">
        <f>IF(OR($B15="",$B15=0),"",$I15*$C15*(1+'Property Summary'!$L$21)^('MF CapEx'!GC$3-1))</f>
        <v/>
      </c>
      <c r="GD15" s="149" t="str">
        <f>IF(OR($B15="",$B15=0),"",$I15*$C15*(1+'Property Summary'!$L$21)^('MF CapEx'!GD$3-1))</f>
        <v/>
      </c>
      <c r="GE15" s="149" t="str">
        <f>IF(OR($B15="",$B15=0),"",$I15*$C15*(1+'Property Summary'!$L$21)^('MF CapEx'!GE$3-1))</f>
        <v/>
      </c>
      <c r="GF15" s="149" t="str">
        <f>IF(OR($B15="",$B15=0),"",$I15*$C15*(1+'Property Summary'!$L$21)^('MF CapEx'!GF$3-1))</f>
        <v/>
      </c>
      <c r="GG15" s="149" t="str">
        <f>IF(OR($B15="",$B15=0),"",$I15*$C15*(1+'Property Summary'!$L$21)^('MF CapEx'!GG$3-1))</f>
        <v/>
      </c>
      <c r="GH15" s="149" t="str">
        <f>IF(OR($B15="",$B15=0),"",$I15*$C15*(1+'Property Summary'!$L$21)^('MF CapEx'!GH$3-1))</f>
        <v/>
      </c>
      <c r="GI15" s="149" t="str">
        <f>IF(OR($B15="",$B15=0),"",$I15*$C15*(1+'Property Summary'!$L$21)^('MF CapEx'!GI$3-1))</f>
        <v/>
      </c>
      <c r="GJ15" s="149" t="str">
        <f>IF(OR($B15="",$B15=0),"",$I15*$C15*(1+'Property Summary'!$L$21)^('MF CapEx'!GJ$3-1))</f>
        <v/>
      </c>
      <c r="GK15" s="149" t="str">
        <f>IF(OR($B15="",$B15=0),"",$I15*$C15*(1+'Property Summary'!$L$21)^('MF CapEx'!GK$3-1))</f>
        <v/>
      </c>
      <c r="GL15" s="149" t="str">
        <f>IF(OR($B15="",$B15=0),"",$I15*$C15*(1+'Property Summary'!$L$21)^('MF CapEx'!GL$3-1))</f>
        <v/>
      </c>
      <c r="GM15" s="149" t="str">
        <f>IF(OR($B15="",$B15=0),"",$I15*$C15*(1+'Property Summary'!$L$21)^('MF CapEx'!GM$3-1))</f>
        <v/>
      </c>
      <c r="GN15" s="149" t="str">
        <f>IF(OR($B15="",$B15=0),"",$I15*$C15*(1+'Property Summary'!$L$21)^('MF CapEx'!GN$3-1))</f>
        <v/>
      </c>
      <c r="GO15" s="149" t="str">
        <f>IF(OR($B15="",$B15=0),"",$I15*$C15*(1+'Property Summary'!$L$21)^('MF CapEx'!GO$3-1))</f>
        <v/>
      </c>
      <c r="GP15" s="149" t="str">
        <f>IF(OR($B15="",$B15=0),"",$I15*$C15*(1+'Property Summary'!$L$21)^('MF CapEx'!GP$3-1))</f>
        <v/>
      </c>
    </row>
    <row r="16" spans="2:198" x14ac:dyDescent="0.3">
      <c r="B16" s="184">
        <f>'MF Rent Roll'!B15</f>
        <v>0</v>
      </c>
      <c r="C16" s="171">
        <f>'MF Rent Roll'!C15</f>
        <v>0</v>
      </c>
      <c r="D16" s="172">
        <f>'MF Rent Roll'!D15</f>
        <v>0</v>
      </c>
      <c r="E16" s="172">
        <f>'MF Rent Roll'!E15</f>
        <v>0</v>
      </c>
      <c r="F16" s="173">
        <f>'MF Rent Roll'!F15</f>
        <v>0</v>
      </c>
      <c r="G16" s="174">
        <f>'MF Rent Roll'!G15</f>
        <v>0</v>
      </c>
      <c r="H16" s="176">
        <f>'MF Rent Roll'!J15</f>
        <v>0</v>
      </c>
      <c r="I16" s="174">
        <f>'MF Rent Roll'!K15</f>
        <v>0</v>
      </c>
      <c r="J16" s="177">
        <f>'MF Rent Roll'!L15</f>
        <v>0</v>
      </c>
      <c r="K16" s="178">
        <f>'MF Rent Roll'!M15</f>
        <v>0</v>
      </c>
      <c r="L16" s="174">
        <f>'MF Rent Roll'!N15</f>
        <v>0</v>
      </c>
      <c r="M16" s="179">
        <f>'MF Rent Roll'!O15</f>
        <v>0</v>
      </c>
      <c r="N16" s="180" t="str">
        <f>'MF Rent Roll'!P15</f>
        <v/>
      </c>
      <c r="O16" s="181" t="str">
        <f>'MF Rent Roll'!Q15</f>
        <v/>
      </c>
      <c r="P16" s="104" t="str">
        <f>'MF Rent Roll'!R15</f>
        <v/>
      </c>
      <c r="S16" s="149" t="str">
        <f>IF(OR($B16="",$B16=0),"",$I16*$C16*(1+'Property Summary'!$L$21)^('MF CapEx'!S$3-1))</f>
        <v/>
      </c>
      <c r="T16" s="149" t="str">
        <f>IF(OR($B16="",$B16=0),"",$I16*$C16*(1+'Property Summary'!$L$21)^('MF CapEx'!T$3-1))</f>
        <v/>
      </c>
      <c r="U16" s="149" t="str">
        <f>IF(OR($B16="",$B16=0),"",$I16*$C16*(1+'Property Summary'!$L$21)^('MF CapEx'!U$3-1))</f>
        <v/>
      </c>
      <c r="V16" s="149" t="str">
        <f>IF(OR($B16="",$B16=0),"",$I16*$C16*(1+'Property Summary'!$L$21)^('MF CapEx'!V$3-1))</f>
        <v/>
      </c>
      <c r="W16" s="149" t="str">
        <f>IF(OR($B16="",$B16=0),"",$I16*$C16*(1+'Property Summary'!$L$21)^('MF CapEx'!W$3-1))</f>
        <v/>
      </c>
      <c r="X16" s="149" t="str">
        <f>IF(OR($B16="",$B16=0),"",$I16*$C16*(1+'Property Summary'!$L$21)^('MF CapEx'!X$3-1))</f>
        <v/>
      </c>
      <c r="Y16" s="149" t="str">
        <f>IF(OR($B16="",$B16=0),"",$I16*$C16*(1+'Property Summary'!$L$21)^('MF CapEx'!Y$3-1))</f>
        <v/>
      </c>
      <c r="Z16" s="149" t="str">
        <f>IF(OR($B16="",$B16=0),"",$I16*$C16*(1+'Property Summary'!$L$21)^('MF CapEx'!Z$3-1))</f>
        <v/>
      </c>
      <c r="AA16" s="149" t="str">
        <f>IF(OR($B16="",$B16=0),"",$I16*$C16*(1+'Property Summary'!$L$21)^('MF CapEx'!AA$3-1))</f>
        <v/>
      </c>
      <c r="AB16" s="149" t="str">
        <f>IF(OR($B16="",$B16=0),"",$I16*$C16*(1+'Property Summary'!$L$21)^('MF CapEx'!AB$3-1))</f>
        <v/>
      </c>
      <c r="AC16" s="149" t="str">
        <f>IF(OR($B16="",$B16=0),"",$I16*$C16*(1+'Property Summary'!$L$21)^('MF CapEx'!AC$3-1))</f>
        <v/>
      </c>
      <c r="AD16" s="149" t="str">
        <f>IF(OR($B16="",$B16=0),"",$I16*$C16*(1+'Property Summary'!$L$21)^('MF CapEx'!AD$3-1))</f>
        <v/>
      </c>
      <c r="AE16" s="149" t="str">
        <f>IF(OR($B16="",$B16=0),"",$I16*$C16*(1+'Property Summary'!$L$21)^('MF CapEx'!AE$3-1))</f>
        <v/>
      </c>
      <c r="AF16" s="149" t="str">
        <f>IF(OR($B16="",$B16=0),"",$I16*$C16*(1+'Property Summary'!$L$21)^('MF CapEx'!AF$3-1))</f>
        <v/>
      </c>
      <c r="AG16" s="149" t="str">
        <f>IF(OR($B16="",$B16=0),"",$I16*$C16*(1+'Property Summary'!$L$21)^('MF CapEx'!AG$3-1))</f>
        <v/>
      </c>
      <c r="AH16" s="149" t="str">
        <f>IF(OR($B16="",$B16=0),"",$I16*$C16*(1+'Property Summary'!$L$21)^('MF CapEx'!AH$3-1))</f>
        <v/>
      </c>
      <c r="AI16" s="149" t="str">
        <f>IF(OR($B16="",$B16=0),"",$I16*$C16*(1+'Property Summary'!$L$21)^('MF CapEx'!AI$3-1))</f>
        <v/>
      </c>
      <c r="AJ16" s="149" t="str">
        <f>IF(OR($B16="",$B16=0),"",$I16*$C16*(1+'Property Summary'!$L$21)^('MF CapEx'!AJ$3-1))</f>
        <v/>
      </c>
      <c r="AK16" s="149" t="str">
        <f>IF(OR($B16="",$B16=0),"",$I16*$C16*(1+'Property Summary'!$L$21)^('MF CapEx'!AK$3-1))</f>
        <v/>
      </c>
      <c r="AL16" s="149" t="str">
        <f>IF(OR($B16="",$B16=0),"",$I16*$C16*(1+'Property Summary'!$L$21)^('MF CapEx'!AL$3-1))</f>
        <v/>
      </c>
      <c r="AM16" s="149" t="str">
        <f>IF(OR($B16="",$B16=0),"",$I16*$C16*(1+'Property Summary'!$L$21)^('MF CapEx'!AM$3-1))</f>
        <v/>
      </c>
      <c r="AN16" s="149" t="str">
        <f>IF(OR($B16="",$B16=0),"",$I16*$C16*(1+'Property Summary'!$L$21)^('MF CapEx'!AN$3-1))</f>
        <v/>
      </c>
      <c r="AO16" s="149" t="str">
        <f>IF(OR($B16="",$B16=0),"",$I16*$C16*(1+'Property Summary'!$L$21)^('MF CapEx'!AO$3-1))</f>
        <v/>
      </c>
      <c r="AP16" s="149" t="str">
        <f>IF(OR($B16="",$B16=0),"",$I16*$C16*(1+'Property Summary'!$L$21)^('MF CapEx'!AP$3-1))</f>
        <v/>
      </c>
      <c r="AQ16" s="149" t="str">
        <f>IF(OR($B16="",$B16=0),"",$I16*$C16*(1+'Property Summary'!$L$21)^('MF CapEx'!AQ$3-1))</f>
        <v/>
      </c>
      <c r="AR16" s="149" t="str">
        <f>IF(OR($B16="",$B16=0),"",$I16*$C16*(1+'Property Summary'!$L$21)^('MF CapEx'!AR$3-1))</f>
        <v/>
      </c>
      <c r="AS16" s="149" t="str">
        <f>IF(OR($B16="",$B16=0),"",$I16*$C16*(1+'Property Summary'!$L$21)^('MF CapEx'!AS$3-1))</f>
        <v/>
      </c>
      <c r="AT16" s="149" t="str">
        <f>IF(OR($B16="",$B16=0),"",$I16*$C16*(1+'Property Summary'!$L$21)^('MF CapEx'!AT$3-1))</f>
        <v/>
      </c>
      <c r="AU16" s="149" t="str">
        <f>IF(OR($B16="",$B16=0),"",$I16*$C16*(1+'Property Summary'!$L$21)^('MF CapEx'!AU$3-1))</f>
        <v/>
      </c>
      <c r="AV16" s="149" t="str">
        <f>IF(OR($B16="",$B16=0),"",$I16*$C16*(1+'Property Summary'!$L$21)^('MF CapEx'!AV$3-1))</f>
        <v/>
      </c>
      <c r="AW16" s="149" t="str">
        <f>IF(OR($B16="",$B16=0),"",$I16*$C16*(1+'Property Summary'!$L$21)^('MF CapEx'!AW$3-1))</f>
        <v/>
      </c>
      <c r="AX16" s="149" t="str">
        <f>IF(OR($B16="",$B16=0),"",$I16*$C16*(1+'Property Summary'!$L$21)^('MF CapEx'!AX$3-1))</f>
        <v/>
      </c>
      <c r="AY16" s="149" t="str">
        <f>IF(OR($B16="",$B16=0),"",$I16*$C16*(1+'Property Summary'!$L$21)^('MF CapEx'!AY$3-1))</f>
        <v/>
      </c>
      <c r="AZ16" s="149" t="str">
        <f>IF(OR($B16="",$B16=0),"",$I16*$C16*(1+'Property Summary'!$L$21)^('MF CapEx'!AZ$3-1))</f>
        <v/>
      </c>
      <c r="BA16" s="149" t="str">
        <f>IF(OR($B16="",$B16=0),"",$I16*$C16*(1+'Property Summary'!$L$21)^('MF CapEx'!BA$3-1))</f>
        <v/>
      </c>
      <c r="BB16" s="149" t="str">
        <f>IF(OR($B16="",$B16=0),"",$I16*$C16*(1+'Property Summary'!$L$21)^('MF CapEx'!BB$3-1))</f>
        <v/>
      </c>
      <c r="BC16" s="149" t="str">
        <f>IF(OR($B16="",$B16=0),"",$I16*$C16*(1+'Property Summary'!$L$21)^('MF CapEx'!BC$3-1))</f>
        <v/>
      </c>
      <c r="BD16" s="149" t="str">
        <f>IF(OR($B16="",$B16=0),"",$I16*$C16*(1+'Property Summary'!$L$21)^('MF CapEx'!BD$3-1))</f>
        <v/>
      </c>
      <c r="BE16" s="149" t="str">
        <f>IF(OR($B16="",$B16=0),"",$I16*$C16*(1+'Property Summary'!$L$21)^('MF CapEx'!BE$3-1))</f>
        <v/>
      </c>
      <c r="BF16" s="149" t="str">
        <f>IF(OR($B16="",$B16=0),"",$I16*$C16*(1+'Property Summary'!$L$21)^('MF CapEx'!BF$3-1))</f>
        <v/>
      </c>
      <c r="BG16" s="149" t="str">
        <f>IF(OR($B16="",$B16=0),"",$I16*$C16*(1+'Property Summary'!$L$21)^('MF CapEx'!BG$3-1))</f>
        <v/>
      </c>
      <c r="BH16" s="149" t="str">
        <f>IF(OR($B16="",$B16=0),"",$I16*$C16*(1+'Property Summary'!$L$21)^('MF CapEx'!BH$3-1))</f>
        <v/>
      </c>
      <c r="BI16" s="149" t="str">
        <f>IF(OR($B16="",$B16=0),"",$I16*$C16*(1+'Property Summary'!$L$21)^('MF CapEx'!BI$3-1))</f>
        <v/>
      </c>
      <c r="BJ16" s="149" t="str">
        <f>IF(OR($B16="",$B16=0),"",$I16*$C16*(1+'Property Summary'!$L$21)^('MF CapEx'!BJ$3-1))</f>
        <v/>
      </c>
      <c r="BK16" s="149" t="str">
        <f>IF(OR($B16="",$B16=0),"",$I16*$C16*(1+'Property Summary'!$L$21)^('MF CapEx'!BK$3-1))</f>
        <v/>
      </c>
      <c r="BL16" s="149" t="str">
        <f>IF(OR($B16="",$B16=0),"",$I16*$C16*(1+'Property Summary'!$L$21)^('MF CapEx'!BL$3-1))</f>
        <v/>
      </c>
      <c r="BM16" s="149" t="str">
        <f>IF(OR($B16="",$B16=0),"",$I16*$C16*(1+'Property Summary'!$L$21)^('MF CapEx'!BM$3-1))</f>
        <v/>
      </c>
      <c r="BN16" s="149" t="str">
        <f>IF(OR($B16="",$B16=0),"",$I16*$C16*(1+'Property Summary'!$L$21)^('MF CapEx'!BN$3-1))</f>
        <v/>
      </c>
      <c r="BO16" s="149" t="str">
        <f>IF(OR($B16="",$B16=0),"",$I16*$C16*(1+'Property Summary'!$L$21)^('MF CapEx'!BO$3-1))</f>
        <v/>
      </c>
      <c r="BP16" s="149" t="str">
        <f>IF(OR($B16="",$B16=0),"",$I16*$C16*(1+'Property Summary'!$L$21)^('MF CapEx'!BP$3-1))</f>
        <v/>
      </c>
      <c r="BQ16" s="149" t="str">
        <f>IF(OR($B16="",$B16=0),"",$I16*$C16*(1+'Property Summary'!$L$21)^('MF CapEx'!BQ$3-1))</f>
        <v/>
      </c>
      <c r="BR16" s="149" t="str">
        <f>IF(OR($B16="",$B16=0),"",$I16*$C16*(1+'Property Summary'!$L$21)^('MF CapEx'!BR$3-1))</f>
        <v/>
      </c>
      <c r="BS16" s="149" t="str">
        <f>IF(OR($B16="",$B16=0),"",$I16*$C16*(1+'Property Summary'!$L$21)^('MF CapEx'!BS$3-1))</f>
        <v/>
      </c>
      <c r="BT16" s="149" t="str">
        <f>IF(OR($B16="",$B16=0),"",$I16*$C16*(1+'Property Summary'!$L$21)^('MF CapEx'!BT$3-1))</f>
        <v/>
      </c>
      <c r="BU16" s="149" t="str">
        <f>IF(OR($B16="",$B16=0),"",$I16*$C16*(1+'Property Summary'!$L$21)^('MF CapEx'!BU$3-1))</f>
        <v/>
      </c>
      <c r="BV16" s="149" t="str">
        <f>IF(OR($B16="",$B16=0),"",$I16*$C16*(1+'Property Summary'!$L$21)^('MF CapEx'!BV$3-1))</f>
        <v/>
      </c>
      <c r="BW16" s="149" t="str">
        <f>IF(OR($B16="",$B16=0),"",$I16*$C16*(1+'Property Summary'!$L$21)^('MF CapEx'!BW$3-1))</f>
        <v/>
      </c>
      <c r="BX16" s="149" t="str">
        <f>IF(OR($B16="",$B16=0),"",$I16*$C16*(1+'Property Summary'!$L$21)^('MF CapEx'!BX$3-1))</f>
        <v/>
      </c>
      <c r="BY16" s="149" t="str">
        <f>IF(OR($B16="",$B16=0),"",$I16*$C16*(1+'Property Summary'!$L$21)^('MF CapEx'!BY$3-1))</f>
        <v/>
      </c>
      <c r="BZ16" s="149" t="str">
        <f>IF(OR($B16="",$B16=0),"",$I16*$C16*(1+'Property Summary'!$L$21)^('MF CapEx'!BZ$3-1))</f>
        <v/>
      </c>
      <c r="CA16" s="149" t="str">
        <f>IF(OR($B16="",$B16=0),"",$I16*$C16*(1+'Property Summary'!$L$21)^('MF CapEx'!CA$3-1))</f>
        <v/>
      </c>
      <c r="CB16" s="149" t="str">
        <f>IF(OR($B16="",$B16=0),"",$I16*$C16*(1+'Property Summary'!$L$21)^('MF CapEx'!CB$3-1))</f>
        <v/>
      </c>
      <c r="CC16" s="149" t="str">
        <f>IF(OR($B16="",$B16=0),"",$I16*$C16*(1+'Property Summary'!$L$21)^('MF CapEx'!CC$3-1))</f>
        <v/>
      </c>
      <c r="CD16" s="149" t="str">
        <f>IF(OR($B16="",$B16=0),"",$I16*$C16*(1+'Property Summary'!$L$21)^('MF CapEx'!CD$3-1))</f>
        <v/>
      </c>
      <c r="CE16" s="149" t="str">
        <f>IF(OR($B16="",$B16=0),"",$I16*$C16*(1+'Property Summary'!$L$21)^('MF CapEx'!CE$3-1))</f>
        <v/>
      </c>
      <c r="CF16" s="149" t="str">
        <f>IF(OR($B16="",$B16=0),"",$I16*$C16*(1+'Property Summary'!$L$21)^('MF CapEx'!CF$3-1))</f>
        <v/>
      </c>
      <c r="CG16" s="149" t="str">
        <f>IF(OR($B16="",$B16=0),"",$I16*$C16*(1+'Property Summary'!$L$21)^('MF CapEx'!CG$3-1))</f>
        <v/>
      </c>
      <c r="CH16" s="149" t="str">
        <f>IF(OR($B16="",$B16=0),"",$I16*$C16*(1+'Property Summary'!$L$21)^('MF CapEx'!CH$3-1))</f>
        <v/>
      </c>
      <c r="CI16" s="149" t="str">
        <f>IF(OR($B16="",$B16=0),"",$I16*$C16*(1+'Property Summary'!$L$21)^('MF CapEx'!CI$3-1))</f>
        <v/>
      </c>
      <c r="CJ16" s="149" t="str">
        <f>IF(OR($B16="",$B16=0),"",$I16*$C16*(1+'Property Summary'!$L$21)^('MF CapEx'!CJ$3-1))</f>
        <v/>
      </c>
      <c r="CK16" s="149" t="str">
        <f>IF(OR($B16="",$B16=0),"",$I16*$C16*(1+'Property Summary'!$L$21)^('MF CapEx'!CK$3-1))</f>
        <v/>
      </c>
      <c r="CL16" s="149" t="str">
        <f>IF(OR($B16="",$B16=0),"",$I16*$C16*(1+'Property Summary'!$L$21)^('MF CapEx'!CL$3-1))</f>
        <v/>
      </c>
      <c r="CM16" s="149" t="str">
        <f>IF(OR($B16="",$B16=0),"",$I16*$C16*(1+'Property Summary'!$L$21)^('MF CapEx'!CM$3-1))</f>
        <v/>
      </c>
      <c r="CN16" s="149" t="str">
        <f>IF(OR($B16="",$B16=0),"",$I16*$C16*(1+'Property Summary'!$L$21)^('MF CapEx'!CN$3-1))</f>
        <v/>
      </c>
      <c r="CO16" s="149" t="str">
        <f>IF(OR($B16="",$B16=0),"",$I16*$C16*(1+'Property Summary'!$L$21)^('MF CapEx'!CO$3-1))</f>
        <v/>
      </c>
      <c r="CP16" s="149" t="str">
        <f>IF(OR($B16="",$B16=0),"",$I16*$C16*(1+'Property Summary'!$L$21)^('MF CapEx'!CP$3-1))</f>
        <v/>
      </c>
      <c r="CQ16" s="149" t="str">
        <f>IF(OR($B16="",$B16=0),"",$I16*$C16*(1+'Property Summary'!$L$21)^('MF CapEx'!CQ$3-1))</f>
        <v/>
      </c>
      <c r="CR16" s="149" t="str">
        <f>IF(OR($B16="",$B16=0),"",$I16*$C16*(1+'Property Summary'!$L$21)^('MF CapEx'!CR$3-1))</f>
        <v/>
      </c>
      <c r="CS16" s="149" t="str">
        <f>IF(OR($B16="",$B16=0),"",$I16*$C16*(1+'Property Summary'!$L$21)^('MF CapEx'!CS$3-1))</f>
        <v/>
      </c>
      <c r="CT16" s="149" t="str">
        <f>IF(OR($B16="",$B16=0),"",$I16*$C16*(1+'Property Summary'!$L$21)^('MF CapEx'!CT$3-1))</f>
        <v/>
      </c>
      <c r="CU16" s="149" t="str">
        <f>IF(OR($B16="",$B16=0),"",$I16*$C16*(1+'Property Summary'!$L$21)^('MF CapEx'!CU$3-1))</f>
        <v/>
      </c>
      <c r="CV16" s="149" t="str">
        <f>IF(OR($B16="",$B16=0),"",$I16*$C16*(1+'Property Summary'!$L$21)^('MF CapEx'!CV$3-1))</f>
        <v/>
      </c>
      <c r="CW16" s="149" t="str">
        <f>IF(OR($B16="",$B16=0),"",$I16*$C16*(1+'Property Summary'!$L$21)^('MF CapEx'!CW$3-1))</f>
        <v/>
      </c>
      <c r="CX16" s="149" t="str">
        <f>IF(OR($B16="",$B16=0),"",$I16*$C16*(1+'Property Summary'!$L$21)^('MF CapEx'!CX$3-1))</f>
        <v/>
      </c>
      <c r="CY16" s="149" t="str">
        <f>IF(OR($B16="",$B16=0),"",$I16*$C16*(1+'Property Summary'!$L$21)^('MF CapEx'!CY$3-1))</f>
        <v/>
      </c>
      <c r="CZ16" s="149" t="str">
        <f>IF(OR($B16="",$B16=0),"",$I16*$C16*(1+'Property Summary'!$L$21)^('MF CapEx'!CZ$3-1))</f>
        <v/>
      </c>
      <c r="DA16" s="149" t="str">
        <f>IF(OR($B16="",$B16=0),"",$I16*$C16*(1+'Property Summary'!$L$21)^('MF CapEx'!DA$3-1))</f>
        <v/>
      </c>
      <c r="DB16" s="149" t="str">
        <f>IF(OR($B16="",$B16=0),"",$I16*$C16*(1+'Property Summary'!$L$21)^('MF CapEx'!DB$3-1))</f>
        <v/>
      </c>
      <c r="DC16" s="149" t="str">
        <f>IF(OR($B16="",$B16=0),"",$I16*$C16*(1+'Property Summary'!$L$21)^('MF CapEx'!DC$3-1))</f>
        <v/>
      </c>
      <c r="DD16" s="149" t="str">
        <f>IF(OR($B16="",$B16=0),"",$I16*$C16*(1+'Property Summary'!$L$21)^('MF CapEx'!DD$3-1))</f>
        <v/>
      </c>
      <c r="DE16" s="149" t="str">
        <f>IF(OR($B16="",$B16=0),"",$I16*$C16*(1+'Property Summary'!$L$21)^('MF CapEx'!DE$3-1))</f>
        <v/>
      </c>
      <c r="DF16" s="149" t="str">
        <f>IF(OR($B16="",$B16=0),"",$I16*$C16*(1+'Property Summary'!$L$21)^('MF CapEx'!DF$3-1))</f>
        <v/>
      </c>
      <c r="DG16" s="149" t="str">
        <f>IF(OR($B16="",$B16=0),"",$I16*$C16*(1+'Property Summary'!$L$21)^('MF CapEx'!DG$3-1))</f>
        <v/>
      </c>
      <c r="DH16" s="149" t="str">
        <f>IF(OR($B16="",$B16=0),"",$I16*$C16*(1+'Property Summary'!$L$21)^('MF CapEx'!DH$3-1))</f>
        <v/>
      </c>
      <c r="DI16" s="149" t="str">
        <f>IF(OR($B16="",$B16=0),"",$I16*$C16*(1+'Property Summary'!$L$21)^('MF CapEx'!DI$3-1))</f>
        <v/>
      </c>
      <c r="DJ16" s="149" t="str">
        <f>IF(OR($B16="",$B16=0),"",$I16*$C16*(1+'Property Summary'!$L$21)^('MF CapEx'!DJ$3-1))</f>
        <v/>
      </c>
      <c r="DK16" s="149" t="str">
        <f>IF(OR($B16="",$B16=0),"",$I16*$C16*(1+'Property Summary'!$L$21)^('MF CapEx'!DK$3-1))</f>
        <v/>
      </c>
      <c r="DL16" s="149" t="str">
        <f>IF(OR($B16="",$B16=0),"",$I16*$C16*(1+'Property Summary'!$L$21)^('MF CapEx'!DL$3-1))</f>
        <v/>
      </c>
      <c r="DM16" s="149" t="str">
        <f>IF(OR($B16="",$B16=0),"",$I16*$C16*(1+'Property Summary'!$L$21)^('MF CapEx'!DM$3-1))</f>
        <v/>
      </c>
      <c r="DN16" s="149" t="str">
        <f>IF(OR($B16="",$B16=0),"",$I16*$C16*(1+'Property Summary'!$L$21)^('MF CapEx'!DN$3-1))</f>
        <v/>
      </c>
      <c r="DO16" s="149" t="str">
        <f>IF(OR($B16="",$B16=0),"",$I16*$C16*(1+'Property Summary'!$L$21)^('MF CapEx'!DO$3-1))</f>
        <v/>
      </c>
      <c r="DP16" s="149" t="str">
        <f>IF(OR($B16="",$B16=0),"",$I16*$C16*(1+'Property Summary'!$L$21)^('MF CapEx'!DP$3-1))</f>
        <v/>
      </c>
      <c r="DQ16" s="149" t="str">
        <f>IF(OR($B16="",$B16=0),"",$I16*$C16*(1+'Property Summary'!$L$21)^('MF CapEx'!DQ$3-1))</f>
        <v/>
      </c>
      <c r="DR16" s="149" t="str">
        <f>IF(OR($B16="",$B16=0),"",$I16*$C16*(1+'Property Summary'!$L$21)^('MF CapEx'!DR$3-1))</f>
        <v/>
      </c>
      <c r="DS16" s="149" t="str">
        <f>IF(OR($B16="",$B16=0),"",$I16*$C16*(1+'Property Summary'!$L$21)^('MF CapEx'!DS$3-1))</f>
        <v/>
      </c>
      <c r="DT16" s="149" t="str">
        <f>IF(OR($B16="",$B16=0),"",$I16*$C16*(1+'Property Summary'!$L$21)^('MF CapEx'!DT$3-1))</f>
        <v/>
      </c>
      <c r="DU16" s="149" t="str">
        <f>IF(OR($B16="",$B16=0),"",$I16*$C16*(1+'Property Summary'!$L$21)^('MF CapEx'!DU$3-1))</f>
        <v/>
      </c>
      <c r="DV16" s="149" t="str">
        <f>IF(OR($B16="",$B16=0),"",$I16*$C16*(1+'Property Summary'!$L$21)^('MF CapEx'!DV$3-1))</f>
        <v/>
      </c>
      <c r="DW16" s="149" t="str">
        <f>IF(OR($B16="",$B16=0),"",$I16*$C16*(1+'Property Summary'!$L$21)^('MF CapEx'!DW$3-1))</f>
        <v/>
      </c>
      <c r="DX16" s="149" t="str">
        <f>IF(OR($B16="",$B16=0),"",$I16*$C16*(1+'Property Summary'!$L$21)^('MF CapEx'!DX$3-1))</f>
        <v/>
      </c>
      <c r="DY16" s="149" t="str">
        <f>IF(OR($B16="",$B16=0),"",$I16*$C16*(1+'Property Summary'!$L$21)^('MF CapEx'!DY$3-1))</f>
        <v/>
      </c>
      <c r="DZ16" s="149" t="str">
        <f>IF(OR($B16="",$B16=0),"",$I16*$C16*(1+'Property Summary'!$L$21)^('MF CapEx'!DZ$3-1))</f>
        <v/>
      </c>
      <c r="EA16" s="149" t="str">
        <f>IF(OR($B16="",$B16=0),"",$I16*$C16*(1+'Property Summary'!$L$21)^('MF CapEx'!EA$3-1))</f>
        <v/>
      </c>
      <c r="EB16" s="149" t="str">
        <f>IF(OR($B16="",$B16=0),"",$I16*$C16*(1+'Property Summary'!$L$21)^('MF CapEx'!EB$3-1))</f>
        <v/>
      </c>
      <c r="EC16" s="149" t="str">
        <f>IF(OR($B16="",$B16=0),"",$I16*$C16*(1+'Property Summary'!$L$21)^('MF CapEx'!EC$3-1))</f>
        <v/>
      </c>
      <c r="ED16" s="149" t="str">
        <f>IF(OR($B16="",$B16=0),"",$I16*$C16*(1+'Property Summary'!$L$21)^('MF CapEx'!ED$3-1))</f>
        <v/>
      </c>
      <c r="EE16" s="149" t="str">
        <f>IF(OR($B16="",$B16=0),"",$I16*$C16*(1+'Property Summary'!$L$21)^('MF CapEx'!EE$3-1))</f>
        <v/>
      </c>
      <c r="EF16" s="149" t="str">
        <f>IF(OR($B16="",$B16=0),"",$I16*$C16*(1+'Property Summary'!$L$21)^('MF CapEx'!EF$3-1))</f>
        <v/>
      </c>
      <c r="EG16" s="149" t="str">
        <f>IF(OR($B16="",$B16=0),"",$I16*$C16*(1+'Property Summary'!$L$21)^('MF CapEx'!EG$3-1))</f>
        <v/>
      </c>
      <c r="EH16" s="149" t="str">
        <f>IF(OR($B16="",$B16=0),"",$I16*$C16*(1+'Property Summary'!$L$21)^('MF CapEx'!EH$3-1))</f>
        <v/>
      </c>
      <c r="EI16" s="149" t="str">
        <f>IF(OR($B16="",$B16=0),"",$I16*$C16*(1+'Property Summary'!$L$21)^('MF CapEx'!EI$3-1))</f>
        <v/>
      </c>
      <c r="EJ16" s="149" t="str">
        <f>IF(OR($B16="",$B16=0),"",$I16*$C16*(1+'Property Summary'!$L$21)^('MF CapEx'!EJ$3-1))</f>
        <v/>
      </c>
      <c r="EK16" s="149" t="str">
        <f>IF(OR($B16="",$B16=0),"",$I16*$C16*(1+'Property Summary'!$L$21)^('MF CapEx'!EK$3-1))</f>
        <v/>
      </c>
      <c r="EL16" s="149" t="str">
        <f>IF(OR($B16="",$B16=0),"",$I16*$C16*(1+'Property Summary'!$L$21)^('MF CapEx'!EL$3-1))</f>
        <v/>
      </c>
      <c r="EM16" s="149" t="str">
        <f>IF(OR($B16="",$B16=0),"",$I16*$C16*(1+'Property Summary'!$L$21)^('MF CapEx'!EM$3-1))</f>
        <v/>
      </c>
      <c r="EN16" s="149" t="str">
        <f>IF(OR($B16="",$B16=0),"",$I16*$C16*(1+'Property Summary'!$L$21)^('MF CapEx'!EN$3-1))</f>
        <v/>
      </c>
      <c r="EO16" s="149" t="str">
        <f>IF(OR($B16="",$B16=0),"",$I16*$C16*(1+'Property Summary'!$L$21)^('MF CapEx'!EO$3-1))</f>
        <v/>
      </c>
      <c r="EP16" s="149" t="str">
        <f>IF(OR($B16="",$B16=0),"",$I16*$C16*(1+'Property Summary'!$L$21)^('MF CapEx'!EP$3-1))</f>
        <v/>
      </c>
      <c r="EQ16" s="149" t="str">
        <f>IF(OR($B16="",$B16=0),"",$I16*$C16*(1+'Property Summary'!$L$21)^('MF CapEx'!EQ$3-1))</f>
        <v/>
      </c>
      <c r="ER16" s="149" t="str">
        <f>IF(OR($B16="",$B16=0),"",$I16*$C16*(1+'Property Summary'!$L$21)^('MF CapEx'!ER$3-1))</f>
        <v/>
      </c>
      <c r="ES16" s="149" t="str">
        <f>IF(OR($B16="",$B16=0),"",$I16*$C16*(1+'Property Summary'!$L$21)^('MF CapEx'!ES$3-1))</f>
        <v/>
      </c>
      <c r="ET16" s="149" t="str">
        <f>IF(OR($B16="",$B16=0),"",$I16*$C16*(1+'Property Summary'!$L$21)^('MF CapEx'!ET$3-1))</f>
        <v/>
      </c>
      <c r="EU16" s="149" t="str">
        <f>IF(OR($B16="",$B16=0),"",$I16*$C16*(1+'Property Summary'!$L$21)^('MF CapEx'!EU$3-1))</f>
        <v/>
      </c>
      <c r="EV16" s="149" t="str">
        <f>IF(OR($B16="",$B16=0),"",$I16*$C16*(1+'Property Summary'!$L$21)^('MF CapEx'!EV$3-1))</f>
        <v/>
      </c>
      <c r="EW16" s="149" t="str">
        <f>IF(OR($B16="",$B16=0),"",$I16*$C16*(1+'Property Summary'!$L$21)^('MF CapEx'!EW$3-1))</f>
        <v/>
      </c>
      <c r="EX16" s="149" t="str">
        <f>IF(OR($B16="",$B16=0),"",$I16*$C16*(1+'Property Summary'!$L$21)^('MF CapEx'!EX$3-1))</f>
        <v/>
      </c>
      <c r="EY16" s="149" t="str">
        <f>IF(OR($B16="",$B16=0),"",$I16*$C16*(1+'Property Summary'!$L$21)^('MF CapEx'!EY$3-1))</f>
        <v/>
      </c>
      <c r="EZ16" s="149" t="str">
        <f>IF(OR($B16="",$B16=0),"",$I16*$C16*(1+'Property Summary'!$L$21)^('MF CapEx'!EZ$3-1))</f>
        <v/>
      </c>
      <c r="FA16" s="149" t="str">
        <f>IF(OR($B16="",$B16=0),"",$I16*$C16*(1+'Property Summary'!$L$21)^('MF CapEx'!FA$3-1))</f>
        <v/>
      </c>
      <c r="FB16" s="149" t="str">
        <f>IF(OR($B16="",$B16=0),"",$I16*$C16*(1+'Property Summary'!$L$21)^('MF CapEx'!FB$3-1))</f>
        <v/>
      </c>
      <c r="FC16" s="149" t="str">
        <f>IF(OR($B16="",$B16=0),"",$I16*$C16*(1+'Property Summary'!$L$21)^('MF CapEx'!FC$3-1))</f>
        <v/>
      </c>
      <c r="FD16" s="149" t="str">
        <f>IF(OR($B16="",$B16=0),"",$I16*$C16*(1+'Property Summary'!$L$21)^('MF CapEx'!FD$3-1))</f>
        <v/>
      </c>
      <c r="FE16" s="149" t="str">
        <f>IF(OR($B16="",$B16=0),"",$I16*$C16*(1+'Property Summary'!$L$21)^('MF CapEx'!FE$3-1))</f>
        <v/>
      </c>
      <c r="FF16" s="149" t="str">
        <f>IF(OR($B16="",$B16=0),"",$I16*$C16*(1+'Property Summary'!$L$21)^('MF CapEx'!FF$3-1))</f>
        <v/>
      </c>
      <c r="FG16" s="149" t="str">
        <f>IF(OR($B16="",$B16=0),"",$I16*$C16*(1+'Property Summary'!$L$21)^('MF CapEx'!FG$3-1))</f>
        <v/>
      </c>
      <c r="FH16" s="149" t="str">
        <f>IF(OR($B16="",$B16=0),"",$I16*$C16*(1+'Property Summary'!$L$21)^('MF CapEx'!FH$3-1))</f>
        <v/>
      </c>
      <c r="FI16" s="149" t="str">
        <f>IF(OR($B16="",$B16=0),"",$I16*$C16*(1+'Property Summary'!$L$21)^('MF CapEx'!FI$3-1))</f>
        <v/>
      </c>
      <c r="FJ16" s="149" t="str">
        <f>IF(OR($B16="",$B16=0),"",$I16*$C16*(1+'Property Summary'!$L$21)^('MF CapEx'!FJ$3-1))</f>
        <v/>
      </c>
      <c r="FK16" s="149" t="str">
        <f>IF(OR($B16="",$B16=0),"",$I16*$C16*(1+'Property Summary'!$L$21)^('MF CapEx'!FK$3-1))</f>
        <v/>
      </c>
      <c r="FL16" s="149" t="str">
        <f>IF(OR($B16="",$B16=0),"",$I16*$C16*(1+'Property Summary'!$L$21)^('MF CapEx'!FL$3-1))</f>
        <v/>
      </c>
      <c r="FM16" s="149" t="str">
        <f>IF(OR($B16="",$B16=0),"",$I16*$C16*(1+'Property Summary'!$L$21)^('MF CapEx'!FM$3-1))</f>
        <v/>
      </c>
      <c r="FN16" s="149" t="str">
        <f>IF(OR($B16="",$B16=0),"",$I16*$C16*(1+'Property Summary'!$L$21)^('MF CapEx'!FN$3-1))</f>
        <v/>
      </c>
      <c r="FO16" s="149" t="str">
        <f>IF(OR($B16="",$B16=0),"",$I16*$C16*(1+'Property Summary'!$L$21)^('MF CapEx'!FO$3-1))</f>
        <v/>
      </c>
      <c r="FP16" s="149" t="str">
        <f>IF(OR($B16="",$B16=0),"",$I16*$C16*(1+'Property Summary'!$L$21)^('MF CapEx'!FP$3-1))</f>
        <v/>
      </c>
      <c r="FQ16" s="149" t="str">
        <f>IF(OR($B16="",$B16=0),"",$I16*$C16*(1+'Property Summary'!$L$21)^('MF CapEx'!FQ$3-1))</f>
        <v/>
      </c>
      <c r="FR16" s="149" t="str">
        <f>IF(OR($B16="",$B16=0),"",$I16*$C16*(1+'Property Summary'!$L$21)^('MF CapEx'!FR$3-1))</f>
        <v/>
      </c>
      <c r="FS16" s="149" t="str">
        <f>IF(OR($B16="",$B16=0),"",$I16*$C16*(1+'Property Summary'!$L$21)^('MF CapEx'!FS$3-1))</f>
        <v/>
      </c>
      <c r="FT16" s="149" t="str">
        <f>IF(OR($B16="",$B16=0),"",$I16*$C16*(1+'Property Summary'!$L$21)^('MF CapEx'!FT$3-1))</f>
        <v/>
      </c>
      <c r="FU16" s="149" t="str">
        <f>IF(OR($B16="",$B16=0),"",$I16*$C16*(1+'Property Summary'!$L$21)^('MF CapEx'!FU$3-1))</f>
        <v/>
      </c>
      <c r="FV16" s="149" t="str">
        <f>IF(OR($B16="",$B16=0),"",$I16*$C16*(1+'Property Summary'!$L$21)^('MF CapEx'!FV$3-1))</f>
        <v/>
      </c>
      <c r="FW16" s="149" t="str">
        <f>IF(OR($B16="",$B16=0),"",$I16*$C16*(1+'Property Summary'!$L$21)^('MF CapEx'!FW$3-1))</f>
        <v/>
      </c>
      <c r="FX16" s="149" t="str">
        <f>IF(OR($B16="",$B16=0),"",$I16*$C16*(1+'Property Summary'!$L$21)^('MF CapEx'!FX$3-1))</f>
        <v/>
      </c>
      <c r="FY16" s="149" t="str">
        <f>IF(OR($B16="",$B16=0),"",$I16*$C16*(1+'Property Summary'!$L$21)^('MF CapEx'!FY$3-1))</f>
        <v/>
      </c>
      <c r="FZ16" s="149" t="str">
        <f>IF(OR($B16="",$B16=0),"",$I16*$C16*(1+'Property Summary'!$L$21)^('MF CapEx'!FZ$3-1))</f>
        <v/>
      </c>
      <c r="GA16" s="149" t="str">
        <f>IF(OR($B16="",$B16=0),"",$I16*$C16*(1+'Property Summary'!$L$21)^('MF CapEx'!GA$3-1))</f>
        <v/>
      </c>
      <c r="GB16" s="149" t="str">
        <f>IF(OR($B16="",$B16=0),"",$I16*$C16*(1+'Property Summary'!$L$21)^('MF CapEx'!GB$3-1))</f>
        <v/>
      </c>
      <c r="GC16" s="149" t="str">
        <f>IF(OR($B16="",$B16=0),"",$I16*$C16*(1+'Property Summary'!$L$21)^('MF CapEx'!GC$3-1))</f>
        <v/>
      </c>
      <c r="GD16" s="149" t="str">
        <f>IF(OR($B16="",$B16=0),"",$I16*$C16*(1+'Property Summary'!$L$21)^('MF CapEx'!GD$3-1))</f>
        <v/>
      </c>
      <c r="GE16" s="149" t="str">
        <f>IF(OR($B16="",$B16=0),"",$I16*$C16*(1+'Property Summary'!$L$21)^('MF CapEx'!GE$3-1))</f>
        <v/>
      </c>
      <c r="GF16" s="149" t="str">
        <f>IF(OR($B16="",$B16=0),"",$I16*$C16*(1+'Property Summary'!$L$21)^('MF CapEx'!GF$3-1))</f>
        <v/>
      </c>
      <c r="GG16" s="149" t="str">
        <f>IF(OR($B16="",$B16=0),"",$I16*$C16*(1+'Property Summary'!$L$21)^('MF CapEx'!GG$3-1))</f>
        <v/>
      </c>
      <c r="GH16" s="149" t="str">
        <f>IF(OR($B16="",$B16=0),"",$I16*$C16*(1+'Property Summary'!$L$21)^('MF CapEx'!GH$3-1))</f>
        <v/>
      </c>
      <c r="GI16" s="149" t="str">
        <f>IF(OR($B16="",$B16=0),"",$I16*$C16*(1+'Property Summary'!$L$21)^('MF CapEx'!GI$3-1))</f>
        <v/>
      </c>
      <c r="GJ16" s="149" t="str">
        <f>IF(OR($B16="",$B16=0),"",$I16*$C16*(1+'Property Summary'!$L$21)^('MF CapEx'!GJ$3-1))</f>
        <v/>
      </c>
      <c r="GK16" s="149" t="str">
        <f>IF(OR($B16="",$B16=0),"",$I16*$C16*(1+'Property Summary'!$L$21)^('MF CapEx'!GK$3-1))</f>
        <v/>
      </c>
      <c r="GL16" s="149" t="str">
        <f>IF(OR($B16="",$B16=0),"",$I16*$C16*(1+'Property Summary'!$L$21)^('MF CapEx'!GL$3-1))</f>
        <v/>
      </c>
      <c r="GM16" s="149" t="str">
        <f>IF(OR($B16="",$B16=0),"",$I16*$C16*(1+'Property Summary'!$L$21)^('MF CapEx'!GM$3-1))</f>
        <v/>
      </c>
      <c r="GN16" s="149" t="str">
        <f>IF(OR($B16="",$B16=0),"",$I16*$C16*(1+'Property Summary'!$L$21)^('MF CapEx'!GN$3-1))</f>
        <v/>
      </c>
      <c r="GO16" s="149" t="str">
        <f>IF(OR($B16="",$B16=0),"",$I16*$C16*(1+'Property Summary'!$L$21)^('MF CapEx'!GO$3-1))</f>
        <v/>
      </c>
      <c r="GP16" s="149" t="str">
        <f>IF(OR($B16="",$B16=0),"",$I16*$C16*(1+'Property Summary'!$L$21)^('MF CapEx'!GP$3-1))</f>
        <v/>
      </c>
    </row>
    <row r="17" spans="2:198" x14ac:dyDescent="0.3">
      <c r="B17" s="184">
        <f>'MF Rent Roll'!B16</f>
        <v>0</v>
      </c>
      <c r="C17" s="171">
        <f>'MF Rent Roll'!C16</f>
        <v>0</v>
      </c>
      <c r="D17" s="172">
        <f>'MF Rent Roll'!D16</f>
        <v>0</v>
      </c>
      <c r="E17" s="172">
        <f>'MF Rent Roll'!E16</f>
        <v>0</v>
      </c>
      <c r="F17" s="173">
        <f>'MF Rent Roll'!F16</f>
        <v>0</v>
      </c>
      <c r="G17" s="174">
        <f>'MF Rent Roll'!G16</f>
        <v>0</v>
      </c>
      <c r="H17" s="176">
        <f>'MF Rent Roll'!J16</f>
        <v>0</v>
      </c>
      <c r="I17" s="174">
        <f>'MF Rent Roll'!K16</f>
        <v>0</v>
      </c>
      <c r="J17" s="177">
        <f>'MF Rent Roll'!L16</f>
        <v>0</v>
      </c>
      <c r="K17" s="178">
        <f>'MF Rent Roll'!M16</f>
        <v>0</v>
      </c>
      <c r="L17" s="174">
        <f>'MF Rent Roll'!N16</f>
        <v>0</v>
      </c>
      <c r="M17" s="179">
        <f>'MF Rent Roll'!O16</f>
        <v>0</v>
      </c>
      <c r="N17" s="180" t="str">
        <f>'MF Rent Roll'!P16</f>
        <v/>
      </c>
      <c r="O17" s="181" t="str">
        <f>'MF Rent Roll'!Q16</f>
        <v/>
      </c>
      <c r="P17" s="104" t="str">
        <f>'MF Rent Roll'!R16</f>
        <v/>
      </c>
      <c r="S17" s="149" t="str">
        <f>IF(OR($B17="",$B17=0),"",$I17*$C17*(1+'Property Summary'!$L$21)^('MF CapEx'!S$3-1))</f>
        <v/>
      </c>
      <c r="T17" s="149" t="str">
        <f>IF(OR($B17="",$B17=0),"",$I17*$C17*(1+'Property Summary'!$L$21)^('MF CapEx'!T$3-1))</f>
        <v/>
      </c>
      <c r="U17" s="149" t="str">
        <f>IF(OR($B17="",$B17=0),"",$I17*$C17*(1+'Property Summary'!$L$21)^('MF CapEx'!U$3-1))</f>
        <v/>
      </c>
      <c r="V17" s="149" t="str">
        <f>IF(OR($B17="",$B17=0),"",$I17*$C17*(1+'Property Summary'!$L$21)^('MF CapEx'!V$3-1))</f>
        <v/>
      </c>
      <c r="W17" s="149" t="str">
        <f>IF(OR($B17="",$B17=0),"",$I17*$C17*(1+'Property Summary'!$L$21)^('MF CapEx'!W$3-1))</f>
        <v/>
      </c>
      <c r="X17" s="149" t="str">
        <f>IF(OR($B17="",$B17=0),"",$I17*$C17*(1+'Property Summary'!$L$21)^('MF CapEx'!X$3-1))</f>
        <v/>
      </c>
      <c r="Y17" s="149" t="str">
        <f>IF(OR($B17="",$B17=0),"",$I17*$C17*(1+'Property Summary'!$L$21)^('MF CapEx'!Y$3-1))</f>
        <v/>
      </c>
      <c r="Z17" s="149" t="str">
        <f>IF(OR($B17="",$B17=0),"",$I17*$C17*(1+'Property Summary'!$L$21)^('MF CapEx'!Z$3-1))</f>
        <v/>
      </c>
      <c r="AA17" s="149" t="str">
        <f>IF(OR($B17="",$B17=0),"",$I17*$C17*(1+'Property Summary'!$L$21)^('MF CapEx'!AA$3-1))</f>
        <v/>
      </c>
      <c r="AB17" s="149" t="str">
        <f>IF(OR($B17="",$B17=0),"",$I17*$C17*(1+'Property Summary'!$L$21)^('MF CapEx'!AB$3-1))</f>
        <v/>
      </c>
      <c r="AC17" s="149" t="str">
        <f>IF(OR($B17="",$B17=0),"",$I17*$C17*(1+'Property Summary'!$L$21)^('MF CapEx'!AC$3-1))</f>
        <v/>
      </c>
      <c r="AD17" s="149" t="str">
        <f>IF(OR($B17="",$B17=0),"",$I17*$C17*(1+'Property Summary'!$L$21)^('MF CapEx'!AD$3-1))</f>
        <v/>
      </c>
      <c r="AE17" s="149" t="str">
        <f>IF(OR($B17="",$B17=0),"",$I17*$C17*(1+'Property Summary'!$L$21)^('MF CapEx'!AE$3-1))</f>
        <v/>
      </c>
      <c r="AF17" s="149" t="str">
        <f>IF(OR($B17="",$B17=0),"",$I17*$C17*(1+'Property Summary'!$L$21)^('MF CapEx'!AF$3-1))</f>
        <v/>
      </c>
      <c r="AG17" s="149" t="str">
        <f>IF(OR($B17="",$B17=0),"",$I17*$C17*(1+'Property Summary'!$L$21)^('MF CapEx'!AG$3-1))</f>
        <v/>
      </c>
      <c r="AH17" s="149" t="str">
        <f>IF(OR($B17="",$B17=0),"",$I17*$C17*(1+'Property Summary'!$L$21)^('MF CapEx'!AH$3-1))</f>
        <v/>
      </c>
      <c r="AI17" s="149" t="str">
        <f>IF(OR($B17="",$B17=0),"",$I17*$C17*(1+'Property Summary'!$L$21)^('MF CapEx'!AI$3-1))</f>
        <v/>
      </c>
      <c r="AJ17" s="149" t="str">
        <f>IF(OR($B17="",$B17=0),"",$I17*$C17*(1+'Property Summary'!$L$21)^('MF CapEx'!AJ$3-1))</f>
        <v/>
      </c>
      <c r="AK17" s="149" t="str">
        <f>IF(OR($B17="",$B17=0),"",$I17*$C17*(1+'Property Summary'!$L$21)^('MF CapEx'!AK$3-1))</f>
        <v/>
      </c>
      <c r="AL17" s="149" t="str">
        <f>IF(OR($B17="",$B17=0),"",$I17*$C17*(1+'Property Summary'!$L$21)^('MF CapEx'!AL$3-1))</f>
        <v/>
      </c>
      <c r="AM17" s="149" t="str">
        <f>IF(OR($B17="",$B17=0),"",$I17*$C17*(1+'Property Summary'!$L$21)^('MF CapEx'!AM$3-1))</f>
        <v/>
      </c>
      <c r="AN17" s="149" t="str">
        <f>IF(OR($B17="",$B17=0),"",$I17*$C17*(1+'Property Summary'!$L$21)^('MF CapEx'!AN$3-1))</f>
        <v/>
      </c>
      <c r="AO17" s="149" t="str">
        <f>IF(OR($B17="",$B17=0),"",$I17*$C17*(1+'Property Summary'!$L$21)^('MF CapEx'!AO$3-1))</f>
        <v/>
      </c>
      <c r="AP17" s="149" t="str">
        <f>IF(OR($B17="",$B17=0),"",$I17*$C17*(1+'Property Summary'!$L$21)^('MF CapEx'!AP$3-1))</f>
        <v/>
      </c>
      <c r="AQ17" s="149" t="str">
        <f>IF(OR($B17="",$B17=0),"",$I17*$C17*(1+'Property Summary'!$L$21)^('MF CapEx'!AQ$3-1))</f>
        <v/>
      </c>
      <c r="AR17" s="149" t="str">
        <f>IF(OR($B17="",$B17=0),"",$I17*$C17*(1+'Property Summary'!$L$21)^('MF CapEx'!AR$3-1))</f>
        <v/>
      </c>
      <c r="AS17" s="149" t="str">
        <f>IF(OR($B17="",$B17=0),"",$I17*$C17*(1+'Property Summary'!$L$21)^('MF CapEx'!AS$3-1))</f>
        <v/>
      </c>
      <c r="AT17" s="149" t="str">
        <f>IF(OR($B17="",$B17=0),"",$I17*$C17*(1+'Property Summary'!$L$21)^('MF CapEx'!AT$3-1))</f>
        <v/>
      </c>
      <c r="AU17" s="149" t="str">
        <f>IF(OR($B17="",$B17=0),"",$I17*$C17*(1+'Property Summary'!$L$21)^('MF CapEx'!AU$3-1))</f>
        <v/>
      </c>
      <c r="AV17" s="149" t="str">
        <f>IF(OR($B17="",$B17=0),"",$I17*$C17*(1+'Property Summary'!$L$21)^('MF CapEx'!AV$3-1))</f>
        <v/>
      </c>
      <c r="AW17" s="149" t="str">
        <f>IF(OR($B17="",$B17=0),"",$I17*$C17*(1+'Property Summary'!$L$21)^('MF CapEx'!AW$3-1))</f>
        <v/>
      </c>
      <c r="AX17" s="149" t="str">
        <f>IF(OR($B17="",$B17=0),"",$I17*$C17*(1+'Property Summary'!$L$21)^('MF CapEx'!AX$3-1))</f>
        <v/>
      </c>
      <c r="AY17" s="149" t="str">
        <f>IF(OR($B17="",$B17=0),"",$I17*$C17*(1+'Property Summary'!$L$21)^('MF CapEx'!AY$3-1))</f>
        <v/>
      </c>
      <c r="AZ17" s="149" t="str">
        <f>IF(OR($B17="",$B17=0),"",$I17*$C17*(1+'Property Summary'!$L$21)^('MF CapEx'!AZ$3-1))</f>
        <v/>
      </c>
      <c r="BA17" s="149" t="str">
        <f>IF(OR($B17="",$B17=0),"",$I17*$C17*(1+'Property Summary'!$L$21)^('MF CapEx'!BA$3-1))</f>
        <v/>
      </c>
      <c r="BB17" s="149" t="str">
        <f>IF(OR($B17="",$B17=0),"",$I17*$C17*(1+'Property Summary'!$L$21)^('MF CapEx'!BB$3-1))</f>
        <v/>
      </c>
      <c r="BC17" s="149" t="str">
        <f>IF(OR($B17="",$B17=0),"",$I17*$C17*(1+'Property Summary'!$L$21)^('MF CapEx'!BC$3-1))</f>
        <v/>
      </c>
      <c r="BD17" s="149" t="str">
        <f>IF(OR($B17="",$B17=0),"",$I17*$C17*(1+'Property Summary'!$L$21)^('MF CapEx'!BD$3-1))</f>
        <v/>
      </c>
      <c r="BE17" s="149" t="str">
        <f>IF(OR($B17="",$B17=0),"",$I17*$C17*(1+'Property Summary'!$L$21)^('MF CapEx'!BE$3-1))</f>
        <v/>
      </c>
      <c r="BF17" s="149" t="str">
        <f>IF(OR($B17="",$B17=0),"",$I17*$C17*(1+'Property Summary'!$L$21)^('MF CapEx'!BF$3-1))</f>
        <v/>
      </c>
      <c r="BG17" s="149" t="str">
        <f>IF(OR($B17="",$B17=0),"",$I17*$C17*(1+'Property Summary'!$L$21)^('MF CapEx'!BG$3-1))</f>
        <v/>
      </c>
      <c r="BH17" s="149" t="str">
        <f>IF(OR($B17="",$B17=0),"",$I17*$C17*(1+'Property Summary'!$L$21)^('MF CapEx'!BH$3-1))</f>
        <v/>
      </c>
      <c r="BI17" s="149" t="str">
        <f>IF(OR($B17="",$B17=0),"",$I17*$C17*(1+'Property Summary'!$L$21)^('MF CapEx'!BI$3-1))</f>
        <v/>
      </c>
      <c r="BJ17" s="149" t="str">
        <f>IF(OR($B17="",$B17=0),"",$I17*$C17*(1+'Property Summary'!$L$21)^('MF CapEx'!BJ$3-1))</f>
        <v/>
      </c>
      <c r="BK17" s="149" t="str">
        <f>IF(OR($B17="",$B17=0),"",$I17*$C17*(1+'Property Summary'!$L$21)^('MF CapEx'!BK$3-1))</f>
        <v/>
      </c>
      <c r="BL17" s="149" t="str">
        <f>IF(OR($B17="",$B17=0),"",$I17*$C17*(1+'Property Summary'!$L$21)^('MF CapEx'!BL$3-1))</f>
        <v/>
      </c>
      <c r="BM17" s="149" t="str">
        <f>IF(OR($B17="",$B17=0),"",$I17*$C17*(1+'Property Summary'!$L$21)^('MF CapEx'!BM$3-1))</f>
        <v/>
      </c>
      <c r="BN17" s="149" t="str">
        <f>IF(OR($B17="",$B17=0),"",$I17*$C17*(1+'Property Summary'!$L$21)^('MF CapEx'!BN$3-1))</f>
        <v/>
      </c>
      <c r="BO17" s="149" t="str">
        <f>IF(OR($B17="",$B17=0),"",$I17*$C17*(1+'Property Summary'!$L$21)^('MF CapEx'!BO$3-1))</f>
        <v/>
      </c>
      <c r="BP17" s="149" t="str">
        <f>IF(OR($B17="",$B17=0),"",$I17*$C17*(1+'Property Summary'!$L$21)^('MF CapEx'!BP$3-1))</f>
        <v/>
      </c>
      <c r="BQ17" s="149" t="str">
        <f>IF(OR($B17="",$B17=0),"",$I17*$C17*(1+'Property Summary'!$L$21)^('MF CapEx'!BQ$3-1))</f>
        <v/>
      </c>
      <c r="BR17" s="149" t="str">
        <f>IF(OR($B17="",$B17=0),"",$I17*$C17*(1+'Property Summary'!$L$21)^('MF CapEx'!BR$3-1))</f>
        <v/>
      </c>
      <c r="BS17" s="149" t="str">
        <f>IF(OR($B17="",$B17=0),"",$I17*$C17*(1+'Property Summary'!$L$21)^('MF CapEx'!BS$3-1))</f>
        <v/>
      </c>
      <c r="BT17" s="149" t="str">
        <f>IF(OR($B17="",$B17=0),"",$I17*$C17*(1+'Property Summary'!$L$21)^('MF CapEx'!BT$3-1))</f>
        <v/>
      </c>
      <c r="BU17" s="149" t="str">
        <f>IF(OR($B17="",$B17=0),"",$I17*$C17*(1+'Property Summary'!$L$21)^('MF CapEx'!BU$3-1))</f>
        <v/>
      </c>
      <c r="BV17" s="149" t="str">
        <f>IF(OR($B17="",$B17=0),"",$I17*$C17*(1+'Property Summary'!$L$21)^('MF CapEx'!BV$3-1))</f>
        <v/>
      </c>
      <c r="BW17" s="149" t="str">
        <f>IF(OR($B17="",$B17=0),"",$I17*$C17*(1+'Property Summary'!$L$21)^('MF CapEx'!BW$3-1))</f>
        <v/>
      </c>
      <c r="BX17" s="149" t="str">
        <f>IF(OR($B17="",$B17=0),"",$I17*$C17*(1+'Property Summary'!$L$21)^('MF CapEx'!BX$3-1))</f>
        <v/>
      </c>
      <c r="BY17" s="149" t="str">
        <f>IF(OR($B17="",$B17=0),"",$I17*$C17*(1+'Property Summary'!$L$21)^('MF CapEx'!BY$3-1))</f>
        <v/>
      </c>
      <c r="BZ17" s="149" t="str">
        <f>IF(OR($B17="",$B17=0),"",$I17*$C17*(1+'Property Summary'!$L$21)^('MF CapEx'!BZ$3-1))</f>
        <v/>
      </c>
      <c r="CA17" s="149" t="str">
        <f>IF(OR($B17="",$B17=0),"",$I17*$C17*(1+'Property Summary'!$L$21)^('MF CapEx'!CA$3-1))</f>
        <v/>
      </c>
      <c r="CB17" s="149" t="str">
        <f>IF(OR($B17="",$B17=0),"",$I17*$C17*(1+'Property Summary'!$L$21)^('MF CapEx'!CB$3-1))</f>
        <v/>
      </c>
      <c r="CC17" s="149" t="str">
        <f>IF(OR($B17="",$B17=0),"",$I17*$C17*(1+'Property Summary'!$L$21)^('MF CapEx'!CC$3-1))</f>
        <v/>
      </c>
      <c r="CD17" s="149" t="str">
        <f>IF(OR($B17="",$B17=0),"",$I17*$C17*(1+'Property Summary'!$L$21)^('MF CapEx'!CD$3-1))</f>
        <v/>
      </c>
      <c r="CE17" s="149" t="str">
        <f>IF(OR($B17="",$B17=0),"",$I17*$C17*(1+'Property Summary'!$L$21)^('MF CapEx'!CE$3-1))</f>
        <v/>
      </c>
      <c r="CF17" s="149" t="str">
        <f>IF(OR($B17="",$B17=0),"",$I17*$C17*(1+'Property Summary'!$L$21)^('MF CapEx'!CF$3-1))</f>
        <v/>
      </c>
      <c r="CG17" s="149" t="str">
        <f>IF(OR($B17="",$B17=0),"",$I17*$C17*(1+'Property Summary'!$L$21)^('MF CapEx'!CG$3-1))</f>
        <v/>
      </c>
      <c r="CH17" s="149" t="str">
        <f>IF(OR($B17="",$B17=0),"",$I17*$C17*(1+'Property Summary'!$L$21)^('MF CapEx'!CH$3-1))</f>
        <v/>
      </c>
      <c r="CI17" s="149" t="str">
        <f>IF(OR($B17="",$B17=0),"",$I17*$C17*(1+'Property Summary'!$L$21)^('MF CapEx'!CI$3-1))</f>
        <v/>
      </c>
      <c r="CJ17" s="149" t="str">
        <f>IF(OR($B17="",$B17=0),"",$I17*$C17*(1+'Property Summary'!$L$21)^('MF CapEx'!CJ$3-1))</f>
        <v/>
      </c>
      <c r="CK17" s="149" t="str">
        <f>IF(OR($B17="",$B17=0),"",$I17*$C17*(1+'Property Summary'!$L$21)^('MF CapEx'!CK$3-1))</f>
        <v/>
      </c>
      <c r="CL17" s="149" t="str">
        <f>IF(OR($B17="",$B17=0),"",$I17*$C17*(1+'Property Summary'!$L$21)^('MF CapEx'!CL$3-1))</f>
        <v/>
      </c>
      <c r="CM17" s="149" t="str">
        <f>IF(OR($B17="",$B17=0),"",$I17*$C17*(1+'Property Summary'!$L$21)^('MF CapEx'!CM$3-1))</f>
        <v/>
      </c>
      <c r="CN17" s="149" t="str">
        <f>IF(OR($B17="",$B17=0),"",$I17*$C17*(1+'Property Summary'!$L$21)^('MF CapEx'!CN$3-1))</f>
        <v/>
      </c>
      <c r="CO17" s="149" t="str">
        <f>IF(OR($B17="",$B17=0),"",$I17*$C17*(1+'Property Summary'!$L$21)^('MF CapEx'!CO$3-1))</f>
        <v/>
      </c>
      <c r="CP17" s="149" t="str">
        <f>IF(OR($B17="",$B17=0),"",$I17*$C17*(1+'Property Summary'!$L$21)^('MF CapEx'!CP$3-1))</f>
        <v/>
      </c>
      <c r="CQ17" s="149" t="str">
        <f>IF(OR($B17="",$B17=0),"",$I17*$C17*(1+'Property Summary'!$L$21)^('MF CapEx'!CQ$3-1))</f>
        <v/>
      </c>
      <c r="CR17" s="149" t="str">
        <f>IF(OR($B17="",$B17=0),"",$I17*$C17*(1+'Property Summary'!$L$21)^('MF CapEx'!CR$3-1))</f>
        <v/>
      </c>
      <c r="CS17" s="149" t="str">
        <f>IF(OR($B17="",$B17=0),"",$I17*$C17*(1+'Property Summary'!$L$21)^('MF CapEx'!CS$3-1))</f>
        <v/>
      </c>
      <c r="CT17" s="149" t="str">
        <f>IF(OR($B17="",$B17=0),"",$I17*$C17*(1+'Property Summary'!$L$21)^('MF CapEx'!CT$3-1))</f>
        <v/>
      </c>
      <c r="CU17" s="149" t="str">
        <f>IF(OR($B17="",$B17=0),"",$I17*$C17*(1+'Property Summary'!$L$21)^('MF CapEx'!CU$3-1))</f>
        <v/>
      </c>
      <c r="CV17" s="149" t="str">
        <f>IF(OR($B17="",$B17=0),"",$I17*$C17*(1+'Property Summary'!$L$21)^('MF CapEx'!CV$3-1))</f>
        <v/>
      </c>
      <c r="CW17" s="149" t="str">
        <f>IF(OR($B17="",$B17=0),"",$I17*$C17*(1+'Property Summary'!$L$21)^('MF CapEx'!CW$3-1))</f>
        <v/>
      </c>
      <c r="CX17" s="149" t="str">
        <f>IF(OR($B17="",$B17=0),"",$I17*$C17*(1+'Property Summary'!$L$21)^('MF CapEx'!CX$3-1))</f>
        <v/>
      </c>
      <c r="CY17" s="149" t="str">
        <f>IF(OR($B17="",$B17=0),"",$I17*$C17*(1+'Property Summary'!$L$21)^('MF CapEx'!CY$3-1))</f>
        <v/>
      </c>
      <c r="CZ17" s="149" t="str">
        <f>IF(OR($B17="",$B17=0),"",$I17*$C17*(1+'Property Summary'!$L$21)^('MF CapEx'!CZ$3-1))</f>
        <v/>
      </c>
      <c r="DA17" s="149" t="str">
        <f>IF(OR($B17="",$B17=0),"",$I17*$C17*(1+'Property Summary'!$L$21)^('MF CapEx'!DA$3-1))</f>
        <v/>
      </c>
      <c r="DB17" s="149" t="str">
        <f>IF(OR($B17="",$B17=0),"",$I17*$C17*(1+'Property Summary'!$L$21)^('MF CapEx'!DB$3-1))</f>
        <v/>
      </c>
      <c r="DC17" s="149" t="str">
        <f>IF(OR($B17="",$B17=0),"",$I17*$C17*(1+'Property Summary'!$L$21)^('MF CapEx'!DC$3-1))</f>
        <v/>
      </c>
      <c r="DD17" s="149" t="str">
        <f>IF(OR($B17="",$B17=0),"",$I17*$C17*(1+'Property Summary'!$L$21)^('MF CapEx'!DD$3-1))</f>
        <v/>
      </c>
      <c r="DE17" s="149" t="str">
        <f>IF(OR($B17="",$B17=0),"",$I17*$C17*(1+'Property Summary'!$L$21)^('MF CapEx'!DE$3-1))</f>
        <v/>
      </c>
      <c r="DF17" s="149" t="str">
        <f>IF(OR($B17="",$B17=0),"",$I17*$C17*(1+'Property Summary'!$L$21)^('MF CapEx'!DF$3-1))</f>
        <v/>
      </c>
      <c r="DG17" s="149" t="str">
        <f>IF(OR($B17="",$B17=0),"",$I17*$C17*(1+'Property Summary'!$L$21)^('MF CapEx'!DG$3-1))</f>
        <v/>
      </c>
      <c r="DH17" s="149" t="str">
        <f>IF(OR($B17="",$B17=0),"",$I17*$C17*(1+'Property Summary'!$L$21)^('MF CapEx'!DH$3-1))</f>
        <v/>
      </c>
      <c r="DI17" s="149" t="str">
        <f>IF(OR($B17="",$B17=0),"",$I17*$C17*(1+'Property Summary'!$L$21)^('MF CapEx'!DI$3-1))</f>
        <v/>
      </c>
      <c r="DJ17" s="149" t="str">
        <f>IF(OR($B17="",$B17=0),"",$I17*$C17*(1+'Property Summary'!$L$21)^('MF CapEx'!DJ$3-1))</f>
        <v/>
      </c>
      <c r="DK17" s="149" t="str">
        <f>IF(OR($B17="",$B17=0),"",$I17*$C17*(1+'Property Summary'!$L$21)^('MF CapEx'!DK$3-1))</f>
        <v/>
      </c>
      <c r="DL17" s="149" t="str">
        <f>IF(OR($B17="",$B17=0),"",$I17*$C17*(1+'Property Summary'!$L$21)^('MF CapEx'!DL$3-1))</f>
        <v/>
      </c>
      <c r="DM17" s="149" t="str">
        <f>IF(OR($B17="",$B17=0),"",$I17*$C17*(1+'Property Summary'!$L$21)^('MF CapEx'!DM$3-1))</f>
        <v/>
      </c>
      <c r="DN17" s="149" t="str">
        <f>IF(OR($B17="",$B17=0),"",$I17*$C17*(1+'Property Summary'!$L$21)^('MF CapEx'!DN$3-1))</f>
        <v/>
      </c>
      <c r="DO17" s="149" t="str">
        <f>IF(OR($B17="",$B17=0),"",$I17*$C17*(1+'Property Summary'!$L$21)^('MF CapEx'!DO$3-1))</f>
        <v/>
      </c>
      <c r="DP17" s="149" t="str">
        <f>IF(OR($B17="",$B17=0),"",$I17*$C17*(1+'Property Summary'!$L$21)^('MF CapEx'!DP$3-1))</f>
        <v/>
      </c>
      <c r="DQ17" s="149" t="str">
        <f>IF(OR($B17="",$B17=0),"",$I17*$C17*(1+'Property Summary'!$L$21)^('MF CapEx'!DQ$3-1))</f>
        <v/>
      </c>
      <c r="DR17" s="149" t="str">
        <f>IF(OR($B17="",$B17=0),"",$I17*$C17*(1+'Property Summary'!$L$21)^('MF CapEx'!DR$3-1))</f>
        <v/>
      </c>
      <c r="DS17" s="149" t="str">
        <f>IF(OR($B17="",$B17=0),"",$I17*$C17*(1+'Property Summary'!$L$21)^('MF CapEx'!DS$3-1))</f>
        <v/>
      </c>
      <c r="DT17" s="149" t="str">
        <f>IF(OR($B17="",$B17=0),"",$I17*$C17*(1+'Property Summary'!$L$21)^('MF CapEx'!DT$3-1))</f>
        <v/>
      </c>
      <c r="DU17" s="149" t="str">
        <f>IF(OR($B17="",$B17=0),"",$I17*$C17*(1+'Property Summary'!$L$21)^('MF CapEx'!DU$3-1))</f>
        <v/>
      </c>
      <c r="DV17" s="149" t="str">
        <f>IF(OR($B17="",$B17=0),"",$I17*$C17*(1+'Property Summary'!$L$21)^('MF CapEx'!DV$3-1))</f>
        <v/>
      </c>
      <c r="DW17" s="149" t="str">
        <f>IF(OR($B17="",$B17=0),"",$I17*$C17*(1+'Property Summary'!$L$21)^('MF CapEx'!DW$3-1))</f>
        <v/>
      </c>
      <c r="DX17" s="149" t="str">
        <f>IF(OR($B17="",$B17=0),"",$I17*$C17*(1+'Property Summary'!$L$21)^('MF CapEx'!DX$3-1))</f>
        <v/>
      </c>
      <c r="DY17" s="149" t="str">
        <f>IF(OR($B17="",$B17=0),"",$I17*$C17*(1+'Property Summary'!$L$21)^('MF CapEx'!DY$3-1))</f>
        <v/>
      </c>
      <c r="DZ17" s="149" t="str">
        <f>IF(OR($B17="",$B17=0),"",$I17*$C17*(1+'Property Summary'!$L$21)^('MF CapEx'!DZ$3-1))</f>
        <v/>
      </c>
      <c r="EA17" s="149" t="str">
        <f>IF(OR($B17="",$B17=0),"",$I17*$C17*(1+'Property Summary'!$L$21)^('MF CapEx'!EA$3-1))</f>
        <v/>
      </c>
      <c r="EB17" s="149" t="str">
        <f>IF(OR($B17="",$B17=0),"",$I17*$C17*(1+'Property Summary'!$L$21)^('MF CapEx'!EB$3-1))</f>
        <v/>
      </c>
      <c r="EC17" s="149" t="str">
        <f>IF(OR($B17="",$B17=0),"",$I17*$C17*(1+'Property Summary'!$L$21)^('MF CapEx'!EC$3-1))</f>
        <v/>
      </c>
      <c r="ED17" s="149" t="str">
        <f>IF(OR($B17="",$B17=0),"",$I17*$C17*(1+'Property Summary'!$L$21)^('MF CapEx'!ED$3-1))</f>
        <v/>
      </c>
      <c r="EE17" s="149" t="str">
        <f>IF(OR($B17="",$B17=0),"",$I17*$C17*(1+'Property Summary'!$L$21)^('MF CapEx'!EE$3-1))</f>
        <v/>
      </c>
      <c r="EF17" s="149" t="str">
        <f>IF(OR($B17="",$B17=0),"",$I17*$C17*(1+'Property Summary'!$L$21)^('MF CapEx'!EF$3-1))</f>
        <v/>
      </c>
      <c r="EG17" s="149" t="str">
        <f>IF(OR($B17="",$B17=0),"",$I17*$C17*(1+'Property Summary'!$L$21)^('MF CapEx'!EG$3-1))</f>
        <v/>
      </c>
      <c r="EH17" s="149" t="str">
        <f>IF(OR($B17="",$B17=0),"",$I17*$C17*(1+'Property Summary'!$L$21)^('MF CapEx'!EH$3-1))</f>
        <v/>
      </c>
      <c r="EI17" s="149" t="str">
        <f>IF(OR($B17="",$B17=0),"",$I17*$C17*(1+'Property Summary'!$L$21)^('MF CapEx'!EI$3-1))</f>
        <v/>
      </c>
      <c r="EJ17" s="149" t="str">
        <f>IF(OR($B17="",$B17=0),"",$I17*$C17*(1+'Property Summary'!$L$21)^('MF CapEx'!EJ$3-1))</f>
        <v/>
      </c>
      <c r="EK17" s="149" t="str">
        <f>IF(OR($B17="",$B17=0),"",$I17*$C17*(1+'Property Summary'!$L$21)^('MF CapEx'!EK$3-1))</f>
        <v/>
      </c>
      <c r="EL17" s="149" t="str">
        <f>IF(OR($B17="",$B17=0),"",$I17*$C17*(1+'Property Summary'!$L$21)^('MF CapEx'!EL$3-1))</f>
        <v/>
      </c>
      <c r="EM17" s="149" t="str">
        <f>IF(OR($B17="",$B17=0),"",$I17*$C17*(1+'Property Summary'!$L$21)^('MF CapEx'!EM$3-1))</f>
        <v/>
      </c>
      <c r="EN17" s="149" t="str">
        <f>IF(OR($B17="",$B17=0),"",$I17*$C17*(1+'Property Summary'!$L$21)^('MF CapEx'!EN$3-1))</f>
        <v/>
      </c>
      <c r="EO17" s="149" t="str">
        <f>IF(OR($B17="",$B17=0),"",$I17*$C17*(1+'Property Summary'!$L$21)^('MF CapEx'!EO$3-1))</f>
        <v/>
      </c>
      <c r="EP17" s="149" t="str">
        <f>IF(OR($B17="",$B17=0),"",$I17*$C17*(1+'Property Summary'!$L$21)^('MF CapEx'!EP$3-1))</f>
        <v/>
      </c>
      <c r="EQ17" s="149" t="str">
        <f>IF(OR($B17="",$B17=0),"",$I17*$C17*(1+'Property Summary'!$L$21)^('MF CapEx'!EQ$3-1))</f>
        <v/>
      </c>
      <c r="ER17" s="149" t="str">
        <f>IF(OR($B17="",$B17=0),"",$I17*$C17*(1+'Property Summary'!$L$21)^('MF CapEx'!ER$3-1))</f>
        <v/>
      </c>
      <c r="ES17" s="149" t="str">
        <f>IF(OR($B17="",$B17=0),"",$I17*$C17*(1+'Property Summary'!$L$21)^('MF CapEx'!ES$3-1))</f>
        <v/>
      </c>
      <c r="ET17" s="149" t="str">
        <f>IF(OR($B17="",$B17=0),"",$I17*$C17*(1+'Property Summary'!$L$21)^('MF CapEx'!ET$3-1))</f>
        <v/>
      </c>
      <c r="EU17" s="149" t="str">
        <f>IF(OR($B17="",$B17=0),"",$I17*$C17*(1+'Property Summary'!$L$21)^('MF CapEx'!EU$3-1))</f>
        <v/>
      </c>
      <c r="EV17" s="149" t="str">
        <f>IF(OR($B17="",$B17=0),"",$I17*$C17*(1+'Property Summary'!$L$21)^('MF CapEx'!EV$3-1))</f>
        <v/>
      </c>
      <c r="EW17" s="149" t="str">
        <f>IF(OR($B17="",$B17=0),"",$I17*$C17*(1+'Property Summary'!$L$21)^('MF CapEx'!EW$3-1))</f>
        <v/>
      </c>
      <c r="EX17" s="149" t="str">
        <f>IF(OR($B17="",$B17=0),"",$I17*$C17*(1+'Property Summary'!$L$21)^('MF CapEx'!EX$3-1))</f>
        <v/>
      </c>
      <c r="EY17" s="149" t="str">
        <f>IF(OR($B17="",$B17=0),"",$I17*$C17*(1+'Property Summary'!$L$21)^('MF CapEx'!EY$3-1))</f>
        <v/>
      </c>
      <c r="EZ17" s="149" t="str">
        <f>IF(OR($B17="",$B17=0),"",$I17*$C17*(1+'Property Summary'!$L$21)^('MF CapEx'!EZ$3-1))</f>
        <v/>
      </c>
      <c r="FA17" s="149" t="str">
        <f>IF(OR($B17="",$B17=0),"",$I17*$C17*(1+'Property Summary'!$L$21)^('MF CapEx'!FA$3-1))</f>
        <v/>
      </c>
      <c r="FB17" s="149" t="str">
        <f>IF(OR($B17="",$B17=0),"",$I17*$C17*(1+'Property Summary'!$L$21)^('MF CapEx'!FB$3-1))</f>
        <v/>
      </c>
      <c r="FC17" s="149" t="str">
        <f>IF(OR($B17="",$B17=0),"",$I17*$C17*(1+'Property Summary'!$L$21)^('MF CapEx'!FC$3-1))</f>
        <v/>
      </c>
      <c r="FD17" s="149" t="str">
        <f>IF(OR($B17="",$B17=0),"",$I17*$C17*(1+'Property Summary'!$L$21)^('MF CapEx'!FD$3-1))</f>
        <v/>
      </c>
      <c r="FE17" s="149" t="str">
        <f>IF(OR($B17="",$B17=0),"",$I17*$C17*(1+'Property Summary'!$L$21)^('MF CapEx'!FE$3-1))</f>
        <v/>
      </c>
      <c r="FF17" s="149" t="str">
        <f>IF(OR($B17="",$B17=0),"",$I17*$C17*(1+'Property Summary'!$L$21)^('MF CapEx'!FF$3-1))</f>
        <v/>
      </c>
      <c r="FG17" s="149" t="str">
        <f>IF(OR($B17="",$B17=0),"",$I17*$C17*(1+'Property Summary'!$L$21)^('MF CapEx'!FG$3-1))</f>
        <v/>
      </c>
      <c r="FH17" s="149" t="str">
        <f>IF(OR($B17="",$B17=0),"",$I17*$C17*(1+'Property Summary'!$L$21)^('MF CapEx'!FH$3-1))</f>
        <v/>
      </c>
      <c r="FI17" s="149" t="str">
        <f>IF(OR($B17="",$B17=0),"",$I17*$C17*(1+'Property Summary'!$L$21)^('MF CapEx'!FI$3-1))</f>
        <v/>
      </c>
      <c r="FJ17" s="149" t="str">
        <f>IF(OR($B17="",$B17=0),"",$I17*$C17*(1+'Property Summary'!$L$21)^('MF CapEx'!FJ$3-1))</f>
        <v/>
      </c>
      <c r="FK17" s="149" t="str">
        <f>IF(OR($B17="",$B17=0),"",$I17*$C17*(1+'Property Summary'!$L$21)^('MF CapEx'!FK$3-1))</f>
        <v/>
      </c>
      <c r="FL17" s="149" t="str">
        <f>IF(OR($B17="",$B17=0),"",$I17*$C17*(1+'Property Summary'!$L$21)^('MF CapEx'!FL$3-1))</f>
        <v/>
      </c>
      <c r="FM17" s="149" t="str">
        <f>IF(OR($B17="",$B17=0),"",$I17*$C17*(1+'Property Summary'!$L$21)^('MF CapEx'!FM$3-1))</f>
        <v/>
      </c>
      <c r="FN17" s="149" t="str">
        <f>IF(OR($B17="",$B17=0),"",$I17*$C17*(1+'Property Summary'!$L$21)^('MF CapEx'!FN$3-1))</f>
        <v/>
      </c>
      <c r="FO17" s="149" t="str">
        <f>IF(OR($B17="",$B17=0),"",$I17*$C17*(1+'Property Summary'!$L$21)^('MF CapEx'!FO$3-1))</f>
        <v/>
      </c>
      <c r="FP17" s="149" t="str">
        <f>IF(OR($B17="",$B17=0),"",$I17*$C17*(1+'Property Summary'!$L$21)^('MF CapEx'!FP$3-1))</f>
        <v/>
      </c>
      <c r="FQ17" s="149" t="str">
        <f>IF(OR($B17="",$B17=0),"",$I17*$C17*(1+'Property Summary'!$L$21)^('MF CapEx'!FQ$3-1))</f>
        <v/>
      </c>
      <c r="FR17" s="149" t="str">
        <f>IF(OR($B17="",$B17=0),"",$I17*$C17*(1+'Property Summary'!$L$21)^('MF CapEx'!FR$3-1))</f>
        <v/>
      </c>
      <c r="FS17" s="149" t="str">
        <f>IF(OR($B17="",$B17=0),"",$I17*$C17*(1+'Property Summary'!$L$21)^('MF CapEx'!FS$3-1))</f>
        <v/>
      </c>
      <c r="FT17" s="149" t="str">
        <f>IF(OR($B17="",$B17=0),"",$I17*$C17*(1+'Property Summary'!$L$21)^('MF CapEx'!FT$3-1))</f>
        <v/>
      </c>
      <c r="FU17" s="149" t="str">
        <f>IF(OR($B17="",$B17=0),"",$I17*$C17*(1+'Property Summary'!$L$21)^('MF CapEx'!FU$3-1))</f>
        <v/>
      </c>
      <c r="FV17" s="149" t="str">
        <f>IF(OR($B17="",$B17=0),"",$I17*$C17*(1+'Property Summary'!$L$21)^('MF CapEx'!FV$3-1))</f>
        <v/>
      </c>
      <c r="FW17" s="149" t="str">
        <f>IF(OR($B17="",$B17=0),"",$I17*$C17*(1+'Property Summary'!$L$21)^('MF CapEx'!FW$3-1))</f>
        <v/>
      </c>
      <c r="FX17" s="149" t="str">
        <f>IF(OR($B17="",$B17=0),"",$I17*$C17*(1+'Property Summary'!$L$21)^('MF CapEx'!FX$3-1))</f>
        <v/>
      </c>
      <c r="FY17" s="149" t="str">
        <f>IF(OR($B17="",$B17=0),"",$I17*$C17*(1+'Property Summary'!$L$21)^('MF CapEx'!FY$3-1))</f>
        <v/>
      </c>
      <c r="FZ17" s="149" t="str">
        <f>IF(OR($B17="",$B17=0),"",$I17*$C17*(1+'Property Summary'!$L$21)^('MF CapEx'!FZ$3-1))</f>
        <v/>
      </c>
      <c r="GA17" s="149" t="str">
        <f>IF(OR($B17="",$B17=0),"",$I17*$C17*(1+'Property Summary'!$L$21)^('MF CapEx'!GA$3-1))</f>
        <v/>
      </c>
      <c r="GB17" s="149" t="str">
        <f>IF(OR($B17="",$B17=0),"",$I17*$C17*(1+'Property Summary'!$L$21)^('MF CapEx'!GB$3-1))</f>
        <v/>
      </c>
      <c r="GC17" s="149" t="str">
        <f>IF(OR($B17="",$B17=0),"",$I17*$C17*(1+'Property Summary'!$L$21)^('MF CapEx'!GC$3-1))</f>
        <v/>
      </c>
      <c r="GD17" s="149" t="str">
        <f>IF(OR($B17="",$B17=0),"",$I17*$C17*(1+'Property Summary'!$L$21)^('MF CapEx'!GD$3-1))</f>
        <v/>
      </c>
      <c r="GE17" s="149" t="str">
        <f>IF(OR($B17="",$B17=0),"",$I17*$C17*(1+'Property Summary'!$L$21)^('MF CapEx'!GE$3-1))</f>
        <v/>
      </c>
      <c r="GF17" s="149" t="str">
        <f>IF(OR($B17="",$B17=0),"",$I17*$C17*(1+'Property Summary'!$L$21)^('MF CapEx'!GF$3-1))</f>
        <v/>
      </c>
      <c r="GG17" s="149" t="str">
        <f>IF(OR($B17="",$B17=0),"",$I17*$C17*(1+'Property Summary'!$L$21)^('MF CapEx'!GG$3-1))</f>
        <v/>
      </c>
      <c r="GH17" s="149" t="str">
        <f>IF(OR($B17="",$B17=0),"",$I17*$C17*(1+'Property Summary'!$L$21)^('MF CapEx'!GH$3-1))</f>
        <v/>
      </c>
      <c r="GI17" s="149" t="str">
        <f>IF(OR($B17="",$B17=0),"",$I17*$C17*(1+'Property Summary'!$L$21)^('MF CapEx'!GI$3-1))</f>
        <v/>
      </c>
      <c r="GJ17" s="149" t="str">
        <f>IF(OR($B17="",$B17=0),"",$I17*$C17*(1+'Property Summary'!$L$21)^('MF CapEx'!GJ$3-1))</f>
        <v/>
      </c>
      <c r="GK17" s="149" t="str">
        <f>IF(OR($B17="",$B17=0),"",$I17*$C17*(1+'Property Summary'!$L$21)^('MF CapEx'!GK$3-1))</f>
        <v/>
      </c>
      <c r="GL17" s="149" t="str">
        <f>IF(OR($B17="",$B17=0),"",$I17*$C17*(1+'Property Summary'!$L$21)^('MF CapEx'!GL$3-1))</f>
        <v/>
      </c>
      <c r="GM17" s="149" t="str">
        <f>IF(OR($B17="",$B17=0),"",$I17*$C17*(1+'Property Summary'!$L$21)^('MF CapEx'!GM$3-1))</f>
        <v/>
      </c>
      <c r="GN17" s="149" t="str">
        <f>IF(OR($B17="",$B17=0),"",$I17*$C17*(1+'Property Summary'!$L$21)^('MF CapEx'!GN$3-1))</f>
        <v/>
      </c>
      <c r="GO17" s="149" t="str">
        <f>IF(OR($B17="",$B17=0),"",$I17*$C17*(1+'Property Summary'!$L$21)^('MF CapEx'!GO$3-1))</f>
        <v/>
      </c>
      <c r="GP17" s="149" t="str">
        <f>IF(OR($B17="",$B17=0),"",$I17*$C17*(1+'Property Summary'!$L$21)^('MF CapEx'!GP$3-1))</f>
        <v/>
      </c>
    </row>
    <row r="18" spans="2:198" x14ac:dyDescent="0.3">
      <c r="B18" s="184">
        <f>'MF Rent Roll'!B17</f>
        <v>0</v>
      </c>
      <c r="C18" s="171">
        <f>'MF Rent Roll'!C17</f>
        <v>0</v>
      </c>
      <c r="D18" s="172">
        <f>'MF Rent Roll'!D17</f>
        <v>0</v>
      </c>
      <c r="E18" s="172">
        <f>'MF Rent Roll'!E17</f>
        <v>0</v>
      </c>
      <c r="F18" s="173">
        <f>'MF Rent Roll'!F17</f>
        <v>0</v>
      </c>
      <c r="G18" s="174">
        <f>'MF Rent Roll'!G17</f>
        <v>0</v>
      </c>
      <c r="H18" s="176">
        <f>'MF Rent Roll'!J17</f>
        <v>0</v>
      </c>
      <c r="I18" s="174">
        <f>'MF Rent Roll'!K17</f>
        <v>0</v>
      </c>
      <c r="J18" s="177">
        <f>'MF Rent Roll'!L17</f>
        <v>0</v>
      </c>
      <c r="K18" s="178">
        <f>'MF Rent Roll'!M17</f>
        <v>0</v>
      </c>
      <c r="L18" s="174">
        <f>'MF Rent Roll'!N17</f>
        <v>0</v>
      </c>
      <c r="M18" s="179">
        <f>'MF Rent Roll'!O17</f>
        <v>0</v>
      </c>
      <c r="N18" s="180" t="str">
        <f>'MF Rent Roll'!P17</f>
        <v/>
      </c>
      <c r="O18" s="181" t="str">
        <f>'MF Rent Roll'!Q17</f>
        <v/>
      </c>
      <c r="P18" s="104" t="str">
        <f>'MF Rent Roll'!R17</f>
        <v/>
      </c>
      <c r="S18" s="149" t="str">
        <f>IF(OR($B18="",$B18=0),"",$I18*$C18*(1+'Property Summary'!$L$21)^('MF CapEx'!S$3-1))</f>
        <v/>
      </c>
      <c r="T18" s="149" t="str">
        <f>IF(OR($B18="",$B18=0),"",$I18*$C18*(1+'Property Summary'!$L$21)^('MF CapEx'!T$3-1))</f>
        <v/>
      </c>
      <c r="U18" s="149" t="str">
        <f>IF(OR($B18="",$B18=0),"",$I18*$C18*(1+'Property Summary'!$L$21)^('MF CapEx'!U$3-1))</f>
        <v/>
      </c>
      <c r="V18" s="149" t="str">
        <f>IF(OR($B18="",$B18=0),"",$I18*$C18*(1+'Property Summary'!$L$21)^('MF CapEx'!V$3-1))</f>
        <v/>
      </c>
      <c r="W18" s="149" t="str">
        <f>IF(OR($B18="",$B18=0),"",$I18*$C18*(1+'Property Summary'!$L$21)^('MF CapEx'!W$3-1))</f>
        <v/>
      </c>
      <c r="X18" s="149" t="str">
        <f>IF(OR($B18="",$B18=0),"",$I18*$C18*(1+'Property Summary'!$L$21)^('MF CapEx'!X$3-1))</f>
        <v/>
      </c>
      <c r="Y18" s="149" t="str">
        <f>IF(OR($B18="",$B18=0),"",$I18*$C18*(1+'Property Summary'!$L$21)^('MF CapEx'!Y$3-1))</f>
        <v/>
      </c>
      <c r="Z18" s="149" t="str">
        <f>IF(OR($B18="",$B18=0),"",$I18*$C18*(1+'Property Summary'!$L$21)^('MF CapEx'!Z$3-1))</f>
        <v/>
      </c>
      <c r="AA18" s="149" t="str">
        <f>IF(OR($B18="",$B18=0),"",$I18*$C18*(1+'Property Summary'!$L$21)^('MF CapEx'!AA$3-1))</f>
        <v/>
      </c>
      <c r="AB18" s="149" t="str">
        <f>IF(OR($B18="",$B18=0),"",$I18*$C18*(1+'Property Summary'!$L$21)^('MF CapEx'!AB$3-1))</f>
        <v/>
      </c>
      <c r="AC18" s="149" t="str">
        <f>IF(OR($B18="",$B18=0),"",$I18*$C18*(1+'Property Summary'!$L$21)^('MF CapEx'!AC$3-1))</f>
        <v/>
      </c>
      <c r="AD18" s="149" t="str">
        <f>IF(OR($B18="",$B18=0),"",$I18*$C18*(1+'Property Summary'!$L$21)^('MF CapEx'!AD$3-1))</f>
        <v/>
      </c>
      <c r="AE18" s="149" t="str">
        <f>IF(OR($B18="",$B18=0),"",$I18*$C18*(1+'Property Summary'!$L$21)^('MF CapEx'!AE$3-1))</f>
        <v/>
      </c>
      <c r="AF18" s="149" t="str">
        <f>IF(OR($B18="",$B18=0),"",$I18*$C18*(1+'Property Summary'!$L$21)^('MF CapEx'!AF$3-1))</f>
        <v/>
      </c>
      <c r="AG18" s="149" t="str">
        <f>IF(OR($B18="",$B18=0),"",$I18*$C18*(1+'Property Summary'!$L$21)^('MF CapEx'!AG$3-1))</f>
        <v/>
      </c>
      <c r="AH18" s="149" t="str">
        <f>IF(OR($B18="",$B18=0),"",$I18*$C18*(1+'Property Summary'!$L$21)^('MF CapEx'!AH$3-1))</f>
        <v/>
      </c>
      <c r="AI18" s="149" t="str">
        <f>IF(OR($B18="",$B18=0),"",$I18*$C18*(1+'Property Summary'!$L$21)^('MF CapEx'!AI$3-1))</f>
        <v/>
      </c>
      <c r="AJ18" s="149" t="str">
        <f>IF(OR($B18="",$B18=0),"",$I18*$C18*(1+'Property Summary'!$L$21)^('MF CapEx'!AJ$3-1))</f>
        <v/>
      </c>
      <c r="AK18" s="149" t="str">
        <f>IF(OR($B18="",$B18=0),"",$I18*$C18*(1+'Property Summary'!$L$21)^('MF CapEx'!AK$3-1))</f>
        <v/>
      </c>
      <c r="AL18" s="149" t="str">
        <f>IF(OR($B18="",$B18=0),"",$I18*$C18*(1+'Property Summary'!$L$21)^('MF CapEx'!AL$3-1))</f>
        <v/>
      </c>
      <c r="AM18" s="149" t="str">
        <f>IF(OR($B18="",$B18=0),"",$I18*$C18*(1+'Property Summary'!$L$21)^('MF CapEx'!AM$3-1))</f>
        <v/>
      </c>
      <c r="AN18" s="149" t="str">
        <f>IF(OR($B18="",$B18=0),"",$I18*$C18*(1+'Property Summary'!$L$21)^('MF CapEx'!AN$3-1))</f>
        <v/>
      </c>
      <c r="AO18" s="149" t="str">
        <f>IF(OR($B18="",$B18=0),"",$I18*$C18*(1+'Property Summary'!$L$21)^('MF CapEx'!AO$3-1))</f>
        <v/>
      </c>
      <c r="AP18" s="149" t="str">
        <f>IF(OR($B18="",$B18=0),"",$I18*$C18*(1+'Property Summary'!$L$21)^('MF CapEx'!AP$3-1))</f>
        <v/>
      </c>
      <c r="AQ18" s="149" t="str">
        <f>IF(OR($B18="",$B18=0),"",$I18*$C18*(1+'Property Summary'!$L$21)^('MF CapEx'!AQ$3-1))</f>
        <v/>
      </c>
      <c r="AR18" s="149" t="str">
        <f>IF(OR($B18="",$B18=0),"",$I18*$C18*(1+'Property Summary'!$L$21)^('MF CapEx'!AR$3-1))</f>
        <v/>
      </c>
      <c r="AS18" s="149" t="str">
        <f>IF(OR($B18="",$B18=0),"",$I18*$C18*(1+'Property Summary'!$L$21)^('MF CapEx'!AS$3-1))</f>
        <v/>
      </c>
      <c r="AT18" s="149" t="str">
        <f>IF(OR($B18="",$B18=0),"",$I18*$C18*(1+'Property Summary'!$L$21)^('MF CapEx'!AT$3-1))</f>
        <v/>
      </c>
      <c r="AU18" s="149" t="str">
        <f>IF(OR($B18="",$B18=0),"",$I18*$C18*(1+'Property Summary'!$L$21)^('MF CapEx'!AU$3-1))</f>
        <v/>
      </c>
      <c r="AV18" s="149" t="str">
        <f>IF(OR($B18="",$B18=0),"",$I18*$C18*(1+'Property Summary'!$L$21)^('MF CapEx'!AV$3-1))</f>
        <v/>
      </c>
      <c r="AW18" s="149" t="str">
        <f>IF(OR($B18="",$B18=0),"",$I18*$C18*(1+'Property Summary'!$L$21)^('MF CapEx'!AW$3-1))</f>
        <v/>
      </c>
      <c r="AX18" s="149" t="str">
        <f>IF(OR($B18="",$B18=0),"",$I18*$C18*(1+'Property Summary'!$L$21)^('MF CapEx'!AX$3-1))</f>
        <v/>
      </c>
      <c r="AY18" s="149" t="str">
        <f>IF(OR($B18="",$B18=0),"",$I18*$C18*(1+'Property Summary'!$L$21)^('MF CapEx'!AY$3-1))</f>
        <v/>
      </c>
      <c r="AZ18" s="149" t="str">
        <f>IF(OR($B18="",$B18=0),"",$I18*$C18*(1+'Property Summary'!$L$21)^('MF CapEx'!AZ$3-1))</f>
        <v/>
      </c>
      <c r="BA18" s="149" t="str">
        <f>IF(OR($B18="",$B18=0),"",$I18*$C18*(1+'Property Summary'!$L$21)^('MF CapEx'!BA$3-1))</f>
        <v/>
      </c>
      <c r="BB18" s="149" t="str">
        <f>IF(OR($B18="",$B18=0),"",$I18*$C18*(1+'Property Summary'!$L$21)^('MF CapEx'!BB$3-1))</f>
        <v/>
      </c>
      <c r="BC18" s="149" t="str">
        <f>IF(OR($B18="",$B18=0),"",$I18*$C18*(1+'Property Summary'!$L$21)^('MF CapEx'!BC$3-1))</f>
        <v/>
      </c>
      <c r="BD18" s="149" t="str">
        <f>IF(OR($B18="",$B18=0),"",$I18*$C18*(1+'Property Summary'!$L$21)^('MF CapEx'!BD$3-1))</f>
        <v/>
      </c>
      <c r="BE18" s="149" t="str">
        <f>IF(OR($B18="",$B18=0),"",$I18*$C18*(1+'Property Summary'!$L$21)^('MF CapEx'!BE$3-1))</f>
        <v/>
      </c>
      <c r="BF18" s="149" t="str">
        <f>IF(OR($B18="",$B18=0),"",$I18*$C18*(1+'Property Summary'!$L$21)^('MF CapEx'!BF$3-1))</f>
        <v/>
      </c>
      <c r="BG18" s="149" t="str">
        <f>IF(OR($B18="",$B18=0),"",$I18*$C18*(1+'Property Summary'!$L$21)^('MF CapEx'!BG$3-1))</f>
        <v/>
      </c>
      <c r="BH18" s="149" t="str">
        <f>IF(OR($B18="",$B18=0),"",$I18*$C18*(1+'Property Summary'!$L$21)^('MF CapEx'!BH$3-1))</f>
        <v/>
      </c>
      <c r="BI18" s="149" t="str">
        <f>IF(OR($B18="",$B18=0),"",$I18*$C18*(1+'Property Summary'!$L$21)^('MF CapEx'!BI$3-1))</f>
        <v/>
      </c>
      <c r="BJ18" s="149" t="str">
        <f>IF(OR($B18="",$B18=0),"",$I18*$C18*(1+'Property Summary'!$L$21)^('MF CapEx'!BJ$3-1))</f>
        <v/>
      </c>
      <c r="BK18" s="149" t="str">
        <f>IF(OR($B18="",$B18=0),"",$I18*$C18*(1+'Property Summary'!$L$21)^('MF CapEx'!BK$3-1))</f>
        <v/>
      </c>
      <c r="BL18" s="149" t="str">
        <f>IF(OR($B18="",$B18=0),"",$I18*$C18*(1+'Property Summary'!$L$21)^('MF CapEx'!BL$3-1))</f>
        <v/>
      </c>
      <c r="BM18" s="149" t="str">
        <f>IF(OR($B18="",$B18=0),"",$I18*$C18*(1+'Property Summary'!$L$21)^('MF CapEx'!BM$3-1))</f>
        <v/>
      </c>
      <c r="BN18" s="149" t="str">
        <f>IF(OR($B18="",$B18=0),"",$I18*$C18*(1+'Property Summary'!$L$21)^('MF CapEx'!BN$3-1))</f>
        <v/>
      </c>
      <c r="BO18" s="149" t="str">
        <f>IF(OR($B18="",$B18=0),"",$I18*$C18*(1+'Property Summary'!$L$21)^('MF CapEx'!BO$3-1))</f>
        <v/>
      </c>
      <c r="BP18" s="149" t="str">
        <f>IF(OR($B18="",$B18=0),"",$I18*$C18*(1+'Property Summary'!$L$21)^('MF CapEx'!BP$3-1))</f>
        <v/>
      </c>
      <c r="BQ18" s="149" t="str">
        <f>IF(OR($B18="",$B18=0),"",$I18*$C18*(1+'Property Summary'!$L$21)^('MF CapEx'!BQ$3-1))</f>
        <v/>
      </c>
      <c r="BR18" s="149" t="str">
        <f>IF(OR($B18="",$B18=0),"",$I18*$C18*(1+'Property Summary'!$L$21)^('MF CapEx'!BR$3-1))</f>
        <v/>
      </c>
      <c r="BS18" s="149" t="str">
        <f>IF(OR($B18="",$B18=0),"",$I18*$C18*(1+'Property Summary'!$L$21)^('MF CapEx'!BS$3-1))</f>
        <v/>
      </c>
      <c r="BT18" s="149" t="str">
        <f>IF(OR($B18="",$B18=0),"",$I18*$C18*(1+'Property Summary'!$L$21)^('MF CapEx'!BT$3-1))</f>
        <v/>
      </c>
      <c r="BU18" s="149" t="str">
        <f>IF(OR($B18="",$B18=0),"",$I18*$C18*(1+'Property Summary'!$L$21)^('MF CapEx'!BU$3-1))</f>
        <v/>
      </c>
      <c r="BV18" s="149" t="str">
        <f>IF(OR($B18="",$B18=0),"",$I18*$C18*(1+'Property Summary'!$L$21)^('MF CapEx'!BV$3-1))</f>
        <v/>
      </c>
      <c r="BW18" s="149" t="str">
        <f>IF(OR($B18="",$B18=0),"",$I18*$C18*(1+'Property Summary'!$L$21)^('MF CapEx'!BW$3-1))</f>
        <v/>
      </c>
      <c r="BX18" s="149" t="str">
        <f>IF(OR($B18="",$B18=0),"",$I18*$C18*(1+'Property Summary'!$L$21)^('MF CapEx'!BX$3-1))</f>
        <v/>
      </c>
      <c r="BY18" s="149" t="str">
        <f>IF(OR($B18="",$B18=0),"",$I18*$C18*(1+'Property Summary'!$L$21)^('MF CapEx'!BY$3-1))</f>
        <v/>
      </c>
      <c r="BZ18" s="149" t="str">
        <f>IF(OR($B18="",$B18=0),"",$I18*$C18*(1+'Property Summary'!$L$21)^('MF CapEx'!BZ$3-1))</f>
        <v/>
      </c>
      <c r="CA18" s="149" t="str">
        <f>IF(OR($B18="",$B18=0),"",$I18*$C18*(1+'Property Summary'!$L$21)^('MF CapEx'!CA$3-1))</f>
        <v/>
      </c>
      <c r="CB18" s="149" t="str">
        <f>IF(OR($B18="",$B18=0),"",$I18*$C18*(1+'Property Summary'!$L$21)^('MF CapEx'!CB$3-1))</f>
        <v/>
      </c>
      <c r="CC18" s="149" t="str">
        <f>IF(OR($B18="",$B18=0),"",$I18*$C18*(1+'Property Summary'!$L$21)^('MF CapEx'!CC$3-1))</f>
        <v/>
      </c>
      <c r="CD18" s="149" t="str">
        <f>IF(OR($B18="",$B18=0),"",$I18*$C18*(1+'Property Summary'!$L$21)^('MF CapEx'!CD$3-1))</f>
        <v/>
      </c>
      <c r="CE18" s="149" t="str">
        <f>IF(OR($B18="",$B18=0),"",$I18*$C18*(1+'Property Summary'!$L$21)^('MF CapEx'!CE$3-1))</f>
        <v/>
      </c>
      <c r="CF18" s="149" t="str">
        <f>IF(OR($B18="",$B18=0),"",$I18*$C18*(1+'Property Summary'!$L$21)^('MF CapEx'!CF$3-1))</f>
        <v/>
      </c>
      <c r="CG18" s="149" t="str">
        <f>IF(OR($B18="",$B18=0),"",$I18*$C18*(1+'Property Summary'!$L$21)^('MF CapEx'!CG$3-1))</f>
        <v/>
      </c>
      <c r="CH18" s="149" t="str">
        <f>IF(OR($B18="",$B18=0),"",$I18*$C18*(1+'Property Summary'!$L$21)^('MF CapEx'!CH$3-1))</f>
        <v/>
      </c>
      <c r="CI18" s="149" t="str">
        <f>IF(OR($B18="",$B18=0),"",$I18*$C18*(1+'Property Summary'!$L$21)^('MF CapEx'!CI$3-1))</f>
        <v/>
      </c>
      <c r="CJ18" s="149" t="str">
        <f>IF(OR($B18="",$B18=0),"",$I18*$C18*(1+'Property Summary'!$L$21)^('MF CapEx'!CJ$3-1))</f>
        <v/>
      </c>
      <c r="CK18" s="149" t="str">
        <f>IF(OR($B18="",$B18=0),"",$I18*$C18*(1+'Property Summary'!$L$21)^('MF CapEx'!CK$3-1))</f>
        <v/>
      </c>
      <c r="CL18" s="149" t="str">
        <f>IF(OR($B18="",$B18=0),"",$I18*$C18*(1+'Property Summary'!$L$21)^('MF CapEx'!CL$3-1))</f>
        <v/>
      </c>
      <c r="CM18" s="149" t="str">
        <f>IF(OR($B18="",$B18=0),"",$I18*$C18*(1+'Property Summary'!$L$21)^('MF CapEx'!CM$3-1))</f>
        <v/>
      </c>
      <c r="CN18" s="149" t="str">
        <f>IF(OR($B18="",$B18=0),"",$I18*$C18*(1+'Property Summary'!$L$21)^('MF CapEx'!CN$3-1))</f>
        <v/>
      </c>
      <c r="CO18" s="149" t="str">
        <f>IF(OR($B18="",$B18=0),"",$I18*$C18*(1+'Property Summary'!$L$21)^('MF CapEx'!CO$3-1))</f>
        <v/>
      </c>
      <c r="CP18" s="149" t="str">
        <f>IF(OR($B18="",$B18=0),"",$I18*$C18*(1+'Property Summary'!$L$21)^('MF CapEx'!CP$3-1))</f>
        <v/>
      </c>
      <c r="CQ18" s="149" t="str">
        <f>IF(OR($B18="",$B18=0),"",$I18*$C18*(1+'Property Summary'!$L$21)^('MF CapEx'!CQ$3-1))</f>
        <v/>
      </c>
      <c r="CR18" s="149" t="str">
        <f>IF(OR($B18="",$B18=0),"",$I18*$C18*(1+'Property Summary'!$L$21)^('MF CapEx'!CR$3-1))</f>
        <v/>
      </c>
      <c r="CS18" s="149" t="str">
        <f>IF(OR($B18="",$B18=0),"",$I18*$C18*(1+'Property Summary'!$L$21)^('MF CapEx'!CS$3-1))</f>
        <v/>
      </c>
      <c r="CT18" s="149" t="str">
        <f>IF(OR($B18="",$B18=0),"",$I18*$C18*(1+'Property Summary'!$L$21)^('MF CapEx'!CT$3-1))</f>
        <v/>
      </c>
      <c r="CU18" s="149" t="str">
        <f>IF(OR($B18="",$B18=0),"",$I18*$C18*(1+'Property Summary'!$L$21)^('MF CapEx'!CU$3-1))</f>
        <v/>
      </c>
      <c r="CV18" s="149" t="str">
        <f>IF(OR($B18="",$B18=0),"",$I18*$C18*(1+'Property Summary'!$L$21)^('MF CapEx'!CV$3-1))</f>
        <v/>
      </c>
      <c r="CW18" s="149" t="str">
        <f>IF(OR($B18="",$B18=0),"",$I18*$C18*(1+'Property Summary'!$L$21)^('MF CapEx'!CW$3-1))</f>
        <v/>
      </c>
      <c r="CX18" s="149" t="str">
        <f>IF(OR($B18="",$B18=0),"",$I18*$C18*(1+'Property Summary'!$L$21)^('MF CapEx'!CX$3-1))</f>
        <v/>
      </c>
      <c r="CY18" s="149" t="str">
        <f>IF(OR($B18="",$B18=0),"",$I18*$C18*(1+'Property Summary'!$L$21)^('MF CapEx'!CY$3-1))</f>
        <v/>
      </c>
      <c r="CZ18" s="149" t="str">
        <f>IF(OR($B18="",$B18=0),"",$I18*$C18*(1+'Property Summary'!$L$21)^('MF CapEx'!CZ$3-1))</f>
        <v/>
      </c>
      <c r="DA18" s="149" t="str">
        <f>IF(OR($B18="",$B18=0),"",$I18*$C18*(1+'Property Summary'!$L$21)^('MF CapEx'!DA$3-1))</f>
        <v/>
      </c>
      <c r="DB18" s="149" t="str">
        <f>IF(OR($B18="",$B18=0),"",$I18*$C18*(1+'Property Summary'!$L$21)^('MF CapEx'!DB$3-1))</f>
        <v/>
      </c>
      <c r="DC18" s="149" t="str">
        <f>IF(OR($B18="",$B18=0),"",$I18*$C18*(1+'Property Summary'!$L$21)^('MF CapEx'!DC$3-1))</f>
        <v/>
      </c>
      <c r="DD18" s="149" t="str">
        <f>IF(OR($B18="",$B18=0),"",$I18*$C18*(1+'Property Summary'!$L$21)^('MF CapEx'!DD$3-1))</f>
        <v/>
      </c>
      <c r="DE18" s="149" t="str">
        <f>IF(OR($B18="",$B18=0),"",$I18*$C18*(1+'Property Summary'!$L$21)^('MF CapEx'!DE$3-1))</f>
        <v/>
      </c>
      <c r="DF18" s="149" t="str">
        <f>IF(OR($B18="",$B18=0),"",$I18*$C18*(1+'Property Summary'!$L$21)^('MF CapEx'!DF$3-1))</f>
        <v/>
      </c>
      <c r="DG18" s="149" t="str">
        <f>IF(OR($B18="",$B18=0),"",$I18*$C18*(1+'Property Summary'!$L$21)^('MF CapEx'!DG$3-1))</f>
        <v/>
      </c>
      <c r="DH18" s="149" t="str">
        <f>IF(OR($B18="",$B18=0),"",$I18*$C18*(1+'Property Summary'!$L$21)^('MF CapEx'!DH$3-1))</f>
        <v/>
      </c>
      <c r="DI18" s="149" t="str">
        <f>IF(OR($B18="",$B18=0),"",$I18*$C18*(1+'Property Summary'!$L$21)^('MF CapEx'!DI$3-1))</f>
        <v/>
      </c>
      <c r="DJ18" s="149" t="str">
        <f>IF(OR($B18="",$B18=0),"",$I18*$C18*(1+'Property Summary'!$L$21)^('MF CapEx'!DJ$3-1))</f>
        <v/>
      </c>
      <c r="DK18" s="149" t="str">
        <f>IF(OR($B18="",$B18=0),"",$I18*$C18*(1+'Property Summary'!$L$21)^('MF CapEx'!DK$3-1))</f>
        <v/>
      </c>
      <c r="DL18" s="149" t="str">
        <f>IF(OR($B18="",$B18=0),"",$I18*$C18*(1+'Property Summary'!$L$21)^('MF CapEx'!DL$3-1))</f>
        <v/>
      </c>
      <c r="DM18" s="149" t="str">
        <f>IF(OR($B18="",$B18=0),"",$I18*$C18*(1+'Property Summary'!$L$21)^('MF CapEx'!DM$3-1))</f>
        <v/>
      </c>
      <c r="DN18" s="149" t="str">
        <f>IF(OR($B18="",$B18=0),"",$I18*$C18*(1+'Property Summary'!$L$21)^('MF CapEx'!DN$3-1))</f>
        <v/>
      </c>
      <c r="DO18" s="149" t="str">
        <f>IF(OR($B18="",$B18=0),"",$I18*$C18*(1+'Property Summary'!$L$21)^('MF CapEx'!DO$3-1))</f>
        <v/>
      </c>
      <c r="DP18" s="149" t="str">
        <f>IF(OR($B18="",$B18=0),"",$I18*$C18*(1+'Property Summary'!$L$21)^('MF CapEx'!DP$3-1))</f>
        <v/>
      </c>
      <c r="DQ18" s="149" t="str">
        <f>IF(OR($B18="",$B18=0),"",$I18*$C18*(1+'Property Summary'!$L$21)^('MF CapEx'!DQ$3-1))</f>
        <v/>
      </c>
      <c r="DR18" s="149" t="str">
        <f>IF(OR($B18="",$B18=0),"",$I18*$C18*(1+'Property Summary'!$L$21)^('MF CapEx'!DR$3-1))</f>
        <v/>
      </c>
      <c r="DS18" s="149" t="str">
        <f>IF(OR($B18="",$B18=0),"",$I18*$C18*(1+'Property Summary'!$L$21)^('MF CapEx'!DS$3-1))</f>
        <v/>
      </c>
      <c r="DT18" s="149" t="str">
        <f>IF(OR($B18="",$B18=0),"",$I18*$C18*(1+'Property Summary'!$L$21)^('MF CapEx'!DT$3-1))</f>
        <v/>
      </c>
      <c r="DU18" s="149" t="str">
        <f>IF(OR($B18="",$B18=0),"",$I18*$C18*(1+'Property Summary'!$L$21)^('MF CapEx'!DU$3-1))</f>
        <v/>
      </c>
      <c r="DV18" s="149" t="str">
        <f>IF(OR($B18="",$B18=0),"",$I18*$C18*(1+'Property Summary'!$L$21)^('MF CapEx'!DV$3-1))</f>
        <v/>
      </c>
      <c r="DW18" s="149" t="str">
        <f>IF(OR($B18="",$B18=0),"",$I18*$C18*(1+'Property Summary'!$L$21)^('MF CapEx'!DW$3-1))</f>
        <v/>
      </c>
      <c r="DX18" s="149" t="str">
        <f>IF(OR($B18="",$B18=0),"",$I18*$C18*(1+'Property Summary'!$L$21)^('MF CapEx'!DX$3-1))</f>
        <v/>
      </c>
      <c r="DY18" s="149" t="str">
        <f>IF(OR($B18="",$B18=0),"",$I18*$C18*(1+'Property Summary'!$L$21)^('MF CapEx'!DY$3-1))</f>
        <v/>
      </c>
      <c r="DZ18" s="149" t="str">
        <f>IF(OR($B18="",$B18=0),"",$I18*$C18*(1+'Property Summary'!$L$21)^('MF CapEx'!DZ$3-1))</f>
        <v/>
      </c>
      <c r="EA18" s="149" t="str">
        <f>IF(OR($B18="",$B18=0),"",$I18*$C18*(1+'Property Summary'!$L$21)^('MF CapEx'!EA$3-1))</f>
        <v/>
      </c>
      <c r="EB18" s="149" t="str">
        <f>IF(OR($B18="",$B18=0),"",$I18*$C18*(1+'Property Summary'!$L$21)^('MF CapEx'!EB$3-1))</f>
        <v/>
      </c>
      <c r="EC18" s="149" t="str">
        <f>IF(OR($B18="",$B18=0),"",$I18*$C18*(1+'Property Summary'!$L$21)^('MF CapEx'!EC$3-1))</f>
        <v/>
      </c>
      <c r="ED18" s="149" t="str">
        <f>IF(OR($B18="",$B18=0),"",$I18*$C18*(1+'Property Summary'!$L$21)^('MF CapEx'!ED$3-1))</f>
        <v/>
      </c>
      <c r="EE18" s="149" t="str">
        <f>IF(OR($B18="",$B18=0),"",$I18*$C18*(1+'Property Summary'!$L$21)^('MF CapEx'!EE$3-1))</f>
        <v/>
      </c>
      <c r="EF18" s="149" t="str">
        <f>IF(OR($B18="",$B18=0),"",$I18*$C18*(1+'Property Summary'!$L$21)^('MF CapEx'!EF$3-1))</f>
        <v/>
      </c>
      <c r="EG18" s="149" t="str">
        <f>IF(OR($B18="",$B18=0),"",$I18*$C18*(1+'Property Summary'!$L$21)^('MF CapEx'!EG$3-1))</f>
        <v/>
      </c>
      <c r="EH18" s="149" t="str">
        <f>IF(OR($B18="",$B18=0),"",$I18*$C18*(1+'Property Summary'!$L$21)^('MF CapEx'!EH$3-1))</f>
        <v/>
      </c>
      <c r="EI18" s="149" t="str">
        <f>IF(OR($B18="",$B18=0),"",$I18*$C18*(1+'Property Summary'!$L$21)^('MF CapEx'!EI$3-1))</f>
        <v/>
      </c>
      <c r="EJ18" s="149" t="str">
        <f>IF(OR($B18="",$B18=0),"",$I18*$C18*(1+'Property Summary'!$L$21)^('MF CapEx'!EJ$3-1))</f>
        <v/>
      </c>
      <c r="EK18" s="149" t="str">
        <f>IF(OR($B18="",$B18=0),"",$I18*$C18*(1+'Property Summary'!$L$21)^('MF CapEx'!EK$3-1))</f>
        <v/>
      </c>
      <c r="EL18" s="149" t="str">
        <f>IF(OR($B18="",$B18=0),"",$I18*$C18*(1+'Property Summary'!$L$21)^('MF CapEx'!EL$3-1))</f>
        <v/>
      </c>
      <c r="EM18" s="149" t="str">
        <f>IF(OR($B18="",$B18=0),"",$I18*$C18*(1+'Property Summary'!$L$21)^('MF CapEx'!EM$3-1))</f>
        <v/>
      </c>
      <c r="EN18" s="149" t="str">
        <f>IF(OR($B18="",$B18=0),"",$I18*$C18*(1+'Property Summary'!$L$21)^('MF CapEx'!EN$3-1))</f>
        <v/>
      </c>
      <c r="EO18" s="149" t="str">
        <f>IF(OR($B18="",$B18=0),"",$I18*$C18*(1+'Property Summary'!$L$21)^('MF CapEx'!EO$3-1))</f>
        <v/>
      </c>
      <c r="EP18" s="149" t="str">
        <f>IF(OR($B18="",$B18=0),"",$I18*$C18*(1+'Property Summary'!$L$21)^('MF CapEx'!EP$3-1))</f>
        <v/>
      </c>
      <c r="EQ18" s="149" t="str">
        <f>IF(OR($B18="",$B18=0),"",$I18*$C18*(1+'Property Summary'!$L$21)^('MF CapEx'!EQ$3-1))</f>
        <v/>
      </c>
      <c r="ER18" s="149" t="str">
        <f>IF(OR($B18="",$B18=0),"",$I18*$C18*(1+'Property Summary'!$L$21)^('MF CapEx'!ER$3-1))</f>
        <v/>
      </c>
      <c r="ES18" s="149" t="str">
        <f>IF(OR($B18="",$B18=0),"",$I18*$C18*(1+'Property Summary'!$L$21)^('MF CapEx'!ES$3-1))</f>
        <v/>
      </c>
      <c r="ET18" s="149" t="str">
        <f>IF(OR($B18="",$B18=0),"",$I18*$C18*(1+'Property Summary'!$L$21)^('MF CapEx'!ET$3-1))</f>
        <v/>
      </c>
      <c r="EU18" s="149" t="str">
        <f>IF(OR($B18="",$B18=0),"",$I18*$C18*(1+'Property Summary'!$L$21)^('MF CapEx'!EU$3-1))</f>
        <v/>
      </c>
      <c r="EV18" s="149" t="str">
        <f>IF(OR($B18="",$B18=0),"",$I18*$C18*(1+'Property Summary'!$L$21)^('MF CapEx'!EV$3-1))</f>
        <v/>
      </c>
      <c r="EW18" s="149" t="str">
        <f>IF(OR($B18="",$B18=0),"",$I18*$C18*(1+'Property Summary'!$L$21)^('MF CapEx'!EW$3-1))</f>
        <v/>
      </c>
      <c r="EX18" s="149" t="str">
        <f>IF(OR($B18="",$B18=0),"",$I18*$C18*(1+'Property Summary'!$L$21)^('MF CapEx'!EX$3-1))</f>
        <v/>
      </c>
      <c r="EY18" s="149" t="str">
        <f>IF(OR($B18="",$B18=0),"",$I18*$C18*(1+'Property Summary'!$L$21)^('MF CapEx'!EY$3-1))</f>
        <v/>
      </c>
      <c r="EZ18" s="149" t="str">
        <f>IF(OR($B18="",$B18=0),"",$I18*$C18*(1+'Property Summary'!$L$21)^('MF CapEx'!EZ$3-1))</f>
        <v/>
      </c>
      <c r="FA18" s="149" t="str">
        <f>IF(OR($B18="",$B18=0),"",$I18*$C18*(1+'Property Summary'!$L$21)^('MF CapEx'!FA$3-1))</f>
        <v/>
      </c>
      <c r="FB18" s="149" t="str">
        <f>IF(OR($B18="",$B18=0),"",$I18*$C18*(1+'Property Summary'!$L$21)^('MF CapEx'!FB$3-1))</f>
        <v/>
      </c>
      <c r="FC18" s="149" t="str">
        <f>IF(OR($B18="",$B18=0),"",$I18*$C18*(1+'Property Summary'!$L$21)^('MF CapEx'!FC$3-1))</f>
        <v/>
      </c>
      <c r="FD18" s="149" t="str">
        <f>IF(OR($B18="",$B18=0),"",$I18*$C18*(1+'Property Summary'!$L$21)^('MF CapEx'!FD$3-1))</f>
        <v/>
      </c>
      <c r="FE18" s="149" t="str">
        <f>IF(OR($B18="",$B18=0),"",$I18*$C18*(1+'Property Summary'!$L$21)^('MF CapEx'!FE$3-1))</f>
        <v/>
      </c>
      <c r="FF18" s="149" t="str">
        <f>IF(OR($B18="",$B18=0),"",$I18*$C18*(1+'Property Summary'!$L$21)^('MF CapEx'!FF$3-1))</f>
        <v/>
      </c>
      <c r="FG18" s="149" t="str">
        <f>IF(OR($B18="",$B18=0),"",$I18*$C18*(1+'Property Summary'!$L$21)^('MF CapEx'!FG$3-1))</f>
        <v/>
      </c>
      <c r="FH18" s="149" t="str">
        <f>IF(OR($B18="",$B18=0),"",$I18*$C18*(1+'Property Summary'!$L$21)^('MF CapEx'!FH$3-1))</f>
        <v/>
      </c>
      <c r="FI18" s="149" t="str">
        <f>IF(OR($B18="",$B18=0),"",$I18*$C18*(1+'Property Summary'!$L$21)^('MF CapEx'!FI$3-1))</f>
        <v/>
      </c>
      <c r="FJ18" s="149" t="str">
        <f>IF(OR($B18="",$B18=0),"",$I18*$C18*(1+'Property Summary'!$L$21)^('MF CapEx'!FJ$3-1))</f>
        <v/>
      </c>
      <c r="FK18" s="149" t="str">
        <f>IF(OR($B18="",$B18=0),"",$I18*$C18*(1+'Property Summary'!$L$21)^('MF CapEx'!FK$3-1))</f>
        <v/>
      </c>
      <c r="FL18" s="149" t="str">
        <f>IF(OR($B18="",$B18=0),"",$I18*$C18*(1+'Property Summary'!$L$21)^('MF CapEx'!FL$3-1))</f>
        <v/>
      </c>
      <c r="FM18" s="149" t="str">
        <f>IF(OR($B18="",$B18=0),"",$I18*$C18*(1+'Property Summary'!$L$21)^('MF CapEx'!FM$3-1))</f>
        <v/>
      </c>
      <c r="FN18" s="149" t="str">
        <f>IF(OR($B18="",$B18=0),"",$I18*$C18*(1+'Property Summary'!$L$21)^('MF CapEx'!FN$3-1))</f>
        <v/>
      </c>
      <c r="FO18" s="149" t="str">
        <f>IF(OR($B18="",$B18=0),"",$I18*$C18*(1+'Property Summary'!$L$21)^('MF CapEx'!FO$3-1))</f>
        <v/>
      </c>
      <c r="FP18" s="149" t="str">
        <f>IF(OR($B18="",$B18=0),"",$I18*$C18*(1+'Property Summary'!$L$21)^('MF CapEx'!FP$3-1))</f>
        <v/>
      </c>
      <c r="FQ18" s="149" t="str">
        <f>IF(OR($B18="",$B18=0),"",$I18*$C18*(1+'Property Summary'!$L$21)^('MF CapEx'!FQ$3-1))</f>
        <v/>
      </c>
      <c r="FR18" s="149" t="str">
        <f>IF(OR($B18="",$B18=0),"",$I18*$C18*(1+'Property Summary'!$L$21)^('MF CapEx'!FR$3-1))</f>
        <v/>
      </c>
      <c r="FS18" s="149" t="str">
        <f>IF(OR($B18="",$B18=0),"",$I18*$C18*(1+'Property Summary'!$L$21)^('MF CapEx'!FS$3-1))</f>
        <v/>
      </c>
      <c r="FT18" s="149" t="str">
        <f>IF(OR($B18="",$B18=0),"",$I18*$C18*(1+'Property Summary'!$L$21)^('MF CapEx'!FT$3-1))</f>
        <v/>
      </c>
      <c r="FU18" s="149" t="str">
        <f>IF(OR($B18="",$B18=0),"",$I18*$C18*(1+'Property Summary'!$L$21)^('MF CapEx'!FU$3-1))</f>
        <v/>
      </c>
      <c r="FV18" s="149" t="str">
        <f>IF(OR($B18="",$B18=0),"",$I18*$C18*(1+'Property Summary'!$L$21)^('MF CapEx'!FV$3-1))</f>
        <v/>
      </c>
      <c r="FW18" s="149" t="str">
        <f>IF(OR($B18="",$B18=0),"",$I18*$C18*(1+'Property Summary'!$L$21)^('MF CapEx'!FW$3-1))</f>
        <v/>
      </c>
      <c r="FX18" s="149" t="str">
        <f>IF(OR($B18="",$B18=0),"",$I18*$C18*(1+'Property Summary'!$L$21)^('MF CapEx'!FX$3-1))</f>
        <v/>
      </c>
      <c r="FY18" s="149" t="str">
        <f>IF(OR($B18="",$B18=0),"",$I18*$C18*(1+'Property Summary'!$L$21)^('MF CapEx'!FY$3-1))</f>
        <v/>
      </c>
      <c r="FZ18" s="149" t="str">
        <f>IF(OR($B18="",$B18=0),"",$I18*$C18*(1+'Property Summary'!$L$21)^('MF CapEx'!FZ$3-1))</f>
        <v/>
      </c>
      <c r="GA18" s="149" t="str">
        <f>IF(OR($B18="",$B18=0),"",$I18*$C18*(1+'Property Summary'!$L$21)^('MF CapEx'!GA$3-1))</f>
        <v/>
      </c>
      <c r="GB18" s="149" t="str">
        <f>IF(OR($B18="",$B18=0),"",$I18*$C18*(1+'Property Summary'!$L$21)^('MF CapEx'!GB$3-1))</f>
        <v/>
      </c>
      <c r="GC18" s="149" t="str">
        <f>IF(OR($B18="",$B18=0),"",$I18*$C18*(1+'Property Summary'!$L$21)^('MF CapEx'!GC$3-1))</f>
        <v/>
      </c>
      <c r="GD18" s="149" t="str">
        <f>IF(OR($B18="",$B18=0),"",$I18*$C18*(1+'Property Summary'!$L$21)^('MF CapEx'!GD$3-1))</f>
        <v/>
      </c>
      <c r="GE18" s="149" t="str">
        <f>IF(OR($B18="",$B18=0),"",$I18*$C18*(1+'Property Summary'!$L$21)^('MF CapEx'!GE$3-1))</f>
        <v/>
      </c>
      <c r="GF18" s="149" t="str">
        <f>IF(OR($B18="",$B18=0),"",$I18*$C18*(1+'Property Summary'!$L$21)^('MF CapEx'!GF$3-1))</f>
        <v/>
      </c>
      <c r="GG18" s="149" t="str">
        <f>IF(OR($B18="",$B18=0),"",$I18*$C18*(1+'Property Summary'!$L$21)^('MF CapEx'!GG$3-1))</f>
        <v/>
      </c>
      <c r="GH18" s="149" t="str">
        <f>IF(OR($B18="",$B18=0),"",$I18*$C18*(1+'Property Summary'!$L$21)^('MF CapEx'!GH$3-1))</f>
        <v/>
      </c>
      <c r="GI18" s="149" t="str">
        <f>IF(OR($B18="",$B18=0),"",$I18*$C18*(1+'Property Summary'!$L$21)^('MF CapEx'!GI$3-1))</f>
        <v/>
      </c>
      <c r="GJ18" s="149" t="str">
        <f>IF(OR($B18="",$B18=0),"",$I18*$C18*(1+'Property Summary'!$L$21)^('MF CapEx'!GJ$3-1))</f>
        <v/>
      </c>
      <c r="GK18" s="149" t="str">
        <f>IF(OR($B18="",$B18=0),"",$I18*$C18*(1+'Property Summary'!$L$21)^('MF CapEx'!GK$3-1))</f>
        <v/>
      </c>
      <c r="GL18" s="149" t="str">
        <f>IF(OR($B18="",$B18=0),"",$I18*$C18*(1+'Property Summary'!$L$21)^('MF CapEx'!GL$3-1))</f>
        <v/>
      </c>
      <c r="GM18" s="149" t="str">
        <f>IF(OR($B18="",$B18=0),"",$I18*$C18*(1+'Property Summary'!$L$21)^('MF CapEx'!GM$3-1))</f>
        <v/>
      </c>
      <c r="GN18" s="149" t="str">
        <f>IF(OR($B18="",$B18=0),"",$I18*$C18*(1+'Property Summary'!$L$21)^('MF CapEx'!GN$3-1))</f>
        <v/>
      </c>
      <c r="GO18" s="149" t="str">
        <f>IF(OR($B18="",$B18=0),"",$I18*$C18*(1+'Property Summary'!$L$21)^('MF CapEx'!GO$3-1))</f>
        <v/>
      </c>
      <c r="GP18" s="149" t="str">
        <f>IF(OR($B18="",$B18=0),"",$I18*$C18*(1+'Property Summary'!$L$21)^('MF CapEx'!GP$3-1))</f>
        <v/>
      </c>
    </row>
    <row r="19" spans="2:198" x14ac:dyDescent="0.3">
      <c r="B19" s="184">
        <f>'MF Rent Roll'!B18</f>
        <v>0</v>
      </c>
      <c r="C19" s="171">
        <f>'MF Rent Roll'!C18</f>
        <v>0</v>
      </c>
      <c r="D19" s="172">
        <f>'MF Rent Roll'!D18</f>
        <v>0</v>
      </c>
      <c r="E19" s="172">
        <f>'MF Rent Roll'!E18</f>
        <v>0</v>
      </c>
      <c r="F19" s="173">
        <f>'MF Rent Roll'!F18</f>
        <v>0</v>
      </c>
      <c r="G19" s="174">
        <f>'MF Rent Roll'!G18</f>
        <v>0</v>
      </c>
      <c r="H19" s="176">
        <f>'MF Rent Roll'!J18</f>
        <v>0</v>
      </c>
      <c r="I19" s="174">
        <f>'MF Rent Roll'!K18</f>
        <v>0</v>
      </c>
      <c r="J19" s="177">
        <f>'MF Rent Roll'!L18</f>
        <v>0</v>
      </c>
      <c r="K19" s="178">
        <f>'MF Rent Roll'!M18</f>
        <v>0</v>
      </c>
      <c r="L19" s="174">
        <f>'MF Rent Roll'!N18</f>
        <v>0</v>
      </c>
      <c r="M19" s="179">
        <f>'MF Rent Roll'!O18</f>
        <v>0</v>
      </c>
      <c r="N19" s="180" t="str">
        <f>'MF Rent Roll'!P18</f>
        <v/>
      </c>
      <c r="O19" s="181" t="str">
        <f>'MF Rent Roll'!Q18</f>
        <v/>
      </c>
      <c r="P19" s="104" t="str">
        <f>'MF Rent Roll'!R18</f>
        <v/>
      </c>
      <c r="S19" s="149" t="str">
        <f>IF(OR($B19="",$B19=0),"",$I19*$C19*(1+'Property Summary'!$L$21)^('MF CapEx'!S$3-1))</f>
        <v/>
      </c>
      <c r="T19" s="149" t="str">
        <f>IF(OR($B19="",$B19=0),"",$I19*$C19*(1+'Property Summary'!$L$21)^('MF CapEx'!T$3-1))</f>
        <v/>
      </c>
      <c r="U19" s="149" t="str">
        <f>IF(OR($B19="",$B19=0),"",$I19*$C19*(1+'Property Summary'!$L$21)^('MF CapEx'!U$3-1))</f>
        <v/>
      </c>
      <c r="V19" s="149" t="str">
        <f>IF(OR($B19="",$B19=0),"",$I19*$C19*(1+'Property Summary'!$L$21)^('MF CapEx'!V$3-1))</f>
        <v/>
      </c>
      <c r="W19" s="149" t="str">
        <f>IF(OR($B19="",$B19=0),"",$I19*$C19*(1+'Property Summary'!$L$21)^('MF CapEx'!W$3-1))</f>
        <v/>
      </c>
      <c r="X19" s="149" t="str">
        <f>IF(OR($B19="",$B19=0),"",$I19*$C19*(1+'Property Summary'!$L$21)^('MF CapEx'!X$3-1))</f>
        <v/>
      </c>
      <c r="Y19" s="149" t="str">
        <f>IF(OR($B19="",$B19=0),"",$I19*$C19*(1+'Property Summary'!$L$21)^('MF CapEx'!Y$3-1))</f>
        <v/>
      </c>
      <c r="Z19" s="149" t="str">
        <f>IF(OR($B19="",$B19=0),"",$I19*$C19*(1+'Property Summary'!$L$21)^('MF CapEx'!Z$3-1))</f>
        <v/>
      </c>
      <c r="AA19" s="149" t="str">
        <f>IF(OR($B19="",$B19=0),"",$I19*$C19*(1+'Property Summary'!$L$21)^('MF CapEx'!AA$3-1))</f>
        <v/>
      </c>
      <c r="AB19" s="149" t="str">
        <f>IF(OR($B19="",$B19=0),"",$I19*$C19*(1+'Property Summary'!$L$21)^('MF CapEx'!AB$3-1))</f>
        <v/>
      </c>
      <c r="AC19" s="149" t="str">
        <f>IF(OR($B19="",$B19=0),"",$I19*$C19*(1+'Property Summary'!$L$21)^('MF CapEx'!AC$3-1))</f>
        <v/>
      </c>
      <c r="AD19" s="149" t="str">
        <f>IF(OR($B19="",$B19=0),"",$I19*$C19*(1+'Property Summary'!$L$21)^('MF CapEx'!AD$3-1))</f>
        <v/>
      </c>
      <c r="AE19" s="149" t="str">
        <f>IF(OR($B19="",$B19=0),"",$I19*$C19*(1+'Property Summary'!$L$21)^('MF CapEx'!AE$3-1))</f>
        <v/>
      </c>
      <c r="AF19" s="149" t="str">
        <f>IF(OR($B19="",$B19=0),"",$I19*$C19*(1+'Property Summary'!$L$21)^('MF CapEx'!AF$3-1))</f>
        <v/>
      </c>
      <c r="AG19" s="149" t="str">
        <f>IF(OR($B19="",$B19=0),"",$I19*$C19*(1+'Property Summary'!$L$21)^('MF CapEx'!AG$3-1))</f>
        <v/>
      </c>
      <c r="AH19" s="149" t="str">
        <f>IF(OR($B19="",$B19=0),"",$I19*$C19*(1+'Property Summary'!$L$21)^('MF CapEx'!AH$3-1))</f>
        <v/>
      </c>
      <c r="AI19" s="149" t="str">
        <f>IF(OR($B19="",$B19=0),"",$I19*$C19*(1+'Property Summary'!$L$21)^('MF CapEx'!AI$3-1))</f>
        <v/>
      </c>
      <c r="AJ19" s="149" t="str">
        <f>IF(OR($B19="",$B19=0),"",$I19*$C19*(1+'Property Summary'!$L$21)^('MF CapEx'!AJ$3-1))</f>
        <v/>
      </c>
      <c r="AK19" s="149" t="str">
        <f>IF(OR($B19="",$B19=0),"",$I19*$C19*(1+'Property Summary'!$L$21)^('MF CapEx'!AK$3-1))</f>
        <v/>
      </c>
      <c r="AL19" s="149" t="str">
        <f>IF(OR($B19="",$B19=0),"",$I19*$C19*(1+'Property Summary'!$L$21)^('MF CapEx'!AL$3-1))</f>
        <v/>
      </c>
      <c r="AM19" s="149" t="str">
        <f>IF(OR($B19="",$B19=0),"",$I19*$C19*(1+'Property Summary'!$L$21)^('MF CapEx'!AM$3-1))</f>
        <v/>
      </c>
      <c r="AN19" s="149" t="str">
        <f>IF(OR($B19="",$B19=0),"",$I19*$C19*(1+'Property Summary'!$L$21)^('MF CapEx'!AN$3-1))</f>
        <v/>
      </c>
      <c r="AO19" s="149" t="str">
        <f>IF(OR($B19="",$B19=0),"",$I19*$C19*(1+'Property Summary'!$L$21)^('MF CapEx'!AO$3-1))</f>
        <v/>
      </c>
      <c r="AP19" s="149" t="str">
        <f>IF(OR($B19="",$B19=0),"",$I19*$C19*(1+'Property Summary'!$L$21)^('MF CapEx'!AP$3-1))</f>
        <v/>
      </c>
      <c r="AQ19" s="149" t="str">
        <f>IF(OR($B19="",$B19=0),"",$I19*$C19*(1+'Property Summary'!$L$21)^('MF CapEx'!AQ$3-1))</f>
        <v/>
      </c>
      <c r="AR19" s="149" t="str">
        <f>IF(OR($B19="",$B19=0),"",$I19*$C19*(1+'Property Summary'!$L$21)^('MF CapEx'!AR$3-1))</f>
        <v/>
      </c>
      <c r="AS19" s="149" t="str">
        <f>IF(OR($B19="",$B19=0),"",$I19*$C19*(1+'Property Summary'!$L$21)^('MF CapEx'!AS$3-1))</f>
        <v/>
      </c>
      <c r="AT19" s="149" t="str">
        <f>IF(OR($B19="",$B19=0),"",$I19*$C19*(1+'Property Summary'!$L$21)^('MF CapEx'!AT$3-1))</f>
        <v/>
      </c>
      <c r="AU19" s="149" t="str">
        <f>IF(OR($B19="",$B19=0),"",$I19*$C19*(1+'Property Summary'!$L$21)^('MF CapEx'!AU$3-1))</f>
        <v/>
      </c>
      <c r="AV19" s="149" t="str">
        <f>IF(OR($B19="",$B19=0),"",$I19*$C19*(1+'Property Summary'!$L$21)^('MF CapEx'!AV$3-1))</f>
        <v/>
      </c>
      <c r="AW19" s="149" t="str">
        <f>IF(OR($B19="",$B19=0),"",$I19*$C19*(1+'Property Summary'!$L$21)^('MF CapEx'!AW$3-1))</f>
        <v/>
      </c>
      <c r="AX19" s="149" t="str">
        <f>IF(OR($B19="",$B19=0),"",$I19*$C19*(1+'Property Summary'!$L$21)^('MF CapEx'!AX$3-1))</f>
        <v/>
      </c>
      <c r="AY19" s="149" t="str">
        <f>IF(OR($B19="",$B19=0),"",$I19*$C19*(1+'Property Summary'!$L$21)^('MF CapEx'!AY$3-1))</f>
        <v/>
      </c>
      <c r="AZ19" s="149" t="str">
        <f>IF(OR($B19="",$B19=0),"",$I19*$C19*(1+'Property Summary'!$L$21)^('MF CapEx'!AZ$3-1))</f>
        <v/>
      </c>
      <c r="BA19" s="149" t="str">
        <f>IF(OR($B19="",$B19=0),"",$I19*$C19*(1+'Property Summary'!$L$21)^('MF CapEx'!BA$3-1))</f>
        <v/>
      </c>
      <c r="BB19" s="149" t="str">
        <f>IF(OR($B19="",$B19=0),"",$I19*$C19*(1+'Property Summary'!$L$21)^('MF CapEx'!BB$3-1))</f>
        <v/>
      </c>
      <c r="BC19" s="149" t="str">
        <f>IF(OR($B19="",$B19=0),"",$I19*$C19*(1+'Property Summary'!$L$21)^('MF CapEx'!BC$3-1))</f>
        <v/>
      </c>
      <c r="BD19" s="149" t="str">
        <f>IF(OR($B19="",$B19=0),"",$I19*$C19*(1+'Property Summary'!$L$21)^('MF CapEx'!BD$3-1))</f>
        <v/>
      </c>
      <c r="BE19" s="149" t="str">
        <f>IF(OR($B19="",$B19=0),"",$I19*$C19*(1+'Property Summary'!$L$21)^('MF CapEx'!BE$3-1))</f>
        <v/>
      </c>
      <c r="BF19" s="149" t="str">
        <f>IF(OR($B19="",$B19=0),"",$I19*$C19*(1+'Property Summary'!$L$21)^('MF CapEx'!BF$3-1))</f>
        <v/>
      </c>
      <c r="BG19" s="149" t="str">
        <f>IF(OR($B19="",$B19=0),"",$I19*$C19*(1+'Property Summary'!$L$21)^('MF CapEx'!BG$3-1))</f>
        <v/>
      </c>
      <c r="BH19" s="149" t="str">
        <f>IF(OR($B19="",$B19=0),"",$I19*$C19*(1+'Property Summary'!$L$21)^('MF CapEx'!BH$3-1))</f>
        <v/>
      </c>
      <c r="BI19" s="149" t="str">
        <f>IF(OR($B19="",$B19=0),"",$I19*$C19*(1+'Property Summary'!$L$21)^('MF CapEx'!BI$3-1))</f>
        <v/>
      </c>
      <c r="BJ19" s="149" t="str">
        <f>IF(OR($B19="",$B19=0),"",$I19*$C19*(1+'Property Summary'!$L$21)^('MF CapEx'!BJ$3-1))</f>
        <v/>
      </c>
      <c r="BK19" s="149" t="str">
        <f>IF(OR($B19="",$B19=0),"",$I19*$C19*(1+'Property Summary'!$L$21)^('MF CapEx'!BK$3-1))</f>
        <v/>
      </c>
      <c r="BL19" s="149" t="str">
        <f>IF(OR($B19="",$B19=0),"",$I19*$C19*(1+'Property Summary'!$L$21)^('MF CapEx'!BL$3-1))</f>
        <v/>
      </c>
      <c r="BM19" s="149" t="str">
        <f>IF(OR($B19="",$B19=0),"",$I19*$C19*(1+'Property Summary'!$L$21)^('MF CapEx'!BM$3-1))</f>
        <v/>
      </c>
      <c r="BN19" s="149" t="str">
        <f>IF(OR($B19="",$B19=0),"",$I19*$C19*(1+'Property Summary'!$L$21)^('MF CapEx'!BN$3-1))</f>
        <v/>
      </c>
      <c r="BO19" s="149" t="str">
        <f>IF(OR($B19="",$B19=0),"",$I19*$C19*(1+'Property Summary'!$L$21)^('MF CapEx'!BO$3-1))</f>
        <v/>
      </c>
      <c r="BP19" s="149" t="str">
        <f>IF(OR($B19="",$B19=0),"",$I19*$C19*(1+'Property Summary'!$L$21)^('MF CapEx'!BP$3-1))</f>
        <v/>
      </c>
      <c r="BQ19" s="149" t="str">
        <f>IF(OR($B19="",$B19=0),"",$I19*$C19*(1+'Property Summary'!$L$21)^('MF CapEx'!BQ$3-1))</f>
        <v/>
      </c>
      <c r="BR19" s="149" t="str">
        <f>IF(OR($B19="",$B19=0),"",$I19*$C19*(1+'Property Summary'!$L$21)^('MF CapEx'!BR$3-1))</f>
        <v/>
      </c>
      <c r="BS19" s="149" t="str">
        <f>IF(OR($B19="",$B19=0),"",$I19*$C19*(1+'Property Summary'!$L$21)^('MF CapEx'!BS$3-1))</f>
        <v/>
      </c>
      <c r="BT19" s="149" t="str">
        <f>IF(OR($B19="",$B19=0),"",$I19*$C19*(1+'Property Summary'!$L$21)^('MF CapEx'!BT$3-1))</f>
        <v/>
      </c>
      <c r="BU19" s="149" t="str">
        <f>IF(OR($B19="",$B19=0),"",$I19*$C19*(1+'Property Summary'!$L$21)^('MF CapEx'!BU$3-1))</f>
        <v/>
      </c>
      <c r="BV19" s="149" t="str">
        <f>IF(OR($B19="",$B19=0),"",$I19*$C19*(1+'Property Summary'!$L$21)^('MF CapEx'!BV$3-1))</f>
        <v/>
      </c>
      <c r="BW19" s="149" t="str">
        <f>IF(OR($B19="",$B19=0),"",$I19*$C19*(1+'Property Summary'!$L$21)^('MF CapEx'!BW$3-1))</f>
        <v/>
      </c>
      <c r="BX19" s="149" t="str">
        <f>IF(OR($B19="",$B19=0),"",$I19*$C19*(1+'Property Summary'!$L$21)^('MF CapEx'!BX$3-1))</f>
        <v/>
      </c>
      <c r="BY19" s="149" t="str">
        <f>IF(OR($B19="",$B19=0),"",$I19*$C19*(1+'Property Summary'!$L$21)^('MF CapEx'!BY$3-1))</f>
        <v/>
      </c>
      <c r="BZ19" s="149" t="str">
        <f>IF(OR($B19="",$B19=0),"",$I19*$C19*(1+'Property Summary'!$L$21)^('MF CapEx'!BZ$3-1))</f>
        <v/>
      </c>
      <c r="CA19" s="149" t="str">
        <f>IF(OR($B19="",$B19=0),"",$I19*$C19*(1+'Property Summary'!$L$21)^('MF CapEx'!CA$3-1))</f>
        <v/>
      </c>
      <c r="CB19" s="149" t="str">
        <f>IF(OR($B19="",$B19=0),"",$I19*$C19*(1+'Property Summary'!$L$21)^('MF CapEx'!CB$3-1))</f>
        <v/>
      </c>
      <c r="CC19" s="149" t="str">
        <f>IF(OR($B19="",$B19=0),"",$I19*$C19*(1+'Property Summary'!$L$21)^('MF CapEx'!CC$3-1))</f>
        <v/>
      </c>
      <c r="CD19" s="149" t="str">
        <f>IF(OR($B19="",$B19=0),"",$I19*$C19*(1+'Property Summary'!$L$21)^('MF CapEx'!CD$3-1))</f>
        <v/>
      </c>
      <c r="CE19" s="149" t="str">
        <f>IF(OR($B19="",$B19=0),"",$I19*$C19*(1+'Property Summary'!$L$21)^('MF CapEx'!CE$3-1))</f>
        <v/>
      </c>
      <c r="CF19" s="149" t="str">
        <f>IF(OR($B19="",$B19=0),"",$I19*$C19*(1+'Property Summary'!$L$21)^('MF CapEx'!CF$3-1))</f>
        <v/>
      </c>
      <c r="CG19" s="149" t="str">
        <f>IF(OR($B19="",$B19=0),"",$I19*$C19*(1+'Property Summary'!$L$21)^('MF CapEx'!CG$3-1))</f>
        <v/>
      </c>
      <c r="CH19" s="149" t="str">
        <f>IF(OR($B19="",$B19=0),"",$I19*$C19*(1+'Property Summary'!$L$21)^('MF CapEx'!CH$3-1))</f>
        <v/>
      </c>
      <c r="CI19" s="149" t="str">
        <f>IF(OR($B19="",$B19=0),"",$I19*$C19*(1+'Property Summary'!$L$21)^('MF CapEx'!CI$3-1))</f>
        <v/>
      </c>
      <c r="CJ19" s="149" t="str">
        <f>IF(OR($B19="",$B19=0),"",$I19*$C19*(1+'Property Summary'!$L$21)^('MF CapEx'!CJ$3-1))</f>
        <v/>
      </c>
      <c r="CK19" s="149" t="str">
        <f>IF(OR($B19="",$B19=0),"",$I19*$C19*(1+'Property Summary'!$L$21)^('MF CapEx'!CK$3-1))</f>
        <v/>
      </c>
      <c r="CL19" s="149" t="str">
        <f>IF(OR($B19="",$B19=0),"",$I19*$C19*(1+'Property Summary'!$L$21)^('MF CapEx'!CL$3-1))</f>
        <v/>
      </c>
      <c r="CM19" s="149" t="str">
        <f>IF(OR($B19="",$B19=0),"",$I19*$C19*(1+'Property Summary'!$L$21)^('MF CapEx'!CM$3-1))</f>
        <v/>
      </c>
      <c r="CN19" s="149" t="str">
        <f>IF(OR($B19="",$B19=0),"",$I19*$C19*(1+'Property Summary'!$L$21)^('MF CapEx'!CN$3-1))</f>
        <v/>
      </c>
      <c r="CO19" s="149" t="str">
        <f>IF(OR($B19="",$B19=0),"",$I19*$C19*(1+'Property Summary'!$L$21)^('MF CapEx'!CO$3-1))</f>
        <v/>
      </c>
      <c r="CP19" s="149" t="str">
        <f>IF(OR($B19="",$B19=0),"",$I19*$C19*(1+'Property Summary'!$L$21)^('MF CapEx'!CP$3-1))</f>
        <v/>
      </c>
      <c r="CQ19" s="149" t="str">
        <f>IF(OR($B19="",$B19=0),"",$I19*$C19*(1+'Property Summary'!$L$21)^('MF CapEx'!CQ$3-1))</f>
        <v/>
      </c>
      <c r="CR19" s="149" t="str">
        <f>IF(OR($B19="",$B19=0),"",$I19*$C19*(1+'Property Summary'!$L$21)^('MF CapEx'!CR$3-1))</f>
        <v/>
      </c>
      <c r="CS19" s="149" t="str">
        <f>IF(OR($B19="",$B19=0),"",$I19*$C19*(1+'Property Summary'!$L$21)^('MF CapEx'!CS$3-1))</f>
        <v/>
      </c>
      <c r="CT19" s="149" t="str">
        <f>IF(OR($B19="",$B19=0),"",$I19*$C19*(1+'Property Summary'!$L$21)^('MF CapEx'!CT$3-1))</f>
        <v/>
      </c>
      <c r="CU19" s="149" t="str">
        <f>IF(OR($B19="",$B19=0),"",$I19*$C19*(1+'Property Summary'!$L$21)^('MF CapEx'!CU$3-1))</f>
        <v/>
      </c>
      <c r="CV19" s="149" t="str">
        <f>IF(OR($B19="",$B19=0),"",$I19*$C19*(1+'Property Summary'!$L$21)^('MF CapEx'!CV$3-1))</f>
        <v/>
      </c>
      <c r="CW19" s="149" t="str">
        <f>IF(OR($B19="",$B19=0),"",$I19*$C19*(1+'Property Summary'!$L$21)^('MF CapEx'!CW$3-1))</f>
        <v/>
      </c>
      <c r="CX19" s="149" t="str">
        <f>IF(OR($B19="",$B19=0),"",$I19*$C19*(1+'Property Summary'!$L$21)^('MF CapEx'!CX$3-1))</f>
        <v/>
      </c>
      <c r="CY19" s="149" t="str">
        <f>IF(OR($B19="",$B19=0),"",$I19*$C19*(1+'Property Summary'!$L$21)^('MF CapEx'!CY$3-1))</f>
        <v/>
      </c>
      <c r="CZ19" s="149" t="str">
        <f>IF(OR($B19="",$B19=0),"",$I19*$C19*(1+'Property Summary'!$L$21)^('MF CapEx'!CZ$3-1))</f>
        <v/>
      </c>
      <c r="DA19" s="149" t="str">
        <f>IF(OR($B19="",$B19=0),"",$I19*$C19*(1+'Property Summary'!$L$21)^('MF CapEx'!DA$3-1))</f>
        <v/>
      </c>
      <c r="DB19" s="149" t="str">
        <f>IF(OR($B19="",$B19=0),"",$I19*$C19*(1+'Property Summary'!$L$21)^('MF CapEx'!DB$3-1))</f>
        <v/>
      </c>
      <c r="DC19" s="149" t="str">
        <f>IF(OR($B19="",$B19=0),"",$I19*$C19*(1+'Property Summary'!$L$21)^('MF CapEx'!DC$3-1))</f>
        <v/>
      </c>
      <c r="DD19" s="149" t="str">
        <f>IF(OR($B19="",$B19=0),"",$I19*$C19*(1+'Property Summary'!$L$21)^('MF CapEx'!DD$3-1))</f>
        <v/>
      </c>
      <c r="DE19" s="149" t="str">
        <f>IF(OR($B19="",$B19=0),"",$I19*$C19*(1+'Property Summary'!$L$21)^('MF CapEx'!DE$3-1))</f>
        <v/>
      </c>
      <c r="DF19" s="149" t="str">
        <f>IF(OR($B19="",$B19=0),"",$I19*$C19*(1+'Property Summary'!$L$21)^('MF CapEx'!DF$3-1))</f>
        <v/>
      </c>
      <c r="DG19" s="149" t="str">
        <f>IF(OR($B19="",$B19=0),"",$I19*$C19*(1+'Property Summary'!$L$21)^('MF CapEx'!DG$3-1))</f>
        <v/>
      </c>
      <c r="DH19" s="149" t="str">
        <f>IF(OR($B19="",$B19=0),"",$I19*$C19*(1+'Property Summary'!$L$21)^('MF CapEx'!DH$3-1))</f>
        <v/>
      </c>
      <c r="DI19" s="149" t="str">
        <f>IF(OR($B19="",$B19=0),"",$I19*$C19*(1+'Property Summary'!$L$21)^('MF CapEx'!DI$3-1))</f>
        <v/>
      </c>
      <c r="DJ19" s="149" t="str">
        <f>IF(OR($B19="",$B19=0),"",$I19*$C19*(1+'Property Summary'!$L$21)^('MF CapEx'!DJ$3-1))</f>
        <v/>
      </c>
      <c r="DK19" s="149" t="str">
        <f>IF(OR($B19="",$B19=0),"",$I19*$C19*(1+'Property Summary'!$L$21)^('MF CapEx'!DK$3-1))</f>
        <v/>
      </c>
      <c r="DL19" s="149" t="str">
        <f>IF(OR($B19="",$B19=0),"",$I19*$C19*(1+'Property Summary'!$L$21)^('MF CapEx'!DL$3-1))</f>
        <v/>
      </c>
      <c r="DM19" s="149" t="str">
        <f>IF(OR($B19="",$B19=0),"",$I19*$C19*(1+'Property Summary'!$L$21)^('MF CapEx'!DM$3-1))</f>
        <v/>
      </c>
      <c r="DN19" s="149" t="str">
        <f>IF(OR($B19="",$B19=0),"",$I19*$C19*(1+'Property Summary'!$L$21)^('MF CapEx'!DN$3-1))</f>
        <v/>
      </c>
      <c r="DO19" s="149" t="str">
        <f>IF(OR($B19="",$B19=0),"",$I19*$C19*(1+'Property Summary'!$L$21)^('MF CapEx'!DO$3-1))</f>
        <v/>
      </c>
      <c r="DP19" s="149" t="str">
        <f>IF(OR($B19="",$B19=0),"",$I19*$C19*(1+'Property Summary'!$L$21)^('MF CapEx'!DP$3-1))</f>
        <v/>
      </c>
      <c r="DQ19" s="149" t="str">
        <f>IF(OR($B19="",$B19=0),"",$I19*$C19*(1+'Property Summary'!$L$21)^('MF CapEx'!DQ$3-1))</f>
        <v/>
      </c>
      <c r="DR19" s="149" t="str">
        <f>IF(OR($B19="",$B19=0),"",$I19*$C19*(1+'Property Summary'!$L$21)^('MF CapEx'!DR$3-1))</f>
        <v/>
      </c>
      <c r="DS19" s="149" t="str">
        <f>IF(OR($B19="",$B19=0),"",$I19*$C19*(1+'Property Summary'!$L$21)^('MF CapEx'!DS$3-1))</f>
        <v/>
      </c>
      <c r="DT19" s="149" t="str">
        <f>IF(OR($B19="",$B19=0),"",$I19*$C19*(1+'Property Summary'!$L$21)^('MF CapEx'!DT$3-1))</f>
        <v/>
      </c>
      <c r="DU19" s="149" t="str">
        <f>IF(OR($B19="",$B19=0),"",$I19*$C19*(1+'Property Summary'!$L$21)^('MF CapEx'!DU$3-1))</f>
        <v/>
      </c>
      <c r="DV19" s="149" t="str">
        <f>IF(OR($B19="",$B19=0),"",$I19*$C19*(1+'Property Summary'!$L$21)^('MF CapEx'!DV$3-1))</f>
        <v/>
      </c>
      <c r="DW19" s="149" t="str">
        <f>IF(OR($B19="",$B19=0),"",$I19*$C19*(1+'Property Summary'!$L$21)^('MF CapEx'!DW$3-1))</f>
        <v/>
      </c>
      <c r="DX19" s="149" t="str">
        <f>IF(OR($B19="",$B19=0),"",$I19*$C19*(1+'Property Summary'!$L$21)^('MF CapEx'!DX$3-1))</f>
        <v/>
      </c>
      <c r="DY19" s="149" t="str">
        <f>IF(OR($B19="",$B19=0),"",$I19*$C19*(1+'Property Summary'!$L$21)^('MF CapEx'!DY$3-1))</f>
        <v/>
      </c>
      <c r="DZ19" s="149" t="str">
        <f>IF(OR($B19="",$B19=0),"",$I19*$C19*(1+'Property Summary'!$L$21)^('MF CapEx'!DZ$3-1))</f>
        <v/>
      </c>
      <c r="EA19" s="149" t="str">
        <f>IF(OR($B19="",$B19=0),"",$I19*$C19*(1+'Property Summary'!$L$21)^('MF CapEx'!EA$3-1))</f>
        <v/>
      </c>
      <c r="EB19" s="149" t="str">
        <f>IF(OR($B19="",$B19=0),"",$I19*$C19*(1+'Property Summary'!$L$21)^('MF CapEx'!EB$3-1))</f>
        <v/>
      </c>
      <c r="EC19" s="149" t="str">
        <f>IF(OR($B19="",$B19=0),"",$I19*$C19*(1+'Property Summary'!$L$21)^('MF CapEx'!EC$3-1))</f>
        <v/>
      </c>
      <c r="ED19" s="149" t="str">
        <f>IF(OR($B19="",$B19=0),"",$I19*$C19*(1+'Property Summary'!$L$21)^('MF CapEx'!ED$3-1))</f>
        <v/>
      </c>
      <c r="EE19" s="149" t="str">
        <f>IF(OR($B19="",$B19=0),"",$I19*$C19*(1+'Property Summary'!$L$21)^('MF CapEx'!EE$3-1))</f>
        <v/>
      </c>
      <c r="EF19" s="149" t="str">
        <f>IF(OR($B19="",$B19=0),"",$I19*$C19*(1+'Property Summary'!$L$21)^('MF CapEx'!EF$3-1))</f>
        <v/>
      </c>
      <c r="EG19" s="149" t="str">
        <f>IF(OR($B19="",$B19=0),"",$I19*$C19*(1+'Property Summary'!$L$21)^('MF CapEx'!EG$3-1))</f>
        <v/>
      </c>
      <c r="EH19" s="149" t="str">
        <f>IF(OR($B19="",$B19=0),"",$I19*$C19*(1+'Property Summary'!$L$21)^('MF CapEx'!EH$3-1))</f>
        <v/>
      </c>
      <c r="EI19" s="149" t="str">
        <f>IF(OR($B19="",$B19=0),"",$I19*$C19*(1+'Property Summary'!$L$21)^('MF CapEx'!EI$3-1))</f>
        <v/>
      </c>
      <c r="EJ19" s="149" t="str">
        <f>IF(OR($B19="",$B19=0),"",$I19*$C19*(1+'Property Summary'!$L$21)^('MF CapEx'!EJ$3-1))</f>
        <v/>
      </c>
      <c r="EK19" s="149" t="str">
        <f>IF(OR($B19="",$B19=0),"",$I19*$C19*(1+'Property Summary'!$L$21)^('MF CapEx'!EK$3-1))</f>
        <v/>
      </c>
      <c r="EL19" s="149" t="str">
        <f>IF(OR($B19="",$B19=0),"",$I19*$C19*(1+'Property Summary'!$L$21)^('MF CapEx'!EL$3-1))</f>
        <v/>
      </c>
      <c r="EM19" s="149" t="str">
        <f>IF(OR($B19="",$B19=0),"",$I19*$C19*(1+'Property Summary'!$L$21)^('MF CapEx'!EM$3-1))</f>
        <v/>
      </c>
      <c r="EN19" s="149" t="str">
        <f>IF(OR($B19="",$B19=0),"",$I19*$C19*(1+'Property Summary'!$L$21)^('MF CapEx'!EN$3-1))</f>
        <v/>
      </c>
      <c r="EO19" s="149" t="str">
        <f>IF(OR($B19="",$B19=0),"",$I19*$C19*(1+'Property Summary'!$L$21)^('MF CapEx'!EO$3-1))</f>
        <v/>
      </c>
      <c r="EP19" s="149" t="str">
        <f>IF(OR($B19="",$B19=0),"",$I19*$C19*(1+'Property Summary'!$L$21)^('MF CapEx'!EP$3-1))</f>
        <v/>
      </c>
      <c r="EQ19" s="149" t="str">
        <f>IF(OR($B19="",$B19=0),"",$I19*$C19*(1+'Property Summary'!$L$21)^('MF CapEx'!EQ$3-1))</f>
        <v/>
      </c>
      <c r="ER19" s="149" t="str">
        <f>IF(OR($B19="",$B19=0),"",$I19*$C19*(1+'Property Summary'!$L$21)^('MF CapEx'!ER$3-1))</f>
        <v/>
      </c>
      <c r="ES19" s="149" t="str">
        <f>IF(OR($B19="",$B19=0),"",$I19*$C19*(1+'Property Summary'!$L$21)^('MF CapEx'!ES$3-1))</f>
        <v/>
      </c>
      <c r="ET19" s="149" t="str">
        <f>IF(OR($B19="",$B19=0),"",$I19*$C19*(1+'Property Summary'!$L$21)^('MF CapEx'!ET$3-1))</f>
        <v/>
      </c>
      <c r="EU19" s="149" t="str">
        <f>IF(OR($B19="",$B19=0),"",$I19*$C19*(1+'Property Summary'!$L$21)^('MF CapEx'!EU$3-1))</f>
        <v/>
      </c>
      <c r="EV19" s="149" t="str">
        <f>IF(OR($B19="",$B19=0),"",$I19*$C19*(1+'Property Summary'!$L$21)^('MF CapEx'!EV$3-1))</f>
        <v/>
      </c>
      <c r="EW19" s="149" t="str">
        <f>IF(OR($B19="",$B19=0),"",$I19*$C19*(1+'Property Summary'!$L$21)^('MF CapEx'!EW$3-1))</f>
        <v/>
      </c>
      <c r="EX19" s="149" t="str">
        <f>IF(OR($B19="",$B19=0),"",$I19*$C19*(1+'Property Summary'!$L$21)^('MF CapEx'!EX$3-1))</f>
        <v/>
      </c>
      <c r="EY19" s="149" t="str">
        <f>IF(OR($B19="",$B19=0),"",$I19*$C19*(1+'Property Summary'!$L$21)^('MF CapEx'!EY$3-1))</f>
        <v/>
      </c>
      <c r="EZ19" s="149" t="str">
        <f>IF(OR($B19="",$B19=0),"",$I19*$C19*(1+'Property Summary'!$L$21)^('MF CapEx'!EZ$3-1))</f>
        <v/>
      </c>
      <c r="FA19" s="149" t="str">
        <f>IF(OR($B19="",$B19=0),"",$I19*$C19*(1+'Property Summary'!$L$21)^('MF CapEx'!FA$3-1))</f>
        <v/>
      </c>
      <c r="FB19" s="149" t="str">
        <f>IF(OR($B19="",$B19=0),"",$I19*$C19*(1+'Property Summary'!$L$21)^('MF CapEx'!FB$3-1))</f>
        <v/>
      </c>
      <c r="FC19" s="149" t="str">
        <f>IF(OR($B19="",$B19=0),"",$I19*$C19*(1+'Property Summary'!$L$21)^('MF CapEx'!FC$3-1))</f>
        <v/>
      </c>
      <c r="FD19" s="149" t="str">
        <f>IF(OR($B19="",$B19=0),"",$I19*$C19*(1+'Property Summary'!$L$21)^('MF CapEx'!FD$3-1))</f>
        <v/>
      </c>
      <c r="FE19" s="149" t="str">
        <f>IF(OR($B19="",$B19=0),"",$I19*$C19*(1+'Property Summary'!$L$21)^('MF CapEx'!FE$3-1))</f>
        <v/>
      </c>
      <c r="FF19" s="149" t="str">
        <f>IF(OR($B19="",$B19=0),"",$I19*$C19*(1+'Property Summary'!$L$21)^('MF CapEx'!FF$3-1))</f>
        <v/>
      </c>
      <c r="FG19" s="149" t="str">
        <f>IF(OR($B19="",$B19=0),"",$I19*$C19*(1+'Property Summary'!$L$21)^('MF CapEx'!FG$3-1))</f>
        <v/>
      </c>
      <c r="FH19" s="149" t="str">
        <f>IF(OR($B19="",$B19=0),"",$I19*$C19*(1+'Property Summary'!$L$21)^('MF CapEx'!FH$3-1))</f>
        <v/>
      </c>
      <c r="FI19" s="149" t="str">
        <f>IF(OR($B19="",$B19=0),"",$I19*$C19*(1+'Property Summary'!$L$21)^('MF CapEx'!FI$3-1))</f>
        <v/>
      </c>
      <c r="FJ19" s="149" t="str">
        <f>IF(OR($B19="",$B19=0),"",$I19*$C19*(1+'Property Summary'!$L$21)^('MF CapEx'!FJ$3-1))</f>
        <v/>
      </c>
      <c r="FK19" s="149" t="str">
        <f>IF(OR($B19="",$B19=0),"",$I19*$C19*(1+'Property Summary'!$L$21)^('MF CapEx'!FK$3-1))</f>
        <v/>
      </c>
      <c r="FL19" s="149" t="str">
        <f>IF(OR($B19="",$B19=0),"",$I19*$C19*(1+'Property Summary'!$L$21)^('MF CapEx'!FL$3-1))</f>
        <v/>
      </c>
      <c r="FM19" s="149" t="str">
        <f>IF(OR($B19="",$B19=0),"",$I19*$C19*(1+'Property Summary'!$L$21)^('MF CapEx'!FM$3-1))</f>
        <v/>
      </c>
      <c r="FN19" s="149" t="str">
        <f>IF(OR($B19="",$B19=0),"",$I19*$C19*(1+'Property Summary'!$L$21)^('MF CapEx'!FN$3-1))</f>
        <v/>
      </c>
      <c r="FO19" s="149" t="str">
        <f>IF(OR($B19="",$B19=0),"",$I19*$C19*(1+'Property Summary'!$L$21)^('MF CapEx'!FO$3-1))</f>
        <v/>
      </c>
      <c r="FP19" s="149" t="str">
        <f>IF(OR($B19="",$B19=0),"",$I19*$C19*(1+'Property Summary'!$L$21)^('MF CapEx'!FP$3-1))</f>
        <v/>
      </c>
      <c r="FQ19" s="149" t="str">
        <f>IF(OR($B19="",$B19=0),"",$I19*$C19*(1+'Property Summary'!$L$21)^('MF CapEx'!FQ$3-1))</f>
        <v/>
      </c>
      <c r="FR19" s="149" t="str">
        <f>IF(OR($B19="",$B19=0),"",$I19*$C19*(1+'Property Summary'!$L$21)^('MF CapEx'!FR$3-1))</f>
        <v/>
      </c>
      <c r="FS19" s="149" t="str">
        <f>IF(OR($B19="",$B19=0),"",$I19*$C19*(1+'Property Summary'!$L$21)^('MF CapEx'!FS$3-1))</f>
        <v/>
      </c>
      <c r="FT19" s="149" t="str">
        <f>IF(OR($B19="",$B19=0),"",$I19*$C19*(1+'Property Summary'!$L$21)^('MF CapEx'!FT$3-1))</f>
        <v/>
      </c>
      <c r="FU19" s="149" t="str">
        <f>IF(OR($B19="",$B19=0),"",$I19*$C19*(1+'Property Summary'!$L$21)^('MF CapEx'!FU$3-1))</f>
        <v/>
      </c>
      <c r="FV19" s="149" t="str">
        <f>IF(OR($B19="",$B19=0),"",$I19*$C19*(1+'Property Summary'!$L$21)^('MF CapEx'!FV$3-1))</f>
        <v/>
      </c>
      <c r="FW19" s="149" t="str">
        <f>IF(OR($B19="",$B19=0),"",$I19*$C19*(1+'Property Summary'!$L$21)^('MF CapEx'!FW$3-1))</f>
        <v/>
      </c>
      <c r="FX19" s="149" t="str">
        <f>IF(OR($B19="",$B19=0),"",$I19*$C19*(1+'Property Summary'!$L$21)^('MF CapEx'!FX$3-1))</f>
        <v/>
      </c>
      <c r="FY19" s="149" t="str">
        <f>IF(OR($B19="",$B19=0),"",$I19*$C19*(1+'Property Summary'!$L$21)^('MF CapEx'!FY$3-1))</f>
        <v/>
      </c>
      <c r="FZ19" s="149" t="str">
        <f>IF(OR($B19="",$B19=0),"",$I19*$C19*(1+'Property Summary'!$L$21)^('MF CapEx'!FZ$3-1))</f>
        <v/>
      </c>
      <c r="GA19" s="149" t="str">
        <f>IF(OR($B19="",$B19=0),"",$I19*$C19*(1+'Property Summary'!$L$21)^('MF CapEx'!GA$3-1))</f>
        <v/>
      </c>
      <c r="GB19" s="149" t="str">
        <f>IF(OR($B19="",$B19=0),"",$I19*$C19*(1+'Property Summary'!$L$21)^('MF CapEx'!GB$3-1))</f>
        <v/>
      </c>
      <c r="GC19" s="149" t="str">
        <f>IF(OR($B19="",$B19=0),"",$I19*$C19*(1+'Property Summary'!$L$21)^('MF CapEx'!GC$3-1))</f>
        <v/>
      </c>
      <c r="GD19" s="149" t="str">
        <f>IF(OR($B19="",$B19=0),"",$I19*$C19*(1+'Property Summary'!$L$21)^('MF CapEx'!GD$3-1))</f>
        <v/>
      </c>
      <c r="GE19" s="149" t="str">
        <f>IF(OR($B19="",$B19=0),"",$I19*$C19*(1+'Property Summary'!$L$21)^('MF CapEx'!GE$3-1))</f>
        <v/>
      </c>
      <c r="GF19" s="149" t="str">
        <f>IF(OR($B19="",$B19=0),"",$I19*$C19*(1+'Property Summary'!$L$21)^('MF CapEx'!GF$3-1))</f>
        <v/>
      </c>
      <c r="GG19" s="149" t="str">
        <f>IF(OR($B19="",$B19=0),"",$I19*$C19*(1+'Property Summary'!$L$21)^('MF CapEx'!GG$3-1))</f>
        <v/>
      </c>
      <c r="GH19" s="149" t="str">
        <f>IF(OR($B19="",$B19=0),"",$I19*$C19*(1+'Property Summary'!$L$21)^('MF CapEx'!GH$3-1))</f>
        <v/>
      </c>
      <c r="GI19" s="149" t="str">
        <f>IF(OR($B19="",$B19=0),"",$I19*$C19*(1+'Property Summary'!$L$21)^('MF CapEx'!GI$3-1))</f>
        <v/>
      </c>
      <c r="GJ19" s="149" t="str">
        <f>IF(OR($B19="",$B19=0),"",$I19*$C19*(1+'Property Summary'!$L$21)^('MF CapEx'!GJ$3-1))</f>
        <v/>
      </c>
      <c r="GK19" s="149" t="str">
        <f>IF(OR($B19="",$B19=0),"",$I19*$C19*(1+'Property Summary'!$L$21)^('MF CapEx'!GK$3-1))</f>
        <v/>
      </c>
      <c r="GL19" s="149" t="str">
        <f>IF(OR($B19="",$B19=0),"",$I19*$C19*(1+'Property Summary'!$L$21)^('MF CapEx'!GL$3-1))</f>
        <v/>
      </c>
      <c r="GM19" s="149" t="str">
        <f>IF(OR($B19="",$B19=0),"",$I19*$C19*(1+'Property Summary'!$L$21)^('MF CapEx'!GM$3-1))</f>
        <v/>
      </c>
      <c r="GN19" s="149" t="str">
        <f>IF(OR($B19="",$B19=0),"",$I19*$C19*(1+'Property Summary'!$L$21)^('MF CapEx'!GN$3-1))</f>
        <v/>
      </c>
      <c r="GO19" s="149" t="str">
        <f>IF(OR($B19="",$B19=0),"",$I19*$C19*(1+'Property Summary'!$L$21)^('MF CapEx'!GO$3-1))</f>
        <v/>
      </c>
      <c r="GP19" s="149" t="str">
        <f>IF(OR($B19="",$B19=0),"",$I19*$C19*(1+'Property Summary'!$L$21)^('MF CapEx'!GP$3-1))</f>
        <v/>
      </c>
    </row>
    <row r="20" spans="2:198" x14ac:dyDescent="0.3">
      <c r="B20" s="184">
        <f>'MF Rent Roll'!B19</f>
        <v>0</v>
      </c>
      <c r="C20" s="171">
        <f>'MF Rent Roll'!C19</f>
        <v>0</v>
      </c>
      <c r="D20" s="172">
        <f>'MF Rent Roll'!D19</f>
        <v>0</v>
      </c>
      <c r="E20" s="172">
        <f>'MF Rent Roll'!E19</f>
        <v>0</v>
      </c>
      <c r="F20" s="173">
        <f>'MF Rent Roll'!F19</f>
        <v>0</v>
      </c>
      <c r="G20" s="174">
        <f>'MF Rent Roll'!G19</f>
        <v>0</v>
      </c>
      <c r="H20" s="176">
        <f>'MF Rent Roll'!J19</f>
        <v>0</v>
      </c>
      <c r="I20" s="174">
        <f>'MF Rent Roll'!K19</f>
        <v>0</v>
      </c>
      <c r="J20" s="177">
        <f>'MF Rent Roll'!L19</f>
        <v>0</v>
      </c>
      <c r="K20" s="178">
        <f>'MF Rent Roll'!M19</f>
        <v>0</v>
      </c>
      <c r="L20" s="174">
        <f>'MF Rent Roll'!N19</f>
        <v>0</v>
      </c>
      <c r="M20" s="179">
        <f>'MF Rent Roll'!O19</f>
        <v>0</v>
      </c>
      <c r="N20" s="180" t="str">
        <f>'MF Rent Roll'!P19</f>
        <v/>
      </c>
      <c r="O20" s="181" t="str">
        <f>'MF Rent Roll'!Q19</f>
        <v/>
      </c>
      <c r="P20" s="104" t="str">
        <f>'MF Rent Roll'!R19</f>
        <v/>
      </c>
      <c r="S20" s="149" t="str">
        <f>IF(OR($B20="",$B20=0),"",$I20*$C20*(1+'Property Summary'!$L$21)^('MF CapEx'!S$3-1))</f>
        <v/>
      </c>
      <c r="T20" s="149" t="str">
        <f>IF(OR($B20="",$B20=0),"",$I20*$C20*(1+'Property Summary'!$L$21)^('MF CapEx'!T$3-1))</f>
        <v/>
      </c>
      <c r="U20" s="149" t="str">
        <f>IF(OR($B20="",$B20=0),"",$I20*$C20*(1+'Property Summary'!$L$21)^('MF CapEx'!U$3-1))</f>
        <v/>
      </c>
      <c r="V20" s="149" t="str">
        <f>IF(OR($B20="",$B20=0),"",$I20*$C20*(1+'Property Summary'!$L$21)^('MF CapEx'!V$3-1))</f>
        <v/>
      </c>
      <c r="W20" s="149" t="str">
        <f>IF(OR($B20="",$B20=0),"",$I20*$C20*(1+'Property Summary'!$L$21)^('MF CapEx'!W$3-1))</f>
        <v/>
      </c>
      <c r="X20" s="149" t="str">
        <f>IF(OR($B20="",$B20=0),"",$I20*$C20*(1+'Property Summary'!$L$21)^('MF CapEx'!X$3-1))</f>
        <v/>
      </c>
      <c r="Y20" s="149" t="str">
        <f>IF(OR($B20="",$B20=0),"",$I20*$C20*(1+'Property Summary'!$L$21)^('MF CapEx'!Y$3-1))</f>
        <v/>
      </c>
      <c r="Z20" s="149" t="str">
        <f>IF(OR($B20="",$B20=0),"",$I20*$C20*(1+'Property Summary'!$L$21)^('MF CapEx'!Z$3-1))</f>
        <v/>
      </c>
      <c r="AA20" s="149" t="str">
        <f>IF(OR($B20="",$B20=0),"",$I20*$C20*(1+'Property Summary'!$L$21)^('MF CapEx'!AA$3-1))</f>
        <v/>
      </c>
      <c r="AB20" s="149" t="str">
        <f>IF(OR($B20="",$B20=0),"",$I20*$C20*(1+'Property Summary'!$L$21)^('MF CapEx'!AB$3-1))</f>
        <v/>
      </c>
      <c r="AC20" s="149" t="str">
        <f>IF(OR($B20="",$B20=0),"",$I20*$C20*(1+'Property Summary'!$L$21)^('MF CapEx'!AC$3-1))</f>
        <v/>
      </c>
      <c r="AD20" s="149" t="str">
        <f>IF(OR($B20="",$B20=0),"",$I20*$C20*(1+'Property Summary'!$L$21)^('MF CapEx'!AD$3-1))</f>
        <v/>
      </c>
      <c r="AE20" s="149" t="str">
        <f>IF(OR($B20="",$B20=0),"",$I20*$C20*(1+'Property Summary'!$L$21)^('MF CapEx'!AE$3-1))</f>
        <v/>
      </c>
      <c r="AF20" s="149" t="str">
        <f>IF(OR($B20="",$B20=0),"",$I20*$C20*(1+'Property Summary'!$L$21)^('MF CapEx'!AF$3-1))</f>
        <v/>
      </c>
      <c r="AG20" s="149" t="str">
        <f>IF(OR($B20="",$B20=0),"",$I20*$C20*(1+'Property Summary'!$L$21)^('MF CapEx'!AG$3-1))</f>
        <v/>
      </c>
      <c r="AH20" s="149" t="str">
        <f>IF(OR($B20="",$B20=0),"",$I20*$C20*(1+'Property Summary'!$L$21)^('MF CapEx'!AH$3-1))</f>
        <v/>
      </c>
      <c r="AI20" s="149" t="str">
        <f>IF(OR($B20="",$B20=0),"",$I20*$C20*(1+'Property Summary'!$L$21)^('MF CapEx'!AI$3-1))</f>
        <v/>
      </c>
      <c r="AJ20" s="149" t="str">
        <f>IF(OR($B20="",$B20=0),"",$I20*$C20*(1+'Property Summary'!$L$21)^('MF CapEx'!AJ$3-1))</f>
        <v/>
      </c>
      <c r="AK20" s="149" t="str">
        <f>IF(OR($B20="",$B20=0),"",$I20*$C20*(1+'Property Summary'!$L$21)^('MF CapEx'!AK$3-1))</f>
        <v/>
      </c>
      <c r="AL20" s="149" t="str">
        <f>IF(OR($B20="",$B20=0),"",$I20*$C20*(1+'Property Summary'!$L$21)^('MF CapEx'!AL$3-1))</f>
        <v/>
      </c>
      <c r="AM20" s="149" t="str">
        <f>IF(OR($B20="",$B20=0),"",$I20*$C20*(1+'Property Summary'!$L$21)^('MF CapEx'!AM$3-1))</f>
        <v/>
      </c>
      <c r="AN20" s="149" t="str">
        <f>IF(OR($B20="",$B20=0),"",$I20*$C20*(1+'Property Summary'!$L$21)^('MF CapEx'!AN$3-1))</f>
        <v/>
      </c>
      <c r="AO20" s="149" t="str">
        <f>IF(OR($B20="",$B20=0),"",$I20*$C20*(1+'Property Summary'!$L$21)^('MF CapEx'!AO$3-1))</f>
        <v/>
      </c>
      <c r="AP20" s="149" t="str">
        <f>IF(OR($B20="",$B20=0),"",$I20*$C20*(1+'Property Summary'!$L$21)^('MF CapEx'!AP$3-1))</f>
        <v/>
      </c>
      <c r="AQ20" s="149" t="str">
        <f>IF(OR($B20="",$B20=0),"",$I20*$C20*(1+'Property Summary'!$L$21)^('MF CapEx'!AQ$3-1))</f>
        <v/>
      </c>
      <c r="AR20" s="149" t="str">
        <f>IF(OR($B20="",$B20=0),"",$I20*$C20*(1+'Property Summary'!$L$21)^('MF CapEx'!AR$3-1))</f>
        <v/>
      </c>
      <c r="AS20" s="149" t="str">
        <f>IF(OR($B20="",$B20=0),"",$I20*$C20*(1+'Property Summary'!$L$21)^('MF CapEx'!AS$3-1))</f>
        <v/>
      </c>
      <c r="AT20" s="149" t="str">
        <f>IF(OR($B20="",$B20=0),"",$I20*$C20*(1+'Property Summary'!$L$21)^('MF CapEx'!AT$3-1))</f>
        <v/>
      </c>
      <c r="AU20" s="149" t="str">
        <f>IF(OR($B20="",$B20=0),"",$I20*$C20*(1+'Property Summary'!$L$21)^('MF CapEx'!AU$3-1))</f>
        <v/>
      </c>
      <c r="AV20" s="149" t="str">
        <f>IF(OR($B20="",$B20=0),"",$I20*$C20*(1+'Property Summary'!$L$21)^('MF CapEx'!AV$3-1))</f>
        <v/>
      </c>
      <c r="AW20" s="149" t="str">
        <f>IF(OR($B20="",$B20=0),"",$I20*$C20*(1+'Property Summary'!$L$21)^('MF CapEx'!AW$3-1))</f>
        <v/>
      </c>
      <c r="AX20" s="149" t="str">
        <f>IF(OR($B20="",$B20=0),"",$I20*$C20*(1+'Property Summary'!$L$21)^('MF CapEx'!AX$3-1))</f>
        <v/>
      </c>
      <c r="AY20" s="149" t="str">
        <f>IF(OR($B20="",$B20=0),"",$I20*$C20*(1+'Property Summary'!$L$21)^('MF CapEx'!AY$3-1))</f>
        <v/>
      </c>
      <c r="AZ20" s="149" t="str">
        <f>IF(OR($B20="",$B20=0),"",$I20*$C20*(1+'Property Summary'!$L$21)^('MF CapEx'!AZ$3-1))</f>
        <v/>
      </c>
      <c r="BA20" s="149" t="str">
        <f>IF(OR($B20="",$B20=0),"",$I20*$C20*(1+'Property Summary'!$L$21)^('MF CapEx'!BA$3-1))</f>
        <v/>
      </c>
      <c r="BB20" s="149" t="str">
        <f>IF(OR($B20="",$B20=0),"",$I20*$C20*(1+'Property Summary'!$L$21)^('MF CapEx'!BB$3-1))</f>
        <v/>
      </c>
      <c r="BC20" s="149" t="str">
        <f>IF(OR($B20="",$B20=0),"",$I20*$C20*(1+'Property Summary'!$L$21)^('MF CapEx'!BC$3-1))</f>
        <v/>
      </c>
      <c r="BD20" s="149" t="str">
        <f>IF(OR($B20="",$B20=0),"",$I20*$C20*(1+'Property Summary'!$L$21)^('MF CapEx'!BD$3-1))</f>
        <v/>
      </c>
      <c r="BE20" s="149" t="str">
        <f>IF(OR($B20="",$B20=0),"",$I20*$C20*(1+'Property Summary'!$L$21)^('MF CapEx'!BE$3-1))</f>
        <v/>
      </c>
      <c r="BF20" s="149" t="str">
        <f>IF(OR($B20="",$B20=0),"",$I20*$C20*(1+'Property Summary'!$L$21)^('MF CapEx'!BF$3-1))</f>
        <v/>
      </c>
      <c r="BG20" s="149" t="str">
        <f>IF(OR($B20="",$B20=0),"",$I20*$C20*(1+'Property Summary'!$L$21)^('MF CapEx'!BG$3-1))</f>
        <v/>
      </c>
      <c r="BH20" s="149" t="str">
        <f>IF(OR($B20="",$B20=0),"",$I20*$C20*(1+'Property Summary'!$L$21)^('MF CapEx'!BH$3-1))</f>
        <v/>
      </c>
      <c r="BI20" s="149" t="str">
        <f>IF(OR($B20="",$B20=0),"",$I20*$C20*(1+'Property Summary'!$L$21)^('MF CapEx'!BI$3-1))</f>
        <v/>
      </c>
      <c r="BJ20" s="149" t="str">
        <f>IF(OR($B20="",$B20=0),"",$I20*$C20*(1+'Property Summary'!$L$21)^('MF CapEx'!BJ$3-1))</f>
        <v/>
      </c>
      <c r="BK20" s="149" t="str">
        <f>IF(OR($B20="",$B20=0),"",$I20*$C20*(1+'Property Summary'!$L$21)^('MF CapEx'!BK$3-1))</f>
        <v/>
      </c>
      <c r="BL20" s="149" t="str">
        <f>IF(OR($B20="",$B20=0),"",$I20*$C20*(1+'Property Summary'!$L$21)^('MF CapEx'!BL$3-1))</f>
        <v/>
      </c>
      <c r="BM20" s="149" t="str">
        <f>IF(OR($B20="",$B20=0),"",$I20*$C20*(1+'Property Summary'!$L$21)^('MF CapEx'!BM$3-1))</f>
        <v/>
      </c>
      <c r="BN20" s="149" t="str">
        <f>IF(OR($B20="",$B20=0),"",$I20*$C20*(1+'Property Summary'!$L$21)^('MF CapEx'!BN$3-1))</f>
        <v/>
      </c>
      <c r="BO20" s="149" t="str">
        <f>IF(OR($B20="",$B20=0),"",$I20*$C20*(1+'Property Summary'!$L$21)^('MF CapEx'!BO$3-1))</f>
        <v/>
      </c>
      <c r="BP20" s="149" t="str">
        <f>IF(OR($B20="",$B20=0),"",$I20*$C20*(1+'Property Summary'!$L$21)^('MF CapEx'!BP$3-1))</f>
        <v/>
      </c>
      <c r="BQ20" s="149" t="str">
        <f>IF(OR($B20="",$B20=0),"",$I20*$C20*(1+'Property Summary'!$L$21)^('MF CapEx'!BQ$3-1))</f>
        <v/>
      </c>
      <c r="BR20" s="149" t="str">
        <f>IF(OR($B20="",$B20=0),"",$I20*$C20*(1+'Property Summary'!$L$21)^('MF CapEx'!BR$3-1))</f>
        <v/>
      </c>
      <c r="BS20" s="149" t="str">
        <f>IF(OR($B20="",$B20=0),"",$I20*$C20*(1+'Property Summary'!$L$21)^('MF CapEx'!BS$3-1))</f>
        <v/>
      </c>
      <c r="BT20" s="149" t="str">
        <f>IF(OR($B20="",$B20=0),"",$I20*$C20*(1+'Property Summary'!$L$21)^('MF CapEx'!BT$3-1))</f>
        <v/>
      </c>
      <c r="BU20" s="149" t="str">
        <f>IF(OR($B20="",$B20=0),"",$I20*$C20*(1+'Property Summary'!$L$21)^('MF CapEx'!BU$3-1))</f>
        <v/>
      </c>
      <c r="BV20" s="149" t="str">
        <f>IF(OR($B20="",$B20=0),"",$I20*$C20*(1+'Property Summary'!$L$21)^('MF CapEx'!BV$3-1))</f>
        <v/>
      </c>
      <c r="BW20" s="149" t="str">
        <f>IF(OR($B20="",$B20=0),"",$I20*$C20*(1+'Property Summary'!$L$21)^('MF CapEx'!BW$3-1))</f>
        <v/>
      </c>
      <c r="BX20" s="149" t="str">
        <f>IF(OR($B20="",$B20=0),"",$I20*$C20*(1+'Property Summary'!$L$21)^('MF CapEx'!BX$3-1))</f>
        <v/>
      </c>
      <c r="BY20" s="149" t="str">
        <f>IF(OR($B20="",$B20=0),"",$I20*$C20*(1+'Property Summary'!$L$21)^('MF CapEx'!BY$3-1))</f>
        <v/>
      </c>
      <c r="BZ20" s="149" t="str">
        <f>IF(OR($B20="",$B20=0),"",$I20*$C20*(1+'Property Summary'!$L$21)^('MF CapEx'!BZ$3-1))</f>
        <v/>
      </c>
      <c r="CA20" s="149" t="str">
        <f>IF(OR($B20="",$B20=0),"",$I20*$C20*(1+'Property Summary'!$L$21)^('MF CapEx'!CA$3-1))</f>
        <v/>
      </c>
      <c r="CB20" s="149" t="str">
        <f>IF(OR($B20="",$B20=0),"",$I20*$C20*(1+'Property Summary'!$L$21)^('MF CapEx'!CB$3-1))</f>
        <v/>
      </c>
      <c r="CC20" s="149" t="str">
        <f>IF(OR($B20="",$B20=0),"",$I20*$C20*(1+'Property Summary'!$L$21)^('MF CapEx'!CC$3-1))</f>
        <v/>
      </c>
      <c r="CD20" s="149" t="str">
        <f>IF(OR($B20="",$B20=0),"",$I20*$C20*(1+'Property Summary'!$L$21)^('MF CapEx'!CD$3-1))</f>
        <v/>
      </c>
      <c r="CE20" s="149" t="str">
        <f>IF(OR($B20="",$B20=0),"",$I20*$C20*(1+'Property Summary'!$L$21)^('MF CapEx'!CE$3-1))</f>
        <v/>
      </c>
      <c r="CF20" s="149" t="str">
        <f>IF(OR($B20="",$B20=0),"",$I20*$C20*(1+'Property Summary'!$L$21)^('MF CapEx'!CF$3-1))</f>
        <v/>
      </c>
      <c r="CG20" s="149" t="str">
        <f>IF(OR($B20="",$B20=0),"",$I20*$C20*(1+'Property Summary'!$L$21)^('MF CapEx'!CG$3-1))</f>
        <v/>
      </c>
      <c r="CH20" s="149" t="str">
        <f>IF(OR($B20="",$B20=0),"",$I20*$C20*(1+'Property Summary'!$L$21)^('MF CapEx'!CH$3-1))</f>
        <v/>
      </c>
      <c r="CI20" s="149" t="str">
        <f>IF(OR($B20="",$B20=0),"",$I20*$C20*(1+'Property Summary'!$L$21)^('MF CapEx'!CI$3-1))</f>
        <v/>
      </c>
      <c r="CJ20" s="149" t="str">
        <f>IF(OR($B20="",$B20=0),"",$I20*$C20*(1+'Property Summary'!$L$21)^('MF CapEx'!CJ$3-1))</f>
        <v/>
      </c>
      <c r="CK20" s="149" t="str">
        <f>IF(OR($B20="",$B20=0),"",$I20*$C20*(1+'Property Summary'!$L$21)^('MF CapEx'!CK$3-1))</f>
        <v/>
      </c>
      <c r="CL20" s="149" t="str">
        <f>IF(OR($B20="",$B20=0),"",$I20*$C20*(1+'Property Summary'!$L$21)^('MF CapEx'!CL$3-1))</f>
        <v/>
      </c>
      <c r="CM20" s="149" t="str">
        <f>IF(OR($B20="",$B20=0),"",$I20*$C20*(1+'Property Summary'!$L$21)^('MF CapEx'!CM$3-1))</f>
        <v/>
      </c>
      <c r="CN20" s="149" t="str">
        <f>IF(OR($B20="",$B20=0),"",$I20*$C20*(1+'Property Summary'!$L$21)^('MF CapEx'!CN$3-1))</f>
        <v/>
      </c>
      <c r="CO20" s="149" t="str">
        <f>IF(OR($B20="",$B20=0),"",$I20*$C20*(1+'Property Summary'!$L$21)^('MF CapEx'!CO$3-1))</f>
        <v/>
      </c>
      <c r="CP20" s="149" t="str">
        <f>IF(OR($B20="",$B20=0),"",$I20*$C20*(1+'Property Summary'!$L$21)^('MF CapEx'!CP$3-1))</f>
        <v/>
      </c>
      <c r="CQ20" s="149" t="str">
        <f>IF(OR($B20="",$B20=0),"",$I20*$C20*(1+'Property Summary'!$L$21)^('MF CapEx'!CQ$3-1))</f>
        <v/>
      </c>
      <c r="CR20" s="149" t="str">
        <f>IF(OR($B20="",$B20=0),"",$I20*$C20*(1+'Property Summary'!$L$21)^('MF CapEx'!CR$3-1))</f>
        <v/>
      </c>
      <c r="CS20" s="149" t="str">
        <f>IF(OR($B20="",$B20=0),"",$I20*$C20*(1+'Property Summary'!$L$21)^('MF CapEx'!CS$3-1))</f>
        <v/>
      </c>
      <c r="CT20" s="149" t="str">
        <f>IF(OR($B20="",$B20=0),"",$I20*$C20*(1+'Property Summary'!$L$21)^('MF CapEx'!CT$3-1))</f>
        <v/>
      </c>
      <c r="CU20" s="149" t="str">
        <f>IF(OR($B20="",$B20=0),"",$I20*$C20*(1+'Property Summary'!$L$21)^('MF CapEx'!CU$3-1))</f>
        <v/>
      </c>
      <c r="CV20" s="149" t="str">
        <f>IF(OR($B20="",$B20=0),"",$I20*$C20*(1+'Property Summary'!$L$21)^('MF CapEx'!CV$3-1))</f>
        <v/>
      </c>
      <c r="CW20" s="149" t="str">
        <f>IF(OR($B20="",$B20=0),"",$I20*$C20*(1+'Property Summary'!$L$21)^('MF CapEx'!CW$3-1))</f>
        <v/>
      </c>
      <c r="CX20" s="149" t="str">
        <f>IF(OR($B20="",$B20=0),"",$I20*$C20*(1+'Property Summary'!$L$21)^('MF CapEx'!CX$3-1))</f>
        <v/>
      </c>
      <c r="CY20" s="149" t="str">
        <f>IF(OR($B20="",$B20=0),"",$I20*$C20*(1+'Property Summary'!$L$21)^('MF CapEx'!CY$3-1))</f>
        <v/>
      </c>
      <c r="CZ20" s="149" t="str">
        <f>IF(OR($B20="",$B20=0),"",$I20*$C20*(1+'Property Summary'!$L$21)^('MF CapEx'!CZ$3-1))</f>
        <v/>
      </c>
      <c r="DA20" s="149" t="str">
        <f>IF(OR($B20="",$B20=0),"",$I20*$C20*(1+'Property Summary'!$L$21)^('MF CapEx'!DA$3-1))</f>
        <v/>
      </c>
      <c r="DB20" s="149" t="str">
        <f>IF(OR($B20="",$B20=0),"",$I20*$C20*(1+'Property Summary'!$L$21)^('MF CapEx'!DB$3-1))</f>
        <v/>
      </c>
      <c r="DC20" s="149" t="str">
        <f>IF(OR($B20="",$B20=0),"",$I20*$C20*(1+'Property Summary'!$L$21)^('MF CapEx'!DC$3-1))</f>
        <v/>
      </c>
      <c r="DD20" s="149" t="str">
        <f>IF(OR($B20="",$B20=0),"",$I20*$C20*(1+'Property Summary'!$L$21)^('MF CapEx'!DD$3-1))</f>
        <v/>
      </c>
      <c r="DE20" s="149" t="str">
        <f>IF(OR($B20="",$B20=0),"",$I20*$C20*(1+'Property Summary'!$L$21)^('MF CapEx'!DE$3-1))</f>
        <v/>
      </c>
      <c r="DF20" s="149" t="str">
        <f>IF(OR($B20="",$B20=0),"",$I20*$C20*(1+'Property Summary'!$L$21)^('MF CapEx'!DF$3-1))</f>
        <v/>
      </c>
      <c r="DG20" s="149" t="str">
        <f>IF(OR($B20="",$B20=0),"",$I20*$C20*(1+'Property Summary'!$L$21)^('MF CapEx'!DG$3-1))</f>
        <v/>
      </c>
      <c r="DH20" s="149" t="str">
        <f>IF(OR($B20="",$B20=0),"",$I20*$C20*(1+'Property Summary'!$L$21)^('MF CapEx'!DH$3-1))</f>
        <v/>
      </c>
      <c r="DI20" s="149" t="str">
        <f>IF(OR($B20="",$B20=0),"",$I20*$C20*(1+'Property Summary'!$L$21)^('MF CapEx'!DI$3-1))</f>
        <v/>
      </c>
      <c r="DJ20" s="149" t="str">
        <f>IF(OR($B20="",$B20=0),"",$I20*$C20*(1+'Property Summary'!$L$21)^('MF CapEx'!DJ$3-1))</f>
        <v/>
      </c>
      <c r="DK20" s="149" t="str">
        <f>IF(OR($B20="",$B20=0),"",$I20*$C20*(1+'Property Summary'!$L$21)^('MF CapEx'!DK$3-1))</f>
        <v/>
      </c>
      <c r="DL20" s="149" t="str">
        <f>IF(OR($B20="",$B20=0),"",$I20*$C20*(1+'Property Summary'!$L$21)^('MF CapEx'!DL$3-1))</f>
        <v/>
      </c>
      <c r="DM20" s="149" t="str">
        <f>IF(OR($B20="",$B20=0),"",$I20*$C20*(1+'Property Summary'!$L$21)^('MF CapEx'!DM$3-1))</f>
        <v/>
      </c>
      <c r="DN20" s="149" t="str">
        <f>IF(OR($B20="",$B20=0),"",$I20*$C20*(1+'Property Summary'!$L$21)^('MF CapEx'!DN$3-1))</f>
        <v/>
      </c>
      <c r="DO20" s="149" t="str">
        <f>IF(OR($B20="",$B20=0),"",$I20*$C20*(1+'Property Summary'!$L$21)^('MF CapEx'!DO$3-1))</f>
        <v/>
      </c>
      <c r="DP20" s="149" t="str">
        <f>IF(OR($B20="",$B20=0),"",$I20*$C20*(1+'Property Summary'!$L$21)^('MF CapEx'!DP$3-1))</f>
        <v/>
      </c>
      <c r="DQ20" s="149" t="str">
        <f>IF(OR($B20="",$B20=0),"",$I20*$C20*(1+'Property Summary'!$L$21)^('MF CapEx'!DQ$3-1))</f>
        <v/>
      </c>
      <c r="DR20" s="149" t="str">
        <f>IF(OR($B20="",$B20=0),"",$I20*$C20*(1+'Property Summary'!$L$21)^('MF CapEx'!DR$3-1))</f>
        <v/>
      </c>
      <c r="DS20" s="149" t="str">
        <f>IF(OR($B20="",$B20=0),"",$I20*$C20*(1+'Property Summary'!$L$21)^('MF CapEx'!DS$3-1))</f>
        <v/>
      </c>
      <c r="DT20" s="149" t="str">
        <f>IF(OR($B20="",$B20=0),"",$I20*$C20*(1+'Property Summary'!$L$21)^('MF CapEx'!DT$3-1))</f>
        <v/>
      </c>
      <c r="DU20" s="149" t="str">
        <f>IF(OR($B20="",$B20=0),"",$I20*$C20*(1+'Property Summary'!$L$21)^('MF CapEx'!DU$3-1))</f>
        <v/>
      </c>
      <c r="DV20" s="149" t="str">
        <f>IF(OR($B20="",$B20=0),"",$I20*$C20*(1+'Property Summary'!$L$21)^('MF CapEx'!DV$3-1))</f>
        <v/>
      </c>
      <c r="DW20" s="149" t="str">
        <f>IF(OR($B20="",$B20=0),"",$I20*$C20*(1+'Property Summary'!$L$21)^('MF CapEx'!DW$3-1))</f>
        <v/>
      </c>
      <c r="DX20" s="149" t="str">
        <f>IF(OR($B20="",$B20=0),"",$I20*$C20*(1+'Property Summary'!$L$21)^('MF CapEx'!DX$3-1))</f>
        <v/>
      </c>
      <c r="DY20" s="149" t="str">
        <f>IF(OR($B20="",$B20=0),"",$I20*$C20*(1+'Property Summary'!$L$21)^('MF CapEx'!DY$3-1))</f>
        <v/>
      </c>
      <c r="DZ20" s="149" t="str">
        <f>IF(OR($B20="",$B20=0),"",$I20*$C20*(1+'Property Summary'!$L$21)^('MF CapEx'!DZ$3-1))</f>
        <v/>
      </c>
      <c r="EA20" s="149" t="str">
        <f>IF(OR($B20="",$B20=0),"",$I20*$C20*(1+'Property Summary'!$L$21)^('MF CapEx'!EA$3-1))</f>
        <v/>
      </c>
      <c r="EB20" s="149" t="str">
        <f>IF(OR($B20="",$B20=0),"",$I20*$C20*(1+'Property Summary'!$L$21)^('MF CapEx'!EB$3-1))</f>
        <v/>
      </c>
      <c r="EC20" s="149" t="str">
        <f>IF(OR($B20="",$B20=0),"",$I20*$C20*(1+'Property Summary'!$L$21)^('MF CapEx'!EC$3-1))</f>
        <v/>
      </c>
      <c r="ED20" s="149" t="str">
        <f>IF(OR($B20="",$B20=0),"",$I20*$C20*(1+'Property Summary'!$L$21)^('MF CapEx'!ED$3-1))</f>
        <v/>
      </c>
      <c r="EE20" s="149" t="str">
        <f>IF(OR($B20="",$B20=0),"",$I20*$C20*(1+'Property Summary'!$L$21)^('MF CapEx'!EE$3-1))</f>
        <v/>
      </c>
      <c r="EF20" s="149" t="str">
        <f>IF(OR($B20="",$B20=0),"",$I20*$C20*(1+'Property Summary'!$L$21)^('MF CapEx'!EF$3-1))</f>
        <v/>
      </c>
      <c r="EG20" s="149" t="str">
        <f>IF(OR($B20="",$B20=0),"",$I20*$C20*(1+'Property Summary'!$L$21)^('MF CapEx'!EG$3-1))</f>
        <v/>
      </c>
      <c r="EH20" s="149" t="str">
        <f>IF(OR($B20="",$B20=0),"",$I20*$C20*(1+'Property Summary'!$L$21)^('MF CapEx'!EH$3-1))</f>
        <v/>
      </c>
      <c r="EI20" s="149" t="str">
        <f>IF(OR($B20="",$B20=0),"",$I20*$C20*(1+'Property Summary'!$L$21)^('MF CapEx'!EI$3-1))</f>
        <v/>
      </c>
      <c r="EJ20" s="149" t="str">
        <f>IF(OR($B20="",$B20=0),"",$I20*$C20*(1+'Property Summary'!$L$21)^('MF CapEx'!EJ$3-1))</f>
        <v/>
      </c>
      <c r="EK20" s="149" t="str">
        <f>IF(OR($B20="",$B20=0),"",$I20*$C20*(1+'Property Summary'!$L$21)^('MF CapEx'!EK$3-1))</f>
        <v/>
      </c>
      <c r="EL20" s="149" t="str">
        <f>IF(OR($B20="",$B20=0),"",$I20*$C20*(1+'Property Summary'!$L$21)^('MF CapEx'!EL$3-1))</f>
        <v/>
      </c>
      <c r="EM20" s="149" t="str">
        <f>IF(OR($B20="",$B20=0),"",$I20*$C20*(1+'Property Summary'!$L$21)^('MF CapEx'!EM$3-1))</f>
        <v/>
      </c>
      <c r="EN20" s="149" t="str">
        <f>IF(OR($B20="",$B20=0),"",$I20*$C20*(1+'Property Summary'!$L$21)^('MF CapEx'!EN$3-1))</f>
        <v/>
      </c>
      <c r="EO20" s="149" t="str">
        <f>IF(OR($B20="",$B20=0),"",$I20*$C20*(1+'Property Summary'!$L$21)^('MF CapEx'!EO$3-1))</f>
        <v/>
      </c>
      <c r="EP20" s="149" t="str">
        <f>IF(OR($B20="",$B20=0),"",$I20*$C20*(1+'Property Summary'!$L$21)^('MF CapEx'!EP$3-1))</f>
        <v/>
      </c>
      <c r="EQ20" s="149" t="str">
        <f>IF(OR($B20="",$B20=0),"",$I20*$C20*(1+'Property Summary'!$L$21)^('MF CapEx'!EQ$3-1))</f>
        <v/>
      </c>
      <c r="ER20" s="149" t="str">
        <f>IF(OR($B20="",$B20=0),"",$I20*$C20*(1+'Property Summary'!$L$21)^('MF CapEx'!ER$3-1))</f>
        <v/>
      </c>
      <c r="ES20" s="149" t="str">
        <f>IF(OR($B20="",$B20=0),"",$I20*$C20*(1+'Property Summary'!$L$21)^('MF CapEx'!ES$3-1))</f>
        <v/>
      </c>
      <c r="ET20" s="149" t="str">
        <f>IF(OR($B20="",$B20=0),"",$I20*$C20*(1+'Property Summary'!$L$21)^('MF CapEx'!ET$3-1))</f>
        <v/>
      </c>
      <c r="EU20" s="149" t="str">
        <f>IF(OR($B20="",$B20=0),"",$I20*$C20*(1+'Property Summary'!$L$21)^('MF CapEx'!EU$3-1))</f>
        <v/>
      </c>
      <c r="EV20" s="149" t="str">
        <f>IF(OR($B20="",$B20=0),"",$I20*$C20*(1+'Property Summary'!$L$21)^('MF CapEx'!EV$3-1))</f>
        <v/>
      </c>
      <c r="EW20" s="149" t="str">
        <f>IF(OR($B20="",$B20=0),"",$I20*$C20*(1+'Property Summary'!$L$21)^('MF CapEx'!EW$3-1))</f>
        <v/>
      </c>
      <c r="EX20" s="149" t="str">
        <f>IF(OR($B20="",$B20=0),"",$I20*$C20*(1+'Property Summary'!$L$21)^('MF CapEx'!EX$3-1))</f>
        <v/>
      </c>
      <c r="EY20" s="149" t="str">
        <f>IF(OR($B20="",$B20=0),"",$I20*$C20*(1+'Property Summary'!$L$21)^('MF CapEx'!EY$3-1))</f>
        <v/>
      </c>
      <c r="EZ20" s="149" t="str">
        <f>IF(OR($B20="",$B20=0),"",$I20*$C20*(1+'Property Summary'!$L$21)^('MF CapEx'!EZ$3-1))</f>
        <v/>
      </c>
      <c r="FA20" s="149" t="str">
        <f>IF(OR($B20="",$B20=0),"",$I20*$C20*(1+'Property Summary'!$L$21)^('MF CapEx'!FA$3-1))</f>
        <v/>
      </c>
      <c r="FB20" s="149" t="str">
        <f>IF(OR($B20="",$B20=0),"",$I20*$C20*(1+'Property Summary'!$L$21)^('MF CapEx'!FB$3-1))</f>
        <v/>
      </c>
      <c r="FC20" s="149" t="str">
        <f>IF(OR($B20="",$B20=0),"",$I20*$C20*(1+'Property Summary'!$L$21)^('MF CapEx'!FC$3-1))</f>
        <v/>
      </c>
      <c r="FD20" s="149" t="str">
        <f>IF(OR($B20="",$B20=0),"",$I20*$C20*(1+'Property Summary'!$L$21)^('MF CapEx'!FD$3-1))</f>
        <v/>
      </c>
      <c r="FE20" s="149" t="str">
        <f>IF(OR($B20="",$B20=0),"",$I20*$C20*(1+'Property Summary'!$L$21)^('MF CapEx'!FE$3-1))</f>
        <v/>
      </c>
      <c r="FF20" s="149" t="str">
        <f>IF(OR($B20="",$B20=0),"",$I20*$C20*(1+'Property Summary'!$L$21)^('MF CapEx'!FF$3-1))</f>
        <v/>
      </c>
      <c r="FG20" s="149" t="str">
        <f>IF(OR($B20="",$B20=0),"",$I20*$C20*(1+'Property Summary'!$L$21)^('MF CapEx'!FG$3-1))</f>
        <v/>
      </c>
      <c r="FH20" s="149" t="str">
        <f>IF(OR($B20="",$B20=0),"",$I20*$C20*(1+'Property Summary'!$L$21)^('MF CapEx'!FH$3-1))</f>
        <v/>
      </c>
      <c r="FI20" s="149" t="str">
        <f>IF(OR($B20="",$B20=0),"",$I20*$C20*(1+'Property Summary'!$L$21)^('MF CapEx'!FI$3-1))</f>
        <v/>
      </c>
      <c r="FJ20" s="149" t="str">
        <f>IF(OR($B20="",$B20=0),"",$I20*$C20*(1+'Property Summary'!$L$21)^('MF CapEx'!FJ$3-1))</f>
        <v/>
      </c>
      <c r="FK20" s="149" t="str">
        <f>IF(OR($B20="",$B20=0),"",$I20*$C20*(1+'Property Summary'!$L$21)^('MF CapEx'!FK$3-1))</f>
        <v/>
      </c>
      <c r="FL20" s="149" t="str">
        <f>IF(OR($B20="",$B20=0),"",$I20*$C20*(1+'Property Summary'!$L$21)^('MF CapEx'!FL$3-1))</f>
        <v/>
      </c>
      <c r="FM20" s="149" t="str">
        <f>IF(OR($B20="",$B20=0),"",$I20*$C20*(1+'Property Summary'!$L$21)^('MF CapEx'!FM$3-1))</f>
        <v/>
      </c>
      <c r="FN20" s="149" t="str">
        <f>IF(OR($B20="",$B20=0),"",$I20*$C20*(1+'Property Summary'!$L$21)^('MF CapEx'!FN$3-1))</f>
        <v/>
      </c>
      <c r="FO20" s="149" t="str">
        <f>IF(OR($B20="",$B20=0),"",$I20*$C20*(1+'Property Summary'!$L$21)^('MF CapEx'!FO$3-1))</f>
        <v/>
      </c>
      <c r="FP20" s="149" t="str">
        <f>IF(OR($B20="",$B20=0),"",$I20*$C20*(1+'Property Summary'!$L$21)^('MF CapEx'!FP$3-1))</f>
        <v/>
      </c>
      <c r="FQ20" s="149" t="str">
        <f>IF(OR($B20="",$B20=0),"",$I20*$C20*(1+'Property Summary'!$L$21)^('MF CapEx'!FQ$3-1))</f>
        <v/>
      </c>
      <c r="FR20" s="149" t="str">
        <f>IF(OR($B20="",$B20=0),"",$I20*$C20*(1+'Property Summary'!$L$21)^('MF CapEx'!FR$3-1))</f>
        <v/>
      </c>
      <c r="FS20" s="149" t="str">
        <f>IF(OR($B20="",$B20=0),"",$I20*$C20*(1+'Property Summary'!$L$21)^('MF CapEx'!FS$3-1))</f>
        <v/>
      </c>
      <c r="FT20" s="149" t="str">
        <f>IF(OR($B20="",$B20=0),"",$I20*$C20*(1+'Property Summary'!$L$21)^('MF CapEx'!FT$3-1))</f>
        <v/>
      </c>
      <c r="FU20" s="149" t="str">
        <f>IF(OR($B20="",$B20=0),"",$I20*$C20*(1+'Property Summary'!$L$21)^('MF CapEx'!FU$3-1))</f>
        <v/>
      </c>
      <c r="FV20" s="149" t="str">
        <f>IF(OR($B20="",$B20=0),"",$I20*$C20*(1+'Property Summary'!$L$21)^('MF CapEx'!FV$3-1))</f>
        <v/>
      </c>
      <c r="FW20" s="149" t="str">
        <f>IF(OR($B20="",$B20=0),"",$I20*$C20*(1+'Property Summary'!$L$21)^('MF CapEx'!FW$3-1))</f>
        <v/>
      </c>
      <c r="FX20" s="149" t="str">
        <f>IF(OR($B20="",$B20=0),"",$I20*$C20*(1+'Property Summary'!$L$21)^('MF CapEx'!FX$3-1))</f>
        <v/>
      </c>
      <c r="FY20" s="149" t="str">
        <f>IF(OR($B20="",$B20=0),"",$I20*$C20*(1+'Property Summary'!$L$21)^('MF CapEx'!FY$3-1))</f>
        <v/>
      </c>
      <c r="FZ20" s="149" t="str">
        <f>IF(OR($B20="",$B20=0),"",$I20*$C20*(1+'Property Summary'!$L$21)^('MF CapEx'!FZ$3-1))</f>
        <v/>
      </c>
      <c r="GA20" s="149" t="str">
        <f>IF(OR($B20="",$B20=0),"",$I20*$C20*(1+'Property Summary'!$L$21)^('MF CapEx'!GA$3-1))</f>
        <v/>
      </c>
      <c r="GB20" s="149" t="str">
        <f>IF(OR($B20="",$B20=0),"",$I20*$C20*(1+'Property Summary'!$L$21)^('MF CapEx'!GB$3-1))</f>
        <v/>
      </c>
      <c r="GC20" s="149" t="str">
        <f>IF(OR($B20="",$B20=0),"",$I20*$C20*(1+'Property Summary'!$L$21)^('MF CapEx'!GC$3-1))</f>
        <v/>
      </c>
      <c r="GD20" s="149" t="str">
        <f>IF(OR($B20="",$B20=0),"",$I20*$C20*(1+'Property Summary'!$L$21)^('MF CapEx'!GD$3-1))</f>
        <v/>
      </c>
      <c r="GE20" s="149" t="str">
        <f>IF(OR($B20="",$B20=0),"",$I20*$C20*(1+'Property Summary'!$L$21)^('MF CapEx'!GE$3-1))</f>
        <v/>
      </c>
      <c r="GF20" s="149" t="str">
        <f>IF(OR($B20="",$B20=0),"",$I20*$C20*(1+'Property Summary'!$L$21)^('MF CapEx'!GF$3-1))</f>
        <v/>
      </c>
      <c r="GG20" s="149" t="str">
        <f>IF(OR($B20="",$B20=0),"",$I20*$C20*(1+'Property Summary'!$L$21)^('MF CapEx'!GG$3-1))</f>
        <v/>
      </c>
      <c r="GH20" s="149" t="str">
        <f>IF(OR($B20="",$B20=0),"",$I20*$C20*(1+'Property Summary'!$L$21)^('MF CapEx'!GH$3-1))</f>
        <v/>
      </c>
      <c r="GI20" s="149" t="str">
        <f>IF(OR($B20="",$B20=0),"",$I20*$C20*(1+'Property Summary'!$L$21)^('MF CapEx'!GI$3-1))</f>
        <v/>
      </c>
      <c r="GJ20" s="149" t="str">
        <f>IF(OR($B20="",$B20=0),"",$I20*$C20*(1+'Property Summary'!$L$21)^('MF CapEx'!GJ$3-1))</f>
        <v/>
      </c>
      <c r="GK20" s="149" t="str">
        <f>IF(OR($B20="",$B20=0),"",$I20*$C20*(1+'Property Summary'!$L$21)^('MF CapEx'!GK$3-1))</f>
        <v/>
      </c>
      <c r="GL20" s="149" t="str">
        <f>IF(OR($B20="",$B20=0),"",$I20*$C20*(1+'Property Summary'!$L$21)^('MF CapEx'!GL$3-1))</f>
        <v/>
      </c>
      <c r="GM20" s="149" t="str">
        <f>IF(OR($B20="",$B20=0),"",$I20*$C20*(1+'Property Summary'!$L$21)^('MF CapEx'!GM$3-1))</f>
        <v/>
      </c>
      <c r="GN20" s="149" t="str">
        <f>IF(OR($B20="",$B20=0),"",$I20*$C20*(1+'Property Summary'!$L$21)^('MF CapEx'!GN$3-1))</f>
        <v/>
      </c>
      <c r="GO20" s="149" t="str">
        <f>IF(OR($B20="",$B20=0),"",$I20*$C20*(1+'Property Summary'!$L$21)^('MF CapEx'!GO$3-1))</f>
        <v/>
      </c>
      <c r="GP20" s="149" t="str">
        <f>IF(OR($B20="",$B20=0),"",$I20*$C20*(1+'Property Summary'!$L$21)^('MF CapEx'!GP$3-1))</f>
        <v/>
      </c>
    </row>
    <row r="21" spans="2:198" x14ac:dyDescent="0.3">
      <c r="B21" s="184">
        <f>'MF Rent Roll'!B20</f>
        <v>0</v>
      </c>
      <c r="C21" s="171">
        <f>'MF Rent Roll'!C20</f>
        <v>0</v>
      </c>
      <c r="D21" s="172">
        <f>'MF Rent Roll'!D20</f>
        <v>0</v>
      </c>
      <c r="E21" s="172">
        <f>'MF Rent Roll'!E20</f>
        <v>0</v>
      </c>
      <c r="F21" s="173">
        <f>'MF Rent Roll'!F20</f>
        <v>0</v>
      </c>
      <c r="G21" s="174">
        <f>'MF Rent Roll'!G20</f>
        <v>0</v>
      </c>
      <c r="H21" s="176">
        <f>'MF Rent Roll'!J20</f>
        <v>0</v>
      </c>
      <c r="I21" s="174">
        <f>'MF Rent Roll'!K20</f>
        <v>0</v>
      </c>
      <c r="J21" s="177">
        <f>'MF Rent Roll'!L20</f>
        <v>0</v>
      </c>
      <c r="K21" s="178">
        <f>'MF Rent Roll'!M20</f>
        <v>0</v>
      </c>
      <c r="L21" s="174">
        <f>'MF Rent Roll'!N20</f>
        <v>0</v>
      </c>
      <c r="M21" s="179">
        <f>'MF Rent Roll'!O20</f>
        <v>0</v>
      </c>
      <c r="N21" s="180" t="str">
        <f>'MF Rent Roll'!P20</f>
        <v/>
      </c>
      <c r="O21" s="181" t="str">
        <f>'MF Rent Roll'!Q20</f>
        <v/>
      </c>
      <c r="P21" s="104" t="str">
        <f>'MF Rent Roll'!R20</f>
        <v/>
      </c>
      <c r="S21" s="149" t="str">
        <f>IF(OR($B21="",$B21=0),"",$I21*$C21*(1+'Property Summary'!$L$21)^('MF CapEx'!S$3-1))</f>
        <v/>
      </c>
      <c r="T21" s="149" t="str">
        <f>IF(OR($B21="",$B21=0),"",$I21*$C21*(1+'Property Summary'!$L$21)^('MF CapEx'!T$3-1))</f>
        <v/>
      </c>
      <c r="U21" s="149" t="str">
        <f>IF(OR($B21="",$B21=0),"",$I21*$C21*(1+'Property Summary'!$L$21)^('MF CapEx'!U$3-1))</f>
        <v/>
      </c>
      <c r="V21" s="149" t="str">
        <f>IF(OR($B21="",$B21=0),"",$I21*$C21*(1+'Property Summary'!$L$21)^('MF CapEx'!V$3-1))</f>
        <v/>
      </c>
      <c r="W21" s="149" t="str">
        <f>IF(OR($B21="",$B21=0),"",$I21*$C21*(1+'Property Summary'!$L$21)^('MF CapEx'!W$3-1))</f>
        <v/>
      </c>
      <c r="X21" s="149" t="str">
        <f>IF(OR($B21="",$B21=0),"",$I21*$C21*(1+'Property Summary'!$L$21)^('MF CapEx'!X$3-1))</f>
        <v/>
      </c>
      <c r="Y21" s="149" t="str">
        <f>IF(OR($B21="",$B21=0),"",$I21*$C21*(1+'Property Summary'!$L$21)^('MF CapEx'!Y$3-1))</f>
        <v/>
      </c>
      <c r="Z21" s="149" t="str">
        <f>IF(OR($B21="",$B21=0),"",$I21*$C21*(1+'Property Summary'!$L$21)^('MF CapEx'!Z$3-1))</f>
        <v/>
      </c>
      <c r="AA21" s="149" t="str">
        <f>IF(OR($B21="",$B21=0),"",$I21*$C21*(1+'Property Summary'!$L$21)^('MF CapEx'!AA$3-1))</f>
        <v/>
      </c>
      <c r="AB21" s="149" t="str">
        <f>IF(OR($B21="",$B21=0),"",$I21*$C21*(1+'Property Summary'!$L$21)^('MF CapEx'!AB$3-1))</f>
        <v/>
      </c>
      <c r="AC21" s="149" t="str">
        <f>IF(OR($B21="",$B21=0),"",$I21*$C21*(1+'Property Summary'!$L$21)^('MF CapEx'!AC$3-1))</f>
        <v/>
      </c>
      <c r="AD21" s="149" t="str">
        <f>IF(OR($B21="",$B21=0),"",$I21*$C21*(1+'Property Summary'!$L$21)^('MF CapEx'!AD$3-1))</f>
        <v/>
      </c>
      <c r="AE21" s="149" t="str">
        <f>IF(OR($B21="",$B21=0),"",$I21*$C21*(1+'Property Summary'!$L$21)^('MF CapEx'!AE$3-1))</f>
        <v/>
      </c>
      <c r="AF21" s="149" t="str">
        <f>IF(OR($B21="",$B21=0),"",$I21*$C21*(1+'Property Summary'!$L$21)^('MF CapEx'!AF$3-1))</f>
        <v/>
      </c>
      <c r="AG21" s="149" t="str">
        <f>IF(OR($B21="",$B21=0),"",$I21*$C21*(1+'Property Summary'!$L$21)^('MF CapEx'!AG$3-1))</f>
        <v/>
      </c>
      <c r="AH21" s="149" t="str">
        <f>IF(OR($B21="",$B21=0),"",$I21*$C21*(1+'Property Summary'!$L$21)^('MF CapEx'!AH$3-1))</f>
        <v/>
      </c>
      <c r="AI21" s="149" t="str">
        <f>IF(OR($B21="",$B21=0),"",$I21*$C21*(1+'Property Summary'!$L$21)^('MF CapEx'!AI$3-1))</f>
        <v/>
      </c>
      <c r="AJ21" s="149" t="str">
        <f>IF(OR($B21="",$B21=0),"",$I21*$C21*(1+'Property Summary'!$L$21)^('MF CapEx'!AJ$3-1))</f>
        <v/>
      </c>
      <c r="AK21" s="149" t="str">
        <f>IF(OR($B21="",$B21=0),"",$I21*$C21*(1+'Property Summary'!$L$21)^('MF CapEx'!AK$3-1))</f>
        <v/>
      </c>
      <c r="AL21" s="149" t="str">
        <f>IF(OR($B21="",$B21=0),"",$I21*$C21*(1+'Property Summary'!$L$21)^('MF CapEx'!AL$3-1))</f>
        <v/>
      </c>
      <c r="AM21" s="149" t="str">
        <f>IF(OR($B21="",$B21=0),"",$I21*$C21*(1+'Property Summary'!$L$21)^('MF CapEx'!AM$3-1))</f>
        <v/>
      </c>
      <c r="AN21" s="149" t="str">
        <f>IF(OR($B21="",$B21=0),"",$I21*$C21*(1+'Property Summary'!$L$21)^('MF CapEx'!AN$3-1))</f>
        <v/>
      </c>
      <c r="AO21" s="149" t="str">
        <f>IF(OR($B21="",$B21=0),"",$I21*$C21*(1+'Property Summary'!$L$21)^('MF CapEx'!AO$3-1))</f>
        <v/>
      </c>
      <c r="AP21" s="149" t="str">
        <f>IF(OR($B21="",$B21=0),"",$I21*$C21*(1+'Property Summary'!$L$21)^('MF CapEx'!AP$3-1))</f>
        <v/>
      </c>
      <c r="AQ21" s="149" t="str">
        <f>IF(OR($B21="",$B21=0),"",$I21*$C21*(1+'Property Summary'!$L$21)^('MF CapEx'!AQ$3-1))</f>
        <v/>
      </c>
      <c r="AR21" s="149" t="str">
        <f>IF(OR($B21="",$B21=0),"",$I21*$C21*(1+'Property Summary'!$L$21)^('MF CapEx'!AR$3-1))</f>
        <v/>
      </c>
      <c r="AS21" s="149" t="str">
        <f>IF(OR($B21="",$B21=0),"",$I21*$C21*(1+'Property Summary'!$L$21)^('MF CapEx'!AS$3-1))</f>
        <v/>
      </c>
      <c r="AT21" s="149" t="str">
        <f>IF(OR($B21="",$B21=0),"",$I21*$C21*(1+'Property Summary'!$L$21)^('MF CapEx'!AT$3-1))</f>
        <v/>
      </c>
      <c r="AU21" s="149" t="str">
        <f>IF(OR($B21="",$B21=0),"",$I21*$C21*(1+'Property Summary'!$L$21)^('MF CapEx'!AU$3-1))</f>
        <v/>
      </c>
      <c r="AV21" s="149" t="str">
        <f>IF(OR($B21="",$B21=0),"",$I21*$C21*(1+'Property Summary'!$L$21)^('MF CapEx'!AV$3-1))</f>
        <v/>
      </c>
      <c r="AW21" s="149" t="str">
        <f>IF(OR($B21="",$B21=0),"",$I21*$C21*(1+'Property Summary'!$L$21)^('MF CapEx'!AW$3-1))</f>
        <v/>
      </c>
      <c r="AX21" s="149" t="str">
        <f>IF(OR($B21="",$B21=0),"",$I21*$C21*(1+'Property Summary'!$L$21)^('MF CapEx'!AX$3-1))</f>
        <v/>
      </c>
      <c r="AY21" s="149" t="str">
        <f>IF(OR($B21="",$B21=0),"",$I21*$C21*(1+'Property Summary'!$L$21)^('MF CapEx'!AY$3-1))</f>
        <v/>
      </c>
      <c r="AZ21" s="149" t="str">
        <f>IF(OR($B21="",$B21=0),"",$I21*$C21*(1+'Property Summary'!$L$21)^('MF CapEx'!AZ$3-1))</f>
        <v/>
      </c>
      <c r="BA21" s="149" t="str">
        <f>IF(OR($B21="",$B21=0),"",$I21*$C21*(1+'Property Summary'!$L$21)^('MF CapEx'!BA$3-1))</f>
        <v/>
      </c>
      <c r="BB21" s="149" t="str">
        <f>IF(OR($B21="",$B21=0),"",$I21*$C21*(1+'Property Summary'!$L$21)^('MF CapEx'!BB$3-1))</f>
        <v/>
      </c>
      <c r="BC21" s="149" t="str">
        <f>IF(OR($B21="",$B21=0),"",$I21*$C21*(1+'Property Summary'!$L$21)^('MF CapEx'!BC$3-1))</f>
        <v/>
      </c>
      <c r="BD21" s="149" t="str">
        <f>IF(OR($B21="",$B21=0),"",$I21*$C21*(1+'Property Summary'!$L$21)^('MF CapEx'!BD$3-1))</f>
        <v/>
      </c>
      <c r="BE21" s="149" t="str">
        <f>IF(OR($B21="",$B21=0),"",$I21*$C21*(1+'Property Summary'!$L$21)^('MF CapEx'!BE$3-1))</f>
        <v/>
      </c>
      <c r="BF21" s="149" t="str">
        <f>IF(OR($B21="",$B21=0),"",$I21*$C21*(1+'Property Summary'!$L$21)^('MF CapEx'!BF$3-1))</f>
        <v/>
      </c>
      <c r="BG21" s="149" t="str">
        <f>IF(OR($B21="",$B21=0),"",$I21*$C21*(1+'Property Summary'!$L$21)^('MF CapEx'!BG$3-1))</f>
        <v/>
      </c>
      <c r="BH21" s="149" t="str">
        <f>IF(OR($B21="",$B21=0),"",$I21*$C21*(1+'Property Summary'!$L$21)^('MF CapEx'!BH$3-1))</f>
        <v/>
      </c>
      <c r="BI21" s="149" t="str">
        <f>IF(OR($B21="",$B21=0),"",$I21*$C21*(1+'Property Summary'!$L$21)^('MF CapEx'!BI$3-1))</f>
        <v/>
      </c>
      <c r="BJ21" s="149" t="str">
        <f>IF(OR($B21="",$B21=0),"",$I21*$C21*(1+'Property Summary'!$L$21)^('MF CapEx'!BJ$3-1))</f>
        <v/>
      </c>
      <c r="BK21" s="149" t="str">
        <f>IF(OR($B21="",$B21=0),"",$I21*$C21*(1+'Property Summary'!$L$21)^('MF CapEx'!BK$3-1))</f>
        <v/>
      </c>
      <c r="BL21" s="149" t="str">
        <f>IF(OR($B21="",$B21=0),"",$I21*$C21*(1+'Property Summary'!$L$21)^('MF CapEx'!BL$3-1))</f>
        <v/>
      </c>
      <c r="BM21" s="149" t="str">
        <f>IF(OR($B21="",$B21=0),"",$I21*$C21*(1+'Property Summary'!$L$21)^('MF CapEx'!BM$3-1))</f>
        <v/>
      </c>
      <c r="BN21" s="149" t="str">
        <f>IF(OR($B21="",$B21=0),"",$I21*$C21*(1+'Property Summary'!$L$21)^('MF CapEx'!BN$3-1))</f>
        <v/>
      </c>
      <c r="BO21" s="149" t="str">
        <f>IF(OR($B21="",$B21=0),"",$I21*$C21*(1+'Property Summary'!$L$21)^('MF CapEx'!BO$3-1))</f>
        <v/>
      </c>
      <c r="BP21" s="149" t="str">
        <f>IF(OR($B21="",$B21=0),"",$I21*$C21*(1+'Property Summary'!$L$21)^('MF CapEx'!BP$3-1))</f>
        <v/>
      </c>
      <c r="BQ21" s="149" t="str">
        <f>IF(OR($B21="",$B21=0),"",$I21*$C21*(1+'Property Summary'!$L$21)^('MF CapEx'!BQ$3-1))</f>
        <v/>
      </c>
      <c r="BR21" s="149" t="str">
        <f>IF(OR($B21="",$B21=0),"",$I21*$C21*(1+'Property Summary'!$L$21)^('MF CapEx'!BR$3-1))</f>
        <v/>
      </c>
      <c r="BS21" s="149" t="str">
        <f>IF(OR($B21="",$B21=0),"",$I21*$C21*(1+'Property Summary'!$L$21)^('MF CapEx'!BS$3-1))</f>
        <v/>
      </c>
      <c r="BT21" s="149" t="str">
        <f>IF(OR($B21="",$B21=0),"",$I21*$C21*(1+'Property Summary'!$L$21)^('MF CapEx'!BT$3-1))</f>
        <v/>
      </c>
      <c r="BU21" s="149" t="str">
        <f>IF(OR($B21="",$B21=0),"",$I21*$C21*(1+'Property Summary'!$L$21)^('MF CapEx'!BU$3-1))</f>
        <v/>
      </c>
      <c r="BV21" s="149" t="str">
        <f>IF(OR($B21="",$B21=0),"",$I21*$C21*(1+'Property Summary'!$L$21)^('MF CapEx'!BV$3-1))</f>
        <v/>
      </c>
      <c r="BW21" s="149" t="str">
        <f>IF(OR($B21="",$B21=0),"",$I21*$C21*(1+'Property Summary'!$L$21)^('MF CapEx'!BW$3-1))</f>
        <v/>
      </c>
      <c r="BX21" s="149" t="str">
        <f>IF(OR($B21="",$B21=0),"",$I21*$C21*(1+'Property Summary'!$L$21)^('MF CapEx'!BX$3-1))</f>
        <v/>
      </c>
      <c r="BY21" s="149" t="str">
        <f>IF(OR($B21="",$B21=0),"",$I21*$C21*(1+'Property Summary'!$L$21)^('MF CapEx'!BY$3-1))</f>
        <v/>
      </c>
      <c r="BZ21" s="149" t="str">
        <f>IF(OR($B21="",$B21=0),"",$I21*$C21*(1+'Property Summary'!$L$21)^('MF CapEx'!BZ$3-1))</f>
        <v/>
      </c>
      <c r="CA21" s="149" t="str">
        <f>IF(OR($B21="",$B21=0),"",$I21*$C21*(1+'Property Summary'!$L$21)^('MF CapEx'!CA$3-1))</f>
        <v/>
      </c>
      <c r="CB21" s="149" t="str">
        <f>IF(OR($B21="",$B21=0),"",$I21*$C21*(1+'Property Summary'!$L$21)^('MF CapEx'!CB$3-1))</f>
        <v/>
      </c>
      <c r="CC21" s="149" t="str">
        <f>IF(OR($B21="",$B21=0),"",$I21*$C21*(1+'Property Summary'!$L$21)^('MF CapEx'!CC$3-1))</f>
        <v/>
      </c>
      <c r="CD21" s="149" t="str">
        <f>IF(OR($B21="",$B21=0),"",$I21*$C21*(1+'Property Summary'!$L$21)^('MF CapEx'!CD$3-1))</f>
        <v/>
      </c>
      <c r="CE21" s="149" t="str">
        <f>IF(OR($B21="",$B21=0),"",$I21*$C21*(1+'Property Summary'!$L$21)^('MF CapEx'!CE$3-1))</f>
        <v/>
      </c>
      <c r="CF21" s="149" t="str">
        <f>IF(OR($B21="",$B21=0),"",$I21*$C21*(1+'Property Summary'!$L$21)^('MF CapEx'!CF$3-1))</f>
        <v/>
      </c>
      <c r="CG21" s="149" t="str">
        <f>IF(OR($B21="",$B21=0),"",$I21*$C21*(1+'Property Summary'!$L$21)^('MF CapEx'!CG$3-1))</f>
        <v/>
      </c>
      <c r="CH21" s="149" t="str">
        <f>IF(OR($B21="",$B21=0),"",$I21*$C21*(1+'Property Summary'!$L$21)^('MF CapEx'!CH$3-1))</f>
        <v/>
      </c>
      <c r="CI21" s="149" t="str">
        <f>IF(OR($B21="",$B21=0),"",$I21*$C21*(1+'Property Summary'!$L$21)^('MF CapEx'!CI$3-1))</f>
        <v/>
      </c>
      <c r="CJ21" s="149" t="str">
        <f>IF(OR($B21="",$B21=0),"",$I21*$C21*(1+'Property Summary'!$L$21)^('MF CapEx'!CJ$3-1))</f>
        <v/>
      </c>
      <c r="CK21" s="149" t="str">
        <f>IF(OR($B21="",$B21=0),"",$I21*$C21*(1+'Property Summary'!$L$21)^('MF CapEx'!CK$3-1))</f>
        <v/>
      </c>
      <c r="CL21" s="149" t="str">
        <f>IF(OR($B21="",$B21=0),"",$I21*$C21*(1+'Property Summary'!$L$21)^('MF CapEx'!CL$3-1))</f>
        <v/>
      </c>
      <c r="CM21" s="149" t="str">
        <f>IF(OR($B21="",$B21=0),"",$I21*$C21*(1+'Property Summary'!$L$21)^('MF CapEx'!CM$3-1))</f>
        <v/>
      </c>
      <c r="CN21" s="149" t="str">
        <f>IF(OR($B21="",$B21=0),"",$I21*$C21*(1+'Property Summary'!$L$21)^('MF CapEx'!CN$3-1))</f>
        <v/>
      </c>
      <c r="CO21" s="149" t="str">
        <f>IF(OR($B21="",$B21=0),"",$I21*$C21*(1+'Property Summary'!$L$21)^('MF CapEx'!CO$3-1))</f>
        <v/>
      </c>
      <c r="CP21" s="149" t="str">
        <f>IF(OR($B21="",$B21=0),"",$I21*$C21*(1+'Property Summary'!$L$21)^('MF CapEx'!CP$3-1))</f>
        <v/>
      </c>
      <c r="CQ21" s="149" t="str">
        <f>IF(OR($B21="",$B21=0),"",$I21*$C21*(1+'Property Summary'!$L$21)^('MF CapEx'!CQ$3-1))</f>
        <v/>
      </c>
      <c r="CR21" s="149" t="str">
        <f>IF(OR($B21="",$B21=0),"",$I21*$C21*(1+'Property Summary'!$L$21)^('MF CapEx'!CR$3-1))</f>
        <v/>
      </c>
      <c r="CS21" s="149" t="str">
        <f>IF(OR($B21="",$B21=0),"",$I21*$C21*(1+'Property Summary'!$L$21)^('MF CapEx'!CS$3-1))</f>
        <v/>
      </c>
      <c r="CT21" s="149" t="str">
        <f>IF(OR($B21="",$B21=0),"",$I21*$C21*(1+'Property Summary'!$L$21)^('MF CapEx'!CT$3-1))</f>
        <v/>
      </c>
      <c r="CU21" s="149" t="str">
        <f>IF(OR($B21="",$B21=0),"",$I21*$C21*(1+'Property Summary'!$L$21)^('MF CapEx'!CU$3-1))</f>
        <v/>
      </c>
      <c r="CV21" s="149" t="str">
        <f>IF(OR($B21="",$B21=0),"",$I21*$C21*(1+'Property Summary'!$L$21)^('MF CapEx'!CV$3-1))</f>
        <v/>
      </c>
      <c r="CW21" s="149" t="str">
        <f>IF(OR($B21="",$B21=0),"",$I21*$C21*(1+'Property Summary'!$L$21)^('MF CapEx'!CW$3-1))</f>
        <v/>
      </c>
      <c r="CX21" s="149" t="str">
        <f>IF(OR($B21="",$B21=0),"",$I21*$C21*(1+'Property Summary'!$L$21)^('MF CapEx'!CX$3-1))</f>
        <v/>
      </c>
      <c r="CY21" s="149" t="str">
        <f>IF(OR($B21="",$B21=0),"",$I21*$C21*(1+'Property Summary'!$L$21)^('MF CapEx'!CY$3-1))</f>
        <v/>
      </c>
      <c r="CZ21" s="149" t="str">
        <f>IF(OR($B21="",$B21=0),"",$I21*$C21*(1+'Property Summary'!$L$21)^('MF CapEx'!CZ$3-1))</f>
        <v/>
      </c>
      <c r="DA21" s="149" t="str">
        <f>IF(OR($B21="",$B21=0),"",$I21*$C21*(1+'Property Summary'!$L$21)^('MF CapEx'!DA$3-1))</f>
        <v/>
      </c>
      <c r="DB21" s="149" t="str">
        <f>IF(OR($B21="",$B21=0),"",$I21*$C21*(1+'Property Summary'!$L$21)^('MF CapEx'!DB$3-1))</f>
        <v/>
      </c>
      <c r="DC21" s="149" t="str">
        <f>IF(OR($B21="",$B21=0),"",$I21*$C21*(1+'Property Summary'!$L$21)^('MF CapEx'!DC$3-1))</f>
        <v/>
      </c>
      <c r="DD21" s="149" t="str">
        <f>IF(OR($B21="",$B21=0),"",$I21*$C21*(1+'Property Summary'!$L$21)^('MF CapEx'!DD$3-1))</f>
        <v/>
      </c>
      <c r="DE21" s="149" t="str">
        <f>IF(OR($B21="",$B21=0),"",$I21*$C21*(1+'Property Summary'!$L$21)^('MF CapEx'!DE$3-1))</f>
        <v/>
      </c>
      <c r="DF21" s="149" t="str">
        <f>IF(OR($B21="",$B21=0),"",$I21*$C21*(1+'Property Summary'!$L$21)^('MF CapEx'!DF$3-1))</f>
        <v/>
      </c>
      <c r="DG21" s="149" t="str">
        <f>IF(OR($B21="",$B21=0),"",$I21*$C21*(1+'Property Summary'!$L$21)^('MF CapEx'!DG$3-1))</f>
        <v/>
      </c>
      <c r="DH21" s="149" t="str">
        <f>IF(OR($B21="",$B21=0),"",$I21*$C21*(1+'Property Summary'!$L$21)^('MF CapEx'!DH$3-1))</f>
        <v/>
      </c>
      <c r="DI21" s="149" t="str">
        <f>IF(OR($B21="",$B21=0),"",$I21*$C21*(1+'Property Summary'!$L$21)^('MF CapEx'!DI$3-1))</f>
        <v/>
      </c>
      <c r="DJ21" s="149" t="str">
        <f>IF(OR($B21="",$B21=0),"",$I21*$C21*(1+'Property Summary'!$L$21)^('MF CapEx'!DJ$3-1))</f>
        <v/>
      </c>
      <c r="DK21" s="149" t="str">
        <f>IF(OR($B21="",$B21=0),"",$I21*$C21*(1+'Property Summary'!$L$21)^('MF CapEx'!DK$3-1))</f>
        <v/>
      </c>
      <c r="DL21" s="149" t="str">
        <f>IF(OR($B21="",$B21=0),"",$I21*$C21*(1+'Property Summary'!$L$21)^('MF CapEx'!DL$3-1))</f>
        <v/>
      </c>
      <c r="DM21" s="149" t="str">
        <f>IF(OR($B21="",$B21=0),"",$I21*$C21*(1+'Property Summary'!$L$21)^('MF CapEx'!DM$3-1))</f>
        <v/>
      </c>
      <c r="DN21" s="149" t="str">
        <f>IF(OR($B21="",$B21=0),"",$I21*$C21*(1+'Property Summary'!$L$21)^('MF CapEx'!DN$3-1))</f>
        <v/>
      </c>
      <c r="DO21" s="149" t="str">
        <f>IF(OR($B21="",$B21=0),"",$I21*$C21*(1+'Property Summary'!$L$21)^('MF CapEx'!DO$3-1))</f>
        <v/>
      </c>
      <c r="DP21" s="149" t="str">
        <f>IF(OR($B21="",$B21=0),"",$I21*$C21*(1+'Property Summary'!$L$21)^('MF CapEx'!DP$3-1))</f>
        <v/>
      </c>
      <c r="DQ21" s="149" t="str">
        <f>IF(OR($B21="",$B21=0),"",$I21*$C21*(1+'Property Summary'!$L$21)^('MF CapEx'!DQ$3-1))</f>
        <v/>
      </c>
      <c r="DR21" s="149" t="str">
        <f>IF(OR($B21="",$B21=0),"",$I21*$C21*(1+'Property Summary'!$L$21)^('MF CapEx'!DR$3-1))</f>
        <v/>
      </c>
      <c r="DS21" s="149" t="str">
        <f>IF(OR($B21="",$B21=0),"",$I21*$C21*(1+'Property Summary'!$L$21)^('MF CapEx'!DS$3-1))</f>
        <v/>
      </c>
      <c r="DT21" s="149" t="str">
        <f>IF(OR($B21="",$B21=0),"",$I21*$C21*(1+'Property Summary'!$L$21)^('MF CapEx'!DT$3-1))</f>
        <v/>
      </c>
      <c r="DU21" s="149" t="str">
        <f>IF(OR($B21="",$B21=0),"",$I21*$C21*(1+'Property Summary'!$L$21)^('MF CapEx'!DU$3-1))</f>
        <v/>
      </c>
      <c r="DV21" s="149" t="str">
        <f>IF(OR($B21="",$B21=0),"",$I21*$C21*(1+'Property Summary'!$L$21)^('MF CapEx'!DV$3-1))</f>
        <v/>
      </c>
      <c r="DW21" s="149" t="str">
        <f>IF(OR($B21="",$B21=0),"",$I21*$C21*(1+'Property Summary'!$L$21)^('MF CapEx'!DW$3-1))</f>
        <v/>
      </c>
      <c r="DX21" s="149" t="str">
        <f>IF(OR($B21="",$B21=0),"",$I21*$C21*(1+'Property Summary'!$L$21)^('MF CapEx'!DX$3-1))</f>
        <v/>
      </c>
      <c r="DY21" s="149" t="str">
        <f>IF(OR($B21="",$B21=0),"",$I21*$C21*(1+'Property Summary'!$L$21)^('MF CapEx'!DY$3-1))</f>
        <v/>
      </c>
      <c r="DZ21" s="149" t="str">
        <f>IF(OR($B21="",$B21=0),"",$I21*$C21*(1+'Property Summary'!$L$21)^('MF CapEx'!DZ$3-1))</f>
        <v/>
      </c>
      <c r="EA21" s="149" t="str">
        <f>IF(OR($B21="",$B21=0),"",$I21*$C21*(1+'Property Summary'!$L$21)^('MF CapEx'!EA$3-1))</f>
        <v/>
      </c>
      <c r="EB21" s="149" t="str">
        <f>IF(OR($B21="",$B21=0),"",$I21*$C21*(1+'Property Summary'!$L$21)^('MF CapEx'!EB$3-1))</f>
        <v/>
      </c>
      <c r="EC21" s="149" t="str">
        <f>IF(OR($B21="",$B21=0),"",$I21*$C21*(1+'Property Summary'!$L$21)^('MF CapEx'!EC$3-1))</f>
        <v/>
      </c>
      <c r="ED21" s="149" t="str">
        <f>IF(OR($B21="",$B21=0),"",$I21*$C21*(1+'Property Summary'!$L$21)^('MF CapEx'!ED$3-1))</f>
        <v/>
      </c>
      <c r="EE21" s="149" t="str">
        <f>IF(OR($B21="",$B21=0),"",$I21*$C21*(1+'Property Summary'!$L$21)^('MF CapEx'!EE$3-1))</f>
        <v/>
      </c>
      <c r="EF21" s="149" t="str">
        <f>IF(OR($B21="",$B21=0),"",$I21*$C21*(1+'Property Summary'!$L$21)^('MF CapEx'!EF$3-1))</f>
        <v/>
      </c>
      <c r="EG21" s="149" t="str">
        <f>IF(OR($B21="",$B21=0),"",$I21*$C21*(1+'Property Summary'!$L$21)^('MF CapEx'!EG$3-1))</f>
        <v/>
      </c>
      <c r="EH21" s="149" t="str">
        <f>IF(OR($B21="",$B21=0),"",$I21*$C21*(1+'Property Summary'!$L$21)^('MF CapEx'!EH$3-1))</f>
        <v/>
      </c>
      <c r="EI21" s="149" t="str">
        <f>IF(OR($B21="",$B21=0),"",$I21*$C21*(1+'Property Summary'!$L$21)^('MF CapEx'!EI$3-1))</f>
        <v/>
      </c>
      <c r="EJ21" s="149" t="str">
        <f>IF(OR($B21="",$B21=0),"",$I21*$C21*(1+'Property Summary'!$L$21)^('MF CapEx'!EJ$3-1))</f>
        <v/>
      </c>
      <c r="EK21" s="149" t="str">
        <f>IF(OR($B21="",$B21=0),"",$I21*$C21*(1+'Property Summary'!$L$21)^('MF CapEx'!EK$3-1))</f>
        <v/>
      </c>
      <c r="EL21" s="149" t="str">
        <f>IF(OR($B21="",$B21=0),"",$I21*$C21*(1+'Property Summary'!$L$21)^('MF CapEx'!EL$3-1))</f>
        <v/>
      </c>
      <c r="EM21" s="149" t="str">
        <f>IF(OR($B21="",$B21=0),"",$I21*$C21*(1+'Property Summary'!$L$21)^('MF CapEx'!EM$3-1))</f>
        <v/>
      </c>
      <c r="EN21" s="149" t="str">
        <f>IF(OR($B21="",$B21=0),"",$I21*$C21*(1+'Property Summary'!$L$21)^('MF CapEx'!EN$3-1))</f>
        <v/>
      </c>
      <c r="EO21" s="149" t="str">
        <f>IF(OR($B21="",$B21=0),"",$I21*$C21*(1+'Property Summary'!$L$21)^('MF CapEx'!EO$3-1))</f>
        <v/>
      </c>
      <c r="EP21" s="149" t="str">
        <f>IF(OR($B21="",$B21=0),"",$I21*$C21*(1+'Property Summary'!$L$21)^('MF CapEx'!EP$3-1))</f>
        <v/>
      </c>
      <c r="EQ21" s="149" t="str">
        <f>IF(OR($B21="",$B21=0),"",$I21*$C21*(1+'Property Summary'!$L$21)^('MF CapEx'!EQ$3-1))</f>
        <v/>
      </c>
      <c r="ER21" s="149" t="str">
        <f>IF(OR($B21="",$B21=0),"",$I21*$C21*(1+'Property Summary'!$L$21)^('MF CapEx'!ER$3-1))</f>
        <v/>
      </c>
      <c r="ES21" s="149" t="str">
        <f>IF(OR($B21="",$B21=0),"",$I21*$C21*(1+'Property Summary'!$L$21)^('MF CapEx'!ES$3-1))</f>
        <v/>
      </c>
      <c r="ET21" s="149" t="str">
        <f>IF(OR($B21="",$B21=0),"",$I21*$C21*(1+'Property Summary'!$L$21)^('MF CapEx'!ET$3-1))</f>
        <v/>
      </c>
      <c r="EU21" s="149" t="str">
        <f>IF(OR($B21="",$B21=0),"",$I21*$C21*(1+'Property Summary'!$L$21)^('MF CapEx'!EU$3-1))</f>
        <v/>
      </c>
      <c r="EV21" s="149" t="str">
        <f>IF(OR($B21="",$B21=0),"",$I21*$C21*(1+'Property Summary'!$L$21)^('MF CapEx'!EV$3-1))</f>
        <v/>
      </c>
      <c r="EW21" s="149" t="str">
        <f>IF(OR($B21="",$B21=0),"",$I21*$C21*(1+'Property Summary'!$L$21)^('MF CapEx'!EW$3-1))</f>
        <v/>
      </c>
      <c r="EX21" s="149" t="str">
        <f>IF(OR($B21="",$B21=0),"",$I21*$C21*(1+'Property Summary'!$L$21)^('MF CapEx'!EX$3-1))</f>
        <v/>
      </c>
      <c r="EY21" s="149" t="str">
        <f>IF(OR($B21="",$B21=0),"",$I21*$C21*(1+'Property Summary'!$L$21)^('MF CapEx'!EY$3-1))</f>
        <v/>
      </c>
      <c r="EZ21" s="149" t="str">
        <f>IF(OR($B21="",$B21=0),"",$I21*$C21*(1+'Property Summary'!$L$21)^('MF CapEx'!EZ$3-1))</f>
        <v/>
      </c>
      <c r="FA21" s="149" t="str">
        <f>IF(OR($B21="",$B21=0),"",$I21*$C21*(1+'Property Summary'!$L$21)^('MF CapEx'!FA$3-1))</f>
        <v/>
      </c>
      <c r="FB21" s="149" t="str">
        <f>IF(OR($B21="",$B21=0),"",$I21*$C21*(1+'Property Summary'!$L$21)^('MF CapEx'!FB$3-1))</f>
        <v/>
      </c>
      <c r="FC21" s="149" t="str">
        <f>IF(OR($B21="",$B21=0),"",$I21*$C21*(1+'Property Summary'!$L$21)^('MF CapEx'!FC$3-1))</f>
        <v/>
      </c>
      <c r="FD21" s="149" t="str">
        <f>IF(OR($B21="",$B21=0),"",$I21*$C21*(1+'Property Summary'!$L$21)^('MF CapEx'!FD$3-1))</f>
        <v/>
      </c>
      <c r="FE21" s="149" t="str">
        <f>IF(OR($B21="",$B21=0),"",$I21*$C21*(1+'Property Summary'!$L$21)^('MF CapEx'!FE$3-1))</f>
        <v/>
      </c>
      <c r="FF21" s="149" t="str">
        <f>IF(OR($B21="",$B21=0),"",$I21*$C21*(1+'Property Summary'!$L$21)^('MF CapEx'!FF$3-1))</f>
        <v/>
      </c>
      <c r="FG21" s="149" t="str">
        <f>IF(OR($B21="",$B21=0),"",$I21*$C21*(1+'Property Summary'!$L$21)^('MF CapEx'!FG$3-1))</f>
        <v/>
      </c>
      <c r="FH21" s="149" t="str">
        <f>IF(OR($B21="",$B21=0),"",$I21*$C21*(1+'Property Summary'!$L$21)^('MF CapEx'!FH$3-1))</f>
        <v/>
      </c>
      <c r="FI21" s="149" t="str">
        <f>IF(OR($B21="",$B21=0),"",$I21*$C21*(1+'Property Summary'!$L$21)^('MF CapEx'!FI$3-1))</f>
        <v/>
      </c>
      <c r="FJ21" s="149" t="str">
        <f>IF(OR($B21="",$B21=0),"",$I21*$C21*(1+'Property Summary'!$L$21)^('MF CapEx'!FJ$3-1))</f>
        <v/>
      </c>
      <c r="FK21" s="149" t="str">
        <f>IF(OR($B21="",$B21=0),"",$I21*$C21*(1+'Property Summary'!$L$21)^('MF CapEx'!FK$3-1))</f>
        <v/>
      </c>
      <c r="FL21" s="149" t="str">
        <f>IF(OR($B21="",$B21=0),"",$I21*$C21*(1+'Property Summary'!$L$21)^('MF CapEx'!FL$3-1))</f>
        <v/>
      </c>
      <c r="FM21" s="149" t="str">
        <f>IF(OR($B21="",$B21=0),"",$I21*$C21*(1+'Property Summary'!$L$21)^('MF CapEx'!FM$3-1))</f>
        <v/>
      </c>
      <c r="FN21" s="149" t="str">
        <f>IF(OR($B21="",$B21=0),"",$I21*$C21*(1+'Property Summary'!$L$21)^('MF CapEx'!FN$3-1))</f>
        <v/>
      </c>
      <c r="FO21" s="149" t="str">
        <f>IF(OR($B21="",$B21=0),"",$I21*$C21*(1+'Property Summary'!$L$21)^('MF CapEx'!FO$3-1))</f>
        <v/>
      </c>
      <c r="FP21" s="149" t="str">
        <f>IF(OR($B21="",$B21=0),"",$I21*$C21*(1+'Property Summary'!$L$21)^('MF CapEx'!FP$3-1))</f>
        <v/>
      </c>
      <c r="FQ21" s="149" t="str">
        <f>IF(OR($B21="",$B21=0),"",$I21*$C21*(1+'Property Summary'!$L$21)^('MF CapEx'!FQ$3-1))</f>
        <v/>
      </c>
      <c r="FR21" s="149" t="str">
        <f>IF(OR($B21="",$B21=0),"",$I21*$C21*(1+'Property Summary'!$L$21)^('MF CapEx'!FR$3-1))</f>
        <v/>
      </c>
      <c r="FS21" s="149" t="str">
        <f>IF(OR($B21="",$B21=0),"",$I21*$C21*(1+'Property Summary'!$L$21)^('MF CapEx'!FS$3-1))</f>
        <v/>
      </c>
      <c r="FT21" s="149" t="str">
        <f>IF(OR($B21="",$B21=0),"",$I21*$C21*(1+'Property Summary'!$L$21)^('MF CapEx'!FT$3-1))</f>
        <v/>
      </c>
      <c r="FU21" s="149" t="str">
        <f>IF(OR($B21="",$B21=0),"",$I21*$C21*(1+'Property Summary'!$L$21)^('MF CapEx'!FU$3-1))</f>
        <v/>
      </c>
      <c r="FV21" s="149" t="str">
        <f>IF(OR($B21="",$B21=0),"",$I21*$C21*(1+'Property Summary'!$L$21)^('MF CapEx'!FV$3-1))</f>
        <v/>
      </c>
      <c r="FW21" s="149" t="str">
        <f>IF(OR($B21="",$B21=0),"",$I21*$C21*(1+'Property Summary'!$L$21)^('MF CapEx'!FW$3-1))</f>
        <v/>
      </c>
      <c r="FX21" s="149" t="str">
        <f>IF(OR($B21="",$B21=0),"",$I21*$C21*(1+'Property Summary'!$L$21)^('MF CapEx'!FX$3-1))</f>
        <v/>
      </c>
      <c r="FY21" s="149" t="str">
        <f>IF(OR($B21="",$B21=0),"",$I21*$C21*(1+'Property Summary'!$L$21)^('MF CapEx'!FY$3-1))</f>
        <v/>
      </c>
      <c r="FZ21" s="149" t="str">
        <f>IF(OR($B21="",$B21=0),"",$I21*$C21*(1+'Property Summary'!$L$21)^('MF CapEx'!FZ$3-1))</f>
        <v/>
      </c>
      <c r="GA21" s="149" t="str">
        <f>IF(OR($B21="",$B21=0),"",$I21*$C21*(1+'Property Summary'!$L$21)^('MF CapEx'!GA$3-1))</f>
        <v/>
      </c>
      <c r="GB21" s="149" t="str">
        <f>IF(OR($B21="",$B21=0),"",$I21*$C21*(1+'Property Summary'!$L$21)^('MF CapEx'!GB$3-1))</f>
        <v/>
      </c>
      <c r="GC21" s="149" t="str">
        <f>IF(OR($B21="",$B21=0),"",$I21*$C21*(1+'Property Summary'!$L$21)^('MF CapEx'!GC$3-1))</f>
        <v/>
      </c>
      <c r="GD21" s="149" t="str">
        <f>IF(OR($B21="",$B21=0),"",$I21*$C21*(1+'Property Summary'!$L$21)^('MF CapEx'!GD$3-1))</f>
        <v/>
      </c>
      <c r="GE21" s="149" t="str">
        <f>IF(OR($B21="",$B21=0),"",$I21*$C21*(1+'Property Summary'!$L$21)^('MF CapEx'!GE$3-1))</f>
        <v/>
      </c>
      <c r="GF21" s="149" t="str">
        <f>IF(OR($B21="",$B21=0),"",$I21*$C21*(1+'Property Summary'!$L$21)^('MF CapEx'!GF$3-1))</f>
        <v/>
      </c>
      <c r="GG21" s="149" t="str">
        <f>IF(OR($B21="",$B21=0),"",$I21*$C21*(1+'Property Summary'!$L$21)^('MF CapEx'!GG$3-1))</f>
        <v/>
      </c>
      <c r="GH21" s="149" t="str">
        <f>IF(OR($B21="",$B21=0),"",$I21*$C21*(1+'Property Summary'!$L$21)^('MF CapEx'!GH$3-1))</f>
        <v/>
      </c>
      <c r="GI21" s="149" t="str">
        <f>IF(OR($B21="",$B21=0),"",$I21*$C21*(1+'Property Summary'!$L$21)^('MF CapEx'!GI$3-1))</f>
        <v/>
      </c>
      <c r="GJ21" s="149" t="str">
        <f>IF(OR($B21="",$B21=0),"",$I21*$C21*(1+'Property Summary'!$L$21)^('MF CapEx'!GJ$3-1))</f>
        <v/>
      </c>
      <c r="GK21" s="149" t="str">
        <f>IF(OR($B21="",$B21=0),"",$I21*$C21*(1+'Property Summary'!$L$21)^('MF CapEx'!GK$3-1))</f>
        <v/>
      </c>
      <c r="GL21" s="149" t="str">
        <f>IF(OR($B21="",$B21=0),"",$I21*$C21*(1+'Property Summary'!$L$21)^('MF CapEx'!GL$3-1))</f>
        <v/>
      </c>
      <c r="GM21" s="149" t="str">
        <f>IF(OR($B21="",$B21=0),"",$I21*$C21*(1+'Property Summary'!$L$21)^('MF CapEx'!GM$3-1))</f>
        <v/>
      </c>
      <c r="GN21" s="149" t="str">
        <f>IF(OR($B21="",$B21=0),"",$I21*$C21*(1+'Property Summary'!$L$21)^('MF CapEx'!GN$3-1))</f>
        <v/>
      </c>
      <c r="GO21" s="149" t="str">
        <f>IF(OR($B21="",$B21=0),"",$I21*$C21*(1+'Property Summary'!$L$21)^('MF CapEx'!GO$3-1))</f>
        <v/>
      </c>
      <c r="GP21" s="149" t="str">
        <f>IF(OR($B21="",$B21=0),"",$I21*$C21*(1+'Property Summary'!$L$21)^('MF CapEx'!GP$3-1))</f>
        <v/>
      </c>
    </row>
    <row r="22" spans="2:198" x14ac:dyDescent="0.3">
      <c r="B22" s="184">
        <f>'MF Rent Roll'!B21</f>
        <v>0</v>
      </c>
      <c r="C22" s="171">
        <f>'MF Rent Roll'!C21</f>
        <v>0</v>
      </c>
      <c r="D22" s="172">
        <f>'MF Rent Roll'!D21</f>
        <v>0</v>
      </c>
      <c r="E22" s="172">
        <f>'MF Rent Roll'!E21</f>
        <v>0</v>
      </c>
      <c r="F22" s="173">
        <f>'MF Rent Roll'!F21</f>
        <v>0</v>
      </c>
      <c r="G22" s="174">
        <f>'MF Rent Roll'!G21</f>
        <v>0</v>
      </c>
      <c r="H22" s="176">
        <f>'MF Rent Roll'!J21</f>
        <v>0</v>
      </c>
      <c r="I22" s="174">
        <f>'MF Rent Roll'!K21</f>
        <v>0</v>
      </c>
      <c r="J22" s="177">
        <f>'MF Rent Roll'!L21</f>
        <v>0</v>
      </c>
      <c r="K22" s="178">
        <f>'MF Rent Roll'!M21</f>
        <v>0</v>
      </c>
      <c r="L22" s="174">
        <f>'MF Rent Roll'!N21</f>
        <v>0</v>
      </c>
      <c r="M22" s="179">
        <f>'MF Rent Roll'!O21</f>
        <v>0</v>
      </c>
      <c r="N22" s="180" t="str">
        <f>'MF Rent Roll'!P21</f>
        <v/>
      </c>
      <c r="O22" s="181" t="str">
        <f>'MF Rent Roll'!Q21</f>
        <v/>
      </c>
      <c r="P22" s="104" t="str">
        <f>'MF Rent Roll'!R21</f>
        <v/>
      </c>
      <c r="S22" s="149" t="str">
        <f>IF(OR($B22="",$B22=0),"",$I22*$C22*(1+'Property Summary'!$L$21)^('MF CapEx'!S$3-1))</f>
        <v/>
      </c>
      <c r="T22" s="149" t="str">
        <f>IF(OR($B22="",$B22=0),"",$I22*$C22*(1+'Property Summary'!$L$21)^('MF CapEx'!T$3-1))</f>
        <v/>
      </c>
      <c r="U22" s="149" t="str">
        <f>IF(OR($B22="",$B22=0),"",$I22*$C22*(1+'Property Summary'!$L$21)^('MF CapEx'!U$3-1))</f>
        <v/>
      </c>
      <c r="V22" s="149" t="str">
        <f>IF(OR($B22="",$B22=0),"",$I22*$C22*(1+'Property Summary'!$L$21)^('MF CapEx'!V$3-1))</f>
        <v/>
      </c>
      <c r="W22" s="149" t="str">
        <f>IF(OR($B22="",$B22=0),"",$I22*$C22*(1+'Property Summary'!$L$21)^('MF CapEx'!W$3-1))</f>
        <v/>
      </c>
      <c r="X22" s="149" t="str">
        <f>IF(OR($B22="",$B22=0),"",$I22*$C22*(1+'Property Summary'!$L$21)^('MF CapEx'!X$3-1))</f>
        <v/>
      </c>
      <c r="Y22" s="149" t="str">
        <f>IF(OR($B22="",$B22=0),"",$I22*$C22*(1+'Property Summary'!$L$21)^('MF CapEx'!Y$3-1))</f>
        <v/>
      </c>
      <c r="Z22" s="149" t="str">
        <f>IF(OR($B22="",$B22=0),"",$I22*$C22*(1+'Property Summary'!$L$21)^('MF CapEx'!Z$3-1))</f>
        <v/>
      </c>
      <c r="AA22" s="149" t="str">
        <f>IF(OR($B22="",$B22=0),"",$I22*$C22*(1+'Property Summary'!$L$21)^('MF CapEx'!AA$3-1))</f>
        <v/>
      </c>
      <c r="AB22" s="149" t="str">
        <f>IF(OR($B22="",$B22=0),"",$I22*$C22*(1+'Property Summary'!$L$21)^('MF CapEx'!AB$3-1))</f>
        <v/>
      </c>
      <c r="AC22" s="149" t="str">
        <f>IF(OR($B22="",$B22=0),"",$I22*$C22*(1+'Property Summary'!$L$21)^('MF CapEx'!AC$3-1))</f>
        <v/>
      </c>
      <c r="AD22" s="149" t="str">
        <f>IF(OR($B22="",$B22=0),"",$I22*$C22*(1+'Property Summary'!$L$21)^('MF CapEx'!AD$3-1))</f>
        <v/>
      </c>
      <c r="AE22" s="149" t="str">
        <f>IF(OR($B22="",$B22=0),"",$I22*$C22*(1+'Property Summary'!$L$21)^('MF CapEx'!AE$3-1))</f>
        <v/>
      </c>
      <c r="AF22" s="149" t="str">
        <f>IF(OR($B22="",$B22=0),"",$I22*$C22*(1+'Property Summary'!$L$21)^('MF CapEx'!AF$3-1))</f>
        <v/>
      </c>
      <c r="AG22" s="149" t="str">
        <f>IF(OR($B22="",$B22=0),"",$I22*$C22*(1+'Property Summary'!$L$21)^('MF CapEx'!AG$3-1))</f>
        <v/>
      </c>
      <c r="AH22" s="149" t="str">
        <f>IF(OR($B22="",$B22=0),"",$I22*$C22*(1+'Property Summary'!$L$21)^('MF CapEx'!AH$3-1))</f>
        <v/>
      </c>
      <c r="AI22" s="149" t="str">
        <f>IF(OR($B22="",$B22=0),"",$I22*$C22*(1+'Property Summary'!$L$21)^('MF CapEx'!AI$3-1))</f>
        <v/>
      </c>
      <c r="AJ22" s="149" t="str">
        <f>IF(OR($B22="",$B22=0),"",$I22*$C22*(1+'Property Summary'!$L$21)^('MF CapEx'!AJ$3-1))</f>
        <v/>
      </c>
      <c r="AK22" s="149" t="str">
        <f>IF(OR($B22="",$B22=0),"",$I22*$C22*(1+'Property Summary'!$L$21)^('MF CapEx'!AK$3-1))</f>
        <v/>
      </c>
      <c r="AL22" s="149" t="str">
        <f>IF(OR($B22="",$B22=0),"",$I22*$C22*(1+'Property Summary'!$L$21)^('MF CapEx'!AL$3-1))</f>
        <v/>
      </c>
      <c r="AM22" s="149" t="str">
        <f>IF(OR($B22="",$B22=0),"",$I22*$C22*(1+'Property Summary'!$L$21)^('MF CapEx'!AM$3-1))</f>
        <v/>
      </c>
      <c r="AN22" s="149" t="str">
        <f>IF(OR($B22="",$B22=0),"",$I22*$C22*(1+'Property Summary'!$L$21)^('MF CapEx'!AN$3-1))</f>
        <v/>
      </c>
      <c r="AO22" s="149" t="str">
        <f>IF(OR($B22="",$B22=0),"",$I22*$C22*(1+'Property Summary'!$L$21)^('MF CapEx'!AO$3-1))</f>
        <v/>
      </c>
      <c r="AP22" s="149" t="str">
        <f>IF(OR($B22="",$B22=0),"",$I22*$C22*(1+'Property Summary'!$L$21)^('MF CapEx'!AP$3-1))</f>
        <v/>
      </c>
      <c r="AQ22" s="149" t="str">
        <f>IF(OR($B22="",$B22=0),"",$I22*$C22*(1+'Property Summary'!$L$21)^('MF CapEx'!AQ$3-1))</f>
        <v/>
      </c>
      <c r="AR22" s="149" t="str">
        <f>IF(OR($B22="",$B22=0),"",$I22*$C22*(1+'Property Summary'!$L$21)^('MF CapEx'!AR$3-1))</f>
        <v/>
      </c>
      <c r="AS22" s="149" t="str">
        <f>IF(OR($B22="",$B22=0),"",$I22*$C22*(1+'Property Summary'!$L$21)^('MF CapEx'!AS$3-1))</f>
        <v/>
      </c>
      <c r="AT22" s="149" t="str">
        <f>IF(OR($B22="",$B22=0),"",$I22*$C22*(1+'Property Summary'!$L$21)^('MF CapEx'!AT$3-1))</f>
        <v/>
      </c>
      <c r="AU22" s="149" t="str">
        <f>IF(OR($B22="",$B22=0),"",$I22*$C22*(1+'Property Summary'!$L$21)^('MF CapEx'!AU$3-1))</f>
        <v/>
      </c>
      <c r="AV22" s="149" t="str">
        <f>IF(OR($B22="",$B22=0),"",$I22*$C22*(1+'Property Summary'!$L$21)^('MF CapEx'!AV$3-1))</f>
        <v/>
      </c>
      <c r="AW22" s="149" t="str">
        <f>IF(OR($B22="",$B22=0),"",$I22*$C22*(1+'Property Summary'!$L$21)^('MF CapEx'!AW$3-1))</f>
        <v/>
      </c>
      <c r="AX22" s="149" t="str">
        <f>IF(OR($B22="",$B22=0),"",$I22*$C22*(1+'Property Summary'!$L$21)^('MF CapEx'!AX$3-1))</f>
        <v/>
      </c>
      <c r="AY22" s="149" t="str">
        <f>IF(OR($B22="",$B22=0),"",$I22*$C22*(1+'Property Summary'!$L$21)^('MF CapEx'!AY$3-1))</f>
        <v/>
      </c>
      <c r="AZ22" s="149" t="str">
        <f>IF(OR($B22="",$B22=0),"",$I22*$C22*(1+'Property Summary'!$L$21)^('MF CapEx'!AZ$3-1))</f>
        <v/>
      </c>
      <c r="BA22" s="149" t="str">
        <f>IF(OR($B22="",$B22=0),"",$I22*$C22*(1+'Property Summary'!$L$21)^('MF CapEx'!BA$3-1))</f>
        <v/>
      </c>
      <c r="BB22" s="149" t="str">
        <f>IF(OR($B22="",$B22=0),"",$I22*$C22*(1+'Property Summary'!$L$21)^('MF CapEx'!BB$3-1))</f>
        <v/>
      </c>
      <c r="BC22" s="149" t="str">
        <f>IF(OR($B22="",$B22=0),"",$I22*$C22*(1+'Property Summary'!$L$21)^('MF CapEx'!BC$3-1))</f>
        <v/>
      </c>
      <c r="BD22" s="149" t="str">
        <f>IF(OR($B22="",$B22=0),"",$I22*$C22*(1+'Property Summary'!$L$21)^('MF CapEx'!BD$3-1))</f>
        <v/>
      </c>
      <c r="BE22" s="149" t="str">
        <f>IF(OR($B22="",$B22=0),"",$I22*$C22*(1+'Property Summary'!$L$21)^('MF CapEx'!BE$3-1))</f>
        <v/>
      </c>
      <c r="BF22" s="149" t="str">
        <f>IF(OR($B22="",$B22=0),"",$I22*$C22*(1+'Property Summary'!$L$21)^('MF CapEx'!BF$3-1))</f>
        <v/>
      </c>
      <c r="BG22" s="149" t="str">
        <f>IF(OR($B22="",$B22=0),"",$I22*$C22*(1+'Property Summary'!$L$21)^('MF CapEx'!BG$3-1))</f>
        <v/>
      </c>
      <c r="BH22" s="149" t="str">
        <f>IF(OR($B22="",$B22=0),"",$I22*$C22*(1+'Property Summary'!$L$21)^('MF CapEx'!BH$3-1))</f>
        <v/>
      </c>
      <c r="BI22" s="149" t="str">
        <f>IF(OR($B22="",$B22=0),"",$I22*$C22*(1+'Property Summary'!$L$21)^('MF CapEx'!BI$3-1))</f>
        <v/>
      </c>
      <c r="BJ22" s="149" t="str">
        <f>IF(OR($B22="",$B22=0),"",$I22*$C22*(1+'Property Summary'!$L$21)^('MF CapEx'!BJ$3-1))</f>
        <v/>
      </c>
      <c r="BK22" s="149" t="str">
        <f>IF(OR($B22="",$B22=0),"",$I22*$C22*(1+'Property Summary'!$L$21)^('MF CapEx'!BK$3-1))</f>
        <v/>
      </c>
      <c r="BL22" s="149" t="str">
        <f>IF(OR($B22="",$B22=0),"",$I22*$C22*(1+'Property Summary'!$L$21)^('MF CapEx'!BL$3-1))</f>
        <v/>
      </c>
      <c r="BM22" s="149" t="str">
        <f>IF(OR($B22="",$B22=0),"",$I22*$C22*(1+'Property Summary'!$L$21)^('MF CapEx'!BM$3-1))</f>
        <v/>
      </c>
      <c r="BN22" s="149" t="str">
        <f>IF(OR($B22="",$B22=0),"",$I22*$C22*(1+'Property Summary'!$L$21)^('MF CapEx'!BN$3-1))</f>
        <v/>
      </c>
      <c r="BO22" s="149" t="str">
        <f>IF(OR($B22="",$B22=0),"",$I22*$C22*(1+'Property Summary'!$L$21)^('MF CapEx'!BO$3-1))</f>
        <v/>
      </c>
      <c r="BP22" s="149" t="str">
        <f>IF(OR($B22="",$B22=0),"",$I22*$C22*(1+'Property Summary'!$L$21)^('MF CapEx'!BP$3-1))</f>
        <v/>
      </c>
      <c r="BQ22" s="149" t="str">
        <f>IF(OR($B22="",$B22=0),"",$I22*$C22*(1+'Property Summary'!$L$21)^('MF CapEx'!BQ$3-1))</f>
        <v/>
      </c>
      <c r="BR22" s="149" t="str">
        <f>IF(OR($B22="",$B22=0),"",$I22*$C22*(1+'Property Summary'!$L$21)^('MF CapEx'!BR$3-1))</f>
        <v/>
      </c>
      <c r="BS22" s="149" t="str">
        <f>IF(OR($B22="",$B22=0),"",$I22*$C22*(1+'Property Summary'!$L$21)^('MF CapEx'!BS$3-1))</f>
        <v/>
      </c>
      <c r="BT22" s="149" t="str">
        <f>IF(OR($B22="",$B22=0),"",$I22*$C22*(1+'Property Summary'!$L$21)^('MF CapEx'!BT$3-1))</f>
        <v/>
      </c>
      <c r="BU22" s="149" t="str">
        <f>IF(OR($B22="",$B22=0),"",$I22*$C22*(1+'Property Summary'!$L$21)^('MF CapEx'!BU$3-1))</f>
        <v/>
      </c>
      <c r="BV22" s="149" t="str">
        <f>IF(OR($B22="",$B22=0),"",$I22*$C22*(1+'Property Summary'!$L$21)^('MF CapEx'!BV$3-1))</f>
        <v/>
      </c>
      <c r="BW22" s="149" t="str">
        <f>IF(OR($B22="",$B22=0),"",$I22*$C22*(1+'Property Summary'!$L$21)^('MF CapEx'!BW$3-1))</f>
        <v/>
      </c>
      <c r="BX22" s="149" t="str">
        <f>IF(OR($B22="",$B22=0),"",$I22*$C22*(1+'Property Summary'!$L$21)^('MF CapEx'!BX$3-1))</f>
        <v/>
      </c>
      <c r="BY22" s="149" t="str">
        <f>IF(OR($B22="",$B22=0),"",$I22*$C22*(1+'Property Summary'!$L$21)^('MF CapEx'!BY$3-1))</f>
        <v/>
      </c>
      <c r="BZ22" s="149" t="str">
        <f>IF(OR($B22="",$B22=0),"",$I22*$C22*(1+'Property Summary'!$L$21)^('MF CapEx'!BZ$3-1))</f>
        <v/>
      </c>
      <c r="CA22" s="149" t="str">
        <f>IF(OR($B22="",$B22=0),"",$I22*$C22*(1+'Property Summary'!$L$21)^('MF CapEx'!CA$3-1))</f>
        <v/>
      </c>
      <c r="CB22" s="149" t="str">
        <f>IF(OR($B22="",$B22=0),"",$I22*$C22*(1+'Property Summary'!$L$21)^('MF CapEx'!CB$3-1))</f>
        <v/>
      </c>
      <c r="CC22" s="149" t="str">
        <f>IF(OR($B22="",$B22=0),"",$I22*$C22*(1+'Property Summary'!$L$21)^('MF CapEx'!CC$3-1))</f>
        <v/>
      </c>
      <c r="CD22" s="149" t="str">
        <f>IF(OR($B22="",$B22=0),"",$I22*$C22*(1+'Property Summary'!$L$21)^('MF CapEx'!CD$3-1))</f>
        <v/>
      </c>
      <c r="CE22" s="149" t="str">
        <f>IF(OR($B22="",$B22=0),"",$I22*$C22*(1+'Property Summary'!$L$21)^('MF CapEx'!CE$3-1))</f>
        <v/>
      </c>
      <c r="CF22" s="149" t="str">
        <f>IF(OR($B22="",$B22=0),"",$I22*$C22*(1+'Property Summary'!$L$21)^('MF CapEx'!CF$3-1))</f>
        <v/>
      </c>
      <c r="CG22" s="149" t="str">
        <f>IF(OR($B22="",$B22=0),"",$I22*$C22*(1+'Property Summary'!$L$21)^('MF CapEx'!CG$3-1))</f>
        <v/>
      </c>
      <c r="CH22" s="149" t="str">
        <f>IF(OR($B22="",$B22=0),"",$I22*$C22*(1+'Property Summary'!$L$21)^('MF CapEx'!CH$3-1))</f>
        <v/>
      </c>
      <c r="CI22" s="149" t="str">
        <f>IF(OR($B22="",$B22=0),"",$I22*$C22*(1+'Property Summary'!$L$21)^('MF CapEx'!CI$3-1))</f>
        <v/>
      </c>
      <c r="CJ22" s="149" t="str">
        <f>IF(OR($B22="",$B22=0),"",$I22*$C22*(1+'Property Summary'!$L$21)^('MF CapEx'!CJ$3-1))</f>
        <v/>
      </c>
      <c r="CK22" s="149" t="str">
        <f>IF(OR($B22="",$B22=0),"",$I22*$C22*(1+'Property Summary'!$L$21)^('MF CapEx'!CK$3-1))</f>
        <v/>
      </c>
      <c r="CL22" s="149" t="str">
        <f>IF(OR($B22="",$B22=0),"",$I22*$C22*(1+'Property Summary'!$L$21)^('MF CapEx'!CL$3-1))</f>
        <v/>
      </c>
      <c r="CM22" s="149" t="str">
        <f>IF(OR($B22="",$B22=0),"",$I22*$C22*(1+'Property Summary'!$L$21)^('MF CapEx'!CM$3-1))</f>
        <v/>
      </c>
      <c r="CN22" s="149" t="str">
        <f>IF(OR($B22="",$B22=0),"",$I22*$C22*(1+'Property Summary'!$L$21)^('MF CapEx'!CN$3-1))</f>
        <v/>
      </c>
      <c r="CO22" s="149" t="str">
        <f>IF(OR($B22="",$B22=0),"",$I22*$C22*(1+'Property Summary'!$L$21)^('MF CapEx'!CO$3-1))</f>
        <v/>
      </c>
      <c r="CP22" s="149" t="str">
        <f>IF(OR($B22="",$B22=0),"",$I22*$C22*(1+'Property Summary'!$L$21)^('MF CapEx'!CP$3-1))</f>
        <v/>
      </c>
      <c r="CQ22" s="149" t="str">
        <f>IF(OR($B22="",$B22=0),"",$I22*$C22*(1+'Property Summary'!$L$21)^('MF CapEx'!CQ$3-1))</f>
        <v/>
      </c>
      <c r="CR22" s="149" t="str">
        <f>IF(OR($B22="",$B22=0),"",$I22*$C22*(1+'Property Summary'!$L$21)^('MF CapEx'!CR$3-1))</f>
        <v/>
      </c>
      <c r="CS22" s="149" t="str">
        <f>IF(OR($B22="",$B22=0),"",$I22*$C22*(1+'Property Summary'!$L$21)^('MF CapEx'!CS$3-1))</f>
        <v/>
      </c>
      <c r="CT22" s="149" t="str">
        <f>IF(OR($B22="",$B22=0),"",$I22*$C22*(1+'Property Summary'!$L$21)^('MF CapEx'!CT$3-1))</f>
        <v/>
      </c>
      <c r="CU22" s="149" t="str">
        <f>IF(OR($B22="",$B22=0),"",$I22*$C22*(1+'Property Summary'!$L$21)^('MF CapEx'!CU$3-1))</f>
        <v/>
      </c>
      <c r="CV22" s="149" t="str">
        <f>IF(OR($B22="",$B22=0),"",$I22*$C22*(1+'Property Summary'!$L$21)^('MF CapEx'!CV$3-1))</f>
        <v/>
      </c>
      <c r="CW22" s="149" t="str">
        <f>IF(OR($B22="",$B22=0),"",$I22*$C22*(1+'Property Summary'!$L$21)^('MF CapEx'!CW$3-1))</f>
        <v/>
      </c>
      <c r="CX22" s="149" t="str">
        <f>IF(OR($B22="",$B22=0),"",$I22*$C22*(1+'Property Summary'!$L$21)^('MF CapEx'!CX$3-1))</f>
        <v/>
      </c>
      <c r="CY22" s="149" t="str">
        <f>IF(OR($B22="",$B22=0),"",$I22*$C22*(1+'Property Summary'!$L$21)^('MF CapEx'!CY$3-1))</f>
        <v/>
      </c>
      <c r="CZ22" s="149" t="str">
        <f>IF(OR($B22="",$B22=0),"",$I22*$C22*(1+'Property Summary'!$L$21)^('MF CapEx'!CZ$3-1))</f>
        <v/>
      </c>
      <c r="DA22" s="149" t="str">
        <f>IF(OR($B22="",$B22=0),"",$I22*$C22*(1+'Property Summary'!$L$21)^('MF CapEx'!DA$3-1))</f>
        <v/>
      </c>
      <c r="DB22" s="149" t="str">
        <f>IF(OR($B22="",$B22=0),"",$I22*$C22*(1+'Property Summary'!$L$21)^('MF CapEx'!DB$3-1))</f>
        <v/>
      </c>
      <c r="DC22" s="149" t="str">
        <f>IF(OR($B22="",$B22=0),"",$I22*$C22*(1+'Property Summary'!$L$21)^('MF CapEx'!DC$3-1))</f>
        <v/>
      </c>
      <c r="DD22" s="149" t="str">
        <f>IF(OR($B22="",$B22=0),"",$I22*$C22*(1+'Property Summary'!$L$21)^('MF CapEx'!DD$3-1))</f>
        <v/>
      </c>
      <c r="DE22" s="149" t="str">
        <f>IF(OR($B22="",$B22=0),"",$I22*$C22*(1+'Property Summary'!$L$21)^('MF CapEx'!DE$3-1))</f>
        <v/>
      </c>
      <c r="DF22" s="149" t="str">
        <f>IF(OR($B22="",$B22=0),"",$I22*$C22*(1+'Property Summary'!$L$21)^('MF CapEx'!DF$3-1))</f>
        <v/>
      </c>
      <c r="DG22" s="149" t="str">
        <f>IF(OR($B22="",$B22=0),"",$I22*$C22*(1+'Property Summary'!$L$21)^('MF CapEx'!DG$3-1))</f>
        <v/>
      </c>
      <c r="DH22" s="149" t="str">
        <f>IF(OR($B22="",$B22=0),"",$I22*$C22*(1+'Property Summary'!$L$21)^('MF CapEx'!DH$3-1))</f>
        <v/>
      </c>
      <c r="DI22" s="149" t="str">
        <f>IF(OR($B22="",$B22=0),"",$I22*$C22*(1+'Property Summary'!$L$21)^('MF CapEx'!DI$3-1))</f>
        <v/>
      </c>
      <c r="DJ22" s="149" t="str">
        <f>IF(OR($B22="",$B22=0),"",$I22*$C22*(1+'Property Summary'!$L$21)^('MF CapEx'!DJ$3-1))</f>
        <v/>
      </c>
      <c r="DK22" s="149" t="str">
        <f>IF(OR($B22="",$B22=0),"",$I22*$C22*(1+'Property Summary'!$L$21)^('MF CapEx'!DK$3-1))</f>
        <v/>
      </c>
      <c r="DL22" s="149" t="str">
        <f>IF(OR($B22="",$B22=0),"",$I22*$C22*(1+'Property Summary'!$L$21)^('MF CapEx'!DL$3-1))</f>
        <v/>
      </c>
      <c r="DM22" s="149" t="str">
        <f>IF(OR($B22="",$B22=0),"",$I22*$C22*(1+'Property Summary'!$L$21)^('MF CapEx'!DM$3-1))</f>
        <v/>
      </c>
      <c r="DN22" s="149" t="str">
        <f>IF(OR($B22="",$B22=0),"",$I22*$C22*(1+'Property Summary'!$L$21)^('MF CapEx'!DN$3-1))</f>
        <v/>
      </c>
      <c r="DO22" s="149" t="str">
        <f>IF(OR($B22="",$B22=0),"",$I22*$C22*(1+'Property Summary'!$L$21)^('MF CapEx'!DO$3-1))</f>
        <v/>
      </c>
      <c r="DP22" s="149" t="str">
        <f>IF(OR($B22="",$B22=0),"",$I22*$C22*(1+'Property Summary'!$L$21)^('MF CapEx'!DP$3-1))</f>
        <v/>
      </c>
      <c r="DQ22" s="149" t="str">
        <f>IF(OR($B22="",$B22=0),"",$I22*$C22*(1+'Property Summary'!$L$21)^('MF CapEx'!DQ$3-1))</f>
        <v/>
      </c>
      <c r="DR22" s="149" t="str">
        <f>IF(OR($B22="",$B22=0),"",$I22*$C22*(1+'Property Summary'!$L$21)^('MF CapEx'!DR$3-1))</f>
        <v/>
      </c>
      <c r="DS22" s="149" t="str">
        <f>IF(OR($B22="",$B22=0),"",$I22*$C22*(1+'Property Summary'!$L$21)^('MF CapEx'!DS$3-1))</f>
        <v/>
      </c>
      <c r="DT22" s="149" t="str">
        <f>IF(OR($B22="",$B22=0),"",$I22*$C22*(1+'Property Summary'!$L$21)^('MF CapEx'!DT$3-1))</f>
        <v/>
      </c>
      <c r="DU22" s="149" t="str">
        <f>IF(OR($B22="",$B22=0),"",$I22*$C22*(1+'Property Summary'!$L$21)^('MF CapEx'!DU$3-1))</f>
        <v/>
      </c>
      <c r="DV22" s="149" t="str">
        <f>IF(OR($B22="",$B22=0),"",$I22*$C22*(1+'Property Summary'!$L$21)^('MF CapEx'!DV$3-1))</f>
        <v/>
      </c>
      <c r="DW22" s="149" t="str">
        <f>IF(OR($B22="",$B22=0),"",$I22*$C22*(1+'Property Summary'!$L$21)^('MF CapEx'!DW$3-1))</f>
        <v/>
      </c>
      <c r="DX22" s="149" t="str">
        <f>IF(OR($B22="",$B22=0),"",$I22*$C22*(1+'Property Summary'!$L$21)^('MF CapEx'!DX$3-1))</f>
        <v/>
      </c>
      <c r="DY22" s="149" t="str">
        <f>IF(OR($B22="",$B22=0),"",$I22*$C22*(1+'Property Summary'!$L$21)^('MF CapEx'!DY$3-1))</f>
        <v/>
      </c>
      <c r="DZ22" s="149" t="str">
        <f>IF(OR($B22="",$B22=0),"",$I22*$C22*(1+'Property Summary'!$L$21)^('MF CapEx'!DZ$3-1))</f>
        <v/>
      </c>
      <c r="EA22" s="149" t="str">
        <f>IF(OR($B22="",$B22=0),"",$I22*$C22*(1+'Property Summary'!$L$21)^('MF CapEx'!EA$3-1))</f>
        <v/>
      </c>
      <c r="EB22" s="149" t="str">
        <f>IF(OR($B22="",$B22=0),"",$I22*$C22*(1+'Property Summary'!$L$21)^('MF CapEx'!EB$3-1))</f>
        <v/>
      </c>
      <c r="EC22" s="149" t="str">
        <f>IF(OR($B22="",$B22=0),"",$I22*$C22*(1+'Property Summary'!$L$21)^('MF CapEx'!EC$3-1))</f>
        <v/>
      </c>
      <c r="ED22" s="149" t="str">
        <f>IF(OR($B22="",$B22=0),"",$I22*$C22*(1+'Property Summary'!$L$21)^('MF CapEx'!ED$3-1))</f>
        <v/>
      </c>
      <c r="EE22" s="149" t="str">
        <f>IF(OR($B22="",$B22=0),"",$I22*$C22*(1+'Property Summary'!$L$21)^('MF CapEx'!EE$3-1))</f>
        <v/>
      </c>
      <c r="EF22" s="149" t="str">
        <f>IF(OR($B22="",$B22=0),"",$I22*$C22*(1+'Property Summary'!$L$21)^('MF CapEx'!EF$3-1))</f>
        <v/>
      </c>
      <c r="EG22" s="149" t="str">
        <f>IF(OR($B22="",$B22=0),"",$I22*$C22*(1+'Property Summary'!$L$21)^('MF CapEx'!EG$3-1))</f>
        <v/>
      </c>
      <c r="EH22" s="149" t="str">
        <f>IF(OR($B22="",$B22=0),"",$I22*$C22*(1+'Property Summary'!$L$21)^('MF CapEx'!EH$3-1))</f>
        <v/>
      </c>
      <c r="EI22" s="149" t="str">
        <f>IF(OR($B22="",$B22=0),"",$I22*$C22*(1+'Property Summary'!$L$21)^('MF CapEx'!EI$3-1))</f>
        <v/>
      </c>
      <c r="EJ22" s="149" t="str">
        <f>IF(OR($B22="",$B22=0),"",$I22*$C22*(1+'Property Summary'!$L$21)^('MF CapEx'!EJ$3-1))</f>
        <v/>
      </c>
      <c r="EK22" s="149" t="str">
        <f>IF(OR($B22="",$B22=0),"",$I22*$C22*(1+'Property Summary'!$L$21)^('MF CapEx'!EK$3-1))</f>
        <v/>
      </c>
      <c r="EL22" s="149" t="str">
        <f>IF(OR($B22="",$B22=0),"",$I22*$C22*(1+'Property Summary'!$L$21)^('MF CapEx'!EL$3-1))</f>
        <v/>
      </c>
      <c r="EM22" s="149" t="str">
        <f>IF(OR($B22="",$B22=0),"",$I22*$C22*(1+'Property Summary'!$L$21)^('MF CapEx'!EM$3-1))</f>
        <v/>
      </c>
      <c r="EN22" s="149" t="str">
        <f>IF(OR($B22="",$B22=0),"",$I22*$C22*(1+'Property Summary'!$L$21)^('MF CapEx'!EN$3-1))</f>
        <v/>
      </c>
      <c r="EO22" s="149" t="str">
        <f>IF(OR($B22="",$B22=0),"",$I22*$C22*(1+'Property Summary'!$L$21)^('MF CapEx'!EO$3-1))</f>
        <v/>
      </c>
      <c r="EP22" s="149" t="str">
        <f>IF(OR($B22="",$B22=0),"",$I22*$C22*(1+'Property Summary'!$L$21)^('MF CapEx'!EP$3-1))</f>
        <v/>
      </c>
      <c r="EQ22" s="149" t="str">
        <f>IF(OR($B22="",$B22=0),"",$I22*$C22*(1+'Property Summary'!$L$21)^('MF CapEx'!EQ$3-1))</f>
        <v/>
      </c>
      <c r="ER22" s="149" t="str">
        <f>IF(OR($B22="",$B22=0),"",$I22*$C22*(1+'Property Summary'!$L$21)^('MF CapEx'!ER$3-1))</f>
        <v/>
      </c>
      <c r="ES22" s="149" t="str">
        <f>IF(OR($B22="",$B22=0),"",$I22*$C22*(1+'Property Summary'!$L$21)^('MF CapEx'!ES$3-1))</f>
        <v/>
      </c>
      <c r="ET22" s="149" t="str">
        <f>IF(OR($B22="",$B22=0),"",$I22*$C22*(1+'Property Summary'!$L$21)^('MF CapEx'!ET$3-1))</f>
        <v/>
      </c>
      <c r="EU22" s="149" t="str">
        <f>IF(OR($B22="",$B22=0),"",$I22*$C22*(1+'Property Summary'!$L$21)^('MF CapEx'!EU$3-1))</f>
        <v/>
      </c>
      <c r="EV22" s="149" t="str">
        <f>IF(OR($B22="",$B22=0),"",$I22*$C22*(1+'Property Summary'!$L$21)^('MF CapEx'!EV$3-1))</f>
        <v/>
      </c>
      <c r="EW22" s="149" t="str">
        <f>IF(OR($B22="",$B22=0),"",$I22*$C22*(1+'Property Summary'!$L$21)^('MF CapEx'!EW$3-1))</f>
        <v/>
      </c>
      <c r="EX22" s="149" t="str">
        <f>IF(OR($B22="",$B22=0),"",$I22*$C22*(1+'Property Summary'!$L$21)^('MF CapEx'!EX$3-1))</f>
        <v/>
      </c>
      <c r="EY22" s="149" t="str">
        <f>IF(OR($B22="",$B22=0),"",$I22*$C22*(1+'Property Summary'!$L$21)^('MF CapEx'!EY$3-1))</f>
        <v/>
      </c>
      <c r="EZ22" s="149" t="str">
        <f>IF(OR($B22="",$B22=0),"",$I22*$C22*(1+'Property Summary'!$L$21)^('MF CapEx'!EZ$3-1))</f>
        <v/>
      </c>
      <c r="FA22" s="149" t="str">
        <f>IF(OR($B22="",$B22=0),"",$I22*$C22*(1+'Property Summary'!$L$21)^('MF CapEx'!FA$3-1))</f>
        <v/>
      </c>
      <c r="FB22" s="149" t="str">
        <f>IF(OR($B22="",$B22=0),"",$I22*$C22*(1+'Property Summary'!$L$21)^('MF CapEx'!FB$3-1))</f>
        <v/>
      </c>
      <c r="FC22" s="149" t="str">
        <f>IF(OR($B22="",$B22=0),"",$I22*$C22*(1+'Property Summary'!$L$21)^('MF CapEx'!FC$3-1))</f>
        <v/>
      </c>
      <c r="FD22" s="149" t="str">
        <f>IF(OR($B22="",$B22=0),"",$I22*$C22*(1+'Property Summary'!$L$21)^('MF CapEx'!FD$3-1))</f>
        <v/>
      </c>
      <c r="FE22" s="149" t="str">
        <f>IF(OR($B22="",$B22=0),"",$I22*$C22*(1+'Property Summary'!$L$21)^('MF CapEx'!FE$3-1))</f>
        <v/>
      </c>
      <c r="FF22" s="149" t="str">
        <f>IF(OR($B22="",$B22=0),"",$I22*$C22*(1+'Property Summary'!$L$21)^('MF CapEx'!FF$3-1))</f>
        <v/>
      </c>
      <c r="FG22" s="149" t="str">
        <f>IF(OR($B22="",$B22=0),"",$I22*$C22*(1+'Property Summary'!$L$21)^('MF CapEx'!FG$3-1))</f>
        <v/>
      </c>
      <c r="FH22" s="149" t="str">
        <f>IF(OR($B22="",$B22=0),"",$I22*$C22*(1+'Property Summary'!$L$21)^('MF CapEx'!FH$3-1))</f>
        <v/>
      </c>
      <c r="FI22" s="149" t="str">
        <f>IF(OR($B22="",$B22=0),"",$I22*$C22*(1+'Property Summary'!$L$21)^('MF CapEx'!FI$3-1))</f>
        <v/>
      </c>
      <c r="FJ22" s="149" t="str">
        <f>IF(OR($B22="",$B22=0),"",$I22*$C22*(1+'Property Summary'!$L$21)^('MF CapEx'!FJ$3-1))</f>
        <v/>
      </c>
      <c r="FK22" s="149" t="str">
        <f>IF(OR($B22="",$B22=0),"",$I22*$C22*(1+'Property Summary'!$L$21)^('MF CapEx'!FK$3-1))</f>
        <v/>
      </c>
      <c r="FL22" s="149" t="str">
        <f>IF(OR($B22="",$B22=0),"",$I22*$C22*(1+'Property Summary'!$L$21)^('MF CapEx'!FL$3-1))</f>
        <v/>
      </c>
      <c r="FM22" s="149" t="str">
        <f>IF(OR($B22="",$B22=0),"",$I22*$C22*(1+'Property Summary'!$L$21)^('MF CapEx'!FM$3-1))</f>
        <v/>
      </c>
      <c r="FN22" s="149" t="str">
        <f>IF(OR($B22="",$B22=0),"",$I22*$C22*(1+'Property Summary'!$L$21)^('MF CapEx'!FN$3-1))</f>
        <v/>
      </c>
      <c r="FO22" s="149" t="str">
        <f>IF(OR($B22="",$B22=0),"",$I22*$C22*(1+'Property Summary'!$L$21)^('MF CapEx'!FO$3-1))</f>
        <v/>
      </c>
      <c r="FP22" s="149" t="str">
        <f>IF(OR($B22="",$B22=0),"",$I22*$C22*(1+'Property Summary'!$L$21)^('MF CapEx'!FP$3-1))</f>
        <v/>
      </c>
      <c r="FQ22" s="149" t="str">
        <f>IF(OR($B22="",$B22=0),"",$I22*$C22*(1+'Property Summary'!$L$21)^('MF CapEx'!FQ$3-1))</f>
        <v/>
      </c>
      <c r="FR22" s="149" t="str">
        <f>IF(OR($B22="",$B22=0),"",$I22*$C22*(1+'Property Summary'!$L$21)^('MF CapEx'!FR$3-1))</f>
        <v/>
      </c>
      <c r="FS22" s="149" t="str">
        <f>IF(OR($B22="",$B22=0),"",$I22*$C22*(1+'Property Summary'!$L$21)^('MF CapEx'!FS$3-1))</f>
        <v/>
      </c>
      <c r="FT22" s="149" t="str">
        <f>IF(OR($B22="",$B22=0),"",$I22*$C22*(1+'Property Summary'!$L$21)^('MF CapEx'!FT$3-1))</f>
        <v/>
      </c>
      <c r="FU22" s="149" t="str">
        <f>IF(OR($B22="",$B22=0),"",$I22*$C22*(1+'Property Summary'!$L$21)^('MF CapEx'!FU$3-1))</f>
        <v/>
      </c>
      <c r="FV22" s="149" t="str">
        <f>IF(OR($B22="",$B22=0),"",$I22*$C22*(1+'Property Summary'!$L$21)^('MF CapEx'!FV$3-1))</f>
        <v/>
      </c>
      <c r="FW22" s="149" t="str">
        <f>IF(OR($B22="",$B22=0),"",$I22*$C22*(1+'Property Summary'!$L$21)^('MF CapEx'!FW$3-1))</f>
        <v/>
      </c>
      <c r="FX22" s="149" t="str">
        <f>IF(OR($B22="",$B22=0),"",$I22*$C22*(1+'Property Summary'!$L$21)^('MF CapEx'!FX$3-1))</f>
        <v/>
      </c>
      <c r="FY22" s="149" t="str">
        <f>IF(OR($B22="",$B22=0),"",$I22*$C22*(1+'Property Summary'!$L$21)^('MF CapEx'!FY$3-1))</f>
        <v/>
      </c>
      <c r="FZ22" s="149" t="str">
        <f>IF(OR($B22="",$B22=0),"",$I22*$C22*(1+'Property Summary'!$L$21)^('MF CapEx'!FZ$3-1))</f>
        <v/>
      </c>
      <c r="GA22" s="149" t="str">
        <f>IF(OR($B22="",$B22=0),"",$I22*$C22*(1+'Property Summary'!$L$21)^('MF CapEx'!GA$3-1))</f>
        <v/>
      </c>
      <c r="GB22" s="149" t="str">
        <f>IF(OR($B22="",$B22=0),"",$I22*$C22*(1+'Property Summary'!$L$21)^('MF CapEx'!GB$3-1))</f>
        <v/>
      </c>
      <c r="GC22" s="149" t="str">
        <f>IF(OR($B22="",$B22=0),"",$I22*$C22*(1+'Property Summary'!$L$21)^('MF CapEx'!GC$3-1))</f>
        <v/>
      </c>
      <c r="GD22" s="149" t="str">
        <f>IF(OR($B22="",$B22=0),"",$I22*$C22*(1+'Property Summary'!$L$21)^('MF CapEx'!GD$3-1))</f>
        <v/>
      </c>
      <c r="GE22" s="149" t="str">
        <f>IF(OR($B22="",$B22=0),"",$I22*$C22*(1+'Property Summary'!$L$21)^('MF CapEx'!GE$3-1))</f>
        <v/>
      </c>
      <c r="GF22" s="149" t="str">
        <f>IF(OR($B22="",$B22=0),"",$I22*$C22*(1+'Property Summary'!$L$21)^('MF CapEx'!GF$3-1))</f>
        <v/>
      </c>
      <c r="GG22" s="149" t="str">
        <f>IF(OR($B22="",$B22=0),"",$I22*$C22*(1+'Property Summary'!$L$21)^('MF CapEx'!GG$3-1))</f>
        <v/>
      </c>
      <c r="GH22" s="149" t="str">
        <f>IF(OR($B22="",$B22=0),"",$I22*$C22*(1+'Property Summary'!$L$21)^('MF CapEx'!GH$3-1))</f>
        <v/>
      </c>
      <c r="GI22" s="149" t="str">
        <f>IF(OR($B22="",$B22=0),"",$I22*$C22*(1+'Property Summary'!$L$21)^('MF CapEx'!GI$3-1))</f>
        <v/>
      </c>
      <c r="GJ22" s="149" t="str">
        <f>IF(OR($B22="",$B22=0),"",$I22*$C22*(1+'Property Summary'!$L$21)^('MF CapEx'!GJ$3-1))</f>
        <v/>
      </c>
      <c r="GK22" s="149" t="str">
        <f>IF(OR($B22="",$B22=0),"",$I22*$C22*(1+'Property Summary'!$L$21)^('MF CapEx'!GK$3-1))</f>
        <v/>
      </c>
      <c r="GL22" s="149" t="str">
        <f>IF(OR($B22="",$B22=0),"",$I22*$C22*(1+'Property Summary'!$L$21)^('MF CapEx'!GL$3-1))</f>
        <v/>
      </c>
      <c r="GM22" s="149" t="str">
        <f>IF(OR($B22="",$B22=0),"",$I22*$C22*(1+'Property Summary'!$L$21)^('MF CapEx'!GM$3-1))</f>
        <v/>
      </c>
      <c r="GN22" s="149" t="str">
        <f>IF(OR($B22="",$B22=0),"",$I22*$C22*(1+'Property Summary'!$L$21)^('MF CapEx'!GN$3-1))</f>
        <v/>
      </c>
      <c r="GO22" s="149" t="str">
        <f>IF(OR($B22="",$B22=0),"",$I22*$C22*(1+'Property Summary'!$L$21)^('MF CapEx'!GO$3-1))</f>
        <v/>
      </c>
      <c r="GP22" s="149" t="str">
        <f>IF(OR($B22="",$B22=0),"",$I22*$C22*(1+'Property Summary'!$L$21)^('MF CapEx'!GP$3-1))</f>
        <v/>
      </c>
    </row>
    <row r="23" spans="2:198" x14ac:dyDescent="0.3">
      <c r="B23" s="184">
        <f>'MF Rent Roll'!B22</f>
        <v>0</v>
      </c>
      <c r="C23" s="171">
        <f>'MF Rent Roll'!C22</f>
        <v>0</v>
      </c>
      <c r="D23" s="172">
        <f>'MF Rent Roll'!D22</f>
        <v>0</v>
      </c>
      <c r="E23" s="172">
        <f>'MF Rent Roll'!E22</f>
        <v>0</v>
      </c>
      <c r="F23" s="173">
        <f>'MF Rent Roll'!F22</f>
        <v>0</v>
      </c>
      <c r="G23" s="174">
        <f>'MF Rent Roll'!G22</f>
        <v>0</v>
      </c>
      <c r="H23" s="176">
        <f>'MF Rent Roll'!J22</f>
        <v>0</v>
      </c>
      <c r="I23" s="174">
        <f>'MF Rent Roll'!K22</f>
        <v>0</v>
      </c>
      <c r="J23" s="177">
        <f>'MF Rent Roll'!L22</f>
        <v>0</v>
      </c>
      <c r="K23" s="178">
        <f>'MF Rent Roll'!M22</f>
        <v>0</v>
      </c>
      <c r="L23" s="174">
        <f>'MF Rent Roll'!N22</f>
        <v>0</v>
      </c>
      <c r="M23" s="179">
        <f>'MF Rent Roll'!O22</f>
        <v>0</v>
      </c>
      <c r="N23" s="180" t="str">
        <f>'MF Rent Roll'!P22</f>
        <v/>
      </c>
      <c r="O23" s="181" t="str">
        <f>'MF Rent Roll'!Q22</f>
        <v/>
      </c>
      <c r="P23" s="104" t="str">
        <f>'MF Rent Roll'!R22</f>
        <v/>
      </c>
      <c r="S23" s="149" t="str">
        <f>IF(OR($B23="",$B23=0),"",$I23*$C23*(1+'Property Summary'!$L$21)^('MF CapEx'!S$3-1))</f>
        <v/>
      </c>
      <c r="T23" s="149" t="str">
        <f>IF(OR($B23="",$B23=0),"",$I23*$C23*(1+'Property Summary'!$L$21)^('MF CapEx'!T$3-1))</f>
        <v/>
      </c>
      <c r="U23" s="149" t="str">
        <f>IF(OR($B23="",$B23=0),"",$I23*$C23*(1+'Property Summary'!$L$21)^('MF CapEx'!U$3-1))</f>
        <v/>
      </c>
      <c r="V23" s="149" t="str">
        <f>IF(OR($B23="",$B23=0),"",$I23*$C23*(1+'Property Summary'!$L$21)^('MF CapEx'!V$3-1))</f>
        <v/>
      </c>
      <c r="W23" s="149" t="str">
        <f>IF(OR($B23="",$B23=0),"",$I23*$C23*(1+'Property Summary'!$L$21)^('MF CapEx'!W$3-1))</f>
        <v/>
      </c>
      <c r="X23" s="149" t="str">
        <f>IF(OR($B23="",$B23=0),"",$I23*$C23*(1+'Property Summary'!$L$21)^('MF CapEx'!X$3-1))</f>
        <v/>
      </c>
      <c r="Y23" s="149" t="str">
        <f>IF(OR($B23="",$B23=0),"",$I23*$C23*(1+'Property Summary'!$L$21)^('MF CapEx'!Y$3-1))</f>
        <v/>
      </c>
      <c r="Z23" s="149" t="str">
        <f>IF(OR($B23="",$B23=0),"",$I23*$C23*(1+'Property Summary'!$L$21)^('MF CapEx'!Z$3-1))</f>
        <v/>
      </c>
      <c r="AA23" s="149" t="str">
        <f>IF(OR($B23="",$B23=0),"",$I23*$C23*(1+'Property Summary'!$L$21)^('MF CapEx'!AA$3-1))</f>
        <v/>
      </c>
      <c r="AB23" s="149" t="str">
        <f>IF(OR($B23="",$B23=0),"",$I23*$C23*(1+'Property Summary'!$L$21)^('MF CapEx'!AB$3-1))</f>
        <v/>
      </c>
      <c r="AC23" s="149" t="str">
        <f>IF(OR($B23="",$B23=0),"",$I23*$C23*(1+'Property Summary'!$L$21)^('MF CapEx'!AC$3-1))</f>
        <v/>
      </c>
      <c r="AD23" s="149" t="str">
        <f>IF(OR($B23="",$B23=0),"",$I23*$C23*(1+'Property Summary'!$L$21)^('MF CapEx'!AD$3-1))</f>
        <v/>
      </c>
      <c r="AE23" s="149" t="str">
        <f>IF(OR($B23="",$B23=0),"",$I23*$C23*(1+'Property Summary'!$L$21)^('MF CapEx'!AE$3-1))</f>
        <v/>
      </c>
      <c r="AF23" s="149" t="str">
        <f>IF(OR($B23="",$B23=0),"",$I23*$C23*(1+'Property Summary'!$L$21)^('MF CapEx'!AF$3-1))</f>
        <v/>
      </c>
      <c r="AG23" s="149" t="str">
        <f>IF(OR($B23="",$B23=0),"",$I23*$C23*(1+'Property Summary'!$L$21)^('MF CapEx'!AG$3-1))</f>
        <v/>
      </c>
      <c r="AH23" s="149" t="str">
        <f>IF(OR($B23="",$B23=0),"",$I23*$C23*(1+'Property Summary'!$L$21)^('MF CapEx'!AH$3-1))</f>
        <v/>
      </c>
      <c r="AI23" s="149" t="str">
        <f>IF(OR($B23="",$B23=0),"",$I23*$C23*(1+'Property Summary'!$L$21)^('MF CapEx'!AI$3-1))</f>
        <v/>
      </c>
      <c r="AJ23" s="149" t="str">
        <f>IF(OR($B23="",$B23=0),"",$I23*$C23*(1+'Property Summary'!$L$21)^('MF CapEx'!AJ$3-1))</f>
        <v/>
      </c>
      <c r="AK23" s="149" t="str">
        <f>IF(OR($B23="",$B23=0),"",$I23*$C23*(1+'Property Summary'!$L$21)^('MF CapEx'!AK$3-1))</f>
        <v/>
      </c>
      <c r="AL23" s="149" t="str">
        <f>IF(OR($B23="",$B23=0),"",$I23*$C23*(1+'Property Summary'!$L$21)^('MF CapEx'!AL$3-1))</f>
        <v/>
      </c>
      <c r="AM23" s="149" t="str">
        <f>IF(OR($B23="",$B23=0),"",$I23*$C23*(1+'Property Summary'!$L$21)^('MF CapEx'!AM$3-1))</f>
        <v/>
      </c>
      <c r="AN23" s="149" t="str">
        <f>IF(OR($B23="",$B23=0),"",$I23*$C23*(1+'Property Summary'!$L$21)^('MF CapEx'!AN$3-1))</f>
        <v/>
      </c>
      <c r="AO23" s="149" t="str">
        <f>IF(OR($B23="",$B23=0),"",$I23*$C23*(1+'Property Summary'!$L$21)^('MF CapEx'!AO$3-1))</f>
        <v/>
      </c>
      <c r="AP23" s="149" t="str">
        <f>IF(OR($B23="",$B23=0),"",$I23*$C23*(1+'Property Summary'!$L$21)^('MF CapEx'!AP$3-1))</f>
        <v/>
      </c>
      <c r="AQ23" s="149" t="str">
        <f>IF(OR($B23="",$B23=0),"",$I23*$C23*(1+'Property Summary'!$L$21)^('MF CapEx'!AQ$3-1))</f>
        <v/>
      </c>
      <c r="AR23" s="149" t="str">
        <f>IF(OR($B23="",$B23=0),"",$I23*$C23*(1+'Property Summary'!$L$21)^('MF CapEx'!AR$3-1))</f>
        <v/>
      </c>
      <c r="AS23" s="149" t="str">
        <f>IF(OR($B23="",$B23=0),"",$I23*$C23*(1+'Property Summary'!$L$21)^('MF CapEx'!AS$3-1))</f>
        <v/>
      </c>
      <c r="AT23" s="149" t="str">
        <f>IF(OR($B23="",$B23=0),"",$I23*$C23*(1+'Property Summary'!$L$21)^('MF CapEx'!AT$3-1))</f>
        <v/>
      </c>
      <c r="AU23" s="149" t="str">
        <f>IF(OR($B23="",$B23=0),"",$I23*$C23*(1+'Property Summary'!$L$21)^('MF CapEx'!AU$3-1))</f>
        <v/>
      </c>
      <c r="AV23" s="149" t="str">
        <f>IF(OR($B23="",$B23=0),"",$I23*$C23*(1+'Property Summary'!$L$21)^('MF CapEx'!AV$3-1))</f>
        <v/>
      </c>
      <c r="AW23" s="149" t="str">
        <f>IF(OR($B23="",$B23=0),"",$I23*$C23*(1+'Property Summary'!$L$21)^('MF CapEx'!AW$3-1))</f>
        <v/>
      </c>
      <c r="AX23" s="149" t="str">
        <f>IF(OR($B23="",$B23=0),"",$I23*$C23*(1+'Property Summary'!$L$21)^('MF CapEx'!AX$3-1))</f>
        <v/>
      </c>
      <c r="AY23" s="149" t="str">
        <f>IF(OR($B23="",$B23=0),"",$I23*$C23*(1+'Property Summary'!$L$21)^('MF CapEx'!AY$3-1))</f>
        <v/>
      </c>
      <c r="AZ23" s="149" t="str">
        <f>IF(OR($B23="",$B23=0),"",$I23*$C23*(1+'Property Summary'!$L$21)^('MF CapEx'!AZ$3-1))</f>
        <v/>
      </c>
      <c r="BA23" s="149" t="str">
        <f>IF(OR($B23="",$B23=0),"",$I23*$C23*(1+'Property Summary'!$L$21)^('MF CapEx'!BA$3-1))</f>
        <v/>
      </c>
      <c r="BB23" s="149" t="str">
        <f>IF(OR($B23="",$B23=0),"",$I23*$C23*(1+'Property Summary'!$L$21)^('MF CapEx'!BB$3-1))</f>
        <v/>
      </c>
      <c r="BC23" s="149" t="str">
        <f>IF(OR($B23="",$B23=0),"",$I23*$C23*(1+'Property Summary'!$L$21)^('MF CapEx'!BC$3-1))</f>
        <v/>
      </c>
      <c r="BD23" s="149" t="str">
        <f>IF(OR($B23="",$B23=0),"",$I23*$C23*(1+'Property Summary'!$L$21)^('MF CapEx'!BD$3-1))</f>
        <v/>
      </c>
      <c r="BE23" s="149" t="str">
        <f>IF(OR($B23="",$B23=0),"",$I23*$C23*(1+'Property Summary'!$L$21)^('MF CapEx'!BE$3-1))</f>
        <v/>
      </c>
      <c r="BF23" s="149" t="str">
        <f>IF(OR($B23="",$B23=0),"",$I23*$C23*(1+'Property Summary'!$L$21)^('MF CapEx'!BF$3-1))</f>
        <v/>
      </c>
      <c r="BG23" s="149" t="str">
        <f>IF(OR($B23="",$B23=0),"",$I23*$C23*(1+'Property Summary'!$L$21)^('MF CapEx'!BG$3-1))</f>
        <v/>
      </c>
      <c r="BH23" s="149" t="str">
        <f>IF(OR($B23="",$B23=0),"",$I23*$C23*(1+'Property Summary'!$L$21)^('MF CapEx'!BH$3-1))</f>
        <v/>
      </c>
      <c r="BI23" s="149" t="str">
        <f>IF(OR($B23="",$B23=0),"",$I23*$C23*(1+'Property Summary'!$L$21)^('MF CapEx'!BI$3-1))</f>
        <v/>
      </c>
      <c r="BJ23" s="149" t="str">
        <f>IF(OR($B23="",$B23=0),"",$I23*$C23*(1+'Property Summary'!$L$21)^('MF CapEx'!BJ$3-1))</f>
        <v/>
      </c>
      <c r="BK23" s="149" t="str">
        <f>IF(OR($B23="",$B23=0),"",$I23*$C23*(1+'Property Summary'!$L$21)^('MF CapEx'!BK$3-1))</f>
        <v/>
      </c>
      <c r="BL23" s="149" t="str">
        <f>IF(OR($B23="",$B23=0),"",$I23*$C23*(1+'Property Summary'!$L$21)^('MF CapEx'!BL$3-1))</f>
        <v/>
      </c>
      <c r="BM23" s="149" t="str">
        <f>IF(OR($B23="",$B23=0),"",$I23*$C23*(1+'Property Summary'!$L$21)^('MF CapEx'!BM$3-1))</f>
        <v/>
      </c>
      <c r="BN23" s="149" t="str">
        <f>IF(OR($B23="",$B23=0),"",$I23*$C23*(1+'Property Summary'!$L$21)^('MF CapEx'!BN$3-1))</f>
        <v/>
      </c>
      <c r="BO23" s="149" t="str">
        <f>IF(OR($B23="",$B23=0),"",$I23*$C23*(1+'Property Summary'!$L$21)^('MF CapEx'!BO$3-1))</f>
        <v/>
      </c>
      <c r="BP23" s="149" t="str">
        <f>IF(OR($B23="",$B23=0),"",$I23*$C23*(1+'Property Summary'!$L$21)^('MF CapEx'!BP$3-1))</f>
        <v/>
      </c>
      <c r="BQ23" s="149" t="str">
        <f>IF(OR($B23="",$B23=0),"",$I23*$C23*(1+'Property Summary'!$L$21)^('MF CapEx'!BQ$3-1))</f>
        <v/>
      </c>
      <c r="BR23" s="149" t="str">
        <f>IF(OR($B23="",$B23=0),"",$I23*$C23*(1+'Property Summary'!$L$21)^('MF CapEx'!BR$3-1))</f>
        <v/>
      </c>
      <c r="BS23" s="149" t="str">
        <f>IF(OR($B23="",$B23=0),"",$I23*$C23*(1+'Property Summary'!$L$21)^('MF CapEx'!BS$3-1))</f>
        <v/>
      </c>
      <c r="BT23" s="149" t="str">
        <f>IF(OR($B23="",$B23=0),"",$I23*$C23*(1+'Property Summary'!$L$21)^('MF CapEx'!BT$3-1))</f>
        <v/>
      </c>
      <c r="BU23" s="149" t="str">
        <f>IF(OR($B23="",$B23=0),"",$I23*$C23*(1+'Property Summary'!$L$21)^('MF CapEx'!BU$3-1))</f>
        <v/>
      </c>
      <c r="BV23" s="149" t="str">
        <f>IF(OR($B23="",$B23=0),"",$I23*$C23*(1+'Property Summary'!$L$21)^('MF CapEx'!BV$3-1))</f>
        <v/>
      </c>
      <c r="BW23" s="149" t="str">
        <f>IF(OR($B23="",$B23=0),"",$I23*$C23*(1+'Property Summary'!$L$21)^('MF CapEx'!BW$3-1))</f>
        <v/>
      </c>
      <c r="BX23" s="149" t="str">
        <f>IF(OR($B23="",$B23=0),"",$I23*$C23*(1+'Property Summary'!$L$21)^('MF CapEx'!BX$3-1))</f>
        <v/>
      </c>
      <c r="BY23" s="149" t="str">
        <f>IF(OR($B23="",$B23=0),"",$I23*$C23*(1+'Property Summary'!$L$21)^('MF CapEx'!BY$3-1))</f>
        <v/>
      </c>
      <c r="BZ23" s="149" t="str">
        <f>IF(OR($B23="",$B23=0),"",$I23*$C23*(1+'Property Summary'!$L$21)^('MF CapEx'!BZ$3-1))</f>
        <v/>
      </c>
      <c r="CA23" s="149" t="str">
        <f>IF(OR($B23="",$B23=0),"",$I23*$C23*(1+'Property Summary'!$L$21)^('MF CapEx'!CA$3-1))</f>
        <v/>
      </c>
      <c r="CB23" s="149" t="str">
        <f>IF(OR($B23="",$B23=0),"",$I23*$C23*(1+'Property Summary'!$L$21)^('MF CapEx'!CB$3-1))</f>
        <v/>
      </c>
      <c r="CC23" s="149" t="str">
        <f>IF(OR($B23="",$B23=0),"",$I23*$C23*(1+'Property Summary'!$L$21)^('MF CapEx'!CC$3-1))</f>
        <v/>
      </c>
      <c r="CD23" s="149" t="str">
        <f>IF(OR($B23="",$B23=0),"",$I23*$C23*(1+'Property Summary'!$L$21)^('MF CapEx'!CD$3-1))</f>
        <v/>
      </c>
      <c r="CE23" s="149" t="str">
        <f>IF(OR($B23="",$B23=0),"",$I23*$C23*(1+'Property Summary'!$L$21)^('MF CapEx'!CE$3-1))</f>
        <v/>
      </c>
      <c r="CF23" s="149" t="str">
        <f>IF(OR($B23="",$B23=0),"",$I23*$C23*(1+'Property Summary'!$L$21)^('MF CapEx'!CF$3-1))</f>
        <v/>
      </c>
      <c r="CG23" s="149" t="str">
        <f>IF(OR($B23="",$B23=0),"",$I23*$C23*(1+'Property Summary'!$L$21)^('MF CapEx'!CG$3-1))</f>
        <v/>
      </c>
      <c r="CH23" s="149" t="str">
        <f>IF(OR($B23="",$B23=0),"",$I23*$C23*(1+'Property Summary'!$L$21)^('MF CapEx'!CH$3-1))</f>
        <v/>
      </c>
      <c r="CI23" s="149" t="str">
        <f>IF(OR($B23="",$B23=0),"",$I23*$C23*(1+'Property Summary'!$L$21)^('MF CapEx'!CI$3-1))</f>
        <v/>
      </c>
      <c r="CJ23" s="149" t="str">
        <f>IF(OR($B23="",$B23=0),"",$I23*$C23*(1+'Property Summary'!$L$21)^('MF CapEx'!CJ$3-1))</f>
        <v/>
      </c>
      <c r="CK23" s="149" t="str">
        <f>IF(OR($B23="",$B23=0),"",$I23*$C23*(1+'Property Summary'!$L$21)^('MF CapEx'!CK$3-1))</f>
        <v/>
      </c>
      <c r="CL23" s="149" t="str">
        <f>IF(OR($B23="",$B23=0),"",$I23*$C23*(1+'Property Summary'!$L$21)^('MF CapEx'!CL$3-1))</f>
        <v/>
      </c>
      <c r="CM23" s="149" t="str">
        <f>IF(OR($B23="",$B23=0),"",$I23*$C23*(1+'Property Summary'!$L$21)^('MF CapEx'!CM$3-1))</f>
        <v/>
      </c>
      <c r="CN23" s="149" t="str">
        <f>IF(OR($B23="",$B23=0),"",$I23*$C23*(1+'Property Summary'!$L$21)^('MF CapEx'!CN$3-1))</f>
        <v/>
      </c>
      <c r="CO23" s="149" t="str">
        <f>IF(OR($B23="",$B23=0),"",$I23*$C23*(1+'Property Summary'!$L$21)^('MF CapEx'!CO$3-1))</f>
        <v/>
      </c>
      <c r="CP23" s="149" t="str">
        <f>IF(OR($B23="",$B23=0),"",$I23*$C23*(1+'Property Summary'!$L$21)^('MF CapEx'!CP$3-1))</f>
        <v/>
      </c>
      <c r="CQ23" s="149" t="str">
        <f>IF(OR($B23="",$B23=0),"",$I23*$C23*(1+'Property Summary'!$L$21)^('MF CapEx'!CQ$3-1))</f>
        <v/>
      </c>
      <c r="CR23" s="149" t="str">
        <f>IF(OR($B23="",$B23=0),"",$I23*$C23*(1+'Property Summary'!$L$21)^('MF CapEx'!CR$3-1))</f>
        <v/>
      </c>
      <c r="CS23" s="149" t="str">
        <f>IF(OR($B23="",$B23=0),"",$I23*$C23*(1+'Property Summary'!$L$21)^('MF CapEx'!CS$3-1))</f>
        <v/>
      </c>
      <c r="CT23" s="149" t="str">
        <f>IF(OR($B23="",$B23=0),"",$I23*$C23*(1+'Property Summary'!$L$21)^('MF CapEx'!CT$3-1))</f>
        <v/>
      </c>
      <c r="CU23" s="149" t="str">
        <f>IF(OR($B23="",$B23=0),"",$I23*$C23*(1+'Property Summary'!$L$21)^('MF CapEx'!CU$3-1))</f>
        <v/>
      </c>
      <c r="CV23" s="149" t="str">
        <f>IF(OR($B23="",$B23=0),"",$I23*$C23*(1+'Property Summary'!$L$21)^('MF CapEx'!CV$3-1))</f>
        <v/>
      </c>
      <c r="CW23" s="149" t="str">
        <f>IF(OR($B23="",$B23=0),"",$I23*$C23*(1+'Property Summary'!$L$21)^('MF CapEx'!CW$3-1))</f>
        <v/>
      </c>
      <c r="CX23" s="149" t="str">
        <f>IF(OR($B23="",$B23=0),"",$I23*$C23*(1+'Property Summary'!$L$21)^('MF CapEx'!CX$3-1))</f>
        <v/>
      </c>
      <c r="CY23" s="149" t="str">
        <f>IF(OR($B23="",$B23=0),"",$I23*$C23*(1+'Property Summary'!$L$21)^('MF CapEx'!CY$3-1))</f>
        <v/>
      </c>
      <c r="CZ23" s="149" t="str">
        <f>IF(OR($B23="",$B23=0),"",$I23*$C23*(1+'Property Summary'!$L$21)^('MF CapEx'!CZ$3-1))</f>
        <v/>
      </c>
      <c r="DA23" s="149" t="str">
        <f>IF(OR($B23="",$B23=0),"",$I23*$C23*(1+'Property Summary'!$L$21)^('MF CapEx'!DA$3-1))</f>
        <v/>
      </c>
      <c r="DB23" s="149" t="str">
        <f>IF(OR($B23="",$B23=0),"",$I23*$C23*(1+'Property Summary'!$L$21)^('MF CapEx'!DB$3-1))</f>
        <v/>
      </c>
      <c r="DC23" s="149" t="str">
        <f>IF(OR($B23="",$B23=0),"",$I23*$C23*(1+'Property Summary'!$L$21)^('MF CapEx'!DC$3-1))</f>
        <v/>
      </c>
      <c r="DD23" s="149" t="str">
        <f>IF(OR($B23="",$B23=0),"",$I23*$C23*(1+'Property Summary'!$L$21)^('MF CapEx'!DD$3-1))</f>
        <v/>
      </c>
      <c r="DE23" s="149" t="str">
        <f>IF(OR($B23="",$B23=0),"",$I23*$C23*(1+'Property Summary'!$L$21)^('MF CapEx'!DE$3-1))</f>
        <v/>
      </c>
      <c r="DF23" s="149" t="str">
        <f>IF(OR($B23="",$B23=0),"",$I23*$C23*(1+'Property Summary'!$L$21)^('MF CapEx'!DF$3-1))</f>
        <v/>
      </c>
      <c r="DG23" s="149" t="str">
        <f>IF(OR($B23="",$B23=0),"",$I23*$C23*(1+'Property Summary'!$L$21)^('MF CapEx'!DG$3-1))</f>
        <v/>
      </c>
      <c r="DH23" s="149" t="str">
        <f>IF(OR($B23="",$B23=0),"",$I23*$C23*(1+'Property Summary'!$L$21)^('MF CapEx'!DH$3-1))</f>
        <v/>
      </c>
      <c r="DI23" s="149" t="str">
        <f>IF(OR($B23="",$B23=0),"",$I23*$C23*(1+'Property Summary'!$L$21)^('MF CapEx'!DI$3-1))</f>
        <v/>
      </c>
      <c r="DJ23" s="149" t="str">
        <f>IF(OR($B23="",$B23=0),"",$I23*$C23*(1+'Property Summary'!$L$21)^('MF CapEx'!DJ$3-1))</f>
        <v/>
      </c>
      <c r="DK23" s="149" t="str">
        <f>IF(OR($B23="",$B23=0),"",$I23*$C23*(1+'Property Summary'!$L$21)^('MF CapEx'!DK$3-1))</f>
        <v/>
      </c>
      <c r="DL23" s="149" t="str">
        <f>IF(OR($B23="",$B23=0),"",$I23*$C23*(1+'Property Summary'!$L$21)^('MF CapEx'!DL$3-1))</f>
        <v/>
      </c>
      <c r="DM23" s="149" t="str">
        <f>IF(OR($B23="",$B23=0),"",$I23*$C23*(1+'Property Summary'!$L$21)^('MF CapEx'!DM$3-1))</f>
        <v/>
      </c>
      <c r="DN23" s="149" t="str">
        <f>IF(OR($B23="",$B23=0),"",$I23*$C23*(1+'Property Summary'!$L$21)^('MF CapEx'!DN$3-1))</f>
        <v/>
      </c>
      <c r="DO23" s="149" t="str">
        <f>IF(OR($B23="",$B23=0),"",$I23*$C23*(1+'Property Summary'!$L$21)^('MF CapEx'!DO$3-1))</f>
        <v/>
      </c>
      <c r="DP23" s="149" t="str">
        <f>IF(OR($B23="",$B23=0),"",$I23*$C23*(1+'Property Summary'!$L$21)^('MF CapEx'!DP$3-1))</f>
        <v/>
      </c>
      <c r="DQ23" s="149" t="str">
        <f>IF(OR($B23="",$B23=0),"",$I23*$C23*(1+'Property Summary'!$L$21)^('MF CapEx'!DQ$3-1))</f>
        <v/>
      </c>
      <c r="DR23" s="149" t="str">
        <f>IF(OR($B23="",$B23=0),"",$I23*$C23*(1+'Property Summary'!$L$21)^('MF CapEx'!DR$3-1))</f>
        <v/>
      </c>
      <c r="DS23" s="149" t="str">
        <f>IF(OR($B23="",$B23=0),"",$I23*$C23*(1+'Property Summary'!$L$21)^('MF CapEx'!DS$3-1))</f>
        <v/>
      </c>
      <c r="DT23" s="149" t="str">
        <f>IF(OR($B23="",$B23=0),"",$I23*$C23*(1+'Property Summary'!$L$21)^('MF CapEx'!DT$3-1))</f>
        <v/>
      </c>
      <c r="DU23" s="149" t="str">
        <f>IF(OR($B23="",$B23=0),"",$I23*$C23*(1+'Property Summary'!$L$21)^('MF CapEx'!DU$3-1))</f>
        <v/>
      </c>
      <c r="DV23" s="149" t="str">
        <f>IF(OR($B23="",$B23=0),"",$I23*$C23*(1+'Property Summary'!$L$21)^('MF CapEx'!DV$3-1))</f>
        <v/>
      </c>
      <c r="DW23" s="149" t="str">
        <f>IF(OR($B23="",$B23=0),"",$I23*$C23*(1+'Property Summary'!$L$21)^('MF CapEx'!DW$3-1))</f>
        <v/>
      </c>
      <c r="DX23" s="149" t="str">
        <f>IF(OR($B23="",$B23=0),"",$I23*$C23*(1+'Property Summary'!$L$21)^('MF CapEx'!DX$3-1))</f>
        <v/>
      </c>
      <c r="DY23" s="149" t="str">
        <f>IF(OR($B23="",$B23=0),"",$I23*$C23*(1+'Property Summary'!$L$21)^('MF CapEx'!DY$3-1))</f>
        <v/>
      </c>
      <c r="DZ23" s="149" t="str">
        <f>IF(OR($B23="",$B23=0),"",$I23*$C23*(1+'Property Summary'!$L$21)^('MF CapEx'!DZ$3-1))</f>
        <v/>
      </c>
      <c r="EA23" s="149" t="str">
        <f>IF(OR($B23="",$B23=0),"",$I23*$C23*(1+'Property Summary'!$L$21)^('MF CapEx'!EA$3-1))</f>
        <v/>
      </c>
      <c r="EB23" s="149" t="str">
        <f>IF(OR($B23="",$B23=0),"",$I23*$C23*(1+'Property Summary'!$L$21)^('MF CapEx'!EB$3-1))</f>
        <v/>
      </c>
      <c r="EC23" s="149" t="str">
        <f>IF(OR($B23="",$B23=0),"",$I23*$C23*(1+'Property Summary'!$L$21)^('MF CapEx'!EC$3-1))</f>
        <v/>
      </c>
      <c r="ED23" s="149" t="str">
        <f>IF(OR($B23="",$B23=0),"",$I23*$C23*(1+'Property Summary'!$L$21)^('MF CapEx'!ED$3-1))</f>
        <v/>
      </c>
      <c r="EE23" s="149" t="str">
        <f>IF(OR($B23="",$B23=0),"",$I23*$C23*(1+'Property Summary'!$L$21)^('MF CapEx'!EE$3-1))</f>
        <v/>
      </c>
      <c r="EF23" s="149" t="str">
        <f>IF(OR($B23="",$B23=0),"",$I23*$C23*(1+'Property Summary'!$L$21)^('MF CapEx'!EF$3-1))</f>
        <v/>
      </c>
      <c r="EG23" s="149" t="str">
        <f>IF(OR($B23="",$B23=0),"",$I23*$C23*(1+'Property Summary'!$L$21)^('MF CapEx'!EG$3-1))</f>
        <v/>
      </c>
      <c r="EH23" s="149" t="str">
        <f>IF(OR($B23="",$B23=0),"",$I23*$C23*(1+'Property Summary'!$L$21)^('MF CapEx'!EH$3-1))</f>
        <v/>
      </c>
      <c r="EI23" s="149" t="str">
        <f>IF(OR($B23="",$B23=0),"",$I23*$C23*(1+'Property Summary'!$L$21)^('MF CapEx'!EI$3-1))</f>
        <v/>
      </c>
      <c r="EJ23" s="149" t="str">
        <f>IF(OR($B23="",$B23=0),"",$I23*$C23*(1+'Property Summary'!$L$21)^('MF CapEx'!EJ$3-1))</f>
        <v/>
      </c>
      <c r="EK23" s="149" t="str">
        <f>IF(OR($B23="",$B23=0),"",$I23*$C23*(1+'Property Summary'!$L$21)^('MF CapEx'!EK$3-1))</f>
        <v/>
      </c>
      <c r="EL23" s="149" t="str">
        <f>IF(OR($B23="",$B23=0),"",$I23*$C23*(1+'Property Summary'!$L$21)^('MF CapEx'!EL$3-1))</f>
        <v/>
      </c>
      <c r="EM23" s="149" t="str">
        <f>IF(OR($B23="",$B23=0),"",$I23*$C23*(1+'Property Summary'!$L$21)^('MF CapEx'!EM$3-1))</f>
        <v/>
      </c>
      <c r="EN23" s="149" t="str">
        <f>IF(OR($B23="",$B23=0),"",$I23*$C23*(1+'Property Summary'!$L$21)^('MF CapEx'!EN$3-1))</f>
        <v/>
      </c>
      <c r="EO23" s="149" t="str">
        <f>IF(OR($B23="",$B23=0),"",$I23*$C23*(1+'Property Summary'!$L$21)^('MF CapEx'!EO$3-1))</f>
        <v/>
      </c>
      <c r="EP23" s="149" t="str">
        <f>IF(OR($B23="",$B23=0),"",$I23*$C23*(1+'Property Summary'!$L$21)^('MF CapEx'!EP$3-1))</f>
        <v/>
      </c>
      <c r="EQ23" s="149" t="str">
        <f>IF(OR($B23="",$B23=0),"",$I23*$C23*(1+'Property Summary'!$L$21)^('MF CapEx'!EQ$3-1))</f>
        <v/>
      </c>
      <c r="ER23" s="149" t="str">
        <f>IF(OR($B23="",$B23=0),"",$I23*$C23*(1+'Property Summary'!$L$21)^('MF CapEx'!ER$3-1))</f>
        <v/>
      </c>
      <c r="ES23" s="149" t="str">
        <f>IF(OR($B23="",$B23=0),"",$I23*$C23*(1+'Property Summary'!$L$21)^('MF CapEx'!ES$3-1))</f>
        <v/>
      </c>
      <c r="ET23" s="149" t="str">
        <f>IF(OR($B23="",$B23=0),"",$I23*$C23*(1+'Property Summary'!$L$21)^('MF CapEx'!ET$3-1))</f>
        <v/>
      </c>
      <c r="EU23" s="149" t="str">
        <f>IF(OR($B23="",$B23=0),"",$I23*$C23*(1+'Property Summary'!$L$21)^('MF CapEx'!EU$3-1))</f>
        <v/>
      </c>
      <c r="EV23" s="149" t="str">
        <f>IF(OR($B23="",$B23=0),"",$I23*$C23*(1+'Property Summary'!$L$21)^('MF CapEx'!EV$3-1))</f>
        <v/>
      </c>
      <c r="EW23" s="149" t="str">
        <f>IF(OR($B23="",$B23=0),"",$I23*$C23*(1+'Property Summary'!$L$21)^('MF CapEx'!EW$3-1))</f>
        <v/>
      </c>
      <c r="EX23" s="149" t="str">
        <f>IF(OR($B23="",$B23=0),"",$I23*$C23*(1+'Property Summary'!$L$21)^('MF CapEx'!EX$3-1))</f>
        <v/>
      </c>
      <c r="EY23" s="149" t="str">
        <f>IF(OR($B23="",$B23=0),"",$I23*$C23*(1+'Property Summary'!$L$21)^('MF CapEx'!EY$3-1))</f>
        <v/>
      </c>
      <c r="EZ23" s="149" t="str">
        <f>IF(OR($B23="",$B23=0),"",$I23*$C23*(1+'Property Summary'!$L$21)^('MF CapEx'!EZ$3-1))</f>
        <v/>
      </c>
      <c r="FA23" s="149" t="str">
        <f>IF(OR($B23="",$B23=0),"",$I23*$C23*(1+'Property Summary'!$L$21)^('MF CapEx'!FA$3-1))</f>
        <v/>
      </c>
      <c r="FB23" s="149" t="str">
        <f>IF(OR($B23="",$B23=0),"",$I23*$C23*(1+'Property Summary'!$L$21)^('MF CapEx'!FB$3-1))</f>
        <v/>
      </c>
      <c r="FC23" s="149" t="str">
        <f>IF(OR($B23="",$B23=0),"",$I23*$C23*(1+'Property Summary'!$L$21)^('MF CapEx'!FC$3-1))</f>
        <v/>
      </c>
      <c r="FD23" s="149" t="str">
        <f>IF(OR($B23="",$B23=0),"",$I23*$C23*(1+'Property Summary'!$L$21)^('MF CapEx'!FD$3-1))</f>
        <v/>
      </c>
      <c r="FE23" s="149" t="str">
        <f>IF(OR($B23="",$B23=0),"",$I23*$C23*(1+'Property Summary'!$L$21)^('MF CapEx'!FE$3-1))</f>
        <v/>
      </c>
      <c r="FF23" s="149" t="str">
        <f>IF(OR($B23="",$B23=0),"",$I23*$C23*(1+'Property Summary'!$L$21)^('MF CapEx'!FF$3-1))</f>
        <v/>
      </c>
      <c r="FG23" s="149" t="str">
        <f>IF(OR($B23="",$B23=0),"",$I23*$C23*(1+'Property Summary'!$L$21)^('MF CapEx'!FG$3-1))</f>
        <v/>
      </c>
      <c r="FH23" s="149" t="str">
        <f>IF(OR($B23="",$B23=0),"",$I23*$C23*(1+'Property Summary'!$L$21)^('MF CapEx'!FH$3-1))</f>
        <v/>
      </c>
      <c r="FI23" s="149" t="str">
        <f>IF(OR($B23="",$B23=0),"",$I23*$C23*(1+'Property Summary'!$L$21)^('MF CapEx'!FI$3-1))</f>
        <v/>
      </c>
      <c r="FJ23" s="149" t="str">
        <f>IF(OR($B23="",$B23=0),"",$I23*$C23*(1+'Property Summary'!$L$21)^('MF CapEx'!FJ$3-1))</f>
        <v/>
      </c>
      <c r="FK23" s="149" t="str">
        <f>IF(OR($B23="",$B23=0),"",$I23*$C23*(1+'Property Summary'!$L$21)^('MF CapEx'!FK$3-1))</f>
        <v/>
      </c>
      <c r="FL23" s="149" t="str">
        <f>IF(OR($B23="",$B23=0),"",$I23*$C23*(1+'Property Summary'!$L$21)^('MF CapEx'!FL$3-1))</f>
        <v/>
      </c>
      <c r="FM23" s="149" t="str">
        <f>IF(OR($B23="",$B23=0),"",$I23*$C23*(1+'Property Summary'!$L$21)^('MF CapEx'!FM$3-1))</f>
        <v/>
      </c>
      <c r="FN23" s="149" t="str">
        <f>IF(OR($B23="",$B23=0),"",$I23*$C23*(1+'Property Summary'!$L$21)^('MF CapEx'!FN$3-1))</f>
        <v/>
      </c>
      <c r="FO23" s="149" t="str">
        <f>IF(OR($B23="",$B23=0),"",$I23*$C23*(1+'Property Summary'!$L$21)^('MF CapEx'!FO$3-1))</f>
        <v/>
      </c>
      <c r="FP23" s="149" t="str">
        <f>IF(OR($B23="",$B23=0),"",$I23*$C23*(1+'Property Summary'!$L$21)^('MF CapEx'!FP$3-1))</f>
        <v/>
      </c>
      <c r="FQ23" s="149" t="str">
        <f>IF(OR($B23="",$B23=0),"",$I23*$C23*(1+'Property Summary'!$L$21)^('MF CapEx'!FQ$3-1))</f>
        <v/>
      </c>
      <c r="FR23" s="149" t="str">
        <f>IF(OR($B23="",$B23=0),"",$I23*$C23*(1+'Property Summary'!$L$21)^('MF CapEx'!FR$3-1))</f>
        <v/>
      </c>
      <c r="FS23" s="149" t="str">
        <f>IF(OR($B23="",$B23=0),"",$I23*$C23*(1+'Property Summary'!$L$21)^('MF CapEx'!FS$3-1))</f>
        <v/>
      </c>
      <c r="FT23" s="149" t="str">
        <f>IF(OR($B23="",$B23=0),"",$I23*$C23*(1+'Property Summary'!$L$21)^('MF CapEx'!FT$3-1))</f>
        <v/>
      </c>
      <c r="FU23" s="149" t="str">
        <f>IF(OR($B23="",$B23=0),"",$I23*$C23*(1+'Property Summary'!$L$21)^('MF CapEx'!FU$3-1))</f>
        <v/>
      </c>
      <c r="FV23" s="149" t="str">
        <f>IF(OR($B23="",$B23=0),"",$I23*$C23*(1+'Property Summary'!$L$21)^('MF CapEx'!FV$3-1))</f>
        <v/>
      </c>
      <c r="FW23" s="149" t="str">
        <f>IF(OR($B23="",$B23=0),"",$I23*$C23*(1+'Property Summary'!$L$21)^('MF CapEx'!FW$3-1))</f>
        <v/>
      </c>
      <c r="FX23" s="149" t="str">
        <f>IF(OR($B23="",$B23=0),"",$I23*$C23*(1+'Property Summary'!$L$21)^('MF CapEx'!FX$3-1))</f>
        <v/>
      </c>
      <c r="FY23" s="149" t="str">
        <f>IF(OR($B23="",$B23=0),"",$I23*$C23*(1+'Property Summary'!$L$21)^('MF CapEx'!FY$3-1))</f>
        <v/>
      </c>
      <c r="FZ23" s="149" t="str">
        <f>IF(OR($B23="",$B23=0),"",$I23*$C23*(1+'Property Summary'!$L$21)^('MF CapEx'!FZ$3-1))</f>
        <v/>
      </c>
      <c r="GA23" s="149" t="str">
        <f>IF(OR($B23="",$B23=0),"",$I23*$C23*(1+'Property Summary'!$L$21)^('MF CapEx'!GA$3-1))</f>
        <v/>
      </c>
      <c r="GB23" s="149" t="str">
        <f>IF(OR($B23="",$B23=0),"",$I23*$C23*(1+'Property Summary'!$L$21)^('MF CapEx'!GB$3-1))</f>
        <v/>
      </c>
      <c r="GC23" s="149" t="str">
        <f>IF(OR($B23="",$B23=0),"",$I23*$C23*(1+'Property Summary'!$L$21)^('MF CapEx'!GC$3-1))</f>
        <v/>
      </c>
      <c r="GD23" s="149" t="str">
        <f>IF(OR($B23="",$B23=0),"",$I23*$C23*(1+'Property Summary'!$L$21)^('MF CapEx'!GD$3-1))</f>
        <v/>
      </c>
      <c r="GE23" s="149" t="str">
        <f>IF(OR($B23="",$B23=0),"",$I23*$C23*(1+'Property Summary'!$L$21)^('MF CapEx'!GE$3-1))</f>
        <v/>
      </c>
      <c r="GF23" s="149" t="str">
        <f>IF(OR($B23="",$B23=0),"",$I23*$C23*(1+'Property Summary'!$L$21)^('MF CapEx'!GF$3-1))</f>
        <v/>
      </c>
      <c r="GG23" s="149" t="str">
        <f>IF(OR($B23="",$B23=0),"",$I23*$C23*(1+'Property Summary'!$L$21)^('MF CapEx'!GG$3-1))</f>
        <v/>
      </c>
      <c r="GH23" s="149" t="str">
        <f>IF(OR($B23="",$B23=0),"",$I23*$C23*(1+'Property Summary'!$L$21)^('MF CapEx'!GH$3-1))</f>
        <v/>
      </c>
      <c r="GI23" s="149" t="str">
        <f>IF(OR($B23="",$B23=0),"",$I23*$C23*(1+'Property Summary'!$L$21)^('MF CapEx'!GI$3-1))</f>
        <v/>
      </c>
      <c r="GJ23" s="149" t="str">
        <f>IF(OR($B23="",$B23=0),"",$I23*$C23*(1+'Property Summary'!$L$21)^('MF CapEx'!GJ$3-1))</f>
        <v/>
      </c>
      <c r="GK23" s="149" t="str">
        <f>IF(OR($B23="",$B23=0),"",$I23*$C23*(1+'Property Summary'!$L$21)^('MF CapEx'!GK$3-1))</f>
        <v/>
      </c>
      <c r="GL23" s="149" t="str">
        <f>IF(OR($B23="",$B23=0),"",$I23*$C23*(1+'Property Summary'!$L$21)^('MF CapEx'!GL$3-1))</f>
        <v/>
      </c>
      <c r="GM23" s="149" t="str">
        <f>IF(OR($B23="",$B23=0),"",$I23*$C23*(1+'Property Summary'!$L$21)^('MF CapEx'!GM$3-1))</f>
        <v/>
      </c>
      <c r="GN23" s="149" t="str">
        <f>IF(OR($B23="",$B23=0),"",$I23*$C23*(1+'Property Summary'!$L$21)^('MF CapEx'!GN$3-1))</f>
        <v/>
      </c>
      <c r="GO23" s="149" t="str">
        <f>IF(OR($B23="",$B23=0),"",$I23*$C23*(1+'Property Summary'!$L$21)^('MF CapEx'!GO$3-1))</f>
        <v/>
      </c>
      <c r="GP23" s="149" t="str">
        <f>IF(OR($B23="",$B23=0),"",$I23*$C23*(1+'Property Summary'!$L$21)^('MF CapEx'!GP$3-1))</f>
        <v/>
      </c>
    </row>
    <row r="24" spans="2:198" x14ac:dyDescent="0.3">
      <c r="B24" s="184">
        <f>'MF Rent Roll'!B23</f>
        <v>0</v>
      </c>
      <c r="C24" s="171">
        <f>'MF Rent Roll'!C23</f>
        <v>0</v>
      </c>
      <c r="D24" s="172">
        <f>'MF Rent Roll'!D23</f>
        <v>0</v>
      </c>
      <c r="E24" s="172">
        <f>'MF Rent Roll'!E23</f>
        <v>0</v>
      </c>
      <c r="F24" s="173">
        <f>'MF Rent Roll'!F23</f>
        <v>0</v>
      </c>
      <c r="G24" s="174">
        <f>'MF Rent Roll'!G23</f>
        <v>0</v>
      </c>
      <c r="H24" s="176">
        <f>'MF Rent Roll'!J23</f>
        <v>0</v>
      </c>
      <c r="I24" s="174">
        <f>'MF Rent Roll'!K23</f>
        <v>0</v>
      </c>
      <c r="J24" s="177">
        <f>'MF Rent Roll'!L23</f>
        <v>0</v>
      </c>
      <c r="K24" s="178">
        <f>'MF Rent Roll'!M23</f>
        <v>0</v>
      </c>
      <c r="L24" s="174">
        <f>'MF Rent Roll'!N23</f>
        <v>0</v>
      </c>
      <c r="M24" s="179">
        <f>'MF Rent Roll'!O23</f>
        <v>0</v>
      </c>
      <c r="N24" s="180" t="str">
        <f>'MF Rent Roll'!P23</f>
        <v/>
      </c>
      <c r="O24" s="181" t="str">
        <f>'MF Rent Roll'!Q23</f>
        <v/>
      </c>
      <c r="P24" s="104" t="str">
        <f>'MF Rent Roll'!R23</f>
        <v/>
      </c>
      <c r="S24" s="149" t="str">
        <f>IF(OR($B24="",$B24=0),"",$I24*$C24*(1+'Property Summary'!$L$21)^('MF CapEx'!S$3-1))</f>
        <v/>
      </c>
      <c r="T24" s="149" t="str">
        <f>IF(OR($B24="",$B24=0),"",$I24*$C24*(1+'Property Summary'!$L$21)^('MF CapEx'!T$3-1))</f>
        <v/>
      </c>
      <c r="U24" s="149" t="str">
        <f>IF(OR($B24="",$B24=0),"",$I24*$C24*(1+'Property Summary'!$L$21)^('MF CapEx'!U$3-1))</f>
        <v/>
      </c>
      <c r="V24" s="149" t="str">
        <f>IF(OR($B24="",$B24=0),"",$I24*$C24*(1+'Property Summary'!$L$21)^('MF CapEx'!V$3-1))</f>
        <v/>
      </c>
      <c r="W24" s="149" t="str">
        <f>IF(OR($B24="",$B24=0),"",$I24*$C24*(1+'Property Summary'!$L$21)^('MF CapEx'!W$3-1))</f>
        <v/>
      </c>
      <c r="X24" s="149" t="str">
        <f>IF(OR($B24="",$B24=0),"",$I24*$C24*(1+'Property Summary'!$L$21)^('MF CapEx'!X$3-1))</f>
        <v/>
      </c>
      <c r="Y24" s="149" t="str">
        <f>IF(OR($B24="",$B24=0),"",$I24*$C24*(1+'Property Summary'!$L$21)^('MF CapEx'!Y$3-1))</f>
        <v/>
      </c>
      <c r="Z24" s="149" t="str">
        <f>IF(OR($B24="",$B24=0),"",$I24*$C24*(1+'Property Summary'!$L$21)^('MF CapEx'!Z$3-1))</f>
        <v/>
      </c>
      <c r="AA24" s="149" t="str">
        <f>IF(OR($B24="",$B24=0),"",$I24*$C24*(1+'Property Summary'!$L$21)^('MF CapEx'!AA$3-1))</f>
        <v/>
      </c>
      <c r="AB24" s="149" t="str">
        <f>IF(OR($B24="",$B24=0),"",$I24*$C24*(1+'Property Summary'!$L$21)^('MF CapEx'!AB$3-1))</f>
        <v/>
      </c>
      <c r="AC24" s="149" t="str">
        <f>IF(OR($B24="",$B24=0),"",$I24*$C24*(1+'Property Summary'!$L$21)^('MF CapEx'!AC$3-1))</f>
        <v/>
      </c>
      <c r="AD24" s="149" t="str">
        <f>IF(OR($B24="",$B24=0),"",$I24*$C24*(1+'Property Summary'!$L$21)^('MF CapEx'!AD$3-1))</f>
        <v/>
      </c>
      <c r="AE24" s="149" t="str">
        <f>IF(OR($B24="",$B24=0),"",$I24*$C24*(1+'Property Summary'!$L$21)^('MF CapEx'!AE$3-1))</f>
        <v/>
      </c>
      <c r="AF24" s="149" t="str">
        <f>IF(OR($B24="",$B24=0),"",$I24*$C24*(1+'Property Summary'!$L$21)^('MF CapEx'!AF$3-1))</f>
        <v/>
      </c>
      <c r="AG24" s="149" t="str">
        <f>IF(OR($B24="",$B24=0),"",$I24*$C24*(1+'Property Summary'!$L$21)^('MF CapEx'!AG$3-1))</f>
        <v/>
      </c>
      <c r="AH24" s="149" t="str">
        <f>IF(OR($B24="",$B24=0),"",$I24*$C24*(1+'Property Summary'!$L$21)^('MF CapEx'!AH$3-1))</f>
        <v/>
      </c>
      <c r="AI24" s="149" t="str">
        <f>IF(OR($B24="",$B24=0),"",$I24*$C24*(1+'Property Summary'!$L$21)^('MF CapEx'!AI$3-1))</f>
        <v/>
      </c>
      <c r="AJ24" s="149" t="str">
        <f>IF(OR($B24="",$B24=0),"",$I24*$C24*(1+'Property Summary'!$L$21)^('MF CapEx'!AJ$3-1))</f>
        <v/>
      </c>
      <c r="AK24" s="149" t="str">
        <f>IF(OR($B24="",$B24=0),"",$I24*$C24*(1+'Property Summary'!$L$21)^('MF CapEx'!AK$3-1))</f>
        <v/>
      </c>
      <c r="AL24" s="149" t="str">
        <f>IF(OR($B24="",$B24=0),"",$I24*$C24*(1+'Property Summary'!$L$21)^('MF CapEx'!AL$3-1))</f>
        <v/>
      </c>
      <c r="AM24" s="149" t="str">
        <f>IF(OR($B24="",$B24=0),"",$I24*$C24*(1+'Property Summary'!$L$21)^('MF CapEx'!AM$3-1))</f>
        <v/>
      </c>
      <c r="AN24" s="149" t="str">
        <f>IF(OR($B24="",$B24=0),"",$I24*$C24*(1+'Property Summary'!$L$21)^('MF CapEx'!AN$3-1))</f>
        <v/>
      </c>
      <c r="AO24" s="149" t="str">
        <f>IF(OR($B24="",$B24=0),"",$I24*$C24*(1+'Property Summary'!$L$21)^('MF CapEx'!AO$3-1))</f>
        <v/>
      </c>
      <c r="AP24" s="149" t="str">
        <f>IF(OR($B24="",$B24=0),"",$I24*$C24*(1+'Property Summary'!$L$21)^('MF CapEx'!AP$3-1))</f>
        <v/>
      </c>
      <c r="AQ24" s="149" t="str">
        <f>IF(OR($B24="",$B24=0),"",$I24*$C24*(1+'Property Summary'!$L$21)^('MF CapEx'!AQ$3-1))</f>
        <v/>
      </c>
      <c r="AR24" s="149" t="str">
        <f>IF(OR($B24="",$B24=0),"",$I24*$C24*(1+'Property Summary'!$L$21)^('MF CapEx'!AR$3-1))</f>
        <v/>
      </c>
      <c r="AS24" s="149" t="str">
        <f>IF(OR($B24="",$B24=0),"",$I24*$C24*(1+'Property Summary'!$L$21)^('MF CapEx'!AS$3-1))</f>
        <v/>
      </c>
      <c r="AT24" s="149" t="str">
        <f>IF(OR($B24="",$B24=0),"",$I24*$C24*(1+'Property Summary'!$L$21)^('MF CapEx'!AT$3-1))</f>
        <v/>
      </c>
      <c r="AU24" s="149" t="str">
        <f>IF(OR($B24="",$B24=0),"",$I24*$C24*(1+'Property Summary'!$L$21)^('MF CapEx'!AU$3-1))</f>
        <v/>
      </c>
      <c r="AV24" s="149" t="str">
        <f>IF(OR($B24="",$B24=0),"",$I24*$C24*(1+'Property Summary'!$L$21)^('MF CapEx'!AV$3-1))</f>
        <v/>
      </c>
      <c r="AW24" s="149" t="str">
        <f>IF(OR($B24="",$B24=0),"",$I24*$C24*(1+'Property Summary'!$L$21)^('MF CapEx'!AW$3-1))</f>
        <v/>
      </c>
      <c r="AX24" s="149" t="str">
        <f>IF(OR($B24="",$B24=0),"",$I24*$C24*(1+'Property Summary'!$L$21)^('MF CapEx'!AX$3-1))</f>
        <v/>
      </c>
      <c r="AY24" s="149" t="str">
        <f>IF(OR($B24="",$B24=0),"",$I24*$C24*(1+'Property Summary'!$L$21)^('MF CapEx'!AY$3-1))</f>
        <v/>
      </c>
      <c r="AZ24" s="149" t="str">
        <f>IF(OR($B24="",$B24=0),"",$I24*$C24*(1+'Property Summary'!$L$21)^('MF CapEx'!AZ$3-1))</f>
        <v/>
      </c>
      <c r="BA24" s="149" t="str">
        <f>IF(OR($B24="",$B24=0),"",$I24*$C24*(1+'Property Summary'!$L$21)^('MF CapEx'!BA$3-1))</f>
        <v/>
      </c>
      <c r="BB24" s="149" t="str">
        <f>IF(OR($B24="",$B24=0),"",$I24*$C24*(1+'Property Summary'!$L$21)^('MF CapEx'!BB$3-1))</f>
        <v/>
      </c>
      <c r="BC24" s="149" t="str">
        <f>IF(OR($B24="",$B24=0),"",$I24*$C24*(1+'Property Summary'!$L$21)^('MF CapEx'!BC$3-1))</f>
        <v/>
      </c>
      <c r="BD24" s="149" t="str">
        <f>IF(OR($B24="",$B24=0),"",$I24*$C24*(1+'Property Summary'!$L$21)^('MF CapEx'!BD$3-1))</f>
        <v/>
      </c>
      <c r="BE24" s="149" t="str">
        <f>IF(OR($B24="",$B24=0),"",$I24*$C24*(1+'Property Summary'!$L$21)^('MF CapEx'!BE$3-1))</f>
        <v/>
      </c>
      <c r="BF24" s="149" t="str">
        <f>IF(OR($B24="",$B24=0),"",$I24*$C24*(1+'Property Summary'!$L$21)^('MF CapEx'!BF$3-1))</f>
        <v/>
      </c>
      <c r="BG24" s="149" t="str">
        <f>IF(OR($B24="",$B24=0),"",$I24*$C24*(1+'Property Summary'!$L$21)^('MF CapEx'!BG$3-1))</f>
        <v/>
      </c>
      <c r="BH24" s="149" t="str">
        <f>IF(OR($B24="",$B24=0),"",$I24*$C24*(1+'Property Summary'!$L$21)^('MF CapEx'!BH$3-1))</f>
        <v/>
      </c>
      <c r="BI24" s="149" t="str">
        <f>IF(OR($B24="",$B24=0),"",$I24*$C24*(1+'Property Summary'!$L$21)^('MF CapEx'!BI$3-1))</f>
        <v/>
      </c>
      <c r="BJ24" s="149" t="str">
        <f>IF(OR($B24="",$B24=0),"",$I24*$C24*(1+'Property Summary'!$L$21)^('MF CapEx'!BJ$3-1))</f>
        <v/>
      </c>
      <c r="BK24" s="149" t="str">
        <f>IF(OR($B24="",$B24=0),"",$I24*$C24*(1+'Property Summary'!$L$21)^('MF CapEx'!BK$3-1))</f>
        <v/>
      </c>
      <c r="BL24" s="149" t="str">
        <f>IF(OR($B24="",$B24=0),"",$I24*$C24*(1+'Property Summary'!$L$21)^('MF CapEx'!BL$3-1))</f>
        <v/>
      </c>
      <c r="BM24" s="149" t="str">
        <f>IF(OR($B24="",$B24=0),"",$I24*$C24*(1+'Property Summary'!$L$21)^('MF CapEx'!BM$3-1))</f>
        <v/>
      </c>
      <c r="BN24" s="149" t="str">
        <f>IF(OR($B24="",$B24=0),"",$I24*$C24*(1+'Property Summary'!$L$21)^('MF CapEx'!BN$3-1))</f>
        <v/>
      </c>
      <c r="BO24" s="149" t="str">
        <f>IF(OR($B24="",$B24=0),"",$I24*$C24*(1+'Property Summary'!$L$21)^('MF CapEx'!BO$3-1))</f>
        <v/>
      </c>
      <c r="BP24" s="149" t="str">
        <f>IF(OR($B24="",$B24=0),"",$I24*$C24*(1+'Property Summary'!$L$21)^('MF CapEx'!BP$3-1))</f>
        <v/>
      </c>
      <c r="BQ24" s="149" t="str">
        <f>IF(OR($B24="",$B24=0),"",$I24*$C24*(1+'Property Summary'!$L$21)^('MF CapEx'!BQ$3-1))</f>
        <v/>
      </c>
      <c r="BR24" s="149" t="str">
        <f>IF(OR($B24="",$B24=0),"",$I24*$C24*(1+'Property Summary'!$L$21)^('MF CapEx'!BR$3-1))</f>
        <v/>
      </c>
      <c r="BS24" s="149" t="str">
        <f>IF(OR($B24="",$B24=0),"",$I24*$C24*(1+'Property Summary'!$L$21)^('MF CapEx'!BS$3-1))</f>
        <v/>
      </c>
      <c r="BT24" s="149" t="str">
        <f>IF(OR($B24="",$B24=0),"",$I24*$C24*(1+'Property Summary'!$L$21)^('MF CapEx'!BT$3-1))</f>
        <v/>
      </c>
      <c r="BU24" s="149" t="str">
        <f>IF(OR($B24="",$B24=0),"",$I24*$C24*(1+'Property Summary'!$L$21)^('MF CapEx'!BU$3-1))</f>
        <v/>
      </c>
      <c r="BV24" s="149" t="str">
        <f>IF(OR($B24="",$B24=0),"",$I24*$C24*(1+'Property Summary'!$L$21)^('MF CapEx'!BV$3-1))</f>
        <v/>
      </c>
      <c r="BW24" s="149" t="str">
        <f>IF(OR($B24="",$B24=0),"",$I24*$C24*(1+'Property Summary'!$L$21)^('MF CapEx'!BW$3-1))</f>
        <v/>
      </c>
      <c r="BX24" s="149" t="str">
        <f>IF(OR($B24="",$B24=0),"",$I24*$C24*(1+'Property Summary'!$L$21)^('MF CapEx'!BX$3-1))</f>
        <v/>
      </c>
      <c r="BY24" s="149" t="str">
        <f>IF(OR($B24="",$B24=0),"",$I24*$C24*(1+'Property Summary'!$L$21)^('MF CapEx'!BY$3-1))</f>
        <v/>
      </c>
      <c r="BZ24" s="149" t="str">
        <f>IF(OR($B24="",$B24=0),"",$I24*$C24*(1+'Property Summary'!$L$21)^('MF CapEx'!BZ$3-1))</f>
        <v/>
      </c>
      <c r="CA24" s="149" t="str">
        <f>IF(OR($B24="",$B24=0),"",$I24*$C24*(1+'Property Summary'!$L$21)^('MF CapEx'!CA$3-1))</f>
        <v/>
      </c>
      <c r="CB24" s="149" t="str">
        <f>IF(OR($B24="",$B24=0),"",$I24*$C24*(1+'Property Summary'!$L$21)^('MF CapEx'!CB$3-1))</f>
        <v/>
      </c>
      <c r="CC24" s="149" t="str">
        <f>IF(OR($B24="",$B24=0),"",$I24*$C24*(1+'Property Summary'!$L$21)^('MF CapEx'!CC$3-1))</f>
        <v/>
      </c>
      <c r="CD24" s="149" t="str">
        <f>IF(OR($B24="",$B24=0),"",$I24*$C24*(1+'Property Summary'!$L$21)^('MF CapEx'!CD$3-1))</f>
        <v/>
      </c>
      <c r="CE24" s="149" t="str">
        <f>IF(OR($B24="",$B24=0),"",$I24*$C24*(1+'Property Summary'!$L$21)^('MF CapEx'!CE$3-1))</f>
        <v/>
      </c>
      <c r="CF24" s="149" t="str">
        <f>IF(OR($B24="",$B24=0),"",$I24*$C24*(1+'Property Summary'!$L$21)^('MF CapEx'!CF$3-1))</f>
        <v/>
      </c>
      <c r="CG24" s="149" t="str">
        <f>IF(OR($B24="",$B24=0),"",$I24*$C24*(1+'Property Summary'!$L$21)^('MF CapEx'!CG$3-1))</f>
        <v/>
      </c>
      <c r="CH24" s="149" t="str">
        <f>IF(OR($B24="",$B24=0),"",$I24*$C24*(1+'Property Summary'!$L$21)^('MF CapEx'!CH$3-1))</f>
        <v/>
      </c>
      <c r="CI24" s="149" t="str">
        <f>IF(OR($B24="",$B24=0),"",$I24*$C24*(1+'Property Summary'!$L$21)^('MF CapEx'!CI$3-1))</f>
        <v/>
      </c>
      <c r="CJ24" s="149" t="str">
        <f>IF(OR($B24="",$B24=0),"",$I24*$C24*(1+'Property Summary'!$L$21)^('MF CapEx'!CJ$3-1))</f>
        <v/>
      </c>
      <c r="CK24" s="149" t="str">
        <f>IF(OR($B24="",$B24=0),"",$I24*$C24*(1+'Property Summary'!$L$21)^('MF CapEx'!CK$3-1))</f>
        <v/>
      </c>
      <c r="CL24" s="149" t="str">
        <f>IF(OR($B24="",$B24=0),"",$I24*$C24*(1+'Property Summary'!$L$21)^('MF CapEx'!CL$3-1))</f>
        <v/>
      </c>
      <c r="CM24" s="149" t="str">
        <f>IF(OR($B24="",$B24=0),"",$I24*$C24*(1+'Property Summary'!$L$21)^('MF CapEx'!CM$3-1))</f>
        <v/>
      </c>
      <c r="CN24" s="149" t="str">
        <f>IF(OR($B24="",$B24=0),"",$I24*$C24*(1+'Property Summary'!$L$21)^('MF CapEx'!CN$3-1))</f>
        <v/>
      </c>
      <c r="CO24" s="149" t="str">
        <f>IF(OR($B24="",$B24=0),"",$I24*$C24*(1+'Property Summary'!$L$21)^('MF CapEx'!CO$3-1))</f>
        <v/>
      </c>
      <c r="CP24" s="149" t="str">
        <f>IF(OR($B24="",$B24=0),"",$I24*$C24*(1+'Property Summary'!$L$21)^('MF CapEx'!CP$3-1))</f>
        <v/>
      </c>
      <c r="CQ24" s="149" t="str">
        <f>IF(OR($B24="",$B24=0),"",$I24*$C24*(1+'Property Summary'!$L$21)^('MF CapEx'!CQ$3-1))</f>
        <v/>
      </c>
      <c r="CR24" s="149" t="str">
        <f>IF(OR($B24="",$B24=0),"",$I24*$C24*(1+'Property Summary'!$L$21)^('MF CapEx'!CR$3-1))</f>
        <v/>
      </c>
      <c r="CS24" s="149" t="str">
        <f>IF(OR($B24="",$B24=0),"",$I24*$C24*(1+'Property Summary'!$L$21)^('MF CapEx'!CS$3-1))</f>
        <v/>
      </c>
      <c r="CT24" s="149" t="str">
        <f>IF(OR($B24="",$B24=0),"",$I24*$C24*(1+'Property Summary'!$L$21)^('MF CapEx'!CT$3-1))</f>
        <v/>
      </c>
      <c r="CU24" s="149" t="str">
        <f>IF(OR($B24="",$B24=0),"",$I24*$C24*(1+'Property Summary'!$L$21)^('MF CapEx'!CU$3-1))</f>
        <v/>
      </c>
      <c r="CV24" s="149" t="str">
        <f>IF(OR($B24="",$B24=0),"",$I24*$C24*(1+'Property Summary'!$L$21)^('MF CapEx'!CV$3-1))</f>
        <v/>
      </c>
      <c r="CW24" s="149" t="str">
        <f>IF(OR($B24="",$B24=0),"",$I24*$C24*(1+'Property Summary'!$L$21)^('MF CapEx'!CW$3-1))</f>
        <v/>
      </c>
      <c r="CX24" s="149" t="str">
        <f>IF(OR($B24="",$B24=0),"",$I24*$C24*(1+'Property Summary'!$L$21)^('MF CapEx'!CX$3-1))</f>
        <v/>
      </c>
      <c r="CY24" s="149" t="str">
        <f>IF(OR($B24="",$B24=0),"",$I24*$C24*(1+'Property Summary'!$L$21)^('MF CapEx'!CY$3-1))</f>
        <v/>
      </c>
      <c r="CZ24" s="149" t="str">
        <f>IF(OR($B24="",$B24=0),"",$I24*$C24*(1+'Property Summary'!$L$21)^('MF CapEx'!CZ$3-1))</f>
        <v/>
      </c>
      <c r="DA24" s="149" t="str">
        <f>IF(OR($B24="",$B24=0),"",$I24*$C24*(1+'Property Summary'!$L$21)^('MF CapEx'!DA$3-1))</f>
        <v/>
      </c>
      <c r="DB24" s="149" t="str">
        <f>IF(OR($B24="",$B24=0),"",$I24*$C24*(1+'Property Summary'!$L$21)^('MF CapEx'!DB$3-1))</f>
        <v/>
      </c>
      <c r="DC24" s="149" t="str">
        <f>IF(OR($B24="",$B24=0),"",$I24*$C24*(1+'Property Summary'!$L$21)^('MF CapEx'!DC$3-1))</f>
        <v/>
      </c>
      <c r="DD24" s="149" t="str">
        <f>IF(OR($B24="",$B24=0),"",$I24*$C24*(1+'Property Summary'!$L$21)^('MF CapEx'!DD$3-1))</f>
        <v/>
      </c>
      <c r="DE24" s="149" t="str">
        <f>IF(OR($B24="",$B24=0),"",$I24*$C24*(1+'Property Summary'!$L$21)^('MF CapEx'!DE$3-1))</f>
        <v/>
      </c>
      <c r="DF24" s="149" t="str">
        <f>IF(OR($B24="",$B24=0),"",$I24*$C24*(1+'Property Summary'!$L$21)^('MF CapEx'!DF$3-1))</f>
        <v/>
      </c>
      <c r="DG24" s="149" t="str">
        <f>IF(OR($B24="",$B24=0),"",$I24*$C24*(1+'Property Summary'!$L$21)^('MF CapEx'!DG$3-1))</f>
        <v/>
      </c>
      <c r="DH24" s="149" t="str">
        <f>IF(OR($B24="",$B24=0),"",$I24*$C24*(1+'Property Summary'!$L$21)^('MF CapEx'!DH$3-1))</f>
        <v/>
      </c>
      <c r="DI24" s="149" t="str">
        <f>IF(OR($B24="",$B24=0),"",$I24*$C24*(1+'Property Summary'!$L$21)^('MF CapEx'!DI$3-1))</f>
        <v/>
      </c>
      <c r="DJ24" s="149" t="str">
        <f>IF(OR($B24="",$B24=0),"",$I24*$C24*(1+'Property Summary'!$L$21)^('MF CapEx'!DJ$3-1))</f>
        <v/>
      </c>
      <c r="DK24" s="149" t="str">
        <f>IF(OR($B24="",$B24=0),"",$I24*$C24*(1+'Property Summary'!$L$21)^('MF CapEx'!DK$3-1))</f>
        <v/>
      </c>
      <c r="DL24" s="149" t="str">
        <f>IF(OR($B24="",$B24=0),"",$I24*$C24*(1+'Property Summary'!$L$21)^('MF CapEx'!DL$3-1))</f>
        <v/>
      </c>
      <c r="DM24" s="149" t="str">
        <f>IF(OR($B24="",$B24=0),"",$I24*$C24*(1+'Property Summary'!$L$21)^('MF CapEx'!DM$3-1))</f>
        <v/>
      </c>
      <c r="DN24" s="149" t="str">
        <f>IF(OR($B24="",$B24=0),"",$I24*$C24*(1+'Property Summary'!$L$21)^('MF CapEx'!DN$3-1))</f>
        <v/>
      </c>
      <c r="DO24" s="149" t="str">
        <f>IF(OR($B24="",$B24=0),"",$I24*$C24*(1+'Property Summary'!$L$21)^('MF CapEx'!DO$3-1))</f>
        <v/>
      </c>
      <c r="DP24" s="149" t="str">
        <f>IF(OR($B24="",$B24=0),"",$I24*$C24*(1+'Property Summary'!$L$21)^('MF CapEx'!DP$3-1))</f>
        <v/>
      </c>
      <c r="DQ24" s="149" t="str">
        <f>IF(OR($B24="",$B24=0),"",$I24*$C24*(1+'Property Summary'!$L$21)^('MF CapEx'!DQ$3-1))</f>
        <v/>
      </c>
      <c r="DR24" s="149" t="str">
        <f>IF(OR($B24="",$B24=0),"",$I24*$C24*(1+'Property Summary'!$L$21)^('MF CapEx'!DR$3-1))</f>
        <v/>
      </c>
      <c r="DS24" s="149" t="str">
        <f>IF(OR($B24="",$B24=0),"",$I24*$C24*(1+'Property Summary'!$L$21)^('MF CapEx'!DS$3-1))</f>
        <v/>
      </c>
      <c r="DT24" s="149" t="str">
        <f>IF(OR($B24="",$B24=0),"",$I24*$C24*(1+'Property Summary'!$L$21)^('MF CapEx'!DT$3-1))</f>
        <v/>
      </c>
      <c r="DU24" s="149" t="str">
        <f>IF(OR($B24="",$B24=0),"",$I24*$C24*(1+'Property Summary'!$L$21)^('MF CapEx'!DU$3-1))</f>
        <v/>
      </c>
      <c r="DV24" s="149" t="str">
        <f>IF(OR($B24="",$B24=0),"",$I24*$C24*(1+'Property Summary'!$L$21)^('MF CapEx'!DV$3-1))</f>
        <v/>
      </c>
      <c r="DW24" s="149" t="str">
        <f>IF(OR($B24="",$B24=0),"",$I24*$C24*(1+'Property Summary'!$L$21)^('MF CapEx'!DW$3-1))</f>
        <v/>
      </c>
      <c r="DX24" s="149" t="str">
        <f>IF(OR($B24="",$B24=0),"",$I24*$C24*(1+'Property Summary'!$L$21)^('MF CapEx'!DX$3-1))</f>
        <v/>
      </c>
      <c r="DY24" s="149" t="str">
        <f>IF(OR($B24="",$B24=0),"",$I24*$C24*(1+'Property Summary'!$L$21)^('MF CapEx'!DY$3-1))</f>
        <v/>
      </c>
      <c r="DZ24" s="149" t="str">
        <f>IF(OR($B24="",$B24=0),"",$I24*$C24*(1+'Property Summary'!$L$21)^('MF CapEx'!DZ$3-1))</f>
        <v/>
      </c>
      <c r="EA24" s="149" t="str">
        <f>IF(OR($B24="",$B24=0),"",$I24*$C24*(1+'Property Summary'!$L$21)^('MF CapEx'!EA$3-1))</f>
        <v/>
      </c>
      <c r="EB24" s="149" t="str">
        <f>IF(OR($B24="",$B24=0),"",$I24*$C24*(1+'Property Summary'!$L$21)^('MF CapEx'!EB$3-1))</f>
        <v/>
      </c>
      <c r="EC24" s="149" t="str">
        <f>IF(OR($B24="",$B24=0),"",$I24*$C24*(1+'Property Summary'!$L$21)^('MF CapEx'!EC$3-1))</f>
        <v/>
      </c>
      <c r="ED24" s="149" t="str">
        <f>IF(OR($B24="",$B24=0),"",$I24*$C24*(1+'Property Summary'!$L$21)^('MF CapEx'!ED$3-1))</f>
        <v/>
      </c>
      <c r="EE24" s="149" t="str">
        <f>IF(OR($B24="",$B24=0),"",$I24*$C24*(1+'Property Summary'!$L$21)^('MF CapEx'!EE$3-1))</f>
        <v/>
      </c>
      <c r="EF24" s="149" t="str">
        <f>IF(OR($B24="",$B24=0),"",$I24*$C24*(1+'Property Summary'!$L$21)^('MF CapEx'!EF$3-1))</f>
        <v/>
      </c>
      <c r="EG24" s="149" t="str">
        <f>IF(OR($B24="",$B24=0),"",$I24*$C24*(1+'Property Summary'!$L$21)^('MF CapEx'!EG$3-1))</f>
        <v/>
      </c>
      <c r="EH24" s="149" t="str">
        <f>IF(OR($B24="",$B24=0),"",$I24*$C24*(1+'Property Summary'!$L$21)^('MF CapEx'!EH$3-1))</f>
        <v/>
      </c>
      <c r="EI24" s="149" t="str">
        <f>IF(OR($B24="",$B24=0),"",$I24*$C24*(1+'Property Summary'!$L$21)^('MF CapEx'!EI$3-1))</f>
        <v/>
      </c>
      <c r="EJ24" s="149" t="str">
        <f>IF(OR($B24="",$B24=0),"",$I24*$C24*(1+'Property Summary'!$L$21)^('MF CapEx'!EJ$3-1))</f>
        <v/>
      </c>
      <c r="EK24" s="149" t="str">
        <f>IF(OR($B24="",$B24=0),"",$I24*$C24*(1+'Property Summary'!$L$21)^('MF CapEx'!EK$3-1))</f>
        <v/>
      </c>
      <c r="EL24" s="149" t="str">
        <f>IF(OR($B24="",$B24=0),"",$I24*$C24*(1+'Property Summary'!$L$21)^('MF CapEx'!EL$3-1))</f>
        <v/>
      </c>
      <c r="EM24" s="149" t="str">
        <f>IF(OR($B24="",$B24=0),"",$I24*$C24*(1+'Property Summary'!$L$21)^('MF CapEx'!EM$3-1))</f>
        <v/>
      </c>
      <c r="EN24" s="149" t="str">
        <f>IF(OR($B24="",$B24=0),"",$I24*$C24*(1+'Property Summary'!$L$21)^('MF CapEx'!EN$3-1))</f>
        <v/>
      </c>
      <c r="EO24" s="149" t="str">
        <f>IF(OR($B24="",$B24=0),"",$I24*$C24*(1+'Property Summary'!$L$21)^('MF CapEx'!EO$3-1))</f>
        <v/>
      </c>
      <c r="EP24" s="149" t="str">
        <f>IF(OR($B24="",$B24=0),"",$I24*$C24*(1+'Property Summary'!$L$21)^('MF CapEx'!EP$3-1))</f>
        <v/>
      </c>
      <c r="EQ24" s="149" t="str">
        <f>IF(OR($B24="",$B24=0),"",$I24*$C24*(1+'Property Summary'!$L$21)^('MF CapEx'!EQ$3-1))</f>
        <v/>
      </c>
      <c r="ER24" s="149" t="str">
        <f>IF(OR($B24="",$B24=0),"",$I24*$C24*(1+'Property Summary'!$L$21)^('MF CapEx'!ER$3-1))</f>
        <v/>
      </c>
      <c r="ES24" s="149" t="str">
        <f>IF(OR($B24="",$B24=0),"",$I24*$C24*(1+'Property Summary'!$L$21)^('MF CapEx'!ES$3-1))</f>
        <v/>
      </c>
      <c r="ET24" s="149" t="str">
        <f>IF(OR($B24="",$B24=0),"",$I24*$C24*(1+'Property Summary'!$L$21)^('MF CapEx'!ET$3-1))</f>
        <v/>
      </c>
      <c r="EU24" s="149" t="str">
        <f>IF(OR($B24="",$B24=0),"",$I24*$C24*(1+'Property Summary'!$L$21)^('MF CapEx'!EU$3-1))</f>
        <v/>
      </c>
      <c r="EV24" s="149" t="str">
        <f>IF(OR($B24="",$B24=0),"",$I24*$C24*(1+'Property Summary'!$L$21)^('MF CapEx'!EV$3-1))</f>
        <v/>
      </c>
      <c r="EW24" s="149" t="str">
        <f>IF(OR($B24="",$B24=0),"",$I24*$C24*(1+'Property Summary'!$L$21)^('MF CapEx'!EW$3-1))</f>
        <v/>
      </c>
      <c r="EX24" s="149" t="str">
        <f>IF(OR($B24="",$B24=0),"",$I24*$C24*(1+'Property Summary'!$L$21)^('MF CapEx'!EX$3-1))</f>
        <v/>
      </c>
      <c r="EY24" s="149" t="str">
        <f>IF(OR($B24="",$B24=0),"",$I24*$C24*(1+'Property Summary'!$L$21)^('MF CapEx'!EY$3-1))</f>
        <v/>
      </c>
      <c r="EZ24" s="149" t="str">
        <f>IF(OR($B24="",$B24=0),"",$I24*$C24*(1+'Property Summary'!$L$21)^('MF CapEx'!EZ$3-1))</f>
        <v/>
      </c>
      <c r="FA24" s="149" t="str">
        <f>IF(OR($B24="",$B24=0),"",$I24*$C24*(1+'Property Summary'!$L$21)^('MF CapEx'!FA$3-1))</f>
        <v/>
      </c>
      <c r="FB24" s="149" t="str">
        <f>IF(OR($B24="",$B24=0),"",$I24*$C24*(1+'Property Summary'!$L$21)^('MF CapEx'!FB$3-1))</f>
        <v/>
      </c>
      <c r="FC24" s="149" t="str">
        <f>IF(OR($B24="",$B24=0),"",$I24*$C24*(1+'Property Summary'!$L$21)^('MF CapEx'!FC$3-1))</f>
        <v/>
      </c>
      <c r="FD24" s="149" t="str">
        <f>IF(OR($B24="",$B24=0),"",$I24*$C24*(1+'Property Summary'!$L$21)^('MF CapEx'!FD$3-1))</f>
        <v/>
      </c>
      <c r="FE24" s="149" t="str">
        <f>IF(OR($B24="",$B24=0),"",$I24*$C24*(1+'Property Summary'!$L$21)^('MF CapEx'!FE$3-1))</f>
        <v/>
      </c>
      <c r="FF24" s="149" t="str">
        <f>IF(OR($B24="",$B24=0),"",$I24*$C24*(1+'Property Summary'!$L$21)^('MF CapEx'!FF$3-1))</f>
        <v/>
      </c>
      <c r="FG24" s="149" t="str">
        <f>IF(OR($B24="",$B24=0),"",$I24*$C24*(1+'Property Summary'!$L$21)^('MF CapEx'!FG$3-1))</f>
        <v/>
      </c>
      <c r="FH24" s="149" t="str">
        <f>IF(OR($B24="",$B24=0),"",$I24*$C24*(1+'Property Summary'!$L$21)^('MF CapEx'!FH$3-1))</f>
        <v/>
      </c>
      <c r="FI24" s="149" t="str">
        <f>IF(OR($B24="",$B24=0),"",$I24*$C24*(1+'Property Summary'!$L$21)^('MF CapEx'!FI$3-1))</f>
        <v/>
      </c>
      <c r="FJ24" s="149" t="str">
        <f>IF(OR($B24="",$B24=0),"",$I24*$C24*(1+'Property Summary'!$L$21)^('MF CapEx'!FJ$3-1))</f>
        <v/>
      </c>
      <c r="FK24" s="149" t="str">
        <f>IF(OR($B24="",$B24=0),"",$I24*$C24*(1+'Property Summary'!$L$21)^('MF CapEx'!FK$3-1))</f>
        <v/>
      </c>
      <c r="FL24" s="149" t="str">
        <f>IF(OR($B24="",$B24=0),"",$I24*$C24*(1+'Property Summary'!$L$21)^('MF CapEx'!FL$3-1))</f>
        <v/>
      </c>
      <c r="FM24" s="149" t="str">
        <f>IF(OR($B24="",$B24=0),"",$I24*$C24*(1+'Property Summary'!$L$21)^('MF CapEx'!FM$3-1))</f>
        <v/>
      </c>
      <c r="FN24" s="149" t="str">
        <f>IF(OR($B24="",$B24=0),"",$I24*$C24*(1+'Property Summary'!$L$21)^('MF CapEx'!FN$3-1))</f>
        <v/>
      </c>
      <c r="FO24" s="149" t="str">
        <f>IF(OR($B24="",$B24=0),"",$I24*$C24*(1+'Property Summary'!$L$21)^('MF CapEx'!FO$3-1))</f>
        <v/>
      </c>
      <c r="FP24" s="149" t="str">
        <f>IF(OR($B24="",$B24=0),"",$I24*$C24*(1+'Property Summary'!$L$21)^('MF CapEx'!FP$3-1))</f>
        <v/>
      </c>
      <c r="FQ24" s="149" t="str">
        <f>IF(OR($B24="",$B24=0),"",$I24*$C24*(1+'Property Summary'!$L$21)^('MF CapEx'!FQ$3-1))</f>
        <v/>
      </c>
      <c r="FR24" s="149" t="str">
        <f>IF(OR($B24="",$B24=0),"",$I24*$C24*(1+'Property Summary'!$L$21)^('MF CapEx'!FR$3-1))</f>
        <v/>
      </c>
      <c r="FS24" s="149" t="str">
        <f>IF(OR($B24="",$B24=0),"",$I24*$C24*(1+'Property Summary'!$L$21)^('MF CapEx'!FS$3-1))</f>
        <v/>
      </c>
      <c r="FT24" s="149" t="str">
        <f>IF(OR($B24="",$B24=0),"",$I24*$C24*(1+'Property Summary'!$L$21)^('MF CapEx'!FT$3-1))</f>
        <v/>
      </c>
      <c r="FU24" s="149" t="str">
        <f>IF(OR($B24="",$B24=0),"",$I24*$C24*(1+'Property Summary'!$L$21)^('MF CapEx'!FU$3-1))</f>
        <v/>
      </c>
      <c r="FV24" s="149" t="str">
        <f>IF(OR($B24="",$B24=0),"",$I24*$C24*(1+'Property Summary'!$L$21)^('MF CapEx'!FV$3-1))</f>
        <v/>
      </c>
      <c r="FW24" s="149" t="str">
        <f>IF(OR($B24="",$B24=0),"",$I24*$C24*(1+'Property Summary'!$L$21)^('MF CapEx'!FW$3-1))</f>
        <v/>
      </c>
      <c r="FX24" s="149" t="str">
        <f>IF(OR($B24="",$B24=0),"",$I24*$C24*(1+'Property Summary'!$L$21)^('MF CapEx'!FX$3-1))</f>
        <v/>
      </c>
      <c r="FY24" s="149" t="str">
        <f>IF(OR($B24="",$B24=0),"",$I24*$C24*(1+'Property Summary'!$L$21)^('MF CapEx'!FY$3-1))</f>
        <v/>
      </c>
      <c r="FZ24" s="149" t="str">
        <f>IF(OR($B24="",$B24=0),"",$I24*$C24*(1+'Property Summary'!$L$21)^('MF CapEx'!FZ$3-1))</f>
        <v/>
      </c>
      <c r="GA24" s="149" t="str">
        <f>IF(OR($B24="",$B24=0),"",$I24*$C24*(1+'Property Summary'!$L$21)^('MF CapEx'!GA$3-1))</f>
        <v/>
      </c>
      <c r="GB24" s="149" t="str">
        <f>IF(OR($B24="",$B24=0),"",$I24*$C24*(1+'Property Summary'!$L$21)^('MF CapEx'!GB$3-1))</f>
        <v/>
      </c>
      <c r="GC24" s="149" t="str">
        <f>IF(OR($B24="",$B24=0),"",$I24*$C24*(1+'Property Summary'!$L$21)^('MF CapEx'!GC$3-1))</f>
        <v/>
      </c>
      <c r="GD24" s="149" t="str">
        <f>IF(OR($B24="",$B24=0),"",$I24*$C24*(1+'Property Summary'!$L$21)^('MF CapEx'!GD$3-1))</f>
        <v/>
      </c>
      <c r="GE24" s="149" t="str">
        <f>IF(OR($B24="",$B24=0),"",$I24*$C24*(1+'Property Summary'!$L$21)^('MF CapEx'!GE$3-1))</f>
        <v/>
      </c>
      <c r="GF24" s="149" t="str">
        <f>IF(OR($B24="",$B24=0),"",$I24*$C24*(1+'Property Summary'!$L$21)^('MF CapEx'!GF$3-1))</f>
        <v/>
      </c>
      <c r="GG24" s="149" t="str">
        <f>IF(OR($B24="",$B24=0),"",$I24*$C24*(1+'Property Summary'!$L$21)^('MF CapEx'!GG$3-1))</f>
        <v/>
      </c>
      <c r="GH24" s="149" t="str">
        <f>IF(OR($B24="",$B24=0),"",$I24*$C24*(1+'Property Summary'!$L$21)^('MF CapEx'!GH$3-1))</f>
        <v/>
      </c>
      <c r="GI24" s="149" t="str">
        <f>IF(OR($B24="",$B24=0),"",$I24*$C24*(1+'Property Summary'!$L$21)^('MF CapEx'!GI$3-1))</f>
        <v/>
      </c>
      <c r="GJ24" s="149" t="str">
        <f>IF(OR($B24="",$B24=0),"",$I24*$C24*(1+'Property Summary'!$L$21)^('MF CapEx'!GJ$3-1))</f>
        <v/>
      </c>
      <c r="GK24" s="149" t="str">
        <f>IF(OR($B24="",$B24=0),"",$I24*$C24*(1+'Property Summary'!$L$21)^('MF CapEx'!GK$3-1))</f>
        <v/>
      </c>
      <c r="GL24" s="149" t="str">
        <f>IF(OR($B24="",$B24=0),"",$I24*$C24*(1+'Property Summary'!$L$21)^('MF CapEx'!GL$3-1))</f>
        <v/>
      </c>
      <c r="GM24" s="149" t="str">
        <f>IF(OR($B24="",$B24=0),"",$I24*$C24*(1+'Property Summary'!$L$21)^('MF CapEx'!GM$3-1))</f>
        <v/>
      </c>
      <c r="GN24" s="149" t="str">
        <f>IF(OR($B24="",$B24=0),"",$I24*$C24*(1+'Property Summary'!$L$21)^('MF CapEx'!GN$3-1))</f>
        <v/>
      </c>
      <c r="GO24" s="149" t="str">
        <f>IF(OR($B24="",$B24=0),"",$I24*$C24*(1+'Property Summary'!$L$21)^('MF CapEx'!GO$3-1))</f>
        <v/>
      </c>
      <c r="GP24" s="149" t="str">
        <f>IF(OR($B24="",$B24=0),"",$I24*$C24*(1+'Property Summary'!$L$21)^('MF CapEx'!GP$3-1))</f>
        <v/>
      </c>
    </row>
    <row r="25" spans="2:198" x14ac:dyDescent="0.3">
      <c r="B25" s="184">
        <f>'MF Rent Roll'!B24</f>
        <v>0</v>
      </c>
      <c r="C25" s="171">
        <f>'MF Rent Roll'!C24</f>
        <v>0</v>
      </c>
      <c r="D25" s="172">
        <f>'MF Rent Roll'!D24</f>
        <v>0</v>
      </c>
      <c r="E25" s="172">
        <f>'MF Rent Roll'!E24</f>
        <v>0</v>
      </c>
      <c r="F25" s="173">
        <f>'MF Rent Roll'!F24</f>
        <v>0</v>
      </c>
      <c r="G25" s="174">
        <f>'MF Rent Roll'!G24</f>
        <v>0</v>
      </c>
      <c r="H25" s="176">
        <f>'MF Rent Roll'!J24</f>
        <v>0</v>
      </c>
      <c r="I25" s="174">
        <f>'MF Rent Roll'!K24</f>
        <v>0</v>
      </c>
      <c r="J25" s="177">
        <f>'MF Rent Roll'!L24</f>
        <v>0</v>
      </c>
      <c r="K25" s="178">
        <f>'MF Rent Roll'!M24</f>
        <v>0</v>
      </c>
      <c r="L25" s="174">
        <f>'MF Rent Roll'!N24</f>
        <v>0</v>
      </c>
      <c r="M25" s="179">
        <f>'MF Rent Roll'!O24</f>
        <v>0</v>
      </c>
      <c r="N25" s="180" t="str">
        <f>'MF Rent Roll'!P24</f>
        <v/>
      </c>
      <c r="O25" s="181" t="str">
        <f>'MF Rent Roll'!Q24</f>
        <v/>
      </c>
      <c r="P25" s="104" t="str">
        <f>'MF Rent Roll'!R24</f>
        <v/>
      </c>
      <c r="S25" s="149" t="str">
        <f>IF(OR($B25="",$B25=0),"",$I25*$C25*(1+'Property Summary'!$L$21)^('MF CapEx'!S$3-1))</f>
        <v/>
      </c>
      <c r="T25" s="149" t="str">
        <f>IF(OR($B25="",$B25=0),"",$I25*$C25*(1+'Property Summary'!$L$21)^('MF CapEx'!T$3-1))</f>
        <v/>
      </c>
      <c r="U25" s="149" t="str">
        <f>IF(OR($B25="",$B25=0),"",$I25*$C25*(1+'Property Summary'!$L$21)^('MF CapEx'!U$3-1))</f>
        <v/>
      </c>
      <c r="V25" s="149" t="str">
        <f>IF(OR($B25="",$B25=0),"",$I25*$C25*(1+'Property Summary'!$L$21)^('MF CapEx'!V$3-1))</f>
        <v/>
      </c>
      <c r="W25" s="149" t="str">
        <f>IF(OR($B25="",$B25=0),"",$I25*$C25*(1+'Property Summary'!$L$21)^('MF CapEx'!W$3-1))</f>
        <v/>
      </c>
      <c r="X25" s="149" t="str">
        <f>IF(OR($B25="",$B25=0),"",$I25*$C25*(1+'Property Summary'!$L$21)^('MF CapEx'!X$3-1))</f>
        <v/>
      </c>
      <c r="Y25" s="149" t="str">
        <f>IF(OR($B25="",$B25=0),"",$I25*$C25*(1+'Property Summary'!$L$21)^('MF CapEx'!Y$3-1))</f>
        <v/>
      </c>
      <c r="Z25" s="149" t="str">
        <f>IF(OR($B25="",$B25=0),"",$I25*$C25*(1+'Property Summary'!$L$21)^('MF CapEx'!Z$3-1))</f>
        <v/>
      </c>
      <c r="AA25" s="149" t="str">
        <f>IF(OR($B25="",$B25=0),"",$I25*$C25*(1+'Property Summary'!$L$21)^('MF CapEx'!AA$3-1))</f>
        <v/>
      </c>
      <c r="AB25" s="149" t="str">
        <f>IF(OR($B25="",$B25=0),"",$I25*$C25*(1+'Property Summary'!$L$21)^('MF CapEx'!AB$3-1))</f>
        <v/>
      </c>
      <c r="AC25" s="149" t="str">
        <f>IF(OR($B25="",$B25=0),"",$I25*$C25*(1+'Property Summary'!$L$21)^('MF CapEx'!AC$3-1))</f>
        <v/>
      </c>
      <c r="AD25" s="149" t="str">
        <f>IF(OR($B25="",$B25=0),"",$I25*$C25*(1+'Property Summary'!$L$21)^('MF CapEx'!AD$3-1))</f>
        <v/>
      </c>
      <c r="AE25" s="149" t="str">
        <f>IF(OR($B25="",$B25=0),"",$I25*$C25*(1+'Property Summary'!$L$21)^('MF CapEx'!AE$3-1))</f>
        <v/>
      </c>
      <c r="AF25" s="149" t="str">
        <f>IF(OR($B25="",$B25=0),"",$I25*$C25*(1+'Property Summary'!$L$21)^('MF CapEx'!AF$3-1))</f>
        <v/>
      </c>
      <c r="AG25" s="149" t="str">
        <f>IF(OR($B25="",$B25=0),"",$I25*$C25*(1+'Property Summary'!$L$21)^('MF CapEx'!AG$3-1))</f>
        <v/>
      </c>
      <c r="AH25" s="149" t="str">
        <f>IF(OR($B25="",$B25=0),"",$I25*$C25*(1+'Property Summary'!$L$21)^('MF CapEx'!AH$3-1))</f>
        <v/>
      </c>
      <c r="AI25" s="149" t="str">
        <f>IF(OR($B25="",$B25=0),"",$I25*$C25*(1+'Property Summary'!$L$21)^('MF CapEx'!AI$3-1))</f>
        <v/>
      </c>
      <c r="AJ25" s="149" t="str">
        <f>IF(OR($B25="",$B25=0),"",$I25*$C25*(1+'Property Summary'!$L$21)^('MF CapEx'!AJ$3-1))</f>
        <v/>
      </c>
      <c r="AK25" s="149" t="str">
        <f>IF(OR($B25="",$B25=0),"",$I25*$C25*(1+'Property Summary'!$L$21)^('MF CapEx'!AK$3-1))</f>
        <v/>
      </c>
      <c r="AL25" s="149" t="str">
        <f>IF(OR($B25="",$B25=0),"",$I25*$C25*(1+'Property Summary'!$L$21)^('MF CapEx'!AL$3-1))</f>
        <v/>
      </c>
      <c r="AM25" s="149" t="str">
        <f>IF(OR($B25="",$B25=0),"",$I25*$C25*(1+'Property Summary'!$L$21)^('MF CapEx'!AM$3-1))</f>
        <v/>
      </c>
      <c r="AN25" s="149" t="str">
        <f>IF(OR($B25="",$B25=0),"",$I25*$C25*(1+'Property Summary'!$L$21)^('MF CapEx'!AN$3-1))</f>
        <v/>
      </c>
      <c r="AO25" s="149" t="str">
        <f>IF(OR($B25="",$B25=0),"",$I25*$C25*(1+'Property Summary'!$L$21)^('MF CapEx'!AO$3-1))</f>
        <v/>
      </c>
      <c r="AP25" s="149" t="str">
        <f>IF(OR($B25="",$B25=0),"",$I25*$C25*(1+'Property Summary'!$L$21)^('MF CapEx'!AP$3-1))</f>
        <v/>
      </c>
      <c r="AQ25" s="149" t="str">
        <f>IF(OR($B25="",$B25=0),"",$I25*$C25*(1+'Property Summary'!$L$21)^('MF CapEx'!AQ$3-1))</f>
        <v/>
      </c>
      <c r="AR25" s="149" t="str">
        <f>IF(OR($B25="",$B25=0),"",$I25*$C25*(1+'Property Summary'!$L$21)^('MF CapEx'!AR$3-1))</f>
        <v/>
      </c>
      <c r="AS25" s="149" t="str">
        <f>IF(OR($B25="",$B25=0),"",$I25*$C25*(1+'Property Summary'!$L$21)^('MF CapEx'!AS$3-1))</f>
        <v/>
      </c>
      <c r="AT25" s="149" t="str">
        <f>IF(OR($B25="",$B25=0),"",$I25*$C25*(1+'Property Summary'!$L$21)^('MF CapEx'!AT$3-1))</f>
        <v/>
      </c>
      <c r="AU25" s="149" t="str">
        <f>IF(OR($B25="",$B25=0),"",$I25*$C25*(1+'Property Summary'!$L$21)^('MF CapEx'!AU$3-1))</f>
        <v/>
      </c>
      <c r="AV25" s="149" t="str">
        <f>IF(OR($B25="",$B25=0),"",$I25*$C25*(1+'Property Summary'!$L$21)^('MF CapEx'!AV$3-1))</f>
        <v/>
      </c>
      <c r="AW25" s="149" t="str">
        <f>IF(OR($B25="",$B25=0),"",$I25*$C25*(1+'Property Summary'!$L$21)^('MF CapEx'!AW$3-1))</f>
        <v/>
      </c>
      <c r="AX25" s="149" t="str">
        <f>IF(OR($B25="",$B25=0),"",$I25*$C25*(1+'Property Summary'!$L$21)^('MF CapEx'!AX$3-1))</f>
        <v/>
      </c>
      <c r="AY25" s="149" t="str">
        <f>IF(OR($B25="",$B25=0),"",$I25*$C25*(1+'Property Summary'!$L$21)^('MF CapEx'!AY$3-1))</f>
        <v/>
      </c>
      <c r="AZ25" s="149" t="str">
        <f>IF(OR($B25="",$B25=0),"",$I25*$C25*(1+'Property Summary'!$L$21)^('MF CapEx'!AZ$3-1))</f>
        <v/>
      </c>
      <c r="BA25" s="149" t="str">
        <f>IF(OR($B25="",$B25=0),"",$I25*$C25*(1+'Property Summary'!$L$21)^('MF CapEx'!BA$3-1))</f>
        <v/>
      </c>
      <c r="BB25" s="149" t="str">
        <f>IF(OR($B25="",$B25=0),"",$I25*$C25*(1+'Property Summary'!$L$21)^('MF CapEx'!BB$3-1))</f>
        <v/>
      </c>
      <c r="BC25" s="149" t="str">
        <f>IF(OR($B25="",$B25=0),"",$I25*$C25*(1+'Property Summary'!$L$21)^('MF CapEx'!BC$3-1))</f>
        <v/>
      </c>
      <c r="BD25" s="149" t="str">
        <f>IF(OR($B25="",$B25=0),"",$I25*$C25*(1+'Property Summary'!$L$21)^('MF CapEx'!BD$3-1))</f>
        <v/>
      </c>
      <c r="BE25" s="149" t="str">
        <f>IF(OR($B25="",$B25=0),"",$I25*$C25*(1+'Property Summary'!$L$21)^('MF CapEx'!BE$3-1))</f>
        <v/>
      </c>
      <c r="BF25" s="149" t="str">
        <f>IF(OR($B25="",$B25=0),"",$I25*$C25*(1+'Property Summary'!$L$21)^('MF CapEx'!BF$3-1))</f>
        <v/>
      </c>
      <c r="BG25" s="149" t="str">
        <f>IF(OR($B25="",$B25=0),"",$I25*$C25*(1+'Property Summary'!$L$21)^('MF CapEx'!BG$3-1))</f>
        <v/>
      </c>
      <c r="BH25" s="149" t="str">
        <f>IF(OR($B25="",$B25=0),"",$I25*$C25*(1+'Property Summary'!$L$21)^('MF CapEx'!BH$3-1))</f>
        <v/>
      </c>
      <c r="BI25" s="149" t="str">
        <f>IF(OR($B25="",$B25=0),"",$I25*$C25*(1+'Property Summary'!$L$21)^('MF CapEx'!BI$3-1))</f>
        <v/>
      </c>
      <c r="BJ25" s="149" t="str">
        <f>IF(OR($B25="",$B25=0),"",$I25*$C25*(1+'Property Summary'!$L$21)^('MF CapEx'!BJ$3-1))</f>
        <v/>
      </c>
      <c r="BK25" s="149" t="str">
        <f>IF(OR($B25="",$B25=0),"",$I25*$C25*(1+'Property Summary'!$L$21)^('MF CapEx'!BK$3-1))</f>
        <v/>
      </c>
      <c r="BL25" s="149" t="str">
        <f>IF(OR($B25="",$B25=0),"",$I25*$C25*(1+'Property Summary'!$L$21)^('MF CapEx'!BL$3-1))</f>
        <v/>
      </c>
      <c r="BM25" s="149" t="str">
        <f>IF(OR($B25="",$B25=0),"",$I25*$C25*(1+'Property Summary'!$L$21)^('MF CapEx'!BM$3-1))</f>
        <v/>
      </c>
      <c r="BN25" s="149" t="str">
        <f>IF(OR($B25="",$B25=0),"",$I25*$C25*(1+'Property Summary'!$L$21)^('MF CapEx'!BN$3-1))</f>
        <v/>
      </c>
      <c r="BO25" s="149" t="str">
        <f>IF(OR($B25="",$B25=0),"",$I25*$C25*(1+'Property Summary'!$L$21)^('MF CapEx'!BO$3-1))</f>
        <v/>
      </c>
      <c r="BP25" s="149" t="str">
        <f>IF(OR($B25="",$B25=0),"",$I25*$C25*(1+'Property Summary'!$L$21)^('MF CapEx'!BP$3-1))</f>
        <v/>
      </c>
      <c r="BQ25" s="149" t="str">
        <f>IF(OR($B25="",$B25=0),"",$I25*$C25*(1+'Property Summary'!$L$21)^('MF CapEx'!BQ$3-1))</f>
        <v/>
      </c>
      <c r="BR25" s="149" t="str">
        <f>IF(OR($B25="",$B25=0),"",$I25*$C25*(1+'Property Summary'!$L$21)^('MF CapEx'!BR$3-1))</f>
        <v/>
      </c>
      <c r="BS25" s="149" t="str">
        <f>IF(OR($B25="",$B25=0),"",$I25*$C25*(1+'Property Summary'!$L$21)^('MF CapEx'!BS$3-1))</f>
        <v/>
      </c>
      <c r="BT25" s="149" t="str">
        <f>IF(OR($B25="",$B25=0),"",$I25*$C25*(1+'Property Summary'!$L$21)^('MF CapEx'!BT$3-1))</f>
        <v/>
      </c>
      <c r="BU25" s="149" t="str">
        <f>IF(OR($B25="",$B25=0),"",$I25*$C25*(1+'Property Summary'!$L$21)^('MF CapEx'!BU$3-1))</f>
        <v/>
      </c>
      <c r="BV25" s="149" t="str">
        <f>IF(OR($B25="",$B25=0),"",$I25*$C25*(1+'Property Summary'!$L$21)^('MF CapEx'!BV$3-1))</f>
        <v/>
      </c>
      <c r="BW25" s="149" t="str">
        <f>IF(OR($B25="",$B25=0),"",$I25*$C25*(1+'Property Summary'!$L$21)^('MF CapEx'!BW$3-1))</f>
        <v/>
      </c>
      <c r="BX25" s="149" t="str">
        <f>IF(OR($B25="",$B25=0),"",$I25*$C25*(1+'Property Summary'!$L$21)^('MF CapEx'!BX$3-1))</f>
        <v/>
      </c>
      <c r="BY25" s="149" t="str">
        <f>IF(OR($B25="",$B25=0),"",$I25*$C25*(1+'Property Summary'!$L$21)^('MF CapEx'!BY$3-1))</f>
        <v/>
      </c>
      <c r="BZ25" s="149" t="str">
        <f>IF(OR($B25="",$B25=0),"",$I25*$C25*(1+'Property Summary'!$L$21)^('MF CapEx'!BZ$3-1))</f>
        <v/>
      </c>
      <c r="CA25" s="149" t="str">
        <f>IF(OR($B25="",$B25=0),"",$I25*$C25*(1+'Property Summary'!$L$21)^('MF CapEx'!CA$3-1))</f>
        <v/>
      </c>
      <c r="CB25" s="149" t="str">
        <f>IF(OR($B25="",$B25=0),"",$I25*$C25*(1+'Property Summary'!$L$21)^('MF CapEx'!CB$3-1))</f>
        <v/>
      </c>
      <c r="CC25" s="149" t="str">
        <f>IF(OR($B25="",$B25=0),"",$I25*$C25*(1+'Property Summary'!$L$21)^('MF CapEx'!CC$3-1))</f>
        <v/>
      </c>
      <c r="CD25" s="149" t="str">
        <f>IF(OR($B25="",$B25=0),"",$I25*$C25*(1+'Property Summary'!$L$21)^('MF CapEx'!CD$3-1))</f>
        <v/>
      </c>
      <c r="CE25" s="149" t="str">
        <f>IF(OR($B25="",$B25=0),"",$I25*$C25*(1+'Property Summary'!$L$21)^('MF CapEx'!CE$3-1))</f>
        <v/>
      </c>
      <c r="CF25" s="149" t="str">
        <f>IF(OR($B25="",$B25=0),"",$I25*$C25*(1+'Property Summary'!$L$21)^('MF CapEx'!CF$3-1))</f>
        <v/>
      </c>
      <c r="CG25" s="149" t="str">
        <f>IF(OR($B25="",$B25=0),"",$I25*$C25*(1+'Property Summary'!$L$21)^('MF CapEx'!CG$3-1))</f>
        <v/>
      </c>
      <c r="CH25" s="149" t="str">
        <f>IF(OR($B25="",$B25=0),"",$I25*$C25*(1+'Property Summary'!$L$21)^('MF CapEx'!CH$3-1))</f>
        <v/>
      </c>
      <c r="CI25" s="149" t="str">
        <f>IF(OR($B25="",$B25=0),"",$I25*$C25*(1+'Property Summary'!$L$21)^('MF CapEx'!CI$3-1))</f>
        <v/>
      </c>
      <c r="CJ25" s="149" t="str">
        <f>IF(OR($B25="",$B25=0),"",$I25*$C25*(1+'Property Summary'!$L$21)^('MF CapEx'!CJ$3-1))</f>
        <v/>
      </c>
      <c r="CK25" s="149" t="str">
        <f>IF(OR($B25="",$B25=0),"",$I25*$C25*(1+'Property Summary'!$L$21)^('MF CapEx'!CK$3-1))</f>
        <v/>
      </c>
      <c r="CL25" s="149" t="str">
        <f>IF(OR($B25="",$B25=0),"",$I25*$C25*(1+'Property Summary'!$L$21)^('MF CapEx'!CL$3-1))</f>
        <v/>
      </c>
      <c r="CM25" s="149" t="str">
        <f>IF(OR($B25="",$B25=0),"",$I25*$C25*(1+'Property Summary'!$L$21)^('MF CapEx'!CM$3-1))</f>
        <v/>
      </c>
      <c r="CN25" s="149" t="str">
        <f>IF(OR($B25="",$B25=0),"",$I25*$C25*(1+'Property Summary'!$L$21)^('MF CapEx'!CN$3-1))</f>
        <v/>
      </c>
      <c r="CO25" s="149" t="str">
        <f>IF(OR($B25="",$B25=0),"",$I25*$C25*(1+'Property Summary'!$L$21)^('MF CapEx'!CO$3-1))</f>
        <v/>
      </c>
      <c r="CP25" s="149" t="str">
        <f>IF(OR($B25="",$B25=0),"",$I25*$C25*(1+'Property Summary'!$L$21)^('MF CapEx'!CP$3-1))</f>
        <v/>
      </c>
      <c r="CQ25" s="149" t="str">
        <f>IF(OR($B25="",$B25=0),"",$I25*$C25*(1+'Property Summary'!$L$21)^('MF CapEx'!CQ$3-1))</f>
        <v/>
      </c>
      <c r="CR25" s="149" t="str">
        <f>IF(OR($B25="",$B25=0),"",$I25*$C25*(1+'Property Summary'!$L$21)^('MF CapEx'!CR$3-1))</f>
        <v/>
      </c>
      <c r="CS25" s="149" t="str">
        <f>IF(OR($B25="",$B25=0),"",$I25*$C25*(1+'Property Summary'!$L$21)^('MF CapEx'!CS$3-1))</f>
        <v/>
      </c>
      <c r="CT25" s="149" t="str">
        <f>IF(OR($B25="",$B25=0),"",$I25*$C25*(1+'Property Summary'!$L$21)^('MF CapEx'!CT$3-1))</f>
        <v/>
      </c>
      <c r="CU25" s="149" t="str">
        <f>IF(OR($B25="",$B25=0),"",$I25*$C25*(1+'Property Summary'!$L$21)^('MF CapEx'!CU$3-1))</f>
        <v/>
      </c>
      <c r="CV25" s="149" t="str">
        <f>IF(OR($B25="",$B25=0),"",$I25*$C25*(1+'Property Summary'!$L$21)^('MF CapEx'!CV$3-1))</f>
        <v/>
      </c>
      <c r="CW25" s="149" t="str">
        <f>IF(OR($B25="",$B25=0),"",$I25*$C25*(1+'Property Summary'!$L$21)^('MF CapEx'!CW$3-1))</f>
        <v/>
      </c>
      <c r="CX25" s="149" t="str">
        <f>IF(OR($B25="",$B25=0),"",$I25*$C25*(1+'Property Summary'!$L$21)^('MF CapEx'!CX$3-1))</f>
        <v/>
      </c>
      <c r="CY25" s="149" t="str">
        <f>IF(OR($B25="",$B25=0),"",$I25*$C25*(1+'Property Summary'!$L$21)^('MF CapEx'!CY$3-1))</f>
        <v/>
      </c>
      <c r="CZ25" s="149" t="str">
        <f>IF(OR($B25="",$B25=0),"",$I25*$C25*(1+'Property Summary'!$L$21)^('MF CapEx'!CZ$3-1))</f>
        <v/>
      </c>
      <c r="DA25" s="149" t="str">
        <f>IF(OR($B25="",$B25=0),"",$I25*$C25*(1+'Property Summary'!$L$21)^('MF CapEx'!DA$3-1))</f>
        <v/>
      </c>
      <c r="DB25" s="149" t="str">
        <f>IF(OR($B25="",$B25=0),"",$I25*$C25*(1+'Property Summary'!$L$21)^('MF CapEx'!DB$3-1))</f>
        <v/>
      </c>
      <c r="DC25" s="149" t="str">
        <f>IF(OR($B25="",$B25=0),"",$I25*$C25*(1+'Property Summary'!$L$21)^('MF CapEx'!DC$3-1))</f>
        <v/>
      </c>
      <c r="DD25" s="149" t="str">
        <f>IF(OR($B25="",$B25=0),"",$I25*$C25*(1+'Property Summary'!$L$21)^('MF CapEx'!DD$3-1))</f>
        <v/>
      </c>
      <c r="DE25" s="149" t="str">
        <f>IF(OR($B25="",$B25=0),"",$I25*$C25*(1+'Property Summary'!$L$21)^('MF CapEx'!DE$3-1))</f>
        <v/>
      </c>
      <c r="DF25" s="149" t="str">
        <f>IF(OR($B25="",$B25=0),"",$I25*$C25*(1+'Property Summary'!$L$21)^('MF CapEx'!DF$3-1))</f>
        <v/>
      </c>
      <c r="DG25" s="149" t="str">
        <f>IF(OR($B25="",$B25=0),"",$I25*$C25*(1+'Property Summary'!$L$21)^('MF CapEx'!DG$3-1))</f>
        <v/>
      </c>
      <c r="DH25" s="149" t="str">
        <f>IF(OR($B25="",$B25=0),"",$I25*$C25*(1+'Property Summary'!$L$21)^('MF CapEx'!DH$3-1))</f>
        <v/>
      </c>
      <c r="DI25" s="149" t="str">
        <f>IF(OR($B25="",$B25=0),"",$I25*$C25*(1+'Property Summary'!$L$21)^('MF CapEx'!DI$3-1))</f>
        <v/>
      </c>
      <c r="DJ25" s="149" t="str">
        <f>IF(OR($B25="",$B25=0),"",$I25*$C25*(1+'Property Summary'!$L$21)^('MF CapEx'!DJ$3-1))</f>
        <v/>
      </c>
      <c r="DK25" s="149" t="str">
        <f>IF(OR($B25="",$B25=0),"",$I25*$C25*(1+'Property Summary'!$L$21)^('MF CapEx'!DK$3-1))</f>
        <v/>
      </c>
      <c r="DL25" s="149" t="str">
        <f>IF(OR($B25="",$B25=0),"",$I25*$C25*(1+'Property Summary'!$L$21)^('MF CapEx'!DL$3-1))</f>
        <v/>
      </c>
      <c r="DM25" s="149" t="str">
        <f>IF(OR($B25="",$B25=0),"",$I25*$C25*(1+'Property Summary'!$L$21)^('MF CapEx'!DM$3-1))</f>
        <v/>
      </c>
      <c r="DN25" s="149" t="str">
        <f>IF(OR($B25="",$B25=0),"",$I25*$C25*(1+'Property Summary'!$L$21)^('MF CapEx'!DN$3-1))</f>
        <v/>
      </c>
      <c r="DO25" s="149" t="str">
        <f>IF(OR($B25="",$B25=0),"",$I25*$C25*(1+'Property Summary'!$L$21)^('MF CapEx'!DO$3-1))</f>
        <v/>
      </c>
      <c r="DP25" s="149" t="str">
        <f>IF(OR($B25="",$B25=0),"",$I25*$C25*(1+'Property Summary'!$L$21)^('MF CapEx'!DP$3-1))</f>
        <v/>
      </c>
      <c r="DQ25" s="149" t="str">
        <f>IF(OR($B25="",$B25=0),"",$I25*$C25*(1+'Property Summary'!$L$21)^('MF CapEx'!DQ$3-1))</f>
        <v/>
      </c>
      <c r="DR25" s="149" t="str">
        <f>IF(OR($B25="",$B25=0),"",$I25*$C25*(1+'Property Summary'!$L$21)^('MF CapEx'!DR$3-1))</f>
        <v/>
      </c>
      <c r="DS25" s="149" t="str">
        <f>IF(OR($B25="",$B25=0),"",$I25*$C25*(1+'Property Summary'!$L$21)^('MF CapEx'!DS$3-1))</f>
        <v/>
      </c>
      <c r="DT25" s="149" t="str">
        <f>IF(OR($B25="",$B25=0),"",$I25*$C25*(1+'Property Summary'!$L$21)^('MF CapEx'!DT$3-1))</f>
        <v/>
      </c>
      <c r="DU25" s="149" t="str">
        <f>IF(OR($B25="",$B25=0),"",$I25*$C25*(1+'Property Summary'!$L$21)^('MF CapEx'!DU$3-1))</f>
        <v/>
      </c>
      <c r="DV25" s="149" t="str">
        <f>IF(OR($B25="",$B25=0),"",$I25*$C25*(1+'Property Summary'!$L$21)^('MF CapEx'!DV$3-1))</f>
        <v/>
      </c>
      <c r="DW25" s="149" t="str">
        <f>IF(OR($B25="",$B25=0),"",$I25*$C25*(1+'Property Summary'!$L$21)^('MF CapEx'!DW$3-1))</f>
        <v/>
      </c>
      <c r="DX25" s="149" t="str">
        <f>IF(OR($B25="",$B25=0),"",$I25*$C25*(1+'Property Summary'!$L$21)^('MF CapEx'!DX$3-1))</f>
        <v/>
      </c>
      <c r="DY25" s="149" t="str">
        <f>IF(OR($B25="",$B25=0),"",$I25*$C25*(1+'Property Summary'!$L$21)^('MF CapEx'!DY$3-1))</f>
        <v/>
      </c>
      <c r="DZ25" s="149" t="str">
        <f>IF(OR($B25="",$B25=0),"",$I25*$C25*(1+'Property Summary'!$L$21)^('MF CapEx'!DZ$3-1))</f>
        <v/>
      </c>
      <c r="EA25" s="149" t="str">
        <f>IF(OR($B25="",$B25=0),"",$I25*$C25*(1+'Property Summary'!$L$21)^('MF CapEx'!EA$3-1))</f>
        <v/>
      </c>
      <c r="EB25" s="149" t="str">
        <f>IF(OR($B25="",$B25=0),"",$I25*$C25*(1+'Property Summary'!$L$21)^('MF CapEx'!EB$3-1))</f>
        <v/>
      </c>
      <c r="EC25" s="149" t="str">
        <f>IF(OR($B25="",$B25=0),"",$I25*$C25*(1+'Property Summary'!$L$21)^('MF CapEx'!EC$3-1))</f>
        <v/>
      </c>
      <c r="ED25" s="149" t="str">
        <f>IF(OR($B25="",$B25=0),"",$I25*$C25*(1+'Property Summary'!$L$21)^('MF CapEx'!ED$3-1))</f>
        <v/>
      </c>
      <c r="EE25" s="149" t="str">
        <f>IF(OR($B25="",$B25=0),"",$I25*$C25*(1+'Property Summary'!$L$21)^('MF CapEx'!EE$3-1))</f>
        <v/>
      </c>
      <c r="EF25" s="149" t="str">
        <f>IF(OR($B25="",$B25=0),"",$I25*$C25*(1+'Property Summary'!$L$21)^('MF CapEx'!EF$3-1))</f>
        <v/>
      </c>
      <c r="EG25" s="149" t="str">
        <f>IF(OR($B25="",$B25=0),"",$I25*$C25*(1+'Property Summary'!$L$21)^('MF CapEx'!EG$3-1))</f>
        <v/>
      </c>
      <c r="EH25" s="149" t="str">
        <f>IF(OR($B25="",$B25=0),"",$I25*$C25*(1+'Property Summary'!$L$21)^('MF CapEx'!EH$3-1))</f>
        <v/>
      </c>
      <c r="EI25" s="149" t="str">
        <f>IF(OR($B25="",$B25=0),"",$I25*$C25*(1+'Property Summary'!$L$21)^('MF CapEx'!EI$3-1))</f>
        <v/>
      </c>
      <c r="EJ25" s="149" t="str">
        <f>IF(OR($B25="",$B25=0),"",$I25*$C25*(1+'Property Summary'!$L$21)^('MF CapEx'!EJ$3-1))</f>
        <v/>
      </c>
      <c r="EK25" s="149" t="str">
        <f>IF(OR($B25="",$B25=0),"",$I25*$C25*(1+'Property Summary'!$L$21)^('MF CapEx'!EK$3-1))</f>
        <v/>
      </c>
      <c r="EL25" s="149" t="str">
        <f>IF(OR($B25="",$B25=0),"",$I25*$C25*(1+'Property Summary'!$L$21)^('MF CapEx'!EL$3-1))</f>
        <v/>
      </c>
      <c r="EM25" s="149" t="str">
        <f>IF(OR($B25="",$B25=0),"",$I25*$C25*(1+'Property Summary'!$L$21)^('MF CapEx'!EM$3-1))</f>
        <v/>
      </c>
      <c r="EN25" s="149" t="str">
        <f>IF(OR($B25="",$B25=0),"",$I25*$C25*(1+'Property Summary'!$L$21)^('MF CapEx'!EN$3-1))</f>
        <v/>
      </c>
      <c r="EO25" s="149" t="str">
        <f>IF(OR($B25="",$B25=0),"",$I25*$C25*(1+'Property Summary'!$L$21)^('MF CapEx'!EO$3-1))</f>
        <v/>
      </c>
      <c r="EP25" s="149" t="str">
        <f>IF(OR($B25="",$B25=0),"",$I25*$C25*(1+'Property Summary'!$L$21)^('MF CapEx'!EP$3-1))</f>
        <v/>
      </c>
      <c r="EQ25" s="149" t="str">
        <f>IF(OR($B25="",$B25=0),"",$I25*$C25*(1+'Property Summary'!$L$21)^('MF CapEx'!EQ$3-1))</f>
        <v/>
      </c>
      <c r="ER25" s="149" t="str">
        <f>IF(OR($B25="",$B25=0),"",$I25*$C25*(1+'Property Summary'!$L$21)^('MF CapEx'!ER$3-1))</f>
        <v/>
      </c>
      <c r="ES25" s="149" t="str">
        <f>IF(OR($B25="",$B25=0),"",$I25*$C25*(1+'Property Summary'!$L$21)^('MF CapEx'!ES$3-1))</f>
        <v/>
      </c>
      <c r="ET25" s="149" t="str">
        <f>IF(OR($B25="",$B25=0),"",$I25*$C25*(1+'Property Summary'!$L$21)^('MF CapEx'!ET$3-1))</f>
        <v/>
      </c>
      <c r="EU25" s="149" t="str">
        <f>IF(OR($B25="",$B25=0),"",$I25*$C25*(1+'Property Summary'!$L$21)^('MF CapEx'!EU$3-1))</f>
        <v/>
      </c>
      <c r="EV25" s="149" t="str">
        <f>IF(OR($B25="",$B25=0),"",$I25*$C25*(1+'Property Summary'!$L$21)^('MF CapEx'!EV$3-1))</f>
        <v/>
      </c>
      <c r="EW25" s="149" t="str">
        <f>IF(OR($B25="",$B25=0),"",$I25*$C25*(1+'Property Summary'!$L$21)^('MF CapEx'!EW$3-1))</f>
        <v/>
      </c>
      <c r="EX25" s="149" t="str">
        <f>IF(OR($B25="",$B25=0),"",$I25*$C25*(1+'Property Summary'!$L$21)^('MF CapEx'!EX$3-1))</f>
        <v/>
      </c>
      <c r="EY25" s="149" t="str">
        <f>IF(OR($B25="",$B25=0),"",$I25*$C25*(1+'Property Summary'!$L$21)^('MF CapEx'!EY$3-1))</f>
        <v/>
      </c>
      <c r="EZ25" s="149" t="str">
        <f>IF(OR($B25="",$B25=0),"",$I25*$C25*(1+'Property Summary'!$L$21)^('MF CapEx'!EZ$3-1))</f>
        <v/>
      </c>
      <c r="FA25" s="149" t="str">
        <f>IF(OR($B25="",$B25=0),"",$I25*$C25*(1+'Property Summary'!$L$21)^('MF CapEx'!FA$3-1))</f>
        <v/>
      </c>
      <c r="FB25" s="149" t="str">
        <f>IF(OR($B25="",$B25=0),"",$I25*$C25*(1+'Property Summary'!$L$21)^('MF CapEx'!FB$3-1))</f>
        <v/>
      </c>
      <c r="FC25" s="149" t="str">
        <f>IF(OR($B25="",$B25=0),"",$I25*$C25*(1+'Property Summary'!$L$21)^('MF CapEx'!FC$3-1))</f>
        <v/>
      </c>
      <c r="FD25" s="149" t="str">
        <f>IF(OR($B25="",$B25=0),"",$I25*$C25*(1+'Property Summary'!$L$21)^('MF CapEx'!FD$3-1))</f>
        <v/>
      </c>
      <c r="FE25" s="149" t="str">
        <f>IF(OR($B25="",$B25=0),"",$I25*$C25*(1+'Property Summary'!$L$21)^('MF CapEx'!FE$3-1))</f>
        <v/>
      </c>
      <c r="FF25" s="149" t="str">
        <f>IF(OR($B25="",$B25=0),"",$I25*$C25*(1+'Property Summary'!$L$21)^('MF CapEx'!FF$3-1))</f>
        <v/>
      </c>
      <c r="FG25" s="149" t="str">
        <f>IF(OR($B25="",$B25=0),"",$I25*$C25*(1+'Property Summary'!$L$21)^('MF CapEx'!FG$3-1))</f>
        <v/>
      </c>
      <c r="FH25" s="149" t="str">
        <f>IF(OR($B25="",$B25=0),"",$I25*$C25*(1+'Property Summary'!$L$21)^('MF CapEx'!FH$3-1))</f>
        <v/>
      </c>
      <c r="FI25" s="149" t="str">
        <f>IF(OR($B25="",$B25=0),"",$I25*$C25*(1+'Property Summary'!$L$21)^('MF CapEx'!FI$3-1))</f>
        <v/>
      </c>
      <c r="FJ25" s="149" t="str">
        <f>IF(OR($B25="",$B25=0),"",$I25*$C25*(1+'Property Summary'!$L$21)^('MF CapEx'!FJ$3-1))</f>
        <v/>
      </c>
      <c r="FK25" s="149" t="str">
        <f>IF(OR($B25="",$B25=0),"",$I25*$C25*(1+'Property Summary'!$L$21)^('MF CapEx'!FK$3-1))</f>
        <v/>
      </c>
      <c r="FL25" s="149" t="str">
        <f>IF(OR($B25="",$B25=0),"",$I25*$C25*(1+'Property Summary'!$L$21)^('MF CapEx'!FL$3-1))</f>
        <v/>
      </c>
      <c r="FM25" s="149" t="str">
        <f>IF(OR($B25="",$B25=0),"",$I25*$C25*(1+'Property Summary'!$L$21)^('MF CapEx'!FM$3-1))</f>
        <v/>
      </c>
      <c r="FN25" s="149" t="str">
        <f>IF(OR($B25="",$B25=0),"",$I25*$C25*(1+'Property Summary'!$L$21)^('MF CapEx'!FN$3-1))</f>
        <v/>
      </c>
      <c r="FO25" s="149" t="str">
        <f>IF(OR($B25="",$B25=0),"",$I25*$C25*(1+'Property Summary'!$L$21)^('MF CapEx'!FO$3-1))</f>
        <v/>
      </c>
      <c r="FP25" s="149" t="str">
        <f>IF(OR($B25="",$B25=0),"",$I25*$C25*(1+'Property Summary'!$L$21)^('MF CapEx'!FP$3-1))</f>
        <v/>
      </c>
      <c r="FQ25" s="149" t="str">
        <f>IF(OR($B25="",$B25=0),"",$I25*$C25*(1+'Property Summary'!$L$21)^('MF CapEx'!FQ$3-1))</f>
        <v/>
      </c>
      <c r="FR25" s="149" t="str">
        <f>IF(OR($B25="",$B25=0),"",$I25*$C25*(1+'Property Summary'!$L$21)^('MF CapEx'!FR$3-1))</f>
        <v/>
      </c>
      <c r="FS25" s="149" t="str">
        <f>IF(OR($B25="",$B25=0),"",$I25*$C25*(1+'Property Summary'!$L$21)^('MF CapEx'!FS$3-1))</f>
        <v/>
      </c>
      <c r="FT25" s="149" t="str">
        <f>IF(OR($B25="",$B25=0),"",$I25*$C25*(1+'Property Summary'!$L$21)^('MF CapEx'!FT$3-1))</f>
        <v/>
      </c>
      <c r="FU25" s="149" t="str">
        <f>IF(OR($B25="",$B25=0),"",$I25*$C25*(1+'Property Summary'!$L$21)^('MF CapEx'!FU$3-1))</f>
        <v/>
      </c>
      <c r="FV25" s="149" t="str">
        <f>IF(OR($B25="",$B25=0),"",$I25*$C25*(1+'Property Summary'!$L$21)^('MF CapEx'!FV$3-1))</f>
        <v/>
      </c>
      <c r="FW25" s="149" t="str">
        <f>IF(OR($B25="",$B25=0),"",$I25*$C25*(1+'Property Summary'!$L$21)^('MF CapEx'!FW$3-1))</f>
        <v/>
      </c>
      <c r="FX25" s="149" t="str">
        <f>IF(OR($B25="",$B25=0),"",$I25*$C25*(1+'Property Summary'!$L$21)^('MF CapEx'!FX$3-1))</f>
        <v/>
      </c>
      <c r="FY25" s="149" t="str">
        <f>IF(OR($B25="",$B25=0),"",$I25*$C25*(1+'Property Summary'!$L$21)^('MF CapEx'!FY$3-1))</f>
        <v/>
      </c>
      <c r="FZ25" s="149" t="str">
        <f>IF(OR($B25="",$B25=0),"",$I25*$C25*(1+'Property Summary'!$L$21)^('MF CapEx'!FZ$3-1))</f>
        <v/>
      </c>
      <c r="GA25" s="149" t="str">
        <f>IF(OR($B25="",$B25=0),"",$I25*$C25*(1+'Property Summary'!$L$21)^('MF CapEx'!GA$3-1))</f>
        <v/>
      </c>
      <c r="GB25" s="149" t="str">
        <f>IF(OR($B25="",$B25=0),"",$I25*$C25*(1+'Property Summary'!$L$21)^('MF CapEx'!GB$3-1))</f>
        <v/>
      </c>
      <c r="GC25" s="149" t="str">
        <f>IF(OR($B25="",$B25=0),"",$I25*$C25*(1+'Property Summary'!$L$21)^('MF CapEx'!GC$3-1))</f>
        <v/>
      </c>
      <c r="GD25" s="149" t="str">
        <f>IF(OR($B25="",$B25=0),"",$I25*$C25*(1+'Property Summary'!$L$21)^('MF CapEx'!GD$3-1))</f>
        <v/>
      </c>
      <c r="GE25" s="149" t="str">
        <f>IF(OR($B25="",$B25=0),"",$I25*$C25*(1+'Property Summary'!$L$21)^('MF CapEx'!GE$3-1))</f>
        <v/>
      </c>
      <c r="GF25" s="149" t="str">
        <f>IF(OR($B25="",$B25=0),"",$I25*$C25*(1+'Property Summary'!$L$21)^('MF CapEx'!GF$3-1))</f>
        <v/>
      </c>
      <c r="GG25" s="149" t="str">
        <f>IF(OR($B25="",$B25=0),"",$I25*$C25*(1+'Property Summary'!$L$21)^('MF CapEx'!GG$3-1))</f>
        <v/>
      </c>
      <c r="GH25" s="149" t="str">
        <f>IF(OR($B25="",$B25=0),"",$I25*$C25*(1+'Property Summary'!$L$21)^('MF CapEx'!GH$3-1))</f>
        <v/>
      </c>
      <c r="GI25" s="149" t="str">
        <f>IF(OR($B25="",$B25=0),"",$I25*$C25*(1+'Property Summary'!$L$21)^('MF CapEx'!GI$3-1))</f>
        <v/>
      </c>
      <c r="GJ25" s="149" t="str">
        <f>IF(OR($B25="",$B25=0),"",$I25*$C25*(1+'Property Summary'!$L$21)^('MF CapEx'!GJ$3-1))</f>
        <v/>
      </c>
      <c r="GK25" s="149" t="str">
        <f>IF(OR($B25="",$B25=0),"",$I25*$C25*(1+'Property Summary'!$L$21)^('MF CapEx'!GK$3-1))</f>
        <v/>
      </c>
      <c r="GL25" s="149" t="str">
        <f>IF(OR($B25="",$B25=0),"",$I25*$C25*(1+'Property Summary'!$L$21)^('MF CapEx'!GL$3-1))</f>
        <v/>
      </c>
      <c r="GM25" s="149" t="str">
        <f>IF(OR($B25="",$B25=0),"",$I25*$C25*(1+'Property Summary'!$L$21)^('MF CapEx'!GM$3-1))</f>
        <v/>
      </c>
      <c r="GN25" s="149" t="str">
        <f>IF(OR($B25="",$B25=0),"",$I25*$C25*(1+'Property Summary'!$L$21)^('MF CapEx'!GN$3-1))</f>
        <v/>
      </c>
      <c r="GO25" s="149" t="str">
        <f>IF(OR($B25="",$B25=0),"",$I25*$C25*(1+'Property Summary'!$L$21)^('MF CapEx'!GO$3-1))</f>
        <v/>
      </c>
      <c r="GP25" s="149" t="str">
        <f>IF(OR($B25="",$B25=0),"",$I25*$C25*(1+'Property Summary'!$L$21)^('MF CapEx'!GP$3-1))</f>
        <v/>
      </c>
    </row>
    <row r="26" spans="2:198" x14ac:dyDescent="0.3">
      <c r="B26" s="184">
        <f>'MF Rent Roll'!B25</f>
        <v>0</v>
      </c>
      <c r="C26" s="171">
        <f>'MF Rent Roll'!C25</f>
        <v>0</v>
      </c>
      <c r="D26" s="172">
        <f>'MF Rent Roll'!D25</f>
        <v>0</v>
      </c>
      <c r="E26" s="172">
        <f>'MF Rent Roll'!E25</f>
        <v>0</v>
      </c>
      <c r="F26" s="173">
        <f>'MF Rent Roll'!F25</f>
        <v>0</v>
      </c>
      <c r="G26" s="174">
        <f>'MF Rent Roll'!G25</f>
        <v>0</v>
      </c>
      <c r="H26" s="176">
        <f>'MF Rent Roll'!J25</f>
        <v>0</v>
      </c>
      <c r="I26" s="174">
        <f>'MF Rent Roll'!K25</f>
        <v>0</v>
      </c>
      <c r="J26" s="177">
        <f>'MF Rent Roll'!L25</f>
        <v>0</v>
      </c>
      <c r="K26" s="178">
        <f>'MF Rent Roll'!M25</f>
        <v>0</v>
      </c>
      <c r="L26" s="174">
        <f>'MF Rent Roll'!N25</f>
        <v>0</v>
      </c>
      <c r="M26" s="179">
        <f>'MF Rent Roll'!O25</f>
        <v>0</v>
      </c>
      <c r="N26" s="180" t="str">
        <f>'MF Rent Roll'!P25</f>
        <v/>
      </c>
      <c r="O26" s="181" t="str">
        <f>'MF Rent Roll'!Q25</f>
        <v/>
      </c>
      <c r="P26" s="104" t="str">
        <f>'MF Rent Roll'!R25</f>
        <v/>
      </c>
      <c r="S26" s="149" t="str">
        <f>IF(OR($B26="",$B26=0),"",$I26*$C26*(1+'Property Summary'!$L$21)^('MF CapEx'!S$3-1))</f>
        <v/>
      </c>
      <c r="T26" s="149" t="str">
        <f>IF(OR($B26="",$B26=0),"",$I26*$C26*(1+'Property Summary'!$L$21)^('MF CapEx'!T$3-1))</f>
        <v/>
      </c>
      <c r="U26" s="149" t="str">
        <f>IF(OR($B26="",$B26=0),"",$I26*$C26*(1+'Property Summary'!$L$21)^('MF CapEx'!U$3-1))</f>
        <v/>
      </c>
      <c r="V26" s="149" t="str">
        <f>IF(OR($B26="",$B26=0),"",$I26*$C26*(1+'Property Summary'!$L$21)^('MF CapEx'!V$3-1))</f>
        <v/>
      </c>
      <c r="W26" s="149" t="str">
        <f>IF(OR($B26="",$B26=0),"",$I26*$C26*(1+'Property Summary'!$L$21)^('MF CapEx'!W$3-1))</f>
        <v/>
      </c>
      <c r="X26" s="149" t="str">
        <f>IF(OR($B26="",$B26=0),"",$I26*$C26*(1+'Property Summary'!$L$21)^('MF CapEx'!X$3-1))</f>
        <v/>
      </c>
      <c r="Y26" s="149" t="str">
        <f>IF(OR($B26="",$B26=0),"",$I26*$C26*(1+'Property Summary'!$L$21)^('MF CapEx'!Y$3-1))</f>
        <v/>
      </c>
      <c r="Z26" s="149" t="str">
        <f>IF(OR($B26="",$B26=0),"",$I26*$C26*(1+'Property Summary'!$L$21)^('MF CapEx'!Z$3-1))</f>
        <v/>
      </c>
      <c r="AA26" s="149" t="str">
        <f>IF(OR($B26="",$B26=0),"",$I26*$C26*(1+'Property Summary'!$L$21)^('MF CapEx'!AA$3-1))</f>
        <v/>
      </c>
      <c r="AB26" s="149" t="str">
        <f>IF(OR($B26="",$B26=0),"",$I26*$C26*(1+'Property Summary'!$L$21)^('MF CapEx'!AB$3-1))</f>
        <v/>
      </c>
      <c r="AC26" s="149" t="str">
        <f>IF(OR($B26="",$B26=0),"",$I26*$C26*(1+'Property Summary'!$L$21)^('MF CapEx'!AC$3-1))</f>
        <v/>
      </c>
      <c r="AD26" s="149" t="str">
        <f>IF(OR($B26="",$B26=0),"",$I26*$C26*(1+'Property Summary'!$L$21)^('MF CapEx'!AD$3-1))</f>
        <v/>
      </c>
      <c r="AE26" s="149" t="str">
        <f>IF(OR($B26="",$B26=0),"",$I26*$C26*(1+'Property Summary'!$L$21)^('MF CapEx'!AE$3-1))</f>
        <v/>
      </c>
      <c r="AF26" s="149" t="str">
        <f>IF(OR($B26="",$B26=0),"",$I26*$C26*(1+'Property Summary'!$L$21)^('MF CapEx'!AF$3-1))</f>
        <v/>
      </c>
      <c r="AG26" s="149" t="str">
        <f>IF(OR($B26="",$B26=0),"",$I26*$C26*(1+'Property Summary'!$L$21)^('MF CapEx'!AG$3-1))</f>
        <v/>
      </c>
      <c r="AH26" s="149" t="str">
        <f>IF(OR($B26="",$B26=0),"",$I26*$C26*(1+'Property Summary'!$L$21)^('MF CapEx'!AH$3-1))</f>
        <v/>
      </c>
      <c r="AI26" s="149" t="str">
        <f>IF(OR($B26="",$B26=0),"",$I26*$C26*(1+'Property Summary'!$L$21)^('MF CapEx'!AI$3-1))</f>
        <v/>
      </c>
      <c r="AJ26" s="149" t="str">
        <f>IF(OR($B26="",$B26=0),"",$I26*$C26*(1+'Property Summary'!$L$21)^('MF CapEx'!AJ$3-1))</f>
        <v/>
      </c>
      <c r="AK26" s="149" t="str">
        <f>IF(OR($B26="",$B26=0),"",$I26*$C26*(1+'Property Summary'!$L$21)^('MF CapEx'!AK$3-1))</f>
        <v/>
      </c>
      <c r="AL26" s="149" t="str">
        <f>IF(OR($B26="",$B26=0),"",$I26*$C26*(1+'Property Summary'!$L$21)^('MF CapEx'!AL$3-1))</f>
        <v/>
      </c>
      <c r="AM26" s="149" t="str">
        <f>IF(OR($B26="",$B26=0),"",$I26*$C26*(1+'Property Summary'!$L$21)^('MF CapEx'!AM$3-1))</f>
        <v/>
      </c>
      <c r="AN26" s="149" t="str">
        <f>IF(OR($B26="",$B26=0),"",$I26*$C26*(1+'Property Summary'!$L$21)^('MF CapEx'!AN$3-1))</f>
        <v/>
      </c>
      <c r="AO26" s="149" t="str">
        <f>IF(OR($B26="",$B26=0),"",$I26*$C26*(1+'Property Summary'!$L$21)^('MF CapEx'!AO$3-1))</f>
        <v/>
      </c>
      <c r="AP26" s="149" t="str">
        <f>IF(OR($B26="",$B26=0),"",$I26*$C26*(1+'Property Summary'!$L$21)^('MF CapEx'!AP$3-1))</f>
        <v/>
      </c>
      <c r="AQ26" s="149" t="str">
        <f>IF(OR($B26="",$B26=0),"",$I26*$C26*(1+'Property Summary'!$L$21)^('MF CapEx'!AQ$3-1))</f>
        <v/>
      </c>
      <c r="AR26" s="149" t="str">
        <f>IF(OR($B26="",$B26=0),"",$I26*$C26*(1+'Property Summary'!$L$21)^('MF CapEx'!AR$3-1))</f>
        <v/>
      </c>
      <c r="AS26" s="149" t="str">
        <f>IF(OR($B26="",$B26=0),"",$I26*$C26*(1+'Property Summary'!$L$21)^('MF CapEx'!AS$3-1))</f>
        <v/>
      </c>
      <c r="AT26" s="149" t="str">
        <f>IF(OR($B26="",$B26=0),"",$I26*$C26*(1+'Property Summary'!$L$21)^('MF CapEx'!AT$3-1))</f>
        <v/>
      </c>
      <c r="AU26" s="149" t="str">
        <f>IF(OR($B26="",$B26=0),"",$I26*$C26*(1+'Property Summary'!$L$21)^('MF CapEx'!AU$3-1))</f>
        <v/>
      </c>
      <c r="AV26" s="149" t="str">
        <f>IF(OR($B26="",$B26=0),"",$I26*$C26*(1+'Property Summary'!$L$21)^('MF CapEx'!AV$3-1))</f>
        <v/>
      </c>
      <c r="AW26" s="149" t="str">
        <f>IF(OR($B26="",$B26=0),"",$I26*$C26*(1+'Property Summary'!$L$21)^('MF CapEx'!AW$3-1))</f>
        <v/>
      </c>
      <c r="AX26" s="149" t="str">
        <f>IF(OR($B26="",$B26=0),"",$I26*$C26*(1+'Property Summary'!$L$21)^('MF CapEx'!AX$3-1))</f>
        <v/>
      </c>
      <c r="AY26" s="149" t="str">
        <f>IF(OR($B26="",$B26=0),"",$I26*$C26*(1+'Property Summary'!$L$21)^('MF CapEx'!AY$3-1))</f>
        <v/>
      </c>
      <c r="AZ26" s="149" t="str">
        <f>IF(OR($B26="",$B26=0),"",$I26*$C26*(1+'Property Summary'!$L$21)^('MF CapEx'!AZ$3-1))</f>
        <v/>
      </c>
      <c r="BA26" s="149" t="str">
        <f>IF(OR($B26="",$B26=0),"",$I26*$C26*(1+'Property Summary'!$L$21)^('MF CapEx'!BA$3-1))</f>
        <v/>
      </c>
      <c r="BB26" s="149" t="str">
        <f>IF(OR($B26="",$B26=0),"",$I26*$C26*(1+'Property Summary'!$L$21)^('MF CapEx'!BB$3-1))</f>
        <v/>
      </c>
      <c r="BC26" s="149" t="str">
        <f>IF(OR($B26="",$B26=0),"",$I26*$C26*(1+'Property Summary'!$L$21)^('MF CapEx'!BC$3-1))</f>
        <v/>
      </c>
      <c r="BD26" s="149" t="str">
        <f>IF(OR($B26="",$B26=0),"",$I26*$C26*(1+'Property Summary'!$L$21)^('MF CapEx'!BD$3-1))</f>
        <v/>
      </c>
      <c r="BE26" s="149" t="str">
        <f>IF(OR($B26="",$B26=0),"",$I26*$C26*(1+'Property Summary'!$L$21)^('MF CapEx'!BE$3-1))</f>
        <v/>
      </c>
      <c r="BF26" s="149" t="str">
        <f>IF(OR($B26="",$B26=0),"",$I26*$C26*(1+'Property Summary'!$L$21)^('MF CapEx'!BF$3-1))</f>
        <v/>
      </c>
      <c r="BG26" s="149" t="str">
        <f>IF(OR($B26="",$B26=0),"",$I26*$C26*(1+'Property Summary'!$L$21)^('MF CapEx'!BG$3-1))</f>
        <v/>
      </c>
      <c r="BH26" s="149" t="str">
        <f>IF(OR($B26="",$B26=0),"",$I26*$C26*(1+'Property Summary'!$L$21)^('MF CapEx'!BH$3-1))</f>
        <v/>
      </c>
      <c r="BI26" s="149" t="str">
        <f>IF(OR($B26="",$B26=0),"",$I26*$C26*(1+'Property Summary'!$L$21)^('MF CapEx'!BI$3-1))</f>
        <v/>
      </c>
      <c r="BJ26" s="149" t="str">
        <f>IF(OR($B26="",$B26=0),"",$I26*$C26*(1+'Property Summary'!$L$21)^('MF CapEx'!BJ$3-1))</f>
        <v/>
      </c>
      <c r="BK26" s="149" t="str">
        <f>IF(OR($B26="",$B26=0),"",$I26*$C26*(1+'Property Summary'!$L$21)^('MF CapEx'!BK$3-1))</f>
        <v/>
      </c>
      <c r="BL26" s="149" t="str">
        <f>IF(OR($B26="",$B26=0),"",$I26*$C26*(1+'Property Summary'!$L$21)^('MF CapEx'!BL$3-1))</f>
        <v/>
      </c>
      <c r="BM26" s="149" t="str">
        <f>IF(OR($B26="",$B26=0),"",$I26*$C26*(1+'Property Summary'!$L$21)^('MF CapEx'!BM$3-1))</f>
        <v/>
      </c>
      <c r="BN26" s="149" t="str">
        <f>IF(OR($B26="",$B26=0),"",$I26*$C26*(1+'Property Summary'!$L$21)^('MF CapEx'!BN$3-1))</f>
        <v/>
      </c>
      <c r="BO26" s="149" t="str">
        <f>IF(OR($B26="",$B26=0),"",$I26*$C26*(1+'Property Summary'!$L$21)^('MF CapEx'!BO$3-1))</f>
        <v/>
      </c>
      <c r="BP26" s="149" t="str">
        <f>IF(OR($B26="",$B26=0),"",$I26*$C26*(1+'Property Summary'!$L$21)^('MF CapEx'!BP$3-1))</f>
        <v/>
      </c>
      <c r="BQ26" s="149" t="str">
        <f>IF(OR($B26="",$B26=0),"",$I26*$C26*(1+'Property Summary'!$L$21)^('MF CapEx'!BQ$3-1))</f>
        <v/>
      </c>
      <c r="BR26" s="149" t="str">
        <f>IF(OR($B26="",$B26=0),"",$I26*$C26*(1+'Property Summary'!$L$21)^('MF CapEx'!BR$3-1))</f>
        <v/>
      </c>
      <c r="BS26" s="149" t="str">
        <f>IF(OR($B26="",$B26=0),"",$I26*$C26*(1+'Property Summary'!$L$21)^('MF CapEx'!BS$3-1))</f>
        <v/>
      </c>
      <c r="BT26" s="149" t="str">
        <f>IF(OR($B26="",$B26=0),"",$I26*$C26*(1+'Property Summary'!$L$21)^('MF CapEx'!BT$3-1))</f>
        <v/>
      </c>
      <c r="BU26" s="149" t="str">
        <f>IF(OR($B26="",$B26=0),"",$I26*$C26*(1+'Property Summary'!$L$21)^('MF CapEx'!BU$3-1))</f>
        <v/>
      </c>
      <c r="BV26" s="149" t="str">
        <f>IF(OR($B26="",$B26=0),"",$I26*$C26*(1+'Property Summary'!$L$21)^('MF CapEx'!BV$3-1))</f>
        <v/>
      </c>
      <c r="BW26" s="149" t="str">
        <f>IF(OR($B26="",$B26=0),"",$I26*$C26*(1+'Property Summary'!$L$21)^('MF CapEx'!BW$3-1))</f>
        <v/>
      </c>
      <c r="BX26" s="149" t="str">
        <f>IF(OR($B26="",$B26=0),"",$I26*$C26*(1+'Property Summary'!$L$21)^('MF CapEx'!BX$3-1))</f>
        <v/>
      </c>
      <c r="BY26" s="149" t="str">
        <f>IF(OR($B26="",$B26=0),"",$I26*$C26*(1+'Property Summary'!$L$21)^('MF CapEx'!BY$3-1))</f>
        <v/>
      </c>
      <c r="BZ26" s="149" t="str">
        <f>IF(OR($B26="",$B26=0),"",$I26*$C26*(1+'Property Summary'!$L$21)^('MF CapEx'!BZ$3-1))</f>
        <v/>
      </c>
      <c r="CA26" s="149" t="str">
        <f>IF(OR($B26="",$B26=0),"",$I26*$C26*(1+'Property Summary'!$L$21)^('MF CapEx'!CA$3-1))</f>
        <v/>
      </c>
      <c r="CB26" s="149" t="str">
        <f>IF(OR($B26="",$B26=0),"",$I26*$C26*(1+'Property Summary'!$L$21)^('MF CapEx'!CB$3-1))</f>
        <v/>
      </c>
      <c r="CC26" s="149" t="str">
        <f>IF(OR($B26="",$B26=0),"",$I26*$C26*(1+'Property Summary'!$L$21)^('MF CapEx'!CC$3-1))</f>
        <v/>
      </c>
      <c r="CD26" s="149" t="str">
        <f>IF(OR($B26="",$B26=0),"",$I26*$C26*(1+'Property Summary'!$L$21)^('MF CapEx'!CD$3-1))</f>
        <v/>
      </c>
      <c r="CE26" s="149" t="str">
        <f>IF(OR($B26="",$B26=0),"",$I26*$C26*(1+'Property Summary'!$L$21)^('MF CapEx'!CE$3-1))</f>
        <v/>
      </c>
      <c r="CF26" s="149" t="str">
        <f>IF(OR($B26="",$B26=0),"",$I26*$C26*(1+'Property Summary'!$L$21)^('MF CapEx'!CF$3-1))</f>
        <v/>
      </c>
      <c r="CG26" s="149" t="str">
        <f>IF(OR($B26="",$B26=0),"",$I26*$C26*(1+'Property Summary'!$L$21)^('MF CapEx'!CG$3-1))</f>
        <v/>
      </c>
      <c r="CH26" s="149" t="str">
        <f>IF(OR($B26="",$B26=0),"",$I26*$C26*(1+'Property Summary'!$L$21)^('MF CapEx'!CH$3-1))</f>
        <v/>
      </c>
      <c r="CI26" s="149" t="str">
        <f>IF(OR($B26="",$B26=0),"",$I26*$C26*(1+'Property Summary'!$L$21)^('MF CapEx'!CI$3-1))</f>
        <v/>
      </c>
      <c r="CJ26" s="149" t="str">
        <f>IF(OR($B26="",$B26=0),"",$I26*$C26*(1+'Property Summary'!$L$21)^('MF CapEx'!CJ$3-1))</f>
        <v/>
      </c>
      <c r="CK26" s="149" t="str">
        <f>IF(OR($B26="",$B26=0),"",$I26*$C26*(1+'Property Summary'!$L$21)^('MF CapEx'!CK$3-1))</f>
        <v/>
      </c>
      <c r="CL26" s="149" t="str">
        <f>IF(OR($B26="",$B26=0),"",$I26*$C26*(1+'Property Summary'!$L$21)^('MF CapEx'!CL$3-1))</f>
        <v/>
      </c>
      <c r="CM26" s="149" t="str">
        <f>IF(OR($B26="",$B26=0),"",$I26*$C26*(1+'Property Summary'!$L$21)^('MF CapEx'!CM$3-1))</f>
        <v/>
      </c>
      <c r="CN26" s="149" t="str">
        <f>IF(OR($B26="",$B26=0),"",$I26*$C26*(1+'Property Summary'!$L$21)^('MF CapEx'!CN$3-1))</f>
        <v/>
      </c>
      <c r="CO26" s="149" t="str">
        <f>IF(OR($B26="",$B26=0),"",$I26*$C26*(1+'Property Summary'!$L$21)^('MF CapEx'!CO$3-1))</f>
        <v/>
      </c>
      <c r="CP26" s="149" t="str">
        <f>IF(OR($B26="",$B26=0),"",$I26*$C26*(1+'Property Summary'!$L$21)^('MF CapEx'!CP$3-1))</f>
        <v/>
      </c>
      <c r="CQ26" s="149" t="str">
        <f>IF(OR($B26="",$B26=0),"",$I26*$C26*(1+'Property Summary'!$L$21)^('MF CapEx'!CQ$3-1))</f>
        <v/>
      </c>
      <c r="CR26" s="149" t="str">
        <f>IF(OR($B26="",$B26=0),"",$I26*$C26*(1+'Property Summary'!$L$21)^('MF CapEx'!CR$3-1))</f>
        <v/>
      </c>
      <c r="CS26" s="149" t="str">
        <f>IF(OR($B26="",$B26=0),"",$I26*$C26*(1+'Property Summary'!$L$21)^('MF CapEx'!CS$3-1))</f>
        <v/>
      </c>
      <c r="CT26" s="149" t="str">
        <f>IF(OR($B26="",$B26=0),"",$I26*$C26*(1+'Property Summary'!$L$21)^('MF CapEx'!CT$3-1))</f>
        <v/>
      </c>
      <c r="CU26" s="149" t="str">
        <f>IF(OR($B26="",$B26=0),"",$I26*$C26*(1+'Property Summary'!$L$21)^('MF CapEx'!CU$3-1))</f>
        <v/>
      </c>
      <c r="CV26" s="149" t="str">
        <f>IF(OR($B26="",$B26=0),"",$I26*$C26*(1+'Property Summary'!$L$21)^('MF CapEx'!CV$3-1))</f>
        <v/>
      </c>
      <c r="CW26" s="149" t="str">
        <f>IF(OR($B26="",$B26=0),"",$I26*$C26*(1+'Property Summary'!$L$21)^('MF CapEx'!CW$3-1))</f>
        <v/>
      </c>
      <c r="CX26" s="149" t="str">
        <f>IF(OR($B26="",$B26=0),"",$I26*$C26*(1+'Property Summary'!$L$21)^('MF CapEx'!CX$3-1))</f>
        <v/>
      </c>
      <c r="CY26" s="149" t="str">
        <f>IF(OR($B26="",$B26=0),"",$I26*$C26*(1+'Property Summary'!$L$21)^('MF CapEx'!CY$3-1))</f>
        <v/>
      </c>
      <c r="CZ26" s="149" t="str">
        <f>IF(OR($B26="",$B26=0),"",$I26*$C26*(1+'Property Summary'!$L$21)^('MF CapEx'!CZ$3-1))</f>
        <v/>
      </c>
      <c r="DA26" s="149" t="str">
        <f>IF(OR($B26="",$B26=0),"",$I26*$C26*(1+'Property Summary'!$L$21)^('MF CapEx'!DA$3-1))</f>
        <v/>
      </c>
      <c r="DB26" s="149" t="str">
        <f>IF(OR($B26="",$B26=0),"",$I26*$C26*(1+'Property Summary'!$L$21)^('MF CapEx'!DB$3-1))</f>
        <v/>
      </c>
      <c r="DC26" s="149" t="str">
        <f>IF(OR($B26="",$B26=0),"",$I26*$C26*(1+'Property Summary'!$L$21)^('MF CapEx'!DC$3-1))</f>
        <v/>
      </c>
      <c r="DD26" s="149" t="str">
        <f>IF(OR($B26="",$B26=0),"",$I26*$C26*(1+'Property Summary'!$L$21)^('MF CapEx'!DD$3-1))</f>
        <v/>
      </c>
      <c r="DE26" s="149" t="str">
        <f>IF(OR($B26="",$B26=0),"",$I26*$C26*(1+'Property Summary'!$L$21)^('MF CapEx'!DE$3-1))</f>
        <v/>
      </c>
      <c r="DF26" s="149" t="str">
        <f>IF(OR($B26="",$B26=0),"",$I26*$C26*(1+'Property Summary'!$L$21)^('MF CapEx'!DF$3-1))</f>
        <v/>
      </c>
      <c r="DG26" s="149" t="str">
        <f>IF(OR($B26="",$B26=0),"",$I26*$C26*(1+'Property Summary'!$L$21)^('MF CapEx'!DG$3-1))</f>
        <v/>
      </c>
      <c r="DH26" s="149" t="str">
        <f>IF(OR($B26="",$B26=0),"",$I26*$C26*(1+'Property Summary'!$L$21)^('MF CapEx'!DH$3-1))</f>
        <v/>
      </c>
      <c r="DI26" s="149" t="str">
        <f>IF(OR($B26="",$B26=0),"",$I26*$C26*(1+'Property Summary'!$L$21)^('MF CapEx'!DI$3-1))</f>
        <v/>
      </c>
      <c r="DJ26" s="149" t="str">
        <f>IF(OR($B26="",$B26=0),"",$I26*$C26*(1+'Property Summary'!$L$21)^('MF CapEx'!DJ$3-1))</f>
        <v/>
      </c>
      <c r="DK26" s="149" t="str">
        <f>IF(OR($B26="",$B26=0),"",$I26*$C26*(1+'Property Summary'!$L$21)^('MF CapEx'!DK$3-1))</f>
        <v/>
      </c>
      <c r="DL26" s="149" t="str">
        <f>IF(OR($B26="",$B26=0),"",$I26*$C26*(1+'Property Summary'!$L$21)^('MF CapEx'!DL$3-1))</f>
        <v/>
      </c>
      <c r="DM26" s="149" t="str">
        <f>IF(OR($B26="",$B26=0),"",$I26*$C26*(1+'Property Summary'!$L$21)^('MF CapEx'!DM$3-1))</f>
        <v/>
      </c>
      <c r="DN26" s="149" t="str">
        <f>IF(OR($B26="",$B26=0),"",$I26*$C26*(1+'Property Summary'!$L$21)^('MF CapEx'!DN$3-1))</f>
        <v/>
      </c>
      <c r="DO26" s="149" t="str">
        <f>IF(OR($B26="",$B26=0),"",$I26*$C26*(1+'Property Summary'!$L$21)^('MF CapEx'!DO$3-1))</f>
        <v/>
      </c>
      <c r="DP26" s="149" t="str">
        <f>IF(OR($B26="",$B26=0),"",$I26*$C26*(1+'Property Summary'!$L$21)^('MF CapEx'!DP$3-1))</f>
        <v/>
      </c>
      <c r="DQ26" s="149" t="str">
        <f>IF(OR($B26="",$B26=0),"",$I26*$C26*(1+'Property Summary'!$L$21)^('MF CapEx'!DQ$3-1))</f>
        <v/>
      </c>
      <c r="DR26" s="149" t="str">
        <f>IF(OR($B26="",$B26=0),"",$I26*$C26*(1+'Property Summary'!$L$21)^('MF CapEx'!DR$3-1))</f>
        <v/>
      </c>
      <c r="DS26" s="149" t="str">
        <f>IF(OR($B26="",$B26=0),"",$I26*$C26*(1+'Property Summary'!$L$21)^('MF CapEx'!DS$3-1))</f>
        <v/>
      </c>
      <c r="DT26" s="149" t="str">
        <f>IF(OR($B26="",$B26=0),"",$I26*$C26*(1+'Property Summary'!$L$21)^('MF CapEx'!DT$3-1))</f>
        <v/>
      </c>
      <c r="DU26" s="149" t="str">
        <f>IF(OR($B26="",$B26=0),"",$I26*$C26*(1+'Property Summary'!$L$21)^('MF CapEx'!DU$3-1))</f>
        <v/>
      </c>
      <c r="DV26" s="149" t="str">
        <f>IF(OR($B26="",$B26=0),"",$I26*$C26*(1+'Property Summary'!$L$21)^('MF CapEx'!DV$3-1))</f>
        <v/>
      </c>
      <c r="DW26" s="149" t="str">
        <f>IF(OR($B26="",$B26=0),"",$I26*$C26*(1+'Property Summary'!$L$21)^('MF CapEx'!DW$3-1))</f>
        <v/>
      </c>
      <c r="DX26" s="149" t="str">
        <f>IF(OR($B26="",$B26=0),"",$I26*$C26*(1+'Property Summary'!$L$21)^('MF CapEx'!DX$3-1))</f>
        <v/>
      </c>
      <c r="DY26" s="149" t="str">
        <f>IF(OR($B26="",$B26=0),"",$I26*$C26*(1+'Property Summary'!$L$21)^('MF CapEx'!DY$3-1))</f>
        <v/>
      </c>
      <c r="DZ26" s="149" t="str">
        <f>IF(OR($B26="",$B26=0),"",$I26*$C26*(1+'Property Summary'!$L$21)^('MF CapEx'!DZ$3-1))</f>
        <v/>
      </c>
      <c r="EA26" s="149" t="str">
        <f>IF(OR($B26="",$B26=0),"",$I26*$C26*(1+'Property Summary'!$L$21)^('MF CapEx'!EA$3-1))</f>
        <v/>
      </c>
      <c r="EB26" s="149" t="str">
        <f>IF(OR($B26="",$B26=0),"",$I26*$C26*(1+'Property Summary'!$L$21)^('MF CapEx'!EB$3-1))</f>
        <v/>
      </c>
      <c r="EC26" s="149" t="str">
        <f>IF(OR($B26="",$B26=0),"",$I26*$C26*(1+'Property Summary'!$L$21)^('MF CapEx'!EC$3-1))</f>
        <v/>
      </c>
      <c r="ED26" s="149" t="str">
        <f>IF(OR($B26="",$B26=0),"",$I26*$C26*(1+'Property Summary'!$L$21)^('MF CapEx'!ED$3-1))</f>
        <v/>
      </c>
      <c r="EE26" s="149" t="str">
        <f>IF(OR($B26="",$B26=0),"",$I26*$C26*(1+'Property Summary'!$L$21)^('MF CapEx'!EE$3-1))</f>
        <v/>
      </c>
      <c r="EF26" s="149" t="str">
        <f>IF(OR($B26="",$B26=0),"",$I26*$C26*(1+'Property Summary'!$L$21)^('MF CapEx'!EF$3-1))</f>
        <v/>
      </c>
      <c r="EG26" s="149" t="str">
        <f>IF(OR($B26="",$B26=0),"",$I26*$C26*(1+'Property Summary'!$L$21)^('MF CapEx'!EG$3-1))</f>
        <v/>
      </c>
      <c r="EH26" s="149" t="str">
        <f>IF(OR($B26="",$B26=0),"",$I26*$C26*(1+'Property Summary'!$L$21)^('MF CapEx'!EH$3-1))</f>
        <v/>
      </c>
      <c r="EI26" s="149" t="str">
        <f>IF(OR($B26="",$B26=0),"",$I26*$C26*(1+'Property Summary'!$L$21)^('MF CapEx'!EI$3-1))</f>
        <v/>
      </c>
      <c r="EJ26" s="149" t="str">
        <f>IF(OR($B26="",$B26=0),"",$I26*$C26*(1+'Property Summary'!$L$21)^('MF CapEx'!EJ$3-1))</f>
        <v/>
      </c>
      <c r="EK26" s="149" t="str">
        <f>IF(OR($B26="",$B26=0),"",$I26*$C26*(1+'Property Summary'!$L$21)^('MF CapEx'!EK$3-1))</f>
        <v/>
      </c>
      <c r="EL26" s="149" t="str">
        <f>IF(OR($B26="",$B26=0),"",$I26*$C26*(1+'Property Summary'!$L$21)^('MF CapEx'!EL$3-1))</f>
        <v/>
      </c>
      <c r="EM26" s="149" t="str">
        <f>IF(OR($B26="",$B26=0),"",$I26*$C26*(1+'Property Summary'!$L$21)^('MF CapEx'!EM$3-1))</f>
        <v/>
      </c>
      <c r="EN26" s="149" t="str">
        <f>IF(OR($B26="",$B26=0),"",$I26*$C26*(1+'Property Summary'!$L$21)^('MF CapEx'!EN$3-1))</f>
        <v/>
      </c>
      <c r="EO26" s="149" t="str">
        <f>IF(OR($B26="",$B26=0),"",$I26*$C26*(1+'Property Summary'!$L$21)^('MF CapEx'!EO$3-1))</f>
        <v/>
      </c>
      <c r="EP26" s="149" t="str">
        <f>IF(OR($B26="",$B26=0),"",$I26*$C26*(1+'Property Summary'!$L$21)^('MF CapEx'!EP$3-1))</f>
        <v/>
      </c>
      <c r="EQ26" s="149" t="str">
        <f>IF(OR($B26="",$B26=0),"",$I26*$C26*(1+'Property Summary'!$L$21)^('MF CapEx'!EQ$3-1))</f>
        <v/>
      </c>
      <c r="ER26" s="149" t="str">
        <f>IF(OR($B26="",$B26=0),"",$I26*$C26*(1+'Property Summary'!$L$21)^('MF CapEx'!ER$3-1))</f>
        <v/>
      </c>
      <c r="ES26" s="149" t="str">
        <f>IF(OR($B26="",$B26=0),"",$I26*$C26*(1+'Property Summary'!$L$21)^('MF CapEx'!ES$3-1))</f>
        <v/>
      </c>
      <c r="ET26" s="149" t="str">
        <f>IF(OR($B26="",$B26=0),"",$I26*$C26*(1+'Property Summary'!$L$21)^('MF CapEx'!ET$3-1))</f>
        <v/>
      </c>
      <c r="EU26" s="149" t="str">
        <f>IF(OR($B26="",$B26=0),"",$I26*$C26*(1+'Property Summary'!$L$21)^('MF CapEx'!EU$3-1))</f>
        <v/>
      </c>
      <c r="EV26" s="149" t="str">
        <f>IF(OR($B26="",$B26=0),"",$I26*$C26*(1+'Property Summary'!$L$21)^('MF CapEx'!EV$3-1))</f>
        <v/>
      </c>
      <c r="EW26" s="149" t="str">
        <f>IF(OR($B26="",$B26=0),"",$I26*$C26*(1+'Property Summary'!$L$21)^('MF CapEx'!EW$3-1))</f>
        <v/>
      </c>
      <c r="EX26" s="149" t="str">
        <f>IF(OR($B26="",$B26=0),"",$I26*$C26*(1+'Property Summary'!$L$21)^('MF CapEx'!EX$3-1))</f>
        <v/>
      </c>
      <c r="EY26" s="149" t="str">
        <f>IF(OR($B26="",$B26=0),"",$I26*$C26*(1+'Property Summary'!$L$21)^('MF CapEx'!EY$3-1))</f>
        <v/>
      </c>
      <c r="EZ26" s="149" t="str">
        <f>IF(OR($B26="",$B26=0),"",$I26*$C26*(1+'Property Summary'!$L$21)^('MF CapEx'!EZ$3-1))</f>
        <v/>
      </c>
      <c r="FA26" s="149" t="str">
        <f>IF(OR($B26="",$B26=0),"",$I26*$C26*(1+'Property Summary'!$L$21)^('MF CapEx'!FA$3-1))</f>
        <v/>
      </c>
      <c r="FB26" s="149" t="str">
        <f>IF(OR($B26="",$B26=0),"",$I26*$C26*(1+'Property Summary'!$L$21)^('MF CapEx'!FB$3-1))</f>
        <v/>
      </c>
      <c r="FC26" s="149" t="str">
        <f>IF(OR($B26="",$B26=0),"",$I26*$C26*(1+'Property Summary'!$L$21)^('MF CapEx'!FC$3-1))</f>
        <v/>
      </c>
      <c r="FD26" s="149" t="str">
        <f>IF(OR($B26="",$B26=0),"",$I26*$C26*(1+'Property Summary'!$L$21)^('MF CapEx'!FD$3-1))</f>
        <v/>
      </c>
      <c r="FE26" s="149" t="str">
        <f>IF(OR($B26="",$B26=0),"",$I26*$C26*(1+'Property Summary'!$L$21)^('MF CapEx'!FE$3-1))</f>
        <v/>
      </c>
      <c r="FF26" s="149" t="str">
        <f>IF(OR($B26="",$B26=0),"",$I26*$C26*(1+'Property Summary'!$L$21)^('MF CapEx'!FF$3-1))</f>
        <v/>
      </c>
      <c r="FG26" s="149" t="str">
        <f>IF(OR($B26="",$B26=0),"",$I26*$C26*(1+'Property Summary'!$L$21)^('MF CapEx'!FG$3-1))</f>
        <v/>
      </c>
      <c r="FH26" s="149" t="str">
        <f>IF(OR($B26="",$B26=0),"",$I26*$C26*(1+'Property Summary'!$L$21)^('MF CapEx'!FH$3-1))</f>
        <v/>
      </c>
      <c r="FI26" s="149" t="str">
        <f>IF(OR($B26="",$B26=0),"",$I26*$C26*(1+'Property Summary'!$L$21)^('MF CapEx'!FI$3-1))</f>
        <v/>
      </c>
      <c r="FJ26" s="149" t="str">
        <f>IF(OR($B26="",$B26=0),"",$I26*$C26*(1+'Property Summary'!$L$21)^('MF CapEx'!FJ$3-1))</f>
        <v/>
      </c>
      <c r="FK26" s="149" t="str">
        <f>IF(OR($B26="",$B26=0),"",$I26*$C26*(1+'Property Summary'!$L$21)^('MF CapEx'!FK$3-1))</f>
        <v/>
      </c>
      <c r="FL26" s="149" t="str">
        <f>IF(OR($B26="",$B26=0),"",$I26*$C26*(1+'Property Summary'!$L$21)^('MF CapEx'!FL$3-1))</f>
        <v/>
      </c>
      <c r="FM26" s="149" t="str">
        <f>IF(OR($B26="",$B26=0),"",$I26*$C26*(1+'Property Summary'!$L$21)^('MF CapEx'!FM$3-1))</f>
        <v/>
      </c>
      <c r="FN26" s="149" t="str">
        <f>IF(OR($B26="",$B26=0),"",$I26*$C26*(1+'Property Summary'!$L$21)^('MF CapEx'!FN$3-1))</f>
        <v/>
      </c>
      <c r="FO26" s="149" t="str">
        <f>IF(OR($B26="",$B26=0),"",$I26*$C26*(1+'Property Summary'!$L$21)^('MF CapEx'!FO$3-1))</f>
        <v/>
      </c>
      <c r="FP26" s="149" t="str">
        <f>IF(OR($B26="",$B26=0),"",$I26*$C26*(1+'Property Summary'!$L$21)^('MF CapEx'!FP$3-1))</f>
        <v/>
      </c>
      <c r="FQ26" s="149" t="str">
        <f>IF(OR($B26="",$B26=0),"",$I26*$C26*(1+'Property Summary'!$L$21)^('MF CapEx'!FQ$3-1))</f>
        <v/>
      </c>
      <c r="FR26" s="149" t="str">
        <f>IF(OR($B26="",$B26=0),"",$I26*$C26*(1+'Property Summary'!$L$21)^('MF CapEx'!FR$3-1))</f>
        <v/>
      </c>
      <c r="FS26" s="149" t="str">
        <f>IF(OR($B26="",$B26=0),"",$I26*$C26*(1+'Property Summary'!$L$21)^('MF CapEx'!FS$3-1))</f>
        <v/>
      </c>
      <c r="FT26" s="149" t="str">
        <f>IF(OR($B26="",$B26=0),"",$I26*$C26*(1+'Property Summary'!$L$21)^('MF CapEx'!FT$3-1))</f>
        <v/>
      </c>
      <c r="FU26" s="149" t="str">
        <f>IF(OR($B26="",$B26=0),"",$I26*$C26*(1+'Property Summary'!$L$21)^('MF CapEx'!FU$3-1))</f>
        <v/>
      </c>
      <c r="FV26" s="149" t="str">
        <f>IF(OR($B26="",$B26=0),"",$I26*$C26*(1+'Property Summary'!$L$21)^('MF CapEx'!FV$3-1))</f>
        <v/>
      </c>
      <c r="FW26" s="149" t="str">
        <f>IF(OR($B26="",$B26=0),"",$I26*$C26*(1+'Property Summary'!$L$21)^('MF CapEx'!FW$3-1))</f>
        <v/>
      </c>
      <c r="FX26" s="149" t="str">
        <f>IF(OR($B26="",$B26=0),"",$I26*$C26*(1+'Property Summary'!$L$21)^('MF CapEx'!FX$3-1))</f>
        <v/>
      </c>
      <c r="FY26" s="149" t="str">
        <f>IF(OR($B26="",$B26=0),"",$I26*$C26*(1+'Property Summary'!$L$21)^('MF CapEx'!FY$3-1))</f>
        <v/>
      </c>
      <c r="FZ26" s="149" t="str">
        <f>IF(OR($B26="",$B26=0),"",$I26*$C26*(1+'Property Summary'!$L$21)^('MF CapEx'!FZ$3-1))</f>
        <v/>
      </c>
      <c r="GA26" s="149" t="str">
        <f>IF(OR($B26="",$B26=0),"",$I26*$C26*(1+'Property Summary'!$L$21)^('MF CapEx'!GA$3-1))</f>
        <v/>
      </c>
      <c r="GB26" s="149" t="str">
        <f>IF(OR($B26="",$B26=0),"",$I26*$C26*(1+'Property Summary'!$L$21)^('MF CapEx'!GB$3-1))</f>
        <v/>
      </c>
      <c r="GC26" s="149" t="str">
        <f>IF(OR($B26="",$B26=0),"",$I26*$C26*(1+'Property Summary'!$L$21)^('MF CapEx'!GC$3-1))</f>
        <v/>
      </c>
      <c r="GD26" s="149" t="str">
        <f>IF(OR($B26="",$B26=0),"",$I26*$C26*(1+'Property Summary'!$L$21)^('MF CapEx'!GD$3-1))</f>
        <v/>
      </c>
      <c r="GE26" s="149" t="str">
        <f>IF(OR($B26="",$B26=0),"",$I26*$C26*(1+'Property Summary'!$L$21)^('MF CapEx'!GE$3-1))</f>
        <v/>
      </c>
      <c r="GF26" s="149" t="str">
        <f>IF(OR($B26="",$B26=0),"",$I26*$C26*(1+'Property Summary'!$L$21)^('MF CapEx'!GF$3-1))</f>
        <v/>
      </c>
      <c r="GG26" s="149" t="str">
        <f>IF(OR($B26="",$B26=0),"",$I26*$C26*(1+'Property Summary'!$L$21)^('MF CapEx'!GG$3-1))</f>
        <v/>
      </c>
      <c r="GH26" s="149" t="str">
        <f>IF(OR($B26="",$B26=0),"",$I26*$C26*(1+'Property Summary'!$L$21)^('MF CapEx'!GH$3-1))</f>
        <v/>
      </c>
      <c r="GI26" s="149" t="str">
        <f>IF(OR($B26="",$B26=0),"",$I26*$C26*(1+'Property Summary'!$L$21)^('MF CapEx'!GI$3-1))</f>
        <v/>
      </c>
      <c r="GJ26" s="149" t="str">
        <f>IF(OR($B26="",$B26=0),"",$I26*$C26*(1+'Property Summary'!$L$21)^('MF CapEx'!GJ$3-1))</f>
        <v/>
      </c>
      <c r="GK26" s="149" t="str">
        <f>IF(OR($B26="",$B26=0),"",$I26*$C26*(1+'Property Summary'!$L$21)^('MF CapEx'!GK$3-1))</f>
        <v/>
      </c>
      <c r="GL26" s="149" t="str">
        <f>IF(OR($B26="",$B26=0),"",$I26*$C26*(1+'Property Summary'!$L$21)^('MF CapEx'!GL$3-1))</f>
        <v/>
      </c>
      <c r="GM26" s="149" t="str">
        <f>IF(OR($B26="",$B26=0),"",$I26*$C26*(1+'Property Summary'!$L$21)^('MF CapEx'!GM$3-1))</f>
        <v/>
      </c>
      <c r="GN26" s="149" t="str">
        <f>IF(OR($B26="",$B26=0),"",$I26*$C26*(1+'Property Summary'!$L$21)^('MF CapEx'!GN$3-1))</f>
        <v/>
      </c>
      <c r="GO26" s="149" t="str">
        <f>IF(OR($B26="",$B26=0),"",$I26*$C26*(1+'Property Summary'!$L$21)^('MF CapEx'!GO$3-1))</f>
        <v/>
      </c>
      <c r="GP26" s="149" t="str">
        <f>IF(OR($B26="",$B26=0),"",$I26*$C26*(1+'Property Summary'!$L$21)^('MF CapEx'!GP$3-1))</f>
        <v/>
      </c>
    </row>
    <row r="27" spans="2:198" x14ac:dyDescent="0.3">
      <c r="B27" s="184">
        <f>'MF Rent Roll'!B26</f>
        <v>0</v>
      </c>
      <c r="C27" s="171">
        <f>'MF Rent Roll'!C26</f>
        <v>0</v>
      </c>
      <c r="D27" s="172">
        <f>'MF Rent Roll'!D26</f>
        <v>0</v>
      </c>
      <c r="E27" s="172">
        <f>'MF Rent Roll'!E26</f>
        <v>0</v>
      </c>
      <c r="F27" s="173">
        <f>'MF Rent Roll'!F26</f>
        <v>0</v>
      </c>
      <c r="G27" s="174">
        <f>'MF Rent Roll'!G26</f>
        <v>0</v>
      </c>
      <c r="H27" s="176">
        <f>'MF Rent Roll'!J26</f>
        <v>0</v>
      </c>
      <c r="I27" s="174">
        <f>'MF Rent Roll'!K26</f>
        <v>0</v>
      </c>
      <c r="J27" s="177">
        <f>'MF Rent Roll'!L26</f>
        <v>0</v>
      </c>
      <c r="K27" s="178">
        <f>'MF Rent Roll'!M26</f>
        <v>0</v>
      </c>
      <c r="L27" s="174">
        <f>'MF Rent Roll'!N26</f>
        <v>0</v>
      </c>
      <c r="M27" s="179">
        <f>'MF Rent Roll'!O26</f>
        <v>0</v>
      </c>
      <c r="N27" s="180" t="str">
        <f>'MF Rent Roll'!P26</f>
        <v/>
      </c>
      <c r="O27" s="181" t="str">
        <f>'MF Rent Roll'!Q26</f>
        <v/>
      </c>
      <c r="P27" s="104" t="str">
        <f>'MF Rent Roll'!R26</f>
        <v/>
      </c>
      <c r="S27" s="149" t="str">
        <f>IF(OR($B27="",$B27=0),"",$I27*$C27*(1+'Property Summary'!$L$21)^('MF CapEx'!S$3-1))</f>
        <v/>
      </c>
      <c r="T27" s="149" t="str">
        <f>IF(OR($B27="",$B27=0),"",$I27*$C27*(1+'Property Summary'!$L$21)^('MF CapEx'!T$3-1))</f>
        <v/>
      </c>
      <c r="U27" s="149" t="str">
        <f>IF(OR($B27="",$B27=0),"",$I27*$C27*(1+'Property Summary'!$L$21)^('MF CapEx'!U$3-1))</f>
        <v/>
      </c>
      <c r="V27" s="149" t="str">
        <f>IF(OR($B27="",$B27=0),"",$I27*$C27*(1+'Property Summary'!$L$21)^('MF CapEx'!V$3-1))</f>
        <v/>
      </c>
      <c r="W27" s="149" t="str">
        <f>IF(OR($B27="",$B27=0),"",$I27*$C27*(1+'Property Summary'!$L$21)^('MF CapEx'!W$3-1))</f>
        <v/>
      </c>
      <c r="X27" s="149" t="str">
        <f>IF(OR($B27="",$B27=0),"",$I27*$C27*(1+'Property Summary'!$L$21)^('MF CapEx'!X$3-1))</f>
        <v/>
      </c>
      <c r="Y27" s="149" t="str">
        <f>IF(OR($B27="",$B27=0),"",$I27*$C27*(1+'Property Summary'!$L$21)^('MF CapEx'!Y$3-1))</f>
        <v/>
      </c>
      <c r="Z27" s="149" t="str">
        <f>IF(OR($B27="",$B27=0),"",$I27*$C27*(1+'Property Summary'!$L$21)^('MF CapEx'!Z$3-1))</f>
        <v/>
      </c>
      <c r="AA27" s="149" t="str">
        <f>IF(OR($B27="",$B27=0),"",$I27*$C27*(1+'Property Summary'!$L$21)^('MF CapEx'!AA$3-1))</f>
        <v/>
      </c>
      <c r="AB27" s="149" t="str">
        <f>IF(OR($B27="",$B27=0),"",$I27*$C27*(1+'Property Summary'!$L$21)^('MF CapEx'!AB$3-1))</f>
        <v/>
      </c>
      <c r="AC27" s="149" t="str">
        <f>IF(OR($B27="",$B27=0),"",$I27*$C27*(1+'Property Summary'!$L$21)^('MF CapEx'!AC$3-1))</f>
        <v/>
      </c>
      <c r="AD27" s="149" t="str">
        <f>IF(OR($B27="",$B27=0),"",$I27*$C27*(1+'Property Summary'!$L$21)^('MF CapEx'!AD$3-1))</f>
        <v/>
      </c>
      <c r="AE27" s="149" t="str">
        <f>IF(OR($B27="",$B27=0),"",$I27*$C27*(1+'Property Summary'!$L$21)^('MF CapEx'!AE$3-1))</f>
        <v/>
      </c>
      <c r="AF27" s="149" t="str">
        <f>IF(OR($B27="",$B27=0),"",$I27*$C27*(1+'Property Summary'!$L$21)^('MF CapEx'!AF$3-1))</f>
        <v/>
      </c>
      <c r="AG27" s="149" t="str">
        <f>IF(OR($B27="",$B27=0),"",$I27*$C27*(1+'Property Summary'!$L$21)^('MF CapEx'!AG$3-1))</f>
        <v/>
      </c>
      <c r="AH27" s="149" t="str">
        <f>IF(OR($B27="",$B27=0),"",$I27*$C27*(1+'Property Summary'!$L$21)^('MF CapEx'!AH$3-1))</f>
        <v/>
      </c>
      <c r="AI27" s="149" t="str">
        <f>IF(OR($B27="",$B27=0),"",$I27*$C27*(1+'Property Summary'!$L$21)^('MF CapEx'!AI$3-1))</f>
        <v/>
      </c>
      <c r="AJ27" s="149" t="str">
        <f>IF(OR($B27="",$B27=0),"",$I27*$C27*(1+'Property Summary'!$L$21)^('MF CapEx'!AJ$3-1))</f>
        <v/>
      </c>
      <c r="AK27" s="149" t="str">
        <f>IF(OR($B27="",$B27=0),"",$I27*$C27*(1+'Property Summary'!$L$21)^('MF CapEx'!AK$3-1))</f>
        <v/>
      </c>
      <c r="AL27" s="149" t="str">
        <f>IF(OR($B27="",$B27=0),"",$I27*$C27*(1+'Property Summary'!$L$21)^('MF CapEx'!AL$3-1))</f>
        <v/>
      </c>
      <c r="AM27" s="149" t="str">
        <f>IF(OR($B27="",$B27=0),"",$I27*$C27*(1+'Property Summary'!$L$21)^('MF CapEx'!AM$3-1))</f>
        <v/>
      </c>
      <c r="AN27" s="149" t="str">
        <f>IF(OR($B27="",$B27=0),"",$I27*$C27*(1+'Property Summary'!$L$21)^('MF CapEx'!AN$3-1))</f>
        <v/>
      </c>
      <c r="AO27" s="149" t="str">
        <f>IF(OR($B27="",$B27=0),"",$I27*$C27*(1+'Property Summary'!$L$21)^('MF CapEx'!AO$3-1))</f>
        <v/>
      </c>
      <c r="AP27" s="149" t="str">
        <f>IF(OR($B27="",$B27=0),"",$I27*$C27*(1+'Property Summary'!$L$21)^('MF CapEx'!AP$3-1))</f>
        <v/>
      </c>
      <c r="AQ27" s="149" t="str">
        <f>IF(OR($B27="",$B27=0),"",$I27*$C27*(1+'Property Summary'!$L$21)^('MF CapEx'!AQ$3-1))</f>
        <v/>
      </c>
      <c r="AR27" s="149" t="str">
        <f>IF(OR($B27="",$B27=0),"",$I27*$C27*(1+'Property Summary'!$L$21)^('MF CapEx'!AR$3-1))</f>
        <v/>
      </c>
      <c r="AS27" s="149" t="str">
        <f>IF(OR($B27="",$B27=0),"",$I27*$C27*(1+'Property Summary'!$L$21)^('MF CapEx'!AS$3-1))</f>
        <v/>
      </c>
      <c r="AT27" s="149" t="str">
        <f>IF(OR($B27="",$B27=0),"",$I27*$C27*(1+'Property Summary'!$L$21)^('MF CapEx'!AT$3-1))</f>
        <v/>
      </c>
      <c r="AU27" s="149" t="str">
        <f>IF(OR($B27="",$B27=0),"",$I27*$C27*(1+'Property Summary'!$L$21)^('MF CapEx'!AU$3-1))</f>
        <v/>
      </c>
      <c r="AV27" s="149" t="str">
        <f>IF(OR($B27="",$B27=0),"",$I27*$C27*(1+'Property Summary'!$L$21)^('MF CapEx'!AV$3-1))</f>
        <v/>
      </c>
      <c r="AW27" s="149" t="str">
        <f>IF(OR($B27="",$B27=0),"",$I27*$C27*(1+'Property Summary'!$L$21)^('MF CapEx'!AW$3-1))</f>
        <v/>
      </c>
      <c r="AX27" s="149" t="str">
        <f>IF(OR($B27="",$B27=0),"",$I27*$C27*(1+'Property Summary'!$L$21)^('MF CapEx'!AX$3-1))</f>
        <v/>
      </c>
      <c r="AY27" s="149" t="str">
        <f>IF(OR($B27="",$B27=0),"",$I27*$C27*(1+'Property Summary'!$L$21)^('MF CapEx'!AY$3-1))</f>
        <v/>
      </c>
      <c r="AZ27" s="149" t="str">
        <f>IF(OR($B27="",$B27=0),"",$I27*$C27*(1+'Property Summary'!$L$21)^('MF CapEx'!AZ$3-1))</f>
        <v/>
      </c>
      <c r="BA27" s="149" t="str">
        <f>IF(OR($B27="",$B27=0),"",$I27*$C27*(1+'Property Summary'!$L$21)^('MF CapEx'!BA$3-1))</f>
        <v/>
      </c>
      <c r="BB27" s="149" t="str">
        <f>IF(OR($B27="",$B27=0),"",$I27*$C27*(1+'Property Summary'!$L$21)^('MF CapEx'!BB$3-1))</f>
        <v/>
      </c>
      <c r="BC27" s="149" t="str">
        <f>IF(OR($B27="",$B27=0),"",$I27*$C27*(1+'Property Summary'!$L$21)^('MF CapEx'!BC$3-1))</f>
        <v/>
      </c>
      <c r="BD27" s="149" t="str">
        <f>IF(OR($B27="",$B27=0),"",$I27*$C27*(1+'Property Summary'!$L$21)^('MF CapEx'!BD$3-1))</f>
        <v/>
      </c>
      <c r="BE27" s="149" t="str">
        <f>IF(OR($B27="",$B27=0),"",$I27*$C27*(1+'Property Summary'!$L$21)^('MF CapEx'!BE$3-1))</f>
        <v/>
      </c>
      <c r="BF27" s="149" t="str">
        <f>IF(OR($B27="",$B27=0),"",$I27*$C27*(1+'Property Summary'!$L$21)^('MF CapEx'!BF$3-1))</f>
        <v/>
      </c>
      <c r="BG27" s="149" t="str">
        <f>IF(OR($B27="",$B27=0),"",$I27*$C27*(1+'Property Summary'!$L$21)^('MF CapEx'!BG$3-1))</f>
        <v/>
      </c>
      <c r="BH27" s="149" t="str">
        <f>IF(OR($B27="",$B27=0),"",$I27*$C27*(1+'Property Summary'!$L$21)^('MF CapEx'!BH$3-1))</f>
        <v/>
      </c>
      <c r="BI27" s="149" t="str">
        <f>IF(OR($B27="",$B27=0),"",$I27*$C27*(1+'Property Summary'!$L$21)^('MF CapEx'!BI$3-1))</f>
        <v/>
      </c>
      <c r="BJ27" s="149" t="str">
        <f>IF(OR($B27="",$B27=0),"",$I27*$C27*(1+'Property Summary'!$L$21)^('MF CapEx'!BJ$3-1))</f>
        <v/>
      </c>
      <c r="BK27" s="149" t="str">
        <f>IF(OR($B27="",$B27=0),"",$I27*$C27*(1+'Property Summary'!$L$21)^('MF CapEx'!BK$3-1))</f>
        <v/>
      </c>
      <c r="BL27" s="149" t="str">
        <f>IF(OR($B27="",$B27=0),"",$I27*$C27*(1+'Property Summary'!$L$21)^('MF CapEx'!BL$3-1))</f>
        <v/>
      </c>
      <c r="BM27" s="149" t="str">
        <f>IF(OR($B27="",$B27=0),"",$I27*$C27*(1+'Property Summary'!$L$21)^('MF CapEx'!BM$3-1))</f>
        <v/>
      </c>
      <c r="BN27" s="149" t="str">
        <f>IF(OR($B27="",$B27=0),"",$I27*$C27*(1+'Property Summary'!$L$21)^('MF CapEx'!BN$3-1))</f>
        <v/>
      </c>
      <c r="BO27" s="149" t="str">
        <f>IF(OR($B27="",$B27=0),"",$I27*$C27*(1+'Property Summary'!$L$21)^('MF CapEx'!BO$3-1))</f>
        <v/>
      </c>
      <c r="BP27" s="149" t="str">
        <f>IF(OR($B27="",$B27=0),"",$I27*$C27*(1+'Property Summary'!$L$21)^('MF CapEx'!BP$3-1))</f>
        <v/>
      </c>
      <c r="BQ27" s="149" t="str">
        <f>IF(OR($B27="",$B27=0),"",$I27*$C27*(1+'Property Summary'!$L$21)^('MF CapEx'!BQ$3-1))</f>
        <v/>
      </c>
      <c r="BR27" s="149" t="str">
        <f>IF(OR($B27="",$B27=0),"",$I27*$C27*(1+'Property Summary'!$L$21)^('MF CapEx'!BR$3-1))</f>
        <v/>
      </c>
      <c r="BS27" s="149" t="str">
        <f>IF(OR($B27="",$B27=0),"",$I27*$C27*(1+'Property Summary'!$L$21)^('MF CapEx'!BS$3-1))</f>
        <v/>
      </c>
      <c r="BT27" s="149" t="str">
        <f>IF(OR($B27="",$B27=0),"",$I27*$C27*(1+'Property Summary'!$L$21)^('MF CapEx'!BT$3-1))</f>
        <v/>
      </c>
      <c r="BU27" s="149" t="str">
        <f>IF(OR($B27="",$B27=0),"",$I27*$C27*(1+'Property Summary'!$L$21)^('MF CapEx'!BU$3-1))</f>
        <v/>
      </c>
      <c r="BV27" s="149" t="str">
        <f>IF(OR($B27="",$B27=0),"",$I27*$C27*(1+'Property Summary'!$L$21)^('MF CapEx'!BV$3-1))</f>
        <v/>
      </c>
      <c r="BW27" s="149" t="str">
        <f>IF(OR($B27="",$B27=0),"",$I27*$C27*(1+'Property Summary'!$L$21)^('MF CapEx'!BW$3-1))</f>
        <v/>
      </c>
      <c r="BX27" s="149" t="str">
        <f>IF(OR($B27="",$B27=0),"",$I27*$C27*(1+'Property Summary'!$L$21)^('MF CapEx'!BX$3-1))</f>
        <v/>
      </c>
      <c r="BY27" s="149" t="str">
        <f>IF(OR($B27="",$B27=0),"",$I27*$C27*(1+'Property Summary'!$L$21)^('MF CapEx'!BY$3-1))</f>
        <v/>
      </c>
      <c r="BZ27" s="149" t="str">
        <f>IF(OR($B27="",$B27=0),"",$I27*$C27*(1+'Property Summary'!$L$21)^('MF CapEx'!BZ$3-1))</f>
        <v/>
      </c>
      <c r="CA27" s="149" t="str">
        <f>IF(OR($B27="",$B27=0),"",$I27*$C27*(1+'Property Summary'!$L$21)^('MF CapEx'!CA$3-1))</f>
        <v/>
      </c>
      <c r="CB27" s="149" t="str">
        <f>IF(OR($B27="",$B27=0),"",$I27*$C27*(1+'Property Summary'!$L$21)^('MF CapEx'!CB$3-1))</f>
        <v/>
      </c>
      <c r="CC27" s="149" t="str">
        <f>IF(OR($B27="",$B27=0),"",$I27*$C27*(1+'Property Summary'!$L$21)^('MF CapEx'!CC$3-1))</f>
        <v/>
      </c>
      <c r="CD27" s="149" t="str">
        <f>IF(OR($B27="",$B27=0),"",$I27*$C27*(1+'Property Summary'!$L$21)^('MF CapEx'!CD$3-1))</f>
        <v/>
      </c>
      <c r="CE27" s="149" t="str">
        <f>IF(OR($B27="",$B27=0),"",$I27*$C27*(1+'Property Summary'!$L$21)^('MF CapEx'!CE$3-1))</f>
        <v/>
      </c>
      <c r="CF27" s="149" t="str">
        <f>IF(OR($B27="",$B27=0),"",$I27*$C27*(1+'Property Summary'!$L$21)^('MF CapEx'!CF$3-1))</f>
        <v/>
      </c>
      <c r="CG27" s="149" t="str">
        <f>IF(OR($B27="",$B27=0),"",$I27*$C27*(1+'Property Summary'!$L$21)^('MF CapEx'!CG$3-1))</f>
        <v/>
      </c>
      <c r="CH27" s="149" t="str">
        <f>IF(OR($B27="",$B27=0),"",$I27*$C27*(1+'Property Summary'!$L$21)^('MF CapEx'!CH$3-1))</f>
        <v/>
      </c>
      <c r="CI27" s="149" t="str">
        <f>IF(OR($B27="",$B27=0),"",$I27*$C27*(1+'Property Summary'!$L$21)^('MF CapEx'!CI$3-1))</f>
        <v/>
      </c>
      <c r="CJ27" s="149" t="str">
        <f>IF(OR($B27="",$B27=0),"",$I27*$C27*(1+'Property Summary'!$L$21)^('MF CapEx'!CJ$3-1))</f>
        <v/>
      </c>
      <c r="CK27" s="149" t="str">
        <f>IF(OR($B27="",$B27=0),"",$I27*$C27*(1+'Property Summary'!$L$21)^('MF CapEx'!CK$3-1))</f>
        <v/>
      </c>
      <c r="CL27" s="149" t="str">
        <f>IF(OR($B27="",$B27=0),"",$I27*$C27*(1+'Property Summary'!$L$21)^('MF CapEx'!CL$3-1))</f>
        <v/>
      </c>
      <c r="CM27" s="149" t="str">
        <f>IF(OR($B27="",$B27=0),"",$I27*$C27*(1+'Property Summary'!$L$21)^('MF CapEx'!CM$3-1))</f>
        <v/>
      </c>
      <c r="CN27" s="149" t="str">
        <f>IF(OR($B27="",$B27=0),"",$I27*$C27*(1+'Property Summary'!$L$21)^('MF CapEx'!CN$3-1))</f>
        <v/>
      </c>
      <c r="CO27" s="149" t="str">
        <f>IF(OR($B27="",$B27=0),"",$I27*$C27*(1+'Property Summary'!$L$21)^('MF CapEx'!CO$3-1))</f>
        <v/>
      </c>
      <c r="CP27" s="149" t="str">
        <f>IF(OR($B27="",$B27=0),"",$I27*$C27*(1+'Property Summary'!$L$21)^('MF CapEx'!CP$3-1))</f>
        <v/>
      </c>
      <c r="CQ27" s="149" t="str">
        <f>IF(OR($B27="",$B27=0),"",$I27*$C27*(1+'Property Summary'!$L$21)^('MF CapEx'!CQ$3-1))</f>
        <v/>
      </c>
      <c r="CR27" s="149" t="str">
        <f>IF(OR($B27="",$B27=0),"",$I27*$C27*(1+'Property Summary'!$L$21)^('MF CapEx'!CR$3-1))</f>
        <v/>
      </c>
      <c r="CS27" s="149" t="str">
        <f>IF(OR($B27="",$B27=0),"",$I27*$C27*(1+'Property Summary'!$L$21)^('MF CapEx'!CS$3-1))</f>
        <v/>
      </c>
      <c r="CT27" s="149" t="str">
        <f>IF(OR($B27="",$B27=0),"",$I27*$C27*(1+'Property Summary'!$L$21)^('MF CapEx'!CT$3-1))</f>
        <v/>
      </c>
      <c r="CU27" s="149" t="str">
        <f>IF(OR($B27="",$B27=0),"",$I27*$C27*(1+'Property Summary'!$L$21)^('MF CapEx'!CU$3-1))</f>
        <v/>
      </c>
      <c r="CV27" s="149" t="str">
        <f>IF(OR($B27="",$B27=0),"",$I27*$C27*(1+'Property Summary'!$L$21)^('MF CapEx'!CV$3-1))</f>
        <v/>
      </c>
      <c r="CW27" s="149" t="str">
        <f>IF(OR($B27="",$B27=0),"",$I27*$C27*(1+'Property Summary'!$L$21)^('MF CapEx'!CW$3-1))</f>
        <v/>
      </c>
      <c r="CX27" s="149" t="str">
        <f>IF(OR($B27="",$B27=0),"",$I27*$C27*(1+'Property Summary'!$L$21)^('MF CapEx'!CX$3-1))</f>
        <v/>
      </c>
      <c r="CY27" s="149" t="str">
        <f>IF(OR($B27="",$B27=0),"",$I27*$C27*(1+'Property Summary'!$L$21)^('MF CapEx'!CY$3-1))</f>
        <v/>
      </c>
      <c r="CZ27" s="149" t="str">
        <f>IF(OR($B27="",$B27=0),"",$I27*$C27*(1+'Property Summary'!$L$21)^('MF CapEx'!CZ$3-1))</f>
        <v/>
      </c>
      <c r="DA27" s="149" t="str">
        <f>IF(OR($B27="",$B27=0),"",$I27*$C27*(1+'Property Summary'!$L$21)^('MF CapEx'!DA$3-1))</f>
        <v/>
      </c>
      <c r="DB27" s="149" t="str">
        <f>IF(OR($B27="",$B27=0),"",$I27*$C27*(1+'Property Summary'!$L$21)^('MF CapEx'!DB$3-1))</f>
        <v/>
      </c>
      <c r="DC27" s="149" t="str">
        <f>IF(OR($B27="",$B27=0),"",$I27*$C27*(1+'Property Summary'!$L$21)^('MF CapEx'!DC$3-1))</f>
        <v/>
      </c>
      <c r="DD27" s="149" t="str">
        <f>IF(OR($B27="",$B27=0),"",$I27*$C27*(1+'Property Summary'!$L$21)^('MF CapEx'!DD$3-1))</f>
        <v/>
      </c>
      <c r="DE27" s="149" t="str">
        <f>IF(OR($B27="",$B27=0),"",$I27*$C27*(1+'Property Summary'!$L$21)^('MF CapEx'!DE$3-1))</f>
        <v/>
      </c>
      <c r="DF27" s="149" t="str">
        <f>IF(OR($B27="",$B27=0),"",$I27*$C27*(1+'Property Summary'!$L$21)^('MF CapEx'!DF$3-1))</f>
        <v/>
      </c>
      <c r="DG27" s="149" t="str">
        <f>IF(OR($B27="",$B27=0),"",$I27*$C27*(1+'Property Summary'!$L$21)^('MF CapEx'!DG$3-1))</f>
        <v/>
      </c>
      <c r="DH27" s="149" t="str">
        <f>IF(OR($B27="",$B27=0),"",$I27*$C27*(1+'Property Summary'!$L$21)^('MF CapEx'!DH$3-1))</f>
        <v/>
      </c>
      <c r="DI27" s="149" t="str">
        <f>IF(OR($B27="",$B27=0),"",$I27*$C27*(1+'Property Summary'!$L$21)^('MF CapEx'!DI$3-1))</f>
        <v/>
      </c>
      <c r="DJ27" s="149" t="str">
        <f>IF(OR($B27="",$B27=0),"",$I27*$C27*(1+'Property Summary'!$L$21)^('MF CapEx'!DJ$3-1))</f>
        <v/>
      </c>
      <c r="DK27" s="149" t="str">
        <f>IF(OR($B27="",$B27=0),"",$I27*$C27*(1+'Property Summary'!$L$21)^('MF CapEx'!DK$3-1))</f>
        <v/>
      </c>
      <c r="DL27" s="149" t="str">
        <f>IF(OR($B27="",$B27=0),"",$I27*$C27*(1+'Property Summary'!$L$21)^('MF CapEx'!DL$3-1))</f>
        <v/>
      </c>
      <c r="DM27" s="149" t="str">
        <f>IF(OR($B27="",$B27=0),"",$I27*$C27*(1+'Property Summary'!$L$21)^('MF CapEx'!DM$3-1))</f>
        <v/>
      </c>
      <c r="DN27" s="149" t="str">
        <f>IF(OR($B27="",$B27=0),"",$I27*$C27*(1+'Property Summary'!$L$21)^('MF CapEx'!DN$3-1))</f>
        <v/>
      </c>
      <c r="DO27" s="149" t="str">
        <f>IF(OR($B27="",$B27=0),"",$I27*$C27*(1+'Property Summary'!$L$21)^('MF CapEx'!DO$3-1))</f>
        <v/>
      </c>
      <c r="DP27" s="149" t="str">
        <f>IF(OR($B27="",$B27=0),"",$I27*$C27*(1+'Property Summary'!$L$21)^('MF CapEx'!DP$3-1))</f>
        <v/>
      </c>
      <c r="DQ27" s="149" t="str">
        <f>IF(OR($B27="",$B27=0),"",$I27*$C27*(1+'Property Summary'!$L$21)^('MF CapEx'!DQ$3-1))</f>
        <v/>
      </c>
      <c r="DR27" s="149" t="str">
        <f>IF(OR($B27="",$B27=0),"",$I27*$C27*(1+'Property Summary'!$L$21)^('MF CapEx'!DR$3-1))</f>
        <v/>
      </c>
      <c r="DS27" s="149" t="str">
        <f>IF(OR($B27="",$B27=0),"",$I27*$C27*(1+'Property Summary'!$L$21)^('MF CapEx'!DS$3-1))</f>
        <v/>
      </c>
      <c r="DT27" s="149" t="str">
        <f>IF(OR($B27="",$B27=0),"",$I27*$C27*(1+'Property Summary'!$L$21)^('MF CapEx'!DT$3-1))</f>
        <v/>
      </c>
      <c r="DU27" s="149" t="str">
        <f>IF(OR($B27="",$B27=0),"",$I27*$C27*(1+'Property Summary'!$L$21)^('MF CapEx'!DU$3-1))</f>
        <v/>
      </c>
      <c r="DV27" s="149" t="str">
        <f>IF(OR($B27="",$B27=0),"",$I27*$C27*(1+'Property Summary'!$L$21)^('MF CapEx'!DV$3-1))</f>
        <v/>
      </c>
      <c r="DW27" s="149" t="str">
        <f>IF(OR($B27="",$B27=0),"",$I27*$C27*(1+'Property Summary'!$L$21)^('MF CapEx'!DW$3-1))</f>
        <v/>
      </c>
      <c r="DX27" s="149" t="str">
        <f>IF(OR($B27="",$B27=0),"",$I27*$C27*(1+'Property Summary'!$L$21)^('MF CapEx'!DX$3-1))</f>
        <v/>
      </c>
      <c r="DY27" s="149" t="str">
        <f>IF(OR($B27="",$B27=0),"",$I27*$C27*(1+'Property Summary'!$L$21)^('MF CapEx'!DY$3-1))</f>
        <v/>
      </c>
      <c r="DZ27" s="149" t="str">
        <f>IF(OR($B27="",$B27=0),"",$I27*$C27*(1+'Property Summary'!$L$21)^('MF CapEx'!DZ$3-1))</f>
        <v/>
      </c>
      <c r="EA27" s="149" t="str">
        <f>IF(OR($B27="",$B27=0),"",$I27*$C27*(1+'Property Summary'!$L$21)^('MF CapEx'!EA$3-1))</f>
        <v/>
      </c>
      <c r="EB27" s="149" t="str">
        <f>IF(OR($B27="",$B27=0),"",$I27*$C27*(1+'Property Summary'!$L$21)^('MF CapEx'!EB$3-1))</f>
        <v/>
      </c>
      <c r="EC27" s="149" t="str">
        <f>IF(OR($B27="",$B27=0),"",$I27*$C27*(1+'Property Summary'!$L$21)^('MF CapEx'!EC$3-1))</f>
        <v/>
      </c>
      <c r="ED27" s="149" t="str">
        <f>IF(OR($B27="",$B27=0),"",$I27*$C27*(1+'Property Summary'!$L$21)^('MF CapEx'!ED$3-1))</f>
        <v/>
      </c>
      <c r="EE27" s="149" t="str">
        <f>IF(OR($B27="",$B27=0),"",$I27*$C27*(1+'Property Summary'!$L$21)^('MF CapEx'!EE$3-1))</f>
        <v/>
      </c>
      <c r="EF27" s="149" t="str">
        <f>IF(OR($B27="",$B27=0),"",$I27*$C27*(1+'Property Summary'!$L$21)^('MF CapEx'!EF$3-1))</f>
        <v/>
      </c>
      <c r="EG27" s="149" t="str">
        <f>IF(OR($B27="",$B27=0),"",$I27*$C27*(1+'Property Summary'!$L$21)^('MF CapEx'!EG$3-1))</f>
        <v/>
      </c>
      <c r="EH27" s="149" t="str">
        <f>IF(OR($B27="",$B27=0),"",$I27*$C27*(1+'Property Summary'!$L$21)^('MF CapEx'!EH$3-1))</f>
        <v/>
      </c>
      <c r="EI27" s="149" t="str">
        <f>IF(OR($B27="",$B27=0),"",$I27*$C27*(1+'Property Summary'!$L$21)^('MF CapEx'!EI$3-1))</f>
        <v/>
      </c>
      <c r="EJ27" s="149" t="str">
        <f>IF(OR($B27="",$B27=0),"",$I27*$C27*(1+'Property Summary'!$L$21)^('MF CapEx'!EJ$3-1))</f>
        <v/>
      </c>
      <c r="EK27" s="149" t="str">
        <f>IF(OR($B27="",$B27=0),"",$I27*$C27*(1+'Property Summary'!$L$21)^('MF CapEx'!EK$3-1))</f>
        <v/>
      </c>
      <c r="EL27" s="149" t="str">
        <f>IF(OR($B27="",$B27=0),"",$I27*$C27*(1+'Property Summary'!$L$21)^('MF CapEx'!EL$3-1))</f>
        <v/>
      </c>
      <c r="EM27" s="149" t="str">
        <f>IF(OR($B27="",$B27=0),"",$I27*$C27*(1+'Property Summary'!$L$21)^('MF CapEx'!EM$3-1))</f>
        <v/>
      </c>
      <c r="EN27" s="149" t="str">
        <f>IF(OR($B27="",$B27=0),"",$I27*$C27*(1+'Property Summary'!$L$21)^('MF CapEx'!EN$3-1))</f>
        <v/>
      </c>
      <c r="EO27" s="149" t="str">
        <f>IF(OR($B27="",$B27=0),"",$I27*$C27*(1+'Property Summary'!$L$21)^('MF CapEx'!EO$3-1))</f>
        <v/>
      </c>
      <c r="EP27" s="149" t="str">
        <f>IF(OR($B27="",$B27=0),"",$I27*$C27*(1+'Property Summary'!$L$21)^('MF CapEx'!EP$3-1))</f>
        <v/>
      </c>
      <c r="EQ27" s="149" t="str">
        <f>IF(OR($B27="",$B27=0),"",$I27*$C27*(1+'Property Summary'!$L$21)^('MF CapEx'!EQ$3-1))</f>
        <v/>
      </c>
      <c r="ER27" s="149" t="str">
        <f>IF(OR($B27="",$B27=0),"",$I27*$C27*(1+'Property Summary'!$L$21)^('MF CapEx'!ER$3-1))</f>
        <v/>
      </c>
      <c r="ES27" s="149" t="str">
        <f>IF(OR($B27="",$B27=0),"",$I27*$C27*(1+'Property Summary'!$L$21)^('MF CapEx'!ES$3-1))</f>
        <v/>
      </c>
      <c r="ET27" s="149" t="str">
        <f>IF(OR($B27="",$B27=0),"",$I27*$C27*(1+'Property Summary'!$L$21)^('MF CapEx'!ET$3-1))</f>
        <v/>
      </c>
      <c r="EU27" s="149" t="str">
        <f>IF(OR($B27="",$B27=0),"",$I27*$C27*(1+'Property Summary'!$L$21)^('MF CapEx'!EU$3-1))</f>
        <v/>
      </c>
      <c r="EV27" s="149" t="str">
        <f>IF(OR($B27="",$B27=0),"",$I27*$C27*(1+'Property Summary'!$L$21)^('MF CapEx'!EV$3-1))</f>
        <v/>
      </c>
      <c r="EW27" s="149" t="str">
        <f>IF(OR($B27="",$B27=0),"",$I27*$C27*(1+'Property Summary'!$L$21)^('MF CapEx'!EW$3-1))</f>
        <v/>
      </c>
      <c r="EX27" s="149" t="str">
        <f>IF(OR($B27="",$B27=0),"",$I27*$C27*(1+'Property Summary'!$L$21)^('MF CapEx'!EX$3-1))</f>
        <v/>
      </c>
      <c r="EY27" s="149" t="str">
        <f>IF(OR($B27="",$B27=0),"",$I27*$C27*(1+'Property Summary'!$L$21)^('MF CapEx'!EY$3-1))</f>
        <v/>
      </c>
      <c r="EZ27" s="149" t="str">
        <f>IF(OR($B27="",$B27=0),"",$I27*$C27*(1+'Property Summary'!$L$21)^('MF CapEx'!EZ$3-1))</f>
        <v/>
      </c>
      <c r="FA27" s="149" t="str">
        <f>IF(OR($B27="",$B27=0),"",$I27*$C27*(1+'Property Summary'!$L$21)^('MF CapEx'!FA$3-1))</f>
        <v/>
      </c>
      <c r="FB27" s="149" t="str">
        <f>IF(OR($B27="",$B27=0),"",$I27*$C27*(1+'Property Summary'!$L$21)^('MF CapEx'!FB$3-1))</f>
        <v/>
      </c>
      <c r="FC27" s="149" t="str">
        <f>IF(OR($B27="",$B27=0),"",$I27*$C27*(1+'Property Summary'!$L$21)^('MF CapEx'!FC$3-1))</f>
        <v/>
      </c>
      <c r="FD27" s="149" t="str">
        <f>IF(OR($B27="",$B27=0),"",$I27*$C27*(1+'Property Summary'!$L$21)^('MF CapEx'!FD$3-1))</f>
        <v/>
      </c>
      <c r="FE27" s="149" t="str">
        <f>IF(OR($B27="",$B27=0),"",$I27*$C27*(1+'Property Summary'!$L$21)^('MF CapEx'!FE$3-1))</f>
        <v/>
      </c>
      <c r="FF27" s="149" t="str">
        <f>IF(OR($B27="",$B27=0),"",$I27*$C27*(1+'Property Summary'!$L$21)^('MF CapEx'!FF$3-1))</f>
        <v/>
      </c>
      <c r="FG27" s="149" t="str">
        <f>IF(OR($B27="",$B27=0),"",$I27*$C27*(1+'Property Summary'!$L$21)^('MF CapEx'!FG$3-1))</f>
        <v/>
      </c>
      <c r="FH27" s="149" t="str">
        <f>IF(OR($B27="",$B27=0),"",$I27*$C27*(1+'Property Summary'!$L$21)^('MF CapEx'!FH$3-1))</f>
        <v/>
      </c>
      <c r="FI27" s="149" t="str">
        <f>IF(OR($B27="",$B27=0),"",$I27*$C27*(1+'Property Summary'!$L$21)^('MF CapEx'!FI$3-1))</f>
        <v/>
      </c>
      <c r="FJ27" s="149" t="str">
        <f>IF(OR($B27="",$B27=0),"",$I27*$C27*(1+'Property Summary'!$L$21)^('MF CapEx'!FJ$3-1))</f>
        <v/>
      </c>
      <c r="FK27" s="149" t="str">
        <f>IF(OR($B27="",$B27=0),"",$I27*$C27*(1+'Property Summary'!$L$21)^('MF CapEx'!FK$3-1))</f>
        <v/>
      </c>
      <c r="FL27" s="149" t="str">
        <f>IF(OR($B27="",$B27=0),"",$I27*$C27*(1+'Property Summary'!$L$21)^('MF CapEx'!FL$3-1))</f>
        <v/>
      </c>
      <c r="FM27" s="149" t="str">
        <f>IF(OR($B27="",$B27=0),"",$I27*$C27*(1+'Property Summary'!$L$21)^('MF CapEx'!FM$3-1))</f>
        <v/>
      </c>
      <c r="FN27" s="149" t="str">
        <f>IF(OR($B27="",$B27=0),"",$I27*$C27*(1+'Property Summary'!$L$21)^('MF CapEx'!FN$3-1))</f>
        <v/>
      </c>
      <c r="FO27" s="149" t="str">
        <f>IF(OR($B27="",$B27=0),"",$I27*$C27*(1+'Property Summary'!$L$21)^('MF CapEx'!FO$3-1))</f>
        <v/>
      </c>
      <c r="FP27" s="149" t="str">
        <f>IF(OR($B27="",$B27=0),"",$I27*$C27*(1+'Property Summary'!$L$21)^('MF CapEx'!FP$3-1))</f>
        <v/>
      </c>
      <c r="FQ27" s="149" t="str">
        <f>IF(OR($B27="",$B27=0),"",$I27*$C27*(1+'Property Summary'!$L$21)^('MF CapEx'!FQ$3-1))</f>
        <v/>
      </c>
      <c r="FR27" s="149" t="str">
        <f>IF(OR($B27="",$B27=0),"",$I27*$C27*(1+'Property Summary'!$L$21)^('MF CapEx'!FR$3-1))</f>
        <v/>
      </c>
      <c r="FS27" s="149" t="str">
        <f>IF(OR($B27="",$B27=0),"",$I27*$C27*(1+'Property Summary'!$L$21)^('MF CapEx'!FS$3-1))</f>
        <v/>
      </c>
      <c r="FT27" s="149" t="str">
        <f>IF(OR($B27="",$B27=0),"",$I27*$C27*(1+'Property Summary'!$L$21)^('MF CapEx'!FT$3-1))</f>
        <v/>
      </c>
      <c r="FU27" s="149" t="str">
        <f>IF(OR($B27="",$B27=0),"",$I27*$C27*(1+'Property Summary'!$L$21)^('MF CapEx'!FU$3-1))</f>
        <v/>
      </c>
      <c r="FV27" s="149" t="str">
        <f>IF(OR($B27="",$B27=0),"",$I27*$C27*(1+'Property Summary'!$L$21)^('MF CapEx'!FV$3-1))</f>
        <v/>
      </c>
      <c r="FW27" s="149" t="str">
        <f>IF(OR($B27="",$B27=0),"",$I27*$C27*(1+'Property Summary'!$L$21)^('MF CapEx'!FW$3-1))</f>
        <v/>
      </c>
      <c r="FX27" s="149" t="str">
        <f>IF(OR($B27="",$B27=0),"",$I27*$C27*(1+'Property Summary'!$L$21)^('MF CapEx'!FX$3-1))</f>
        <v/>
      </c>
      <c r="FY27" s="149" t="str">
        <f>IF(OR($B27="",$B27=0),"",$I27*$C27*(1+'Property Summary'!$L$21)^('MF CapEx'!FY$3-1))</f>
        <v/>
      </c>
      <c r="FZ27" s="149" t="str">
        <f>IF(OR($B27="",$B27=0),"",$I27*$C27*(1+'Property Summary'!$L$21)^('MF CapEx'!FZ$3-1))</f>
        <v/>
      </c>
      <c r="GA27" s="149" t="str">
        <f>IF(OR($B27="",$B27=0),"",$I27*$C27*(1+'Property Summary'!$L$21)^('MF CapEx'!GA$3-1))</f>
        <v/>
      </c>
      <c r="GB27" s="149" t="str">
        <f>IF(OR($B27="",$B27=0),"",$I27*$C27*(1+'Property Summary'!$L$21)^('MF CapEx'!GB$3-1))</f>
        <v/>
      </c>
      <c r="GC27" s="149" t="str">
        <f>IF(OR($B27="",$B27=0),"",$I27*$C27*(1+'Property Summary'!$L$21)^('MF CapEx'!GC$3-1))</f>
        <v/>
      </c>
      <c r="GD27" s="149" t="str">
        <f>IF(OR($B27="",$B27=0),"",$I27*$C27*(1+'Property Summary'!$L$21)^('MF CapEx'!GD$3-1))</f>
        <v/>
      </c>
      <c r="GE27" s="149" t="str">
        <f>IF(OR($B27="",$B27=0),"",$I27*$C27*(1+'Property Summary'!$L$21)^('MF CapEx'!GE$3-1))</f>
        <v/>
      </c>
      <c r="GF27" s="149" t="str">
        <f>IF(OR($B27="",$B27=0),"",$I27*$C27*(1+'Property Summary'!$L$21)^('MF CapEx'!GF$3-1))</f>
        <v/>
      </c>
      <c r="GG27" s="149" t="str">
        <f>IF(OR($B27="",$B27=0),"",$I27*$C27*(1+'Property Summary'!$L$21)^('MF CapEx'!GG$3-1))</f>
        <v/>
      </c>
      <c r="GH27" s="149" t="str">
        <f>IF(OR($B27="",$B27=0),"",$I27*$C27*(1+'Property Summary'!$L$21)^('MF CapEx'!GH$3-1))</f>
        <v/>
      </c>
      <c r="GI27" s="149" t="str">
        <f>IF(OR($B27="",$B27=0),"",$I27*$C27*(1+'Property Summary'!$L$21)^('MF CapEx'!GI$3-1))</f>
        <v/>
      </c>
      <c r="GJ27" s="149" t="str">
        <f>IF(OR($B27="",$B27=0),"",$I27*$C27*(1+'Property Summary'!$L$21)^('MF CapEx'!GJ$3-1))</f>
        <v/>
      </c>
      <c r="GK27" s="149" t="str">
        <f>IF(OR($B27="",$B27=0),"",$I27*$C27*(1+'Property Summary'!$L$21)^('MF CapEx'!GK$3-1))</f>
        <v/>
      </c>
      <c r="GL27" s="149" t="str">
        <f>IF(OR($B27="",$B27=0),"",$I27*$C27*(1+'Property Summary'!$L$21)^('MF CapEx'!GL$3-1))</f>
        <v/>
      </c>
      <c r="GM27" s="149" t="str">
        <f>IF(OR($B27="",$B27=0),"",$I27*$C27*(1+'Property Summary'!$L$21)^('MF CapEx'!GM$3-1))</f>
        <v/>
      </c>
      <c r="GN27" s="149" t="str">
        <f>IF(OR($B27="",$B27=0),"",$I27*$C27*(1+'Property Summary'!$L$21)^('MF CapEx'!GN$3-1))</f>
        <v/>
      </c>
      <c r="GO27" s="149" t="str">
        <f>IF(OR($B27="",$B27=0),"",$I27*$C27*(1+'Property Summary'!$L$21)^('MF CapEx'!GO$3-1))</f>
        <v/>
      </c>
      <c r="GP27" s="149" t="str">
        <f>IF(OR($B27="",$B27=0),"",$I27*$C27*(1+'Property Summary'!$L$21)^('MF CapEx'!GP$3-1))</f>
        <v/>
      </c>
    </row>
    <row r="28" spans="2:198" x14ac:dyDescent="0.3">
      <c r="B28" s="184">
        <f>'MF Rent Roll'!B27</f>
        <v>0</v>
      </c>
      <c r="C28" s="171">
        <f>'MF Rent Roll'!C27</f>
        <v>0</v>
      </c>
      <c r="D28" s="172">
        <f>'MF Rent Roll'!D27</f>
        <v>0</v>
      </c>
      <c r="E28" s="172">
        <f>'MF Rent Roll'!E27</f>
        <v>0</v>
      </c>
      <c r="F28" s="173">
        <f>'MF Rent Roll'!F27</f>
        <v>0</v>
      </c>
      <c r="G28" s="174">
        <f>'MF Rent Roll'!G27</f>
        <v>0</v>
      </c>
      <c r="H28" s="176">
        <f>'MF Rent Roll'!J27</f>
        <v>0</v>
      </c>
      <c r="I28" s="174">
        <f>'MF Rent Roll'!K27</f>
        <v>0</v>
      </c>
      <c r="J28" s="177">
        <f>'MF Rent Roll'!L27</f>
        <v>0</v>
      </c>
      <c r="K28" s="178">
        <f>'MF Rent Roll'!M27</f>
        <v>0</v>
      </c>
      <c r="L28" s="174">
        <f>'MF Rent Roll'!N27</f>
        <v>0</v>
      </c>
      <c r="M28" s="179">
        <f>'MF Rent Roll'!O27</f>
        <v>0</v>
      </c>
      <c r="N28" s="180" t="str">
        <f>'MF Rent Roll'!P27</f>
        <v/>
      </c>
      <c r="O28" s="181" t="str">
        <f>'MF Rent Roll'!Q27</f>
        <v/>
      </c>
      <c r="P28" s="104" t="str">
        <f>'MF Rent Roll'!R27</f>
        <v/>
      </c>
      <c r="S28" s="149" t="str">
        <f>IF(OR($B28="",$B28=0),"",$I28*$C28*(1+'Property Summary'!$L$21)^('MF CapEx'!S$3-1))</f>
        <v/>
      </c>
      <c r="T28" s="149" t="str">
        <f>IF(OR($B28="",$B28=0),"",$I28*$C28*(1+'Property Summary'!$L$21)^('MF CapEx'!T$3-1))</f>
        <v/>
      </c>
      <c r="U28" s="149" t="str">
        <f>IF(OR($B28="",$B28=0),"",$I28*$C28*(1+'Property Summary'!$L$21)^('MF CapEx'!U$3-1))</f>
        <v/>
      </c>
      <c r="V28" s="149" t="str">
        <f>IF(OR($B28="",$B28=0),"",$I28*$C28*(1+'Property Summary'!$L$21)^('MF CapEx'!V$3-1))</f>
        <v/>
      </c>
      <c r="W28" s="149" t="str">
        <f>IF(OR($B28="",$B28=0),"",$I28*$C28*(1+'Property Summary'!$L$21)^('MF CapEx'!W$3-1))</f>
        <v/>
      </c>
      <c r="X28" s="149" t="str">
        <f>IF(OR($B28="",$B28=0),"",$I28*$C28*(1+'Property Summary'!$L$21)^('MF CapEx'!X$3-1))</f>
        <v/>
      </c>
      <c r="Y28" s="149" t="str">
        <f>IF(OR($B28="",$B28=0),"",$I28*$C28*(1+'Property Summary'!$L$21)^('MF CapEx'!Y$3-1))</f>
        <v/>
      </c>
      <c r="Z28" s="149" t="str">
        <f>IF(OR($B28="",$B28=0),"",$I28*$C28*(1+'Property Summary'!$L$21)^('MF CapEx'!Z$3-1))</f>
        <v/>
      </c>
      <c r="AA28" s="149" t="str">
        <f>IF(OR($B28="",$B28=0),"",$I28*$C28*(1+'Property Summary'!$L$21)^('MF CapEx'!AA$3-1))</f>
        <v/>
      </c>
      <c r="AB28" s="149" t="str">
        <f>IF(OR($B28="",$B28=0),"",$I28*$C28*(1+'Property Summary'!$L$21)^('MF CapEx'!AB$3-1))</f>
        <v/>
      </c>
      <c r="AC28" s="149" t="str">
        <f>IF(OR($B28="",$B28=0),"",$I28*$C28*(1+'Property Summary'!$L$21)^('MF CapEx'!AC$3-1))</f>
        <v/>
      </c>
      <c r="AD28" s="149" t="str">
        <f>IF(OR($B28="",$B28=0),"",$I28*$C28*(1+'Property Summary'!$L$21)^('MF CapEx'!AD$3-1))</f>
        <v/>
      </c>
      <c r="AE28" s="149" t="str">
        <f>IF(OR($B28="",$B28=0),"",$I28*$C28*(1+'Property Summary'!$L$21)^('MF CapEx'!AE$3-1))</f>
        <v/>
      </c>
      <c r="AF28" s="149" t="str">
        <f>IF(OR($B28="",$B28=0),"",$I28*$C28*(1+'Property Summary'!$L$21)^('MF CapEx'!AF$3-1))</f>
        <v/>
      </c>
      <c r="AG28" s="149" t="str">
        <f>IF(OR($B28="",$B28=0),"",$I28*$C28*(1+'Property Summary'!$L$21)^('MF CapEx'!AG$3-1))</f>
        <v/>
      </c>
      <c r="AH28" s="149" t="str">
        <f>IF(OR($B28="",$B28=0),"",$I28*$C28*(1+'Property Summary'!$L$21)^('MF CapEx'!AH$3-1))</f>
        <v/>
      </c>
      <c r="AI28" s="149" t="str">
        <f>IF(OR($B28="",$B28=0),"",$I28*$C28*(1+'Property Summary'!$L$21)^('MF CapEx'!AI$3-1))</f>
        <v/>
      </c>
      <c r="AJ28" s="149" t="str">
        <f>IF(OR($B28="",$B28=0),"",$I28*$C28*(1+'Property Summary'!$L$21)^('MF CapEx'!AJ$3-1))</f>
        <v/>
      </c>
      <c r="AK28" s="149" t="str">
        <f>IF(OR($B28="",$B28=0),"",$I28*$C28*(1+'Property Summary'!$L$21)^('MF CapEx'!AK$3-1))</f>
        <v/>
      </c>
      <c r="AL28" s="149" t="str">
        <f>IF(OR($B28="",$B28=0),"",$I28*$C28*(1+'Property Summary'!$L$21)^('MF CapEx'!AL$3-1))</f>
        <v/>
      </c>
      <c r="AM28" s="149" t="str">
        <f>IF(OR($B28="",$B28=0),"",$I28*$C28*(1+'Property Summary'!$L$21)^('MF CapEx'!AM$3-1))</f>
        <v/>
      </c>
      <c r="AN28" s="149" t="str">
        <f>IF(OR($B28="",$B28=0),"",$I28*$C28*(1+'Property Summary'!$L$21)^('MF CapEx'!AN$3-1))</f>
        <v/>
      </c>
      <c r="AO28" s="149" t="str">
        <f>IF(OR($B28="",$B28=0),"",$I28*$C28*(1+'Property Summary'!$L$21)^('MF CapEx'!AO$3-1))</f>
        <v/>
      </c>
      <c r="AP28" s="149" t="str">
        <f>IF(OR($B28="",$B28=0),"",$I28*$C28*(1+'Property Summary'!$L$21)^('MF CapEx'!AP$3-1))</f>
        <v/>
      </c>
      <c r="AQ28" s="149" t="str">
        <f>IF(OR($B28="",$B28=0),"",$I28*$C28*(1+'Property Summary'!$L$21)^('MF CapEx'!AQ$3-1))</f>
        <v/>
      </c>
      <c r="AR28" s="149" t="str">
        <f>IF(OR($B28="",$B28=0),"",$I28*$C28*(1+'Property Summary'!$L$21)^('MF CapEx'!AR$3-1))</f>
        <v/>
      </c>
      <c r="AS28" s="149" t="str">
        <f>IF(OR($B28="",$B28=0),"",$I28*$C28*(1+'Property Summary'!$L$21)^('MF CapEx'!AS$3-1))</f>
        <v/>
      </c>
      <c r="AT28" s="149" t="str">
        <f>IF(OR($B28="",$B28=0),"",$I28*$C28*(1+'Property Summary'!$L$21)^('MF CapEx'!AT$3-1))</f>
        <v/>
      </c>
      <c r="AU28" s="149" t="str">
        <f>IF(OR($B28="",$B28=0),"",$I28*$C28*(1+'Property Summary'!$L$21)^('MF CapEx'!AU$3-1))</f>
        <v/>
      </c>
      <c r="AV28" s="149" t="str">
        <f>IF(OR($B28="",$B28=0),"",$I28*$C28*(1+'Property Summary'!$L$21)^('MF CapEx'!AV$3-1))</f>
        <v/>
      </c>
      <c r="AW28" s="149" t="str">
        <f>IF(OR($B28="",$B28=0),"",$I28*$C28*(1+'Property Summary'!$L$21)^('MF CapEx'!AW$3-1))</f>
        <v/>
      </c>
      <c r="AX28" s="149" t="str">
        <f>IF(OR($B28="",$B28=0),"",$I28*$C28*(1+'Property Summary'!$L$21)^('MF CapEx'!AX$3-1))</f>
        <v/>
      </c>
      <c r="AY28" s="149" t="str">
        <f>IF(OR($B28="",$B28=0),"",$I28*$C28*(1+'Property Summary'!$L$21)^('MF CapEx'!AY$3-1))</f>
        <v/>
      </c>
      <c r="AZ28" s="149" t="str">
        <f>IF(OR($B28="",$B28=0),"",$I28*$C28*(1+'Property Summary'!$L$21)^('MF CapEx'!AZ$3-1))</f>
        <v/>
      </c>
      <c r="BA28" s="149" t="str">
        <f>IF(OR($B28="",$B28=0),"",$I28*$C28*(1+'Property Summary'!$L$21)^('MF CapEx'!BA$3-1))</f>
        <v/>
      </c>
      <c r="BB28" s="149" t="str">
        <f>IF(OR($B28="",$B28=0),"",$I28*$C28*(1+'Property Summary'!$L$21)^('MF CapEx'!BB$3-1))</f>
        <v/>
      </c>
      <c r="BC28" s="149" t="str">
        <f>IF(OR($B28="",$B28=0),"",$I28*$C28*(1+'Property Summary'!$L$21)^('MF CapEx'!BC$3-1))</f>
        <v/>
      </c>
      <c r="BD28" s="149" t="str">
        <f>IF(OR($B28="",$B28=0),"",$I28*$C28*(1+'Property Summary'!$L$21)^('MF CapEx'!BD$3-1))</f>
        <v/>
      </c>
      <c r="BE28" s="149" t="str">
        <f>IF(OR($B28="",$B28=0),"",$I28*$C28*(1+'Property Summary'!$L$21)^('MF CapEx'!BE$3-1))</f>
        <v/>
      </c>
      <c r="BF28" s="149" t="str">
        <f>IF(OR($B28="",$B28=0),"",$I28*$C28*(1+'Property Summary'!$L$21)^('MF CapEx'!BF$3-1))</f>
        <v/>
      </c>
      <c r="BG28" s="149" t="str">
        <f>IF(OR($B28="",$B28=0),"",$I28*$C28*(1+'Property Summary'!$L$21)^('MF CapEx'!BG$3-1))</f>
        <v/>
      </c>
      <c r="BH28" s="149" t="str">
        <f>IF(OR($B28="",$B28=0),"",$I28*$C28*(1+'Property Summary'!$L$21)^('MF CapEx'!BH$3-1))</f>
        <v/>
      </c>
      <c r="BI28" s="149" t="str">
        <f>IF(OR($B28="",$B28=0),"",$I28*$C28*(1+'Property Summary'!$L$21)^('MF CapEx'!BI$3-1))</f>
        <v/>
      </c>
      <c r="BJ28" s="149" t="str">
        <f>IF(OR($B28="",$B28=0),"",$I28*$C28*(1+'Property Summary'!$L$21)^('MF CapEx'!BJ$3-1))</f>
        <v/>
      </c>
      <c r="BK28" s="149" t="str">
        <f>IF(OR($B28="",$B28=0),"",$I28*$C28*(1+'Property Summary'!$L$21)^('MF CapEx'!BK$3-1))</f>
        <v/>
      </c>
      <c r="BL28" s="149" t="str">
        <f>IF(OR($B28="",$B28=0),"",$I28*$C28*(1+'Property Summary'!$L$21)^('MF CapEx'!BL$3-1))</f>
        <v/>
      </c>
      <c r="BM28" s="149" t="str">
        <f>IF(OR($B28="",$B28=0),"",$I28*$C28*(1+'Property Summary'!$L$21)^('MF CapEx'!BM$3-1))</f>
        <v/>
      </c>
      <c r="BN28" s="149" t="str">
        <f>IF(OR($B28="",$B28=0),"",$I28*$C28*(1+'Property Summary'!$L$21)^('MF CapEx'!BN$3-1))</f>
        <v/>
      </c>
      <c r="BO28" s="149" t="str">
        <f>IF(OR($B28="",$B28=0),"",$I28*$C28*(1+'Property Summary'!$L$21)^('MF CapEx'!BO$3-1))</f>
        <v/>
      </c>
      <c r="BP28" s="149" t="str">
        <f>IF(OR($B28="",$B28=0),"",$I28*$C28*(1+'Property Summary'!$L$21)^('MF CapEx'!BP$3-1))</f>
        <v/>
      </c>
      <c r="BQ28" s="149" t="str">
        <f>IF(OR($B28="",$B28=0),"",$I28*$C28*(1+'Property Summary'!$L$21)^('MF CapEx'!BQ$3-1))</f>
        <v/>
      </c>
      <c r="BR28" s="149" t="str">
        <f>IF(OR($B28="",$B28=0),"",$I28*$C28*(1+'Property Summary'!$L$21)^('MF CapEx'!BR$3-1))</f>
        <v/>
      </c>
      <c r="BS28" s="149" t="str">
        <f>IF(OR($B28="",$B28=0),"",$I28*$C28*(1+'Property Summary'!$L$21)^('MF CapEx'!BS$3-1))</f>
        <v/>
      </c>
      <c r="BT28" s="149" t="str">
        <f>IF(OR($B28="",$B28=0),"",$I28*$C28*(1+'Property Summary'!$L$21)^('MF CapEx'!BT$3-1))</f>
        <v/>
      </c>
      <c r="BU28" s="149" t="str">
        <f>IF(OR($B28="",$B28=0),"",$I28*$C28*(1+'Property Summary'!$L$21)^('MF CapEx'!BU$3-1))</f>
        <v/>
      </c>
      <c r="BV28" s="149" t="str">
        <f>IF(OR($B28="",$B28=0),"",$I28*$C28*(1+'Property Summary'!$L$21)^('MF CapEx'!BV$3-1))</f>
        <v/>
      </c>
      <c r="BW28" s="149" t="str">
        <f>IF(OR($B28="",$B28=0),"",$I28*$C28*(1+'Property Summary'!$L$21)^('MF CapEx'!BW$3-1))</f>
        <v/>
      </c>
      <c r="BX28" s="149" t="str">
        <f>IF(OR($B28="",$B28=0),"",$I28*$C28*(1+'Property Summary'!$L$21)^('MF CapEx'!BX$3-1))</f>
        <v/>
      </c>
      <c r="BY28" s="149" t="str">
        <f>IF(OR($B28="",$B28=0),"",$I28*$C28*(1+'Property Summary'!$L$21)^('MF CapEx'!BY$3-1))</f>
        <v/>
      </c>
      <c r="BZ28" s="149" t="str">
        <f>IF(OR($B28="",$B28=0),"",$I28*$C28*(1+'Property Summary'!$L$21)^('MF CapEx'!BZ$3-1))</f>
        <v/>
      </c>
      <c r="CA28" s="149" t="str">
        <f>IF(OR($B28="",$B28=0),"",$I28*$C28*(1+'Property Summary'!$L$21)^('MF CapEx'!CA$3-1))</f>
        <v/>
      </c>
      <c r="CB28" s="149" t="str">
        <f>IF(OR($B28="",$B28=0),"",$I28*$C28*(1+'Property Summary'!$L$21)^('MF CapEx'!CB$3-1))</f>
        <v/>
      </c>
      <c r="CC28" s="149" t="str">
        <f>IF(OR($B28="",$B28=0),"",$I28*$C28*(1+'Property Summary'!$L$21)^('MF CapEx'!CC$3-1))</f>
        <v/>
      </c>
      <c r="CD28" s="149" t="str">
        <f>IF(OR($B28="",$B28=0),"",$I28*$C28*(1+'Property Summary'!$L$21)^('MF CapEx'!CD$3-1))</f>
        <v/>
      </c>
      <c r="CE28" s="149" t="str">
        <f>IF(OR($B28="",$B28=0),"",$I28*$C28*(1+'Property Summary'!$L$21)^('MF CapEx'!CE$3-1))</f>
        <v/>
      </c>
      <c r="CF28" s="149" t="str">
        <f>IF(OR($B28="",$B28=0),"",$I28*$C28*(1+'Property Summary'!$L$21)^('MF CapEx'!CF$3-1))</f>
        <v/>
      </c>
      <c r="CG28" s="149" t="str">
        <f>IF(OR($B28="",$B28=0),"",$I28*$C28*(1+'Property Summary'!$L$21)^('MF CapEx'!CG$3-1))</f>
        <v/>
      </c>
      <c r="CH28" s="149" t="str">
        <f>IF(OR($B28="",$B28=0),"",$I28*$C28*(1+'Property Summary'!$L$21)^('MF CapEx'!CH$3-1))</f>
        <v/>
      </c>
      <c r="CI28" s="149" t="str">
        <f>IF(OR($B28="",$B28=0),"",$I28*$C28*(1+'Property Summary'!$L$21)^('MF CapEx'!CI$3-1))</f>
        <v/>
      </c>
      <c r="CJ28" s="149" t="str">
        <f>IF(OR($B28="",$B28=0),"",$I28*$C28*(1+'Property Summary'!$L$21)^('MF CapEx'!CJ$3-1))</f>
        <v/>
      </c>
      <c r="CK28" s="149" t="str">
        <f>IF(OR($B28="",$B28=0),"",$I28*$C28*(1+'Property Summary'!$L$21)^('MF CapEx'!CK$3-1))</f>
        <v/>
      </c>
      <c r="CL28" s="149" t="str">
        <f>IF(OR($B28="",$B28=0),"",$I28*$C28*(1+'Property Summary'!$L$21)^('MF CapEx'!CL$3-1))</f>
        <v/>
      </c>
      <c r="CM28" s="149" t="str">
        <f>IF(OR($B28="",$B28=0),"",$I28*$C28*(1+'Property Summary'!$L$21)^('MF CapEx'!CM$3-1))</f>
        <v/>
      </c>
      <c r="CN28" s="149" t="str">
        <f>IF(OR($B28="",$B28=0),"",$I28*$C28*(1+'Property Summary'!$L$21)^('MF CapEx'!CN$3-1))</f>
        <v/>
      </c>
      <c r="CO28" s="149" t="str">
        <f>IF(OR($B28="",$B28=0),"",$I28*$C28*(1+'Property Summary'!$L$21)^('MF CapEx'!CO$3-1))</f>
        <v/>
      </c>
      <c r="CP28" s="149" t="str">
        <f>IF(OR($B28="",$B28=0),"",$I28*$C28*(1+'Property Summary'!$L$21)^('MF CapEx'!CP$3-1))</f>
        <v/>
      </c>
      <c r="CQ28" s="149" t="str">
        <f>IF(OR($B28="",$B28=0),"",$I28*$C28*(1+'Property Summary'!$L$21)^('MF CapEx'!CQ$3-1))</f>
        <v/>
      </c>
      <c r="CR28" s="149" t="str">
        <f>IF(OR($B28="",$B28=0),"",$I28*$C28*(1+'Property Summary'!$L$21)^('MF CapEx'!CR$3-1))</f>
        <v/>
      </c>
      <c r="CS28" s="149" t="str">
        <f>IF(OR($B28="",$B28=0),"",$I28*$C28*(1+'Property Summary'!$L$21)^('MF CapEx'!CS$3-1))</f>
        <v/>
      </c>
      <c r="CT28" s="149" t="str">
        <f>IF(OR($B28="",$B28=0),"",$I28*$C28*(1+'Property Summary'!$L$21)^('MF CapEx'!CT$3-1))</f>
        <v/>
      </c>
      <c r="CU28" s="149" t="str">
        <f>IF(OR($B28="",$B28=0),"",$I28*$C28*(1+'Property Summary'!$L$21)^('MF CapEx'!CU$3-1))</f>
        <v/>
      </c>
      <c r="CV28" s="149" t="str">
        <f>IF(OR($B28="",$B28=0),"",$I28*$C28*(1+'Property Summary'!$L$21)^('MF CapEx'!CV$3-1))</f>
        <v/>
      </c>
      <c r="CW28" s="149" t="str">
        <f>IF(OR($B28="",$B28=0),"",$I28*$C28*(1+'Property Summary'!$L$21)^('MF CapEx'!CW$3-1))</f>
        <v/>
      </c>
      <c r="CX28" s="149" t="str">
        <f>IF(OR($B28="",$B28=0),"",$I28*$C28*(1+'Property Summary'!$L$21)^('MF CapEx'!CX$3-1))</f>
        <v/>
      </c>
      <c r="CY28" s="149" t="str">
        <f>IF(OR($B28="",$B28=0),"",$I28*$C28*(1+'Property Summary'!$L$21)^('MF CapEx'!CY$3-1))</f>
        <v/>
      </c>
      <c r="CZ28" s="149" t="str">
        <f>IF(OR($B28="",$B28=0),"",$I28*$C28*(1+'Property Summary'!$L$21)^('MF CapEx'!CZ$3-1))</f>
        <v/>
      </c>
      <c r="DA28" s="149" t="str">
        <f>IF(OR($B28="",$B28=0),"",$I28*$C28*(1+'Property Summary'!$L$21)^('MF CapEx'!DA$3-1))</f>
        <v/>
      </c>
      <c r="DB28" s="149" t="str">
        <f>IF(OR($B28="",$B28=0),"",$I28*$C28*(1+'Property Summary'!$L$21)^('MF CapEx'!DB$3-1))</f>
        <v/>
      </c>
      <c r="DC28" s="149" t="str">
        <f>IF(OR($B28="",$B28=0),"",$I28*$C28*(1+'Property Summary'!$L$21)^('MF CapEx'!DC$3-1))</f>
        <v/>
      </c>
      <c r="DD28" s="149" t="str">
        <f>IF(OR($B28="",$B28=0),"",$I28*$C28*(1+'Property Summary'!$L$21)^('MF CapEx'!DD$3-1))</f>
        <v/>
      </c>
      <c r="DE28" s="149" t="str">
        <f>IF(OR($B28="",$B28=0),"",$I28*$C28*(1+'Property Summary'!$L$21)^('MF CapEx'!DE$3-1))</f>
        <v/>
      </c>
      <c r="DF28" s="149" t="str">
        <f>IF(OR($B28="",$B28=0),"",$I28*$C28*(1+'Property Summary'!$L$21)^('MF CapEx'!DF$3-1))</f>
        <v/>
      </c>
      <c r="DG28" s="149" t="str">
        <f>IF(OR($B28="",$B28=0),"",$I28*$C28*(1+'Property Summary'!$L$21)^('MF CapEx'!DG$3-1))</f>
        <v/>
      </c>
      <c r="DH28" s="149" t="str">
        <f>IF(OR($B28="",$B28=0),"",$I28*$C28*(1+'Property Summary'!$L$21)^('MF CapEx'!DH$3-1))</f>
        <v/>
      </c>
      <c r="DI28" s="149" t="str">
        <f>IF(OR($B28="",$B28=0),"",$I28*$C28*(1+'Property Summary'!$L$21)^('MF CapEx'!DI$3-1))</f>
        <v/>
      </c>
      <c r="DJ28" s="149" t="str">
        <f>IF(OR($B28="",$B28=0),"",$I28*$C28*(1+'Property Summary'!$L$21)^('MF CapEx'!DJ$3-1))</f>
        <v/>
      </c>
      <c r="DK28" s="149" t="str">
        <f>IF(OR($B28="",$B28=0),"",$I28*$C28*(1+'Property Summary'!$L$21)^('MF CapEx'!DK$3-1))</f>
        <v/>
      </c>
      <c r="DL28" s="149" t="str">
        <f>IF(OR($B28="",$B28=0),"",$I28*$C28*(1+'Property Summary'!$L$21)^('MF CapEx'!DL$3-1))</f>
        <v/>
      </c>
      <c r="DM28" s="149" t="str">
        <f>IF(OR($B28="",$B28=0),"",$I28*$C28*(1+'Property Summary'!$L$21)^('MF CapEx'!DM$3-1))</f>
        <v/>
      </c>
      <c r="DN28" s="149" t="str">
        <f>IF(OR($B28="",$B28=0),"",$I28*$C28*(1+'Property Summary'!$L$21)^('MF CapEx'!DN$3-1))</f>
        <v/>
      </c>
      <c r="DO28" s="149" t="str">
        <f>IF(OR($B28="",$B28=0),"",$I28*$C28*(1+'Property Summary'!$L$21)^('MF CapEx'!DO$3-1))</f>
        <v/>
      </c>
      <c r="DP28" s="149" t="str">
        <f>IF(OR($B28="",$B28=0),"",$I28*$C28*(1+'Property Summary'!$L$21)^('MF CapEx'!DP$3-1))</f>
        <v/>
      </c>
      <c r="DQ28" s="149" t="str">
        <f>IF(OR($B28="",$B28=0),"",$I28*$C28*(1+'Property Summary'!$L$21)^('MF CapEx'!DQ$3-1))</f>
        <v/>
      </c>
      <c r="DR28" s="149" t="str">
        <f>IF(OR($B28="",$B28=0),"",$I28*$C28*(1+'Property Summary'!$L$21)^('MF CapEx'!DR$3-1))</f>
        <v/>
      </c>
      <c r="DS28" s="149" t="str">
        <f>IF(OR($B28="",$B28=0),"",$I28*$C28*(1+'Property Summary'!$L$21)^('MF CapEx'!DS$3-1))</f>
        <v/>
      </c>
      <c r="DT28" s="149" t="str">
        <f>IF(OR($B28="",$B28=0),"",$I28*$C28*(1+'Property Summary'!$L$21)^('MF CapEx'!DT$3-1))</f>
        <v/>
      </c>
      <c r="DU28" s="149" t="str">
        <f>IF(OR($B28="",$B28=0),"",$I28*$C28*(1+'Property Summary'!$L$21)^('MF CapEx'!DU$3-1))</f>
        <v/>
      </c>
      <c r="DV28" s="149" t="str">
        <f>IF(OR($B28="",$B28=0),"",$I28*$C28*(1+'Property Summary'!$L$21)^('MF CapEx'!DV$3-1))</f>
        <v/>
      </c>
      <c r="DW28" s="149" t="str">
        <f>IF(OR($B28="",$B28=0),"",$I28*$C28*(1+'Property Summary'!$L$21)^('MF CapEx'!DW$3-1))</f>
        <v/>
      </c>
      <c r="DX28" s="149" t="str">
        <f>IF(OR($B28="",$B28=0),"",$I28*$C28*(1+'Property Summary'!$L$21)^('MF CapEx'!DX$3-1))</f>
        <v/>
      </c>
      <c r="DY28" s="149" t="str">
        <f>IF(OR($B28="",$B28=0),"",$I28*$C28*(1+'Property Summary'!$L$21)^('MF CapEx'!DY$3-1))</f>
        <v/>
      </c>
      <c r="DZ28" s="149" t="str">
        <f>IF(OR($B28="",$B28=0),"",$I28*$C28*(1+'Property Summary'!$L$21)^('MF CapEx'!DZ$3-1))</f>
        <v/>
      </c>
      <c r="EA28" s="149" t="str">
        <f>IF(OR($B28="",$B28=0),"",$I28*$C28*(1+'Property Summary'!$L$21)^('MF CapEx'!EA$3-1))</f>
        <v/>
      </c>
      <c r="EB28" s="149" t="str">
        <f>IF(OR($B28="",$B28=0),"",$I28*$C28*(1+'Property Summary'!$L$21)^('MF CapEx'!EB$3-1))</f>
        <v/>
      </c>
      <c r="EC28" s="149" t="str">
        <f>IF(OR($B28="",$B28=0),"",$I28*$C28*(1+'Property Summary'!$L$21)^('MF CapEx'!EC$3-1))</f>
        <v/>
      </c>
      <c r="ED28" s="149" t="str">
        <f>IF(OR($B28="",$B28=0),"",$I28*$C28*(1+'Property Summary'!$L$21)^('MF CapEx'!ED$3-1))</f>
        <v/>
      </c>
      <c r="EE28" s="149" t="str">
        <f>IF(OR($B28="",$B28=0),"",$I28*$C28*(1+'Property Summary'!$L$21)^('MF CapEx'!EE$3-1))</f>
        <v/>
      </c>
      <c r="EF28" s="149" t="str">
        <f>IF(OR($B28="",$B28=0),"",$I28*$C28*(1+'Property Summary'!$L$21)^('MF CapEx'!EF$3-1))</f>
        <v/>
      </c>
      <c r="EG28" s="149" t="str">
        <f>IF(OR($B28="",$B28=0),"",$I28*$C28*(1+'Property Summary'!$L$21)^('MF CapEx'!EG$3-1))</f>
        <v/>
      </c>
      <c r="EH28" s="149" t="str">
        <f>IF(OR($B28="",$B28=0),"",$I28*$C28*(1+'Property Summary'!$L$21)^('MF CapEx'!EH$3-1))</f>
        <v/>
      </c>
      <c r="EI28" s="149" t="str">
        <f>IF(OR($B28="",$B28=0),"",$I28*$C28*(1+'Property Summary'!$L$21)^('MF CapEx'!EI$3-1))</f>
        <v/>
      </c>
      <c r="EJ28" s="149" t="str">
        <f>IF(OR($B28="",$B28=0),"",$I28*$C28*(1+'Property Summary'!$L$21)^('MF CapEx'!EJ$3-1))</f>
        <v/>
      </c>
      <c r="EK28" s="149" t="str">
        <f>IF(OR($B28="",$B28=0),"",$I28*$C28*(1+'Property Summary'!$L$21)^('MF CapEx'!EK$3-1))</f>
        <v/>
      </c>
      <c r="EL28" s="149" t="str">
        <f>IF(OR($B28="",$B28=0),"",$I28*$C28*(1+'Property Summary'!$L$21)^('MF CapEx'!EL$3-1))</f>
        <v/>
      </c>
      <c r="EM28" s="149" t="str">
        <f>IF(OR($B28="",$B28=0),"",$I28*$C28*(1+'Property Summary'!$L$21)^('MF CapEx'!EM$3-1))</f>
        <v/>
      </c>
      <c r="EN28" s="149" t="str">
        <f>IF(OR($B28="",$B28=0),"",$I28*$C28*(1+'Property Summary'!$L$21)^('MF CapEx'!EN$3-1))</f>
        <v/>
      </c>
      <c r="EO28" s="149" t="str">
        <f>IF(OR($B28="",$B28=0),"",$I28*$C28*(1+'Property Summary'!$L$21)^('MF CapEx'!EO$3-1))</f>
        <v/>
      </c>
      <c r="EP28" s="149" t="str">
        <f>IF(OR($B28="",$B28=0),"",$I28*$C28*(1+'Property Summary'!$L$21)^('MF CapEx'!EP$3-1))</f>
        <v/>
      </c>
      <c r="EQ28" s="149" t="str">
        <f>IF(OR($B28="",$B28=0),"",$I28*$C28*(1+'Property Summary'!$L$21)^('MF CapEx'!EQ$3-1))</f>
        <v/>
      </c>
      <c r="ER28" s="149" t="str">
        <f>IF(OR($B28="",$B28=0),"",$I28*$C28*(1+'Property Summary'!$L$21)^('MF CapEx'!ER$3-1))</f>
        <v/>
      </c>
      <c r="ES28" s="149" t="str">
        <f>IF(OR($B28="",$B28=0),"",$I28*$C28*(1+'Property Summary'!$L$21)^('MF CapEx'!ES$3-1))</f>
        <v/>
      </c>
      <c r="ET28" s="149" t="str">
        <f>IF(OR($B28="",$B28=0),"",$I28*$C28*(1+'Property Summary'!$L$21)^('MF CapEx'!ET$3-1))</f>
        <v/>
      </c>
      <c r="EU28" s="149" t="str">
        <f>IF(OR($B28="",$B28=0),"",$I28*$C28*(1+'Property Summary'!$L$21)^('MF CapEx'!EU$3-1))</f>
        <v/>
      </c>
      <c r="EV28" s="149" t="str">
        <f>IF(OR($B28="",$B28=0),"",$I28*$C28*(1+'Property Summary'!$L$21)^('MF CapEx'!EV$3-1))</f>
        <v/>
      </c>
      <c r="EW28" s="149" t="str">
        <f>IF(OR($B28="",$B28=0),"",$I28*$C28*(1+'Property Summary'!$L$21)^('MF CapEx'!EW$3-1))</f>
        <v/>
      </c>
      <c r="EX28" s="149" t="str">
        <f>IF(OR($B28="",$B28=0),"",$I28*$C28*(1+'Property Summary'!$L$21)^('MF CapEx'!EX$3-1))</f>
        <v/>
      </c>
      <c r="EY28" s="149" t="str">
        <f>IF(OR($B28="",$B28=0),"",$I28*$C28*(1+'Property Summary'!$L$21)^('MF CapEx'!EY$3-1))</f>
        <v/>
      </c>
      <c r="EZ28" s="149" t="str">
        <f>IF(OR($B28="",$B28=0),"",$I28*$C28*(1+'Property Summary'!$L$21)^('MF CapEx'!EZ$3-1))</f>
        <v/>
      </c>
      <c r="FA28" s="149" t="str">
        <f>IF(OR($B28="",$B28=0),"",$I28*$C28*(1+'Property Summary'!$L$21)^('MF CapEx'!FA$3-1))</f>
        <v/>
      </c>
      <c r="FB28" s="149" t="str">
        <f>IF(OR($B28="",$B28=0),"",$I28*$C28*(1+'Property Summary'!$L$21)^('MF CapEx'!FB$3-1))</f>
        <v/>
      </c>
      <c r="FC28" s="149" t="str">
        <f>IF(OR($B28="",$B28=0),"",$I28*$C28*(1+'Property Summary'!$L$21)^('MF CapEx'!FC$3-1))</f>
        <v/>
      </c>
      <c r="FD28" s="149" t="str">
        <f>IF(OR($B28="",$B28=0),"",$I28*$C28*(1+'Property Summary'!$L$21)^('MF CapEx'!FD$3-1))</f>
        <v/>
      </c>
      <c r="FE28" s="149" t="str">
        <f>IF(OR($B28="",$B28=0),"",$I28*$C28*(1+'Property Summary'!$L$21)^('MF CapEx'!FE$3-1))</f>
        <v/>
      </c>
      <c r="FF28" s="149" t="str">
        <f>IF(OR($B28="",$B28=0),"",$I28*$C28*(1+'Property Summary'!$L$21)^('MF CapEx'!FF$3-1))</f>
        <v/>
      </c>
      <c r="FG28" s="149" t="str">
        <f>IF(OR($B28="",$B28=0),"",$I28*$C28*(1+'Property Summary'!$L$21)^('MF CapEx'!FG$3-1))</f>
        <v/>
      </c>
      <c r="FH28" s="149" t="str">
        <f>IF(OR($B28="",$B28=0),"",$I28*$C28*(1+'Property Summary'!$L$21)^('MF CapEx'!FH$3-1))</f>
        <v/>
      </c>
      <c r="FI28" s="149" t="str">
        <f>IF(OR($B28="",$B28=0),"",$I28*$C28*(1+'Property Summary'!$L$21)^('MF CapEx'!FI$3-1))</f>
        <v/>
      </c>
      <c r="FJ28" s="149" t="str">
        <f>IF(OR($B28="",$B28=0),"",$I28*$C28*(1+'Property Summary'!$L$21)^('MF CapEx'!FJ$3-1))</f>
        <v/>
      </c>
      <c r="FK28" s="149" t="str">
        <f>IF(OR($B28="",$B28=0),"",$I28*$C28*(1+'Property Summary'!$L$21)^('MF CapEx'!FK$3-1))</f>
        <v/>
      </c>
      <c r="FL28" s="149" t="str">
        <f>IF(OR($B28="",$B28=0),"",$I28*$C28*(1+'Property Summary'!$L$21)^('MF CapEx'!FL$3-1))</f>
        <v/>
      </c>
      <c r="FM28" s="149" t="str">
        <f>IF(OR($B28="",$B28=0),"",$I28*$C28*(1+'Property Summary'!$L$21)^('MF CapEx'!FM$3-1))</f>
        <v/>
      </c>
      <c r="FN28" s="149" t="str">
        <f>IF(OR($B28="",$B28=0),"",$I28*$C28*(1+'Property Summary'!$L$21)^('MF CapEx'!FN$3-1))</f>
        <v/>
      </c>
      <c r="FO28" s="149" t="str">
        <f>IF(OR($B28="",$B28=0),"",$I28*$C28*(1+'Property Summary'!$L$21)^('MF CapEx'!FO$3-1))</f>
        <v/>
      </c>
      <c r="FP28" s="149" t="str">
        <f>IF(OR($B28="",$B28=0),"",$I28*$C28*(1+'Property Summary'!$L$21)^('MF CapEx'!FP$3-1))</f>
        <v/>
      </c>
      <c r="FQ28" s="149" t="str">
        <f>IF(OR($B28="",$B28=0),"",$I28*$C28*(1+'Property Summary'!$L$21)^('MF CapEx'!FQ$3-1))</f>
        <v/>
      </c>
      <c r="FR28" s="149" t="str">
        <f>IF(OR($B28="",$B28=0),"",$I28*$C28*(1+'Property Summary'!$L$21)^('MF CapEx'!FR$3-1))</f>
        <v/>
      </c>
      <c r="FS28" s="149" t="str">
        <f>IF(OR($B28="",$B28=0),"",$I28*$C28*(1+'Property Summary'!$L$21)^('MF CapEx'!FS$3-1))</f>
        <v/>
      </c>
      <c r="FT28" s="149" t="str">
        <f>IF(OR($B28="",$B28=0),"",$I28*$C28*(1+'Property Summary'!$L$21)^('MF CapEx'!FT$3-1))</f>
        <v/>
      </c>
      <c r="FU28" s="149" t="str">
        <f>IF(OR($B28="",$B28=0),"",$I28*$C28*(1+'Property Summary'!$L$21)^('MF CapEx'!FU$3-1))</f>
        <v/>
      </c>
      <c r="FV28" s="149" t="str">
        <f>IF(OR($B28="",$B28=0),"",$I28*$C28*(1+'Property Summary'!$L$21)^('MF CapEx'!FV$3-1))</f>
        <v/>
      </c>
      <c r="FW28" s="149" t="str">
        <f>IF(OR($B28="",$B28=0),"",$I28*$C28*(1+'Property Summary'!$L$21)^('MF CapEx'!FW$3-1))</f>
        <v/>
      </c>
      <c r="FX28" s="149" t="str">
        <f>IF(OR($B28="",$B28=0),"",$I28*$C28*(1+'Property Summary'!$L$21)^('MF CapEx'!FX$3-1))</f>
        <v/>
      </c>
      <c r="FY28" s="149" t="str">
        <f>IF(OR($B28="",$B28=0),"",$I28*$C28*(1+'Property Summary'!$L$21)^('MF CapEx'!FY$3-1))</f>
        <v/>
      </c>
      <c r="FZ28" s="149" t="str">
        <f>IF(OR($B28="",$B28=0),"",$I28*$C28*(1+'Property Summary'!$L$21)^('MF CapEx'!FZ$3-1))</f>
        <v/>
      </c>
      <c r="GA28" s="149" t="str">
        <f>IF(OR($B28="",$B28=0),"",$I28*$C28*(1+'Property Summary'!$L$21)^('MF CapEx'!GA$3-1))</f>
        <v/>
      </c>
      <c r="GB28" s="149" t="str">
        <f>IF(OR($B28="",$B28=0),"",$I28*$C28*(1+'Property Summary'!$L$21)^('MF CapEx'!GB$3-1))</f>
        <v/>
      </c>
      <c r="GC28" s="149" t="str">
        <f>IF(OR($B28="",$B28=0),"",$I28*$C28*(1+'Property Summary'!$L$21)^('MF CapEx'!GC$3-1))</f>
        <v/>
      </c>
      <c r="GD28" s="149" t="str">
        <f>IF(OR($B28="",$B28=0),"",$I28*$C28*(1+'Property Summary'!$L$21)^('MF CapEx'!GD$3-1))</f>
        <v/>
      </c>
      <c r="GE28" s="149" t="str">
        <f>IF(OR($B28="",$B28=0),"",$I28*$C28*(1+'Property Summary'!$L$21)^('MF CapEx'!GE$3-1))</f>
        <v/>
      </c>
      <c r="GF28" s="149" t="str">
        <f>IF(OR($B28="",$B28=0),"",$I28*$C28*(1+'Property Summary'!$L$21)^('MF CapEx'!GF$3-1))</f>
        <v/>
      </c>
      <c r="GG28" s="149" t="str">
        <f>IF(OR($B28="",$B28=0),"",$I28*$C28*(1+'Property Summary'!$L$21)^('MF CapEx'!GG$3-1))</f>
        <v/>
      </c>
      <c r="GH28" s="149" t="str">
        <f>IF(OR($B28="",$B28=0),"",$I28*$C28*(1+'Property Summary'!$L$21)^('MF CapEx'!GH$3-1))</f>
        <v/>
      </c>
      <c r="GI28" s="149" t="str">
        <f>IF(OR($B28="",$B28=0),"",$I28*$C28*(1+'Property Summary'!$L$21)^('MF CapEx'!GI$3-1))</f>
        <v/>
      </c>
      <c r="GJ28" s="149" t="str">
        <f>IF(OR($B28="",$B28=0),"",$I28*$C28*(1+'Property Summary'!$L$21)^('MF CapEx'!GJ$3-1))</f>
        <v/>
      </c>
      <c r="GK28" s="149" t="str">
        <f>IF(OR($B28="",$B28=0),"",$I28*$C28*(1+'Property Summary'!$L$21)^('MF CapEx'!GK$3-1))</f>
        <v/>
      </c>
      <c r="GL28" s="149" t="str">
        <f>IF(OR($B28="",$B28=0),"",$I28*$C28*(1+'Property Summary'!$L$21)^('MF CapEx'!GL$3-1))</f>
        <v/>
      </c>
      <c r="GM28" s="149" t="str">
        <f>IF(OR($B28="",$B28=0),"",$I28*$C28*(1+'Property Summary'!$L$21)^('MF CapEx'!GM$3-1))</f>
        <v/>
      </c>
      <c r="GN28" s="149" t="str">
        <f>IF(OR($B28="",$B28=0),"",$I28*$C28*(1+'Property Summary'!$L$21)^('MF CapEx'!GN$3-1))</f>
        <v/>
      </c>
      <c r="GO28" s="149" t="str">
        <f>IF(OR($B28="",$B28=0),"",$I28*$C28*(1+'Property Summary'!$L$21)^('MF CapEx'!GO$3-1))</f>
        <v/>
      </c>
      <c r="GP28" s="149" t="str">
        <f>IF(OR($B28="",$B28=0),"",$I28*$C28*(1+'Property Summary'!$L$21)^('MF CapEx'!GP$3-1))</f>
        <v/>
      </c>
    </row>
    <row r="29" spans="2:198" x14ac:dyDescent="0.3">
      <c r="B29" s="184">
        <f>'MF Rent Roll'!B28</f>
        <v>0</v>
      </c>
      <c r="C29" s="171">
        <f>'MF Rent Roll'!C28</f>
        <v>0</v>
      </c>
      <c r="D29" s="172">
        <f>'MF Rent Roll'!D28</f>
        <v>0</v>
      </c>
      <c r="E29" s="172">
        <f>'MF Rent Roll'!E28</f>
        <v>0</v>
      </c>
      <c r="F29" s="173">
        <f>'MF Rent Roll'!F28</f>
        <v>0</v>
      </c>
      <c r="G29" s="174">
        <f>'MF Rent Roll'!G28</f>
        <v>0</v>
      </c>
      <c r="H29" s="176">
        <f>'MF Rent Roll'!J28</f>
        <v>0</v>
      </c>
      <c r="I29" s="174">
        <f>'MF Rent Roll'!K28</f>
        <v>0</v>
      </c>
      <c r="J29" s="177">
        <f>'MF Rent Roll'!L28</f>
        <v>0</v>
      </c>
      <c r="K29" s="178">
        <f>'MF Rent Roll'!M28</f>
        <v>0</v>
      </c>
      <c r="L29" s="174">
        <f>'MF Rent Roll'!N28</f>
        <v>0</v>
      </c>
      <c r="M29" s="179">
        <f>'MF Rent Roll'!O28</f>
        <v>0</v>
      </c>
      <c r="N29" s="180" t="str">
        <f>'MF Rent Roll'!P28</f>
        <v/>
      </c>
      <c r="O29" s="181" t="str">
        <f>'MF Rent Roll'!Q28</f>
        <v/>
      </c>
      <c r="P29" s="104" t="str">
        <f>'MF Rent Roll'!R28</f>
        <v/>
      </c>
      <c r="S29" s="149" t="str">
        <f>IF(OR($B29="",$B29=0),"",$I29*$C29*(1+'Property Summary'!$L$21)^('MF CapEx'!S$3-1))</f>
        <v/>
      </c>
      <c r="T29" s="149" t="str">
        <f>IF(OR($B29="",$B29=0),"",$I29*$C29*(1+'Property Summary'!$L$21)^('MF CapEx'!T$3-1))</f>
        <v/>
      </c>
      <c r="U29" s="149" t="str">
        <f>IF(OR($B29="",$B29=0),"",$I29*$C29*(1+'Property Summary'!$L$21)^('MF CapEx'!U$3-1))</f>
        <v/>
      </c>
      <c r="V29" s="149" t="str">
        <f>IF(OR($B29="",$B29=0),"",$I29*$C29*(1+'Property Summary'!$L$21)^('MF CapEx'!V$3-1))</f>
        <v/>
      </c>
      <c r="W29" s="149" t="str">
        <f>IF(OR($B29="",$B29=0),"",$I29*$C29*(1+'Property Summary'!$L$21)^('MF CapEx'!W$3-1))</f>
        <v/>
      </c>
      <c r="X29" s="149" t="str">
        <f>IF(OR($B29="",$B29=0),"",$I29*$C29*(1+'Property Summary'!$L$21)^('MF CapEx'!X$3-1))</f>
        <v/>
      </c>
      <c r="Y29" s="149" t="str">
        <f>IF(OR($B29="",$B29=0),"",$I29*$C29*(1+'Property Summary'!$L$21)^('MF CapEx'!Y$3-1))</f>
        <v/>
      </c>
      <c r="Z29" s="149" t="str">
        <f>IF(OR($B29="",$B29=0),"",$I29*$C29*(1+'Property Summary'!$L$21)^('MF CapEx'!Z$3-1))</f>
        <v/>
      </c>
      <c r="AA29" s="149" t="str">
        <f>IF(OR($B29="",$B29=0),"",$I29*$C29*(1+'Property Summary'!$L$21)^('MF CapEx'!AA$3-1))</f>
        <v/>
      </c>
      <c r="AB29" s="149" t="str">
        <f>IF(OR($B29="",$B29=0),"",$I29*$C29*(1+'Property Summary'!$L$21)^('MF CapEx'!AB$3-1))</f>
        <v/>
      </c>
      <c r="AC29" s="149" t="str">
        <f>IF(OR($B29="",$B29=0),"",$I29*$C29*(1+'Property Summary'!$L$21)^('MF CapEx'!AC$3-1))</f>
        <v/>
      </c>
      <c r="AD29" s="149" t="str">
        <f>IF(OR($B29="",$B29=0),"",$I29*$C29*(1+'Property Summary'!$L$21)^('MF CapEx'!AD$3-1))</f>
        <v/>
      </c>
      <c r="AE29" s="149" t="str">
        <f>IF(OR($B29="",$B29=0),"",$I29*$C29*(1+'Property Summary'!$L$21)^('MF CapEx'!AE$3-1))</f>
        <v/>
      </c>
      <c r="AF29" s="149" t="str">
        <f>IF(OR($B29="",$B29=0),"",$I29*$C29*(1+'Property Summary'!$L$21)^('MF CapEx'!AF$3-1))</f>
        <v/>
      </c>
      <c r="AG29" s="149" t="str">
        <f>IF(OR($B29="",$B29=0),"",$I29*$C29*(1+'Property Summary'!$L$21)^('MF CapEx'!AG$3-1))</f>
        <v/>
      </c>
      <c r="AH29" s="149" t="str">
        <f>IF(OR($B29="",$B29=0),"",$I29*$C29*(1+'Property Summary'!$L$21)^('MF CapEx'!AH$3-1))</f>
        <v/>
      </c>
      <c r="AI29" s="149" t="str">
        <f>IF(OR($B29="",$B29=0),"",$I29*$C29*(1+'Property Summary'!$L$21)^('MF CapEx'!AI$3-1))</f>
        <v/>
      </c>
      <c r="AJ29" s="149" t="str">
        <f>IF(OR($B29="",$B29=0),"",$I29*$C29*(1+'Property Summary'!$L$21)^('MF CapEx'!AJ$3-1))</f>
        <v/>
      </c>
      <c r="AK29" s="149" t="str">
        <f>IF(OR($B29="",$B29=0),"",$I29*$C29*(1+'Property Summary'!$L$21)^('MF CapEx'!AK$3-1))</f>
        <v/>
      </c>
      <c r="AL29" s="149" t="str">
        <f>IF(OR($B29="",$B29=0),"",$I29*$C29*(1+'Property Summary'!$L$21)^('MF CapEx'!AL$3-1))</f>
        <v/>
      </c>
      <c r="AM29" s="149" t="str">
        <f>IF(OR($B29="",$B29=0),"",$I29*$C29*(1+'Property Summary'!$L$21)^('MF CapEx'!AM$3-1))</f>
        <v/>
      </c>
      <c r="AN29" s="149" t="str">
        <f>IF(OR($B29="",$B29=0),"",$I29*$C29*(1+'Property Summary'!$L$21)^('MF CapEx'!AN$3-1))</f>
        <v/>
      </c>
      <c r="AO29" s="149" t="str">
        <f>IF(OR($B29="",$B29=0),"",$I29*$C29*(1+'Property Summary'!$L$21)^('MF CapEx'!AO$3-1))</f>
        <v/>
      </c>
      <c r="AP29" s="149" t="str">
        <f>IF(OR($B29="",$B29=0),"",$I29*$C29*(1+'Property Summary'!$L$21)^('MF CapEx'!AP$3-1))</f>
        <v/>
      </c>
      <c r="AQ29" s="149" t="str">
        <f>IF(OR($B29="",$B29=0),"",$I29*$C29*(1+'Property Summary'!$L$21)^('MF CapEx'!AQ$3-1))</f>
        <v/>
      </c>
      <c r="AR29" s="149" t="str">
        <f>IF(OR($B29="",$B29=0),"",$I29*$C29*(1+'Property Summary'!$L$21)^('MF CapEx'!AR$3-1))</f>
        <v/>
      </c>
      <c r="AS29" s="149" t="str">
        <f>IF(OR($B29="",$B29=0),"",$I29*$C29*(1+'Property Summary'!$L$21)^('MF CapEx'!AS$3-1))</f>
        <v/>
      </c>
      <c r="AT29" s="149" t="str">
        <f>IF(OR($B29="",$B29=0),"",$I29*$C29*(1+'Property Summary'!$L$21)^('MF CapEx'!AT$3-1))</f>
        <v/>
      </c>
      <c r="AU29" s="149" t="str">
        <f>IF(OR($B29="",$B29=0),"",$I29*$C29*(1+'Property Summary'!$L$21)^('MF CapEx'!AU$3-1))</f>
        <v/>
      </c>
      <c r="AV29" s="149" t="str">
        <f>IF(OR($B29="",$B29=0),"",$I29*$C29*(1+'Property Summary'!$L$21)^('MF CapEx'!AV$3-1))</f>
        <v/>
      </c>
      <c r="AW29" s="149" t="str">
        <f>IF(OR($B29="",$B29=0),"",$I29*$C29*(1+'Property Summary'!$L$21)^('MF CapEx'!AW$3-1))</f>
        <v/>
      </c>
      <c r="AX29" s="149" t="str">
        <f>IF(OR($B29="",$B29=0),"",$I29*$C29*(1+'Property Summary'!$L$21)^('MF CapEx'!AX$3-1))</f>
        <v/>
      </c>
      <c r="AY29" s="149" t="str">
        <f>IF(OR($B29="",$B29=0),"",$I29*$C29*(1+'Property Summary'!$L$21)^('MF CapEx'!AY$3-1))</f>
        <v/>
      </c>
      <c r="AZ29" s="149" t="str">
        <f>IF(OR($B29="",$B29=0),"",$I29*$C29*(1+'Property Summary'!$L$21)^('MF CapEx'!AZ$3-1))</f>
        <v/>
      </c>
      <c r="BA29" s="149" t="str">
        <f>IF(OR($B29="",$B29=0),"",$I29*$C29*(1+'Property Summary'!$L$21)^('MF CapEx'!BA$3-1))</f>
        <v/>
      </c>
      <c r="BB29" s="149" t="str">
        <f>IF(OR($B29="",$B29=0),"",$I29*$C29*(1+'Property Summary'!$L$21)^('MF CapEx'!BB$3-1))</f>
        <v/>
      </c>
      <c r="BC29" s="149" t="str">
        <f>IF(OR($B29="",$B29=0),"",$I29*$C29*(1+'Property Summary'!$L$21)^('MF CapEx'!BC$3-1))</f>
        <v/>
      </c>
      <c r="BD29" s="149" t="str">
        <f>IF(OR($B29="",$B29=0),"",$I29*$C29*(1+'Property Summary'!$L$21)^('MF CapEx'!BD$3-1))</f>
        <v/>
      </c>
      <c r="BE29" s="149" t="str">
        <f>IF(OR($B29="",$B29=0),"",$I29*$C29*(1+'Property Summary'!$L$21)^('MF CapEx'!BE$3-1))</f>
        <v/>
      </c>
      <c r="BF29" s="149" t="str">
        <f>IF(OR($B29="",$B29=0),"",$I29*$C29*(1+'Property Summary'!$L$21)^('MF CapEx'!BF$3-1))</f>
        <v/>
      </c>
      <c r="BG29" s="149" t="str">
        <f>IF(OR($B29="",$B29=0),"",$I29*$C29*(1+'Property Summary'!$L$21)^('MF CapEx'!BG$3-1))</f>
        <v/>
      </c>
      <c r="BH29" s="149" t="str">
        <f>IF(OR($B29="",$B29=0),"",$I29*$C29*(1+'Property Summary'!$L$21)^('MF CapEx'!BH$3-1))</f>
        <v/>
      </c>
      <c r="BI29" s="149" t="str">
        <f>IF(OR($B29="",$B29=0),"",$I29*$C29*(1+'Property Summary'!$L$21)^('MF CapEx'!BI$3-1))</f>
        <v/>
      </c>
      <c r="BJ29" s="149" t="str">
        <f>IF(OR($B29="",$B29=0),"",$I29*$C29*(1+'Property Summary'!$L$21)^('MF CapEx'!BJ$3-1))</f>
        <v/>
      </c>
      <c r="BK29" s="149" t="str">
        <f>IF(OR($B29="",$B29=0),"",$I29*$C29*(1+'Property Summary'!$L$21)^('MF CapEx'!BK$3-1))</f>
        <v/>
      </c>
      <c r="BL29" s="149" t="str">
        <f>IF(OR($B29="",$B29=0),"",$I29*$C29*(1+'Property Summary'!$L$21)^('MF CapEx'!BL$3-1))</f>
        <v/>
      </c>
      <c r="BM29" s="149" t="str">
        <f>IF(OR($B29="",$B29=0),"",$I29*$C29*(1+'Property Summary'!$L$21)^('MF CapEx'!BM$3-1))</f>
        <v/>
      </c>
      <c r="BN29" s="149" t="str">
        <f>IF(OR($B29="",$B29=0),"",$I29*$C29*(1+'Property Summary'!$L$21)^('MF CapEx'!BN$3-1))</f>
        <v/>
      </c>
      <c r="BO29" s="149" t="str">
        <f>IF(OR($B29="",$B29=0),"",$I29*$C29*(1+'Property Summary'!$L$21)^('MF CapEx'!BO$3-1))</f>
        <v/>
      </c>
      <c r="BP29" s="149" t="str">
        <f>IF(OR($B29="",$B29=0),"",$I29*$C29*(1+'Property Summary'!$L$21)^('MF CapEx'!BP$3-1))</f>
        <v/>
      </c>
      <c r="BQ29" s="149" t="str">
        <f>IF(OR($B29="",$B29=0),"",$I29*$C29*(1+'Property Summary'!$L$21)^('MF CapEx'!BQ$3-1))</f>
        <v/>
      </c>
      <c r="BR29" s="149" t="str">
        <f>IF(OR($B29="",$B29=0),"",$I29*$C29*(1+'Property Summary'!$L$21)^('MF CapEx'!BR$3-1))</f>
        <v/>
      </c>
      <c r="BS29" s="149" t="str">
        <f>IF(OR($B29="",$B29=0),"",$I29*$C29*(1+'Property Summary'!$L$21)^('MF CapEx'!BS$3-1))</f>
        <v/>
      </c>
      <c r="BT29" s="149" t="str">
        <f>IF(OR($B29="",$B29=0),"",$I29*$C29*(1+'Property Summary'!$L$21)^('MF CapEx'!BT$3-1))</f>
        <v/>
      </c>
      <c r="BU29" s="149" t="str">
        <f>IF(OR($B29="",$B29=0),"",$I29*$C29*(1+'Property Summary'!$L$21)^('MF CapEx'!BU$3-1))</f>
        <v/>
      </c>
      <c r="BV29" s="149" t="str">
        <f>IF(OR($B29="",$B29=0),"",$I29*$C29*(1+'Property Summary'!$L$21)^('MF CapEx'!BV$3-1))</f>
        <v/>
      </c>
      <c r="BW29" s="149" t="str">
        <f>IF(OR($B29="",$B29=0),"",$I29*$C29*(1+'Property Summary'!$L$21)^('MF CapEx'!BW$3-1))</f>
        <v/>
      </c>
      <c r="BX29" s="149" t="str">
        <f>IF(OR($B29="",$B29=0),"",$I29*$C29*(1+'Property Summary'!$L$21)^('MF CapEx'!BX$3-1))</f>
        <v/>
      </c>
      <c r="BY29" s="149" t="str">
        <f>IF(OR($B29="",$B29=0),"",$I29*$C29*(1+'Property Summary'!$L$21)^('MF CapEx'!BY$3-1))</f>
        <v/>
      </c>
      <c r="BZ29" s="149" t="str">
        <f>IF(OR($B29="",$B29=0),"",$I29*$C29*(1+'Property Summary'!$L$21)^('MF CapEx'!BZ$3-1))</f>
        <v/>
      </c>
      <c r="CA29" s="149" t="str">
        <f>IF(OR($B29="",$B29=0),"",$I29*$C29*(1+'Property Summary'!$L$21)^('MF CapEx'!CA$3-1))</f>
        <v/>
      </c>
      <c r="CB29" s="149" t="str">
        <f>IF(OR($B29="",$B29=0),"",$I29*$C29*(1+'Property Summary'!$L$21)^('MF CapEx'!CB$3-1))</f>
        <v/>
      </c>
      <c r="CC29" s="149" t="str">
        <f>IF(OR($B29="",$B29=0),"",$I29*$C29*(1+'Property Summary'!$L$21)^('MF CapEx'!CC$3-1))</f>
        <v/>
      </c>
      <c r="CD29" s="149" t="str">
        <f>IF(OR($B29="",$B29=0),"",$I29*$C29*(1+'Property Summary'!$L$21)^('MF CapEx'!CD$3-1))</f>
        <v/>
      </c>
      <c r="CE29" s="149" t="str">
        <f>IF(OR($B29="",$B29=0),"",$I29*$C29*(1+'Property Summary'!$L$21)^('MF CapEx'!CE$3-1))</f>
        <v/>
      </c>
      <c r="CF29" s="149" t="str">
        <f>IF(OR($B29="",$B29=0),"",$I29*$C29*(1+'Property Summary'!$L$21)^('MF CapEx'!CF$3-1))</f>
        <v/>
      </c>
      <c r="CG29" s="149" t="str">
        <f>IF(OR($B29="",$B29=0),"",$I29*$C29*(1+'Property Summary'!$L$21)^('MF CapEx'!CG$3-1))</f>
        <v/>
      </c>
      <c r="CH29" s="149" t="str">
        <f>IF(OR($B29="",$B29=0),"",$I29*$C29*(1+'Property Summary'!$L$21)^('MF CapEx'!CH$3-1))</f>
        <v/>
      </c>
      <c r="CI29" s="149" t="str">
        <f>IF(OR($B29="",$B29=0),"",$I29*$C29*(1+'Property Summary'!$L$21)^('MF CapEx'!CI$3-1))</f>
        <v/>
      </c>
      <c r="CJ29" s="149" t="str">
        <f>IF(OR($B29="",$B29=0),"",$I29*$C29*(1+'Property Summary'!$L$21)^('MF CapEx'!CJ$3-1))</f>
        <v/>
      </c>
      <c r="CK29" s="149" t="str">
        <f>IF(OR($B29="",$B29=0),"",$I29*$C29*(1+'Property Summary'!$L$21)^('MF CapEx'!CK$3-1))</f>
        <v/>
      </c>
      <c r="CL29" s="149" t="str">
        <f>IF(OR($B29="",$B29=0),"",$I29*$C29*(1+'Property Summary'!$L$21)^('MF CapEx'!CL$3-1))</f>
        <v/>
      </c>
      <c r="CM29" s="149" t="str">
        <f>IF(OR($B29="",$B29=0),"",$I29*$C29*(1+'Property Summary'!$L$21)^('MF CapEx'!CM$3-1))</f>
        <v/>
      </c>
      <c r="CN29" s="149" t="str">
        <f>IF(OR($B29="",$B29=0),"",$I29*$C29*(1+'Property Summary'!$L$21)^('MF CapEx'!CN$3-1))</f>
        <v/>
      </c>
      <c r="CO29" s="149" t="str">
        <f>IF(OR($B29="",$B29=0),"",$I29*$C29*(1+'Property Summary'!$L$21)^('MF CapEx'!CO$3-1))</f>
        <v/>
      </c>
      <c r="CP29" s="149" t="str">
        <f>IF(OR($B29="",$B29=0),"",$I29*$C29*(1+'Property Summary'!$L$21)^('MF CapEx'!CP$3-1))</f>
        <v/>
      </c>
      <c r="CQ29" s="149" t="str">
        <f>IF(OR($B29="",$B29=0),"",$I29*$C29*(1+'Property Summary'!$L$21)^('MF CapEx'!CQ$3-1))</f>
        <v/>
      </c>
      <c r="CR29" s="149" t="str">
        <f>IF(OR($B29="",$B29=0),"",$I29*$C29*(1+'Property Summary'!$L$21)^('MF CapEx'!CR$3-1))</f>
        <v/>
      </c>
      <c r="CS29" s="149" t="str">
        <f>IF(OR($B29="",$B29=0),"",$I29*$C29*(1+'Property Summary'!$L$21)^('MF CapEx'!CS$3-1))</f>
        <v/>
      </c>
      <c r="CT29" s="149" t="str">
        <f>IF(OR($B29="",$B29=0),"",$I29*$C29*(1+'Property Summary'!$L$21)^('MF CapEx'!CT$3-1))</f>
        <v/>
      </c>
      <c r="CU29" s="149" t="str">
        <f>IF(OR($B29="",$B29=0),"",$I29*$C29*(1+'Property Summary'!$L$21)^('MF CapEx'!CU$3-1))</f>
        <v/>
      </c>
      <c r="CV29" s="149" t="str">
        <f>IF(OR($B29="",$B29=0),"",$I29*$C29*(1+'Property Summary'!$L$21)^('MF CapEx'!CV$3-1))</f>
        <v/>
      </c>
      <c r="CW29" s="149" t="str">
        <f>IF(OR($B29="",$B29=0),"",$I29*$C29*(1+'Property Summary'!$L$21)^('MF CapEx'!CW$3-1))</f>
        <v/>
      </c>
      <c r="CX29" s="149" t="str">
        <f>IF(OR($B29="",$B29=0),"",$I29*$C29*(1+'Property Summary'!$L$21)^('MF CapEx'!CX$3-1))</f>
        <v/>
      </c>
      <c r="CY29" s="149" t="str">
        <f>IF(OR($B29="",$B29=0),"",$I29*$C29*(1+'Property Summary'!$L$21)^('MF CapEx'!CY$3-1))</f>
        <v/>
      </c>
      <c r="CZ29" s="149" t="str">
        <f>IF(OR($B29="",$B29=0),"",$I29*$C29*(1+'Property Summary'!$L$21)^('MF CapEx'!CZ$3-1))</f>
        <v/>
      </c>
      <c r="DA29" s="149" t="str">
        <f>IF(OR($B29="",$B29=0),"",$I29*$C29*(1+'Property Summary'!$L$21)^('MF CapEx'!DA$3-1))</f>
        <v/>
      </c>
      <c r="DB29" s="149" t="str">
        <f>IF(OR($B29="",$B29=0),"",$I29*$C29*(1+'Property Summary'!$L$21)^('MF CapEx'!DB$3-1))</f>
        <v/>
      </c>
      <c r="DC29" s="149" t="str">
        <f>IF(OR($B29="",$B29=0),"",$I29*$C29*(1+'Property Summary'!$L$21)^('MF CapEx'!DC$3-1))</f>
        <v/>
      </c>
      <c r="DD29" s="149" t="str">
        <f>IF(OR($B29="",$B29=0),"",$I29*$C29*(1+'Property Summary'!$L$21)^('MF CapEx'!DD$3-1))</f>
        <v/>
      </c>
      <c r="DE29" s="149" t="str">
        <f>IF(OR($B29="",$B29=0),"",$I29*$C29*(1+'Property Summary'!$L$21)^('MF CapEx'!DE$3-1))</f>
        <v/>
      </c>
      <c r="DF29" s="149" t="str">
        <f>IF(OR($B29="",$B29=0),"",$I29*$C29*(1+'Property Summary'!$L$21)^('MF CapEx'!DF$3-1))</f>
        <v/>
      </c>
      <c r="DG29" s="149" t="str">
        <f>IF(OR($B29="",$B29=0),"",$I29*$C29*(1+'Property Summary'!$L$21)^('MF CapEx'!DG$3-1))</f>
        <v/>
      </c>
      <c r="DH29" s="149" t="str">
        <f>IF(OR($B29="",$B29=0),"",$I29*$C29*(1+'Property Summary'!$L$21)^('MF CapEx'!DH$3-1))</f>
        <v/>
      </c>
      <c r="DI29" s="149" t="str">
        <f>IF(OR($B29="",$B29=0),"",$I29*$C29*(1+'Property Summary'!$L$21)^('MF CapEx'!DI$3-1))</f>
        <v/>
      </c>
      <c r="DJ29" s="149" t="str">
        <f>IF(OR($B29="",$B29=0),"",$I29*$C29*(1+'Property Summary'!$L$21)^('MF CapEx'!DJ$3-1))</f>
        <v/>
      </c>
      <c r="DK29" s="149" t="str">
        <f>IF(OR($B29="",$B29=0),"",$I29*$C29*(1+'Property Summary'!$L$21)^('MF CapEx'!DK$3-1))</f>
        <v/>
      </c>
      <c r="DL29" s="149" t="str">
        <f>IF(OR($B29="",$B29=0),"",$I29*$C29*(1+'Property Summary'!$L$21)^('MF CapEx'!DL$3-1))</f>
        <v/>
      </c>
      <c r="DM29" s="149" t="str">
        <f>IF(OR($B29="",$B29=0),"",$I29*$C29*(1+'Property Summary'!$L$21)^('MF CapEx'!DM$3-1))</f>
        <v/>
      </c>
      <c r="DN29" s="149" t="str">
        <f>IF(OR($B29="",$B29=0),"",$I29*$C29*(1+'Property Summary'!$L$21)^('MF CapEx'!DN$3-1))</f>
        <v/>
      </c>
      <c r="DO29" s="149" t="str">
        <f>IF(OR($B29="",$B29=0),"",$I29*$C29*(1+'Property Summary'!$L$21)^('MF CapEx'!DO$3-1))</f>
        <v/>
      </c>
      <c r="DP29" s="149" t="str">
        <f>IF(OR($B29="",$B29=0),"",$I29*$C29*(1+'Property Summary'!$L$21)^('MF CapEx'!DP$3-1))</f>
        <v/>
      </c>
      <c r="DQ29" s="149" t="str">
        <f>IF(OR($B29="",$B29=0),"",$I29*$C29*(1+'Property Summary'!$L$21)^('MF CapEx'!DQ$3-1))</f>
        <v/>
      </c>
      <c r="DR29" s="149" t="str">
        <f>IF(OR($B29="",$B29=0),"",$I29*$C29*(1+'Property Summary'!$L$21)^('MF CapEx'!DR$3-1))</f>
        <v/>
      </c>
      <c r="DS29" s="149" t="str">
        <f>IF(OR($B29="",$B29=0),"",$I29*$C29*(1+'Property Summary'!$L$21)^('MF CapEx'!DS$3-1))</f>
        <v/>
      </c>
      <c r="DT29" s="149" t="str">
        <f>IF(OR($B29="",$B29=0),"",$I29*$C29*(1+'Property Summary'!$L$21)^('MF CapEx'!DT$3-1))</f>
        <v/>
      </c>
      <c r="DU29" s="149" t="str">
        <f>IF(OR($B29="",$B29=0),"",$I29*$C29*(1+'Property Summary'!$L$21)^('MF CapEx'!DU$3-1))</f>
        <v/>
      </c>
      <c r="DV29" s="149" t="str">
        <f>IF(OR($B29="",$B29=0),"",$I29*$C29*(1+'Property Summary'!$L$21)^('MF CapEx'!DV$3-1))</f>
        <v/>
      </c>
      <c r="DW29" s="149" t="str">
        <f>IF(OR($B29="",$B29=0),"",$I29*$C29*(1+'Property Summary'!$L$21)^('MF CapEx'!DW$3-1))</f>
        <v/>
      </c>
      <c r="DX29" s="149" t="str">
        <f>IF(OR($B29="",$B29=0),"",$I29*$C29*(1+'Property Summary'!$L$21)^('MF CapEx'!DX$3-1))</f>
        <v/>
      </c>
      <c r="DY29" s="149" t="str">
        <f>IF(OR($B29="",$B29=0),"",$I29*$C29*(1+'Property Summary'!$L$21)^('MF CapEx'!DY$3-1))</f>
        <v/>
      </c>
      <c r="DZ29" s="149" t="str">
        <f>IF(OR($B29="",$B29=0),"",$I29*$C29*(1+'Property Summary'!$L$21)^('MF CapEx'!DZ$3-1))</f>
        <v/>
      </c>
      <c r="EA29" s="149" t="str">
        <f>IF(OR($B29="",$B29=0),"",$I29*$C29*(1+'Property Summary'!$L$21)^('MF CapEx'!EA$3-1))</f>
        <v/>
      </c>
      <c r="EB29" s="149" t="str">
        <f>IF(OR($B29="",$B29=0),"",$I29*$C29*(1+'Property Summary'!$L$21)^('MF CapEx'!EB$3-1))</f>
        <v/>
      </c>
      <c r="EC29" s="149" t="str">
        <f>IF(OR($B29="",$B29=0),"",$I29*$C29*(1+'Property Summary'!$L$21)^('MF CapEx'!EC$3-1))</f>
        <v/>
      </c>
      <c r="ED29" s="149" t="str">
        <f>IF(OR($B29="",$B29=0),"",$I29*$C29*(1+'Property Summary'!$L$21)^('MF CapEx'!ED$3-1))</f>
        <v/>
      </c>
      <c r="EE29" s="149" t="str">
        <f>IF(OR($B29="",$B29=0),"",$I29*$C29*(1+'Property Summary'!$L$21)^('MF CapEx'!EE$3-1))</f>
        <v/>
      </c>
      <c r="EF29" s="149" t="str">
        <f>IF(OR($B29="",$B29=0),"",$I29*$C29*(1+'Property Summary'!$L$21)^('MF CapEx'!EF$3-1))</f>
        <v/>
      </c>
      <c r="EG29" s="149" t="str">
        <f>IF(OR($B29="",$B29=0),"",$I29*$C29*(1+'Property Summary'!$L$21)^('MF CapEx'!EG$3-1))</f>
        <v/>
      </c>
      <c r="EH29" s="149" t="str">
        <f>IF(OR($B29="",$B29=0),"",$I29*$C29*(1+'Property Summary'!$L$21)^('MF CapEx'!EH$3-1))</f>
        <v/>
      </c>
      <c r="EI29" s="149" t="str">
        <f>IF(OR($B29="",$B29=0),"",$I29*$C29*(1+'Property Summary'!$L$21)^('MF CapEx'!EI$3-1))</f>
        <v/>
      </c>
      <c r="EJ29" s="149" t="str">
        <f>IF(OR($B29="",$B29=0),"",$I29*$C29*(1+'Property Summary'!$L$21)^('MF CapEx'!EJ$3-1))</f>
        <v/>
      </c>
      <c r="EK29" s="149" t="str">
        <f>IF(OR($B29="",$B29=0),"",$I29*$C29*(1+'Property Summary'!$L$21)^('MF CapEx'!EK$3-1))</f>
        <v/>
      </c>
      <c r="EL29" s="149" t="str">
        <f>IF(OR($B29="",$B29=0),"",$I29*$C29*(1+'Property Summary'!$L$21)^('MF CapEx'!EL$3-1))</f>
        <v/>
      </c>
      <c r="EM29" s="149" t="str">
        <f>IF(OR($B29="",$B29=0),"",$I29*$C29*(1+'Property Summary'!$L$21)^('MF CapEx'!EM$3-1))</f>
        <v/>
      </c>
      <c r="EN29" s="149" t="str">
        <f>IF(OR($B29="",$B29=0),"",$I29*$C29*(1+'Property Summary'!$L$21)^('MF CapEx'!EN$3-1))</f>
        <v/>
      </c>
      <c r="EO29" s="149" t="str">
        <f>IF(OR($B29="",$B29=0),"",$I29*$C29*(1+'Property Summary'!$L$21)^('MF CapEx'!EO$3-1))</f>
        <v/>
      </c>
      <c r="EP29" s="149" t="str">
        <f>IF(OR($B29="",$B29=0),"",$I29*$C29*(1+'Property Summary'!$L$21)^('MF CapEx'!EP$3-1))</f>
        <v/>
      </c>
      <c r="EQ29" s="149" t="str">
        <f>IF(OR($B29="",$B29=0),"",$I29*$C29*(1+'Property Summary'!$L$21)^('MF CapEx'!EQ$3-1))</f>
        <v/>
      </c>
      <c r="ER29" s="149" t="str">
        <f>IF(OR($B29="",$B29=0),"",$I29*$C29*(1+'Property Summary'!$L$21)^('MF CapEx'!ER$3-1))</f>
        <v/>
      </c>
      <c r="ES29" s="149" t="str">
        <f>IF(OR($B29="",$B29=0),"",$I29*$C29*(1+'Property Summary'!$L$21)^('MF CapEx'!ES$3-1))</f>
        <v/>
      </c>
      <c r="ET29" s="149" t="str">
        <f>IF(OR($B29="",$B29=0),"",$I29*$C29*(1+'Property Summary'!$L$21)^('MF CapEx'!ET$3-1))</f>
        <v/>
      </c>
      <c r="EU29" s="149" t="str">
        <f>IF(OR($B29="",$B29=0),"",$I29*$C29*(1+'Property Summary'!$L$21)^('MF CapEx'!EU$3-1))</f>
        <v/>
      </c>
      <c r="EV29" s="149" t="str">
        <f>IF(OR($B29="",$B29=0),"",$I29*$C29*(1+'Property Summary'!$L$21)^('MF CapEx'!EV$3-1))</f>
        <v/>
      </c>
      <c r="EW29" s="149" t="str">
        <f>IF(OR($B29="",$B29=0),"",$I29*$C29*(1+'Property Summary'!$L$21)^('MF CapEx'!EW$3-1))</f>
        <v/>
      </c>
      <c r="EX29" s="149" t="str">
        <f>IF(OR($B29="",$B29=0),"",$I29*$C29*(1+'Property Summary'!$L$21)^('MF CapEx'!EX$3-1))</f>
        <v/>
      </c>
      <c r="EY29" s="149" t="str">
        <f>IF(OR($B29="",$B29=0),"",$I29*$C29*(1+'Property Summary'!$L$21)^('MF CapEx'!EY$3-1))</f>
        <v/>
      </c>
      <c r="EZ29" s="149" t="str">
        <f>IF(OR($B29="",$B29=0),"",$I29*$C29*(1+'Property Summary'!$L$21)^('MF CapEx'!EZ$3-1))</f>
        <v/>
      </c>
      <c r="FA29" s="149" t="str">
        <f>IF(OR($B29="",$B29=0),"",$I29*$C29*(1+'Property Summary'!$L$21)^('MF CapEx'!FA$3-1))</f>
        <v/>
      </c>
      <c r="FB29" s="149" t="str">
        <f>IF(OR($B29="",$B29=0),"",$I29*$C29*(1+'Property Summary'!$L$21)^('MF CapEx'!FB$3-1))</f>
        <v/>
      </c>
      <c r="FC29" s="149" t="str">
        <f>IF(OR($B29="",$B29=0),"",$I29*$C29*(1+'Property Summary'!$L$21)^('MF CapEx'!FC$3-1))</f>
        <v/>
      </c>
      <c r="FD29" s="149" t="str">
        <f>IF(OR($B29="",$B29=0),"",$I29*$C29*(1+'Property Summary'!$L$21)^('MF CapEx'!FD$3-1))</f>
        <v/>
      </c>
      <c r="FE29" s="149" t="str">
        <f>IF(OR($B29="",$B29=0),"",$I29*$C29*(1+'Property Summary'!$L$21)^('MF CapEx'!FE$3-1))</f>
        <v/>
      </c>
      <c r="FF29" s="149" t="str">
        <f>IF(OR($B29="",$B29=0),"",$I29*$C29*(1+'Property Summary'!$L$21)^('MF CapEx'!FF$3-1))</f>
        <v/>
      </c>
      <c r="FG29" s="149" t="str">
        <f>IF(OR($B29="",$B29=0),"",$I29*$C29*(1+'Property Summary'!$L$21)^('MF CapEx'!FG$3-1))</f>
        <v/>
      </c>
      <c r="FH29" s="149" t="str">
        <f>IF(OR($B29="",$B29=0),"",$I29*$C29*(1+'Property Summary'!$L$21)^('MF CapEx'!FH$3-1))</f>
        <v/>
      </c>
      <c r="FI29" s="149" t="str">
        <f>IF(OR($B29="",$B29=0),"",$I29*$C29*(1+'Property Summary'!$L$21)^('MF CapEx'!FI$3-1))</f>
        <v/>
      </c>
      <c r="FJ29" s="149" t="str">
        <f>IF(OR($B29="",$B29=0),"",$I29*$C29*(1+'Property Summary'!$L$21)^('MF CapEx'!FJ$3-1))</f>
        <v/>
      </c>
      <c r="FK29" s="149" t="str">
        <f>IF(OR($B29="",$B29=0),"",$I29*$C29*(1+'Property Summary'!$L$21)^('MF CapEx'!FK$3-1))</f>
        <v/>
      </c>
      <c r="FL29" s="149" t="str">
        <f>IF(OR($B29="",$B29=0),"",$I29*$C29*(1+'Property Summary'!$L$21)^('MF CapEx'!FL$3-1))</f>
        <v/>
      </c>
      <c r="FM29" s="149" t="str">
        <f>IF(OR($B29="",$B29=0),"",$I29*$C29*(1+'Property Summary'!$L$21)^('MF CapEx'!FM$3-1))</f>
        <v/>
      </c>
      <c r="FN29" s="149" t="str">
        <f>IF(OR($B29="",$B29=0),"",$I29*$C29*(1+'Property Summary'!$L$21)^('MF CapEx'!FN$3-1))</f>
        <v/>
      </c>
      <c r="FO29" s="149" t="str">
        <f>IF(OR($B29="",$B29=0),"",$I29*$C29*(1+'Property Summary'!$L$21)^('MF CapEx'!FO$3-1))</f>
        <v/>
      </c>
      <c r="FP29" s="149" t="str">
        <f>IF(OR($B29="",$B29=0),"",$I29*$C29*(1+'Property Summary'!$L$21)^('MF CapEx'!FP$3-1))</f>
        <v/>
      </c>
      <c r="FQ29" s="149" t="str">
        <f>IF(OR($B29="",$B29=0),"",$I29*$C29*(1+'Property Summary'!$L$21)^('MF CapEx'!FQ$3-1))</f>
        <v/>
      </c>
      <c r="FR29" s="149" t="str">
        <f>IF(OR($B29="",$B29=0),"",$I29*$C29*(1+'Property Summary'!$L$21)^('MF CapEx'!FR$3-1))</f>
        <v/>
      </c>
      <c r="FS29" s="149" t="str">
        <f>IF(OR($B29="",$B29=0),"",$I29*$C29*(1+'Property Summary'!$L$21)^('MF CapEx'!FS$3-1))</f>
        <v/>
      </c>
      <c r="FT29" s="149" t="str">
        <f>IF(OR($B29="",$B29=0),"",$I29*$C29*(1+'Property Summary'!$L$21)^('MF CapEx'!FT$3-1))</f>
        <v/>
      </c>
      <c r="FU29" s="149" t="str">
        <f>IF(OR($B29="",$B29=0),"",$I29*$C29*(1+'Property Summary'!$L$21)^('MF CapEx'!FU$3-1))</f>
        <v/>
      </c>
      <c r="FV29" s="149" t="str">
        <f>IF(OR($B29="",$B29=0),"",$I29*$C29*(1+'Property Summary'!$L$21)^('MF CapEx'!FV$3-1))</f>
        <v/>
      </c>
      <c r="FW29" s="149" t="str">
        <f>IF(OR($B29="",$B29=0),"",$I29*$C29*(1+'Property Summary'!$L$21)^('MF CapEx'!FW$3-1))</f>
        <v/>
      </c>
      <c r="FX29" s="149" t="str">
        <f>IF(OR($B29="",$B29=0),"",$I29*$C29*(1+'Property Summary'!$L$21)^('MF CapEx'!FX$3-1))</f>
        <v/>
      </c>
      <c r="FY29" s="149" t="str">
        <f>IF(OR($B29="",$B29=0),"",$I29*$C29*(1+'Property Summary'!$L$21)^('MF CapEx'!FY$3-1))</f>
        <v/>
      </c>
      <c r="FZ29" s="149" t="str">
        <f>IF(OR($B29="",$B29=0),"",$I29*$C29*(1+'Property Summary'!$L$21)^('MF CapEx'!FZ$3-1))</f>
        <v/>
      </c>
      <c r="GA29" s="149" t="str">
        <f>IF(OR($B29="",$B29=0),"",$I29*$C29*(1+'Property Summary'!$L$21)^('MF CapEx'!GA$3-1))</f>
        <v/>
      </c>
      <c r="GB29" s="149" t="str">
        <f>IF(OR($B29="",$B29=0),"",$I29*$C29*(1+'Property Summary'!$L$21)^('MF CapEx'!GB$3-1))</f>
        <v/>
      </c>
      <c r="GC29" s="149" t="str">
        <f>IF(OR($B29="",$B29=0),"",$I29*$C29*(1+'Property Summary'!$L$21)^('MF CapEx'!GC$3-1))</f>
        <v/>
      </c>
      <c r="GD29" s="149" t="str">
        <f>IF(OR($B29="",$B29=0),"",$I29*$C29*(1+'Property Summary'!$L$21)^('MF CapEx'!GD$3-1))</f>
        <v/>
      </c>
      <c r="GE29" s="149" t="str">
        <f>IF(OR($B29="",$B29=0),"",$I29*$C29*(1+'Property Summary'!$L$21)^('MF CapEx'!GE$3-1))</f>
        <v/>
      </c>
      <c r="GF29" s="149" t="str">
        <f>IF(OR($B29="",$B29=0),"",$I29*$C29*(1+'Property Summary'!$L$21)^('MF CapEx'!GF$3-1))</f>
        <v/>
      </c>
      <c r="GG29" s="149" t="str">
        <f>IF(OR($B29="",$B29=0),"",$I29*$C29*(1+'Property Summary'!$L$21)^('MF CapEx'!GG$3-1))</f>
        <v/>
      </c>
      <c r="GH29" s="149" t="str">
        <f>IF(OR($B29="",$B29=0),"",$I29*$C29*(1+'Property Summary'!$L$21)^('MF CapEx'!GH$3-1))</f>
        <v/>
      </c>
      <c r="GI29" s="149" t="str">
        <f>IF(OR($B29="",$B29=0),"",$I29*$C29*(1+'Property Summary'!$L$21)^('MF CapEx'!GI$3-1))</f>
        <v/>
      </c>
      <c r="GJ29" s="149" t="str">
        <f>IF(OR($B29="",$B29=0),"",$I29*$C29*(1+'Property Summary'!$L$21)^('MF CapEx'!GJ$3-1))</f>
        <v/>
      </c>
      <c r="GK29" s="149" t="str">
        <f>IF(OR($B29="",$B29=0),"",$I29*$C29*(1+'Property Summary'!$L$21)^('MF CapEx'!GK$3-1))</f>
        <v/>
      </c>
      <c r="GL29" s="149" t="str">
        <f>IF(OR($B29="",$B29=0),"",$I29*$C29*(1+'Property Summary'!$L$21)^('MF CapEx'!GL$3-1))</f>
        <v/>
      </c>
      <c r="GM29" s="149" t="str">
        <f>IF(OR($B29="",$B29=0),"",$I29*$C29*(1+'Property Summary'!$L$21)^('MF CapEx'!GM$3-1))</f>
        <v/>
      </c>
      <c r="GN29" s="149" t="str">
        <f>IF(OR($B29="",$B29=0),"",$I29*$C29*(1+'Property Summary'!$L$21)^('MF CapEx'!GN$3-1))</f>
        <v/>
      </c>
      <c r="GO29" s="149" t="str">
        <f>IF(OR($B29="",$B29=0),"",$I29*$C29*(1+'Property Summary'!$L$21)^('MF CapEx'!GO$3-1))</f>
        <v/>
      </c>
      <c r="GP29" s="149" t="str">
        <f>IF(OR($B29="",$B29=0),"",$I29*$C29*(1+'Property Summary'!$L$21)^('MF CapEx'!GP$3-1))</f>
        <v/>
      </c>
    </row>
    <row r="30" spans="2:198" x14ac:dyDescent="0.3">
      <c r="B30" s="184">
        <f>'MF Rent Roll'!B29</f>
        <v>0</v>
      </c>
      <c r="C30" s="171">
        <f>'MF Rent Roll'!C29</f>
        <v>0</v>
      </c>
      <c r="D30" s="172">
        <f>'MF Rent Roll'!D29</f>
        <v>0</v>
      </c>
      <c r="E30" s="172">
        <f>'MF Rent Roll'!E29</f>
        <v>0</v>
      </c>
      <c r="F30" s="173">
        <f>'MF Rent Roll'!F29</f>
        <v>0</v>
      </c>
      <c r="G30" s="174">
        <f>'MF Rent Roll'!G29</f>
        <v>0</v>
      </c>
      <c r="H30" s="176">
        <f>'MF Rent Roll'!J29</f>
        <v>0</v>
      </c>
      <c r="I30" s="174">
        <f>'MF Rent Roll'!K29</f>
        <v>0</v>
      </c>
      <c r="J30" s="177">
        <f>'MF Rent Roll'!L29</f>
        <v>0</v>
      </c>
      <c r="K30" s="178">
        <f>'MF Rent Roll'!M29</f>
        <v>0</v>
      </c>
      <c r="L30" s="174">
        <f>'MF Rent Roll'!N29</f>
        <v>0</v>
      </c>
      <c r="M30" s="179">
        <f>'MF Rent Roll'!O29</f>
        <v>0</v>
      </c>
      <c r="N30" s="180" t="str">
        <f>'MF Rent Roll'!P29</f>
        <v/>
      </c>
      <c r="O30" s="181" t="str">
        <f>'MF Rent Roll'!Q29</f>
        <v/>
      </c>
      <c r="P30" s="104" t="str">
        <f>'MF Rent Roll'!R29</f>
        <v/>
      </c>
      <c r="S30" s="149" t="str">
        <f>IF(OR($B30="",$B30=0),"",$I30*$C30*(1+'Property Summary'!$L$21)^('MF CapEx'!S$3-1))</f>
        <v/>
      </c>
      <c r="T30" s="149" t="str">
        <f>IF(OR($B30="",$B30=0),"",$I30*$C30*(1+'Property Summary'!$L$21)^('MF CapEx'!T$3-1))</f>
        <v/>
      </c>
      <c r="U30" s="149" t="str">
        <f>IF(OR($B30="",$B30=0),"",$I30*$C30*(1+'Property Summary'!$L$21)^('MF CapEx'!U$3-1))</f>
        <v/>
      </c>
      <c r="V30" s="149" t="str">
        <f>IF(OR($B30="",$B30=0),"",$I30*$C30*(1+'Property Summary'!$L$21)^('MF CapEx'!V$3-1))</f>
        <v/>
      </c>
      <c r="W30" s="149" t="str">
        <f>IF(OR($B30="",$B30=0),"",$I30*$C30*(1+'Property Summary'!$L$21)^('MF CapEx'!W$3-1))</f>
        <v/>
      </c>
      <c r="X30" s="149" t="str">
        <f>IF(OR($B30="",$B30=0),"",$I30*$C30*(1+'Property Summary'!$L$21)^('MF CapEx'!X$3-1))</f>
        <v/>
      </c>
      <c r="Y30" s="149" t="str">
        <f>IF(OR($B30="",$B30=0),"",$I30*$C30*(1+'Property Summary'!$L$21)^('MF CapEx'!Y$3-1))</f>
        <v/>
      </c>
      <c r="Z30" s="149" t="str">
        <f>IF(OR($B30="",$B30=0),"",$I30*$C30*(1+'Property Summary'!$L$21)^('MF CapEx'!Z$3-1))</f>
        <v/>
      </c>
      <c r="AA30" s="149" t="str">
        <f>IF(OR($B30="",$B30=0),"",$I30*$C30*(1+'Property Summary'!$L$21)^('MF CapEx'!AA$3-1))</f>
        <v/>
      </c>
      <c r="AB30" s="149" t="str">
        <f>IF(OR($B30="",$B30=0),"",$I30*$C30*(1+'Property Summary'!$L$21)^('MF CapEx'!AB$3-1))</f>
        <v/>
      </c>
      <c r="AC30" s="149" t="str">
        <f>IF(OR($B30="",$B30=0),"",$I30*$C30*(1+'Property Summary'!$L$21)^('MF CapEx'!AC$3-1))</f>
        <v/>
      </c>
      <c r="AD30" s="149" t="str">
        <f>IF(OR($B30="",$B30=0),"",$I30*$C30*(1+'Property Summary'!$L$21)^('MF CapEx'!AD$3-1))</f>
        <v/>
      </c>
      <c r="AE30" s="149" t="str">
        <f>IF(OR($B30="",$B30=0),"",$I30*$C30*(1+'Property Summary'!$L$21)^('MF CapEx'!AE$3-1))</f>
        <v/>
      </c>
      <c r="AF30" s="149" t="str">
        <f>IF(OR($B30="",$B30=0),"",$I30*$C30*(1+'Property Summary'!$L$21)^('MF CapEx'!AF$3-1))</f>
        <v/>
      </c>
      <c r="AG30" s="149" t="str">
        <f>IF(OR($B30="",$B30=0),"",$I30*$C30*(1+'Property Summary'!$L$21)^('MF CapEx'!AG$3-1))</f>
        <v/>
      </c>
      <c r="AH30" s="149" t="str">
        <f>IF(OR($B30="",$B30=0),"",$I30*$C30*(1+'Property Summary'!$L$21)^('MF CapEx'!AH$3-1))</f>
        <v/>
      </c>
      <c r="AI30" s="149" t="str">
        <f>IF(OR($B30="",$B30=0),"",$I30*$C30*(1+'Property Summary'!$L$21)^('MF CapEx'!AI$3-1))</f>
        <v/>
      </c>
      <c r="AJ30" s="149" t="str">
        <f>IF(OR($B30="",$B30=0),"",$I30*$C30*(1+'Property Summary'!$L$21)^('MF CapEx'!AJ$3-1))</f>
        <v/>
      </c>
      <c r="AK30" s="149" t="str">
        <f>IF(OR($B30="",$B30=0),"",$I30*$C30*(1+'Property Summary'!$L$21)^('MF CapEx'!AK$3-1))</f>
        <v/>
      </c>
      <c r="AL30" s="149" t="str">
        <f>IF(OR($B30="",$B30=0),"",$I30*$C30*(1+'Property Summary'!$L$21)^('MF CapEx'!AL$3-1))</f>
        <v/>
      </c>
      <c r="AM30" s="149" t="str">
        <f>IF(OR($B30="",$B30=0),"",$I30*$C30*(1+'Property Summary'!$L$21)^('MF CapEx'!AM$3-1))</f>
        <v/>
      </c>
      <c r="AN30" s="149" t="str">
        <f>IF(OR($B30="",$B30=0),"",$I30*$C30*(1+'Property Summary'!$L$21)^('MF CapEx'!AN$3-1))</f>
        <v/>
      </c>
      <c r="AO30" s="149" t="str">
        <f>IF(OR($B30="",$B30=0),"",$I30*$C30*(1+'Property Summary'!$L$21)^('MF CapEx'!AO$3-1))</f>
        <v/>
      </c>
      <c r="AP30" s="149" t="str">
        <f>IF(OR($B30="",$B30=0),"",$I30*$C30*(1+'Property Summary'!$L$21)^('MF CapEx'!AP$3-1))</f>
        <v/>
      </c>
      <c r="AQ30" s="149" t="str">
        <f>IF(OR($B30="",$B30=0),"",$I30*$C30*(1+'Property Summary'!$L$21)^('MF CapEx'!AQ$3-1))</f>
        <v/>
      </c>
      <c r="AR30" s="149" t="str">
        <f>IF(OR($B30="",$B30=0),"",$I30*$C30*(1+'Property Summary'!$L$21)^('MF CapEx'!AR$3-1))</f>
        <v/>
      </c>
      <c r="AS30" s="149" t="str">
        <f>IF(OR($B30="",$B30=0),"",$I30*$C30*(1+'Property Summary'!$L$21)^('MF CapEx'!AS$3-1))</f>
        <v/>
      </c>
      <c r="AT30" s="149" t="str">
        <f>IF(OR($B30="",$B30=0),"",$I30*$C30*(1+'Property Summary'!$L$21)^('MF CapEx'!AT$3-1))</f>
        <v/>
      </c>
      <c r="AU30" s="149" t="str">
        <f>IF(OR($B30="",$B30=0),"",$I30*$C30*(1+'Property Summary'!$L$21)^('MF CapEx'!AU$3-1))</f>
        <v/>
      </c>
      <c r="AV30" s="149" t="str">
        <f>IF(OR($B30="",$B30=0),"",$I30*$C30*(1+'Property Summary'!$L$21)^('MF CapEx'!AV$3-1))</f>
        <v/>
      </c>
      <c r="AW30" s="149" t="str">
        <f>IF(OR($B30="",$B30=0),"",$I30*$C30*(1+'Property Summary'!$L$21)^('MF CapEx'!AW$3-1))</f>
        <v/>
      </c>
      <c r="AX30" s="149" t="str">
        <f>IF(OR($B30="",$B30=0),"",$I30*$C30*(1+'Property Summary'!$L$21)^('MF CapEx'!AX$3-1))</f>
        <v/>
      </c>
      <c r="AY30" s="149" t="str">
        <f>IF(OR($B30="",$B30=0),"",$I30*$C30*(1+'Property Summary'!$L$21)^('MF CapEx'!AY$3-1))</f>
        <v/>
      </c>
      <c r="AZ30" s="149" t="str">
        <f>IF(OR($B30="",$B30=0),"",$I30*$C30*(1+'Property Summary'!$L$21)^('MF CapEx'!AZ$3-1))</f>
        <v/>
      </c>
      <c r="BA30" s="149" t="str">
        <f>IF(OR($B30="",$B30=0),"",$I30*$C30*(1+'Property Summary'!$L$21)^('MF CapEx'!BA$3-1))</f>
        <v/>
      </c>
      <c r="BB30" s="149" t="str">
        <f>IF(OR($B30="",$B30=0),"",$I30*$C30*(1+'Property Summary'!$L$21)^('MF CapEx'!BB$3-1))</f>
        <v/>
      </c>
      <c r="BC30" s="149" t="str">
        <f>IF(OR($B30="",$B30=0),"",$I30*$C30*(1+'Property Summary'!$L$21)^('MF CapEx'!BC$3-1))</f>
        <v/>
      </c>
      <c r="BD30" s="149" t="str">
        <f>IF(OR($B30="",$B30=0),"",$I30*$C30*(1+'Property Summary'!$L$21)^('MF CapEx'!BD$3-1))</f>
        <v/>
      </c>
      <c r="BE30" s="149" t="str">
        <f>IF(OR($B30="",$B30=0),"",$I30*$C30*(1+'Property Summary'!$L$21)^('MF CapEx'!BE$3-1))</f>
        <v/>
      </c>
      <c r="BF30" s="149" t="str">
        <f>IF(OR($B30="",$B30=0),"",$I30*$C30*(1+'Property Summary'!$L$21)^('MF CapEx'!BF$3-1))</f>
        <v/>
      </c>
      <c r="BG30" s="149" t="str">
        <f>IF(OR($B30="",$B30=0),"",$I30*$C30*(1+'Property Summary'!$L$21)^('MF CapEx'!BG$3-1))</f>
        <v/>
      </c>
      <c r="BH30" s="149" t="str">
        <f>IF(OR($B30="",$B30=0),"",$I30*$C30*(1+'Property Summary'!$L$21)^('MF CapEx'!BH$3-1))</f>
        <v/>
      </c>
      <c r="BI30" s="149" t="str">
        <f>IF(OR($B30="",$B30=0),"",$I30*$C30*(1+'Property Summary'!$L$21)^('MF CapEx'!BI$3-1))</f>
        <v/>
      </c>
      <c r="BJ30" s="149" t="str">
        <f>IF(OR($B30="",$B30=0),"",$I30*$C30*(1+'Property Summary'!$L$21)^('MF CapEx'!BJ$3-1))</f>
        <v/>
      </c>
      <c r="BK30" s="149" t="str">
        <f>IF(OR($B30="",$B30=0),"",$I30*$C30*(1+'Property Summary'!$L$21)^('MF CapEx'!BK$3-1))</f>
        <v/>
      </c>
      <c r="BL30" s="149" t="str">
        <f>IF(OR($B30="",$B30=0),"",$I30*$C30*(1+'Property Summary'!$L$21)^('MF CapEx'!BL$3-1))</f>
        <v/>
      </c>
      <c r="BM30" s="149" t="str">
        <f>IF(OR($B30="",$B30=0),"",$I30*$C30*(1+'Property Summary'!$L$21)^('MF CapEx'!BM$3-1))</f>
        <v/>
      </c>
      <c r="BN30" s="149" t="str">
        <f>IF(OR($B30="",$B30=0),"",$I30*$C30*(1+'Property Summary'!$L$21)^('MF CapEx'!BN$3-1))</f>
        <v/>
      </c>
      <c r="BO30" s="149" t="str">
        <f>IF(OR($B30="",$B30=0),"",$I30*$C30*(1+'Property Summary'!$L$21)^('MF CapEx'!BO$3-1))</f>
        <v/>
      </c>
      <c r="BP30" s="149" t="str">
        <f>IF(OR($B30="",$B30=0),"",$I30*$C30*(1+'Property Summary'!$L$21)^('MF CapEx'!BP$3-1))</f>
        <v/>
      </c>
      <c r="BQ30" s="149" t="str">
        <f>IF(OR($B30="",$B30=0),"",$I30*$C30*(1+'Property Summary'!$L$21)^('MF CapEx'!BQ$3-1))</f>
        <v/>
      </c>
      <c r="BR30" s="149" t="str">
        <f>IF(OR($B30="",$B30=0),"",$I30*$C30*(1+'Property Summary'!$L$21)^('MF CapEx'!BR$3-1))</f>
        <v/>
      </c>
      <c r="BS30" s="149" t="str">
        <f>IF(OR($B30="",$B30=0),"",$I30*$C30*(1+'Property Summary'!$L$21)^('MF CapEx'!BS$3-1))</f>
        <v/>
      </c>
      <c r="BT30" s="149" t="str">
        <f>IF(OR($B30="",$B30=0),"",$I30*$C30*(1+'Property Summary'!$L$21)^('MF CapEx'!BT$3-1))</f>
        <v/>
      </c>
      <c r="BU30" s="149" t="str">
        <f>IF(OR($B30="",$B30=0),"",$I30*$C30*(1+'Property Summary'!$L$21)^('MF CapEx'!BU$3-1))</f>
        <v/>
      </c>
      <c r="BV30" s="149" t="str">
        <f>IF(OR($B30="",$B30=0),"",$I30*$C30*(1+'Property Summary'!$L$21)^('MF CapEx'!BV$3-1))</f>
        <v/>
      </c>
      <c r="BW30" s="149" t="str">
        <f>IF(OR($B30="",$B30=0),"",$I30*$C30*(1+'Property Summary'!$L$21)^('MF CapEx'!BW$3-1))</f>
        <v/>
      </c>
      <c r="BX30" s="149" t="str">
        <f>IF(OR($B30="",$B30=0),"",$I30*$C30*(1+'Property Summary'!$L$21)^('MF CapEx'!BX$3-1))</f>
        <v/>
      </c>
      <c r="BY30" s="149" t="str">
        <f>IF(OR($B30="",$B30=0),"",$I30*$C30*(1+'Property Summary'!$L$21)^('MF CapEx'!BY$3-1))</f>
        <v/>
      </c>
      <c r="BZ30" s="149" t="str">
        <f>IF(OR($B30="",$B30=0),"",$I30*$C30*(1+'Property Summary'!$L$21)^('MF CapEx'!BZ$3-1))</f>
        <v/>
      </c>
      <c r="CA30" s="149" t="str">
        <f>IF(OR($B30="",$B30=0),"",$I30*$C30*(1+'Property Summary'!$L$21)^('MF CapEx'!CA$3-1))</f>
        <v/>
      </c>
      <c r="CB30" s="149" t="str">
        <f>IF(OR($B30="",$B30=0),"",$I30*$C30*(1+'Property Summary'!$L$21)^('MF CapEx'!CB$3-1))</f>
        <v/>
      </c>
      <c r="CC30" s="149" t="str">
        <f>IF(OR($B30="",$B30=0),"",$I30*$C30*(1+'Property Summary'!$L$21)^('MF CapEx'!CC$3-1))</f>
        <v/>
      </c>
      <c r="CD30" s="149" t="str">
        <f>IF(OR($B30="",$B30=0),"",$I30*$C30*(1+'Property Summary'!$L$21)^('MF CapEx'!CD$3-1))</f>
        <v/>
      </c>
      <c r="CE30" s="149" t="str">
        <f>IF(OR($B30="",$B30=0),"",$I30*$C30*(1+'Property Summary'!$L$21)^('MF CapEx'!CE$3-1))</f>
        <v/>
      </c>
      <c r="CF30" s="149" t="str">
        <f>IF(OR($B30="",$B30=0),"",$I30*$C30*(1+'Property Summary'!$L$21)^('MF CapEx'!CF$3-1))</f>
        <v/>
      </c>
      <c r="CG30" s="149" t="str">
        <f>IF(OR($B30="",$B30=0),"",$I30*$C30*(1+'Property Summary'!$L$21)^('MF CapEx'!CG$3-1))</f>
        <v/>
      </c>
      <c r="CH30" s="149" t="str">
        <f>IF(OR($B30="",$B30=0),"",$I30*$C30*(1+'Property Summary'!$L$21)^('MF CapEx'!CH$3-1))</f>
        <v/>
      </c>
      <c r="CI30" s="149" t="str">
        <f>IF(OR($B30="",$B30=0),"",$I30*$C30*(1+'Property Summary'!$L$21)^('MF CapEx'!CI$3-1))</f>
        <v/>
      </c>
      <c r="CJ30" s="149" t="str">
        <f>IF(OR($B30="",$B30=0),"",$I30*$C30*(1+'Property Summary'!$L$21)^('MF CapEx'!CJ$3-1))</f>
        <v/>
      </c>
      <c r="CK30" s="149" t="str">
        <f>IF(OR($B30="",$B30=0),"",$I30*$C30*(1+'Property Summary'!$L$21)^('MF CapEx'!CK$3-1))</f>
        <v/>
      </c>
      <c r="CL30" s="149" t="str">
        <f>IF(OR($B30="",$B30=0),"",$I30*$C30*(1+'Property Summary'!$L$21)^('MF CapEx'!CL$3-1))</f>
        <v/>
      </c>
      <c r="CM30" s="149" t="str">
        <f>IF(OR($B30="",$B30=0),"",$I30*$C30*(1+'Property Summary'!$L$21)^('MF CapEx'!CM$3-1))</f>
        <v/>
      </c>
      <c r="CN30" s="149" t="str">
        <f>IF(OR($B30="",$B30=0),"",$I30*$C30*(1+'Property Summary'!$L$21)^('MF CapEx'!CN$3-1))</f>
        <v/>
      </c>
      <c r="CO30" s="149" t="str">
        <f>IF(OR($B30="",$B30=0),"",$I30*$C30*(1+'Property Summary'!$L$21)^('MF CapEx'!CO$3-1))</f>
        <v/>
      </c>
      <c r="CP30" s="149" t="str">
        <f>IF(OR($B30="",$B30=0),"",$I30*$C30*(1+'Property Summary'!$L$21)^('MF CapEx'!CP$3-1))</f>
        <v/>
      </c>
      <c r="CQ30" s="149" t="str">
        <f>IF(OR($B30="",$B30=0),"",$I30*$C30*(1+'Property Summary'!$L$21)^('MF CapEx'!CQ$3-1))</f>
        <v/>
      </c>
      <c r="CR30" s="149" t="str">
        <f>IF(OR($B30="",$B30=0),"",$I30*$C30*(1+'Property Summary'!$L$21)^('MF CapEx'!CR$3-1))</f>
        <v/>
      </c>
      <c r="CS30" s="149" t="str">
        <f>IF(OR($B30="",$B30=0),"",$I30*$C30*(1+'Property Summary'!$L$21)^('MF CapEx'!CS$3-1))</f>
        <v/>
      </c>
      <c r="CT30" s="149" t="str">
        <f>IF(OR($B30="",$B30=0),"",$I30*$C30*(1+'Property Summary'!$L$21)^('MF CapEx'!CT$3-1))</f>
        <v/>
      </c>
      <c r="CU30" s="149" t="str">
        <f>IF(OR($B30="",$B30=0),"",$I30*$C30*(1+'Property Summary'!$L$21)^('MF CapEx'!CU$3-1))</f>
        <v/>
      </c>
      <c r="CV30" s="149" t="str">
        <f>IF(OR($B30="",$B30=0),"",$I30*$C30*(1+'Property Summary'!$L$21)^('MF CapEx'!CV$3-1))</f>
        <v/>
      </c>
      <c r="CW30" s="149" t="str">
        <f>IF(OR($B30="",$B30=0),"",$I30*$C30*(1+'Property Summary'!$L$21)^('MF CapEx'!CW$3-1))</f>
        <v/>
      </c>
      <c r="CX30" s="149" t="str">
        <f>IF(OR($B30="",$B30=0),"",$I30*$C30*(1+'Property Summary'!$L$21)^('MF CapEx'!CX$3-1))</f>
        <v/>
      </c>
      <c r="CY30" s="149" t="str">
        <f>IF(OR($B30="",$B30=0),"",$I30*$C30*(1+'Property Summary'!$L$21)^('MF CapEx'!CY$3-1))</f>
        <v/>
      </c>
      <c r="CZ30" s="149" t="str">
        <f>IF(OR($B30="",$B30=0),"",$I30*$C30*(1+'Property Summary'!$L$21)^('MF CapEx'!CZ$3-1))</f>
        <v/>
      </c>
      <c r="DA30" s="149" t="str">
        <f>IF(OR($B30="",$B30=0),"",$I30*$C30*(1+'Property Summary'!$L$21)^('MF CapEx'!DA$3-1))</f>
        <v/>
      </c>
      <c r="DB30" s="149" t="str">
        <f>IF(OR($B30="",$B30=0),"",$I30*$C30*(1+'Property Summary'!$L$21)^('MF CapEx'!DB$3-1))</f>
        <v/>
      </c>
      <c r="DC30" s="149" t="str">
        <f>IF(OR($B30="",$B30=0),"",$I30*$C30*(1+'Property Summary'!$L$21)^('MF CapEx'!DC$3-1))</f>
        <v/>
      </c>
      <c r="DD30" s="149" t="str">
        <f>IF(OR($B30="",$B30=0),"",$I30*$C30*(1+'Property Summary'!$L$21)^('MF CapEx'!DD$3-1))</f>
        <v/>
      </c>
      <c r="DE30" s="149" t="str">
        <f>IF(OR($B30="",$B30=0),"",$I30*$C30*(1+'Property Summary'!$L$21)^('MF CapEx'!DE$3-1))</f>
        <v/>
      </c>
      <c r="DF30" s="149" t="str">
        <f>IF(OR($B30="",$B30=0),"",$I30*$C30*(1+'Property Summary'!$L$21)^('MF CapEx'!DF$3-1))</f>
        <v/>
      </c>
      <c r="DG30" s="149" t="str">
        <f>IF(OR($B30="",$B30=0),"",$I30*$C30*(1+'Property Summary'!$L$21)^('MF CapEx'!DG$3-1))</f>
        <v/>
      </c>
      <c r="DH30" s="149" t="str">
        <f>IF(OR($B30="",$B30=0),"",$I30*$C30*(1+'Property Summary'!$L$21)^('MF CapEx'!DH$3-1))</f>
        <v/>
      </c>
      <c r="DI30" s="149" t="str">
        <f>IF(OR($B30="",$B30=0),"",$I30*$C30*(1+'Property Summary'!$L$21)^('MF CapEx'!DI$3-1))</f>
        <v/>
      </c>
      <c r="DJ30" s="149" t="str">
        <f>IF(OR($B30="",$B30=0),"",$I30*$C30*(1+'Property Summary'!$L$21)^('MF CapEx'!DJ$3-1))</f>
        <v/>
      </c>
      <c r="DK30" s="149" t="str">
        <f>IF(OR($B30="",$B30=0),"",$I30*$C30*(1+'Property Summary'!$L$21)^('MF CapEx'!DK$3-1))</f>
        <v/>
      </c>
      <c r="DL30" s="149" t="str">
        <f>IF(OR($B30="",$B30=0),"",$I30*$C30*(1+'Property Summary'!$L$21)^('MF CapEx'!DL$3-1))</f>
        <v/>
      </c>
      <c r="DM30" s="149" t="str">
        <f>IF(OR($B30="",$B30=0),"",$I30*$C30*(1+'Property Summary'!$L$21)^('MF CapEx'!DM$3-1))</f>
        <v/>
      </c>
      <c r="DN30" s="149" t="str">
        <f>IF(OR($B30="",$B30=0),"",$I30*$C30*(1+'Property Summary'!$L$21)^('MF CapEx'!DN$3-1))</f>
        <v/>
      </c>
      <c r="DO30" s="149" t="str">
        <f>IF(OR($B30="",$B30=0),"",$I30*$C30*(1+'Property Summary'!$L$21)^('MF CapEx'!DO$3-1))</f>
        <v/>
      </c>
      <c r="DP30" s="149" t="str">
        <f>IF(OR($B30="",$B30=0),"",$I30*$C30*(1+'Property Summary'!$L$21)^('MF CapEx'!DP$3-1))</f>
        <v/>
      </c>
      <c r="DQ30" s="149" t="str">
        <f>IF(OR($B30="",$B30=0),"",$I30*$C30*(1+'Property Summary'!$L$21)^('MF CapEx'!DQ$3-1))</f>
        <v/>
      </c>
      <c r="DR30" s="149" t="str">
        <f>IF(OR($B30="",$B30=0),"",$I30*$C30*(1+'Property Summary'!$L$21)^('MF CapEx'!DR$3-1))</f>
        <v/>
      </c>
      <c r="DS30" s="149" t="str">
        <f>IF(OR($B30="",$B30=0),"",$I30*$C30*(1+'Property Summary'!$L$21)^('MF CapEx'!DS$3-1))</f>
        <v/>
      </c>
      <c r="DT30" s="149" t="str">
        <f>IF(OR($B30="",$B30=0),"",$I30*$C30*(1+'Property Summary'!$L$21)^('MF CapEx'!DT$3-1))</f>
        <v/>
      </c>
      <c r="DU30" s="149" t="str">
        <f>IF(OR($B30="",$B30=0),"",$I30*$C30*(1+'Property Summary'!$L$21)^('MF CapEx'!DU$3-1))</f>
        <v/>
      </c>
      <c r="DV30" s="149" t="str">
        <f>IF(OR($B30="",$B30=0),"",$I30*$C30*(1+'Property Summary'!$L$21)^('MF CapEx'!DV$3-1))</f>
        <v/>
      </c>
      <c r="DW30" s="149" t="str">
        <f>IF(OR($B30="",$B30=0),"",$I30*$C30*(1+'Property Summary'!$L$21)^('MF CapEx'!DW$3-1))</f>
        <v/>
      </c>
      <c r="DX30" s="149" t="str">
        <f>IF(OR($B30="",$B30=0),"",$I30*$C30*(1+'Property Summary'!$L$21)^('MF CapEx'!DX$3-1))</f>
        <v/>
      </c>
      <c r="DY30" s="149" t="str">
        <f>IF(OR($B30="",$B30=0),"",$I30*$C30*(1+'Property Summary'!$L$21)^('MF CapEx'!DY$3-1))</f>
        <v/>
      </c>
      <c r="DZ30" s="149" t="str">
        <f>IF(OR($B30="",$B30=0),"",$I30*$C30*(1+'Property Summary'!$L$21)^('MF CapEx'!DZ$3-1))</f>
        <v/>
      </c>
      <c r="EA30" s="149" t="str">
        <f>IF(OR($B30="",$B30=0),"",$I30*$C30*(1+'Property Summary'!$L$21)^('MF CapEx'!EA$3-1))</f>
        <v/>
      </c>
      <c r="EB30" s="149" t="str">
        <f>IF(OR($B30="",$B30=0),"",$I30*$C30*(1+'Property Summary'!$L$21)^('MF CapEx'!EB$3-1))</f>
        <v/>
      </c>
      <c r="EC30" s="149" t="str">
        <f>IF(OR($B30="",$B30=0),"",$I30*$C30*(1+'Property Summary'!$L$21)^('MF CapEx'!EC$3-1))</f>
        <v/>
      </c>
      <c r="ED30" s="149" t="str">
        <f>IF(OR($B30="",$B30=0),"",$I30*$C30*(1+'Property Summary'!$L$21)^('MF CapEx'!ED$3-1))</f>
        <v/>
      </c>
      <c r="EE30" s="149" t="str">
        <f>IF(OR($B30="",$B30=0),"",$I30*$C30*(1+'Property Summary'!$L$21)^('MF CapEx'!EE$3-1))</f>
        <v/>
      </c>
      <c r="EF30" s="149" t="str">
        <f>IF(OR($B30="",$B30=0),"",$I30*$C30*(1+'Property Summary'!$L$21)^('MF CapEx'!EF$3-1))</f>
        <v/>
      </c>
      <c r="EG30" s="149" t="str">
        <f>IF(OR($B30="",$B30=0),"",$I30*$C30*(1+'Property Summary'!$L$21)^('MF CapEx'!EG$3-1))</f>
        <v/>
      </c>
      <c r="EH30" s="149" t="str">
        <f>IF(OR($B30="",$B30=0),"",$I30*$C30*(1+'Property Summary'!$L$21)^('MF CapEx'!EH$3-1))</f>
        <v/>
      </c>
      <c r="EI30" s="149" t="str">
        <f>IF(OR($B30="",$B30=0),"",$I30*$C30*(1+'Property Summary'!$L$21)^('MF CapEx'!EI$3-1))</f>
        <v/>
      </c>
      <c r="EJ30" s="149" t="str">
        <f>IF(OR($B30="",$B30=0),"",$I30*$C30*(1+'Property Summary'!$L$21)^('MF CapEx'!EJ$3-1))</f>
        <v/>
      </c>
      <c r="EK30" s="149" t="str">
        <f>IF(OR($B30="",$B30=0),"",$I30*$C30*(1+'Property Summary'!$L$21)^('MF CapEx'!EK$3-1))</f>
        <v/>
      </c>
      <c r="EL30" s="149" t="str">
        <f>IF(OR($B30="",$B30=0),"",$I30*$C30*(1+'Property Summary'!$L$21)^('MF CapEx'!EL$3-1))</f>
        <v/>
      </c>
      <c r="EM30" s="149" t="str">
        <f>IF(OR($B30="",$B30=0),"",$I30*$C30*(1+'Property Summary'!$L$21)^('MF CapEx'!EM$3-1))</f>
        <v/>
      </c>
      <c r="EN30" s="149" t="str">
        <f>IF(OR($B30="",$B30=0),"",$I30*$C30*(1+'Property Summary'!$L$21)^('MF CapEx'!EN$3-1))</f>
        <v/>
      </c>
      <c r="EO30" s="149" t="str">
        <f>IF(OR($B30="",$B30=0),"",$I30*$C30*(1+'Property Summary'!$L$21)^('MF CapEx'!EO$3-1))</f>
        <v/>
      </c>
      <c r="EP30" s="149" t="str">
        <f>IF(OR($B30="",$B30=0),"",$I30*$C30*(1+'Property Summary'!$L$21)^('MF CapEx'!EP$3-1))</f>
        <v/>
      </c>
      <c r="EQ30" s="149" t="str">
        <f>IF(OR($B30="",$B30=0),"",$I30*$C30*(1+'Property Summary'!$L$21)^('MF CapEx'!EQ$3-1))</f>
        <v/>
      </c>
      <c r="ER30" s="149" t="str">
        <f>IF(OR($B30="",$B30=0),"",$I30*$C30*(1+'Property Summary'!$L$21)^('MF CapEx'!ER$3-1))</f>
        <v/>
      </c>
      <c r="ES30" s="149" t="str">
        <f>IF(OR($B30="",$B30=0),"",$I30*$C30*(1+'Property Summary'!$L$21)^('MF CapEx'!ES$3-1))</f>
        <v/>
      </c>
      <c r="ET30" s="149" t="str">
        <f>IF(OR($B30="",$B30=0),"",$I30*$C30*(1+'Property Summary'!$L$21)^('MF CapEx'!ET$3-1))</f>
        <v/>
      </c>
      <c r="EU30" s="149" t="str">
        <f>IF(OR($B30="",$B30=0),"",$I30*$C30*(1+'Property Summary'!$L$21)^('MF CapEx'!EU$3-1))</f>
        <v/>
      </c>
      <c r="EV30" s="149" t="str">
        <f>IF(OR($B30="",$B30=0),"",$I30*$C30*(1+'Property Summary'!$L$21)^('MF CapEx'!EV$3-1))</f>
        <v/>
      </c>
      <c r="EW30" s="149" t="str">
        <f>IF(OR($B30="",$B30=0),"",$I30*$C30*(1+'Property Summary'!$L$21)^('MF CapEx'!EW$3-1))</f>
        <v/>
      </c>
      <c r="EX30" s="149" t="str">
        <f>IF(OR($B30="",$B30=0),"",$I30*$C30*(1+'Property Summary'!$L$21)^('MF CapEx'!EX$3-1))</f>
        <v/>
      </c>
      <c r="EY30" s="149" t="str">
        <f>IF(OR($B30="",$B30=0),"",$I30*$C30*(1+'Property Summary'!$L$21)^('MF CapEx'!EY$3-1))</f>
        <v/>
      </c>
      <c r="EZ30" s="149" t="str">
        <f>IF(OR($B30="",$B30=0),"",$I30*$C30*(1+'Property Summary'!$L$21)^('MF CapEx'!EZ$3-1))</f>
        <v/>
      </c>
      <c r="FA30" s="149" t="str">
        <f>IF(OR($B30="",$B30=0),"",$I30*$C30*(1+'Property Summary'!$L$21)^('MF CapEx'!FA$3-1))</f>
        <v/>
      </c>
      <c r="FB30" s="149" t="str">
        <f>IF(OR($B30="",$B30=0),"",$I30*$C30*(1+'Property Summary'!$L$21)^('MF CapEx'!FB$3-1))</f>
        <v/>
      </c>
      <c r="FC30" s="149" t="str">
        <f>IF(OR($B30="",$B30=0),"",$I30*$C30*(1+'Property Summary'!$L$21)^('MF CapEx'!FC$3-1))</f>
        <v/>
      </c>
      <c r="FD30" s="149" t="str">
        <f>IF(OR($B30="",$B30=0),"",$I30*$C30*(1+'Property Summary'!$L$21)^('MF CapEx'!FD$3-1))</f>
        <v/>
      </c>
      <c r="FE30" s="149" t="str">
        <f>IF(OR($B30="",$B30=0),"",$I30*$C30*(1+'Property Summary'!$L$21)^('MF CapEx'!FE$3-1))</f>
        <v/>
      </c>
      <c r="FF30" s="149" t="str">
        <f>IF(OR($B30="",$B30=0),"",$I30*$C30*(1+'Property Summary'!$L$21)^('MF CapEx'!FF$3-1))</f>
        <v/>
      </c>
      <c r="FG30" s="149" t="str">
        <f>IF(OR($B30="",$B30=0),"",$I30*$C30*(1+'Property Summary'!$L$21)^('MF CapEx'!FG$3-1))</f>
        <v/>
      </c>
      <c r="FH30" s="149" t="str">
        <f>IF(OR($B30="",$B30=0),"",$I30*$C30*(1+'Property Summary'!$L$21)^('MF CapEx'!FH$3-1))</f>
        <v/>
      </c>
      <c r="FI30" s="149" t="str">
        <f>IF(OR($B30="",$B30=0),"",$I30*$C30*(1+'Property Summary'!$L$21)^('MF CapEx'!FI$3-1))</f>
        <v/>
      </c>
      <c r="FJ30" s="149" t="str">
        <f>IF(OR($B30="",$B30=0),"",$I30*$C30*(1+'Property Summary'!$L$21)^('MF CapEx'!FJ$3-1))</f>
        <v/>
      </c>
      <c r="FK30" s="149" t="str">
        <f>IF(OR($B30="",$B30=0),"",$I30*$C30*(1+'Property Summary'!$L$21)^('MF CapEx'!FK$3-1))</f>
        <v/>
      </c>
      <c r="FL30" s="149" t="str">
        <f>IF(OR($B30="",$B30=0),"",$I30*$C30*(1+'Property Summary'!$L$21)^('MF CapEx'!FL$3-1))</f>
        <v/>
      </c>
      <c r="FM30" s="149" t="str">
        <f>IF(OR($B30="",$B30=0),"",$I30*$C30*(1+'Property Summary'!$L$21)^('MF CapEx'!FM$3-1))</f>
        <v/>
      </c>
      <c r="FN30" s="149" t="str">
        <f>IF(OR($B30="",$B30=0),"",$I30*$C30*(1+'Property Summary'!$L$21)^('MF CapEx'!FN$3-1))</f>
        <v/>
      </c>
      <c r="FO30" s="149" t="str">
        <f>IF(OR($B30="",$B30=0),"",$I30*$C30*(1+'Property Summary'!$L$21)^('MF CapEx'!FO$3-1))</f>
        <v/>
      </c>
      <c r="FP30" s="149" t="str">
        <f>IF(OR($B30="",$B30=0),"",$I30*$C30*(1+'Property Summary'!$L$21)^('MF CapEx'!FP$3-1))</f>
        <v/>
      </c>
      <c r="FQ30" s="149" t="str">
        <f>IF(OR($B30="",$B30=0),"",$I30*$C30*(1+'Property Summary'!$L$21)^('MF CapEx'!FQ$3-1))</f>
        <v/>
      </c>
      <c r="FR30" s="149" t="str">
        <f>IF(OR($B30="",$B30=0),"",$I30*$C30*(1+'Property Summary'!$L$21)^('MF CapEx'!FR$3-1))</f>
        <v/>
      </c>
      <c r="FS30" s="149" t="str">
        <f>IF(OR($B30="",$B30=0),"",$I30*$C30*(1+'Property Summary'!$L$21)^('MF CapEx'!FS$3-1))</f>
        <v/>
      </c>
      <c r="FT30" s="149" t="str">
        <f>IF(OR($B30="",$B30=0),"",$I30*$C30*(1+'Property Summary'!$L$21)^('MF CapEx'!FT$3-1))</f>
        <v/>
      </c>
      <c r="FU30" s="149" t="str">
        <f>IF(OR($B30="",$B30=0),"",$I30*$C30*(1+'Property Summary'!$L$21)^('MF CapEx'!FU$3-1))</f>
        <v/>
      </c>
      <c r="FV30" s="149" t="str">
        <f>IF(OR($B30="",$B30=0),"",$I30*$C30*(1+'Property Summary'!$L$21)^('MF CapEx'!FV$3-1))</f>
        <v/>
      </c>
      <c r="FW30" s="149" t="str">
        <f>IF(OR($B30="",$B30=0),"",$I30*$C30*(1+'Property Summary'!$L$21)^('MF CapEx'!FW$3-1))</f>
        <v/>
      </c>
      <c r="FX30" s="149" t="str">
        <f>IF(OR($B30="",$B30=0),"",$I30*$C30*(1+'Property Summary'!$L$21)^('MF CapEx'!FX$3-1))</f>
        <v/>
      </c>
      <c r="FY30" s="149" t="str">
        <f>IF(OR($B30="",$B30=0),"",$I30*$C30*(1+'Property Summary'!$L$21)^('MF CapEx'!FY$3-1))</f>
        <v/>
      </c>
      <c r="FZ30" s="149" t="str">
        <f>IF(OR($B30="",$B30=0),"",$I30*$C30*(1+'Property Summary'!$L$21)^('MF CapEx'!FZ$3-1))</f>
        <v/>
      </c>
      <c r="GA30" s="149" t="str">
        <f>IF(OR($B30="",$B30=0),"",$I30*$C30*(1+'Property Summary'!$L$21)^('MF CapEx'!GA$3-1))</f>
        <v/>
      </c>
      <c r="GB30" s="149" t="str">
        <f>IF(OR($B30="",$B30=0),"",$I30*$C30*(1+'Property Summary'!$L$21)^('MF CapEx'!GB$3-1))</f>
        <v/>
      </c>
      <c r="GC30" s="149" t="str">
        <f>IF(OR($B30="",$B30=0),"",$I30*$C30*(1+'Property Summary'!$L$21)^('MF CapEx'!GC$3-1))</f>
        <v/>
      </c>
      <c r="GD30" s="149" t="str">
        <f>IF(OR($B30="",$B30=0),"",$I30*$C30*(1+'Property Summary'!$L$21)^('MF CapEx'!GD$3-1))</f>
        <v/>
      </c>
      <c r="GE30" s="149" t="str">
        <f>IF(OR($B30="",$B30=0),"",$I30*$C30*(1+'Property Summary'!$L$21)^('MF CapEx'!GE$3-1))</f>
        <v/>
      </c>
      <c r="GF30" s="149" t="str">
        <f>IF(OR($B30="",$B30=0),"",$I30*$C30*(1+'Property Summary'!$L$21)^('MF CapEx'!GF$3-1))</f>
        <v/>
      </c>
      <c r="GG30" s="149" t="str">
        <f>IF(OR($B30="",$B30=0),"",$I30*$C30*(1+'Property Summary'!$L$21)^('MF CapEx'!GG$3-1))</f>
        <v/>
      </c>
      <c r="GH30" s="149" t="str">
        <f>IF(OR($B30="",$B30=0),"",$I30*$C30*(1+'Property Summary'!$L$21)^('MF CapEx'!GH$3-1))</f>
        <v/>
      </c>
      <c r="GI30" s="149" t="str">
        <f>IF(OR($B30="",$B30=0),"",$I30*$C30*(1+'Property Summary'!$L$21)^('MF CapEx'!GI$3-1))</f>
        <v/>
      </c>
      <c r="GJ30" s="149" t="str">
        <f>IF(OR($B30="",$B30=0),"",$I30*$C30*(1+'Property Summary'!$L$21)^('MF CapEx'!GJ$3-1))</f>
        <v/>
      </c>
      <c r="GK30" s="149" t="str">
        <f>IF(OR($B30="",$B30=0),"",$I30*$C30*(1+'Property Summary'!$L$21)^('MF CapEx'!GK$3-1))</f>
        <v/>
      </c>
      <c r="GL30" s="149" t="str">
        <f>IF(OR($B30="",$B30=0),"",$I30*$C30*(1+'Property Summary'!$L$21)^('MF CapEx'!GL$3-1))</f>
        <v/>
      </c>
      <c r="GM30" s="149" t="str">
        <f>IF(OR($B30="",$B30=0),"",$I30*$C30*(1+'Property Summary'!$L$21)^('MF CapEx'!GM$3-1))</f>
        <v/>
      </c>
      <c r="GN30" s="149" t="str">
        <f>IF(OR($B30="",$B30=0),"",$I30*$C30*(1+'Property Summary'!$L$21)^('MF CapEx'!GN$3-1))</f>
        <v/>
      </c>
      <c r="GO30" s="149" t="str">
        <f>IF(OR($B30="",$B30=0),"",$I30*$C30*(1+'Property Summary'!$L$21)^('MF CapEx'!GO$3-1))</f>
        <v/>
      </c>
      <c r="GP30" s="149" t="str">
        <f>IF(OR($B30="",$B30=0),"",$I30*$C30*(1+'Property Summary'!$L$21)^('MF CapEx'!GP$3-1))</f>
        <v/>
      </c>
    </row>
    <row r="31" spans="2:198" x14ac:dyDescent="0.3">
      <c r="B31" s="184">
        <f>'MF Rent Roll'!B30</f>
        <v>0</v>
      </c>
      <c r="C31" s="171">
        <f>'MF Rent Roll'!C30</f>
        <v>0</v>
      </c>
      <c r="D31" s="172">
        <f>'MF Rent Roll'!D30</f>
        <v>0</v>
      </c>
      <c r="E31" s="172">
        <f>'MF Rent Roll'!E30</f>
        <v>0</v>
      </c>
      <c r="F31" s="173">
        <f>'MF Rent Roll'!F30</f>
        <v>0</v>
      </c>
      <c r="G31" s="174">
        <f>'MF Rent Roll'!G30</f>
        <v>0</v>
      </c>
      <c r="H31" s="176">
        <f>'MF Rent Roll'!J30</f>
        <v>0</v>
      </c>
      <c r="I31" s="174">
        <f>'MF Rent Roll'!K30</f>
        <v>0</v>
      </c>
      <c r="J31" s="177">
        <f>'MF Rent Roll'!L30</f>
        <v>0</v>
      </c>
      <c r="K31" s="178">
        <f>'MF Rent Roll'!M30</f>
        <v>0</v>
      </c>
      <c r="L31" s="174">
        <f>'MF Rent Roll'!N30</f>
        <v>0</v>
      </c>
      <c r="M31" s="179">
        <f>'MF Rent Roll'!O30</f>
        <v>0</v>
      </c>
      <c r="N31" s="180" t="str">
        <f>'MF Rent Roll'!P30</f>
        <v/>
      </c>
      <c r="O31" s="181" t="str">
        <f>'MF Rent Roll'!Q30</f>
        <v/>
      </c>
      <c r="P31" s="104" t="str">
        <f>'MF Rent Roll'!R30</f>
        <v/>
      </c>
      <c r="S31" s="149" t="str">
        <f>IF(OR($B31="",$B31=0),"",$I31*$C31*(1+'Property Summary'!$L$21)^('MF CapEx'!S$3-1))</f>
        <v/>
      </c>
      <c r="T31" s="149" t="str">
        <f>IF(OR($B31="",$B31=0),"",$I31*$C31*(1+'Property Summary'!$L$21)^('MF CapEx'!T$3-1))</f>
        <v/>
      </c>
      <c r="U31" s="149" t="str">
        <f>IF(OR($B31="",$B31=0),"",$I31*$C31*(1+'Property Summary'!$L$21)^('MF CapEx'!U$3-1))</f>
        <v/>
      </c>
      <c r="V31" s="149" t="str">
        <f>IF(OR($B31="",$B31=0),"",$I31*$C31*(1+'Property Summary'!$L$21)^('MF CapEx'!V$3-1))</f>
        <v/>
      </c>
      <c r="W31" s="149" t="str">
        <f>IF(OR($B31="",$B31=0),"",$I31*$C31*(1+'Property Summary'!$L$21)^('MF CapEx'!W$3-1))</f>
        <v/>
      </c>
      <c r="X31" s="149" t="str">
        <f>IF(OR($B31="",$B31=0),"",$I31*$C31*(1+'Property Summary'!$L$21)^('MF CapEx'!X$3-1))</f>
        <v/>
      </c>
      <c r="Y31" s="149" t="str">
        <f>IF(OR($B31="",$B31=0),"",$I31*$C31*(1+'Property Summary'!$L$21)^('MF CapEx'!Y$3-1))</f>
        <v/>
      </c>
      <c r="Z31" s="149" t="str">
        <f>IF(OR($B31="",$B31=0),"",$I31*$C31*(1+'Property Summary'!$L$21)^('MF CapEx'!Z$3-1))</f>
        <v/>
      </c>
      <c r="AA31" s="149" t="str">
        <f>IF(OR($B31="",$B31=0),"",$I31*$C31*(1+'Property Summary'!$L$21)^('MF CapEx'!AA$3-1))</f>
        <v/>
      </c>
      <c r="AB31" s="149" t="str">
        <f>IF(OR($B31="",$B31=0),"",$I31*$C31*(1+'Property Summary'!$L$21)^('MF CapEx'!AB$3-1))</f>
        <v/>
      </c>
      <c r="AC31" s="149" t="str">
        <f>IF(OR($B31="",$B31=0),"",$I31*$C31*(1+'Property Summary'!$L$21)^('MF CapEx'!AC$3-1))</f>
        <v/>
      </c>
      <c r="AD31" s="149" t="str">
        <f>IF(OR($B31="",$B31=0),"",$I31*$C31*(1+'Property Summary'!$L$21)^('MF CapEx'!AD$3-1))</f>
        <v/>
      </c>
      <c r="AE31" s="149" t="str">
        <f>IF(OR($B31="",$B31=0),"",$I31*$C31*(1+'Property Summary'!$L$21)^('MF CapEx'!AE$3-1))</f>
        <v/>
      </c>
      <c r="AF31" s="149" t="str">
        <f>IF(OR($B31="",$B31=0),"",$I31*$C31*(1+'Property Summary'!$L$21)^('MF CapEx'!AF$3-1))</f>
        <v/>
      </c>
      <c r="AG31" s="149" t="str">
        <f>IF(OR($B31="",$B31=0),"",$I31*$C31*(1+'Property Summary'!$L$21)^('MF CapEx'!AG$3-1))</f>
        <v/>
      </c>
      <c r="AH31" s="149" t="str">
        <f>IF(OR($B31="",$B31=0),"",$I31*$C31*(1+'Property Summary'!$L$21)^('MF CapEx'!AH$3-1))</f>
        <v/>
      </c>
      <c r="AI31" s="149" t="str">
        <f>IF(OR($B31="",$B31=0),"",$I31*$C31*(1+'Property Summary'!$L$21)^('MF CapEx'!AI$3-1))</f>
        <v/>
      </c>
      <c r="AJ31" s="149" t="str">
        <f>IF(OR($B31="",$B31=0),"",$I31*$C31*(1+'Property Summary'!$L$21)^('MF CapEx'!AJ$3-1))</f>
        <v/>
      </c>
      <c r="AK31" s="149" t="str">
        <f>IF(OR($B31="",$B31=0),"",$I31*$C31*(1+'Property Summary'!$L$21)^('MF CapEx'!AK$3-1))</f>
        <v/>
      </c>
      <c r="AL31" s="149" t="str">
        <f>IF(OR($B31="",$B31=0),"",$I31*$C31*(1+'Property Summary'!$L$21)^('MF CapEx'!AL$3-1))</f>
        <v/>
      </c>
      <c r="AM31" s="149" t="str">
        <f>IF(OR($B31="",$B31=0),"",$I31*$C31*(1+'Property Summary'!$L$21)^('MF CapEx'!AM$3-1))</f>
        <v/>
      </c>
      <c r="AN31" s="149" t="str">
        <f>IF(OR($B31="",$B31=0),"",$I31*$C31*(1+'Property Summary'!$L$21)^('MF CapEx'!AN$3-1))</f>
        <v/>
      </c>
      <c r="AO31" s="149" t="str">
        <f>IF(OR($B31="",$B31=0),"",$I31*$C31*(1+'Property Summary'!$L$21)^('MF CapEx'!AO$3-1))</f>
        <v/>
      </c>
      <c r="AP31" s="149" t="str">
        <f>IF(OR($B31="",$B31=0),"",$I31*$C31*(1+'Property Summary'!$L$21)^('MF CapEx'!AP$3-1))</f>
        <v/>
      </c>
      <c r="AQ31" s="149" t="str">
        <f>IF(OR($B31="",$B31=0),"",$I31*$C31*(1+'Property Summary'!$L$21)^('MF CapEx'!AQ$3-1))</f>
        <v/>
      </c>
      <c r="AR31" s="149" t="str">
        <f>IF(OR($B31="",$B31=0),"",$I31*$C31*(1+'Property Summary'!$L$21)^('MF CapEx'!AR$3-1))</f>
        <v/>
      </c>
      <c r="AS31" s="149" t="str">
        <f>IF(OR($B31="",$B31=0),"",$I31*$C31*(1+'Property Summary'!$L$21)^('MF CapEx'!AS$3-1))</f>
        <v/>
      </c>
      <c r="AT31" s="149" t="str">
        <f>IF(OR($B31="",$B31=0),"",$I31*$C31*(1+'Property Summary'!$L$21)^('MF CapEx'!AT$3-1))</f>
        <v/>
      </c>
      <c r="AU31" s="149" t="str">
        <f>IF(OR($B31="",$B31=0),"",$I31*$C31*(1+'Property Summary'!$L$21)^('MF CapEx'!AU$3-1))</f>
        <v/>
      </c>
      <c r="AV31" s="149" t="str">
        <f>IF(OR($B31="",$B31=0),"",$I31*$C31*(1+'Property Summary'!$L$21)^('MF CapEx'!AV$3-1))</f>
        <v/>
      </c>
      <c r="AW31" s="149" t="str">
        <f>IF(OR($B31="",$B31=0),"",$I31*$C31*(1+'Property Summary'!$L$21)^('MF CapEx'!AW$3-1))</f>
        <v/>
      </c>
      <c r="AX31" s="149" t="str">
        <f>IF(OR($B31="",$B31=0),"",$I31*$C31*(1+'Property Summary'!$L$21)^('MF CapEx'!AX$3-1))</f>
        <v/>
      </c>
      <c r="AY31" s="149" t="str">
        <f>IF(OR($B31="",$B31=0),"",$I31*$C31*(1+'Property Summary'!$L$21)^('MF CapEx'!AY$3-1))</f>
        <v/>
      </c>
      <c r="AZ31" s="149" t="str">
        <f>IF(OR($B31="",$B31=0),"",$I31*$C31*(1+'Property Summary'!$L$21)^('MF CapEx'!AZ$3-1))</f>
        <v/>
      </c>
      <c r="BA31" s="149" t="str">
        <f>IF(OR($B31="",$B31=0),"",$I31*$C31*(1+'Property Summary'!$L$21)^('MF CapEx'!BA$3-1))</f>
        <v/>
      </c>
      <c r="BB31" s="149" t="str">
        <f>IF(OR($B31="",$B31=0),"",$I31*$C31*(1+'Property Summary'!$L$21)^('MF CapEx'!BB$3-1))</f>
        <v/>
      </c>
      <c r="BC31" s="149" t="str">
        <f>IF(OR($B31="",$B31=0),"",$I31*$C31*(1+'Property Summary'!$L$21)^('MF CapEx'!BC$3-1))</f>
        <v/>
      </c>
      <c r="BD31" s="149" t="str">
        <f>IF(OR($B31="",$B31=0),"",$I31*$C31*(1+'Property Summary'!$L$21)^('MF CapEx'!BD$3-1))</f>
        <v/>
      </c>
      <c r="BE31" s="149" t="str">
        <f>IF(OR($B31="",$B31=0),"",$I31*$C31*(1+'Property Summary'!$L$21)^('MF CapEx'!BE$3-1))</f>
        <v/>
      </c>
      <c r="BF31" s="149" t="str">
        <f>IF(OR($B31="",$B31=0),"",$I31*$C31*(1+'Property Summary'!$L$21)^('MF CapEx'!BF$3-1))</f>
        <v/>
      </c>
      <c r="BG31" s="149" t="str">
        <f>IF(OR($B31="",$B31=0),"",$I31*$C31*(1+'Property Summary'!$L$21)^('MF CapEx'!BG$3-1))</f>
        <v/>
      </c>
      <c r="BH31" s="149" t="str">
        <f>IF(OR($B31="",$B31=0),"",$I31*$C31*(1+'Property Summary'!$L$21)^('MF CapEx'!BH$3-1))</f>
        <v/>
      </c>
      <c r="BI31" s="149" t="str">
        <f>IF(OR($B31="",$B31=0),"",$I31*$C31*(1+'Property Summary'!$L$21)^('MF CapEx'!BI$3-1))</f>
        <v/>
      </c>
      <c r="BJ31" s="149" t="str">
        <f>IF(OR($B31="",$B31=0),"",$I31*$C31*(1+'Property Summary'!$L$21)^('MF CapEx'!BJ$3-1))</f>
        <v/>
      </c>
      <c r="BK31" s="149" t="str">
        <f>IF(OR($B31="",$B31=0),"",$I31*$C31*(1+'Property Summary'!$L$21)^('MF CapEx'!BK$3-1))</f>
        <v/>
      </c>
      <c r="BL31" s="149" t="str">
        <f>IF(OR($B31="",$B31=0),"",$I31*$C31*(1+'Property Summary'!$L$21)^('MF CapEx'!BL$3-1))</f>
        <v/>
      </c>
      <c r="BM31" s="149" t="str">
        <f>IF(OR($B31="",$B31=0),"",$I31*$C31*(1+'Property Summary'!$L$21)^('MF CapEx'!BM$3-1))</f>
        <v/>
      </c>
      <c r="BN31" s="149" t="str">
        <f>IF(OR($B31="",$B31=0),"",$I31*$C31*(1+'Property Summary'!$L$21)^('MF CapEx'!BN$3-1))</f>
        <v/>
      </c>
      <c r="BO31" s="149" t="str">
        <f>IF(OR($B31="",$B31=0),"",$I31*$C31*(1+'Property Summary'!$L$21)^('MF CapEx'!BO$3-1))</f>
        <v/>
      </c>
      <c r="BP31" s="149" t="str">
        <f>IF(OR($B31="",$B31=0),"",$I31*$C31*(1+'Property Summary'!$L$21)^('MF CapEx'!BP$3-1))</f>
        <v/>
      </c>
      <c r="BQ31" s="149" t="str">
        <f>IF(OR($B31="",$B31=0),"",$I31*$C31*(1+'Property Summary'!$L$21)^('MF CapEx'!BQ$3-1))</f>
        <v/>
      </c>
      <c r="BR31" s="149" t="str">
        <f>IF(OR($B31="",$B31=0),"",$I31*$C31*(1+'Property Summary'!$L$21)^('MF CapEx'!BR$3-1))</f>
        <v/>
      </c>
      <c r="BS31" s="149" t="str">
        <f>IF(OR($B31="",$B31=0),"",$I31*$C31*(1+'Property Summary'!$L$21)^('MF CapEx'!BS$3-1))</f>
        <v/>
      </c>
      <c r="BT31" s="149" t="str">
        <f>IF(OR($B31="",$B31=0),"",$I31*$C31*(1+'Property Summary'!$L$21)^('MF CapEx'!BT$3-1))</f>
        <v/>
      </c>
      <c r="BU31" s="149" t="str">
        <f>IF(OR($B31="",$B31=0),"",$I31*$C31*(1+'Property Summary'!$L$21)^('MF CapEx'!BU$3-1))</f>
        <v/>
      </c>
      <c r="BV31" s="149" t="str">
        <f>IF(OR($B31="",$B31=0),"",$I31*$C31*(1+'Property Summary'!$L$21)^('MF CapEx'!BV$3-1))</f>
        <v/>
      </c>
      <c r="BW31" s="149" t="str">
        <f>IF(OR($B31="",$B31=0),"",$I31*$C31*(1+'Property Summary'!$L$21)^('MF CapEx'!BW$3-1))</f>
        <v/>
      </c>
      <c r="BX31" s="149" t="str">
        <f>IF(OR($B31="",$B31=0),"",$I31*$C31*(1+'Property Summary'!$L$21)^('MF CapEx'!BX$3-1))</f>
        <v/>
      </c>
      <c r="BY31" s="149" t="str">
        <f>IF(OR($B31="",$B31=0),"",$I31*$C31*(1+'Property Summary'!$L$21)^('MF CapEx'!BY$3-1))</f>
        <v/>
      </c>
      <c r="BZ31" s="149" t="str">
        <f>IF(OR($B31="",$B31=0),"",$I31*$C31*(1+'Property Summary'!$L$21)^('MF CapEx'!BZ$3-1))</f>
        <v/>
      </c>
      <c r="CA31" s="149" t="str">
        <f>IF(OR($B31="",$B31=0),"",$I31*$C31*(1+'Property Summary'!$L$21)^('MF CapEx'!CA$3-1))</f>
        <v/>
      </c>
      <c r="CB31" s="149" t="str">
        <f>IF(OR($B31="",$B31=0),"",$I31*$C31*(1+'Property Summary'!$L$21)^('MF CapEx'!CB$3-1))</f>
        <v/>
      </c>
      <c r="CC31" s="149" t="str">
        <f>IF(OR($B31="",$B31=0),"",$I31*$C31*(1+'Property Summary'!$L$21)^('MF CapEx'!CC$3-1))</f>
        <v/>
      </c>
      <c r="CD31" s="149" t="str">
        <f>IF(OR($B31="",$B31=0),"",$I31*$C31*(1+'Property Summary'!$L$21)^('MF CapEx'!CD$3-1))</f>
        <v/>
      </c>
      <c r="CE31" s="149" t="str">
        <f>IF(OR($B31="",$B31=0),"",$I31*$C31*(1+'Property Summary'!$L$21)^('MF CapEx'!CE$3-1))</f>
        <v/>
      </c>
      <c r="CF31" s="149" t="str">
        <f>IF(OR($B31="",$B31=0),"",$I31*$C31*(1+'Property Summary'!$L$21)^('MF CapEx'!CF$3-1))</f>
        <v/>
      </c>
      <c r="CG31" s="149" t="str">
        <f>IF(OR($B31="",$B31=0),"",$I31*$C31*(1+'Property Summary'!$L$21)^('MF CapEx'!CG$3-1))</f>
        <v/>
      </c>
      <c r="CH31" s="149" t="str">
        <f>IF(OR($B31="",$B31=0),"",$I31*$C31*(1+'Property Summary'!$L$21)^('MF CapEx'!CH$3-1))</f>
        <v/>
      </c>
      <c r="CI31" s="149" t="str">
        <f>IF(OR($B31="",$B31=0),"",$I31*$C31*(1+'Property Summary'!$L$21)^('MF CapEx'!CI$3-1))</f>
        <v/>
      </c>
      <c r="CJ31" s="149" t="str">
        <f>IF(OR($B31="",$B31=0),"",$I31*$C31*(1+'Property Summary'!$L$21)^('MF CapEx'!CJ$3-1))</f>
        <v/>
      </c>
      <c r="CK31" s="149" t="str">
        <f>IF(OR($B31="",$B31=0),"",$I31*$C31*(1+'Property Summary'!$L$21)^('MF CapEx'!CK$3-1))</f>
        <v/>
      </c>
      <c r="CL31" s="149" t="str">
        <f>IF(OR($B31="",$B31=0),"",$I31*$C31*(1+'Property Summary'!$L$21)^('MF CapEx'!CL$3-1))</f>
        <v/>
      </c>
      <c r="CM31" s="149" t="str">
        <f>IF(OR($B31="",$B31=0),"",$I31*$C31*(1+'Property Summary'!$L$21)^('MF CapEx'!CM$3-1))</f>
        <v/>
      </c>
      <c r="CN31" s="149" t="str">
        <f>IF(OR($B31="",$B31=0),"",$I31*$C31*(1+'Property Summary'!$L$21)^('MF CapEx'!CN$3-1))</f>
        <v/>
      </c>
      <c r="CO31" s="149" t="str">
        <f>IF(OR($B31="",$B31=0),"",$I31*$C31*(1+'Property Summary'!$L$21)^('MF CapEx'!CO$3-1))</f>
        <v/>
      </c>
      <c r="CP31" s="149" t="str">
        <f>IF(OR($B31="",$B31=0),"",$I31*$C31*(1+'Property Summary'!$L$21)^('MF CapEx'!CP$3-1))</f>
        <v/>
      </c>
      <c r="CQ31" s="149" t="str">
        <f>IF(OR($B31="",$B31=0),"",$I31*$C31*(1+'Property Summary'!$L$21)^('MF CapEx'!CQ$3-1))</f>
        <v/>
      </c>
      <c r="CR31" s="149" t="str">
        <f>IF(OR($B31="",$B31=0),"",$I31*$C31*(1+'Property Summary'!$L$21)^('MF CapEx'!CR$3-1))</f>
        <v/>
      </c>
      <c r="CS31" s="149" t="str">
        <f>IF(OR($B31="",$B31=0),"",$I31*$C31*(1+'Property Summary'!$L$21)^('MF CapEx'!CS$3-1))</f>
        <v/>
      </c>
      <c r="CT31" s="149" t="str">
        <f>IF(OR($B31="",$B31=0),"",$I31*$C31*(1+'Property Summary'!$L$21)^('MF CapEx'!CT$3-1))</f>
        <v/>
      </c>
      <c r="CU31" s="149" t="str">
        <f>IF(OR($B31="",$B31=0),"",$I31*$C31*(1+'Property Summary'!$L$21)^('MF CapEx'!CU$3-1))</f>
        <v/>
      </c>
      <c r="CV31" s="149" t="str">
        <f>IF(OR($B31="",$B31=0),"",$I31*$C31*(1+'Property Summary'!$L$21)^('MF CapEx'!CV$3-1))</f>
        <v/>
      </c>
      <c r="CW31" s="149" t="str">
        <f>IF(OR($B31="",$B31=0),"",$I31*$C31*(1+'Property Summary'!$L$21)^('MF CapEx'!CW$3-1))</f>
        <v/>
      </c>
      <c r="CX31" s="149" t="str">
        <f>IF(OR($B31="",$B31=0),"",$I31*$C31*(1+'Property Summary'!$L$21)^('MF CapEx'!CX$3-1))</f>
        <v/>
      </c>
      <c r="CY31" s="149" t="str">
        <f>IF(OR($B31="",$B31=0),"",$I31*$C31*(1+'Property Summary'!$L$21)^('MF CapEx'!CY$3-1))</f>
        <v/>
      </c>
      <c r="CZ31" s="149" t="str">
        <f>IF(OR($B31="",$B31=0),"",$I31*$C31*(1+'Property Summary'!$L$21)^('MF CapEx'!CZ$3-1))</f>
        <v/>
      </c>
      <c r="DA31" s="149" t="str">
        <f>IF(OR($B31="",$B31=0),"",$I31*$C31*(1+'Property Summary'!$L$21)^('MF CapEx'!DA$3-1))</f>
        <v/>
      </c>
      <c r="DB31" s="149" t="str">
        <f>IF(OR($B31="",$B31=0),"",$I31*$C31*(1+'Property Summary'!$L$21)^('MF CapEx'!DB$3-1))</f>
        <v/>
      </c>
      <c r="DC31" s="149" t="str">
        <f>IF(OR($B31="",$B31=0),"",$I31*$C31*(1+'Property Summary'!$L$21)^('MF CapEx'!DC$3-1))</f>
        <v/>
      </c>
      <c r="DD31" s="149" t="str">
        <f>IF(OR($B31="",$B31=0),"",$I31*$C31*(1+'Property Summary'!$L$21)^('MF CapEx'!DD$3-1))</f>
        <v/>
      </c>
      <c r="DE31" s="149" t="str">
        <f>IF(OR($B31="",$B31=0),"",$I31*$C31*(1+'Property Summary'!$L$21)^('MF CapEx'!DE$3-1))</f>
        <v/>
      </c>
      <c r="DF31" s="149" t="str">
        <f>IF(OR($B31="",$B31=0),"",$I31*$C31*(1+'Property Summary'!$L$21)^('MF CapEx'!DF$3-1))</f>
        <v/>
      </c>
      <c r="DG31" s="149" t="str">
        <f>IF(OR($B31="",$B31=0),"",$I31*$C31*(1+'Property Summary'!$L$21)^('MF CapEx'!DG$3-1))</f>
        <v/>
      </c>
      <c r="DH31" s="149" t="str">
        <f>IF(OR($B31="",$B31=0),"",$I31*$C31*(1+'Property Summary'!$L$21)^('MF CapEx'!DH$3-1))</f>
        <v/>
      </c>
      <c r="DI31" s="149" t="str">
        <f>IF(OR($B31="",$B31=0),"",$I31*$C31*(1+'Property Summary'!$L$21)^('MF CapEx'!DI$3-1))</f>
        <v/>
      </c>
      <c r="DJ31" s="149" t="str">
        <f>IF(OR($B31="",$B31=0),"",$I31*$C31*(1+'Property Summary'!$L$21)^('MF CapEx'!DJ$3-1))</f>
        <v/>
      </c>
      <c r="DK31" s="149" t="str">
        <f>IF(OR($B31="",$B31=0),"",$I31*$C31*(1+'Property Summary'!$L$21)^('MF CapEx'!DK$3-1))</f>
        <v/>
      </c>
      <c r="DL31" s="149" t="str">
        <f>IF(OR($B31="",$B31=0),"",$I31*$C31*(1+'Property Summary'!$L$21)^('MF CapEx'!DL$3-1))</f>
        <v/>
      </c>
      <c r="DM31" s="149" t="str">
        <f>IF(OR($B31="",$B31=0),"",$I31*$C31*(1+'Property Summary'!$L$21)^('MF CapEx'!DM$3-1))</f>
        <v/>
      </c>
      <c r="DN31" s="149" t="str">
        <f>IF(OR($B31="",$B31=0),"",$I31*$C31*(1+'Property Summary'!$L$21)^('MF CapEx'!DN$3-1))</f>
        <v/>
      </c>
      <c r="DO31" s="149" t="str">
        <f>IF(OR($B31="",$B31=0),"",$I31*$C31*(1+'Property Summary'!$L$21)^('MF CapEx'!DO$3-1))</f>
        <v/>
      </c>
      <c r="DP31" s="149" t="str">
        <f>IF(OR($B31="",$B31=0),"",$I31*$C31*(1+'Property Summary'!$L$21)^('MF CapEx'!DP$3-1))</f>
        <v/>
      </c>
      <c r="DQ31" s="149" t="str">
        <f>IF(OR($B31="",$B31=0),"",$I31*$C31*(1+'Property Summary'!$L$21)^('MF CapEx'!DQ$3-1))</f>
        <v/>
      </c>
      <c r="DR31" s="149" t="str">
        <f>IF(OR($B31="",$B31=0),"",$I31*$C31*(1+'Property Summary'!$L$21)^('MF CapEx'!DR$3-1))</f>
        <v/>
      </c>
      <c r="DS31" s="149" t="str">
        <f>IF(OR($B31="",$B31=0),"",$I31*$C31*(1+'Property Summary'!$L$21)^('MF CapEx'!DS$3-1))</f>
        <v/>
      </c>
      <c r="DT31" s="149" t="str">
        <f>IF(OR($B31="",$B31=0),"",$I31*$C31*(1+'Property Summary'!$L$21)^('MF CapEx'!DT$3-1))</f>
        <v/>
      </c>
      <c r="DU31" s="149" t="str">
        <f>IF(OR($B31="",$B31=0),"",$I31*$C31*(1+'Property Summary'!$L$21)^('MF CapEx'!DU$3-1))</f>
        <v/>
      </c>
      <c r="DV31" s="149" t="str">
        <f>IF(OR($B31="",$B31=0),"",$I31*$C31*(1+'Property Summary'!$L$21)^('MF CapEx'!DV$3-1))</f>
        <v/>
      </c>
      <c r="DW31" s="149" t="str">
        <f>IF(OR($B31="",$B31=0),"",$I31*$C31*(1+'Property Summary'!$L$21)^('MF CapEx'!DW$3-1))</f>
        <v/>
      </c>
      <c r="DX31" s="149" t="str">
        <f>IF(OR($B31="",$B31=0),"",$I31*$C31*(1+'Property Summary'!$L$21)^('MF CapEx'!DX$3-1))</f>
        <v/>
      </c>
      <c r="DY31" s="149" t="str">
        <f>IF(OR($B31="",$B31=0),"",$I31*$C31*(1+'Property Summary'!$L$21)^('MF CapEx'!DY$3-1))</f>
        <v/>
      </c>
      <c r="DZ31" s="149" t="str">
        <f>IF(OR($B31="",$B31=0),"",$I31*$C31*(1+'Property Summary'!$L$21)^('MF CapEx'!DZ$3-1))</f>
        <v/>
      </c>
      <c r="EA31" s="149" t="str">
        <f>IF(OR($B31="",$B31=0),"",$I31*$C31*(1+'Property Summary'!$L$21)^('MF CapEx'!EA$3-1))</f>
        <v/>
      </c>
      <c r="EB31" s="149" t="str">
        <f>IF(OR($B31="",$B31=0),"",$I31*$C31*(1+'Property Summary'!$L$21)^('MF CapEx'!EB$3-1))</f>
        <v/>
      </c>
      <c r="EC31" s="149" t="str">
        <f>IF(OR($B31="",$B31=0),"",$I31*$C31*(1+'Property Summary'!$L$21)^('MF CapEx'!EC$3-1))</f>
        <v/>
      </c>
      <c r="ED31" s="149" t="str">
        <f>IF(OR($B31="",$B31=0),"",$I31*$C31*(1+'Property Summary'!$L$21)^('MF CapEx'!ED$3-1))</f>
        <v/>
      </c>
      <c r="EE31" s="149" t="str">
        <f>IF(OR($B31="",$B31=0),"",$I31*$C31*(1+'Property Summary'!$L$21)^('MF CapEx'!EE$3-1))</f>
        <v/>
      </c>
      <c r="EF31" s="149" t="str">
        <f>IF(OR($B31="",$B31=0),"",$I31*$C31*(1+'Property Summary'!$L$21)^('MF CapEx'!EF$3-1))</f>
        <v/>
      </c>
      <c r="EG31" s="149" t="str">
        <f>IF(OR($B31="",$B31=0),"",$I31*$C31*(1+'Property Summary'!$L$21)^('MF CapEx'!EG$3-1))</f>
        <v/>
      </c>
      <c r="EH31" s="149" t="str">
        <f>IF(OR($B31="",$B31=0),"",$I31*$C31*(1+'Property Summary'!$L$21)^('MF CapEx'!EH$3-1))</f>
        <v/>
      </c>
      <c r="EI31" s="149" t="str">
        <f>IF(OR($B31="",$B31=0),"",$I31*$C31*(1+'Property Summary'!$L$21)^('MF CapEx'!EI$3-1))</f>
        <v/>
      </c>
      <c r="EJ31" s="149" t="str">
        <f>IF(OR($B31="",$B31=0),"",$I31*$C31*(1+'Property Summary'!$L$21)^('MF CapEx'!EJ$3-1))</f>
        <v/>
      </c>
      <c r="EK31" s="149" t="str">
        <f>IF(OR($B31="",$B31=0),"",$I31*$C31*(1+'Property Summary'!$L$21)^('MF CapEx'!EK$3-1))</f>
        <v/>
      </c>
      <c r="EL31" s="149" t="str">
        <f>IF(OR($B31="",$B31=0),"",$I31*$C31*(1+'Property Summary'!$L$21)^('MF CapEx'!EL$3-1))</f>
        <v/>
      </c>
      <c r="EM31" s="149" t="str">
        <f>IF(OR($B31="",$B31=0),"",$I31*$C31*(1+'Property Summary'!$L$21)^('MF CapEx'!EM$3-1))</f>
        <v/>
      </c>
      <c r="EN31" s="149" t="str">
        <f>IF(OR($B31="",$B31=0),"",$I31*$C31*(1+'Property Summary'!$L$21)^('MF CapEx'!EN$3-1))</f>
        <v/>
      </c>
      <c r="EO31" s="149" t="str">
        <f>IF(OR($B31="",$B31=0),"",$I31*$C31*(1+'Property Summary'!$L$21)^('MF CapEx'!EO$3-1))</f>
        <v/>
      </c>
      <c r="EP31" s="149" t="str">
        <f>IF(OR($B31="",$B31=0),"",$I31*$C31*(1+'Property Summary'!$L$21)^('MF CapEx'!EP$3-1))</f>
        <v/>
      </c>
      <c r="EQ31" s="149" t="str">
        <f>IF(OR($B31="",$B31=0),"",$I31*$C31*(1+'Property Summary'!$L$21)^('MF CapEx'!EQ$3-1))</f>
        <v/>
      </c>
      <c r="ER31" s="149" t="str">
        <f>IF(OR($B31="",$B31=0),"",$I31*$C31*(1+'Property Summary'!$L$21)^('MF CapEx'!ER$3-1))</f>
        <v/>
      </c>
      <c r="ES31" s="149" t="str">
        <f>IF(OR($B31="",$B31=0),"",$I31*$C31*(1+'Property Summary'!$L$21)^('MF CapEx'!ES$3-1))</f>
        <v/>
      </c>
      <c r="ET31" s="149" t="str">
        <f>IF(OR($B31="",$B31=0),"",$I31*$C31*(1+'Property Summary'!$L$21)^('MF CapEx'!ET$3-1))</f>
        <v/>
      </c>
      <c r="EU31" s="149" t="str">
        <f>IF(OR($B31="",$B31=0),"",$I31*$C31*(1+'Property Summary'!$L$21)^('MF CapEx'!EU$3-1))</f>
        <v/>
      </c>
      <c r="EV31" s="149" t="str">
        <f>IF(OR($B31="",$B31=0),"",$I31*$C31*(1+'Property Summary'!$L$21)^('MF CapEx'!EV$3-1))</f>
        <v/>
      </c>
      <c r="EW31" s="149" t="str">
        <f>IF(OR($B31="",$B31=0),"",$I31*$C31*(1+'Property Summary'!$L$21)^('MF CapEx'!EW$3-1))</f>
        <v/>
      </c>
      <c r="EX31" s="149" t="str">
        <f>IF(OR($B31="",$B31=0),"",$I31*$C31*(1+'Property Summary'!$L$21)^('MF CapEx'!EX$3-1))</f>
        <v/>
      </c>
      <c r="EY31" s="149" t="str">
        <f>IF(OR($B31="",$B31=0),"",$I31*$C31*(1+'Property Summary'!$L$21)^('MF CapEx'!EY$3-1))</f>
        <v/>
      </c>
      <c r="EZ31" s="149" t="str">
        <f>IF(OR($B31="",$B31=0),"",$I31*$C31*(1+'Property Summary'!$L$21)^('MF CapEx'!EZ$3-1))</f>
        <v/>
      </c>
      <c r="FA31" s="149" t="str">
        <f>IF(OR($B31="",$B31=0),"",$I31*$C31*(1+'Property Summary'!$L$21)^('MF CapEx'!FA$3-1))</f>
        <v/>
      </c>
      <c r="FB31" s="149" t="str">
        <f>IF(OR($B31="",$B31=0),"",$I31*$C31*(1+'Property Summary'!$L$21)^('MF CapEx'!FB$3-1))</f>
        <v/>
      </c>
      <c r="FC31" s="149" t="str">
        <f>IF(OR($B31="",$B31=0),"",$I31*$C31*(1+'Property Summary'!$L$21)^('MF CapEx'!FC$3-1))</f>
        <v/>
      </c>
      <c r="FD31" s="149" t="str">
        <f>IF(OR($B31="",$B31=0),"",$I31*$C31*(1+'Property Summary'!$L$21)^('MF CapEx'!FD$3-1))</f>
        <v/>
      </c>
      <c r="FE31" s="149" t="str">
        <f>IF(OR($B31="",$B31=0),"",$I31*$C31*(1+'Property Summary'!$L$21)^('MF CapEx'!FE$3-1))</f>
        <v/>
      </c>
      <c r="FF31" s="149" t="str">
        <f>IF(OR($B31="",$B31=0),"",$I31*$C31*(1+'Property Summary'!$L$21)^('MF CapEx'!FF$3-1))</f>
        <v/>
      </c>
      <c r="FG31" s="149" t="str">
        <f>IF(OR($B31="",$B31=0),"",$I31*$C31*(1+'Property Summary'!$L$21)^('MF CapEx'!FG$3-1))</f>
        <v/>
      </c>
      <c r="FH31" s="149" t="str">
        <f>IF(OR($B31="",$B31=0),"",$I31*$C31*(1+'Property Summary'!$L$21)^('MF CapEx'!FH$3-1))</f>
        <v/>
      </c>
      <c r="FI31" s="149" t="str">
        <f>IF(OR($B31="",$B31=0),"",$I31*$C31*(1+'Property Summary'!$L$21)^('MF CapEx'!FI$3-1))</f>
        <v/>
      </c>
      <c r="FJ31" s="149" t="str">
        <f>IF(OR($B31="",$B31=0),"",$I31*$C31*(1+'Property Summary'!$L$21)^('MF CapEx'!FJ$3-1))</f>
        <v/>
      </c>
      <c r="FK31" s="149" t="str">
        <f>IF(OR($B31="",$B31=0),"",$I31*$C31*(1+'Property Summary'!$L$21)^('MF CapEx'!FK$3-1))</f>
        <v/>
      </c>
      <c r="FL31" s="149" t="str">
        <f>IF(OR($B31="",$B31=0),"",$I31*$C31*(1+'Property Summary'!$L$21)^('MF CapEx'!FL$3-1))</f>
        <v/>
      </c>
      <c r="FM31" s="149" t="str">
        <f>IF(OR($B31="",$B31=0),"",$I31*$C31*(1+'Property Summary'!$L$21)^('MF CapEx'!FM$3-1))</f>
        <v/>
      </c>
      <c r="FN31" s="149" t="str">
        <f>IF(OR($B31="",$B31=0),"",$I31*$C31*(1+'Property Summary'!$L$21)^('MF CapEx'!FN$3-1))</f>
        <v/>
      </c>
      <c r="FO31" s="149" t="str">
        <f>IF(OR($B31="",$B31=0),"",$I31*$C31*(1+'Property Summary'!$L$21)^('MF CapEx'!FO$3-1))</f>
        <v/>
      </c>
      <c r="FP31" s="149" t="str">
        <f>IF(OR($B31="",$B31=0),"",$I31*$C31*(1+'Property Summary'!$L$21)^('MF CapEx'!FP$3-1))</f>
        <v/>
      </c>
      <c r="FQ31" s="149" t="str">
        <f>IF(OR($B31="",$B31=0),"",$I31*$C31*(1+'Property Summary'!$L$21)^('MF CapEx'!FQ$3-1))</f>
        <v/>
      </c>
      <c r="FR31" s="149" t="str">
        <f>IF(OR($B31="",$B31=0),"",$I31*$C31*(1+'Property Summary'!$L$21)^('MF CapEx'!FR$3-1))</f>
        <v/>
      </c>
      <c r="FS31" s="149" t="str">
        <f>IF(OR($B31="",$B31=0),"",$I31*$C31*(1+'Property Summary'!$L$21)^('MF CapEx'!FS$3-1))</f>
        <v/>
      </c>
      <c r="FT31" s="149" t="str">
        <f>IF(OR($B31="",$B31=0),"",$I31*$C31*(1+'Property Summary'!$L$21)^('MF CapEx'!FT$3-1))</f>
        <v/>
      </c>
      <c r="FU31" s="149" t="str">
        <f>IF(OR($B31="",$B31=0),"",$I31*$C31*(1+'Property Summary'!$L$21)^('MF CapEx'!FU$3-1))</f>
        <v/>
      </c>
      <c r="FV31" s="149" t="str">
        <f>IF(OR($B31="",$B31=0),"",$I31*$C31*(1+'Property Summary'!$L$21)^('MF CapEx'!FV$3-1))</f>
        <v/>
      </c>
      <c r="FW31" s="149" t="str">
        <f>IF(OR($B31="",$B31=0),"",$I31*$C31*(1+'Property Summary'!$L$21)^('MF CapEx'!FW$3-1))</f>
        <v/>
      </c>
      <c r="FX31" s="149" t="str">
        <f>IF(OR($B31="",$B31=0),"",$I31*$C31*(1+'Property Summary'!$L$21)^('MF CapEx'!FX$3-1))</f>
        <v/>
      </c>
      <c r="FY31" s="149" t="str">
        <f>IF(OR($B31="",$B31=0),"",$I31*$C31*(1+'Property Summary'!$L$21)^('MF CapEx'!FY$3-1))</f>
        <v/>
      </c>
      <c r="FZ31" s="149" t="str">
        <f>IF(OR($B31="",$B31=0),"",$I31*$C31*(1+'Property Summary'!$L$21)^('MF CapEx'!FZ$3-1))</f>
        <v/>
      </c>
      <c r="GA31" s="149" t="str">
        <f>IF(OR($B31="",$B31=0),"",$I31*$C31*(1+'Property Summary'!$L$21)^('MF CapEx'!GA$3-1))</f>
        <v/>
      </c>
      <c r="GB31" s="149" t="str">
        <f>IF(OR($B31="",$B31=0),"",$I31*$C31*(1+'Property Summary'!$L$21)^('MF CapEx'!GB$3-1))</f>
        <v/>
      </c>
      <c r="GC31" s="149" t="str">
        <f>IF(OR($B31="",$B31=0),"",$I31*$C31*(1+'Property Summary'!$L$21)^('MF CapEx'!GC$3-1))</f>
        <v/>
      </c>
      <c r="GD31" s="149" t="str">
        <f>IF(OR($B31="",$B31=0),"",$I31*$C31*(1+'Property Summary'!$L$21)^('MF CapEx'!GD$3-1))</f>
        <v/>
      </c>
      <c r="GE31" s="149" t="str">
        <f>IF(OR($B31="",$B31=0),"",$I31*$C31*(1+'Property Summary'!$L$21)^('MF CapEx'!GE$3-1))</f>
        <v/>
      </c>
      <c r="GF31" s="149" t="str">
        <f>IF(OR($B31="",$B31=0),"",$I31*$C31*(1+'Property Summary'!$L$21)^('MF CapEx'!GF$3-1))</f>
        <v/>
      </c>
      <c r="GG31" s="149" t="str">
        <f>IF(OR($B31="",$B31=0),"",$I31*$C31*(1+'Property Summary'!$L$21)^('MF CapEx'!GG$3-1))</f>
        <v/>
      </c>
      <c r="GH31" s="149" t="str">
        <f>IF(OR($B31="",$B31=0),"",$I31*$C31*(1+'Property Summary'!$L$21)^('MF CapEx'!GH$3-1))</f>
        <v/>
      </c>
      <c r="GI31" s="149" t="str">
        <f>IF(OR($B31="",$B31=0),"",$I31*$C31*(1+'Property Summary'!$L$21)^('MF CapEx'!GI$3-1))</f>
        <v/>
      </c>
      <c r="GJ31" s="149" t="str">
        <f>IF(OR($B31="",$B31=0),"",$I31*$C31*(1+'Property Summary'!$L$21)^('MF CapEx'!GJ$3-1))</f>
        <v/>
      </c>
      <c r="GK31" s="149" t="str">
        <f>IF(OR($B31="",$B31=0),"",$I31*$C31*(1+'Property Summary'!$L$21)^('MF CapEx'!GK$3-1))</f>
        <v/>
      </c>
      <c r="GL31" s="149" t="str">
        <f>IF(OR($B31="",$B31=0),"",$I31*$C31*(1+'Property Summary'!$L$21)^('MF CapEx'!GL$3-1))</f>
        <v/>
      </c>
      <c r="GM31" s="149" t="str">
        <f>IF(OR($B31="",$B31=0),"",$I31*$C31*(1+'Property Summary'!$L$21)^('MF CapEx'!GM$3-1))</f>
        <v/>
      </c>
      <c r="GN31" s="149" t="str">
        <f>IF(OR($B31="",$B31=0),"",$I31*$C31*(1+'Property Summary'!$L$21)^('MF CapEx'!GN$3-1))</f>
        <v/>
      </c>
      <c r="GO31" s="149" t="str">
        <f>IF(OR($B31="",$B31=0),"",$I31*$C31*(1+'Property Summary'!$L$21)^('MF CapEx'!GO$3-1))</f>
        <v/>
      </c>
      <c r="GP31" s="149" t="str">
        <f>IF(OR($B31="",$B31=0),"",$I31*$C31*(1+'Property Summary'!$L$21)^('MF CapEx'!GP$3-1))</f>
        <v/>
      </c>
    </row>
    <row r="32" spans="2:198" x14ac:dyDescent="0.3">
      <c r="B32" s="184">
        <f>'MF Rent Roll'!B31</f>
        <v>0</v>
      </c>
      <c r="C32" s="171">
        <f>'MF Rent Roll'!C31</f>
        <v>0</v>
      </c>
      <c r="D32" s="172">
        <f>'MF Rent Roll'!D31</f>
        <v>0</v>
      </c>
      <c r="E32" s="172">
        <f>'MF Rent Roll'!E31</f>
        <v>0</v>
      </c>
      <c r="F32" s="173">
        <f>'MF Rent Roll'!F31</f>
        <v>0</v>
      </c>
      <c r="G32" s="174">
        <f>'MF Rent Roll'!G31</f>
        <v>0</v>
      </c>
      <c r="H32" s="176">
        <f>'MF Rent Roll'!J31</f>
        <v>0</v>
      </c>
      <c r="I32" s="174">
        <f>'MF Rent Roll'!K31</f>
        <v>0</v>
      </c>
      <c r="J32" s="177">
        <f>'MF Rent Roll'!L31</f>
        <v>0</v>
      </c>
      <c r="K32" s="178">
        <f>'MF Rent Roll'!M31</f>
        <v>0</v>
      </c>
      <c r="L32" s="174">
        <f>'MF Rent Roll'!N31</f>
        <v>0</v>
      </c>
      <c r="M32" s="179">
        <f>'MF Rent Roll'!O31</f>
        <v>0</v>
      </c>
      <c r="N32" s="180" t="str">
        <f>'MF Rent Roll'!P31</f>
        <v/>
      </c>
      <c r="O32" s="181" t="str">
        <f>'MF Rent Roll'!Q31</f>
        <v/>
      </c>
      <c r="P32" s="104" t="str">
        <f>'MF Rent Roll'!R31</f>
        <v/>
      </c>
      <c r="S32" s="149" t="str">
        <f>IF(OR($B32="",$B32=0),"",$I32*$C32*(1+'Property Summary'!$L$21)^('MF CapEx'!S$3-1))</f>
        <v/>
      </c>
      <c r="T32" s="149" t="str">
        <f>IF(OR($B32="",$B32=0),"",$I32*$C32*(1+'Property Summary'!$L$21)^('MF CapEx'!T$3-1))</f>
        <v/>
      </c>
      <c r="U32" s="149" t="str">
        <f>IF(OR($B32="",$B32=0),"",$I32*$C32*(1+'Property Summary'!$L$21)^('MF CapEx'!U$3-1))</f>
        <v/>
      </c>
      <c r="V32" s="149" t="str">
        <f>IF(OR($B32="",$B32=0),"",$I32*$C32*(1+'Property Summary'!$L$21)^('MF CapEx'!V$3-1))</f>
        <v/>
      </c>
      <c r="W32" s="149" t="str">
        <f>IF(OR($B32="",$B32=0),"",$I32*$C32*(1+'Property Summary'!$L$21)^('MF CapEx'!W$3-1))</f>
        <v/>
      </c>
      <c r="X32" s="149" t="str">
        <f>IF(OR($B32="",$B32=0),"",$I32*$C32*(1+'Property Summary'!$L$21)^('MF CapEx'!X$3-1))</f>
        <v/>
      </c>
      <c r="Y32" s="149" t="str">
        <f>IF(OR($B32="",$B32=0),"",$I32*$C32*(1+'Property Summary'!$L$21)^('MF CapEx'!Y$3-1))</f>
        <v/>
      </c>
      <c r="Z32" s="149" t="str">
        <f>IF(OR($B32="",$B32=0),"",$I32*$C32*(1+'Property Summary'!$L$21)^('MF CapEx'!Z$3-1))</f>
        <v/>
      </c>
      <c r="AA32" s="149" t="str">
        <f>IF(OR($B32="",$B32=0),"",$I32*$C32*(1+'Property Summary'!$L$21)^('MF CapEx'!AA$3-1))</f>
        <v/>
      </c>
      <c r="AB32" s="149" t="str">
        <f>IF(OR($B32="",$B32=0),"",$I32*$C32*(1+'Property Summary'!$L$21)^('MF CapEx'!AB$3-1))</f>
        <v/>
      </c>
      <c r="AC32" s="149" t="str">
        <f>IF(OR($B32="",$B32=0),"",$I32*$C32*(1+'Property Summary'!$L$21)^('MF CapEx'!AC$3-1))</f>
        <v/>
      </c>
      <c r="AD32" s="149" t="str">
        <f>IF(OR($B32="",$B32=0),"",$I32*$C32*(1+'Property Summary'!$L$21)^('MF CapEx'!AD$3-1))</f>
        <v/>
      </c>
      <c r="AE32" s="149" t="str">
        <f>IF(OR($B32="",$B32=0),"",$I32*$C32*(1+'Property Summary'!$L$21)^('MF CapEx'!AE$3-1))</f>
        <v/>
      </c>
      <c r="AF32" s="149" t="str">
        <f>IF(OR($B32="",$B32=0),"",$I32*$C32*(1+'Property Summary'!$L$21)^('MF CapEx'!AF$3-1))</f>
        <v/>
      </c>
      <c r="AG32" s="149" t="str">
        <f>IF(OR($B32="",$B32=0),"",$I32*$C32*(1+'Property Summary'!$L$21)^('MF CapEx'!AG$3-1))</f>
        <v/>
      </c>
      <c r="AH32" s="149" t="str">
        <f>IF(OR($B32="",$B32=0),"",$I32*$C32*(1+'Property Summary'!$L$21)^('MF CapEx'!AH$3-1))</f>
        <v/>
      </c>
      <c r="AI32" s="149" t="str">
        <f>IF(OR($B32="",$B32=0),"",$I32*$C32*(1+'Property Summary'!$L$21)^('MF CapEx'!AI$3-1))</f>
        <v/>
      </c>
      <c r="AJ32" s="149" t="str">
        <f>IF(OR($B32="",$B32=0),"",$I32*$C32*(1+'Property Summary'!$L$21)^('MF CapEx'!AJ$3-1))</f>
        <v/>
      </c>
      <c r="AK32" s="149" t="str">
        <f>IF(OR($B32="",$B32=0),"",$I32*$C32*(1+'Property Summary'!$L$21)^('MF CapEx'!AK$3-1))</f>
        <v/>
      </c>
      <c r="AL32" s="149" t="str">
        <f>IF(OR($B32="",$B32=0),"",$I32*$C32*(1+'Property Summary'!$L$21)^('MF CapEx'!AL$3-1))</f>
        <v/>
      </c>
      <c r="AM32" s="149" t="str">
        <f>IF(OR($B32="",$B32=0),"",$I32*$C32*(1+'Property Summary'!$L$21)^('MF CapEx'!AM$3-1))</f>
        <v/>
      </c>
      <c r="AN32" s="149" t="str">
        <f>IF(OR($B32="",$B32=0),"",$I32*$C32*(1+'Property Summary'!$L$21)^('MF CapEx'!AN$3-1))</f>
        <v/>
      </c>
      <c r="AO32" s="149" t="str">
        <f>IF(OR($B32="",$B32=0),"",$I32*$C32*(1+'Property Summary'!$L$21)^('MF CapEx'!AO$3-1))</f>
        <v/>
      </c>
      <c r="AP32" s="149" t="str">
        <f>IF(OR($B32="",$B32=0),"",$I32*$C32*(1+'Property Summary'!$L$21)^('MF CapEx'!AP$3-1))</f>
        <v/>
      </c>
      <c r="AQ32" s="149" t="str">
        <f>IF(OR($B32="",$B32=0),"",$I32*$C32*(1+'Property Summary'!$L$21)^('MF CapEx'!AQ$3-1))</f>
        <v/>
      </c>
      <c r="AR32" s="149" t="str">
        <f>IF(OR($B32="",$B32=0),"",$I32*$C32*(1+'Property Summary'!$L$21)^('MF CapEx'!AR$3-1))</f>
        <v/>
      </c>
      <c r="AS32" s="149" t="str">
        <f>IF(OR($B32="",$B32=0),"",$I32*$C32*(1+'Property Summary'!$L$21)^('MF CapEx'!AS$3-1))</f>
        <v/>
      </c>
      <c r="AT32" s="149" t="str">
        <f>IF(OR($B32="",$B32=0),"",$I32*$C32*(1+'Property Summary'!$L$21)^('MF CapEx'!AT$3-1))</f>
        <v/>
      </c>
      <c r="AU32" s="149" t="str">
        <f>IF(OR($B32="",$B32=0),"",$I32*$C32*(1+'Property Summary'!$L$21)^('MF CapEx'!AU$3-1))</f>
        <v/>
      </c>
      <c r="AV32" s="149" t="str">
        <f>IF(OR($B32="",$B32=0),"",$I32*$C32*(1+'Property Summary'!$L$21)^('MF CapEx'!AV$3-1))</f>
        <v/>
      </c>
      <c r="AW32" s="149" t="str">
        <f>IF(OR($B32="",$B32=0),"",$I32*$C32*(1+'Property Summary'!$L$21)^('MF CapEx'!AW$3-1))</f>
        <v/>
      </c>
      <c r="AX32" s="149" t="str">
        <f>IF(OR($B32="",$B32=0),"",$I32*$C32*(1+'Property Summary'!$L$21)^('MF CapEx'!AX$3-1))</f>
        <v/>
      </c>
      <c r="AY32" s="149" t="str">
        <f>IF(OR($B32="",$B32=0),"",$I32*$C32*(1+'Property Summary'!$L$21)^('MF CapEx'!AY$3-1))</f>
        <v/>
      </c>
      <c r="AZ32" s="149" t="str">
        <f>IF(OR($B32="",$B32=0),"",$I32*$C32*(1+'Property Summary'!$L$21)^('MF CapEx'!AZ$3-1))</f>
        <v/>
      </c>
      <c r="BA32" s="149" t="str">
        <f>IF(OR($B32="",$B32=0),"",$I32*$C32*(1+'Property Summary'!$L$21)^('MF CapEx'!BA$3-1))</f>
        <v/>
      </c>
      <c r="BB32" s="149" t="str">
        <f>IF(OR($B32="",$B32=0),"",$I32*$C32*(1+'Property Summary'!$L$21)^('MF CapEx'!BB$3-1))</f>
        <v/>
      </c>
      <c r="BC32" s="149" t="str">
        <f>IF(OR($B32="",$B32=0),"",$I32*$C32*(1+'Property Summary'!$L$21)^('MF CapEx'!BC$3-1))</f>
        <v/>
      </c>
      <c r="BD32" s="149" t="str">
        <f>IF(OR($B32="",$B32=0),"",$I32*$C32*(1+'Property Summary'!$L$21)^('MF CapEx'!BD$3-1))</f>
        <v/>
      </c>
      <c r="BE32" s="149" t="str">
        <f>IF(OR($B32="",$B32=0),"",$I32*$C32*(1+'Property Summary'!$L$21)^('MF CapEx'!BE$3-1))</f>
        <v/>
      </c>
      <c r="BF32" s="149" t="str">
        <f>IF(OR($B32="",$B32=0),"",$I32*$C32*(1+'Property Summary'!$L$21)^('MF CapEx'!BF$3-1))</f>
        <v/>
      </c>
      <c r="BG32" s="149" t="str">
        <f>IF(OR($B32="",$B32=0),"",$I32*$C32*(1+'Property Summary'!$L$21)^('MF CapEx'!BG$3-1))</f>
        <v/>
      </c>
      <c r="BH32" s="149" t="str">
        <f>IF(OR($B32="",$B32=0),"",$I32*$C32*(1+'Property Summary'!$L$21)^('MF CapEx'!BH$3-1))</f>
        <v/>
      </c>
      <c r="BI32" s="149" t="str">
        <f>IF(OR($B32="",$B32=0),"",$I32*$C32*(1+'Property Summary'!$L$21)^('MF CapEx'!BI$3-1))</f>
        <v/>
      </c>
      <c r="BJ32" s="149" t="str">
        <f>IF(OR($B32="",$B32=0),"",$I32*$C32*(1+'Property Summary'!$L$21)^('MF CapEx'!BJ$3-1))</f>
        <v/>
      </c>
      <c r="BK32" s="149" t="str">
        <f>IF(OR($B32="",$B32=0),"",$I32*$C32*(1+'Property Summary'!$L$21)^('MF CapEx'!BK$3-1))</f>
        <v/>
      </c>
      <c r="BL32" s="149" t="str">
        <f>IF(OR($B32="",$B32=0),"",$I32*$C32*(1+'Property Summary'!$L$21)^('MF CapEx'!BL$3-1))</f>
        <v/>
      </c>
      <c r="BM32" s="149" t="str">
        <f>IF(OR($B32="",$B32=0),"",$I32*$C32*(1+'Property Summary'!$L$21)^('MF CapEx'!BM$3-1))</f>
        <v/>
      </c>
      <c r="BN32" s="149" t="str">
        <f>IF(OR($B32="",$B32=0),"",$I32*$C32*(1+'Property Summary'!$L$21)^('MF CapEx'!BN$3-1))</f>
        <v/>
      </c>
      <c r="BO32" s="149" t="str">
        <f>IF(OR($B32="",$B32=0),"",$I32*$C32*(1+'Property Summary'!$L$21)^('MF CapEx'!BO$3-1))</f>
        <v/>
      </c>
      <c r="BP32" s="149" t="str">
        <f>IF(OR($B32="",$B32=0),"",$I32*$C32*(1+'Property Summary'!$L$21)^('MF CapEx'!BP$3-1))</f>
        <v/>
      </c>
      <c r="BQ32" s="149" t="str">
        <f>IF(OR($B32="",$B32=0),"",$I32*$C32*(1+'Property Summary'!$L$21)^('MF CapEx'!BQ$3-1))</f>
        <v/>
      </c>
      <c r="BR32" s="149" t="str">
        <f>IF(OR($B32="",$B32=0),"",$I32*$C32*(1+'Property Summary'!$L$21)^('MF CapEx'!BR$3-1))</f>
        <v/>
      </c>
      <c r="BS32" s="149" t="str">
        <f>IF(OR($B32="",$B32=0),"",$I32*$C32*(1+'Property Summary'!$L$21)^('MF CapEx'!BS$3-1))</f>
        <v/>
      </c>
      <c r="BT32" s="149" t="str">
        <f>IF(OR($B32="",$B32=0),"",$I32*$C32*(1+'Property Summary'!$L$21)^('MF CapEx'!BT$3-1))</f>
        <v/>
      </c>
      <c r="BU32" s="149" t="str">
        <f>IF(OR($B32="",$B32=0),"",$I32*$C32*(1+'Property Summary'!$L$21)^('MF CapEx'!BU$3-1))</f>
        <v/>
      </c>
      <c r="BV32" s="149" t="str">
        <f>IF(OR($B32="",$B32=0),"",$I32*$C32*(1+'Property Summary'!$L$21)^('MF CapEx'!BV$3-1))</f>
        <v/>
      </c>
      <c r="BW32" s="149" t="str">
        <f>IF(OR($B32="",$B32=0),"",$I32*$C32*(1+'Property Summary'!$L$21)^('MF CapEx'!BW$3-1))</f>
        <v/>
      </c>
      <c r="BX32" s="149" t="str">
        <f>IF(OR($B32="",$B32=0),"",$I32*$C32*(1+'Property Summary'!$L$21)^('MF CapEx'!BX$3-1))</f>
        <v/>
      </c>
      <c r="BY32" s="149" t="str">
        <f>IF(OR($B32="",$B32=0),"",$I32*$C32*(1+'Property Summary'!$L$21)^('MF CapEx'!BY$3-1))</f>
        <v/>
      </c>
      <c r="BZ32" s="149" t="str">
        <f>IF(OR($B32="",$B32=0),"",$I32*$C32*(1+'Property Summary'!$L$21)^('MF CapEx'!BZ$3-1))</f>
        <v/>
      </c>
      <c r="CA32" s="149" t="str">
        <f>IF(OR($B32="",$B32=0),"",$I32*$C32*(1+'Property Summary'!$L$21)^('MF CapEx'!CA$3-1))</f>
        <v/>
      </c>
      <c r="CB32" s="149" t="str">
        <f>IF(OR($B32="",$B32=0),"",$I32*$C32*(1+'Property Summary'!$L$21)^('MF CapEx'!CB$3-1))</f>
        <v/>
      </c>
      <c r="CC32" s="149" t="str">
        <f>IF(OR($B32="",$B32=0),"",$I32*$C32*(1+'Property Summary'!$L$21)^('MF CapEx'!CC$3-1))</f>
        <v/>
      </c>
      <c r="CD32" s="149" t="str">
        <f>IF(OR($B32="",$B32=0),"",$I32*$C32*(1+'Property Summary'!$L$21)^('MF CapEx'!CD$3-1))</f>
        <v/>
      </c>
      <c r="CE32" s="149" t="str">
        <f>IF(OR($B32="",$B32=0),"",$I32*$C32*(1+'Property Summary'!$L$21)^('MF CapEx'!CE$3-1))</f>
        <v/>
      </c>
      <c r="CF32" s="149" t="str">
        <f>IF(OR($B32="",$B32=0),"",$I32*$C32*(1+'Property Summary'!$L$21)^('MF CapEx'!CF$3-1))</f>
        <v/>
      </c>
      <c r="CG32" s="149" t="str">
        <f>IF(OR($B32="",$B32=0),"",$I32*$C32*(1+'Property Summary'!$L$21)^('MF CapEx'!CG$3-1))</f>
        <v/>
      </c>
      <c r="CH32" s="149" t="str">
        <f>IF(OR($B32="",$B32=0),"",$I32*$C32*(1+'Property Summary'!$L$21)^('MF CapEx'!CH$3-1))</f>
        <v/>
      </c>
      <c r="CI32" s="149" t="str">
        <f>IF(OR($B32="",$B32=0),"",$I32*$C32*(1+'Property Summary'!$L$21)^('MF CapEx'!CI$3-1))</f>
        <v/>
      </c>
      <c r="CJ32" s="149" t="str">
        <f>IF(OR($B32="",$B32=0),"",$I32*$C32*(1+'Property Summary'!$L$21)^('MF CapEx'!CJ$3-1))</f>
        <v/>
      </c>
      <c r="CK32" s="149" t="str">
        <f>IF(OR($B32="",$B32=0),"",$I32*$C32*(1+'Property Summary'!$L$21)^('MF CapEx'!CK$3-1))</f>
        <v/>
      </c>
      <c r="CL32" s="149" t="str">
        <f>IF(OR($B32="",$B32=0),"",$I32*$C32*(1+'Property Summary'!$L$21)^('MF CapEx'!CL$3-1))</f>
        <v/>
      </c>
      <c r="CM32" s="149" t="str">
        <f>IF(OR($B32="",$B32=0),"",$I32*$C32*(1+'Property Summary'!$L$21)^('MF CapEx'!CM$3-1))</f>
        <v/>
      </c>
      <c r="CN32" s="149" t="str">
        <f>IF(OR($B32="",$B32=0),"",$I32*$C32*(1+'Property Summary'!$L$21)^('MF CapEx'!CN$3-1))</f>
        <v/>
      </c>
      <c r="CO32" s="149" t="str">
        <f>IF(OR($B32="",$B32=0),"",$I32*$C32*(1+'Property Summary'!$L$21)^('MF CapEx'!CO$3-1))</f>
        <v/>
      </c>
      <c r="CP32" s="149" t="str">
        <f>IF(OR($B32="",$B32=0),"",$I32*$C32*(1+'Property Summary'!$L$21)^('MF CapEx'!CP$3-1))</f>
        <v/>
      </c>
      <c r="CQ32" s="149" t="str">
        <f>IF(OR($B32="",$B32=0),"",$I32*$C32*(1+'Property Summary'!$L$21)^('MF CapEx'!CQ$3-1))</f>
        <v/>
      </c>
      <c r="CR32" s="149" t="str">
        <f>IF(OR($B32="",$B32=0),"",$I32*$C32*(1+'Property Summary'!$L$21)^('MF CapEx'!CR$3-1))</f>
        <v/>
      </c>
      <c r="CS32" s="149" t="str">
        <f>IF(OR($B32="",$B32=0),"",$I32*$C32*(1+'Property Summary'!$L$21)^('MF CapEx'!CS$3-1))</f>
        <v/>
      </c>
      <c r="CT32" s="149" t="str">
        <f>IF(OR($B32="",$B32=0),"",$I32*$C32*(1+'Property Summary'!$L$21)^('MF CapEx'!CT$3-1))</f>
        <v/>
      </c>
      <c r="CU32" s="149" t="str">
        <f>IF(OR($B32="",$B32=0),"",$I32*$C32*(1+'Property Summary'!$L$21)^('MF CapEx'!CU$3-1))</f>
        <v/>
      </c>
      <c r="CV32" s="149" t="str">
        <f>IF(OR($B32="",$B32=0),"",$I32*$C32*(1+'Property Summary'!$L$21)^('MF CapEx'!CV$3-1))</f>
        <v/>
      </c>
      <c r="CW32" s="149" t="str">
        <f>IF(OR($B32="",$B32=0),"",$I32*$C32*(1+'Property Summary'!$L$21)^('MF CapEx'!CW$3-1))</f>
        <v/>
      </c>
      <c r="CX32" s="149" t="str">
        <f>IF(OR($B32="",$B32=0),"",$I32*$C32*(1+'Property Summary'!$L$21)^('MF CapEx'!CX$3-1))</f>
        <v/>
      </c>
      <c r="CY32" s="149" t="str">
        <f>IF(OR($B32="",$B32=0),"",$I32*$C32*(1+'Property Summary'!$L$21)^('MF CapEx'!CY$3-1))</f>
        <v/>
      </c>
      <c r="CZ32" s="149" t="str">
        <f>IF(OR($B32="",$B32=0),"",$I32*$C32*(1+'Property Summary'!$L$21)^('MF CapEx'!CZ$3-1))</f>
        <v/>
      </c>
      <c r="DA32" s="149" t="str">
        <f>IF(OR($B32="",$B32=0),"",$I32*$C32*(1+'Property Summary'!$L$21)^('MF CapEx'!DA$3-1))</f>
        <v/>
      </c>
      <c r="DB32" s="149" t="str">
        <f>IF(OR($B32="",$B32=0),"",$I32*$C32*(1+'Property Summary'!$L$21)^('MF CapEx'!DB$3-1))</f>
        <v/>
      </c>
      <c r="DC32" s="149" t="str">
        <f>IF(OR($B32="",$B32=0),"",$I32*$C32*(1+'Property Summary'!$L$21)^('MF CapEx'!DC$3-1))</f>
        <v/>
      </c>
      <c r="DD32" s="149" t="str">
        <f>IF(OR($B32="",$B32=0),"",$I32*$C32*(1+'Property Summary'!$L$21)^('MF CapEx'!DD$3-1))</f>
        <v/>
      </c>
      <c r="DE32" s="149" t="str">
        <f>IF(OR($B32="",$B32=0),"",$I32*$C32*(1+'Property Summary'!$L$21)^('MF CapEx'!DE$3-1))</f>
        <v/>
      </c>
      <c r="DF32" s="149" t="str">
        <f>IF(OR($B32="",$B32=0),"",$I32*$C32*(1+'Property Summary'!$L$21)^('MF CapEx'!DF$3-1))</f>
        <v/>
      </c>
      <c r="DG32" s="149" t="str">
        <f>IF(OR($B32="",$B32=0),"",$I32*$C32*(1+'Property Summary'!$L$21)^('MF CapEx'!DG$3-1))</f>
        <v/>
      </c>
      <c r="DH32" s="149" t="str">
        <f>IF(OR($B32="",$B32=0),"",$I32*$C32*(1+'Property Summary'!$L$21)^('MF CapEx'!DH$3-1))</f>
        <v/>
      </c>
      <c r="DI32" s="149" t="str">
        <f>IF(OR($B32="",$B32=0),"",$I32*$C32*(1+'Property Summary'!$L$21)^('MF CapEx'!DI$3-1))</f>
        <v/>
      </c>
      <c r="DJ32" s="149" t="str">
        <f>IF(OR($B32="",$B32=0),"",$I32*$C32*(1+'Property Summary'!$L$21)^('MF CapEx'!DJ$3-1))</f>
        <v/>
      </c>
      <c r="DK32" s="149" t="str">
        <f>IF(OR($B32="",$B32=0),"",$I32*$C32*(1+'Property Summary'!$L$21)^('MF CapEx'!DK$3-1))</f>
        <v/>
      </c>
      <c r="DL32" s="149" t="str">
        <f>IF(OR($B32="",$B32=0),"",$I32*$C32*(1+'Property Summary'!$L$21)^('MF CapEx'!DL$3-1))</f>
        <v/>
      </c>
      <c r="DM32" s="149" t="str">
        <f>IF(OR($B32="",$B32=0),"",$I32*$C32*(1+'Property Summary'!$L$21)^('MF CapEx'!DM$3-1))</f>
        <v/>
      </c>
      <c r="DN32" s="149" t="str">
        <f>IF(OR($B32="",$B32=0),"",$I32*$C32*(1+'Property Summary'!$L$21)^('MF CapEx'!DN$3-1))</f>
        <v/>
      </c>
      <c r="DO32" s="149" t="str">
        <f>IF(OR($B32="",$B32=0),"",$I32*$C32*(1+'Property Summary'!$L$21)^('MF CapEx'!DO$3-1))</f>
        <v/>
      </c>
      <c r="DP32" s="149" t="str">
        <f>IF(OR($B32="",$B32=0),"",$I32*$C32*(1+'Property Summary'!$L$21)^('MF CapEx'!DP$3-1))</f>
        <v/>
      </c>
      <c r="DQ32" s="149" t="str">
        <f>IF(OR($B32="",$B32=0),"",$I32*$C32*(1+'Property Summary'!$L$21)^('MF CapEx'!DQ$3-1))</f>
        <v/>
      </c>
      <c r="DR32" s="149" t="str">
        <f>IF(OR($B32="",$B32=0),"",$I32*$C32*(1+'Property Summary'!$L$21)^('MF CapEx'!DR$3-1))</f>
        <v/>
      </c>
      <c r="DS32" s="149" t="str">
        <f>IF(OR($B32="",$B32=0),"",$I32*$C32*(1+'Property Summary'!$L$21)^('MF CapEx'!DS$3-1))</f>
        <v/>
      </c>
      <c r="DT32" s="149" t="str">
        <f>IF(OR($B32="",$B32=0),"",$I32*$C32*(1+'Property Summary'!$L$21)^('MF CapEx'!DT$3-1))</f>
        <v/>
      </c>
      <c r="DU32" s="149" t="str">
        <f>IF(OR($B32="",$B32=0),"",$I32*$C32*(1+'Property Summary'!$L$21)^('MF CapEx'!DU$3-1))</f>
        <v/>
      </c>
      <c r="DV32" s="149" t="str">
        <f>IF(OR($B32="",$B32=0),"",$I32*$C32*(1+'Property Summary'!$L$21)^('MF CapEx'!DV$3-1))</f>
        <v/>
      </c>
      <c r="DW32" s="149" t="str">
        <f>IF(OR($B32="",$B32=0),"",$I32*$C32*(1+'Property Summary'!$L$21)^('MF CapEx'!DW$3-1))</f>
        <v/>
      </c>
      <c r="DX32" s="149" t="str">
        <f>IF(OR($B32="",$B32=0),"",$I32*$C32*(1+'Property Summary'!$L$21)^('MF CapEx'!DX$3-1))</f>
        <v/>
      </c>
      <c r="DY32" s="149" t="str">
        <f>IF(OR($B32="",$B32=0),"",$I32*$C32*(1+'Property Summary'!$L$21)^('MF CapEx'!DY$3-1))</f>
        <v/>
      </c>
      <c r="DZ32" s="149" t="str">
        <f>IF(OR($B32="",$B32=0),"",$I32*$C32*(1+'Property Summary'!$L$21)^('MF CapEx'!DZ$3-1))</f>
        <v/>
      </c>
      <c r="EA32" s="149" t="str">
        <f>IF(OR($B32="",$B32=0),"",$I32*$C32*(1+'Property Summary'!$L$21)^('MF CapEx'!EA$3-1))</f>
        <v/>
      </c>
      <c r="EB32" s="149" t="str">
        <f>IF(OR($B32="",$B32=0),"",$I32*$C32*(1+'Property Summary'!$L$21)^('MF CapEx'!EB$3-1))</f>
        <v/>
      </c>
      <c r="EC32" s="149" t="str">
        <f>IF(OR($B32="",$B32=0),"",$I32*$C32*(1+'Property Summary'!$L$21)^('MF CapEx'!EC$3-1))</f>
        <v/>
      </c>
      <c r="ED32" s="149" t="str">
        <f>IF(OR($B32="",$B32=0),"",$I32*$C32*(1+'Property Summary'!$L$21)^('MF CapEx'!ED$3-1))</f>
        <v/>
      </c>
      <c r="EE32" s="149" t="str">
        <f>IF(OR($B32="",$B32=0),"",$I32*$C32*(1+'Property Summary'!$L$21)^('MF CapEx'!EE$3-1))</f>
        <v/>
      </c>
      <c r="EF32" s="149" t="str">
        <f>IF(OR($B32="",$B32=0),"",$I32*$C32*(1+'Property Summary'!$L$21)^('MF CapEx'!EF$3-1))</f>
        <v/>
      </c>
      <c r="EG32" s="149" t="str">
        <f>IF(OR($B32="",$B32=0),"",$I32*$C32*(1+'Property Summary'!$L$21)^('MF CapEx'!EG$3-1))</f>
        <v/>
      </c>
      <c r="EH32" s="149" t="str">
        <f>IF(OR($B32="",$B32=0),"",$I32*$C32*(1+'Property Summary'!$L$21)^('MF CapEx'!EH$3-1))</f>
        <v/>
      </c>
      <c r="EI32" s="149" t="str">
        <f>IF(OR($B32="",$B32=0),"",$I32*$C32*(1+'Property Summary'!$L$21)^('MF CapEx'!EI$3-1))</f>
        <v/>
      </c>
      <c r="EJ32" s="149" t="str">
        <f>IF(OR($B32="",$B32=0),"",$I32*$C32*(1+'Property Summary'!$L$21)^('MF CapEx'!EJ$3-1))</f>
        <v/>
      </c>
      <c r="EK32" s="149" t="str">
        <f>IF(OR($B32="",$B32=0),"",$I32*$C32*(1+'Property Summary'!$L$21)^('MF CapEx'!EK$3-1))</f>
        <v/>
      </c>
      <c r="EL32" s="149" t="str">
        <f>IF(OR($B32="",$B32=0),"",$I32*$C32*(1+'Property Summary'!$L$21)^('MF CapEx'!EL$3-1))</f>
        <v/>
      </c>
      <c r="EM32" s="149" t="str">
        <f>IF(OR($B32="",$B32=0),"",$I32*$C32*(1+'Property Summary'!$L$21)^('MF CapEx'!EM$3-1))</f>
        <v/>
      </c>
      <c r="EN32" s="149" t="str">
        <f>IF(OR($B32="",$B32=0),"",$I32*$C32*(1+'Property Summary'!$L$21)^('MF CapEx'!EN$3-1))</f>
        <v/>
      </c>
      <c r="EO32" s="149" t="str">
        <f>IF(OR($B32="",$B32=0),"",$I32*$C32*(1+'Property Summary'!$L$21)^('MF CapEx'!EO$3-1))</f>
        <v/>
      </c>
      <c r="EP32" s="149" t="str">
        <f>IF(OR($B32="",$B32=0),"",$I32*$C32*(1+'Property Summary'!$L$21)^('MF CapEx'!EP$3-1))</f>
        <v/>
      </c>
      <c r="EQ32" s="149" t="str">
        <f>IF(OR($B32="",$B32=0),"",$I32*$C32*(1+'Property Summary'!$L$21)^('MF CapEx'!EQ$3-1))</f>
        <v/>
      </c>
      <c r="ER32" s="149" t="str">
        <f>IF(OR($B32="",$B32=0),"",$I32*$C32*(1+'Property Summary'!$L$21)^('MF CapEx'!ER$3-1))</f>
        <v/>
      </c>
      <c r="ES32" s="149" t="str">
        <f>IF(OR($B32="",$B32=0),"",$I32*$C32*(1+'Property Summary'!$L$21)^('MF CapEx'!ES$3-1))</f>
        <v/>
      </c>
      <c r="ET32" s="149" t="str">
        <f>IF(OR($B32="",$B32=0),"",$I32*$C32*(1+'Property Summary'!$L$21)^('MF CapEx'!ET$3-1))</f>
        <v/>
      </c>
      <c r="EU32" s="149" t="str">
        <f>IF(OR($B32="",$B32=0),"",$I32*$C32*(1+'Property Summary'!$L$21)^('MF CapEx'!EU$3-1))</f>
        <v/>
      </c>
      <c r="EV32" s="149" t="str">
        <f>IF(OR($B32="",$B32=0),"",$I32*$C32*(1+'Property Summary'!$L$21)^('MF CapEx'!EV$3-1))</f>
        <v/>
      </c>
      <c r="EW32" s="149" t="str">
        <f>IF(OR($B32="",$B32=0),"",$I32*$C32*(1+'Property Summary'!$L$21)^('MF CapEx'!EW$3-1))</f>
        <v/>
      </c>
      <c r="EX32" s="149" t="str">
        <f>IF(OR($B32="",$B32=0),"",$I32*$C32*(1+'Property Summary'!$L$21)^('MF CapEx'!EX$3-1))</f>
        <v/>
      </c>
      <c r="EY32" s="149" t="str">
        <f>IF(OR($B32="",$B32=0),"",$I32*$C32*(1+'Property Summary'!$L$21)^('MF CapEx'!EY$3-1))</f>
        <v/>
      </c>
      <c r="EZ32" s="149" t="str">
        <f>IF(OR($B32="",$B32=0),"",$I32*$C32*(1+'Property Summary'!$L$21)^('MF CapEx'!EZ$3-1))</f>
        <v/>
      </c>
      <c r="FA32" s="149" t="str">
        <f>IF(OR($B32="",$B32=0),"",$I32*$C32*(1+'Property Summary'!$L$21)^('MF CapEx'!FA$3-1))</f>
        <v/>
      </c>
      <c r="FB32" s="149" t="str">
        <f>IF(OR($B32="",$B32=0),"",$I32*$C32*(1+'Property Summary'!$L$21)^('MF CapEx'!FB$3-1))</f>
        <v/>
      </c>
      <c r="FC32" s="149" t="str">
        <f>IF(OR($B32="",$B32=0),"",$I32*$C32*(1+'Property Summary'!$L$21)^('MF CapEx'!FC$3-1))</f>
        <v/>
      </c>
      <c r="FD32" s="149" t="str">
        <f>IF(OR($B32="",$B32=0),"",$I32*$C32*(1+'Property Summary'!$L$21)^('MF CapEx'!FD$3-1))</f>
        <v/>
      </c>
      <c r="FE32" s="149" t="str">
        <f>IF(OR($B32="",$B32=0),"",$I32*$C32*(1+'Property Summary'!$L$21)^('MF CapEx'!FE$3-1))</f>
        <v/>
      </c>
      <c r="FF32" s="149" t="str">
        <f>IF(OR($B32="",$B32=0),"",$I32*$C32*(1+'Property Summary'!$L$21)^('MF CapEx'!FF$3-1))</f>
        <v/>
      </c>
      <c r="FG32" s="149" t="str">
        <f>IF(OR($B32="",$B32=0),"",$I32*$C32*(1+'Property Summary'!$L$21)^('MF CapEx'!FG$3-1))</f>
        <v/>
      </c>
      <c r="FH32" s="149" t="str">
        <f>IF(OR($B32="",$B32=0),"",$I32*$C32*(1+'Property Summary'!$L$21)^('MF CapEx'!FH$3-1))</f>
        <v/>
      </c>
      <c r="FI32" s="149" t="str">
        <f>IF(OR($B32="",$B32=0),"",$I32*$C32*(1+'Property Summary'!$L$21)^('MF CapEx'!FI$3-1))</f>
        <v/>
      </c>
      <c r="FJ32" s="149" t="str">
        <f>IF(OR($B32="",$B32=0),"",$I32*$C32*(1+'Property Summary'!$L$21)^('MF CapEx'!FJ$3-1))</f>
        <v/>
      </c>
      <c r="FK32" s="149" t="str">
        <f>IF(OR($B32="",$B32=0),"",$I32*$C32*(1+'Property Summary'!$L$21)^('MF CapEx'!FK$3-1))</f>
        <v/>
      </c>
      <c r="FL32" s="149" t="str">
        <f>IF(OR($B32="",$B32=0),"",$I32*$C32*(1+'Property Summary'!$L$21)^('MF CapEx'!FL$3-1))</f>
        <v/>
      </c>
      <c r="FM32" s="149" t="str">
        <f>IF(OR($B32="",$B32=0),"",$I32*$C32*(1+'Property Summary'!$L$21)^('MF CapEx'!FM$3-1))</f>
        <v/>
      </c>
      <c r="FN32" s="149" t="str">
        <f>IF(OR($B32="",$B32=0),"",$I32*$C32*(1+'Property Summary'!$L$21)^('MF CapEx'!FN$3-1))</f>
        <v/>
      </c>
      <c r="FO32" s="149" t="str">
        <f>IF(OR($B32="",$B32=0),"",$I32*$C32*(1+'Property Summary'!$L$21)^('MF CapEx'!FO$3-1))</f>
        <v/>
      </c>
      <c r="FP32" s="149" t="str">
        <f>IF(OR($B32="",$B32=0),"",$I32*$C32*(1+'Property Summary'!$L$21)^('MF CapEx'!FP$3-1))</f>
        <v/>
      </c>
      <c r="FQ32" s="149" t="str">
        <f>IF(OR($B32="",$B32=0),"",$I32*$C32*(1+'Property Summary'!$L$21)^('MF CapEx'!FQ$3-1))</f>
        <v/>
      </c>
      <c r="FR32" s="149" t="str">
        <f>IF(OR($B32="",$B32=0),"",$I32*$C32*(1+'Property Summary'!$L$21)^('MF CapEx'!FR$3-1))</f>
        <v/>
      </c>
      <c r="FS32" s="149" t="str">
        <f>IF(OR($B32="",$B32=0),"",$I32*$C32*(1+'Property Summary'!$L$21)^('MF CapEx'!FS$3-1))</f>
        <v/>
      </c>
      <c r="FT32" s="149" t="str">
        <f>IF(OR($B32="",$B32=0),"",$I32*$C32*(1+'Property Summary'!$L$21)^('MF CapEx'!FT$3-1))</f>
        <v/>
      </c>
      <c r="FU32" s="149" t="str">
        <f>IF(OR($B32="",$B32=0),"",$I32*$C32*(1+'Property Summary'!$L$21)^('MF CapEx'!FU$3-1))</f>
        <v/>
      </c>
      <c r="FV32" s="149" t="str">
        <f>IF(OR($B32="",$B32=0),"",$I32*$C32*(1+'Property Summary'!$L$21)^('MF CapEx'!FV$3-1))</f>
        <v/>
      </c>
      <c r="FW32" s="149" t="str">
        <f>IF(OR($B32="",$B32=0),"",$I32*$C32*(1+'Property Summary'!$L$21)^('MF CapEx'!FW$3-1))</f>
        <v/>
      </c>
      <c r="FX32" s="149" t="str">
        <f>IF(OR($B32="",$B32=0),"",$I32*$C32*(1+'Property Summary'!$L$21)^('MF CapEx'!FX$3-1))</f>
        <v/>
      </c>
      <c r="FY32" s="149" t="str">
        <f>IF(OR($B32="",$B32=0),"",$I32*$C32*(1+'Property Summary'!$L$21)^('MF CapEx'!FY$3-1))</f>
        <v/>
      </c>
      <c r="FZ32" s="149" t="str">
        <f>IF(OR($B32="",$B32=0),"",$I32*$C32*(1+'Property Summary'!$L$21)^('MF CapEx'!FZ$3-1))</f>
        <v/>
      </c>
      <c r="GA32" s="149" t="str">
        <f>IF(OR($B32="",$B32=0),"",$I32*$C32*(1+'Property Summary'!$L$21)^('MF CapEx'!GA$3-1))</f>
        <v/>
      </c>
      <c r="GB32" s="149" t="str">
        <f>IF(OR($B32="",$B32=0),"",$I32*$C32*(1+'Property Summary'!$L$21)^('MF CapEx'!GB$3-1))</f>
        <v/>
      </c>
      <c r="GC32" s="149" t="str">
        <f>IF(OR($B32="",$B32=0),"",$I32*$C32*(1+'Property Summary'!$L$21)^('MF CapEx'!GC$3-1))</f>
        <v/>
      </c>
      <c r="GD32" s="149" t="str">
        <f>IF(OR($B32="",$B32=0),"",$I32*$C32*(1+'Property Summary'!$L$21)^('MF CapEx'!GD$3-1))</f>
        <v/>
      </c>
      <c r="GE32" s="149" t="str">
        <f>IF(OR($B32="",$B32=0),"",$I32*$C32*(1+'Property Summary'!$L$21)^('MF CapEx'!GE$3-1))</f>
        <v/>
      </c>
      <c r="GF32" s="149" t="str">
        <f>IF(OR($B32="",$B32=0),"",$I32*$C32*(1+'Property Summary'!$L$21)^('MF CapEx'!GF$3-1))</f>
        <v/>
      </c>
      <c r="GG32" s="149" t="str">
        <f>IF(OR($B32="",$B32=0),"",$I32*$C32*(1+'Property Summary'!$L$21)^('MF CapEx'!GG$3-1))</f>
        <v/>
      </c>
      <c r="GH32" s="149" t="str">
        <f>IF(OR($B32="",$B32=0),"",$I32*$C32*(1+'Property Summary'!$L$21)^('MF CapEx'!GH$3-1))</f>
        <v/>
      </c>
      <c r="GI32" s="149" t="str">
        <f>IF(OR($B32="",$B32=0),"",$I32*$C32*(1+'Property Summary'!$L$21)^('MF CapEx'!GI$3-1))</f>
        <v/>
      </c>
      <c r="GJ32" s="149" t="str">
        <f>IF(OR($B32="",$B32=0),"",$I32*$C32*(1+'Property Summary'!$L$21)^('MF CapEx'!GJ$3-1))</f>
        <v/>
      </c>
      <c r="GK32" s="149" t="str">
        <f>IF(OR($B32="",$B32=0),"",$I32*$C32*(1+'Property Summary'!$L$21)^('MF CapEx'!GK$3-1))</f>
        <v/>
      </c>
      <c r="GL32" s="149" t="str">
        <f>IF(OR($B32="",$B32=0),"",$I32*$C32*(1+'Property Summary'!$L$21)^('MF CapEx'!GL$3-1))</f>
        <v/>
      </c>
      <c r="GM32" s="149" t="str">
        <f>IF(OR($B32="",$B32=0),"",$I32*$C32*(1+'Property Summary'!$L$21)^('MF CapEx'!GM$3-1))</f>
        <v/>
      </c>
      <c r="GN32" s="149" t="str">
        <f>IF(OR($B32="",$B32=0),"",$I32*$C32*(1+'Property Summary'!$L$21)^('MF CapEx'!GN$3-1))</f>
        <v/>
      </c>
      <c r="GO32" s="149" t="str">
        <f>IF(OR($B32="",$B32=0),"",$I32*$C32*(1+'Property Summary'!$L$21)^('MF CapEx'!GO$3-1))</f>
        <v/>
      </c>
      <c r="GP32" s="149" t="str">
        <f>IF(OR($B32="",$B32=0),"",$I32*$C32*(1+'Property Summary'!$L$21)^('MF CapEx'!GP$3-1))</f>
        <v/>
      </c>
    </row>
    <row r="33" spans="2:198" x14ac:dyDescent="0.3">
      <c r="B33" s="184">
        <f>'MF Rent Roll'!B32</f>
        <v>0</v>
      </c>
      <c r="C33" s="171">
        <f>'MF Rent Roll'!C32</f>
        <v>0</v>
      </c>
      <c r="D33" s="172">
        <f>'MF Rent Roll'!D32</f>
        <v>0</v>
      </c>
      <c r="E33" s="172">
        <f>'MF Rent Roll'!E32</f>
        <v>0</v>
      </c>
      <c r="F33" s="173">
        <f>'MF Rent Roll'!F32</f>
        <v>0</v>
      </c>
      <c r="G33" s="174">
        <f>'MF Rent Roll'!G32</f>
        <v>0</v>
      </c>
      <c r="H33" s="176">
        <f>'MF Rent Roll'!J32</f>
        <v>0</v>
      </c>
      <c r="I33" s="174">
        <f>'MF Rent Roll'!K32</f>
        <v>0</v>
      </c>
      <c r="J33" s="177">
        <f>'MF Rent Roll'!L32</f>
        <v>0</v>
      </c>
      <c r="K33" s="178">
        <f>'MF Rent Roll'!M32</f>
        <v>0</v>
      </c>
      <c r="L33" s="174">
        <f>'MF Rent Roll'!N32</f>
        <v>0</v>
      </c>
      <c r="M33" s="179">
        <f>'MF Rent Roll'!O32</f>
        <v>0</v>
      </c>
      <c r="N33" s="180" t="str">
        <f>'MF Rent Roll'!P32</f>
        <v/>
      </c>
      <c r="O33" s="181" t="str">
        <f>'MF Rent Roll'!Q32</f>
        <v/>
      </c>
      <c r="P33" s="104" t="str">
        <f>'MF Rent Roll'!R32</f>
        <v/>
      </c>
      <c r="S33" s="149" t="str">
        <f>IF(OR($B33="",$B33=0),"",$I33*$C33*(1+'Property Summary'!$L$21)^('MF CapEx'!S$3-1))</f>
        <v/>
      </c>
      <c r="T33" s="149" t="str">
        <f>IF(OR($B33="",$B33=0),"",$I33*$C33*(1+'Property Summary'!$L$21)^('MF CapEx'!T$3-1))</f>
        <v/>
      </c>
      <c r="U33" s="149" t="str">
        <f>IF(OR($B33="",$B33=0),"",$I33*$C33*(1+'Property Summary'!$L$21)^('MF CapEx'!U$3-1))</f>
        <v/>
      </c>
      <c r="V33" s="149" t="str">
        <f>IF(OR($B33="",$B33=0),"",$I33*$C33*(1+'Property Summary'!$L$21)^('MF CapEx'!V$3-1))</f>
        <v/>
      </c>
      <c r="W33" s="149" t="str">
        <f>IF(OR($B33="",$B33=0),"",$I33*$C33*(1+'Property Summary'!$L$21)^('MF CapEx'!W$3-1))</f>
        <v/>
      </c>
      <c r="X33" s="149" t="str">
        <f>IF(OR($B33="",$B33=0),"",$I33*$C33*(1+'Property Summary'!$L$21)^('MF CapEx'!X$3-1))</f>
        <v/>
      </c>
      <c r="Y33" s="149" t="str">
        <f>IF(OR($B33="",$B33=0),"",$I33*$C33*(1+'Property Summary'!$L$21)^('MF CapEx'!Y$3-1))</f>
        <v/>
      </c>
      <c r="Z33" s="149" t="str">
        <f>IF(OR($B33="",$B33=0),"",$I33*$C33*(1+'Property Summary'!$L$21)^('MF CapEx'!Z$3-1))</f>
        <v/>
      </c>
      <c r="AA33" s="149" t="str">
        <f>IF(OR($B33="",$B33=0),"",$I33*$C33*(1+'Property Summary'!$L$21)^('MF CapEx'!AA$3-1))</f>
        <v/>
      </c>
      <c r="AB33" s="149" t="str">
        <f>IF(OR($B33="",$B33=0),"",$I33*$C33*(1+'Property Summary'!$L$21)^('MF CapEx'!AB$3-1))</f>
        <v/>
      </c>
      <c r="AC33" s="149" t="str">
        <f>IF(OR($B33="",$B33=0),"",$I33*$C33*(1+'Property Summary'!$L$21)^('MF CapEx'!AC$3-1))</f>
        <v/>
      </c>
      <c r="AD33" s="149" t="str">
        <f>IF(OR($B33="",$B33=0),"",$I33*$C33*(1+'Property Summary'!$L$21)^('MF CapEx'!AD$3-1))</f>
        <v/>
      </c>
      <c r="AE33" s="149" t="str">
        <f>IF(OR($B33="",$B33=0),"",$I33*$C33*(1+'Property Summary'!$L$21)^('MF CapEx'!AE$3-1))</f>
        <v/>
      </c>
      <c r="AF33" s="149" t="str">
        <f>IF(OR($B33="",$B33=0),"",$I33*$C33*(1+'Property Summary'!$L$21)^('MF CapEx'!AF$3-1))</f>
        <v/>
      </c>
      <c r="AG33" s="149" t="str">
        <f>IF(OR($B33="",$B33=0),"",$I33*$C33*(1+'Property Summary'!$L$21)^('MF CapEx'!AG$3-1))</f>
        <v/>
      </c>
      <c r="AH33" s="149" t="str">
        <f>IF(OR($B33="",$B33=0),"",$I33*$C33*(1+'Property Summary'!$L$21)^('MF CapEx'!AH$3-1))</f>
        <v/>
      </c>
      <c r="AI33" s="149" t="str">
        <f>IF(OR($B33="",$B33=0),"",$I33*$C33*(1+'Property Summary'!$L$21)^('MF CapEx'!AI$3-1))</f>
        <v/>
      </c>
      <c r="AJ33" s="149" t="str">
        <f>IF(OR($B33="",$B33=0),"",$I33*$C33*(1+'Property Summary'!$L$21)^('MF CapEx'!AJ$3-1))</f>
        <v/>
      </c>
      <c r="AK33" s="149" t="str">
        <f>IF(OR($B33="",$B33=0),"",$I33*$C33*(1+'Property Summary'!$L$21)^('MF CapEx'!AK$3-1))</f>
        <v/>
      </c>
      <c r="AL33" s="149" t="str">
        <f>IF(OR($B33="",$B33=0),"",$I33*$C33*(1+'Property Summary'!$L$21)^('MF CapEx'!AL$3-1))</f>
        <v/>
      </c>
      <c r="AM33" s="149" t="str">
        <f>IF(OR($B33="",$B33=0),"",$I33*$C33*(1+'Property Summary'!$L$21)^('MF CapEx'!AM$3-1))</f>
        <v/>
      </c>
      <c r="AN33" s="149" t="str">
        <f>IF(OR($B33="",$B33=0),"",$I33*$C33*(1+'Property Summary'!$L$21)^('MF CapEx'!AN$3-1))</f>
        <v/>
      </c>
      <c r="AO33" s="149" t="str">
        <f>IF(OR($B33="",$B33=0),"",$I33*$C33*(1+'Property Summary'!$L$21)^('MF CapEx'!AO$3-1))</f>
        <v/>
      </c>
      <c r="AP33" s="149" t="str">
        <f>IF(OR($B33="",$B33=0),"",$I33*$C33*(1+'Property Summary'!$L$21)^('MF CapEx'!AP$3-1))</f>
        <v/>
      </c>
      <c r="AQ33" s="149" t="str">
        <f>IF(OR($B33="",$B33=0),"",$I33*$C33*(1+'Property Summary'!$L$21)^('MF CapEx'!AQ$3-1))</f>
        <v/>
      </c>
      <c r="AR33" s="149" t="str">
        <f>IF(OR($B33="",$B33=0),"",$I33*$C33*(1+'Property Summary'!$L$21)^('MF CapEx'!AR$3-1))</f>
        <v/>
      </c>
      <c r="AS33" s="149" t="str">
        <f>IF(OR($B33="",$B33=0),"",$I33*$C33*(1+'Property Summary'!$L$21)^('MF CapEx'!AS$3-1))</f>
        <v/>
      </c>
      <c r="AT33" s="149" t="str">
        <f>IF(OR($B33="",$B33=0),"",$I33*$C33*(1+'Property Summary'!$L$21)^('MF CapEx'!AT$3-1))</f>
        <v/>
      </c>
      <c r="AU33" s="149" t="str">
        <f>IF(OR($B33="",$B33=0),"",$I33*$C33*(1+'Property Summary'!$L$21)^('MF CapEx'!AU$3-1))</f>
        <v/>
      </c>
      <c r="AV33" s="149" t="str">
        <f>IF(OR($B33="",$B33=0),"",$I33*$C33*(1+'Property Summary'!$L$21)^('MF CapEx'!AV$3-1))</f>
        <v/>
      </c>
      <c r="AW33" s="149" t="str">
        <f>IF(OR($B33="",$B33=0),"",$I33*$C33*(1+'Property Summary'!$L$21)^('MF CapEx'!AW$3-1))</f>
        <v/>
      </c>
      <c r="AX33" s="149" t="str">
        <f>IF(OR($B33="",$B33=0),"",$I33*$C33*(1+'Property Summary'!$L$21)^('MF CapEx'!AX$3-1))</f>
        <v/>
      </c>
      <c r="AY33" s="149" t="str">
        <f>IF(OR($B33="",$B33=0),"",$I33*$C33*(1+'Property Summary'!$L$21)^('MF CapEx'!AY$3-1))</f>
        <v/>
      </c>
      <c r="AZ33" s="149" t="str">
        <f>IF(OR($B33="",$B33=0),"",$I33*$C33*(1+'Property Summary'!$L$21)^('MF CapEx'!AZ$3-1))</f>
        <v/>
      </c>
      <c r="BA33" s="149" t="str">
        <f>IF(OR($B33="",$B33=0),"",$I33*$C33*(1+'Property Summary'!$L$21)^('MF CapEx'!BA$3-1))</f>
        <v/>
      </c>
      <c r="BB33" s="149" t="str">
        <f>IF(OR($B33="",$B33=0),"",$I33*$C33*(1+'Property Summary'!$L$21)^('MF CapEx'!BB$3-1))</f>
        <v/>
      </c>
      <c r="BC33" s="149" t="str">
        <f>IF(OR($B33="",$B33=0),"",$I33*$C33*(1+'Property Summary'!$L$21)^('MF CapEx'!BC$3-1))</f>
        <v/>
      </c>
      <c r="BD33" s="149" t="str">
        <f>IF(OR($B33="",$B33=0),"",$I33*$C33*(1+'Property Summary'!$L$21)^('MF CapEx'!BD$3-1))</f>
        <v/>
      </c>
      <c r="BE33" s="149" t="str">
        <f>IF(OR($B33="",$B33=0),"",$I33*$C33*(1+'Property Summary'!$L$21)^('MF CapEx'!BE$3-1))</f>
        <v/>
      </c>
      <c r="BF33" s="149" t="str">
        <f>IF(OR($B33="",$B33=0),"",$I33*$C33*(1+'Property Summary'!$L$21)^('MF CapEx'!BF$3-1))</f>
        <v/>
      </c>
      <c r="BG33" s="149" t="str">
        <f>IF(OR($B33="",$B33=0),"",$I33*$C33*(1+'Property Summary'!$L$21)^('MF CapEx'!BG$3-1))</f>
        <v/>
      </c>
      <c r="BH33" s="149" t="str">
        <f>IF(OR($B33="",$B33=0),"",$I33*$C33*(1+'Property Summary'!$L$21)^('MF CapEx'!BH$3-1))</f>
        <v/>
      </c>
      <c r="BI33" s="149" t="str">
        <f>IF(OR($B33="",$B33=0),"",$I33*$C33*(1+'Property Summary'!$L$21)^('MF CapEx'!BI$3-1))</f>
        <v/>
      </c>
      <c r="BJ33" s="149" t="str">
        <f>IF(OR($B33="",$B33=0),"",$I33*$C33*(1+'Property Summary'!$L$21)^('MF CapEx'!BJ$3-1))</f>
        <v/>
      </c>
      <c r="BK33" s="149" t="str">
        <f>IF(OR($B33="",$B33=0),"",$I33*$C33*(1+'Property Summary'!$L$21)^('MF CapEx'!BK$3-1))</f>
        <v/>
      </c>
      <c r="BL33" s="149" t="str">
        <f>IF(OR($B33="",$B33=0),"",$I33*$C33*(1+'Property Summary'!$L$21)^('MF CapEx'!BL$3-1))</f>
        <v/>
      </c>
      <c r="BM33" s="149" t="str">
        <f>IF(OR($B33="",$B33=0),"",$I33*$C33*(1+'Property Summary'!$L$21)^('MF CapEx'!BM$3-1))</f>
        <v/>
      </c>
      <c r="BN33" s="149" t="str">
        <f>IF(OR($B33="",$B33=0),"",$I33*$C33*(1+'Property Summary'!$L$21)^('MF CapEx'!BN$3-1))</f>
        <v/>
      </c>
      <c r="BO33" s="149" t="str">
        <f>IF(OR($B33="",$B33=0),"",$I33*$C33*(1+'Property Summary'!$L$21)^('MF CapEx'!BO$3-1))</f>
        <v/>
      </c>
      <c r="BP33" s="149" t="str">
        <f>IF(OR($B33="",$B33=0),"",$I33*$C33*(1+'Property Summary'!$L$21)^('MF CapEx'!BP$3-1))</f>
        <v/>
      </c>
      <c r="BQ33" s="149" t="str">
        <f>IF(OR($B33="",$B33=0),"",$I33*$C33*(1+'Property Summary'!$L$21)^('MF CapEx'!BQ$3-1))</f>
        <v/>
      </c>
      <c r="BR33" s="149" t="str">
        <f>IF(OR($B33="",$B33=0),"",$I33*$C33*(1+'Property Summary'!$L$21)^('MF CapEx'!BR$3-1))</f>
        <v/>
      </c>
      <c r="BS33" s="149" t="str">
        <f>IF(OR($B33="",$B33=0),"",$I33*$C33*(1+'Property Summary'!$L$21)^('MF CapEx'!BS$3-1))</f>
        <v/>
      </c>
      <c r="BT33" s="149" t="str">
        <f>IF(OR($B33="",$B33=0),"",$I33*$C33*(1+'Property Summary'!$L$21)^('MF CapEx'!BT$3-1))</f>
        <v/>
      </c>
      <c r="BU33" s="149" t="str">
        <f>IF(OR($B33="",$B33=0),"",$I33*$C33*(1+'Property Summary'!$L$21)^('MF CapEx'!BU$3-1))</f>
        <v/>
      </c>
      <c r="BV33" s="149" t="str">
        <f>IF(OR($B33="",$B33=0),"",$I33*$C33*(1+'Property Summary'!$L$21)^('MF CapEx'!BV$3-1))</f>
        <v/>
      </c>
      <c r="BW33" s="149" t="str">
        <f>IF(OR($B33="",$B33=0),"",$I33*$C33*(1+'Property Summary'!$L$21)^('MF CapEx'!BW$3-1))</f>
        <v/>
      </c>
      <c r="BX33" s="149" t="str">
        <f>IF(OR($B33="",$B33=0),"",$I33*$C33*(1+'Property Summary'!$L$21)^('MF CapEx'!BX$3-1))</f>
        <v/>
      </c>
      <c r="BY33" s="149" t="str">
        <f>IF(OR($B33="",$B33=0),"",$I33*$C33*(1+'Property Summary'!$L$21)^('MF CapEx'!BY$3-1))</f>
        <v/>
      </c>
      <c r="BZ33" s="149" t="str">
        <f>IF(OR($B33="",$B33=0),"",$I33*$C33*(1+'Property Summary'!$L$21)^('MF CapEx'!BZ$3-1))</f>
        <v/>
      </c>
      <c r="CA33" s="149" t="str">
        <f>IF(OR($B33="",$B33=0),"",$I33*$C33*(1+'Property Summary'!$L$21)^('MF CapEx'!CA$3-1))</f>
        <v/>
      </c>
      <c r="CB33" s="149" t="str">
        <f>IF(OR($B33="",$B33=0),"",$I33*$C33*(1+'Property Summary'!$L$21)^('MF CapEx'!CB$3-1))</f>
        <v/>
      </c>
      <c r="CC33" s="149" t="str">
        <f>IF(OR($B33="",$B33=0),"",$I33*$C33*(1+'Property Summary'!$L$21)^('MF CapEx'!CC$3-1))</f>
        <v/>
      </c>
      <c r="CD33" s="149" t="str">
        <f>IF(OR($B33="",$B33=0),"",$I33*$C33*(1+'Property Summary'!$L$21)^('MF CapEx'!CD$3-1))</f>
        <v/>
      </c>
      <c r="CE33" s="149" t="str">
        <f>IF(OR($B33="",$B33=0),"",$I33*$C33*(1+'Property Summary'!$L$21)^('MF CapEx'!CE$3-1))</f>
        <v/>
      </c>
      <c r="CF33" s="149" t="str">
        <f>IF(OR($B33="",$B33=0),"",$I33*$C33*(1+'Property Summary'!$L$21)^('MF CapEx'!CF$3-1))</f>
        <v/>
      </c>
      <c r="CG33" s="149" t="str">
        <f>IF(OR($B33="",$B33=0),"",$I33*$C33*(1+'Property Summary'!$L$21)^('MF CapEx'!CG$3-1))</f>
        <v/>
      </c>
      <c r="CH33" s="149" t="str">
        <f>IF(OR($B33="",$B33=0),"",$I33*$C33*(1+'Property Summary'!$L$21)^('MF CapEx'!CH$3-1))</f>
        <v/>
      </c>
      <c r="CI33" s="149" t="str">
        <f>IF(OR($B33="",$B33=0),"",$I33*$C33*(1+'Property Summary'!$L$21)^('MF CapEx'!CI$3-1))</f>
        <v/>
      </c>
      <c r="CJ33" s="149" t="str">
        <f>IF(OR($B33="",$B33=0),"",$I33*$C33*(1+'Property Summary'!$L$21)^('MF CapEx'!CJ$3-1))</f>
        <v/>
      </c>
      <c r="CK33" s="149" t="str">
        <f>IF(OR($B33="",$B33=0),"",$I33*$C33*(1+'Property Summary'!$L$21)^('MF CapEx'!CK$3-1))</f>
        <v/>
      </c>
      <c r="CL33" s="149" t="str">
        <f>IF(OR($B33="",$B33=0),"",$I33*$C33*(1+'Property Summary'!$L$21)^('MF CapEx'!CL$3-1))</f>
        <v/>
      </c>
      <c r="CM33" s="149" t="str">
        <f>IF(OR($B33="",$B33=0),"",$I33*$C33*(1+'Property Summary'!$L$21)^('MF CapEx'!CM$3-1))</f>
        <v/>
      </c>
      <c r="CN33" s="149" t="str">
        <f>IF(OR($B33="",$B33=0),"",$I33*$C33*(1+'Property Summary'!$L$21)^('MF CapEx'!CN$3-1))</f>
        <v/>
      </c>
      <c r="CO33" s="149" t="str">
        <f>IF(OR($B33="",$B33=0),"",$I33*$C33*(1+'Property Summary'!$L$21)^('MF CapEx'!CO$3-1))</f>
        <v/>
      </c>
      <c r="CP33" s="149" t="str">
        <f>IF(OR($B33="",$B33=0),"",$I33*$C33*(1+'Property Summary'!$L$21)^('MF CapEx'!CP$3-1))</f>
        <v/>
      </c>
      <c r="CQ33" s="149" t="str">
        <f>IF(OR($B33="",$B33=0),"",$I33*$C33*(1+'Property Summary'!$L$21)^('MF CapEx'!CQ$3-1))</f>
        <v/>
      </c>
      <c r="CR33" s="149" t="str">
        <f>IF(OR($B33="",$B33=0),"",$I33*$C33*(1+'Property Summary'!$L$21)^('MF CapEx'!CR$3-1))</f>
        <v/>
      </c>
      <c r="CS33" s="149" t="str">
        <f>IF(OR($B33="",$B33=0),"",$I33*$C33*(1+'Property Summary'!$L$21)^('MF CapEx'!CS$3-1))</f>
        <v/>
      </c>
      <c r="CT33" s="149" t="str">
        <f>IF(OR($B33="",$B33=0),"",$I33*$C33*(1+'Property Summary'!$L$21)^('MF CapEx'!CT$3-1))</f>
        <v/>
      </c>
      <c r="CU33" s="149" t="str">
        <f>IF(OR($B33="",$B33=0),"",$I33*$C33*(1+'Property Summary'!$L$21)^('MF CapEx'!CU$3-1))</f>
        <v/>
      </c>
      <c r="CV33" s="149" t="str">
        <f>IF(OR($B33="",$B33=0),"",$I33*$C33*(1+'Property Summary'!$L$21)^('MF CapEx'!CV$3-1))</f>
        <v/>
      </c>
      <c r="CW33" s="149" t="str">
        <f>IF(OR($B33="",$B33=0),"",$I33*$C33*(1+'Property Summary'!$L$21)^('MF CapEx'!CW$3-1))</f>
        <v/>
      </c>
      <c r="CX33" s="149" t="str">
        <f>IF(OR($B33="",$B33=0),"",$I33*$C33*(1+'Property Summary'!$L$21)^('MF CapEx'!CX$3-1))</f>
        <v/>
      </c>
      <c r="CY33" s="149" t="str">
        <f>IF(OR($B33="",$B33=0),"",$I33*$C33*(1+'Property Summary'!$L$21)^('MF CapEx'!CY$3-1))</f>
        <v/>
      </c>
      <c r="CZ33" s="149" t="str">
        <f>IF(OR($B33="",$B33=0),"",$I33*$C33*(1+'Property Summary'!$L$21)^('MF CapEx'!CZ$3-1))</f>
        <v/>
      </c>
      <c r="DA33" s="149" t="str">
        <f>IF(OR($B33="",$B33=0),"",$I33*$C33*(1+'Property Summary'!$L$21)^('MF CapEx'!DA$3-1))</f>
        <v/>
      </c>
      <c r="DB33" s="149" t="str">
        <f>IF(OR($B33="",$B33=0),"",$I33*$C33*(1+'Property Summary'!$L$21)^('MF CapEx'!DB$3-1))</f>
        <v/>
      </c>
      <c r="DC33" s="149" t="str">
        <f>IF(OR($B33="",$B33=0),"",$I33*$C33*(1+'Property Summary'!$L$21)^('MF CapEx'!DC$3-1))</f>
        <v/>
      </c>
      <c r="DD33" s="149" t="str">
        <f>IF(OR($B33="",$B33=0),"",$I33*$C33*(1+'Property Summary'!$L$21)^('MF CapEx'!DD$3-1))</f>
        <v/>
      </c>
      <c r="DE33" s="149" t="str">
        <f>IF(OR($B33="",$B33=0),"",$I33*$C33*(1+'Property Summary'!$L$21)^('MF CapEx'!DE$3-1))</f>
        <v/>
      </c>
      <c r="DF33" s="149" t="str">
        <f>IF(OR($B33="",$B33=0),"",$I33*$C33*(1+'Property Summary'!$L$21)^('MF CapEx'!DF$3-1))</f>
        <v/>
      </c>
      <c r="DG33" s="149" t="str">
        <f>IF(OR($B33="",$B33=0),"",$I33*$C33*(1+'Property Summary'!$L$21)^('MF CapEx'!DG$3-1))</f>
        <v/>
      </c>
      <c r="DH33" s="149" t="str">
        <f>IF(OR($B33="",$B33=0),"",$I33*$C33*(1+'Property Summary'!$L$21)^('MF CapEx'!DH$3-1))</f>
        <v/>
      </c>
      <c r="DI33" s="149" t="str">
        <f>IF(OR($B33="",$B33=0),"",$I33*$C33*(1+'Property Summary'!$L$21)^('MF CapEx'!DI$3-1))</f>
        <v/>
      </c>
      <c r="DJ33" s="149" t="str">
        <f>IF(OR($B33="",$B33=0),"",$I33*$C33*(1+'Property Summary'!$L$21)^('MF CapEx'!DJ$3-1))</f>
        <v/>
      </c>
      <c r="DK33" s="149" t="str">
        <f>IF(OR($B33="",$B33=0),"",$I33*$C33*(1+'Property Summary'!$L$21)^('MF CapEx'!DK$3-1))</f>
        <v/>
      </c>
      <c r="DL33" s="149" t="str">
        <f>IF(OR($B33="",$B33=0),"",$I33*$C33*(1+'Property Summary'!$L$21)^('MF CapEx'!DL$3-1))</f>
        <v/>
      </c>
      <c r="DM33" s="149" t="str">
        <f>IF(OR($B33="",$B33=0),"",$I33*$C33*(1+'Property Summary'!$L$21)^('MF CapEx'!DM$3-1))</f>
        <v/>
      </c>
      <c r="DN33" s="149" t="str">
        <f>IF(OR($B33="",$B33=0),"",$I33*$C33*(1+'Property Summary'!$L$21)^('MF CapEx'!DN$3-1))</f>
        <v/>
      </c>
      <c r="DO33" s="149" t="str">
        <f>IF(OR($B33="",$B33=0),"",$I33*$C33*(1+'Property Summary'!$L$21)^('MF CapEx'!DO$3-1))</f>
        <v/>
      </c>
      <c r="DP33" s="149" t="str">
        <f>IF(OR($B33="",$B33=0),"",$I33*$C33*(1+'Property Summary'!$L$21)^('MF CapEx'!DP$3-1))</f>
        <v/>
      </c>
      <c r="DQ33" s="149" t="str">
        <f>IF(OR($B33="",$B33=0),"",$I33*$C33*(1+'Property Summary'!$L$21)^('MF CapEx'!DQ$3-1))</f>
        <v/>
      </c>
      <c r="DR33" s="149" t="str">
        <f>IF(OR($B33="",$B33=0),"",$I33*$C33*(1+'Property Summary'!$L$21)^('MF CapEx'!DR$3-1))</f>
        <v/>
      </c>
      <c r="DS33" s="149" t="str">
        <f>IF(OR($B33="",$B33=0),"",$I33*$C33*(1+'Property Summary'!$L$21)^('MF CapEx'!DS$3-1))</f>
        <v/>
      </c>
      <c r="DT33" s="149" t="str">
        <f>IF(OR($B33="",$B33=0),"",$I33*$C33*(1+'Property Summary'!$L$21)^('MF CapEx'!DT$3-1))</f>
        <v/>
      </c>
      <c r="DU33" s="149" t="str">
        <f>IF(OR($B33="",$B33=0),"",$I33*$C33*(1+'Property Summary'!$L$21)^('MF CapEx'!DU$3-1))</f>
        <v/>
      </c>
      <c r="DV33" s="149" t="str">
        <f>IF(OR($B33="",$B33=0),"",$I33*$C33*(1+'Property Summary'!$L$21)^('MF CapEx'!DV$3-1))</f>
        <v/>
      </c>
      <c r="DW33" s="149" t="str">
        <f>IF(OR($B33="",$B33=0),"",$I33*$C33*(1+'Property Summary'!$L$21)^('MF CapEx'!DW$3-1))</f>
        <v/>
      </c>
      <c r="DX33" s="149" t="str">
        <f>IF(OR($B33="",$B33=0),"",$I33*$C33*(1+'Property Summary'!$L$21)^('MF CapEx'!DX$3-1))</f>
        <v/>
      </c>
      <c r="DY33" s="149" t="str">
        <f>IF(OR($B33="",$B33=0),"",$I33*$C33*(1+'Property Summary'!$L$21)^('MF CapEx'!DY$3-1))</f>
        <v/>
      </c>
      <c r="DZ33" s="149" t="str">
        <f>IF(OR($B33="",$B33=0),"",$I33*$C33*(1+'Property Summary'!$L$21)^('MF CapEx'!DZ$3-1))</f>
        <v/>
      </c>
      <c r="EA33" s="149" t="str">
        <f>IF(OR($B33="",$B33=0),"",$I33*$C33*(1+'Property Summary'!$L$21)^('MF CapEx'!EA$3-1))</f>
        <v/>
      </c>
      <c r="EB33" s="149" t="str">
        <f>IF(OR($B33="",$B33=0),"",$I33*$C33*(1+'Property Summary'!$L$21)^('MF CapEx'!EB$3-1))</f>
        <v/>
      </c>
      <c r="EC33" s="149" t="str">
        <f>IF(OR($B33="",$B33=0),"",$I33*$C33*(1+'Property Summary'!$L$21)^('MF CapEx'!EC$3-1))</f>
        <v/>
      </c>
      <c r="ED33" s="149" t="str">
        <f>IF(OR($B33="",$B33=0),"",$I33*$C33*(1+'Property Summary'!$L$21)^('MF CapEx'!ED$3-1))</f>
        <v/>
      </c>
      <c r="EE33" s="149" t="str">
        <f>IF(OR($B33="",$B33=0),"",$I33*$C33*(1+'Property Summary'!$L$21)^('MF CapEx'!EE$3-1))</f>
        <v/>
      </c>
      <c r="EF33" s="149" t="str">
        <f>IF(OR($B33="",$B33=0),"",$I33*$C33*(1+'Property Summary'!$L$21)^('MF CapEx'!EF$3-1))</f>
        <v/>
      </c>
      <c r="EG33" s="149" t="str">
        <f>IF(OR($B33="",$B33=0),"",$I33*$C33*(1+'Property Summary'!$L$21)^('MF CapEx'!EG$3-1))</f>
        <v/>
      </c>
      <c r="EH33" s="149" t="str">
        <f>IF(OR($B33="",$B33=0),"",$I33*$C33*(1+'Property Summary'!$L$21)^('MF CapEx'!EH$3-1))</f>
        <v/>
      </c>
      <c r="EI33" s="149" t="str">
        <f>IF(OR($B33="",$B33=0),"",$I33*$C33*(1+'Property Summary'!$L$21)^('MF CapEx'!EI$3-1))</f>
        <v/>
      </c>
      <c r="EJ33" s="149" t="str">
        <f>IF(OR($B33="",$B33=0),"",$I33*$C33*(1+'Property Summary'!$L$21)^('MF CapEx'!EJ$3-1))</f>
        <v/>
      </c>
      <c r="EK33" s="149" t="str">
        <f>IF(OR($B33="",$B33=0),"",$I33*$C33*(1+'Property Summary'!$L$21)^('MF CapEx'!EK$3-1))</f>
        <v/>
      </c>
      <c r="EL33" s="149" t="str">
        <f>IF(OR($B33="",$B33=0),"",$I33*$C33*(1+'Property Summary'!$L$21)^('MF CapEx'!EL$3-1))</f>
        <v/>
      </c>
      <c r="EM33" s="149" t="str">
        <f>IF(OR($B33="",$B33=0),"",$I33*$C33*(1+'Property Summary'!$L$21)^('MF CapEx'!EM$3-1))</f>
        <v/>
      </c>
      <c r="EN33" s="149" t="str">
        <f>IF(OR($B33="",$B33=0),"",$I33*$C33*(1+'Property Summary'!$L$21)^('MF CapEx'!EN$3-1))</f>
        <v/>
      </c>
      <c r="EO33" s="149" t="str">
        <f>IF(OR($B33="",$B33=0),"",$I33*$C33*(1+'Property Summary'!$L$21)^('MF CapEx'!EO$3-1))</f>
        <v/>
      </c>
      <c r="EP33" s="149" t="str">
        <f>IF(OR($B33="",$B33=0),"",$I33*$C33*(1+'Property Summary'!$L$21)^('MF CapEx'!EP$3-1))</f>
        <v/>
      </c>
      <c r="EQ33" s="149" t="str">
        <f>IF(OR($B33="",$B33=0),"",$I33*$C33*(1+'Property Summary'!$L$21)^('MF CapEx'!EQ$3-1))</f>
        <v/>
      </c>
      <c r="ER33" s="149" t="str">
        <f>IF(OR($B33="",$B33=0),"",$I33*$C33*(1+'Property Summary'!$L$21)^('MF CapEx'!ER$3-1))</f>
        <v/>
      </c>
      <c r="ES33" s="149" t="str">
        <f>IF(OR($B33="",$B33=0),"",$I33*$C33*(1+'Property Summary'!$L$21)^('MF CapEx'!ES$3-1))</f>
        <v/>
      </c>
      <c r="ET33" s="149" t="str">
        <f>IF(OR($B33="",$B33=0),"",$I33*$C33*(1+'Property Summary'!$L$21)^('MF CapEx'!ET$3-1))</f>
        <v/>
      </c>
      <c r="EU33" s="149" t="str">
        <f>IF(OR($B33="",$B33=0),"",$I33*$C33*(1+'Property Summary'!$L$21)^('MF CapEx'!EU$3-1))</f>
        <v/>
      </c>
      <c r="EV33" s="149" t="str">
        <f>IF(OR($B33="",$B33=0),"",$I33*$C33*(1+'Property Summary'!$L$21)^('MF CapEx'!EV$3-1))</f>
        <v/>
      </c>
      <c r="EW33" s="149" t="str">
        <f>IF(OR($B33="",$B33=0),"",$I33*$C33*(1+'Property Summary'!$L$21)^('MF CapEx'!EW$3-1))</f>
        <v/>
      </c>
      <c r="EX33" s="149" t="str">
        <f>IF(OR($B33="",$B33=0),"",$I33*$C33*(1+'Property Summary'!$L$21)^('MF CapEx'!EX$3-1))</f>
        <v/>
      </c>
      <c r="EY33" s="149" t="str">
        <f>IF(OR($B33="",$B33=0),"",$I33*$C33*(1+'Property Summary'!$L$21)^('MF CapEx'!EY$3-1))</f>
        <v/>
      </c>
      <c r="EZ33" s="149" t="str">
        <f>IF(OR($B33="",$B33=0),"",$I33*$C33*(1+'Property Summary'!$L$21)^('MF CapEx'!EZ$3-1))</f>
        <v/>
      </c>
      <c r="FA33" s="149" t="str">
        <f>IF(OR($B33="",$B33=0),"",$I33*$C33*(1+'Property Summary'!$L$21)^('MF CapEx'!FA$3-1))</f>
        <v/>
      </c>
      <c r="FB33" s="149" t="str">
        <f>IF(OR($B33="",$B33=0),"",$I33*$C33*(1+'Property Summary'!$L$21)^('MF CapEx'!FB$3-1))</f>
        <v/>
      </c>
      <c r="FC33" s="149" t="str">
        <f>IF(OR($B33="",$B33=0),"",$I33*$C33*(1+'Property Summary'!$L$21)^('MF CapEx'!FC$3-1))</f>
        <v/>
      </c>
      <c r="FD33" s="149" t="str">
        <f>IF(OR($B33="",$B33=0),"",$I33*$C33*(1+'Property Summary'!$L$21)^('MF CapEx'!FD$3-1))</f>
        <v/>
      </c>
      <c r="FE33" s="149" t="str">
        <f>IF(OR($B33="",$B33=0),"",$I33*$C33*(1+'Property Summary'!$L$21)^('MF CapEx'!FE$3-1))</f>
        <v/>
      </c>
      <c r="FF33" s="149" t="str">
        <f>IF(OR($B33="",$B33=0),"",$I33*$C33*(1+'Property Summary'!$L$21)^('MF CapEx'!FF$3-1))</f>
        <v/>
      </c>
      <c r="FG33" s="149" t="str">
        <f>IF(OR($B33="",$B33=0),"",$I33*$C33*(1+'Property Summary'!$L$21)^('MF CapEx'!FG$3-1))</f>
        <v/>
      </c>
      <c r="FH33" s="149" t="str">
        <f>IF(OR($B33="",$B33=0),"",$I33*$C33*(1+'Property Summary'!$L$21)^('MF CapEx'!FH$3-1))</f>
        <v/>
      </c>
      <c r="FI33" s="149" t="str">
        <f>IF(OR($B33="",$B33=0),"",$I33*$C33*(1+'Property Summary'!$L$21)^('MF CapEx'!FI$3-1))</f>
        <v/>
      </c>
      <c r="FJ33" s="149" t="str">
        <f>IF(OR($B33="",$B33=0),"",$I33*$C33*(1+'Property Summary'!$L$21)^('MF CapEx'!FJ$3-1))</f>
        <v/>
      </c>
      <c r="FK33" s="149" t="str">
        <f>IF(OR($B33="",$B33=0),"",$I33*$C33*(1+'Property Summary'!$L$21)^('MF CapEx'!FK$3-1))</f>
        <v/>
      </c>
      <c r="FL33" s="149" t="str">
        <f>IF(OR($B33="",$B33=0),"",$I33*$C33*(1+'Property Summary'!$L$21)^('MF CapEx'!FL$3-1))</f>
        <v/>
      </c>
      <c r="FM33" s="149" t="str">
        <f>IF(OR($B33="",$B33=0),"",$I33*$C33*(1+'Property Summary'!$L$21)^('MF CapEx'!FM$3-1))</f>
        <v/>
      </c>
      <c r="FN33" s="149" t="str">
        <f>IF(OR($B33="",$B33=0),"",$I33*$C33*(1+'Property Summary'!$L$21)^('MF CapEx'!FN$3-1))</f>
        <v/>
      </c>
      <c r="FO33" s="149" t="str">
        <f>IF(OR($B33="",$B33=0),"",$I33*$C33*(1+'Property Summary'!$L$21)^('MF CapEx'!FO$3-1))</f>
        <v/>
      </c>
      <c r="FP33" s="149" t="str">
        <f>IF(OR($B33="",$B33=0),"",$I33*$C33*(1+'Property Summary'!$L$21)^('MF CapEx'!FP$3-1))</f>
        <v/>
      </c>
      <c r="FQ33" s="149" t="str">
        <f>IF(OR($B33="",$B33=0),"",$I33*$C33*(1+'Property Summary'!$L$21)^('MF CapEx'!FQ$3-1))</f>
        <v/>
      </c>
      <c r="FR33" s="149" t="str">
        <f>IF(OR($B33="",$B33=0),"",$I33*$C33*(1+'Property Summary'!$L$21)^('MF CapEx'!FR$3-1))</f>
        <v/>
      </c>
      <c r="FS33" s="149" t="str">
        <f>IF(OR($B33="",$B33=0),"",$I33*$C33*(1+'Property Summary'!$L$21)^('MF CapEx'!FS$3-1))</f>
        <v/>
      </c>
      <c r="FT33" s="149" t="str">
        <f>IF(OR($B33="",$B33=0),"",$I33*$C33*(1+'Property Summary'!$L$21)^('MF CapEx'!FT$3-1))</f>
        <v/>
      </c>
      <c r="FU33" s="149" t="str">
        <f>IF(OR($B33="",$B33=0),"",$I33*$C33*(1+'Property Summary'!$L$21)^('MF CapEx'!FU$3-1))</f>
        <v/>
      </c>
      <c r="FV33" s="149" t="str">
        <f>IF(OR($B33="",$B33=0),"",$I33*$C33*(1+'Property Summary'!$L$21)^('MF CapEx'!FV$3-1))</f>
        <v/>
      </c>
      <c r="FW33" s="149" t="str">
        <f>IF(OR($B33="",$B33=0),"",$I33*$C33*(1+'Property Summary'!$L$21)^('MF CapEx'!FW$3-1))</f>
        <v/>
      </c>
      <c r="FX33" s="149" t="str">
        <f>IF(OR($B33="",$B33=0),"",$I33*$C33*(1+'Property Summary'!$L$21)^('MF CapEx'!FX$3-1))</f>
        <v/>
      </c>
      <c r="FY33" s="149" t="str">
        <f>IF(OR($B33="",$B33=0),"",$I33*$C33*(1+'Property Summary'!$L$21)^('MF CapEx'!FY$3-1))</f>
        <v/>
      </c>
      <c r="FZ33" s="149" t="str">
        <f>IF(OR($B33="",$B33=0),"",$I33*$C33*(1+'Property Summary'!$L$21)^('MF CapEx'!FZ$3-1))</f>
        <v/>
      </c>
      <c r="GA33" s="149" t="str">
        <f>IF(OR($B33="",$B33=0),"",$I33*$C33*(1+'Property Summary'!$L$21)^('MF CapEx'!GA$3-1))</f>
        <v/>
      </c>
      <c r="GB33" s="149" t="str">
        <f>IF(OR($B33="",$B33=0),"",$I33*$C33*(1+'Property Summary'!$L$21)^('MF CapEx'!GB$3-1))</f>
        <v/>
      </c>
      <c r="GC33" s="149" t="str">
        <f>IF(OR($B33="",$B33=0),"",$I33*$C33*(1+'Property Summary'!$L$21)^('MF CapEx'!GC$3-1))</f>
        <v/>
      </c>
      <c r="GD33" s="149" t="str">
        <f>IF(OR($B33="",$B33=0),"",$I33*$C33*(1+'Property Summary'!$L$21)^('MF CapEx'!GD$3-1))</f>
        <v/>
      </c>
      <c r="GE33" s="149" t="str">
        <f>IF(OR($B33="",$B33=0),"",$I33*$C33*(1+'Property Summary'!$L$21)^('MF CapEx'!GE$3-1))</f>
        <v/>
      </c>
      <c r="GF33" s="149" t="str">
        <f>IF(OR($B33="",$B33=0),"",$I33*$C33*(1+'Property Summary'!$L$21)^('MF CapEx'!GF$3-1))</f>
        <v/>
      </c>
      <c r="GG33" s="149" t="str">
        <f>IF(OR($B33="",$B33=0),"",$I33*$C33*(1+'Property Summary'!$L$21)^('MF CapEx'!GG$3-1))</f>
        <v/>
      </c>
      <c r="GH33" s="149" t="str">
        <f>IF(OR($B33="",$B33=0),"",$I33*$C33*(1+'Property Summary'!$L$21)^('MF CapEx'!GH$3-1))</f>
        <v/>
      </c>
      <c r="GI33" s="149" t="str">
        <f>IF(OR($B33="",$B33=0),"",$I33*$C33*(1+'Property Summary'!$L$21)^('MF CapEx'!GI$3-1))</f>
        <v/>
      </c>
      <c r="GJ33" s="149" t="str">
        <f>IF(OR($B33="",$B33=0),"",$I33*$C33*(1+'Property Summary'!$L$21)^('MF CapEx'!GJ$3-1))</f>
        <v/>
      </c>
      <c r="GK33" s="149" t="str">
        <f>IF(OR($B33="",$B33=0),"",$I33*$C33*(1+'Property Summary'!$L$21)^('MF CapEx'!GK$3-1))</f>
        <v/>
      </c>
      <c r="GL33" s="149" t="str">
        <f>IF(OR($B33="",$B33=0),"",$I33*$C33*(1+'Property Summary'!$L$21)^('MF CapEx'!GL$3-1))</f>
        <v/>
      </c>
      <c r="GM33" s="149" t="str">
        <f>IF(OR($B33="",$B33=0),"",$I33*$C33*(1+'Property Summary'!$L$21)^('MF CapEx'!GM$3-1))</f>
        <v/>
      </c>
      <c r="GN33" s="149" t="str">
        <f>IF(OR($B33="",$B33=0),"",$I33*$C33*(1+'Property Summary'!$L$21)^('MF CapEx'!GN$3-1))</f>
        <v/>
      </c>
      <c r="GO33" s="149" t="str">
        <f>IF(OR($B33="",$B33=0),"",$I33*$C33*(1+'Property Summary'!$L$21)^('MF CapEx'!GO$3-1))</f>
        <v/>
      </c>
      <c r="GP33" s="149" t="str">
        <f>IF(OR($B33="",$B33=0),"",$I33*$C33*(1+'Property Summary'!$L$21)^('MF CapEx'!GP$3-1))</f>
        <v/>
      </c>
    </row>
    <row r="34" spans="2:198" x14ac:dyDescent="0.3">
      <c r="B34" s="184">
        <f>'MF Rent Roll'!B33</f>
        <v>0</v>
      </c>
      <c r="C34" s="171">
        <f>'MF Rent Roll'!C33</f>
        <v>0</v>
      </c>
      <c r="D34" s="172">
        <f>'MF Rent Roll'!D33</f>
        <v>0</v>
      </c>
      <c r="E34" s="172">
        <f>'MF Rent Roll'!E33</f>
        <v>0</v>
      </c>
      <c r="F34" s="173">
        <f>'MF Rent Roll'!F33</f>
        <v>0</v>
      </c>
      <c r="G34" s="174">
        <f>'MF Rent Roll'!G33</f>
        <v>0</v>
      </c>
      <c r="H34" s="176">
        <f>'MF Rent Roll'!J33</f>
        <v>0</v>
      </c>
      <c r="I34" s="174">
        <f>'MF Rent Roll'!K33</f>
        <v>0</v>
      </c>
      <c r="J34" s="177">
        <f>'MF Rent Roll'!L33</f>
        <v>0</v>
      </c>
      <c r="K34" s="178">
        <f>'MF Rent Roll'!M33</f>
        <v>0</v>
      </c>
      <c r="L34" s="174">
        <f>'MF Rent Roll'!N33</f>
        <v>0</v>
      </c>
      <c r="M34" s="179">
        <f>'MF Rent Roll'!O33</f>
        <v>0</v>
      </c>
      <c r="N34" s="180" t="str">
        <f>'MF Rent Roll'!P33</f>
        <v/>
      </c>
      <c r="O34" s="181" t="str">
        <f>'MF Rent Roll'!Q33</f>
        <v/>
      </c>
      <c r="P34" s="104" t="str">
        <f>'MF Rent Roll'!R33</f>
        <v/>
      </c>
      <c r="S34" s="149" t="str">
        <f>IF(OR($B34="",$B34=0),"",$I34*$C34*(1+'Property Summary'!$L$21)^('MF CapEx'!S$3-1))</f>
        <v/>
      </c>
      <c r="T34" s="149" t="str">
        <f>IF(OR($B34="",$B34=0),"",$I34*$C34*(1+'Property Summary'!$L$21)^('MF CapEx'!T$3-1))</f>
        <v/>
      </c>
      <c r="U34" s="149" t="str">
        <f>IF(OR($B34="",$B34=0),"",$I34*$C34*(1+'Property Summary'!$L$21)^('MF CapEx'!U$3-1))</f>
        <v/>
      </c>
      <c r="V34" s="149" t="str">
        <f>IF(OR($B34="",$B34=0),"",$I34*$C34*(1+'Property Summary'!$L$21)^('MF CapEx'!V$3-1))</f>
        <v/>
      </c>
      <c r="W34" s="149" t="str">
        <f>IF(OR($B34="",$B34=0),"",$I34*$C34*(1+'Property Summary'!$L$21)^('MF CapEx'!W$3-1))</f>
        <v/>
      </c>
      <c r="X34" s="149" t="str">
        <f>IF(OR($B34="",$B34=0),"",$I34*$C34*(1+'Property Summary'!$L$21)^('MF CapEx'!X$3-1))</f>
        <v/>
      </c>
      <c r="Y34" s="149" t="str">
        <f>IF(OR($B34="",$B34=0),"",$I34*$C34*(1+'Property Summary'!$L$21)^('MF CapEx'!Y$3-1))</f>
        <v/>
      </c>
      <c r="Z34" s="149" t="str">
        <f>IF(OR($B34="",$B34=0),"",$I34*$C34*(1+'Property Summary'!$L$21)^('MF CapEx'!Z$3-1))</f>
        <v/>
      </c>
      <c r="AA34" s="149" t="str">
        <f>IF(OR($B34="",$B34=0),"",$I34*$C34*(1+'Property Summary'!$L$21)^('MF CapEx'!AA$3-1))</f>
        <v/>
      </c>
      <c r="AB34" s="149" t="str">
        <f>IF(OR($B34="",$B34=0),"",$I34*$C34*(1+'Property Summary'!$L$21)^('MF CapEx'!AB$3-1))</f>
        <v/>
      </c>
      <c r="AC34" s="149" t="str">
        <f>IF(OR($B34="",$B34=0),"",$I34*$C34*(1+'Property Summary'!$L$21)^('MF CapEx'!AC$3-1))</f>
        <v/>
      </c>
      <c r="AD34" s="149" t="str">
        <f>IF(OR($B34="",$B34=0),"",$I34*$C34*(1+'Property Summary'!$L$21)^('MF CapEx'!AD$3-1))</f>
        <v/>
      </c>
      <c r="AE34" s="149" t="str">
        <f>IF(OR($B34="",$B34=0),"",$I34*$C34*(1+'Property Summary'!$L$21)^('MF CapEx'!AE$3-1))</f>
        <v/>
      </c>
      <c r="AF34" s="149" t="str">
        <f>IF(OR($B34="",$B34=0),"",$I34*$C34*(1+'Property Summary'!$L$21)^('MF CapEx'!AF$3-1))</f>
        <v/>
      </c>
      <c r="AG34" s="149" t="str">
        <f>IF(OR($B34="",$B34=0),"",$I34*$C34*(1+'Property Summary'!$L$21)^('MF CapEx'!AG$3-1))</f>
        <v/>
      </c>
      <c r="AH34" s="149" t="str">
        <f>IF(OR($B34="",$B34=0),"",$I34*$C34*(1+'Property Summary'!$L$21)^('MF CapEx'!AH$3-1))</f>
        <v/>
      </c>
      <c r="AI34" s="149" t="str">
        <f>IF(OR($B34="",$B34=0),"",$I34*$C34*(1+'Property Summary'!$L$21)^('MF CapEx'!AI$3-1))</f>
        <v/>
      </c>
      <c r="AJ34" s="149" t="str">
        <f>IF(OR($B34="",$B34=0),"",$I34*$C34*(1+'Property Summary'!$L$21)^('MF CapEx'!AJ$3-1))</f>
        <v/>
      </c>
      <c r="AK34" s="149" t="str">
        <f>IF(OR($B34="",$B34=0),"",$I34*$C34*(1+'Property Summary'!$L$21)^('MF CapEx'!AK$3-1))</f>
        <v/>
      </c>
      <c r="AL34" s="149" t="str">
        <f>IF(OR($B34="",$B34=0),"",$I34*$C34*(1+'Property Summary'!$L$21)^('MF CapEx'!AL$3-1))</f>
        <v/>
      </c>
      <c r="AM34" s="149" t="str">
        <f>IF(OR($B34="",$B34=0),"",$I34*$C34*(1+'Property Summary'!$L$21)^('MF CapEx'!AM$3-1))</f>
        <v/>
      </c>
      <c r="AN34" s="149" t="str">
        <f>IF(OR($B34="",$B34=0),"",$I34*$C34*(1+'Property Summary'!$L$21)^('MF CapEx'!AN$3-1))</f>
        <v/>
      </c>
      <c r="AO34" s="149" t="str">
        <f>IF(OR($B34="",$B34=0),"",$I34*$C34*(1+'Property Summary'!$L$21)^('MF CapEx'!AO$3-1))</f>
        <v/>
      </c>
      <c r="AP34" s="149" t="str">
        <f>IF(OR($B34="",$B34=0),"",$I34*$C34*(1+'Property Summary'!$L$21)^('MF CapEx'!AP$3-1))</f>
        <v/>
      </c>
      <c r="AQ34" s="149" t="str">
        <f>IF(OR($B34="",$B34=0),"",$I34*$C34*(1+'Property Summary'!$L$21)^('MF CapEx'!AQ$3-1))</f>
        <v/>
      </c>
      <c r="AR34" s="149" t="str">
        <f>IF(OR($B34="",$B34=0),"",$I34*$C34*(1+'Property Summary'!$L$21)^('MF CapEx'!AR$3-1))</f>
        <v/>
      </c>
      <c r="AS34" s="149" t="str">
        <f>IF(OR($B34="",$B34=0),"",$I34*$C34*(1+'Property Summary'!$L$21)^('MF CapEx'!AS$3-1))</f>
        <v/>
      </c>
      <c r="AT34" s="149" t="str">
        <f>IF(OR($B34="",$B34=0),"",$I34*$C34*(1+'Property Summary'!$L$21)^('MF CapEx'!AT$3-1))</f>
        <v/>
      </c>
      <c r="AU34" s="149" t="str">
        <f>IF(OR($B34="",$B34=0),"",$I34*$C34*(1+'Property Summary'!$L$21)^('MF CapEx'!AU$3-1))</f>
        <v/>
      </c>
      <c r="AV34" s="149" t="str">
        <f>IF(OR($B34="",$B34=0),"",$I34*$C34*(1+'Property Summary'!$L$21)^('MF CapEx'!AV$3-1))</f>
        <v/>
      </c>
      <c r="AW34" s="149" t="str">
        <f>IF(OR($B34="",$B34=0),"",$I34*$C34*(1+'Property Summary'!$L$21)^('MF CapEx'!AW$3-1))</f>
        <v/>
      </c>
      <c r="AX34" s="149" t="str">
        <f>IF(OR($B34="",$B34=0),"",$I34*$C34*(1+'Property Summary'!$L$21)^('MF CapEx'!AX$3-1))</f>
        <v/>
      </c>
      <c r="AY34" s="149" t="str">
        <f>IF(OR($B34="",$B34=0),"",$I34*$C34*(1+'Property Summary'!$L$21)^('MF CapEx'!AY$3-1))</f>
        <v/>
      </c>
      <c r="AZ34" s="149" t="str">
        <f>IF(OR($B34="",$B34=0),"",$I34*$C34*(1+'Property Summary'!$L$21)^('MF CapEx'!AZ$3-1))</f>
        <v/>
      </c>
      <c r="BA34" s="149" t="str">
        <f>IF(OR($B34="",$B34=0),"",$I34*$C34*(1+'Property Summary'!$L$21)^('MF CapEx'!BA$3-1))</f>
        <v/>
      </c>
      <c r="BB34" s="149" t="str">
        <f>IF(OR($B34="",$B34=0),"",$I34*$C34*(1+'Property Summary'!$L$21)^('MF CapEx'!BB$3-1))</f>
        <v/>
      </c>
      <c r="BC34" s="149" t="str">
        <f>IF(OR($B34="",$B34=0),"",$I34*$C34*(1+'Property Summary'!$L$21)^('MF CapEx'!BC$3-1))</f>
        <v/>
      </c>
      <c r="BD34" s="149" t="str">
        <f>IF(OR($B34="",$B34=0),"",$I34*$C34*(1+'Property Summary'!$L$21)^('MF CapEx'!BD$3-1))</f>
        <v/>
      </c>
      <c r="BE34" s="149" t="str">
        <f>IF(OR($B34="",$B34=0),"",$I34*$C34*(1+'Property Summary'!$L$21)^('MF CapEx'!BE$3-1))</f>
        <v/>
      </c>
      <c r="BF34" s="149" t="str">
        <f>IF(OR($B34="",$B34=0),"",$I34*$C34*(1+'Property Summary'!$L$21)^('MF CapEx'!BF$3-1))</f>
        <v/>
      </c>
      <c r="BG34" s="149" t="str">
        <f>IF(OR($B34="",$B34=0),"",$I34*$C34*(1+'Property Summary'!$L$21)^('MF CapEx'!BG$3-1))</f>
        <v/>
      </c>
      <c r="BH34" s="149" t="str">
        <f>IF(OR($B34="",$B34=0),"",$I34*$C34*(1+'Property Summary'!$L$21)^('MF CapEx'!BH$3-1))</f>
        <v/>
      </c>
      <c r="BI34" s="149" t="str">
        <f>IF(OR($B34="",$B34=0),"",$I34*$C34*(1+'Property Summary'!$L$21)^('MF CapEx'!BI$3-1))</f>
        <v/>
      </c>
      <c r="BJ34" s="149" t="str">
        <f>IF(OR($B34="",$B34=0),"",$I34*$C34*(1+'Property Summary'!$L$21)^('MF CapEx'!BJ$3-1))</f>
        <v/>
      </c>
      <c r="BK34" s="149" t="str">
        <f>IF(OR($B34="",$B34=0),"",$I34*$C34*(1+'Property Summary'!$L$21)^('MF CapEx'!BK$3-1))</f>
        <v/>
      </c>
      <c r="BL34" s="149" t="str">
        <f>IF(OR($B34="",$B34=0),"",$I34*$C34*(1+'Property Summary'!$L$21)^('MF CapEx'!BL$3-1))</f>
        <v/>
      </c>
      <c r="BM34" s="149" t="str">
        <f>IF(OR($B34="",$B34=0),"",$I34*$C34*(1+'Property Summary'!$L$21)^('MF CapEx'!BM$3-1))</f>
        <v/>
      </c>
      <c r="BN34" s="149" t="str">
        <f>IF(OR($B34="",$B34=0),"",$I34*$C34*(1+'Property Summary'!$L$21)^('MF CapEx'!BN$3-1))</f>
        <v/>
      </c>
      <c r="BO34" s="149" t="str">
        <f>IF(OR($B34="",$B34=0),"",$I34*$C34*(1+'Property Summary'!$L$21)^('MF CapEx'!BO$3-1))</f>
        <v/>
      </c>
      <c r="BP34" s="149" t="str">
        <f>IF(OR($B34="",$B34=0),"",$I34*$C34*(1+'Property Summary'!$L$21)^('MF CapEx'!BP$3-1))</f>
        <v/>
      </c>
      <c r="BQ34" s="149" t="str">
        <f>IF(OR($B34="",$B34=0),"",$I34*$C34*(1+'Property Summary'!$L$21)^('MF CapEx'!BQ$3-1))</f>
        <v/>
      </c>
      <c r="BR34" s="149" t="str">
        <f>IF(OR($B34="",$B34=0),"",$I34*$C34*(1+'Property Summary'!$L$21)^('MF CapEx'!BR$3-1))</f>
        <v/>
      </c>
      <c r="BS34" s="149" t="str">
        <f>IF(OR($B34="",$B34=0),"",$I34*$C34*(1+'Property Summary'!$L$21)^('MF CapEx'!BS$3-1))</f>
        <v/>
      </c>
      <c r="BT34" s="149" t="str">
        <f>IF(OR($B34="",$B34=0),"",$I34*$C34*(1+'Property Summary'!$L$21)^('MF CapEx'!BT$3-1))</f>
        <v/>
      </c>
      <c r="BU34" s="149" t="str">
        <f>IF(OR($B34="",$B34=0),"",$I34*$C34*(1+'Property Summary'!$L$21)^('MF CapEx'!BU$3-1))</f>
        <v/>
      </c>
      <c r="BV34" s="149" t="str">
        <f>IF(OR($B34="",$B34=0),"",$I34*$C34*(1+'Property Summary'!$L$21)^('MF CapEx'!BV$3-1))</f>
        <v/>
      </c>
      <c r="BW34" s="149" t="str">
        <f>IF(OR($B34="",$B34=0),"",$I34*$C34*(1+'Property Summary'!$L$21)^('MF CapEx'!BW$3-1))</f>
        <v/>
      </c>
      <c r="BX34" s="149" t="str">
        <f>IF(OR($B34="",$B34=0),"",$I34*$C34*(1+'Property Summary'!$L$21)^('MF CapEx'!BX$3-1))</f>
        <v/>
      </c>
      <c r="BY34" s="149" t="str">
        <f>IF(OR($B34="",$B34=0),"",$I34*$C34*(1+'Property Summary'!$L$21)^('MF CapEx'!BY$3-1))</f>
        <v/>
      </c>
      <c r="BZ34" s="149" t="str">
        <f>IF(OR($B34="",$B34=0),"",$I34*$C34*(1+'Property Summary'!$L$21)^('MF CapEx'!BZ$3-1))</f>
        <v/>
      </c>
      <c r="CA34" s="149" t="str">
        <f>IF(OR($B34="",$B34=0),"",$I34*$C34*(1+'Property Summary'!$L$21)^('MF CapEx'!CA$3-1))</f>
        <v/>
      </c>
      <c r="CB34" s="149" t="str">
        <f>IF(OR($B34="",$B34=0),"",$I34*$C34*(1+'Property Summary'!$L$21)^('MF CapEx'!CB$3-1))</f>
        <v/>
      </c>
      <c r="CC34" s="149" t="str">
        <f>IF(OR($B34="",$B34=0),"",$I34*$C34*(1+'Property Summary'!$L$21)^('MF CapEx'!CC$3-1))</f>
        <v/>
      </c>
      <c r="CD34" s="149" t="str">
        <f>IF(OR($B34="",$B34=0),"",$I34*$C34*(1+'Property Summary'!$L$21)^('MF CapEx'!CD$3-1))</f>
        <v/>
      </c>
      <c r="CE34" s="149" t="str">
        <f>IF(OR($B34="",$B34=0),"",$I34*$C34*(1+'Property Summary'!$L$21)^('MF CapEx'!CE$3-1))</f>
        <v/>
      </c>
      <c r="CF34" s="149" t="str">
        <f>IF(OR($B34="",$B34=0),"",$I34*$C34*(1+'Property Summary'!$L$21)^('MF CapEx'!CF$3-1))</f>
        <v/>
      </c>
      <c r="CG34" s="149" t="str">
        <f>IF(OR($B34="",$B34=0),"",$I34*$C34*(1+'Property Summary'!$L$21)^('MF CapEx'!CG$3-1))</f>
        <v/>
      </c>
      <c r="CH34" s="149" t="str">
        <f>IF(OR($B34="",$B34=0),"",$I34*$C34*(1+'Property Summary'!$L$21)^('MF CapEx'!CH$3-1))</f>
        <v/>
      </c>
      <c r="CI34" s="149" t="str">
        <f>IF(OR($B34="",$B34=0),"",$I34*$C34*(1+'Property Summary'!$L$21)^('MF CapEx'!CI$3-1))</f>
        <v/>
      </c>
      <c r="CJ34" s="149" t="str">
        <f>IF(OR($B34="",$B34=0),"",$I34*$C34*(1+'Property Summary'!$L$21)^('MF CapEx'!CJ$3-1))</f>
        <v/>
      </c>
      <c r="CK34" s="149" t="str">
        <f>IF(OR($B34="",$B34=0),"",$I34*$C34*(1+'Property Summary'!$L$21)^('MF CapEx'!CK$3-1))</f>
        <v/>
      </c>
      <c r="CL34" s="149" t="str">
        <f>IF(OR($B34="",$B34=0),"",$I34*$C34*(1+'Property Summary'!$L$21)^('MF CapEx'!CL$3-1))</f>
        <v/>
      </c>
      <c r="CM34" s="149" t="str">
        <f>IF(OR($B34="",$B34=0),"",$I34*$C34*(1+'Property Summary'!$L$21)^('MF CapEx'!CM$3-1))</f>
        <v/>
      </c>
      <c r="CN34" s="149" t="str">
        <f>IF(OR($B34="",$B34=0),"",$I34*$C34*(1+'Property Summary'!$L$21)^('MF CapEx'!CN$3-1))</f>
        <v/>
      </c>
      <c r="CO34" s="149" t="str">
        <f>IF(OR($B34="",$B34=0),"",$I34*$C34*(1+'Property Summary'!$L$21)^('MF CapEx'!CO$3-1))</f>
        <v/>
      </c>
      <c r="CP34" s="149" t="str">
        <f>IF(OR($B34="",$B34=0),"",$I34*$C34*(1+'Property Summary'!$L$21)^('MF CapEx'!CP$3-1))</f>
        <v/>
      </c>
      <c r="CQ34" s="149" t="str">
        <f>IF(OR($B34="",$B34=0),"",$I34*$C34*(1+'Property Summary'!$L$21)^('MF CapEx'!CQ$3-1))</f>
        <v/>
      </c>
      <c r="CR34" s="149" t="str">
        <f>IF(OR($B34="",$B34=0),"",$I34*$C34*(1+'Property Summary'!$L$21)^('MF CapEx'!CR$3-1))</f>
        <v/>
      </c>
      <c r="CS34" s="149" t="str">
        <f>IF(OR($B34="",$B34=0),"",$I34*$C34*(1+'Property Summary'!$L$21)^('MF CapEx'!CS$3-1))</f>
        <v/>
      </c>
      <c r="CT34" s="149" t="str">
        <f>IF(OR($B34="",$B34=0),"",$I34*$C34*(1+'Property Summary'!$L$21)^('MF CapEx'!CT$3-1))</f>
        <v/>
      </c>
      <c r="CU34" s="149" t="str">
        <f>IF(OR($B34="",$B34=0),"",$I34*$C34*(1+'Property Summary'!$L$21)^('MF CapEx'!CU$3-1))</f>
        <v/>
      </c>
      <c r="CV34" s="149" t="str">
        <f>IF(OR($B34="",$B34=0),"",$I34*$C34*(1+'Property Summary'!$L$21)^('MF CapEx'!CV$3-1))</f>
        <v/>
      </c>
      <c r="CW34" s="149" t="str">
        <f>IF(OR($B34="",$B34=0),"",$I34*$C34*(1+'Property Summary'!$L$21)^('MF CapEx'!CW$3-1))</f>
        <v/>
      </c>
      <c r="CX34" s="149" t="str">
        <f>IF(OR($B34="",$B34=0),"",$I34*$C34*(1+'Property Summary'!$L$21)^('MF CapEx'!CX$3-1))</f>
        <v/>
      </c>
      <c r="CY34" s="149" t="str">
        <f>IF(OR($B34="",$B34=0),"",$I34*$C34*(1+'Property Summary'!$L$21)^('MF CapEx'!CY$3-1))</f>
        <v/>
      </c>
      <c r="CZ34" s="149" t="str">
        <f>IF(OR($B34="",$B34=0),"",$I34*$C34*(1+'Property Summary'!$L$21)^('MF CapEx'!CZ$3-1))</f>
        <v/>
      </c>
      <c r="DA34" s="149" t="str">
        <f>IF(OR($B34="",$B34=0),"",$I34*$C34*(1+'Property Summary'!$L$21)^('MF CapEx'!DA$3-1))</f>
        <v/>
      </c>
      <c r="DB34" s="149" t="str">
        <f>IF(OR($B34="",$B34=0),"",$I34*$C34*(1+'Property Summary'!$L$21)^('MF CapEx'!DB$3-1))</f>
        <v/>
      </c>
      <c r="DC34" s="149" t="str">
        <f>IF(OR($B34="",$B34=0),"",$I34*$C34*(1+'Property Summary'!$L$21)^('MF CapEx'!DC$3-1))</f>
        <v/>
      </c>
      <c r="DD34" s="149" t="str">
        <f>IF(OR($B34="",$B34=0),"",$I34*$C34*(1+'Property Summary'!$L$21)^('MF CapEx'!DD$3-1))</f>
        <v/>
      </c>
      <c r="DE34" s="149" t="str">
        <f>IF(OR($B34="",$B34=0),"",$I34*$C34*(1+'Property Summary'!$L$21)^('MF CapEx'!DE$3-1))</f>
        <v/>
      </c>
      <c r="DF34" s="149" t="str">
        <f>IF(OR($B34="",$B34=0),"",$I34*$C34*(1+'Property Summary'!$L$21)^('MF CapEx'!DF$3-1))</f>
        <v/>
      </c>
      <c r="DG34" s="149" t="str">
        <f>IF(OR($B34="",$B34=0),"",$I34*$C34*(1+'Property Summary'!$L$21)^('MF CapEx'!DG$3-1))</f>
        <v/>
      </c>
      <c r="DH34" s="149" t="str">
        <f>IF(OR($B34="",$B34=0),"",$I34*$C34*(1+'Property Summary'!$L$21)^('MF CapEx'!DH$3-1))</f>
        <v/>
      </c>
      <c r="DI34" s="149" t="str">
        <f>IF(OR($B34="",$B34=0),"",$I34*$C34*(1+'Property Summary'!$L$21)^('MF CapEx'!DI$3-1))</f>
        <v/>
      </c>
      <c r="DJ34" s="149" t="str">
        <f>IF(OR($B34="",$B34=0),"",$I34*$C34*(1+'Property Summary'!$L$21)^('MF CapEx'!DJ$3-1))</f>
        <v/>
      </c>
      <c r="DK34" s="149" t="str">
        <f>IF(OR($B34="",$B34=0),"",$I34*$C34*(1+'Property Summary'!$L$21)^('MF CapEx'!DK$3-1))</f>
        <v/>
      </c>
      <c r="DL34" s="149" t="str">
        <f>IF(OR($B34="",$B34=0),"",$I34*$C34*(1+'Property Summary'!$L$21)^('MF CapEx'!DL$3-1))</f>
        <v/>
      </c>
      <c r="DM34" s="149" t="str">
        <f>IF(OR($B34="",$B34=0),"",$I34*$C34*(1+'Property Summary'!$L$21)^('MF CapEx'!DM$3-1))</f>
        <v/>
      </c>
      <c r="DN34" s="149" t="str">
        <f>IF(OR($B34="",$B34=0),"",$I34*$C34*(1+'Property Summary'!$L$21)^('MF CapEx'!DN$3-1))</f>
        <v/>
      </c>
      <c r="DO34" s="149" t="str">
        <f>IF(OR($B34="",$B34=0),"",$I34*$C34*(1+'Property Summary'!$L$21)^('MF CapEx'!DO$3-1))</f>
        <v/>
      </c>
      <c r="DP34" s="149" t="str">
        <f>IF(OR($B34="",$B34=0),"",$I34*$C34*(1+'Property Summary'!$L$21)^('MF CapEx'!DP$3-1))</f>
        <v/>
      </c>
      <c r="DQ34" s="149" t="str">
        <f>IF(OR($B34="",$B34=0),"",$I34*$C34*(1+'Property Summary'!$L$21)^('MF CapEx'!DQ$3-1))</f>
        <v/>
      </c>
      <c r="DR34" s="149" t="str">
        <f>IF(OR($B34="",$B34=0),"",$I34*$C34*(1+'Property Summary'!$L$21)^('MF CapEx'!DR$3-1))</f>
        <v/>
      </c>
      <c r="DS34" s="149" t="str">
        <f>IF(OR($B34="",$B34=0),"",$I34*$C34*(1+'Property Summary'!$L$21)^('MF CapEx'!DS$3-1))</f>
        <v/>
      </c>
      <c r="DT34" s="149" t="str">
        <f>IF(OR($B34="",$B34=0),"",$I34*$C34*(1+'Property Summary'!$L$21)^('MF CapEx'!DT$3-1))</f>
        <v/>
      </c>
      <c r="DU34" s="149" t="str">
        <f>IF(OR($B34="",$B34=0),"",$I34*$C34*(1+'Property Summary'!$L$21)^('MF CapEx'!DU$3-1))</f>
        <v/>
      </c>
      <c r="DV34" s="149" t="str">
        <f>IF(OR($B34="",$B34=0),"",$I34*$C34*(1+'Property Summary'!$L$21)^('MF CapEx'!DV$3-1))</f>
        <v/>
      </c>
      <c r="DW34" s="149" t="str">
        <f>IF(OR($B34="",$B34=0),"",$I34*$C34*(1+'Property Summary'!$L$21)^('MF CapEx'!DW$3-1))</f>
        <v/>
      </c>
      <c r="DX34" s="149" t="str">
        <f>IF(OR($B34="",$B34=0),"",$I34*$C34*(1+'Property Summary'!$L$21)^('MF CapEx'!DX$3-1))</f>
        <v/>
      </c>
      <c r="DY34" s="149" t="str">
        <f>IF(OR($B34="",$B34=0),"",$I34*$C34*(1+'Property Summary'!$L$21)^('MF CapEx'!DY$3-1))</f>
        <v/>
      </c>
      <c r="DZ34" s="149" t="str">
        <f>IF(OR($B34="",$B34=0),"",$I34*$C34*(1+'Property Summary'!$L$21)^('MF CapEx'!DZ$3-1))</f>
        <v/>
      </c>
      <c r="EA34" s="149" t="str">
        <f>IF(OR($B34="",$B34=0),"",$I34*$C34*(1+'Property Summary'!$L$21)^('MF CapEx'!EA$3-1))</f>
        <v/>
      </c>
      <c r="EB34" s="149" t="str">
        <f>IF(OR($B34="",$B34=0),"",$I34*$C34*(1+'Property Summary'!$L$21)^('MF CapEx'!EB$3-1))</f>
        <v/>
      </c>
      <c r="EC34" s="149" t="str">
        <f>IF(OR($B34="",$B34=0),"",$I34*$C34*(1+'Property Summary'!$L$21)^('MF CapEx'!EC$3-1))</f>
        <v/>
      </c>
      <c r="ED34" s="149" t="str">
        <f>IF(OR($B34="",$B34=0),"",$I34*$C34*(1+'Property Summary'!$L$21)^('MF CapEx'!ED$3-1))</f>
        <v/>
      </c>
      <c r="EE34" s="149" t="str">
        <f>IF(OR($B34="",$B34=0),"",$I34*$C34*(1+'Property Summary'!$L$21)^('MF CapEx'!EE$3-1))</f>
        <v/>
      </c>
      <c r="EF34" s="149" t="str">
        <f>IF(OR($B34="",$B34=0),"",$I34*$C34*(1+'Property Summary'!$L$21)^('MF CapEx'!EF$3-1))</f>
        <v/>
      </c>
      <c r="EG34" s="149" t="str">
        <f>IF(OR($B34="",$B34=0),"",$I34*$C34*(1+'Property Summary'!$L$21)^('MF CapEx'!EG$3-1))</f>
        <v/>
      </c>
      <c r="EH34" s="149" t="str">
        <f>IF(OR($B34="",$B34=0),"",$I34*$C34*(1+'Property Summary'!$L$21)^('MF CapEx'!EH$3-1))</f>
        <v/>
      </c>
      <c r="EI34" s="149" t="str">
        <f>IF(OR($B34="",$B34=0),"",$I34*$C34*(1+'Property Summary'!$L$21)^('MF CapEx'!EI$3-1))</f>
        <v/>
      </c>
      <c r="EJ34" s="149" t="str">
        <f>IF(OR($B34="",$B34=0),"",$I34*$C34*(1+'Property Summary'!$L$21)^('MF CapEx'!EJ$3-1))</f>
        <v/>
      </c>
      <c r="EK34" s="149" t="str">
        <f>IF(OR($B34="",$B34=0),"",$I34*$C34*(1+'Property Summary'!$L$21)^('MF CapEx'!EK$3-1))</f>
        <v/>
      </c>
      <c r="EL34" s="149" t="str">
        <f>IF(OR($B34="",$B34=0),"",$I34*$C34*(1+'Property Summary'!$L$21)^('MF CapEx'!EL$3-1))</f>
        <v/>
      </c>
      <c r="EM34" s="149" t="str">
        <f>IF(OR($B34="",$B34=0),"",$I34*$C34*(1+'Property Summary'!$L$21)^('MF CapEx'!EM$3-1))</f>
        <v/>
      </c>
      <c r="EN34" s="149" t="str">
        <f>IF(OR($B34="",$B34=0),"",$I34*$C34*(1+'Property Summary'!$L$21)^('MF CapEx'!EN$3-1))</f>
        <v/>
      </c>
      <c r="EO34" s="149" t="str">
        <f>IF(OR($B34="",$B34=0),"",$I34*$C34*(1+'Property Summary'!$L$21)^('MF CapEx'!EO$3-1))</f>
        <v/>
      </c>
      <c r="EP34" s="149" t="str">
        <f>IF(OR($B34="",$B34=0),"",$I34*$C34*(1+'Property Summary'!$L$21)^('MF CapEx'!EP$3-1))</f>
        <v/>
      </c>
      <c r="EQ34" s="149" t="str">
        <f>IF(OR($B34="",$B34=0),"",$I34*$C34*(1+'Property Summary'!$L$21)^('MF CapEx'!EQ$3-1))</f>
        <v/>
      </c>
      <c r="ER34" s="149" t="str">
        <f>IF(OR($B34="",$B34=0),"",$I34*$C34*(1+'Property Summary'!$L$21)^('MF CapEx'!ER$3-1))</f>
        <v/>
      </c>
      <c r="ES34" s="149" t="str">
        <f>IF(OR($B34="",$B34=0),"",$I34*$C34*(1+'Property Summary'!$L$21)^('MF CapEx'!ES$3-1))</f>
        <v/>
      </c>
      <c r="ET34" s="149" t="str">
        <f>IF(OR($B34="",$B34=0),"",$I34*$C34*(1+'Property Summary'!$L$21)^('MF CapEx'!ET$3-1))</f>
        <v/>
      </c>
      <c r="EU34" s="149" t="str">
        <f>IF(OR($B34="",$B34=0),"",$I34*$C34*(1+'Property Summary'!$L$21)^('MF CapEx'!EU$3-1))</f>
        <v/>
      </c>
      <c r="EV34" s="149" t="str">
        <f>IF(OR($B34="",$B34=0),"",$I34*$C34*(1+'Property Summary'!$L$21)^('MF CapEx'!EV$3-1))</f>
        <v/>
      </c>
      <c r="EW34" s="149" t="str">
        <f>IF(OR($B34="",$B34=0),"",$I34*$C34*(1+'Property Summary'!$L$21)^('MF CapEx'!EW$3-1))</f>
        <v/>
      </c>
      <c r="EX34" s="149" t="str">
        <f>IF(OR($B34="",$B34=0),"",$I34*$C34*(1+'Property Summary'!$L$21)^('MF CapEx'!EX$3-1))</f>
        <v/>
      </c>
      <c r="EY34" s="149" t="str">
        <f>IF(OR($B34="",$B34=0),"",$I34*$C34*(1+'Property Summary'!$L$21)^('MF CapEx'!EY$3-1))</f>
        <v/>
      </c>
      <c r="EZ34" s="149" t="str">
        <f>IF(OR($B34="",$B34=0),"",$I34*$C34*(1+'Property Summary'!$L$21)^('MF CapEx'!EZ$3-1))</f>
        <v/>
      </c>
      <c r="FA34" s="149" t="str">
        <f>IF(OR($B34="",$B34=0),"",$I34*$C34*(1+'Property Summary'!$L$21)^('MF CapEx'!FA$3-1))</f>
        <v/>
      </c>
      <c r="FB34" s="149" t="str">
        <f>IF(OR($B34="",$B34=0),"",$I34*$C34*(1+'Property Summary'!$L$21)^('MF CapEx'!FB$3-1))</f>
        <v/>
      </c>
      <c r="FC34" s="149" t="str">
        <f>IF(OR($B34="",$B34=0),"",$I34*$C34*(1+'Property Summary'!$L$21)^('MF CapEx'!FC$3-1))</f>
        <v/>
      </c>
      <c r="FD34" s="149" t="str">
        <f>IF(OR($B34="",$B34=0),"",$I34*$C34*(1+'Property Summary'!$L$21)^('MF CapEx'!FD$3-1))</f>
        <v/>
      </c>
      <c r="FE34" s="149" t="str">
        <f>IF(OR($B34="",$B34=0),"",$I34*$C34*(1+'Property Summary'!$L$21)^('MF CapEx'!FE$3-1))</f>
        <v/>
      </c>
      <c r="FF34" s="149" t="str">
        <f>IF(OR($B34="",$B34=0),"",$I34*$C34*(1+'Property Summary'!$L$21)^('MF CapEx'!FF$3-1))</f>
        <v/>
      </c>
      <c r="FG34" s="149" t="str">
        <f>IF(OR($B34="",$B34=0),"",$I34*$C34*(1+'Property Summary'!$L$21)^('MF CapEx'!FG$3-1))</f>
        <v/>
      </c>
      <c r="FH34" s="149" t="str">
        <f>IF(OR($B34="",$B34=0),"",$I34*$C34*(1+'Property Summary'!$L$21)^('MF CapEx'!FH$3-1))</f>
        <v/>
      </c>
      <c r="FI34" s="149" t="str">
        <f>IF(OR($B34="",$B34=0),"",$I34*$C34*(1+'Property Summary'!$L$21)^('MF CapEx'!FI$3-1))</f>
        <v/>
      </c>
      <c r="FJ34" s="149" t="str">
        <f>IF(OR($B34="",$B34=0),"",$I34*$C34*(1+'Property Summary'!$L$21)^('MF CapEx'!FJ$3-1))</f>
        <v/>
      </c>
      <c r="FK34" s="149" t="str">
        <f>IF(OR($B34="",$B34=0),"",$I34*$C34*(1+'Property Summary'!$L$21)^('MF CapEx'!FK$3-1))</f>
        <v/>
      </c>
      <c r="FL34" s="149" t="str">
        <f>IF(OR($B34="",$B34=0),"",$I34*$C34*(1+'Property Summary'!$L$21)^('MF CapEx'!FL$3-1))</f>
        <v/>
      </c>
      <c r="FM34" s="149" t="str">
        <f>IF(OR($B34="",$B34=0),"",$I34*$C34*(1+'Property Summary'!$L$21)^('MF CapEx'!FM$3-1))</f>
        <v/>
      </c>
      <c r="FN34" s="149" t="str">
        <f>IF(OR($B34="",$B34=0),"",$I34*$C34*(1+'Property Summary'!$L$21)^('MF CapEx'!FN$3-1))</f>
        <v/>
      </c>
      <c r="FO34" s="149" t="str">
        <f>IF(OR($B34="",$B34=0),"",$I34*$C34*(1+'Property Summary'!$L$21)^('MF CapEx'!FO$3-1))</f>
        <v/>
      </c>
      <c r="FP34" s="149" t="str">
        <f>IF(OR($B34="",$B34=0),"",$I34*$C34*(1+'Property Summary'!$L$21)^('MF CapEx'!FP$3-1))</f>
        <v/>
      </c>
      <c r="FQ34" s="149" t="str">
        <f>IF(OR($B34="",$B34=0),"",$I34*$C34*(1+'Property Summary'!$L$21)^('MF CapEx'!FQ$3-1))</f>
        <v/>
      </c>
      <c r="FR34" s="149" t="str">
        <f>IF(OR($B34="",$B34=0),"",$I34*$C34*(1+'Property Summary'!$L$21)^('MF CapEx'!FR$3-1))</f>
        <v/>
      </c>
      <c r="FS34" s="149" t="str">
        <f>IF(OR($B34="",$B34=0),"",$I34*$C34*(1+'Property Summary'!$L$21)^('MF CapEx'!FS$3-1))</f>
        <v/>
      </c>
      <c r="FT34" s="149" t="str">
        <f>IF(OR($B34="",$B34=0),"",$I34*$C34*(1+'Property Summary'!$L$21)^('MF CapEx'!FT$3-1))</f>
        <v/>
      </c>
      <c r="FU34" s="149" t="str">
        <f>IF(OR($B34="",$B34=0),"",$I34*$C34*(1+'Property Summary'!$L$21)^('MF CapEx'!FU$3-1))</f>
        <v/>
      </c>
      <c r="FV34" s="149" t="str">
        <f>IF(OR($B34="",$B34=0),"",$I34*$C34*(1+'Property Summary'!$L$21)^('MF CapEx'!FV$3-1))</f>
        <v/>
      </c>
      <c r="FW34" s="149" t="str">
        <f>IF(OR($B34="",$B34=0),"",$I34*$C34*(1+'Property Summary'!$L$21)^('MF CapEx'!FW$3-1))</f>
        <v/>
      </c>
      <c r="FX34" s="149" t="str">
        <f>IF(OR($B34="",$B34=0),"",$I34*$C34*(1+'Property Summary'!$L$21)^('MF CapEx'!FX$3-1))</f>
        <v/>
      </c>
      <c r="FY34" s="149" t="str">
        <f>IF(OR($B34="",$B34=0),"",$I34*$C34*(1+'Property Summary'!$L$21)^('MF CapEx'!FY$3-1))</f>
        <v/>
      </c>
      <c r="FZ34" s="149" t="str">
        <f>IF(OR($B34="",$B34=0),"",$I34*$C34*(1+'Property Summary'!$L$21)^('MF CapEx'!FZ$3-1))</f>
        <v/>
      </c>
      <c r="GA34" s="149" t="str">
        <f>IF(OR($B34="",$B34=0),"",$I34*$C34*(1+'Property Summary'!$L$21)^('MF CapEx'!GA$3-1))</f>
        <v/>
      </c>
      <c r="GB34" s="149" t="str">
        <f>IF(OR($B34="",$B34=0),"",$I34*$C34*(1+'Property Summary'!$L$21)^('MF CapEx'!GB$3-1))</f>
        <v/>
      </c>
      <c r="GC34" s="149" t="str">
        <f>IF(OR($B34="",$B34=0),"",$I34*$C34*(1+'Property Summary'!$L$21)^('MF CapEx'!GC$3-1))</f>
        <v/>
      </c>
      <c r="GD34" s="149" t="str">
        <f>IF(OR($B34="",$B34=0),"",$I34*$C34*(1+'Property Summary'!$L$21)^('MF CapEx'!GD$3-1))</f>
        <v/>
      </c>
      <c r="GE34" s="149" t="str">
        <f>IF(OR($B34="",$B34=0),"",$I34*$C34*(1+'Property Summary'!$L$21)^('MF CapEx'!GE$3-1))</f>
        <v/>
      </c>
      <c r="GF34" s="149" t="str">
        <f>IF(OR($B34="",$B34=0),"",$I34*$C34*(1+'Property Summary'!$L$21)^('MF CapEx'!GF$3-1))</f>
        <v/>
      </c>
      <c r="GG34" s="149" t="str">
        <f>IF(OR($B34="",$B34=0),"",$I34*$C34*(1+'Property Summary'!$L$21)^('MF CapEx'!GG$3-1))</f>
        <v/>
      </c>
      <c r="GH34" s="149" t="str">
        <f>IF(OR($B34="",$B34=0),"",$I34*$C34*(1+'Property Summary'!$L$21)^('MF CapEx'!GH$3-1))</f>
        <v/>
      </c>
      <c r="GI34" s="149" t="str">
        <f>IF(OR($B34="",$B34=0),"",$I34*$C34*(1+'Property Summary'!$L$21)^('MF CapEx'!GI$3-1))</f>
        <v/>
      </c>
      <c r="GJ34" s="149" t="str">
        <f>IF(OR($B34="",$B34=0),"",$I34*$C34*(1+'Property Summary'!$L$21)^('MF CapEx'!GJ$3-1))</f>
        <v/>
      </c>
      <c r="GK34" s="149" t="str">
        <f>IF(OR($B34="",$B34=0),"",$I34*$C34*(1+'Property Summary'!$L$21)^('MF CapEx'!GK$3-1))</f>
        <v/>
      </c>
      <c r="GL34" s="149" t="str">
        <f>IF(OR($B34="",$B34=0),"",$I34*$C34*(1+'Property Summary'!$L$21)^('MF CapEx'!GL$3-1))</f>
        <v/>
      </c>
      <c r="GM34" s="149" t="str">
        <f>IF(OR($B34="",$B34=0),"",$I34*$C34*(1+'Property Summary'!$L$21)^('MF CapEx'!GM$3-1))</f>
        <v/>
      </c>
      <c r="GN34" s="149" t="str">
        <f>IF(OR($B34="",$B34=0),"",$I34*$C34*(1+'Property Summary'!$L$21)^('MF CapEx'!GN$3-1))</f>
        <v/>
      </c>
      <c r="GO34" s="149" t="str">
        <f>IF(OR($B34="",$B34=0),"",$I34*$C34*(1+'Property Summary'!$L$21)^('MF CapEx'!GO$3-1))</f>
        <v/>
      </c>
      <c r="GP34" s="149" t="str">
        <f>IF(OR($B34="",$B34=0),"",$I34*$C34*(1+'Property Summary'!$L$21)^('MF CapEx'!GP$3-1))</f>
        <v/>
      </c>
    </row>
    <row r="35" spans="2:198" x14ac:dyDescent="0.3">
      <c r="B35" s="184">
        <f>'MF Rent Roll'!B34</f>
        <v>0</v>
      </c>
      <c r="C35" s="171">
        <f>'MF Rent Roll'!C34</f>
        <v>0</v>
      </c>
      <c r="D35" s="172">
        <f>'MF Rent Roll'!D34</f>
        <v>0</v>
      </c>
      <c r="E35" s="172">
        <f>'MF Rent Roll'!E34</f>
        <v>0</v>
      </c>
      <c r="F35" s="173">
        <f>'MF Rent Roll'!F34</f>
        <v>0</v>
      </c>
      <c r="G35" s="174">
        <f>'MF Rent Roll'!G34</f>
        <v>0</v>
      </c>
      <c r="H35" s="176">
        <f>'MF Rent Roll'!J34</f>
        <v>0</v>
      </c>
      <c r="I35" s="174">
        <f>'MF Rent Roll'!K34</f>
        <v>0</v>
      </c>
      <c r="J35" s="177">
        <f>'MF Rent Roll'!L34</f>
        <v>0</v>
      </c>
      <c r="K35" s="178">
        <f>'MF Rent Roll'!M34</f>
        <v>0</v>
      </c>
      <c r="L35" s="174">
        <f>'MF Rent Roll'!N34</f>
        <v>0</v>
      </c>
      <c r="M35" s="179">
        <f>'MF Rent Roll'!O34</f>
        <v>0</v>
      </c>
      <c r="N35" s="180" t="str">
        <f>'MF Rent Roll'!P34</f>
        <v/>
      </c>
      <c r="O35" s="181" t="str">
        <f>'MF Rent Roll'!Q34</f>
        <v/>
      </c>
      <c r="P35" s="104" t="str">
        <f>'MF Rent Roll'!R34</f>
        <v/>
      </c>
      <c r="S35" s="149" t="str">
        <f>IF(OR($B35="",$B35=0),"",$I35*$C35*(1+'Property Summary'!$L$21)^('MF CapEx'!S$3-1))</f>
        <v/>
      </c>
      <c r="T35" s="149" t="str">
        <f>IF(OR($B35="",$B35=0),"",$I35*$C35*(1+'Property Summary'!$L$21)^('MF CapEx'!T$3-1))</f>
        <v/>
      </c>
      <c r="U35" s="149" t="str">
        <f>IF(OR($B35="",$B35=0),"",$I35*$C35*(1+'Property Summary'!$L$21)^('MF CapEx'!U$3-1))</f>
        <v/>
      </c>
      <c r="V35" s="149" t="str">
        <f>IF(OR($B35="",$B35=0),"",$I35*$C35*(1+'Property Summary'!$L$21)^('MF CapEx'!V$3-1))</f>
        <v/>
      </c>
      <c r="W35" s="149" t="str">
        <f>IF(OR($B35="",$B35=0),"",$I35*$C35*(1+'Property Summary'!$L$21)^('MF CapEx'!W$3-1))</f>
        <v/>
      </c>
      <c r="X35" s="149" t="str">
        <f>IF(OR($B35="",$B35=0),"",$I35*$C35*(1+'Property Summary'!$L$21)^('MF CapEx'!X$3-1))</f>
        <v/>
      </c>
      <c r="Y35" s="149" t="str">
        <f>IF(OR($B35="",$B35=0),"",$I35*$C35*(1+'Property Summary'!$L$21)^('MF CapEx'!Y$3-1))</f>
        <v/>
      </c>
      <c r="Z35" s="149" t="str">
        <f>IF(OR($B35="",$B35=0),"",$I35*$C35*(1+'Property Summary'!$L$21)^('MF CapEx'!Z$3-1))</f>
        <v/>
      </c>
      <c r="AA35" s="149" t="str">
        <f>IF(OR($B35="",$B35=0),"",$I35*$C35*(1+'Property Summary'!$L$21)^('MF CapEx'!AA$3-1))</f>
        <v/>
      </c>
      <c r="AB35" s="149" t="str">
        <f>IF(OR($B35="",$B35=0),"",$I35*$C35*(1+'Property Summary'!$L$21)^('MF CapEx'!AB$3-1))</f>
        <v/>
      </c>
      <c r="AC35" s="149" t="str">
        <f>IF(OR($B35="",$B35=0),"",$I35*$C35*(1+'Property Summary'!$L$21)^('MF CapEx'!AC$3-1))</f>
        <v/>
      </c>
      <c r="AD35" s="149" t="str">
        <f>IF(OR($B35="",$B35=0),"",$I35*$C35*(1+'Property Summary'!$L$21)^('MF CapEx'!AD$3-1))</f>
        <v/>
      </c>
      <c r="AE35" s="149" t="str">
        <f>IF(OR($B35="",$B35=0),"",$I35*$C35*(1+'Property Summary'!$L$21)^('MF CapEx'!AE$3-1))</f>
        <v/>
      </c>
      <c r="AF35" s="149" t="str">
        <f>IF(OR($B35="",$B35=0),"",$I35*$C35*(1+'Property Summary'!$L$21)^('MF CapEx'!AF$3-1))</f>
        <v/>
      </c>
      <c r="AG35" s="149" t="str">
        <f>IF(OR($B35="",$B35=0),"",$I35*$C35*(1+'Property Summary'!$L$21)^('MF CapEx'!AG$3-1))</f>
        <v/>
      </c>
      <c r="AH35" s="149" t="str">
        <f>IF(OR($B35="",$B35=0),"",$I35*$C35*(1+'Property Summary'!$L$21)^('MF CapEx'!AH$3-1))</f>
        <v/>
      </c>
      <c r="AI35" s="149" t="str">
        <f>IF(OR($B35="",$B35=0),"",$I35*$C35*(1+'Property Summary'!$L$21)^('MF CapEx'!AI$3-1))</f>
        <v/>
      </c>
      <c r="AJ35" s="149" t="str">
        <f>IF(OR($B35="",$B35=0),"",$I35*$C35*(1+'Property Summary'!$L$21)^('MF CapEx'!AJ$3-1))</f>
        <v/>
      </c>
      <c r="AK35" s="149" t="str">
        <f>IF(OR($B35="",$B35=0),"",$I35*$C35*(1+'Property Summary'!$L$21)^('MF CapEx'!AK$3-1))</f>
        <v/>
      </c>
      <c r="AL35" s="149" t="str">
        <f>IF(OR($B35="",$B35=0),"",$I35*$C35*(1+'Property Summary'!$L$21)^('MF CapEx'!AL$3-1))</f>
        <v/>
      </c>
      <c r="AM35" s="149" t="str">
        <f>IF(OR($B35="",$B35=0),"",$I35*$C35*(1+'Property Summary'!$L$21)^('MF CapEx'!AM$3-1))</f>
        <v/>
      </c>
      <c r="AN35" s="149" t="str">
        <f>IF(OR($B35="",$B35=0),"",$I35*$C35*(1+'Property Summary'!$L$21)^('MF CapEx'!AN$3-1))</f>
        <v/>
      </c>
      <c r="AO35" s="149" t="str">
        <f>IF(OR($B35="",$B35=0),"",$I35*$C35*(1+'Property Summary'!$L$21)^('MF CapEx'!AO$3-1))</f>
        <v/>
      </c>
      <c r="AP35" s="149" t="str">
        <f>IF(OR($B35="",$B35=0),"",$I35*$C35*(1+'Property Summary'!$L$21)^('MF CapEx'!AP$3-1))</f>
        <v/>
      </c>
      <c r="AQ35" s="149" t="str">
        <f>IF(OR($B35="",$B35=0),"",$I35*$C35*(1+'Property Summary'!$L$21)^('MF CapEx'!AQ$3-1))</f>
        <v/>
      </c>
      <c r="AR35" s="149" t="str">
        <f>IF(OR($B35="",$B35=0),"",$I35*$C35*(1+'Property Summary'!$L$21)^('MF CapEx'!AR$3-1))</f>
        <v/>
      </c>
      <c r="AS35" s="149" t="str">
        <f>IF(OR($B35="",$B35=0),"",$I35*$C35*(1+'Property Summary'!$L$21)^('MF CapEx'!AS$3-1))</f>
        <v/>
      </c>
      <c r="AT35" s="149" t="str">
        <f>IF(OR($B35="",$B35=0),"",$I35*$C35*(1+'Property Summary'!$L$21)^('MF CapEx'!AT$3-1))</f>
        <v/>
      </c>
      <c r="AU35" s="149" t="str">
        <f>IF(OR($B35="",$B35=0),"",$I35*$C35*(1+'Property Summary'!$L$21)^('MF CapEx'!AU$3-1))</f>
        <v/>
      </c>
      <c r="AV35" s="149" t="str">
        <f>IF(OR($B35="",$B35=0),"",$I35*$C35*(1+'Property Summary'!$L$21)^('MF CapEx'!AV$3-1))</f>
        <v/>
      </c>
      <c r="AW35" s="149" t="str">
        <f>IF(OR($B35="",$B35=0),"",$I35*$C35*(1+'Property Summary'!$L$21)^('MF CapEx'!AW$3-1))</f>
        <v/>
      </c>
      <c r="AX35" s="149" t="str">
        <f>IF(OR($B35="",$B35=0),"",$I35*$C35*(1+'Property Summary'!$L$21)^('MF CapEx'!AX$3-1))</f>
        <v/>
      </c>
      <c r="AY35" s="149" t="str">
        <f>IF(OR($B35="",$B35=0),"",$I35*$C35*(1+'Property Summary'!$L$21)^('MF CapEx'!AY$3-1))</f>
        <v/>
      </c>
      <c r="AZ35" s="149" t="str">
        <f>IF(OR($B35="",$B35=0),"",$I35*$C35*(1+'Property Summary'!$L$21)^('MF CapEx'!AZ$3-1))</f>
        <v/>
      </c>
      <c r="BA35" s="149" t="str">
        <f>IF(OR($B35="",$B35=0),"",$I35*$C35*(1+'Property Summary'!$L$21)^('MF CapEx'!BA$3-1))</f>
        <v/>
      </c>
      <c r="BB35" s="149" t="str">
        <f>IF(OR($B35="",$B35=0),"",$I35*$C35*(1+'Property Summary'!$L$21)^('MF CapEx'!BB$3-1))</f>
        <v/>
      </c>
      <c r="BC35" s="149" t="str">
        <f>IF(OR($B35="",$B35=0),"",$I35*$C35*(1+'Property Summary'!$L$21)^('MF CapEx'!BC$3-1))</f>
        <v/>
      </c>
      <c r="BD35" s="149" t="str">
        <f>IF(OR($B35="",$B35=0),"",$I35*$C35*(1+'Property Summary'!$L$21)^('MF CapEx'!BD$3-1))</f>
        <v/>
      </c>
      <c r="BE35" s="149" t="str">
        <f>IF(OR($B35="",$B35=0),"",$I35*$C35*(1+'Property Summary'!$L$21)^('MF CapEx'!BE$3-1))</f>
        <v/>
      </c>
      <c r="BF35" s="149" t="str">
        <f>IF(OR($B35="",$B35=0),"",$I35*$C35*(1+'Property Summary'!$L$21)^('MF CapEx'!BF$3-1))</f>
        <v/>
      </c>
      <c r="BG35" s="149" t="str">
        <f>IF(OR($B35="",$B35=0),"",$I35*$C35*(1+'Property Summary'!$L$21)^('MF CapEx'!BG$3-1))</f>
        <v/>
      </c>
      <c r="BH35" s="149" t="str">
        <f>IF(OR($B35="",$B35=0),"",$I35*$C35*(1+'Property Summary'!$L$21)^('MF CapEx'!BH$3-1))</f>
        <v/>
      </c>
      <c r="BI35" s="149" t="str">
        <f>IF(OR($B35="",$B35=0),"",$I35*$C35*(1+'Property Summary'!$L$21)^('MF CapEx'!BI$3-1))</f>
        <v/>
      </c>
      <c r="BJ35" s="149" t="str">
        <f>IF(OR($B35="",$B35=0),"",$I35*$C35*(1+'Property Summary'!$L$21)^('MF CapEx'!BJ$3-1))</f>
        <v/>
      </c>
      <c r="BK35" s="149" t="str">
        <f>IF(OR($B35="",$B35=0),"",$I35*$C35*(1+'Property Summary'!$L$21)^('MF CapEx'!BK$3-1))</f>
        <v/>
      </c>
      <c r="BL35" s="149" t="str">
        <f>IF(OR($B35="",$B35=0),"",$I35*$C35*(1+'Property Summary'!$L$21)^('MF CapEx'!BL$3-1))</f>
        <v/>
      </c>
      <c r="BM35" s="149" t="str">
        <f>IF(OR($B35="",$B35=0),"",$I35*$C35*(1+'Property Summary'!$L$21)^('MF CapEx'!BM$3-1))</f>
        <v/>
      </c>
      <c r="BN35" s="149" t="str">
        <f>IF(OR($B35="",$B35=0),"",$I35*$C35*(1+'Property Summary'!$L$21)^('MF CapEx'!BN$3-1))</f>
        <v/>
      </c>
      <c r="BO35" s="149" t="str">
        <f>IF(OR($B35="",$B35=0),"",$I35*$C35*(1+'Property Summary'!$L$21)^('MF CapEx'!BO$3-1))</f>
        <v/>
      </c>
      <c r="BP35" s="149" t="str">
        <f>IF(OR($B35="",$B35=0),"",$I35*$C35*(1+'Property Summary'!$L$21)^('MF CapEx'!BP$3-1))</f>
        <v/>
      </c>
      <c r="BQ35" s="149" t="str">
        <f>IF(OR($B35="",$B35=0),"",$I35*$C35*(1+'Property Summary'!$L$21)^('MF CapEx'!BQ$3-1))</f>
        <v/>
      </c>
      <c r="BR35" s="149" t="str">
        <f>IF(OR($B35="",$B35=0),"",$I35*$C35*(1+'Property Summary'!$L$21)^('MF CapEx'!BR$3-1))</f>
        <v/>
      </c>
      <c r="BS35" s="149" t="str">
        <f>IF(OR($B35="",$B35=0),"",$I35*$C35*(1+'Property Summary'!$L$21)^('MF CapEx'!BS$3-1))</f>
        <v/>
      </c>
      <c r="BT35" s="149" t="str">
        <f>IF(OR($B35="",$B35=0),"",$I35*$C35*(1+'Property Summary'!$L$21)^('MF CapEx'!BT$3-1))</f>
        <v/>
      </c>
      <c r="BU35" s="149" t="str">
        <f>IF(OR($B35="",$B35=0),"",$I35*$C35*(1+'Property Summary'!$L$21)^('MF CapEx'!BU$3-1))</f>
        <v/>
      </c>
      <c r="BV35" s="149" t="str">
        <f>IF(OR($B35="",$B35=0),"",$I35*$C35*(1+'Property Summary'!$L$21)^('MF CapEx'!BV$3-1))</f>
        <v/>
      </c>
      <c r="BW35" s="149" t="str">
        <f>IF(OR($B35="",$B35=0),"",$I35*$C35*(1+'Property Summary'!$L$21)^('MF CapEx'!BW$3-1))</f>
        <v/>
      </c>
      <c r="BX35" s="149" t="str">
        <f>IF(OR($B35="",$B35=0),"",$I35*$C35*(1+'Property Summary'!$L$21)^('MF CapEx'!BX$3-1))</f>
        <v/>
      </c>
      <c r="BY35" s="149" t="str">
        <f>IF(OR($B35="",$B35=0),"",$I35*$C35*(1+'Property Summary'!$L$21)^('MF CapEx'!BY$3-1))</f>
        <v/>
      </c>
      <c r="BZ35" s="149" t="str">
        <f>IF(OR($B35="",$B35=0),"",$I35*$C35*(1+'Property Summary'!$L$21)^('MF CapEx'!BZ$3-1))</f>
        <v/>
      </c>
      <c r="CA35" s="149" t="str">
        <f>IF(OR($B35="",$B35=0),"",$I35*$C35*(1+'Property Summary'!$L$21)^('MF CapEx'!CA$3-1))</f>
        <v/>
      </c>
      <c r="CB35" s="149" t="str">
        <f>IF(OR($B35="",$B35=0),"",$I35*$C35*(1+'Property Summary'!$L$21)^('MF CapEx'!CB$3-1))</f>
        <v/>
      </c>
      <c r="CC35" s="149" t="str">
        <f>IF(OR($B35="",$B35=0),"",$I35*$C35*(1+'Property Summary'!$L$21)^('MF CapEx'!CC$3-1))</f>
        <v/>
      </c>
      <c r="CD35" s="149" t="str">
        <f>IF(OR($B35="",$B35=0),"",$I35*$C35*(1+'Property Summary'!$L$21)^('MF CapEx'!CD$3-1))</f>
        <v/>
      </c>
      <c r="CE35" s="149" t="str">
        <f>IF(OR($B35="",$B35=0),"",$I35*$C35*(1+'Property Summary'!$L$21)^('MF CapEx'!CE$3-1))</f>
        <v/>
      </c>
      <c r="CF35" s="149" t="str">
        <f>IF(OR($B35="",$B35=0),"",$I35*$C35*(1+'Property Summary'!$L$21)^('MF CapEx'!CF$3-1))</f>
        <v/>
      </c>
      <c r="CG35" s="149" t="str">
        <f>IF(OR($B35="",$B35=0),"",$I35*$C35*(1+'Property Summary'!$L$21)^('MF CapEx'!CG$3-1))</f>
        <v/>
      </c>
      <c r="CH35" s="149" t="str">
        <f>IF(OR($B35="",$B35=0),"",$I35*$C35*(1+'Property Summary'!$L$21)^('MF CapEx'!CH$3-1))</f>
        <v/>
      </c>
      <c r="CI35" s="149" t="str">
        <f>IF(OR($B35="",$B35=0),"",$I35*$C35*(1+'Property Summary'!$L$21)^('MF CapEx'!CI$3-1))</f>
        <v/>
      </c>
      <c r="CJ35" s="149" t="str">
        <f>IF(OR($B35="",$B35=0),"",$I35*$C35*(1+'Property Summary'!$L$21)^('MF CapEx'!CJ$3-1))</f>
        <v/>
      </c>
      <c r="CK35" s="149" t="str">
        <f>IF(OR($B35="",$B35=0),"",$I35*$C35*(1+'Property Summary'!$L$21)^('MF CapEx'!CK$3-1))</f>
        <v/>
      </c>
      <c r="CL35" s="149" t="str">
        <f>IF(OR($B35="",$B35=0),"",$I35*$C35*(1+'Property Summary'!$L$21)^('MF CapEx'!CL$3-1))</f>
        <v/>
      </c>
      <c r="CM35" s="149" t="str">
        <f>IF(OR($B35="",$B35=0),"",$I35*$C35*(1+'Property Summary'!$L$21)^('MF CapEx'!CM$3-1))</f>
        <v/>
      </c>
      <c r="CN35" s="149" t="str">
        <f>IF(OR($B35="",$B35=0),"",$I35*$C35*(1+'Property Summary'!$L$21)^('MF CapEx'!CN$3-1))</f>
        <v/>
      </c>
      <c r="CO35" s="149" t="str">
        <f>IF(OR($B35="",$B35=0),"",$I35*$C35*(1+'Property Summary'!$L$21)^('MF CapEx'!CO$3-1))</f>
        <v/>
      </c>
      <c r="CP35" s="149" t="str">
        <f>IF(OR($B35="",$B35=0),"",$I35*$C35*(1+'Property Summary'!$L$21)^('MF CapEx'!CP$3-1))</f>
        <v/>
      </c>
      <c r="CQ35" s="149" t="str">
        <f>IF(OR($B35="",$B35=0),"",$I35*$C35*(1+'Property Summary'!$L$21)^('MF CapEx'!CQ$3-1))</f>
        <v/>
      </c>
      <c r="CR35" s="149" t="str">
        <f>IF(OR($B35="",$B35=0),"",$I35*$C35*(1+'Property Summary'!$L$21)^('MF CapEx'!CR$3-1))</f>
        <v/>
      </c>
      <c r="CS35" s="149" t="str">
        <f>IF(OR($B35="",$B35=0),"",$I35*$C35*(1+'Property Summary'!$L$21)^('MF CapEx'!CS$3-1))</f>
        <v/>
      </c>
      <c r="CT35" s="149" t="str">
        <f>IF(OR($B35="",$B35=0),"",$I35*$C35*(1+'Property Summary'!$L$21)^('MF CapEx'!CT$3-1))</f>
        <v/>
      </c>
      <c r="CU35" s="149" t="str">
        <f>IF(OR($B35="",$B35=0),"",$I35*$C35*(1+'Property Summary'!$L$21)^('MF CapEx'!CU$3-1))</f>
        <v/>
      </c>
      <c r="CV35" s="149" t="str">
        <f>IF(OR($B35="",$B35=0),"",$I35*$C35*(1+'Property Summary'!$L$21)^('MF CapEx'!CV$3-1))</f>
        <v/>
      </c>
      <c r="CW35" s="149" t="str">
        <f>IF(OR($B35="",$B35=0),"",$I35*$C35*(1+'Property Summary'!$L$21)^('MF CapEx'!CW$3-1))</f>
        <v/>
      </c>
      <c r="CX35" s="149" t="str">
        <f>IF(OR($B35="",$B35=0),"",$I35*$C35*(1+'Property Summary'!$L$21)^('MF CapEx'!CX$3-1))</f>
        <v/>
      </c>
      <c r="CY35" s="149" t="str">
        <f>IF(OR($B35="",$B35=0),"",$I35*$C35*(1+'Property Summary'!$L$21)^('MF CapEx'!CY$3-1))</f>
        <v/>
      </c>
      <c r="CZ35" s="149" t="str">
        <f>IF(OR($B35="",$B35=0),"",$I35*$C35*(1+'Property Summary'!$L$21)^('MF CapEx'!CZ$3-1))</f>
        <v/>
      </c>
      <c r="DA35" s="149" t="str">
        <f>IF(OR($B35="",$B35=0),"",$I35*$C35*(1+'Property Summary'!$L$21)^('MF CapEx'!DA$3-1))</f>
        <v/>
      </c>
      <c r="DB35" s="149" t="str">
        <f>IF(OR($B35="",$B35=0),"",$I35*$C35*(1+'Property Summary'!$L$21)^('MF CapEx'!DB$3-1))</f>
        <v/>
      </c>
      <c r="DC35" s="149" t="str">
        <f>IF(OR($B35="",$B35=0),"",$I35*$C35*(1+'Property Summary'!$L$21)^('MF CapEx'!DC$3-1))</f>
        <v/>
      </c>
      <c r="DD35" s="149" t="str">
        <f>IF(OR($B35="",$B35=0),"",$I35*$C35*(1+'Property Summary'!$L$21)^('MF CapEx'!DD$3-1))</f>
        <v/>
      </c>
      <c r="DE35" s="149" t="str">
        <f>IF(OR($B35="",$B35=0),"",$I35*$C35*(1+'Property Summary'!$L$21)^('MF CapEx'!DE$3-1))</f>
        <v/>
      </c>
      <c r="DF35" s="149" t="str">
        <f>IF(OR($B35="",$B35=0),"",$I35*$C35*(1+'Property Summary'!$L$21)^('MF CapEx'!DF$3-1))</f>
        <v/>
      </c>
      <c r="DG35" s="149" t="str">
        <f>IF(OR($B35="",$B35=0),"",$I35*$C35*(1+'Property Summary'!$L$21)^('MF CapEx'!DG$3-1))</f>
        <v/>
      </c>
      <c r="DH35" s="149" t="str">
        <f>IF(OR($B35="",$B35=0),"",$I35*$C35*(1+'Property Summary'!$L$21)^('MF CapEx'!DH$3-1))</f>
        <v/>
      </c>
      <c r="DI35" s="149" t="str">
        <f>IF(OR($B35="",$B35=0),"",$I35*$C35*(1+'Property Summary'!$L$21)^('MF CapEx'!DI$3-1))</f>
        <v/>
      </c>
      <c r="DJ35" s="149" t="str">
        <f>IF(OR($B35="",$B35=0),"",$I35*$C35*(1+'Property Summary'!$L$21)^('MF CapEx'!DJ$3-1))</f>
        <v/>
      </c>
      <c r="DK35" s="149" t="str">
        <f>IF(OR($B35="",$B35=0),"",$I35*$C35*(1+'Property Summary'!$L$21)^('MF CapEx'!DK$3-1))</f>
        <v/>
      </c>
      <c r="DL35" s="149" t="str">
        <f>IF(OR($B35="",$B35=0),"",$I35*$C35*(1+'Property Summary'!$L$21)^('MF CapEx'!DL$3-1))</f>
        <v/>
      </c>
      <c r="DM35" s="149" t="str">
        <f>IF(OR($B35="",$B35=0),"",$I35*$C35*(1+'Property Summary'!$L$21)^('MF CapEx'!DM$3-1))</f>
        <v/>
      </c>
      <c r="DN35" s="149" t="str">
        <f>IF(OR($B35="",$B35=0),"",$I35*$C35*(1+'Property Summary'!$L$21)^('MF CapEx'!DN$3-1))</f>
        <v/>
      </c>
      <c r="DO35" s="149" t="str">
        <f>IF(OR($B35="",$B35=0),"",$I35*$C35*(1+'Property Summary'!$L$21)^('MF CapEx'!DO$3-1))</f>
        <v/>
      </c>
      <c r="DP35" s="149" t="str">
        <f>IF(OR($B35="",$B35=0),"",$I35*$C35*(1+'Property Summary'!$L$21)^('MF CapEx'!DP$3-1))</f>
        <v/>
      </c>
      <c r="DQ35" s="149" t="str">
        <f>IF(OR($B35="",$B35=0),"",$I35*$C35*(1+'Property Summary'!$L$21)^('MF CapEx'!DQ$3-1))</f>
        <v/>
      </c>
      <c r="DR35" s="149" t="str">
        <f>IF(OR($B35="",$B35=0),"",$I35*$C35*(1+'Property Summary'!$L$21)^('MF CapEx'!DR$3-1))</f>
        <v/>
      </c>
      <c r="DS35" s="149" t="str">
        <f>IF(OR($B35="",$B35=0),"",$I35*$C35*(1+'Property Summary'!$L$21)^('MF CapEx'!DS$3-1))</f>
        <v/>
      </c>
      <c r="DT35" s="149" t="str">
        <f>IF(OR($B35="",$B35=0),"",$I35*$C35*(1+'Property Summary'!$L$21)^('MF CapEx'!DT$3-1))</f>
        <v/>
      </c>
      <c r="DU35" s="149" t="str">
        <f>IF(OR($B35="",$B35=0),"",$I35*$C35*(1+'Property Summary'!$L$21)^('MF CapEx'!DU$3-1))</f>
        <v/>
      </c>
      <c r="DV35" s="149" t="str">
        <f>IF(OR($B35="",$B35=0),"",$I35*$C35*(1+'Property Summary'!$L$21)^('MF CapEx'!DV$3-1))</f>
        <v/>
      </c>
      <c r="DW35" s="149" t="str">
        <f>IF(OR($B35="",$B35=0),"",$I35*$C35*(1+'Property Summary'!$L$21)^('MF CapEx'!DW$3-1))</f>
        <v/>
      </c>
      <c r="DX35" s="149" t="str">
        <f>IF(OR($B35="",$B35=0),"",$I35*$C35*(1+'Property Summary'!$L$21)^('MF CapEx'!DX$3-1))</f>
        <v/>
      </c>
      <c r="DY35" s="149" t="str">
        <f>IF(OR($B35="",$B35=0),"",$I35*$C35*(1+'Property Summary'!$L$21)^('MF CapEx'!DY$3-1))</f>
        <v/>
      </c>
      <c r="DZ35" s="149" t="str">
        <f>IF(OR($B35="",$B35=0),"",$I35*$C35*(1+'Property Summary'!$L$21)^('MF CapEx'!DZ$3-1))</f>
        <v/>
      </c>
      <c r="EA35" s="149" t="str">
        <f>IF(OR($B35="",$B35=0),"",$I35*$C35*(1+'Property Summary'!$L$21)^('MF CapEx'!EA$3-1))</f>
        <v/>
      </c>
      <c r="EB35" s="149" t="str">
        <f>IF(OR($B35="",$B35=0),"",$I35*$C35*(1+'Property Summary'!$L$21)^('MF CapEx'!EB$3-1))</f>
        <v/>
      </c>
      <c r="EC35" s="149" t="str">
        <f>IF(OR($B35="",$B35=0),"",$I35*$C35*(1+'Property Summary'!$L$21)^('MF CapEx'!EC$3-1))</f>
        <v/>
      </c>
      <c r="ED35" s="149" t="str">
        <f>IF(OR($B35="",$B35=0),"",$I35*$C35*(1+'Property Summary'!$L$21)^('MF CapEx'!ED$3-1))</f>
        <v/>
      </c>
      <c r="EE35" s="149" t="str">
        <f>IF(OR($B35="",$B35=0),"",$I35*$C35*(1+'Property Summary'!$L$21)^('MF CapEx'!EE$3-1))</f>
        <v/>
      </c>
      <c r="EF35" s="149" t="str">
        <f>IF(OR($B35="",$B35=0),"",$I35*$C35*(1+'Property Summary'!$L$21)^('MF CapEx'!EF$3-1))</f>
        <v/>
      </c>
      <c r="EG35" s="149" t="str">
        <f>IF(OR($B35="",$B35=0),"",$I35*$C35*(1+'Property Summary'!$L$21)^('MF CapEx'!EG$3-1))</f>
        <v/>
      </c>
      <c r="EH35" s="149" t="str">
        <f>IF(OR($B35="",$B35=0),"",$I35*$C35*(1+'Property Summary'!$L$21)^('MF CapEx'!EH$3-1))</f>
        <v/>
      </c>
      <c r="EI35" s="149" t="str">
        <f>IF(OR($B35="",$B35=0),"",$I35*$C35*(1+'Property Summary'!$L$21)^('MF CapEx'!EI$3-1))</f>
        <v/>
      </c>
      <c r="EJ35" s="149" t="str">
        <f>IF(OR($B35="",$B35=0),"",$I35*$C35*(1+'Property Summary'!$L$21)^('MF CapEx'!EJ$3-1))</f>
        <v/>
      </c>
      <c r="EK35" s="149" t="str">
        <f>IF(OR($B35="",$B35=0),"",$I35*$C35*(1+'Property Summary'!$L$21)^('MF CapEx'!EK$3-1))</f>
        <v/>
      </c>
      <c r="EL35" s="149" t="str">
        <f>IF(OR($B35="",$B35=0),"",$I35*$C35*(1+'Property Summary'!$L$21)^('MF CapEx'!EL$3-1))</f>
        <v/>
      </c>
      <c r="EM35" s="149" t="str">
        <f>IF(OR($B35="",$B35=0),"",$I35*$C35*(1+'Property Summary'!$L$21)^('MF CapEx'!EM$3-1))</f>
        <v/>
      </c>
      <c r="EN35" s="149" t="str">
        <f>IF(OR($B35="",$B35=0),"",$I35*$C35*(1+'Property Summary'!$L$21)^('MF CapEx'!EN$3-1))</f>
        <v/>
      </c>
      <c r="EO35" s="149" t="str">
        <f>IF(OR($B35="",$B35=0),"",$I35*$C35*(1+'Property Summary'!$L$21)^('MF CapEx'!EO$3-1))</f>
        <v/>
      </c>
      <c r="EP35" s="149" t="str">
        <f>IF(OR($B35="",$B35=0),"",$I35*$C35*(1+'Property Summary'!$L$21)^('MF CapEx'!EP$3-1))</f>
        <v/>
      </c>
      <c r="EQ35" s="149" t="str">
        <f>IF(OR($B35="",$B35=0),"",$I35*$C35*(1+'Property Summary'!$L$21)^('MF CapEx'!EQ$3-1))</f>
        <v/>
      </c>
      <c r="ER35" s="149" t="str">
        <f>IF(OR($B35="",$B35=0),"",$I35*$C35*(1+'Property Summary'!$L$21)^('MF CapEx'!ER$3-1))</f>
        <v/>
      </c>
      <c r="ES35" s="149" t="str">
        <f>IF(OR($B35="",$B35=0),"",$I35*$C35*(1+'Property Summary'!$L$21)^('MF CapEx'!ES$3-1))</f>
        <v/>
      </c>
      <c r="ET35" s="149" t="str">
        <f>IF(OR($B35="",$B35=0),"",$I35*$C35*(1+'Property Summary'!$L$21)^('MF CapEx'!ET$3-1))</f>
        <v/>
      </c>
      <c r="EU35" s="149" t="str">
        <f>IF(OR($B35="",$B35=0),"",$I35*$C35*(1+'Property Summary'!$L$21)^('MF CapEx'!EU$3-1))</f>
        <v/>
      </c>
      <c r="EV35" s="149" t="str">
        <f>IF(OR($B35="",$B35=0),"",$I35*$C35*(1+'Property Summary'!$L$21)^('MF CapEx'!EV$3-1))</f>
        <v/>
      </c>
      <c r="EW35" s="149" t="str">
        <f>IF(OR($B35="",$B35=0),"",$I35*$C35*(1+'Property Summary'!$L$21)^('MF CapEx'!EW$3-1))</f>
        <v/>
      </c>
      <c r="EX35" s="149" t="str">
        <f>IF(OR($B35="",$B35=0),"",$I35*$C35*(1+'Property Summary'!$L$21)^('MF CapEx'!EX$3-1))</f>
        <v/>
      </c>
      <c r="EY35" s="149" t="str">
        <f>IF(OR($B35="",$B35=0),"",$I35*$C35*(1+'Property Summary'!$L$21)^('MF CapEx'!EY$3-1))</f>
        <v/>
      </c>
      <c r="EZ35" s="149" t="str">
        <f>IF(OR($B35="",$B35=0),"",$I35*$C35*(1+'Property Summary'!$L$21)^('MF CapEx'!EZ$3-1))</f>
        <v/>
      </c>
      <c r="FA35" s="149" t="str">
        <f>IF(OR($B35="",$B35=0),"",$I35*$C35*(1+'Property Summary'!$L$21)^('MF CapEx'!FA$3-1))</f>
        <v/>
      </c>
      <c r="FB35" s="149" t="str">
        <f>IF(OR($B35="",$B35=0),"",$I35*$C35*(1+'Property Summary'!$L$21)^('MF CapEx'!FB$3-1))</f>
        <v/>
      </c>
      <c r="FC35" s="149" t="str">
        <f>IF(OR($B35="",$B35=0),"",$I35*$C35*(1+'Property Summary'!$L$21)^('MF CapEx'!FC$3-1))</f>
        <v/>
      </c>
      <c r="FD35" s="149" t="str">
        <f>IF(OR($B35="",$B35=0),"",$I35*$C35*(1+'Property Summary'!$L$21)^('MF CapEx'!FD$3-1))</f>
        <v/>
      </c>
      <c r="FE35" s="149" t="str">
        <f>IF(OR($B35="",$B35=0),"",$I35*$C35*(1+'Property Summary'!$L$21)^('MF CapEx'!FE$3-1))</f>
        <v/>
      </c>
      <c r="FF35" s="149" t="str">
        <f>IF(OR($B35="",$B35=0),"",$I35*$C35*(1+'Property Summary'!$L$21)^('MF CapEx'!FF$3-1))</f>
        <v/>
      </c>
      <c r="FG35" s="149" t="str">
        <f>IF(OR($B35="",$B35=0),"",$I35*$C35*(1+'Property Summary'!$L$21)^('MF CapEx'!FG$3-1))</f>
        <v/>
      </c>
      <c r="FH35" s="149" t="str">
        <f>IF(OR($B35="",$B35=0),"",$I35*$C35*(1+'Property Summary'!$L$21)^('MF CapEx'!FH$3-1))</f>
        <v/>
      </c>
      <c r="FI35" s="149" t="str">
        <f>IF(OR($B35="",$B35=0),"",$I35*$C35*(1+'Property Summary'!$L$21)^('MF CapEx'!FI$3-1))</f>
        <v/>
      </c>
      <c r="FJ35" s="149" t="str">
        <f>IF(OR($B35="",$B35=0),"",$I35*$C35*(1+'Property Summary'!$L$21)^('MF CapEx'!FJ$3-1))</f>
        <v/>
      </c>
      <c r="FK35" s="149" t="str">
        <f>IF(OR($B35="",$B35=0),"",$I35*$C35*(1+'Property Summary'!$L$21)^('MF CapEx'!FK$3-1))</f>
        <v/>
      </c>
      <c r="FL35" s="149" t="str">
        <f>IF(OR($B35="",$B35=0),"",$I35*$C35*(1+'Property Summary'!$L$21)^('MF CapEx'!FL$3-1))</f>
        <v/>
      </c>
      <c r="FM35" s="149" t="str">
        <f>IF(OR($B35="",$B35=0),"",$I35*$C35*(1+'Property Summary'!$L$21)^('MF CapEx'!FM$3-1))</f>
        <v/>
      </c>
      <c r="FN35" s="149" t="str">
        <f>IF(OR($B35="",$B35=0),"",$I35*$C35*(1+'Property Summary'!$L$21)^('MF CapEx'!FN$3-1))</f>
        <v/>
      </c>
      <c r="FO35" s="149" t="str">
        <f>IF(OR($B35="",$B35=0),"",$I35*$C35*(1+'Property Summary'!$L$21)^('MF CapEx'!FO$3-1))</f>
        <v/>
      </c>
      <c r="FP35" s="149" t="str">
        <f>IF(OR($B35="",$B35=0),"",$I35*$C35*(1+'Property Summary'!$L$21)^('MF CapEx'!FP$3-1))</f>
        <v/>
      </c>
      <c r="FQ35" s="149" t="str">
        <f>IF(OR($B35="",$B35=0),"",$I35*$C35*(1+'Property Summary'!$L$21)^('MF CapEx'!FQ$3-1))</f>
        <v/>
      </c>
      <c r="FR35" s="149" t="str">
        <f>IF(OR($B35="",$B35=0),"",$I35*$C35*(1+'Property Summary'!$L$21)^('MF CapEx'!FR$3-1))</f>
        <v/>
      </c>
      <c r="FS35" s="149" t="str">
        <f>IF(OR($B35="",$B35=0),"",$I35*$C35*(1+'Property Summary'!$L$21)^('MF CapEx'!FS$3-1))</f>
        <v/>
      </c>
      <c r="FT35" s="149" t="str">
        <f>IF(OR($B35="",$B35=0),"",$I35*$C35*(1+'Property Summary'!$L$21)^('MF CapEx'!FT$3-1))</f>
        <v/>
      </c>
      <c r="FU35" s="149" t="str">
        <f>IF(OR($B35="",$B35=0),"",$I35*$C35*(1+'Property Summary'!$L$21)^('MF CapEx'!FU$3-1))</f>
        <v/>
      </c>
      <c r="FV35" s="149" t="str">
        <f>IF(OR($B35="",$B35=0),"",$I35*$C35*(1+'Property Summary'!$L$21)^('MF CapEx'!FV$3-1))</f>
        <v/>
      </c>
      <c r="FW35" s="149" t="str">
        <f>IF(OR($B35="",$B35=0),"",$I35*$C35*(1+'Property Summary'!$L$21)^('MF CapEx'!FW$3-1))</f>
        <v/>
      </c>
      <c r="FX35" s="149" t="str">
        <f>IF(OR($B35="",$B35=0),"",$I35*$C35*(1+'Property Summary'!$L$21)^('MF CapEx'!FX$3-1))</f>
        <v/>
      </c>
      <c r="FY35" s="149" t="str">
        <f>IF(OR($B35="",$B35=0),"",$I35*$C35*(1+'Property Summary'!$L$21)^('MF CapEx'!FY$3-1))</f>
        <v/>
      </c>
      <c r="FZ35" s="149" t="str">
        <f>IF(OR($B35="",$B35=0),"",$I35*$C35*(1+'Property Summary'!$L$21)^('MF CapEx'!FZ$3-1))</f>
        <v/>
      </c>
      <c r="GA35" s="149" t="str">
        <f>IF(OR($B35="",$B35=0),"",$I35*$C35*(1+'Property Summary'!$L$21)^('MF CapEx'!GA$3-1))</f>
        <v/>
      </c>
      <c r="GB35" s="149" t="str">
        <f>IF(OR($B35="",$B35=0),"",$I35*$C35*(1+'Property Summary'!$L$21)^('MF CapEx'!GB$3-1))</f>
        <v/>
      </c>
      <c r="GC35" s="149" t="str">
        <f>IF(OR($B35="",$B35=0),"",$I35*$C35*(1+'Property Summary'!$L$21)^('MF CapEx'!GC$3-1))</f>
        <v/>
      </c>
      <c r="GD35" s="149" t="str">
        <f>IF(OR($B35="",$B35=0),"",$I35*$C35*(1+'Property Summary'!$L$21)^('MF CapEx'!GD$3-1))</f>
        <v/>
      </c>
      <c r="GE35" s="149" t="str">
        <f>IF(OR($B35="",$B35=0),"",$I35*$C35*(1+'Property Summary'!$L$21)^('MF CapEx'!GE$3-1))</f>
        <v/>
      </c>
      <c r="GF35" s="149" t="str">
        <f>IF(OR($B35="",$B35=0),"",$I35*$C35*(1+'Property Summary'!$L$21)^('MF CapEx'!GF$3-1))</f>
        <v/>
      </c>
      <c r="GG35" s="149" t="str">
        <f>IF(OR($B35="",$B35=0),"",$I35*$C35*(1+'Property Summary'!$L$21)^('MF CapEx'!GG$3-1))</f>
        <v/>
      </c>
      <c r="GH35" s="149" t="str">
        <f>IF(OR($B35="",$B35=0),"",$I35*$C35*(1+'Property Summary'!$L$21)^('MF CapEx'!GH$3-1))</f>
        <v/>
      </c>
      <c r="GI35" s="149" t="str">
        <f>IF(OR($B35="",$B35=0),"",$I35*$C35*(1+'Property Summary'!$L$21)^('MF CapEx'!GI$3-1))</f>
        <v/>
      </c>
      <c r="GJ35" s="149" t="str">
        <f>IF(OR($B35="",$B35=0),"",$I35*$C35*(1+'Property Summary'!$L$21)^('MF CapEx'!GJ$3-1))</f>
        <v/>
      </c>
      <c r="GK35" s="149" t="str">
        <f>IF(OR($B35="",$B35=0),"",$I35*$C35*(1+'Property Summary'!$L$21)^('MF CapEx'!GK$3-1))</f>
        <v/>
      </c>
      <c r="GL35" s="149" t="str">
        <f>IF(OR($B35="",$B35=0),"",$I35*$C35*(1+'Property Summary'!$L$21)^('MF CapEx'!GL$3-1))</f>
        <v/>
      </c>
      <c r="GM35" s="149" t="str">
        <f>IF(OR($B35="",$B35=0),"",$I35*$C35*(1+'Property Summary'!$L$21)^('MF CapEx'!GM$3-1))</f>
        <v/>
      </c>
      <c r="GN35" s="149" t="str">
        <f>IF(OR($B35="",$B35=0),"",$I35*$C35*(1+'Property Summary'!$L$21)^('MF CapEx'!GN$3-1))</f>
        <v/>
      </c>
      <c r="GO35" s="149" t="str">
        <f>IF(OR($B35="",$B35=0),"",$I35*$C35*(1+'Property Summary'!$L$21)^('MF CapEx'!GO$3-1))</f>
        <v/>
      </c>
      <c r="GP35" s="149" t="str">
        <f>IF(OR($B35="",$B35=0),"",$I35*$C35*(1+'Property Summary'!$L$21)^('MF CapEx'!GP$3-1))</f>
        <v/>
      </c>
    </row>
    <row r="36" spans="2:198" x14ac:dyDescent="0.3">
      <c r="B36" s="184">
        <f>'MF Rent Roll'!B35</f>
        <v>0</v>
      </c>
      <c r="C36" s="171">
        <f>'MF Rent Roll'!C35</f>
        <v>0</v>
      </c>
      <c r="D36" s="172">
        <f>'MF Rent Roll'!D35</f>
        <v>0</v>
      </c>
      <c r="E36" s="172">
        <f>'MF Rent Roll'!E35</f>
        <v>0</v>
      </c>
      <c r="F36" s="173">
        <f>'MF Rent Roll'!F35</f>
        <v>0</v>
      </c>
      <c r="G36" s="174">
        <f>'MF Rent Roll'!G35</f>
        <v>0</v>
      </c>
      <c r="H36" s="176">
        <f>'MF Rent Roll'!J35</f>
        <v>0</v>
      </c>
      <c r="I36" s="174">
        <f>'MF Rent Roll'!K35</f>
        <v>0</v>
      </c>
      <c r="J36" s="177">
        <f>'MF Rent Roll'!L35</f>
        <v>0</v>
      </c>
      <c r="K36" s="178">
        <f>'MF Rent Roll'!M35</f>
        <v>0</v>
      </c>
      <c r="L36" s="174">
        <f>'MF Rent Roll'!N35</f>
        <v>0</v>
      </c>
      <c r="M36" s="179">
        <f>'MF Rent Roll'!O35</f>
        <v>0</v>
      </c>
      <c r="N36" s="180" t="str">
        <f>'MF Rent Roll'!P35</f>
        <v/>
      </c>
      <c r="O36" s="181" t="str">
        <f>'MF Rent Roll'!Q35</f>
        <v/>
      </c>
      <c r="P36" s="104" t="str">
        <f>'MF Rent Roll'!R35</f>
        <v/>
      </c>
      <c r="S36" s="149" t="str">
        <f>IF(OR($B36="",$B36=0),"",$I36*$C36*(1+'Property Summary'!$L$21)^('MF CapEx'!S$3-1))</f>
        <v/>
      </c>
      <c r="T36" s="149" t="str">
        <f>IF(OR($B36="",$B36=0),"",$I36*$C36*(1+'Property Summary'!$L$21)^('MF CapEx'!T$3-1))</f>
        <v/>
      </c>
      <c r="U36" s="149" t="str">
        <f>IF(OR($B36="",$B36=0),"",$I36*$C36*(1+'Property Summary'!$L$21)^('MF CapEx'!U$3-1))</f>
        <v/>
      </c>
      <c r="V36" s="149" t="str">
        <f>IF(OR($B36="",$B36=0),"",$I36*$C36*(1+'Property Summary'!$L$21)^('MF CapEx'!V$3-1))</f>
        <v/>
      </c>
      <c r="W36" s="149" t="str">
        <f>IF(OR($B36="",$B36=0),"",$I36*$C36*(1+'Property Summary'!$L$21)^('MF CapEx'!W$3-1))</f>
        <v/>
      </c>
      <c r="X36" s="149" t="str">
        <f>IF(OR($B36="",$B36=0),"",$I36*$C36*(1+'Property Summary'!$L$21)^('MF CapEx'!X$3-1))</f>
        <v/>
      </c>
      <c r="Y36" s="149" t="str">
        <f>IF(OR($B36="",$B36=0),"",$I36*$C36*(1+'Property Summary'!$L$21)^('MF CapEx'!Y$3-1))</f>
        <v/>
      </c>
      <c r="Z36" s="149" t="str">
        <f>IF(OR($B36="",$B36=0),"",$I36*$C36*(1+'Property Summary'!$L$21)^('MF CapEx'!Z$3-1))</f>
        <v/>
      </c>
      <c r="AA36" s="149" t="str">
        <f>IF(OR($B36="",$B36=0),"",$I36*$C36*(1+'Property Summary'!$L$21)^('MF CapEx'!AA$3-1))</f>
        <v/>
      </c>
      <c r="AB36" s="149" t="str">
        <f>IF(OR($B36="",$B36=0),"",$I36*$C36*(1+'Property Summary'!$L$21)^('MF CapEx'!AB$3-1))</f>
        <v/>
      </c>
      <c r="AC36" s="149" t="str">
        <f>IF(OR($B36="",$B36=0),"",$I36*$C36*(1+'Property Summary'!$L$21)^('MF CapEx'!AC$3-1))</f>
        <v/>
      </c>
      <c r="AD36" s="149" t="str">
        <f>IF(OR($B36="",$B36=0),"",$I36*$C36*(1+'Property Summary'!$L$21)^('MF CapEx'!AD$3-1))</f>
        <v/>
      </c>
      <c r="AE36" s="149" t="str">
        <f>IF(OR($B36="",$B36=0),"",$I36*$C36*(1+'Property Summary'!$L$21)^('MF CapEx'!AE$3-1))</f>
        <v/>
      </c>
      <c r="AF36" s="149" t="str">
        <f>IF(OR($B36="",$B36=0),"",$I36*$C36*(1+'Property Summary'!$L$21)^('MF CapEx'!AF$3-1))</f>
        <v/>
      </c>
      <c r="AG36" s="149" t="str">
        <f>IF(OR($B36="",$B36=0),"",$I36*$C36*(1+'Property Summary'!$L$21)^('MF CapEx'!AG$3-1))</f>
        <v/>
      </c>
      <c r="AH36" s="149" t="str">
        <f>IF(OR($B36="",$B36=0),"",$I36*$C36*(1+'Property Summary'!$L$21)^('MF CapEx'!AH$3-1))</f>
        <v/>
      </c>
      <c r="AI36" s="149" t="str">
        <f>IF(OR($B36="",$B36=0),"",$I36*$C36*(1+'Property Summary'!$L$21)^('MF CapEx'!AI$3-1))</f>
        <v/>
      </c>
      <c r="AJ36" s="149" t="str">
        <f>IF(OR($B36="",$B36=0),"",$I36*$C36*(1+'Property Summary'!$L$21)^('MF CapEx'!AJ$3-1))</f>
        <v/>
      </c>
      <c r="AK36" s="149" t="str">
        <f>IF(OR($B36="",$B36=0),"",$I36*$C36*(1+'Property Summary'!$L$21)^('MF CapEx'!AK$3-1))</f>
        <v/>
      </c>
      <c r="AL36" s="149" t="str">
        <f>IF(OR($B36="",$B36=0),"",$I36*$C36*(1+'Property Summary'!$L$21)^('MF CapEx'!AL$3-1))</f>
        <v/>
      </c>
      <c r="AM36" s="149" t="str">
        <f>IF(OR($B36="",$B36=0),"",$I36*$C36*(1+'Property Summary'!$L$21)^('MF CapEx'!AM$3-1))</f>
        <v/>
      </c>
      <c r="AN36" s="149" t="str">
        <f>IF(OR($B36="",$B36=0),"",$I36*$C36*(1+'Property Summary'!$L$21)^('MF CapEx'!AN$3-1))</f>
        <v/>
      </c>
      <c r="AO36" s="149" t="str">
        <f>IF(OR($B36="",$B36=0),"",$I36*$C36*(1+'Property Summary'!$L$21)^('MF CapEx'!AO$3-1))</f>
        <v/>
      </c>
      <c r="AP36" s="149" t="str">
        <f>IF(OR($B36="",$B36=0),"",$I36*$C36*(1+'Property Summary'!$L$21)^('MF CapEx'!AP$3-1))</f>
        <v/>
      </c>
      <c r="AQ36" s="149" t="str">
        <f>IF(OR($B36="",$B36=0),"",$I36*$C36*(1+'Property Summary'!$L$21)^('MF CapEx'!AQ$3-1))</f>
        <v/>
      </c>
      <c r="AR36" s="149" t="str">
        <f>IF(OR($B36="",$B36=0),"",$I36*$C36*(1+'Property Summary'!$L$21)^('MF CapEx'!AR$3-1))</f>
        <v/>
      </c>
      <c r="AS36" s="149" t="str">
        <f>IF(OR($B36="",$B36=0),"",$I36*$C36*(1+'Property Summary'!$L$21)^('MF CapEx'!AS$3-1))</f>
        <v/>
      </c>
      <c r="AT36" s="149" t="str">
        <f>IF(OR($B36="",$B36=0),"",$I36*$C36*(1+'Property Summary'!$L$21)^('MF CapEx'!AT$3-1))</f>
        <v/>
      </c>
      <c r="AU36" s="149" t="str">
        <f>IF(OR($B36="",$B36=0),"",$I36*$C36*(1+'Property Summary'!$L$21)^('MF CapEx'!AU$3-1))</f>
        <v/>
      </c>
      <c r="AV36" s="149" t="str">
        <f>IF(OR($B36="",$B36=0),"",$I36*$C36*(1+'Property Summary'!$L$21)^('MF CapEx'!AV$3-1))</f>
        <v/>
      </c>
      <c r="AW36" s="149" t="str">
        <f>IF(OR($B36="",$B36=0),"",$I36*$C36*(1+'Property Summary'!$L$21)^('MF CapEx'!AW$3-1))</f>
        <v/>
      </c>
      <c r="AX36" s="149" t="str">
        <f>IF(OR($B36="",$B36=0),"",$I36*$C36*(1+'Property Summary'!$L$21)^('MF CapEx'!AX$3-1))</f>
        <v/>
      </c>
      <c r="AY36" s="149" t="str">
        <f>IF(OR($B36="",$B36=0),"",$I36*$C36*(1+'Property Summary'!$L$21)^('MF CapEx'!AY$3-1))</f>
        <v/>
      </c>
      <c r="AZ36" s="149" t="str">
        <f>IF(OR($B36="",$B36=0),"",$I36*$C36*(1+'Property Summary'!$L$21)^('MF CapEx'!AZ$3-1))</f>
        <v/>
      </c>
      <c r="BA36" s="149" t="str">
        <f>IF(OR($B36="",$B36=0),"",$I36*$C36*(1+'Property Summary'!$L$21)^('MF CapEx'!BA$3-1))</f>
        <v/>
      </c>
      <c r="BB36" s="149" t="str">
        <f>IF(OR($B36="",$B36=0),"",$I36*$C36*(1+'Property Summary'!$L$21)^('MF CapEx'!BB$3-1))</f>
        <v/>
      </c>
      <c r="BC36" s="149" t="str">
        <f>IF(OR($B36="",$B36=0),"",$I36*$C36*(1+'Property Summary'!$L$21)^('MF CapEx'!BC$3-1))</f>
        <v/>
      </c>
      <c r="BD36" s="149" t="str">
        <f>IF(OR($B36="",$B36=0),"",$I36*$C36*(1+'Property Summary'!$L$21)^('MF CapEx'!BD$3-1))</f>
        <v/>
      </c>
      <c r="BE36" s="149" t="str">
        <f>IF(OR($B36="",$B36=0),"",$I36*$C36*(1+'Property Summary'!$L$21)^('MF CapEx'!BE$3-1))</f>
        <v/>
      </c>
      <c r="BF36" s="149" t="str">
        <f>IF(OR($B36="",$B36=0),"",$I36*$C36*(1+'Property Summary'!$L$21)^('MF CapEx'!BF$3-1))</f>
        <v/>
      </c>
      <c r="BG36" s="149" t="str">
        <f>IF(OR($B36="",$B36=0),"",$I36*$C36*(1+'Property Summary'!$L$21)^('MF CapEx'!BG$3-1))</f>
        <v/>
      </c>
      <c r="BH36" s="149" t="str">
        <f>IF(OR($B36="",$B36=0),"",$I36*$C36*(1+'Property Summary'!$L$21)^('MF CapEx'!BH$3-1))</f>
        <v/>
      </c>
      <c r="BI36" s="149" t="str">
        <f>IF(OR($B36="",$B36=0),"",$I36*$C36*(1+'Property Summary'!$L$21)^('MF CapEx'!BI$3-1))</f>
        <v/>
      </c>
      <c r="BJ36" s="149" t="str">
        <f>IF(OR($B36="",$B36=0),"",$I36*$C36*(1+'Property Summary'!$L$21)^('MF CapEx'!BJ$3-1))</f>
        <v/>
      </c>
      <c r="BK36" s="149" t="str">
        <f>IF(OR($B36="",$B36=0),"",$I36*$C36*(1+'Property Summary'!$L$21)^('MF CapEx'!BK$3-1))</f>
        <v/>
      </c>
      <c r="BL36" s="149" t="str">
        <f>IF(OR($B36="",$B36=0),"",$I36*$C36*(1+'Property Summary'!$L$21)^('MF CapEx'!BL$3-1))</f>
        <v/>
      </c>
      <c r="BM36" s="149" t="str">
        <f>IF(OR($B36="",$B36=0),"",$I36*$C36*(1+'Property Summary'!$L$21)^('MF CapEx'!BM$3-1))</f>
        <v/>
      </c>
      <c r="BN36" s="149" t="str">
        <f>IF(OR($B36="",$B36=0),"",$I36*$C36*(1+'Property Summary'!$L$21)^('MF CapEx'!BN$3-1))</f>
        <v/>
      </c>
      <c r="BO36" s="149" t="str">
        <f>IF(OR($B36="",$B36=0),"",$I36*$C36*(1+'Property Summary'!$L$21)^('MF CapEx'!BO$3-1))</f>
        <v/>
      </c>
      <c r="BP36" s="149" t="str">
        <f>IF(OR($B36="",$B36=0),"",$I36*$C36*(1+'Property Summary'!$L$21)^('MF CapEx'!BP$3-1))</f>
        <v/>
      </c>
      <c r="BQ36" s="149" t="str">
        <f>IF(OR($B36="",$B36=0),"",$I36*$C36*(1+'Property Summary'!$L$21)^('MF CapEx'!BQ$3-1))</f>
        <v/>
      </c>
      <c r="BR36" s="149" t="str">
        <f>IF(OR($B36="",$B36=0),"",$I36*$C36*(1+'Property Summary'!$L$21)^('MF CapEx'!BR$3-1))</f>
        <v/>
      </c>
      <c r="BS36" s="149" t="str">
        <f>IF(OR($B36="",$B36=0),"",$I36*$C36*(1+'Property Summary'!$L$21)^('MF CapEx'!BS$3-1))</f>
        <v/>
      </c>
      <c r="BT36" s="149" t="str">
        <f>IF(OR($B36="",$B36=0),"",$I36*$C36*(1+'Property Summary'!$L$21)^('MF CapEx'!BT$3-1))</f>
        <v/>
      </c>
      <c r="BU36" s="149" t="str">
        <f>IF(OR($B36="",$B36=0),"",$I36*$C36*(1+'Property Summary'!$L$21)^('MF CapEx'!BU$3-1))</f>
        <v/>
      </c>
      <c r="BV36" s="149" t="str">
        <f>IF(OR($B36="",$B36=0),"",$I36*$C36*(1+'Property Summary'!$L$21)^('MF CapEx'!BV$3-1))</f>
        <v/>
      </c>
      <c r="BW36" s="149" t="str">
        <f>IF(OR($B36="",$B36=0),"",$I36*$C36*(1+'Property Summary'!$L$21)^('MF CapEx'!BW$3-1))</f>
        <v/>
      </c>
      <c r="BX36" s="149" t="str">
        <f>IF(OR($B36="",$B36=0),"",$I36*$C36*(1+'Property Summary'!$L$21)^('MF CapEx'!BX$3-1))</f>
        <v/>
      </c>
      <c r="BY36" s="149" t="str">
        <f>IF(OR($B36="",$B36=0),"",$I36*$C36*(1+'Property Summary'!$L$21)^('MF CapEx'!BY$3-1))</f>
        <v/>
      </c>
      <c r="BZ36" s="149" t="str">
        <f>IF(OR($B36="",$B36=0),"",$I36*$C36*(1+'Property Summary'!$L$21)^('MF CapEx'!BZ$3-1))</f>
        <v/>
      </c>
      <c r="CA36" s="149" t="str">
        <f>IF(OR($B36="",$B36=0),"",$I36*$C36*(1+'Property Summary'!$L$21)^('MF CapEx'!CA$3-1))</f>
        <v/>
      </c>
      <c r="CB36" s="149" t="str">
        <f>IF(OR($B36="",$B36=0),"",$I36*$C36*(1+'Property Summary'!$L$21)^('MF CapEx'!CB$3-1))</f>
        <v/>
      </c>
      <c r="CC36" s="149" t="str">
        <f>IF(OR($B36="",$B36=0),"",$I36*$C36*(1+'Property Summary'!$L$21)^('MF CapEx'!CC$3-1))</f>
        <v/>
      </c>
      <c r="CD36" s="149" t="str">
        <f>IF(OR($B36="",$B36=0),"",$I36*$C36*(1+'Property Summary'!$L$21)^('MF CapEx'!CD$3-1))</f>
        <v/>
      </c>
      <c r="CE36" s="149" t="str">
        <f>IF(OR($B36="",$B36=0),"",$I36*$C36*(1+'Property Summary'!$L$21)^('MF CapEx'!CE$3-1))</f>
        <v/>
      </c>
      <c r="CF36" s="149" t="str">
        <f>IF(OR($B36="",$B36=0),"",$I36*$C36*(1+'Property Summary'!$L$21)^('MF CapEx'!CF$3-1))</f>
        <v/>
      </c>
      <c r="CG36" s="149" t="str">
        <f>IF(OR($B36="",$B36=0),"",$I36*$C36*(1+'Property Summary'!$L$21)^('MF CapEx'!CG$3-1))</f>
        <v/>
      </c>
      <c r="CH36" s="149" t="str">
        <f>IF(OR($B36="",$B36=0),"",$I36*$C36*(1+'Property Summary'!$L$21)^('MF CapEx'!CH$3-1))</f>
        <v/>
      </c>
      <c r="CI36" s="149" t="str">
        <f>IF(OR($B36="",$B36=0),"",$I36*$C36*(1+'Property Summary'!$L$21)^('MF CapEx'!CI$3-1))</f>
        <v/>
      </c>
      <c r="CJ36" s="149" t="str">
        <f>IF(OR($B36="",$B36=0),"",$I36*$C36*(1+'Property Summary'!$L$21)^('MF CapEx'!CJ$3-1))</f>
        <v/>
      </c>
      <c r="CK36" s="149" t="str">
        <f>IF(OR($B36="",$B36=0),"",$I36*$C36*(1+'Property Summary'!$L$21)^('MF CapEx'!CK$3-1))</f>
        <v/>
      </c>
      <c r="CL36" s="149" t="str">
        <f>IF(OR($B36="",$B36=0),"",$I36*$C36*(1+'Property Summary'!$L$21)^('MF CapEx'!CL$3-1))</f>
        <v/>
      </c>
      <c r="CM36" s="149" t="str">
        <f>IF(OR($B36="",$B36=0),"",$I36*$C36*(1+'Property Summary'!$L$21)^('MF CapEx'!CM$3-1))</f>
        <v/>
      </c>
      <c r="CN36" s="149" t="str">
        <f>IF(OR($B36="",$B36=0),"",$I36*$C36*(1+'Property Summary'!$L$21)^('MF CapEx'!CN$3-1))</f>
        <v/>
      </c>
      <c r="CO36" s="149" t="str">
        <f>IF(OR($B36="",$B36=0),"",$I36*$C36*(1+'Property Summary'!$L$21)^('MF CapEx'!CO$3-1))</f>
        <v/>
      </c>
      <c r="CP36" s="149" t="str">
        <f>IF(OR($B36="",$B36=0),"",$I36*$C36*(1+'Property Summary'!$L$21)^('MF CapEx'!CP$3-1))</f>
        <v/>
      </c>
      <c r="CQ36" s="149" t="str">
        <f>IF(OR($B36="",$B36=0),"",$I36*$C36*(1+'Property Summary'!$L$21)^('MF CapEx'!CQ$3-1))</f>
        <v/>
      </c>
      <c r="CR36" s="149" t="str">
        <f>IF(OR($B36="",$B36=0),"",$I36*$C36*(1+'Property Summary'!$L$21)^('MF CapEx'!CR$3-1))</f>
        <v/>
      </c>
      <c r="CS36" s="149" t="str">
        <f>IF(OR($B36="",$B36=0),"",$I36*$C36*(1+'Property Summary'!$L$21)^('MF CapEx'!CS$3-1))</f>
        <v/>
      </c>
      <c r="CT36" s="149" t="str">
        <f>IF(OR($B36="",$B36=0),"",$I36*$C36*(1+'Property Summary'!$L$21)^('MF CapEx'!CT$3-1))</f>
        <v/>
      </c>
      <c r="CU36" s="149" t="str">
        <f>IF(OR($B36="",$B36=0),"",$I36*$C36*(1+'Property Summary'!$L$21)^('MF CapEx'!CU$3-1))</f>
        <v/>
      </c>
      <c r="CV36" s="149" t="str">
        <f>IF(OR($B36="",$B36=0),"",$I36*$C36*(1+'Property Summary'!$L$21)^('MF CapEx'!CV$3-1))</f>
        <v/>
      </c>
      <c r="CW36" s="149" t="str">
        <f>IF(OR($B36="",$B36=0),"",$I36*$C36*(1+'Property Summary'!$L$21)^('MF CapEx'!CW$3-1))</f>
        <v/>
      </c>
      <c r="CX36" s="149" t="str">
        <f>IF(OR($B36="",$B36=0),"",$I36*$C36*(1+'Property Summary'!$L$21)^('MF CapEx'!CX$3-1))</f>
        <v/>
      </c>
      <c r="CY36" s="149" t="str">
        <f>IF(OR($B36="",$B36=0),"",$I36*$C36*(1+'Property Summary'!$L$21)^('MF CapEx'!CY$3-1))</f>
        <v/>
      </c>
      <c r="CZ36" s="149" t="str">
        <f>IF(OR($B36="",$B36=0),"",$I36*$C36*(1+'Property Summary'!$L$21)^('MF CapEx'!CZ$3-1))</f>
        <v/>
      </c>
      <c r="DA36" s="149" t="str">
        <f>IF(OR($B36="",$B36=0),"",$I36*$C36*(1+'Property Summary'!$L$21)^('MF CapEx'!DA$3-1))</f>
        <v/>
      </c>
      <c r="DB36" s="149" t="str">
        <f>IF(OR($B36="",$B36=0),"",$I36*$C36*(1+'Property Summary'!$L$21)^('MF CapEx'!DB$3-1))</f>
        <v/>
      </c>
      <c r="DC36" s="149" t="str">
        <f>IF(OR($B36="",$B36=0),"",$I36*$C36*(1+'Property Summary'!$L$21)^('MF CapEx'!DC$3-1))</f>
        <v/>
      </c>
      <c r="DD36" s="149" t="str">
        <f>IF(OR($B36="",$B36=0),"",$I36*$C36*(1+'Property Summary'!$L$21)^('MF CapEx'!DD$3-1))</f>
        <v/>
      </c>
      <c r="DE36" s="149" t="str">
        <f>IF(OR($B36="",$B36=0),"",$I36*$C36*(1+'Property Summary'!$L$21)^('MF CapEx'!DE$3-1))</f>
        <v/>
      </c>
      <c r="DF36" s="149" t="str">
        <f>IF(OR($B36="",$B36=0),"",$I36*$C36*(1+'Property Summary'!$L$21)^('MF CapEx'!DF$3-1))</f>
        <v/>
      </c>
      <c r="DG36" s="149" t="str">
        <f>IF(OR($B36="",$B36=0),"",$I36*$C36*(1+'Property Summary'!$L$21)^('MF CapEx'!DG$3-1))</f>
        <v/>
      </c>
      <c r="DH36" s="149" t="str">
        <f>IF(OR($B36="",$B36=0),"",$I36*$C36*(1+'Property Summary'!$L$21)^('MF CapEx'!DH$3-1))</f>
        <v/>
      </c>
      <c r="DI36" s="149" t="str">
        <f>IF(OR($B36="",$B36=0),"",$I36*$C36*(1+'Property Summary'!$L$21)^('MF CapEx'!DI$3-1))</f>
        <v/>
      </c>
      <c r="DJ36" s="149" t="str">
        <f>IF(OR($B36="",$B36=0),"",$I36*$C36*(1+'Property Summary'!$L$21)^('MF CapEx'!DJ$3-1))</f>
        <v/>
      </c>
      <c r="DK36" s="149" t="str">
        <f>IF(OR($B36="",$B36=0),"",$I36*$C36*(1+'Property Summary'!$L$21)^('MF CapEx'!DK$3-1))</f>
        <v/>
      </c>
      <c r="DL36" s="149" t="str">
        <f>IF(OR($B36="",$B36=0),"",$I36*$C36*(1+'Property Summary'!$L$21)^('MF CapEx'!DL$3-1))</f>
        <v/>
      </c>
      <c r="DM36" s="149" t="str">
        <f>IF(OR($B36="",$B36=0),"",$I36*$C36*(1+'Property Summary'!$L$21)^('MF CapEx'!DM$3-1))</f>
        <v/>
      </c>
      <c r="DN36" s="149" t="str">
        <f>IF(OR($B36="",$B36=0),"",$I36*$C36*(1+'Property Summary'!$L$21)^('MF CapEx'!DN$3-1))</f>
        <v/>
      </c>
      <c r="DO36" s="149" t="str">
        <f>IF(OR($B36="",$B36=0),"",$I36*$C36*(1+'Property Summary'!$L$21)^('MF CapEx'!DO$3-1))</f>
        <v/>
      </c>
      <c r="DP36" s="149" t="str">
        <f>IF(OR($B36="",$B36=0),"",$I36*$C36*(1+'Property Summary'!$L$21)^('MF CapEx'!DP$3-1))</f>
        <v/>
      </c>
      <c r="DQ36" s="149" t="str">
        <f>IF(OR($B36="",$B36=0),"",$I36*$C36*(1+'Property Summary'!$L$21)^('MF CapEx'!DQ$3-1))</f>
        <v/>
      </c>
      <c r="DR36" s="149" t="str">
        <f>IF(OR($B36="",$B36=0),"",$I36*$C36*(1+'Property Summary'!$L$21)^('MF CapEx'!DR$3-1))</f>
        <v/>
      </c>
      <c r="DS36" s="149" t="str">
        <f>IF(OR($B36="",$B36=0),"",$I36*$C36*(1+'Property Summary'!$L$21)^('MF CapEx'!DS$3-1))</f>
        <v/>
      </c>
      <c r="DT36" s="149" t="str">
        <f>IF(OR($B36="",$B36=0),"",$I36*$C36*(1+'Property Summary'!$L$21)^('MF CapEx'!DT$3-1))</f>
        <v/>
      </c>
      <c r="DU36" s="149" t="str">
        <f>IF(OR($B36="",$B36=0),"",$I36*$C36*(1+'Property Summary'!$L$21)^('MF CapEx'!DU$3-1))</f>
        <v/>
      </c>
      <c r="DV36" s="149" t="str">
        <f>IF(OR($B36="",$B36=0),"",$I36*$C36*(1+'Property Summary'!$L$21)^('MF CapEx'!DV$3-1))</f>
        <v/>
      </c>
      <c r="DW36" s="149" t="str">
        <f>IF(OR($B36="",$B36=0),"",$I36*$C36*(1+'Property Summary'!$L$21)^('MF CapEx'!DW$3-1))</f>
        <v/>
      </c>
      <c r="DX36" s="149" t="str">
        <f>IF(OR($B36="",$B36=0),"",$I36*$C36*(1+'Property Summary'!$L$21)^('MF CapEx'!DX$3-1))</f>
        <v/>
      </c>
      <c r="DY36" s="149" t="str">
        <f>IF(OR($B36="",$B36=0),"",$I36*$C36*(1+'Property Summary'!$L$21)^('MF CapEx'!DY$3-1))</f>
        <v/>
      </c>
      <c r="DZ36" s="149" t="str">
        <f>IF(OR($B36="",$B36=0),"",$I36*$C36*(1+'Property Summary'!$L$21)^('MF CapEx'!DZ$3-1))</f>
        <v/>
      </c>
      <c r="EA36" s="149" t="str">
        <f>IF(OR($B36="",$B36=0),"",$I36*$C36*(1+'Property Summary'!$L$21)^('MF CapEx'!EA$3-1))</f>
        <v/>
      </c>
      <c r="EB36" s="149" t="str">
        <f>IF(OR($B36="",$B36=0),"",$I36*$C36*(1+'Property Summary'!$L$21)^('MF CapEx'!EB$3-1))</f>
        <v/>
      </c>
      <c r="EC36" s="149" t="str">
        <f>IF(OR($B36="",$B36=0),"",$I36*$C36*(1+'Property Summary'!$L$21)^('MF CapEx'!EC$3-1))</f>
        <v/>
      </c>
      <c r="ED36" s="149" t="str">
        <f>IF(OR($B36="",$B36=0),"",$I36*$C36*(1+'Property Summary'!$L$21)^('MF CapEx'!ED$3-1))</f>
        <v/>
      </c>
      <c r="EE36" s="149" t="str">
        <f>IF(OR($B36="",$B36=0),"",$I36*$C36*(1+'Property Summary'!$L$21)^('MF CapEx'!EE$3-1))</f>
        <v/>
      </c>
      <c r="EF36" s="149" t="str">
        <f>IF(OR($B36="",$B36=0),"",$I36*$C36*(1+'Property Summary'!$L$21)^('MF CapEx'!EF$3-1))</f>
        <v/>
      </c>
      <c r="EG36" s="149" t="str">
        <f>IF(OR($B36="",$B36=0),"",$I36*$C36*(1+'Property Summary'!$L$21)^('MF CapEx'!EG$3-1))</f>
        <v/>
      </c>
      <c r="EH36" s="149" t="str">
        <f>IF(OR($B36="",$B36=0),"",$I36*$C36*(1+'Property Summary'!$L$21)^('MF CapEx'!EH$3-1))</f>
        <v/>
      </c>
      <c r="EI36" s="149" t="str">
        <f>IF(OR($B36="",$B36=0),"",$I36*$C36*(1+'Property Summary'!$L$21)^('MF CapEx'!EI$3-1))</f>
        <v/>
      </c>
      <c r="EJ36" s="149" t="str">
        <f>IF(OR($B36="",$B36=0),"",$I36*$C36*(1+'Property Summary'!$L$21)^('MF CapEx'!EJ$3-1))</f>
        <v/>
      </c>
      <c r="EK36" s="149" t="str">
        <f>IF(OR($B36="",$B36=0),"",$I36*$C36*(1+'Property Summary'!$L$21)^('MF CapEx'!EK$3-1))</f>
        <v/>
      </c>
      <c r="EL36" s="149" t="str">
        <f>IF(OR($B36="",$B36=0),"",$I36*$C36*(1+'Property Summary'!$L$21)^('MF CapEx'!EL$3-1))</f>
        <v/>
      </c>
      <c r="EM36" s="149" t="str">
        <f>IF(OR($B36="",$B36=0),"",$I36*$C36*(1+'Property Summary'!$L$21)^('MF CapEx'!EM$3-1))</f>
        <v/>
      </c>
      <c r="EN36" s="149" t="str">
        <f>IF(OR($B36="",$B36=0),"",$I36*$C36*(1+'Property Summary'!$L$21)^('MF CapEx'!EN$3-1))</f>
        <v/>
      </c>
      <c r="EO36" s="149" t="str">
        <f>IF(OR($B36="",$B36=0),"",$I36*$C36*(1+'Property Summary'!$L$21)^('MF CapEx'!EO$3-1))</f>
        <v/>
      </c>
      <c r="EP36" s="149" t="str">
        <f>IF(OR($B36="",$B36=0),"",$I36*$C36*(1+'Property Summary'!$L$21)^('MF CapEx'!EP$3-1))</f>
        <v/>
      </c>
      <c r="EQ36" s="149" t="str">
        <f>IF(OR($B36="",$B36=0),"",$I36*$C36*(1+'Property Summary'!$L$21)^('MF CapEx'!EQ$3-1))</f>
        <v/>
      </c>
      <c r="ER36" s="149" t="str">
        <f>IF(OR($B36="",$B36=0),"",$I36*$C36*(1+'Property Summary'!$L$21)^('MF CapEx'!ER$3-1))</f>
        <v/>
      </c>
      <c r="ES36" s="149" t="str">
        <f>IF(OR($B36="",$B36=0),"",$I36*$C36*(1+'Property Summary'!$L$21)^('MF CapEx'!ES$3-1))</f>
        <v/>
      </c>
      <c r="ET36" s="149" t="str">
        <f>IF(OR($B36="",$B36=0),"",$I36*$C36*(1+'Property Summary'!$L$21)^('MF CapEx'!ET$3-1))</f>
        <v/>
      </c>
      <c r="EU36" s="149" t="str">
        <f>IF(OR($B36="",$B36=0),"",$I36*$C36*(1+'Property Summary'!$L$21)^('MF CapEx'!EU$3-1))</f>
        <v/>
      </c>
      <c r="EV36" s="149" t="str">
        <f>IF(OR($B36="",$B36=0),"",$I36*$C36*(1+'Property Summary'!$L$21)^('MF CapEx'!EV$3-1))</f>
        <v/>
      </c>
      <c r="EW36" s="149" t="str">
        <f>IF(OR($B36="",$B36=0),"",$I36*$C36*(1+'Property Summary'!$L$21)^('MF CapEx'!EW$3-1))</f>
        <v/>
      </c>
      <c r="EX36" s="149" t="str">
        <f>IF(OR($B36="",$B36=0),"",$I36*$C36*(1+'Property Summary'!$L$21)^('MF CapEx'!EX$3-1))</f>
        <v/>
      </c>
      <c r="EY36" s="149" t="str">
        <f>IF(OR($B36="",$B36=0),"",$I36*$C36*(1+'Property Summary'!$L$21)^('MF CapEx'!EY$3-1))</f>
        <v/>
      </c>
      <c r="EZ36" s="149" t="str">
        <f>IF(OR($B36="",$B36=0),"",$I36*$C36*(1+'Property Summary'!$L$21)^('MF CapEx'!EZ$3-1))</f>
        <v/>
      </c>
      <c r="FA36" s="149" t="str">
        <f>IF(OR($B36="",$B36=0),"",$I36*$C36*(1+'Property Summary'!$L$21)^('MF CapEx'!FA$3-1))</f>
        <v/>
      </c>
      <c r="FB36" s="149" t="str">
        <f>IF(OR($B36="",$B36=0),"",$I36*$C36*(1+'Property Summary'!$L$21)^('MF CapEx'!FB$3-1))</f>
        <v/>
      </c>
      <c r="FC36" s="149" t="str">
        <f>IF(OR($B36="",$B36=0),"",$I36*$C36*(1+'Property Summary'!$L$21)^('MF CapEx'!FC$3-1))</f>
        <v/>
      </c>
      <c r="FD36" s="149" t="str">
        <f>IF(OR($B36="",$B36=0),"",$I36*$C36*(1+'Property Summary'!$L$21)^('MF CapEx'!FD$3-1))</f>
        <v/>
      </c>
      <c r="FE36" s="149" t="str">
        <f>IF(OR($B36="",$B36=0),"",$I36*$C36*(1+'Property Summary'!$L$21)^('MF CapEx'!FE$3-1))</f>
        <v/>
      </c>
      <c r="FF36" s="149" t="str">
        <f>IF(OR($B36="",$B36=0),"",$I36*$C36*(1+'Property Summary'!$L$21)^('MF CapEx'!FF$3-1))</f>
        <v/>
      </c>
      <c r="FG36" s="149" t="str">
        <f>IF(OR($B36="",$B36=0),"",$I36*$C36*(1+'Property Summary'!$L$21)^('MF CapEx'!FG$3-1))</f>
        <v/>
      </c>
      <c r="FH36" s="149" t="str">
        <f>IF(OR($B36="",$B36=0),"",$I36*$C36*(1+'Property Summary'!$L$21)^('MF CapEx'!FH$3-1))</f>
        <v/>
      </c>
      <c r="FI36" s="149" t="str">
        <f>IF(OR($B36="",$B36=0),"",$I36*$C36*(1+'Property Summary'!$L$21)^('MF CapEx'!FI$3-1))</f>
        <v/>
      </c>
      <c r="FJ36" s="149" t="str">
        <f>IF(OR($B36="",$B36=0),"",$I36*$C36*(1+'Property Summary'!$L$21)^('MF CapEx'!FJ$3-1))</f>
        <v/>
      </c>
      <c r="FK36" s="149" t="str">
        <f>IF(OR($B36="",$B36=0),"",$I36*$C36*(1+'Property Summary'!$L$21)^('MF CapEx'!FK$3-1))</f>
        <v/>
      </c>
      <c r="FL36" s="149" t="str">
        <f>IF(OR($B36="",$B36=0),"",$I36*$C36*(1+'Property Summary'!$L$21)^('MF CapEx'!FL$3-1))</f>
        <v/>
      </c>
      <c r="FM36" s="149" t="str">
        <f>IF(OR($B36="",$B36=0),"",$I36*$C36*(1+'Property Summary'!$L$21)^('MF CapEx'!FM$3-1))</f>
        <v/>
      </c>
      <c r="FN36" s="149" t="str">
        <f>IF(OR($B36="",$B36=0),"",$I36*$C36*(1+'Property Summary'!$L$21)^('MF CapEx'!FN$3-1))</f>
        <v/>
      </c>
      <c r="FO36" s="149" t="str">
        <f>IF(OR($B36="",$B36=0),"",$I36*$C36*(1+'Property Summary'!$L$21)^('MF CapEx'!FO$3-1))</f>
        <v/>
      </c>
      <c r="FP36" s="149" t="str">
        <f>IF(OR($B36="",$B36=0),"",$I36*$C36*(1+'Property Summary'!$L$21)^('MF CapEx'!FP$3-1))</f>
        <v/>
      </c>
      <c r="FQ36" s="149" t="str">
        <f>IF(OR($B36="",$B36=0),"",$I36*$C36*(1+'Property Summary'!$L$21)^('MF CapEx'!FQ$3-1))</f>
        <v/>
      </c>
      <c r="FR36" s="149" t="str">
        <f>IF(OR($B36="",$B36=0),"",$I36*$C36*(1+'Property Summary'!$L$21)^('MF CapEx'!FR$3-1))</f>
        <v/>
      </c>
      <c r="FS36" s="149" t="str">
        <f>IF(OR($B36="",$B36=0),"",$I36*$C36*(1+'Property Summary'!$L$21)^('MF CapEx'!FS$3-1))</f>
        <v/>
      </c>
      <c r="FT36" s="149" t="str">
        <f>IF(OR($B36="",$B36=0),"",$I36*$C36*(1+'Property Summary'!$L$21)^('MF CapEx'!FT$3-1))</f>
        <v/>
      </c>
      <c r="FU36" s="149" t="str">
        <f>IF(OR($B36="",$B36=0),"",$I36*$C36*(1+'Property Summary'!$L$21)^('MF CapEx'!FU$3-1))</f>
        <v/>
      </c>
      <c r="FV36" s="149" t="str">
        <f>IF(OR($B36="",$B36=0),"",$I36*$C36*(1+'Property Summary'!$L$21)^('MF CapEx'!FV$3-1))</f>
        <v/>
      </c>
      <c r="FW36" s="149" t="str">
        <f>IF(OR($B36="",$B36=0),"",$I36*$C36*(1+'Property Summary'!$L$21)^('MF CapEx'!FW$3-1))</f>
        <v/>
      </c>
      <c r="FX36" s="149" t="str">
        <f>IF(OR($B36="",$B36=0),"",$I36*$C36*(1+'Property Summary'!$L$21)^('MF CapEx'!FX$3-1))</f>
        <v/>
      </c>
      <c r="FY36" s="149" t="str">
        <f>IF(OR($B36="",$B36=0),"",$I36*$C36*(1+'Property Summary'!$L$21)^('MF CapEx'!FY$3-1))</f>
        <v/>
      </c>
      <c r="FZ36" s="149" t="str">
        <f>IF(OR($B36="",$B36=0),"",$I36*$C36*(1+'Property Summary'!$L$21)^('MF CapEx'!FZ$3-1))</f>
        <v/>
      </c>
      <c r="GA36" s="149" t="str">
        <f>IF(OR($B36="",$B36=0),"",$I36*$C36*(1+'Property Summary'!$L$21)^('MF CapEx'!GA$3-1))</f>
        <v/>
      </c>
      <c r="GB36" s="149" t="str">
        <f>IF(OR($B36="",$B36=0),"",$I36*$C36*(1+'Property Summary'!$L$21)^('MF CapEx'!GB$3-1))</f>
        <v/>
      </c>
      <c r="GC36" s="149" t="str">
        <f>IF(OR($B36="",$B36=0),"",$I36*$C36*(1+'Property Summary'!$L$21)^('MF CapEx'!GC$3-1))</f>
        <v/>
      </c>
      <c r="GD36" s="149" t="str">
        <f>IF(OR($B36="",$B36=0),"",$I36*$C36*(1+'Property Summary'!$L$21)^('MF CapEx'!GD$3-1))</f>
        <v/>
      </c>
      <c r="GE36" s="149" t="str">
        <f>IF(OR($B36="",$B36=0),"",$I36*$C36*(1+'Property Summary'!$L$21)^('MF CapEx'!GE$3-1))</f>
        <v/>
      </c>
      <c r="GF36" s="149" t="str">
        <f>IF(OR($B36="",$B36=0),"",$I36*$C36*(1+'Property Summary'!$L$21)^('MF CapEx'!GF$3-1))</f>
        <v/>
      </c>
      <c r="GG36" s="149" t="str">
        <f>IF(OR($B36="",$B36=0),"",$I36*$C36*(1+'Property Summary'!$L$21)^('MF CapEx'!GG$3-1))</f>
        <v/>
      </c>
      <c r="GH36" s="149" t="str">
        <f>IF(OR($B36="",$B36=0),"",$I36*$C36*(1+'Property Summary'!$L$21)^('MF CapEx'!GH$3-1))</f>
        <v/>
      </c>
      <c r="GI36" s="149" t="str">
        <f>IF(OR($B36="",$B36=0),"",$I36*$C36*(1+'Property Summary'!$L$21)^('MF CapEx'!GI$3-1))</f>
        <v/>
      </c>
      <c r="GJ36" s="149" t="str">
        <f>IF(OR($B36="",$B36=0),"",$I36*$C36*(1+'Property Summary'!$L$21)^('MF CapEx'!GJ$3-1))</f>
        <v/>
      </c>
      <c r="GK36" s="149" t="str">
        <f>IF(OR($B36="",$B36=0),"",$I36*$C36*(1+'Property Summary'!$L$21)^('MF CapEx'!GK$3-1))</f>
        <v/>
      </c>
      <c r="GL36" s="149" t="str">
        <f>IF(OR($B36="",$B36=0),"",$I36*$C36*(1+'Property Summary'!$L$21)^('MF CapEx'!GL$3-1))</f>
        <v/>
      </c>
      <c r="GM36" s="149" t="str">
        <f>IF(OR($B36="",$B36=0),"",$I36*$C36*(1+'Property Summary'!$L$21)^('MF CapEx'!GM$3-1))</f>
        <v/>
      </c>
      <c r="GN36" s="149" t="str">
        <f>IF(OR($B36="",$B36=0),"",$I36*$C36*(1+'Property Summary'!$L$21)^('MF CapEx'!GN$3-1))</f>
        <v/>
      </c>
      <c r="GO36" s="149" t="str">
        <f>IF(OR($B36="",$B36=0),"",$I36*$C36*(1+'Property Summary'!$L$21)^('MF CapEx'!GO$3-1))</f>
        <v/>
      </c>
      <c r="GP36" s="149" t="str">
        <f>IF(OR($B36="",$B36=0),"",$I36*$C36*(1+'Property Summary'!$L$21)^('MF CapEx'!GP$3-1))</f>
        <v/>
      </c>
    </row>
    <row r="37" spans="2:198" x14ac:dyDescent="0.3">
      <c r="B37" s="184">
        <f>'MF Rent Roll'!B36</f>
        <v>0</v>
      </c>
      <c r="C37" s="171">
        <f>'MF Rent Roll'!C36</f>
        <v>0</v>
      </c>
      <c r="D37" s="172">
        <f>'MF Rent Roll'!D36</f>
        <v>0</v>
      </c>
      <c r="E37" s="172">
        <f>'MF Rent Roll'!E36</f>
        <v>0</v>
      </c>
      <c r="F37" s="173">
        <f>'MF Rent Roll'!F36</f>
        <v>0</v>
      </c>
      <c r="G37" s="174">
        <f>'MF Rent Roll'!G36</f>
        <v>0</v>
      </c>
      <c r="H37" s="176">
        <f>'MF Rent Roll'!J36</f>
        <v>0</v>
      </c>
      <c r="I37" s="174">
        <f>'MF Rent Roll'!K36</f>
        <v>0</v>
      </c>
      <c r="J37" s="177">
        <f>'MF Rent Roll'!L36</f>
        <v>0</v>
      </c>
      <c r="K37" s="178">
        <f>'MF Rent Roll'!M36</f>
        <v>0</v>
      </c>
      <c r="L37" s="174">
        <f>'MF Rent Roll'!N36</f>
        <v>0</v>
      </c>
      <c r="M37" s="179">
        <f>'MF Rent Roll'!O36</f>
        <v>0</v>
      </c>
      <c r="N37" s="180" t="str">
        <f>'MF Rent Roll'!P36</f>
        <v/>
      </c>
      <c r="O37" s="181" t="str">
        <f>'MF Rent Roll'!Q36</f>
        <v/>
      </c>
      <c r="P37" s="104" t="str">
        <f>'MF Rent Roll'!R36</f>
        <v/>
      </c>
      <c r="S37" s="149" t="str">
        <f>IF(OR($B37="",$B37=0),"",$I37*$C37*(1+'Property Summary'!$L$21)^('MF CapEx'!S$3-1))</f>
        <v/>
      </c>
      <c r="T37" s="149" t="str">
        <f>IF(OR($B37="",$B37=0),"",$I37*$C37*(1+'Property Summary'!$L$21)^('MF CapEx'!T$3-1))</f>
        <v/>
      </c>
      <c r="U37" s="149" t="str">
        <f>IF(OR($B37="",$B37=0),"",$I37*$C37*(1+'Property Summary'!$L$21)^('MF CapEx'!U$3-1))</f>
        <v/>
      </c>
      <c r="V37" s="149" t="str">
        <f>IF(OR($B37="",$B37=0),"",$I37*$C37*(1+'Property Summary'!$L$21)^('MF CapEx'!V$3-1))</f>
        <v/>
      </c>
      <c r="W37" s="149" t="str">
        <f>IF(OR($B37="",$B37=0),"",$I37*$C37*(1+'Property Summary'!$L$21)^('MF CapEx'!W$3-1))</f>
        <v/>
      </c>
      <c r="X37" s="149" t="str">
        <f>IF(OR($B37="",$B37=0),"",$I37*$C37*(1+'Property Summary'!$L$21)^('MF CapEx'!X$3-1))</f>
        <v/>
      </c>
      <c r="Y37" s="149" t="str">
        <f>IF(OR($B37="",$B37=0),"",$I37*$C37*(1+'Property Summary'!$L$21)^('MF CapEx'!Y$3-1))</f>
        <v/>
      </c>
      <c r="Z37" s="149" t="str">
        <f>IF(OR($B37="",$B37=0),"",$I37*$C37*(1+'Property Summary'!$L$21)^('MF CapEx'!Z$3-1))</f>
        <v/>
      </c>
      <c r="AA37" s="149" t="str">
        <f>IF(OR($B37="",$B37=0),"",$I37*$C37*(1+'Property Summary'!$L$21)^('MF CapEx'!AA$3-1))</f>
        <v/>
      </c>
      <c r="AB37" s="149" t="str">
        <f>IF(OR($B37="",$B37=0),"",$I37*$C37*(1+'Property Summary'!$L$21)^('MF CapEx'!AB$3-1))</f>
        <v/>
      </c>
      <c r="AC37" s="149" t="str">
        <f>IF(OR($B37="",$B37=0),"",$I37*$C37*(1+'Property Summary'!$L$21)^('MF CapEx'!AC$3-1))</f>
        <v/>
      </c>
      <c r="AD37" s="149" t="str">
        <f>IF(OR($B37="",$B37=0),"",$I37*$C37*(1+'Property Summary'!$L$21)^('MF CapEx'!AD$3-1))</f>
        <v/>
      </c>
      <c r="AE37" s="149" t="str">
        <f>IF(OR($B37="",$B37=0),"",$I37*$C37*(1+'Property Summary'!$L$21)^('MF CapEx'!AE$3-1))</f>
        <v/>
      </c>
      <c r="AF37" s="149" t="str">
        <f>IF(OR($B37="",$B37=0),"",$I37*$C37*(1+'Property Summary'!$L$21)^('MF CapEx'!AF$3-1))</f>
        <v/>
      </c>
      <c r="AG37" s="149" t="str">
        <f>IF(OR($B37="",$B37=0),"",$I37*$C37*(1+'Property Summary'!$L$21)^('MF CapEx'!AG$3-1))</f>
        <v/>
      </c>
      <c r="AH37" s="149" t="str">
        <f>IF(OR($B37="",$B37=0),"",$I37*$C37*(1+'Property Summary'!$L$21)^('MF CapEx'!AH$3-1))</f>
        <v/>
      </c>
      <c r="AI37" s="149" t="str">
        <f>IF(OR($B37="",$B37=0),"",$I37*$C37*(1+'Property Summary'!$L$21)^('MF CapEx'!AI$3-1))</f>
        <v/>
      </c>
      <c r="AJ37" s="149" t="str">
        <f>IF(OR($B37="",$B37=0),"",$I37*$C37*(1+'Property Summary'!$L$21)^('MF CapEx'!AJ$3-1))</f>
        <v/>
      </c>
      <c r="AK37" s="149" t="str">
        <f>IF(OR($B37="",$B37=0),"",$I37*$C37*(1+'Property Summary'!$L$21)^('MF CapEx'!AK$3-1))</f>
        <v/>
      </c>
      <c r="AL37" s="149" t="str">
        <f>IF(OR($B37="",$B37=0),"",$I37*$C37*(1+'Property Summary'!$L$21)^('MF CapEx'!AL$3-1))</f>
        <v/>
      </c>
      <c r="AM37" s="149" t="str">
        <f>IF(OR($B37="",$B37=0),"",$I37*$C37*(1+'Property Summary'!$L$21)^('MF CapEx'!AM$3-1))</f>
        <v/>
      </c>
      <c r="AN37" s="149" t="str">
        <f>IF(OR($B37="",$B37=0),"",$I37*$C37*(1+'Property Summary'!$L$21)^('MF CapEx'!AN$3-1))</f>
        <v/>
      </c>
      <c r="AO37" s="149" t="str">
        <f>IF(OR($B37="",$B37=0),"",$I37*$C37*(1+'Property Summary'!$L$21)^('MF CapEx'!AO$3-1))</f>
        <v/>
      </c>
      <c r="AP37" s="149" t="str">
        <f>IF(OR($B37="",$B37=0),"",$I37*$C37*(1+'Property Summary'!$L$21)^('MF CapEx'!AP$3-1))</f>
        <v/>
      </c>
      <c r="AQ37" s="149" t="str">
        <f>IF(OR($B37="",$B37=0),"",$I37*$C37*(1+'Property Summary'!$L$21)^('MF CapEx'!AQ$3-1))</f>
        <v/>
      </c>
      <c r="AR37" s="149" t="str">
        <f>IF(OR($B37="",$B37=0),"",$I37*$C37*(1+'Property Summary'!$L$21)^('MF CapEx'!AR$3-1))</f>
        <v/>
      </c>
      <c r="AS37" s="149" t="str">
        <f>IF(OR($B37="",$B37=0),"",$I37*$C37*(1+'Property Summary'!$L$21)^('MF CapEx'!AS$3-1))</f>
        <v/>
      </c>
      <c r="AT37" s="149" t="str">
        <f>IF(OR($B37="",$B37=0),"",$I37*$C37*(1+'Property Summary'!$L$21)^('MF CapEx'!AT$3-1))</f>
        <v/>
      </c>
      <c r="AU37" s="149" t="str">
        <f>IF(OR($B37="",$B37=0),"",$I37*$C37*(1+'Property Summary'!$L$21)^('MF CapEx'!AU$3-1))</f>
        <v/>
      </c>
      <c r="AV37" s="149" t="str">
        <f>IF(OR($B37="",$B37=0),"",$I37*$C37*(1+'Property Summary'!$L$21)^('MF CapEx'!AV$3-1))</f>
        <v/>
      </c>
      <c r="AW37" s="149" t="str">
        <f>IF(OR($B37="",$B37=0),"",$I37*$C37*(1+'Property Summary'!$L$21)^('MF CapEx'!AW$3-1))</f>
        <v/>
      </c>
      <c r="AX37" s="149" t="str">
        <f>IF(OR($B37="",$B37=0),"",$I37*$C37*(1+'Property Summary'!$L$21)^('MF CapEx'!AX$3-1))</f>
        <v/>
      </c>
      <c r="AY37" s="149" t="str">
        <f>IF(OR($B37="",$B37=0),"",$I37*$C37*(1+'Property Summary'!$L$21)^('MF CapEx'!AY$3-1))</f>
        <v/>
      </c>
      <c r="AZ37" s="149" t="str">
        <f>IF(OR($B37="",$B37=0),"",$I37*$C37*(1+'Property Summary'!$L$21)^('MF CapEx'!AZ$3-1))</f>
        <v/>
      </c>
      <c r="BA37" s="149" t="str">
        <f>IF(OR($B37="",$B37=0),"",$I37*$C37*(1+'Property Summary'!$L$21)^('MF CapEx'!BA$3-1))</f>
        <v/>
      </c>
      <c r="BB37" s="149" t="str">
        <f>IF(OR($B37="",$B37=0),"",$I37*$C37*(1+'Property Summary'!$L$21)^('MF CapEx'!BB$3-1))</f>
        <v/>
      </c>
      <c r="BC37" s="149" t="str">
        <f>IF(OR($B37="",$B37=0),"",$I37*$C37*(1+'Property Summary'!$L$21)^('MF CapEx'!BC$3-1))</f>
        <v/>
      </c>
      <c r="BD37" s="149" t="str">
        <f>IF(OR($B37="",$B37=0),"",$I37*$C37*(1+'Property Summary'!$L$21)^('MF CapEx'!BD$3-1))</f>
        <v/>
      </c>
      <c r="BE37" s="149" t="str">
        <f>IF(OR($B37="",$B37=0),"",$I37*$C37*(1+'Property Summary'!$L$21)^('MF CapEx'!BE$3-1))</f>
        <v/>
      </c>
      <c r="BF37" s="149" t="str">
        <f>IF(OR($B37="",$B37=0),"",$I37*$C37*(1+'Property Summary'!$L$21)^('MF CapEx'!BF$3-1))</f>
        <v/>
      </c>
      <c r="BG37" s="149" t="str">
        <f>IF(OR($B37="",$B37=0),"",$I37*$C37*(1+'Property Summary'!$L$21)^('MF CapEx'!BG$3-1))</f>
        <v/>
      </c>
      <c r="BH37" s="149" t="str">
        <f>IF(OR($B37="",$B37=0),"",$I37*$C37*(1+'Property Summary'!$L$21)^('MF CapEx'!BH$3-1))</f>
        <v/>
      </c>
      <c r="BI37" s="149" t="str">
        <f>IF(OR($B37="",$B37=0),"",$I37*$C37*(1+'Property Summary'!$L$21)^('MF CapEx'!BI$3-1))</f>
        <v/>
      </c>
      <c r="BJ37" s="149" t="str">
        <f>IF(OR($B37="",$B37=0),"",$I37*$C37*(1+'Property Summary'!$L$21)^('MF CapEx'!BJ$3-1))</f>
        <v/>
      </c>
      <c r="BK37" s="149" t="str">
        <f>IF(OR($B37="",$B37=0),"",$I37*$C37*(1+'Property Summary'!$L$21)^('MF CapEx'!BK$3-1))</f>
        <v/>
      </c>
      <c r="BL37" s="149" t="str">
        <f>IF(OR($B37="",$B37=0),"",$I37*$C37*(1+'Property Summary'!$L$21)^('MF CapEx'!BL$3-1))</f>
        <v/>
      </c>
      <c r="BM37" s="149" t="str">
        <f>IF(OR($B37="",$B37=0),"",$I37*$C37*(1+'Property Summary'!$L$21)^('MF CapEx'!BM$3-1))</f>
        <v/>
      </c>
      <c r="BN37" s="149" t="str">
        <f>IF(OR($B37="",$B37=0),"",$I37*$C37*(1+'Property Summary'!$L$21)^('MF CapEx'!BN$3-1))</f>
        <v/>
      </c>
      <c r="BO37" s="149" t="str">
        <f>IF(OR($B37="",$B37=0),"",$I37*$C37*(1+'Property Summary'!$L$21)^('MF CapEx'!BO$3-1))</f>
        <v/>
      </c>
      <c r="BP37" s="149" t="str">
        <f>IF(OR($B37="",$B37=0),"",$I37*$C37*(1+'Property Summary'!$L$21)^('MF CapEx'!BP$3-1))</f>
        <v/>
      </c>
      <c r="BQ37" s="149" t="str">
        <f>IF(OR($B37="",$B37=0),"",$I37*$C37*(1+'Property Summary'!$L$21)^('MF CapEx'!BQ$3-1))</f>
        <v/>
      </c>
      <c r="BR37" s="149" t="str">
        <f>IF(OR($B37="",$B37=0),"",$I37*$C37*(1+'Property Summary'!$L$21)^('MF CapEx'!BR$3-1))</f>
        <v/>
      </c>
      <c r="BS37" s="149" t="str">
        <f>IF(OR($B37="",$B37=0),"",$I37*$C37*(1+'Property Summary'!$L$21)^('MF CapEx'!BS$3-1))</f>
        <v/>
      </c>
      <c r="BT37" s="149" t="str">
        <f>IF(OR($B37="",$B37=0),"",$I37*$C37*(1+'Property Summary'!$L$21)^('MF CapEx'!BT$3-1))</f>
        <v/>
      </c>
      <c r="BU37" s="149" t="str">
        <f>IF(OR($B37="",$B37=0),"",$I37*$C37*(1+'Property Summary'!$L$21)^('MF CapEx'!BU$3-1))</f>
        <v/>
      </c>
      <c r="BV37" s="149" t="str">
        <f>IF(OR($B37="",$B37=0),"",$I37*$C37*(1+'Property Summary'!$L$21)^('MF CapEx'!BV$3-1))</f>
        <v/>
      </c>
      <c r="BW37" s="149" t="str">
        <f>IF(OR($B37="",$B37=0),"",$I37*$C37*(1+'Property Summary'!$L$21)^('MF CapEx'!BW$3-1))</f>
        <v/>
      </c>
      <c r="BX37" s="149" t="str">
        <f>IF(OR($B37="",$B37=0),"",$I37*$C37*(1+'Property Summary'!$L$21)^('MF CapEx'!BX$3-1))</f>
        <v/>
      </c>
      <c r="BY37" s="149" t="str">
        <f>IF(OR($B37="",$B37=0),"",$I37*$C37*(1+'Property Summary'!$L$21)^('MF CapEx'!BY$3-1))</f>
        <v/>
      </c>
      <c r="BZ37" s="149" t="str">
        <f>IF(OR($B37="",$B37=0),"",$I37*$C37*(1+'Property Summary'!$L$21)^('MF CapEx'!BZ$3-1))</f>
        <v/>
      </c>
      <c r="CA37" s="149" t="str">
        <f>IF(OR($B37="",$B37=0),"",$I37*$C37*(1+'Property Summary'!$L$21)^('MF CapEx'!CA$3-1))</f>
        <v/>
      </c>
      <c r="CB37" s="149" t="str">
        <f>IF(OR($B37="",$B37=0),"",$I37*$C37*(1+'Property Summary'!$L$21)^('MF CapEx'!CB$3-1))</f>
        <v/>
      </c>
      <c r="CC37" s="149" t="str">
        <f>IF(OR($B37="",$B37=0),"",$I37*$C37*(1+'Property Summary'!$L$21)^('MF CapEx'!CC$3-1))</f>
        <v/>
      </c>
      <c r="CD37" s="149" t="str">
        <f>IF(OR($B37="",$B37=0),"",$I37*$C37*(1+'Property Summary'!$L$21)^('MF CapEx'!CD$3-1))</f>
        <v/>
      </c>
      <c r="CE37" s="149" t="str">
        <f>IF(OR($B37="",$B37=0),"",$I37*$C37*(1+'Property Summary'!$L$21)^('MF CapEx'!CE$3-1))</f>
        <v/>
      </c>
      <c r="CF37" s="149" t="str">
        <f>IF(OR($B37="",$B37=0),"",$I37*$C37*(1+'Property Summary'!$L$21)^('MF CapEx'!CF$3-1))</f>
        <v/>
      </c>
      <c r="CG37" s="149" t="str">
        <f>IF(OR($B37="",$B37=0),"",$I37*$C37*(1+'Property Summary'!$L$21)^('MF CapEx'!CG$3-1))</f>
        <v/>
      </c>
      <c r="CH37" s="149" t="str">
        <f>IF(OR($B37="",$B37=0),"",$I37*$C37*(1+'Property Summary'!$L$21)^('MF CapEx'!CH$3-1))</f>
        <v/>
      </c>
      <c r="CI37" s="149" t="str">
        <f>IF(OR($B37="",$B37=0),"",$I37*$C37*(1+'Property Summary'!$L$21)^('MF CapEx'!CI$3-1))</f>
        <v/>
      </c>
      <c r="CJ37" s="149" t="str">
        <f>IF(OR($B37="",$B37=0),"",$I37*$C37*(1+'Property Summary'!$L$21)^('MF CapEx'!CJ$3-1))</f>
        <v/>
      </c>
      <c r="CK37" s="149" t="str">
        <f>IF(OR($B37="",$B37=0),"",$I37*$C37*(1+'Property Summary'!$L$21)^('MF CapEx'!CK$3-1))</f>
        <v/>
      </c>
      <c r="CL37" s="149" t="str">
        <f>IF(OR($B37="",$B37=0),"",$I37*$C37*(1+'Property Summary'!$L$21)^('MF CapEx'!CL$3-1))</f>
        <v/>
      </c>
      <c r="CM37" s="149" t="str">
        <f>IF(OR($B37="",$B37=0),"",$I37*$C37*(1+'Property Summary'!$L$21)^('MF CapEx'!CM$3-1))</f>
        <v/>
      </c>
      <c r="CN37" s="149" t="str">
        <f>IF(OR($B37="",$B37=0),"",$I37*$C37*(1+'Property Summary'!$L$21)^('MF CapEx'!CN$3-1))</f>
        <v/>
      </c>
      <c r="CO37" s="149" t="str">
        <f>IF(OR($B37="",$B37=0),"",$I37*$C37*(1+'Property Summary'!$L$21)^('MF CapEx'!CO$3-1))</f>
        <v/>
      </c>
      <c r="CP37" s="149" t="str">
        <f>IF(OR($B37="",$B37=0),"",$I37*$C37*(1+'Property Summary'!$L$21)^('MF CapEx'!CP$3-1))</f>
        <v/>
      </c>
      <c r="CQ37" s="149" t="str">
        <f>IF(OR($B37="",$B37=0),"",$I37*$C37*(1+'Property Summary'!$L$21)^('MF CapEx'!CQ$3-1))</f>
        <v/>
      </c>
      <c r="CR37" s="149" t="str">
        <f>IF(OR($B37="",$B37=0),"",$I37*$C37*(1+'Property Summary'!$L$21)^('MF CapEx'!CR$3-1))</f>
        <v/>
      </c>
      <c r="CS37" s="149" t="str">
        <f>IF(OR($B37="",$B37=0),"",$I37*$C37*(1+'Property Summary'!$L$21)^('MF CapEx'!CS$3-1))</f>
        <v/>
      </c>
      <c r="CT37" s="149" t="str">
        <f>IF(OR($B37="",$B37=0),"",$I37*$C37*(1+'Property Summary'!$L$21)^('MF CapEx'!CT$3-1))</f>
        <v/>
      </c>
      <c r="CU37" s="149" t="str">
        <f>IF(OR($B37="",$B37=0),"",$I37*$C37*(1+'Property Summary'!$L$21)^('MF CapEx'!CU$3-1))</f>
        <v/>
      </c>
      <c r="CV37" s="149" t="str">
        <f>IF(OR($B37="",$B37=0),"",$I37*$C37*(1+'Property Summary'!$L$21)^('MF CapEx'!CV$3-1))</f>
        <v/>
      </c>
      <c r="CW37" s="149" t="str">
        <f>IF(OR($B37="",$B37=0),"",$I37*$C37*(1+'Property Summary'!$L$21)^('MF CapEx'!CW$3-1))</f>
        <v/>
      </c>
      <c r="CX37" s="149" t="str">
        <f>IF(OR($B37="",$B37=0),"",$I37*$C37*(1+'Property Summary'!$L$21)^('MF CapEx'!CX$3-1))</f>
        <v/>
      </c>
      <c r="CY37" s="149" t="str">
        <f>IF(OR($B37="",$B37=0),"",$I37*$C37*(1+'Property Summary'!$L$21)^('MF CapEx'!CY$3-1))</f>
        <v/>
      </c>
      <c r="CZ37" s="149" t="str">
        <f>IF(OR($B37="",$B37=0),"",$I37*$C37*(1+'Property Summary'!$L$21)^('MF CapEx'!CZ$3-1))</f>
        <v/>
      </c>
      <c r="DA37" s="149" t="str">
        <f>IF(OR($B37="",$B37=0),"",$I37*$C37*(1+'Property Summary'!$L$21)^('MF CapEx'!DA$3-1))</f>
        <v/>
      </c>
      <c r="DB37" s="149" t="str">
        <f>IF(OR($B37="",$B37=0),"",$I37*$C37*(1+'Property Summary'!$L$21)^('MF CapEx'!DB$3-1))</f>
        <v/>
      </c>
      <c r="DC37" s="149" t="str">
        <f>IF(OR($B37="",$B37=0),"",$I37*$C37*(1+'Property Summary'!$L$21)^('MF CapEx'!DC$3-1))</f>
        <v/>
      </c>
      <c r="DD37" s="149" t="str">
        <f>IF(OR($B37="",$B37=0),"",$I37*$C37*(1+'Property Summary'!$L$21)^('MF CapEx'!DD$3-1))</f>
        <v/>
      </c>
      <c r="DE37" s="149" t="str">
        <f>IF(OR($B37="",$B37=0),"",$I37*$C37*(1+'Property Summary'!$L$21)^('MF CapEx'!DE$3-1))</f>
        <v/>
      </c>
      <c r="DF37" s="149" t="str">
        <f>IF(OR($B37="",$B37=0),"",$I37*$C37*(1+'Property Summary'!$L$21)^('MF CapEx'!DF$3-1))</f>
        <v/>
      </c>
      <c r="DG37" s="149" t="str">
        <f>IF(OR($B37="",$B37=0),"",$I37*$C37*(1+'Property Summary'!$L$21)^('MF CapEx'!DG$3-1))</f>
        <v/>
      </c>
      <c r="DH37" s="149" t="str">
        <f>IF(OR($B37="",$B37=0),"",$I37*$C37*(1+'Property Summary'!$L$21)^('MF CapEx'!DH$3-1))</f>
        <v/>
      </c>
      <c r="DI37" s="149" t="str">
        <f>IF(OR($B37="",$B37=0),"",$I37*$C37*(1+'Property Summary'!$L$21)^('MF CapEx'!DI$3-1))</f>
        <v/>
      </c>
      <c r="DJ37" s="149" t="str">
        <f>IF(OR($B37="",$B37=0),"",$I37*$C37*(1+'Property Summary'!$L$21)^('MF CapEx'!DJ$3-1))</f>
        <v/>
      </c>
      <c r="DK37" s="149" t="str">
        <f>IF(OR($B37="",$B37=0),"",$I37*$C37*(1+'Property Summary'!$L$21)^('MF CapEx'!DK$3-1))</f>
        <v/>
      </c>
      <c r="DL37" s="149" t="str">
        <f>IF(OR($B37="",$B37=0),"",$I37*$C37*(1+'Property Summary'!$L$21)^('MF CapEx'!DL$3-1))</f>
        <v/>
      </c>
      <c r="DM37" s="149" t="str">
        <f>IF(OR($B37="",$B37=0),"",$I37*$C37*(1+'Property Summary'!$L$21)^('MF CapEx'!DM$3-1))</f>
        <v/>
      </c>
      <c r="DN37" s="149" t="str">
        <f>IF(OR($B37="",$B37=0),"",$I37*$C37*(1+'Property Summary'!$L$21)^('MF CapEx'!DN$3-1))</f>
        <v/>
      </c>
      <c r="DO37" s="149" t="str">
        <f>IF(OR($B37="",$B37=0),"",$I37*$C37*(1+'Property Summary'!$L$21)^('MF CapEx'!DO$3-1))</f>
        <v/>
      </c>
      <c r="DP37" s="149" t="str">
        <f>IF(OR($B37="",$B37=0),"",$I37*$C37*(1+'Property Summary'!$L$21)^('MF CapEx'!DP$3-1))</f>
        <v/>
      </c>
      <c r="DQ37" s="149" t="str">
        <f>IF(OR($B37="",$B37=0),"",$I37*$C37*(1+'Property Summary'!$L$21)^('MF CapEx'!DQ$3-1))</f>
        <v/>
      </c>
      <c r="DR37" s="149" t="str">
        <f>IF(OR($B37="",$B37=0),"",$I37*$C37*(1+'Property Summary'!$L$21)^('MF CapEx'!DR$3-1))</f>
        <v/>
      </c>
      <c r="DS37" s="149" t="str">
        <f>IF(OR($B37="",$B37=0),"",$I37*$C37*(1+'Property Summary'!$L$21)^('MF CapEx'!DS$3-1))</f>
        <v/>
      </c>
      <c r="DT37" s="149" t="str">
        <f>IF(OR($B37="",$B37=0),"",$I37*$C37*(1+'Property Summary'!$L$21)^('MF CapEx'!DT$3-1))</f>
        <v/>
      </c>
      <c r="DU37" s="149" t="str">
        <f>IF(OR($B37="",$B37=0),"",$I37*$C37*(1+'Property Summary'!$L$21)^('MF CapEx'!DU$3-1))</f>
        <v/>
      </c>
      <c r="DV37" s="149" t="str">
        <f>IF(OR($B37="",$B37=0),"",$I37*$C37*(1+'Property Summary'!$L$21)^('MF CapEx'!DV$3-1))</f>
        <v/>
      </c>
      <c r="DW37" s="149" t="str">
        <f>IF(OR($B37="",$B37=0),"",$I37*$C37*(1+'Property Summary'!$L$21)^('MF CapEx'!DW$3-1))</f>
        <v/>
      </c>
      <c r="DX37" s="149" t="str">
        <f>IF(OR($B37="",$B37=0),"",$I37*$C37*(1+'Property Summary'!$L$21)^('MF CapEx'!DX$3-1))</f>
        <v/>
      </c>
      <c r="DY37" s="149" t="str">
        <f>IF(OR($B37="",$B37=0),"",$I37*$C37*(1+'Property Summary'!$L$21)^('MF CapEx'!DY$3-1))</f>
        <v/>
      </c>
      <c r="DZ37" s="149" t="str">
        <f>IF(OR($B37="",$B37=0),"",$I37*$C37*(1+'Property Summary'!$L$21)^('MF CapEx'!DZ$3-1))</f>
        <v/>
      </c>
      <c r="EA37" s="149" t="str">
        <f>IF(OR($B37="",$B37=0),"",$I37*$C37*(1+'Property Summary'!$L$21)^('MF CapEx'!EA$3-1))</f>
        <v/>
      </c>
      <c r="EB37" s="149" t="str">
        <f>IF(OR($B37="",$B37=0),"",$I37*$C37*(1+'Property Summary'!$L$21)^('MF CapEx'!EB$3-1))</f>
        <v/>
      </c>
      <c r="EC37" s="149" t="str">
        <f>IF(OR($B37="",$B37=0),"",$I37*$C37*(1+'Property Summary'!$L$21)^('MF CapEx'!EC$3-1))</f>
        <v/>
      </c>
      <c r="ED37" s="149" t="str">
        <f>IF(OR($B37="",$B37=0),"",$I37*$C37*(1+'Property Summary'!$L$21)^('MF CapEx'!ED$3-1))</f>
        <v/>
      </c>
      <c r="EE37" s="149" t="str">
        <f>IF(OR($B37="",$B37=0),"",$I37*$C37*(1+'Property Summary'!$L$21)^('MF CapEx'!EE$3-1))</f>
        <v/>
      </c>
      <c r="EF37" s="149" t="str">
        <f>IF(OR($B37="",$B37=0),"",$I37*$C37*(1+'Property Summary'!$L$21)^('MF CapEx'!EF$3-1))</f>
        <v/>
      </c>
      <c r="EG37" s="149" t="str">
        <f>IF(OR($B37="",$B37=0),"",$I37*$C37*(1+'Property Summary'!$L$21)^('MF CapEx'!EG$3-1))</f>
        <v/>
      </c>
      <c r="EH37" s="149" t="str">
        <f>IF(OR($B37="",$B37=0),"",$I37*$C37*(1+'Property Summary'!$L$21)^('MF CapEx'!EH$3-1))</f>
        <v/>
      </c>
      <c r="EI37" s="149" t="str">
        <f>IF(OR($B37="",$B37=0),"",$I37*$C37*(1+'Property Summary'!$L$21)^('MF CapEx'!EI$3-1))</f>
        <v/>
      </c>
      <c r="EJ37" s="149" t="str">
        <f>IF(OR($B37="",$B37=0),"",$I37*$C37*(1+'Property Summary'!$L$21)^('MF CapEx'!EJ$3-1))</f>
        <v/>
      </c>
      <c r="EK37" s="149" t="str">
        <f>IF(OR($B37="",$B37=0),"",$I37*$C37*(1+'Property Summary'!$L$21)^('MF CapEx'!EK$3-1))</f>
        <v/>
      </c>
      <c r="EL37" s="149" t="str">
        <f>IF(OR($B37="",$B37=0),"",$I37*$C37*(1+'Property Summary'!$L$21)^('MF CapEx'!EL$3-1))</f>
        <v/>
      </c>
      <c r="EM37" s="149" t="str">
        <f>IF(OR($B37="",$B37=0),"",$I37*$C37*(1+'Property Summary'!$L$21)^('MF CapEx'!EM$3-1))</f>
        <v/>
      </c>
      <c r="EN37" s="149" t="str">
        <f>IF(OR($B37="",$B37=0),"",$I37*$C37*(1+'Property Summary'!$L$21)^('MF CapEx'!EN$3-1))</f>
        <v/>
      </c>
      <c r="EO37" s="149" t="str">
        <f>IF(OR($B37="",$B37=0),"",$I37*$C37*(1+'Property Summary'!$L$21)^('MF CapEx'!EO$3-1))</f>
        <v/>
      </c>
      <c r="EP37" s="149" t="str">
        <f>IF(OR($B37="",$B37=0),"",$I37*$C37*(1+'Property Summary'!$L$21)^('MF CapEx'!EP$3-1))</f>
        <v/>
      </c>
      <c r="EQ37" s="149" t="str">
        <f>IF(OR($B37="",$B37=0),"",$I37*$C37*(1+'Property Summary'!$L$21)^('MF CapEx'!EQ$3-1))</f>
        <v/>
      </c>
      <c r="ER37" s="149" t="str">
        <f>IF(OR($B37="",$B37=0),"",$I37*$C37*(1+'Property Summary'!$L$21)^('MF CapEx'!ER$3-1))</f>
        <v/>
      </c>
      <c r="ES37" s="149" t="str">
        <f>IF(OR($B37="",$B37=0),"",$I37*$C37*(1+'Property Summary'!$L$21)^('MF CapEx'!ES$3-1))</f>
        <v/>
      </c>
      <c r="ET37" s="149" t="str">
        <f>IF(OR($B37="",$B37=0),"",$I37*$C37*(1+'Property Summary'!$L$21)^('MF CapEx'!ET$3-1))</f>
        <v/>
      </c>
      <c r="EU37" s="149" t="str">
        <f>IF(OR($B37="",$B37=0),"",$I37*$C37*(1+'Property Summary'!$L$21)^('MF CapEx'!EU$3-1))</f>
        <v/>
      </c>
      <c r="EV37" s="149" t="str">
        <f>IF(OR($B37="",$B37=0),"",$I37*$C37*(1+'Property Summary'!$L$21)^('MF CapEx'!EV$3-1))</f>
        <v/>
      </c>
      <c r="EW37" s="149" t="str">
        <f>IF(OR($B37="",$B37=0),"",$I37*$C37*(1+'Property Summary'!$L$21)^('MF CapEx'!EW$3-1))</f>
        <v/>
      </c>
      <c r="EX37" s="149" t="str">
        <f>IF(OR($B37="",$B37=0),"",$I37*$C37*(1+'Property Summary'!$L$21)^('MF CapEx'!EX$3-1))</f>
        <v/>
      </c>
      <c r="EY37" s="149" t="str">
        <f>IF(OR($B37="",$B37=0),"",$I37*$C37*(1+'Property Summary'!$L$21)^('MF CapEx'!EY$3-1))</f>
        <v/>
      </c>
      <c r="EZ37" s="149" t="str">
        <f>IF(OR($B37="",$B37=0),"",$I37*$C37*(1+'Property Summary'!$L$21)^('MF CapEx'!EZ$3-1))</f>
        <v/>
      </c>
      <c r="FA37" s="149" t="str">
        <f>IF(OR($B37="",$B37=0),"",$I37*$C37*(1+'Property Summary'!$L$21)^('MF CapEx'!FA$3-1))</f>
        <v/>
      </c>
      <c r="FB37" s="149" t="str">
        <f>IF(OR($B37="",$B37=0),"",$I37*$C37*(1+'Property Summary'!$L$21)^('MF CapEx'!FB$3-1))</f>
        <v/>
      </c>
      <c r="FC37" s="149" t="str">
        <f>IF(OR($B37="",$B37=0),"",$I37*$C37*(1+'Property Summary'!$L$21)^('MF CapEx'!FC$3-1))</f>
        <v/>
      </c>
      <c r="FD37" s="149" t="str">
        <f>IF(OR($B37="",$B37=0),"",$I37*$C37*(1+'Property Summary'!$L$21)^('MF CapEx'!FD$3-1))</f>
        <v/>
      </c>
      <c r="FE37" s="149" t="str">
        <f>IF(OR($B37="",$B37=0),"",$I37*$C37*(1+'Property Summary'!$L$21)^('MF CapEx'!FE$3-1))</f>
        <v/>
      </c>
      <c r="FF37" s="149" t="str">
        <f>IF(OR($B37="",$B37=0),"",$I37*$C37*(1+'Property Summary'!$L$21)^('MF CapEx'!FF$3-1))</f>
        <v/>
      </c>
      <c r="FG37" s="149" t="str">
        <f>IF(OR($B37="",$B37=0),"",$I37*$C37*(1+'Property Summary'!$L$21)^('MF CapEx'!FG$3-1))</f>
        <v/>
      </c>
      <c r="FH37" s="149" t="str">
        <f>IF(OR($B37="",$B37=0),"",$I37*$C37*(1+'Property Summary'!$L$21)^('MF CapEx'!FH$3-1))</f>
        <v/>
      </c>
      <c r="FI37" s="149" t="str">
        <f>IF(OR($B37="",$B37=0),"",$I37*$C37*(1+'Property Summary'!$L$21)^('MF CapEx'!FI$3-1))</f>
        <v/>
      </c>
      <c r="FJ37" s="149" t="str">
        <f>IF(OR($B37="",$B37=0),"",$I37*$C37*(1+'Property Summary'!$L$21)^('MF CapEx'!FJ$3-1))</f>
        <v/>
      </c>
      <c r="FK37" s="149" t="str">
        <f>IF(OR($B37="",$B37=0),"",$I37*$C37*(1+'Property Summary'!$L$21)^('MF CapEx'!FK$3-1))</f>
        <v/>
      </c>
      <c r="FL37" s="149" t="str">
        <f>IF(OR($B37="",$B37=0),"",$I37*$C37*(1+'Property Summary'!$L$21)^('MF CapEx'!FL$3-1))</f>
        <v/>
      </c>
      <c r="FM37" s="149" t="str">
        <f>IF(OR($B37="",$B37=0),"",$I37*$C37*(1+'Property Summary'!$L$21)^('MF CapEx'!FM$3-1))</f>
        <v/>
      </c>
      <c r="FN37" s="149" t="str">
        <f>IF(OR($B37="",$B37=0),"",$I37*$C37*(1+'Property Summary'!$L$21)^('MF CapEx'!FN$3-1))</f>
        <v/>
      </c>
      <c r="FO37" s="149" t="str">
        <f>IF(OR($B37="",$B37=0),"",$I37*$C37*(1+'Property Summary'!$L$21)^('MF CapEx'!FO$3-1))</f>
        <v/>
      </c>
      <c r="FP37" s="149" t="str">
        <f>IF(OR($B37="",$B37=0),"",$I37*$C37*(1+'Property Summary'!$L$21)^('MF CapEx'!FP$3-1))</f>
        <v/>
      </c>
      <c r="FQ37" s="149" t="str">
        <f>IF(OR($B37="",$B37=0),"",$I37*$C37*(1+'Property Summary'!$L$21)^('MF CapEx'!FQ$3-1))</f>
        <v/>
      </c>
      <c r="FR37" s="149" t="str">
        <f>IF(OR($B37="",$B37=0),"",$I37*$C37*(1+'Property Summary'!$L$21)^('MF CapEx'!FR$3-1))</f>
        <v/>
      </c>
      <c r="FS37" s="149" t="str">
        <f>IF(OR($B37="",$B37=0),"",$I37*$C37*(1+'Property Summary'!$L$21)^('MF CapEx'!FS$3-1))</f>
        <v/>
      </c>
      <c r="FT37" s="149" t="str">
        <f>IF(OR($B37="",$B37=0),"",$I37*$C37*(1+'Property Summary'!$L$21)^('MF CapEx'!FT$3-1))</f>
        <v/>
      </c>
      <c r="FU37" s="149" t="str">
        <f>IF(OR($B37="",$B37=0),"",$I37*$C37*(1+'Property Summary'!$L$21)^('MF CapEx'!FU$3-1))</f>
        <v/>
      </c>
      <c r="FV37" s="149" t="str">
        <f>IF(OR($B37="",$B37=0),"",$I37*$C37*(1+'Property Summary'!$L$21)^('MF CapEx'!FV$3-1))</f>
        <v/>
      </c>
      <c r="FW37" s="149" t="str">
        <f>IF(OR($B37="",$B37=0),"",$I37*$C37*(1+'Property Summary'!$L$21)^('MF CapEx'!FW$3-1))</f>
        <v/>
      </c>
      <c r="FX37" s="149" t="str">
        <f>IF(OR($B37="",$B37=0),"",$I37*$C37*(1+'Property Summary'!$L$21)^('MF CapEx'!FX$3-1))</f>
        <v/>
      </c>
      <c r="FY37" s="149" t="str">
        <f>IF(OR($B37="",$B37=0),"",$I37*$C37*(1+'Property Summary'!$L$21)^('MF CapEx'!FY$3-1))</f>
        <v/>
      </c>
      <c r="FZ37" s="149" t="str">
        <f>IF(OR($B37="",$B37=0),"",$I37*$C37*(1+'Property Summary'!$L$21)^('MF CapEx'!FZ$3-1))</f>
        <v/>
      </c>
      <c r="GA37" s="149" t="str">
        <f>IF(OR($B37="",$B37=0),"",$I37*$C37*(1+'Property Summary'!$L$21)^('MF CapEx'!GA$3-1))</f>
        <v/>
      </c>
      <c r="GB37" s="149" t="str">
        <f>IF(OR($B37="",$B37=0),"",$I37*$C37*(1+'Property Summary'!$L$21)^('MF CapEx'!GB$3-1))</f>
        <v/>
      </c>
      <c r="GC37" s="149" t="str">
        <f>IF(OR($B37="",$B37=0),"",$I37*$C37*(1+'Property Summary'!$L$21)^('MF CapEx'!GC$3-1))</f>
        <v/>
      </c>
      <c r="GD37" s="149" t="str">
        <f>IF(OR($B37="",$B37=0),"",$I37*$C37*(1+'Property Summary'!$L$21)^('MF CapEx'!GD$3-1))</f>
        <v/>
      </c>
      <c r="GE37" s="149" t="str">
        <f>IF(OR($B37="",$B37=0),"",$I37*$C37*(1+'Property Summary'!$L$21)^('MF CapEx'!GE$3-1))</f>
        <v/>
      </c>
      <c r="GF37" s="149" t="str">
        <f>IF(OR($B37="",$B37=0),"",$I37*$C37*(1+'Property Summary'!$L$21)^('MF CapEx'!GF$3-1))</f>
        <v/>
      </c>
      <c r="GG37" s="149" t="str">
        <f>IF(OR($B37="",$B37=0),"",$I37*$C37*(1+'Property Summary'!$L$21)^('MF CapEx'!GG$3-1))</f>
        <v/>
      </c>
      <c r="GH37" s="149" t="str">
        <f>IF(OR($B37="",$B37=0),"",$I37*$C37*(1+'Property Summary'!$L$21)^('MF CapEx'!GH$3-1))</f>
        <v/>
      </c>
      <c r="GI37" s="149" t="str">
        <f>IF(OR($B37="",$B37=0),"",$I37*$C37*(1+'Property Summary'!$L$21)^('MF CapEx'!GI$3-1))</f>
        <v/>
      </c>
      <c r="GJ37" s="149" t="str">
        <f>IF(OR($B37="",$B37=0),"",$I37*$C37*(1+'Property Summary'!$L$21)^('MF CapEx'!GJ$3-1))</f>
        <v/>
      </c>
      <c r="GK37" s="149" t="str">
        <f>IF(OR($B37="",$B37=0),"",$I37*$C37*(1+'Property Summary'!$L$21)^('MF CapEx'!GK$3-1))</f>
        <v/>
      </c>
      <c r="GL37" s="149" t="str">
        <f>IF(OR($B37="",$B37=0),"",$I37*$C37*(1+'Property Summary'!$L$21)^('MF CapEx'!GL$3-1))</f>
        <v/>
      </c>
      <c r="GM37" s="149" t="str">
        <f>IF(OR($B37="",$B37=0),"",$I37*$C37*(1+'Property Summary'!$L$21)^('MF CapEx'!GM$3-1))</f>
        <v/>
      </c>
      <c r="GN37" s="149" t="str">
        <f>IF(OR($B37="",$B37=0),"",$I37*$C37*(1+'Property Summary'!$L$21)^('MF CapEx'!GN$3-1))</f>
        <v/>
      </c>
      <c r="GO37" s="149" t="str">
        <f>IF(OR($B37="",$B37=0),"",$I37*$C37*(1+'Property Summary'!$L$21)^('MF CapEx'!GO$3-1))</f>
        <v/>
      </c>
      <c r="GP37" s="149" t="str">
        <f>IF(OR($B37="",$B37=0),"",$I37*$C37*(1+'Property Summary'!$L$21)^('MF CapEx'!GP$3-1))</f>
        <v/>
      </c>
    </row>
    <row r="38" spans="2:198" x14ac:dyDescent="0.3">
      <c r="B38" s="184">
        <f>'MF Rent Roll'!B37</f>
        <v>0</v>
      </c>
      <c r="C38" s="171">
        <f>'MF Rent Roll'!C37</f>
        <v>0</v>
      </c>
      <c r="D38" s="172">
        <f>'MF Rent Roll'!D37</f>
        <v>0</v>
      </c>
      <c r="E38" s="172">
        <f>'MF Rent Roll'!E37</f>
        <v>0</v>
      </c>
      <c r="F38" s="173">
        <f>'MF Rent Roll'!F37</f>
        <v>0</v>
      </c>
      <c r="G38" s="174">
        <f>'MF Rent Roll'!G37</f>
        <v>0</v>
      </c>
      <c r="H38" s="176">
        <f>'MF Rent Roll'!J37</f>
        <v>0</v>
      </c>
      <c r="I38" s="174">
        <f>'MF Rent Roll'!K37</f>
        <v>0</v>
      </c>
      <c r="J38" s="177">
        <f>'MF Rent Roll'!L37</f>
        <v>0</v>
      </c>
      <c r="K38" s="178">
        <f>'MF Rent Roll'!M37</f>
        <v>0</v>
      </c>
      <c r="L38" s="174">
        <f>'MF Rent Roll'!N37</f>
        <v>0</v>
      </c>
      <c r="M38" s="179">
        <f>'MF Rent Roll'!O37</f>
        <v>0</v>
      </c>
      <c r="N38" s="180" t="str">
        <f>'MF Rent Roll'!P37</f>
        <v/>
      </c>
      <c r="O38" s="181" t="str">
        <f>'MF Rent Roll'!Q37</f>
        <v/>
      </c>
      <c r="P38" s="104" t="str">
        <f>'MF Rent Roll'!R37</f>
        <v/>
      </c>
      <c r="S38" s="149" t="str">
        <f>IF(OR($B38="",$B38=0),"",$I38*$C38*(1+'Property Summary'!$L$21)^('MF CapEx'!S$3-1))</f>
        <v/>
      </c>
      <c r="T38" s="149" t="str">
        <f>IF(OR($B38="",$B38=0),"",$I38*$C38*(1+'Property Summary'!$L$21)^('MF CapEx'!T$3-1))</f>
        <v/>
      </c>
      <c r="U38" s="149" t="str">
        <f>IF(OR($B38="",$B38=0),"",$I38*$C38*(1+'Property Summary'!$L$21)^('MF CapEx'!U$3-1))</f>
        <v/>
      </c>
      <c r="V38" s="149" t="str">
        <f>IF(OR($B38="",$B38=0),"",$I38*$C38*(1+'Property Summary'!$L$21)^('MF CapEx'!V$3-1))</f>
        <v/>
      </c>
      <c r="W38" s="149" t="str">
        <f>IF(OR($B38="",$B38=0),"",$I38*$C38*(1+'Property Summary'!$L$21)^('MF CapEx'!W$3-1))</f>
        <v/>
      </c>
      <c r="X38" s="149" t="str">
        <f>IF(OR($B38="",$B38=0),"",$I38*$C38*(1+'Property Summary'!$L$21)^('MF CapEx'!X$3-1))</f>
        <v/>
      </c>
      <c r="Y38" s="149" t="str">
        <f>IF(OR($B38="",$B38=0),"",$I38*$C38*(1+'Property Summary'!$L$21)^('MF CapEx'!Y$3-1))</f>
        <v/>
      </c>
      <c r="Z38" s="149" t="str">
        <f>IF(OR($B38="",$B38=0),"",$I38*$C38*(1+'Property Summary'!$L$21)^('MF CapEx'!Z$3-1))</f>
        <v/>
      </c>
      <c r="AA38" s="149" t="str">
        <f>IF(OR($B38="",$B38=0),"",$I38*$C38*(1+'Property Summary'!$L$21)^('MF CapEx'!AA$3-1))</f>
        <v/>
      </c>
      <c r="AB38" s="149" t="str">
        <f>IF(OR($B38="",$B38=0),"",$I38*$C38*(1+'Property Summary'!$L$21)^('MF CapEx'!AB$3-1))</f>
        <v/>
      </c>
      <c r="AC38" s="149" t="str">
        <f>IF(OR($B38="",$B38=0),"",$I38*$C38*(1+'Property Summary'!$L$21)^('MF CapEx'!AC$3-1))</f>
        <v/>
      </c>
      <c r="AD38" s="149" t="str">
        <f>IF(OR($B38="",$B38=0),"",$I38*$C38*(1+'Property Summary'!$L$21)^('MF CapEx'!AD$3-1))</f>
        <v/>
      </c>
      <c r="AE38" s="149" t="str">
        <f>IF(OR($B38="",$B38=0),"",$I38*$C38*(1+'Property Summary'!$L$21)^('MF CapEx'!AE$3-1))</f>
        <v/>
      </c>
      <c r="AF38" s="149" t="str">
        <f>IF(OR($B38="",$B38=0),"",$I38*$C38*(1+'Property Summary'!$L$21)^('MF CapEx'!AF$3-1))</f>
        <v/>
      </c>
      <c r="AG38" s="149" t="str">
        <f>IF(OR($B38="",$B38=0),"",$I38*$C38*(1+'Property Summary'!$L$21)^('MF CapEx'!AG$3-1))</f>
        <v/>
      </c>
      <c r="AH38" s="149" t="str">
        <f>IF(OR($B38="",$B38=0),"",$I38*$C38*(1+'Property Summary'!$L$21)^('MF CapEx'!AH$3-1))</f>
        <v/>
      </c>
      <c r="AI38" s="149" t="str">
        <f>IF(OR($B38="",$B38=0),"",$I38*$C38*(1+'Property Summary'!$L$21)^('MF CapEx'!AI$3-1))</f>
        <v/>
      </c>
      <c r="AJ38" s="149" t="str">
        <f>IF(OR($B38="",$B38=0),"",$I38*$C38*(1+'Property Summary'!$L$21)^('MF CapEx'!AJ$3-1))</f>
        <v/>
      </c>
      <c r="AK38" s="149" t="str">
        <f>IF(OR($B38="",$B38=0),"",$I38*$C38*(1+'Property Summary'!$L$21)^('MF CapEx'!AK$3-1))</f>
        <v/>
      </c>
      <c r="AL38" s="149" t="str">
        <f>IF(OR($B38="",$B38=0),"",$I38*$C38*(1+'Property Summary'!$L$21)^('MF CapEx'!AL$3-1))</f>
        <v/>
      </c>
      <c r="AM38" s="149" t="str">
        <f>IF(OR($B38="",$B38=0),"",$I38*$C38*(1+'Property Summary'!$L$21)^('MF CapEx'!AM$3-1))</f>
        <v/>
      </c>
      <c r="AN38" s="149" t="str">
        <f>IF(OR($B38="",$B38=0),"",$I38*$C38*(1+'Property Summary'!$L$21)^('MF CapEx'!AN$3-1))</f>
        <v/>
      </c>
      <c r="AO38" s="149" t="str">
        <f>IF(OR($B38="",$B38=0),"",$I38*$C38*(1+'Property Summary'!$L$21)^('MF CapEx'!AO$3-1))</f>
        <v/>
      </c>
      <c r="AP38" s="149" t="str">
        <f>IF(OR($B38="",$B38=0),"",$I38*$C38*(1+'Property Summary'!$L$21)^('MF CapEx'!AP$3-1))</f>
        <v/>
      </c>
      <c r="AQ38" s="149" t="str">
        <f>IF(OR($B38="",$B38=0),"",$I38*$C38*(1+'Property Summary'!$L$21)^('MF CapEx'!AQ$3-1))</f>
        <v/>
      </c>
      <c r="AR38" s="149" t="str">
        <f>IF(OR($B38="",$B38=0),"",$I38*$C38*(1+'Property Summary'!$L$21)^('MF CapEx'!AR$3-1))</f>
        <v/>
      </c>
      <c r="AS38" s="149" t="str">
        <f>IF(OR($B38="",$B38=0),"",$I38*$C38*(1+'Property Summary'!$L$21)^('MF CapEx'!AS$3-1))</f>
        <v/>
      </c>
      <c r="AT38" s="149" t="str">
        <f>IF(OR($B38="",$B38=0),"",$I38*$C38*(1+'Property Summary'!$L$21)^('MF CapEx'!AT$3-1))</f>
        <v/>
      </c>
      <c r="AU38" s="149" t="str">
        <f>IF(OR($B38="",$B38=0),"",$I38*$C38*(1+'Property Summary'!$L$21)^('MF CapEx'!AU$3-1))</f>
        <v/>
      </c>
      <c r="AV38" s="149" t="str">
        <f>IF(OR($B38="",$B38=0),"",$I38*$C38*(1+'Property Summary'!$L$21)^('MF CapEx'!AV$3-1))</f>
        <v/>
      </c>
      <c r="AW38" s="149" t="str">
        <f>IF(OR($B38="",$B38=0),"",$I38*$C38*(1+'Property Summary'!$L$21)^('MF CapEx'!AW$3-1))</f>
        <v/>
      </c>
      <c r="AX38" s="149" t="str">
        <f>IF(OR($B38="",$B38=0),"",$I38*$C38*(1+'Property Summary'!$L$21)^('MF CapEx'!AX$3-1))</f>
        <v/>
      </c>
      <c r="AY38" s="149" t="str">
        <f>IF(OR($B38="",$B38=0),"",$I38*$C38*(1+'Property Summary'!$L$21)^('MF CapEx'!AY$3-1))</f>
        <v/>
      </c>
      <c r="AZ38" s="149" t="str">
        <f>IF(OR($B38="",$B38=0),"",$I38*$C38*(1+'Property Summary'!$L$21)^('MF CapEx'!AZ$3-1))</f>
        <v/>
      </c>
      <c r="BA38" s="149" t="str">
        <f>IF(OR($B38="",$B38=0),"",$I38*$C38*(1+'Property Summary'!$L$21)^('MF CapEx'!BA$3-1))</f>
        <v/>
      </c>
      <c r="BB38" s="149" t="str">
        <f>IF(OR($B38="",$B38=0),"",$I38*$C38*(1+'Property Summary'!$L$21)^('MF CapEx'!BB$3-1))</f>
        <v/>
      </c>
      <c r="BC38" s="149" t="str">
        <f>IF(OR($B38="",$B38=0),"",$I38*$C38*(1+'Property Summary'!$L$21)^('MF CapEx'!BC$3-1))</f>
        <v/>
      </c>
      <c r="BD38" s="149" t="str">
        <f>IF(OR($B38="",$B38=0),"",$I38*$C38*(1+'Property Summary'!$L$21)^('MF CapEx'!BD$3-1))</f>
        <v/>
      </c>
      <c r="BE38" s="149" t="str">
        <f>IF(OR($B38="",$B38=0),"",$I38*$C38*(1+'Property Summary'!$L$21)^('MF CapEx'!BE$3-1))</f>
        <v/>
      </c>
      <c r="BF38" s="149" t="str">
        <f>IF(OR($B38="",$B38=0),"",$I38*$C38*(1+'Property Summary'!$L$21)^('MF CapEx'!BF$3-1))</f>
        <v/>
      </c>
      <c r="BG38" s="149" t="str">
        <f>IF(OR($B38="",$B38=0),"",$I38*$C38*(1+'Property Summary'!$L$21)^('MF CapEx'!BG$3-1))</f>
        <v/>
      </c>
      <c r="BH38" s="149" t="str">
        <f>IF(OR($B38="",$B38=0),"",$I38*$C38*(1+'Property Summary'!$L$21)^('MF CapEx'!BH$3-1))</f>
        <v/>
      </c>
      <c r="BI38" s="149" t="str">
        <f>IF(OR($B38="",$B38=0),"",$I38*$C38*(1+'Property Summary'!$L$21)^('MF CapEx'!BI$3-1))</f>
        <v/>
      </c>
      <c r="BJ38" s="149" t="str">
        <f>IF(OR($B38="",$B38=0),"",$I38*$C38*(1+'Property Summary'!$L$21)^('MF CapEx'!BJ$3-1))</f>
        <v/>
      </c>
      <c r="BK38" s="149" t="str">
        <f>IF(OR($B38="",$B38=0),"",$I38*$C38*(1+'Property Summary'!$L$21)^('MF CapEx'!BK$3-1))</f>
        <v/>
      </c>
      <c r="BL38" s="149" t="str">
        <f>IF(OR($B38="",$B38=0),"",$I38*$C38*(1+'Property Summary'!$L$21)^('MF CapEx'!BL$3-1))</f>
        <v/>
      </c>
      <c r="BM38" s="149" t="str">
        <f>IF(OR($B38="",$B38=0),"",$I38*$C38*(1+'Property Summary'!$L$21)^('MF CapEx'!BM$3-1))</f>
        <v/>
      </c>
      <c r="BN38" s="149" t="str">
        <f>IF(OR($B38="",$B38=0),"",$I38*$C38*(1+'Property Summary'!$L$21)^('MF CapEx'!BN$3-1))</f>
        <v/>
      </c>
      <c r="BO38" s="149" t="str">
        <f>IF(OR($B38="",$B38=0),"",$I38*$C38*(1+'Property Summary'!$L$21)^('MF CapEx'!BO$3-1))</f>
        <v/>
      </c>
      <c r="BP38" s="149" t="str">
        <f>IF(OR($B38="",$B38=0),"",$I38*$C38*(1+'Property Summary'!$L$21)^('MF CapEx'!BP$3-1))</f>
        <v/>
      </c>
      <c r="BQ38" s="149" t="str">
        <f>IF(OR($B38="",$B38=0),"",$I38*$C38*(1+'Property Summary'!$L$21)^('MF CapEx'!BQ$3-1))</f>
        <v/>
      </c>
      <c r="BR38" s="149" t="str">
        <f>IF(OR($B38="",$B38=0),"",$I38*$C38*(1+'Property Summary'!$L$21)^('MF CapEx'!BR$3-1))</f>
        <v/>
      </c>
      <c r="BS38" s="149" t="str">
        <f>IF(OR($B38="",$B38=0),"",$I38*$C38*(1+'Property Summary'!$L$21)^('MF CapEx'!BS$3-1))</f>
        <v/>
      </c>
      <c r="BT38" s="149" t="str">
        <f>IF(OR($B38="",$B38=0),"",$I38*$C38*(1+'Property Summary'!$L$21)^('MF CapEx'!BT$3-1))</f>
        <v/>
      </c>
      <c r="BU38" s="149" t="str">
        <f>IF(OR($B38="",$B38=0),"",$I38*$C38*(1+'Property Summary'!$L$21)^('MF CapEx'!BU$3-1))</f>
        <v/>
      </c>
      <c r="BV38" s="149" t="str">
        <f>IF(OR($B38="",$B38=0),"",$I38*$C38*(1+'Property Summary'!$L$21)^('MF CapEx'!BV$3-1))</f>
        <v/>
      </c>
      <c r="BW38" s="149" t="str">
        <f>IF(OR($B38="",$B38=0),"",$I38*$C38*(1+'Property Summary'!$L$21)^('MF CapEx'!BW$3-1))</f>
        <v/>
      </c>
      <c r="BX38" s="149" t="str">
        <f>IF(OR($B38="",$B38=0),"",$I38*$C38*(1+'Property Summary'!$L$21)^('MF CapEx'!BX$3-1))</f>
        <v/>
      </c>
      <c r="BY38" s="149" t="str">
        <f>IF(OR($B38="",$B38=0),"",$I38*$C38*(1+'Property Summary'!$L$21)^('MF CapEx'!BY$3-1))</f>
        <v/>
      </c>
      <c r="BZ38" s="149" t="str">
        <f>IF(OR($B38="",$B38=0),"",$I38*$C38*(1+'Property Summary'!$L$21)^('MF CapEx'!BZ$3-1))</f>
        <v/>
      </c>
      <c r="CA38" s="149" t="str">
        <f>IF(OR($B38="",$B38=0),"",$I38*$C38*(1+'Property Summary'!$L$21)^('MF CapEx'!CA$3-1))</f>
        <v/>
      </c>
      <c r="CB38" s="149" t="str">
        <f>IF(OR($B38="",$B38=0),"",$I38*$C38*(1+'Property Summary'!$L$21)^('MF CapEx'!CB$3-1))</f>
        <v/>
      </c>
      <c r="CC38" s="149" t="str">
        <f>IF(OR($B38="",$B38=0),"",$I38*$C38*(1+'Property Summary'!$L$21)^('MF CapEx'!CC$3-1))</f>
        <v/>
      </c>
      <c r="CD38" s="149" t="str">
        <f>IF(OR($B38="",$B38=0),"",$I38*$C38*(1+'Property Summary'!$L$21)^('MF CapEx'!CD$3-1))</f>
        <v/>
      </c>
      <c r="CE38" s="149" t="str">
        <f>IF(OR($B38="",$B38=0),"",$I38*$C38*(1+'Property Summary'!$L$21)^('MF CapEx'!CE$3-1))</f>
        <v/>
      </c>
      <c r="CF38" s="149" t="str">
        <f>IF(OR($B38="",$B38=0),"",$I38*$C38*(1+'Property Summary'!$L$21)^('MF CapEx'!CF$3-1))</f>
        <v/>
      </c>
      <c r="CG38" s="149" t="str">
        <f>IF(OR($B38="",$B38=0),"",$I38*$C38*(1+'Property Summary'!$L$21)^('MF CapEx'!CG$3-1))</f>
        <v/>
      </c>
      <c r="CH38" s="149" t="str">
        <f>IF(OR($B38="",$B38=0),"",$I38*$C38*(1+'Property Summary'!$L$21)^('MF CapEx'!CH$3-1))</f>
        <v/>
      </c>
      <c r="CI38" s="149" t="str">
        <f>IF(OR($B38="",$B38=0),"",$I38*$C38*(1+'Property Summary'!$L$21)^('MF CapEx'!CI$3-1))</f>
        <v/>
      </c>
      <c r="CJ38" s="149" t="str">
        <f>IF(OR($B38="",$B38=0),"",$I38*$C38*(1+'Property Summary'!$L$21)^('MF CapEx'!CJ$3-1))</f>
        <v/>
      </c>
      <c r="CK38" s="149" t="str">
        <f>IF(OR($B38="",$B38=0),"",$I38*$C38*(1+'Property Summary'!$L$21)^('MF CapEx'!CK$3-1))</f>
        <v/>
      </c>
      <c r="CL38" s="149" t="str">
        <f>IF(OR($B38="",$B38=0),"",$I38*$C38*(1+'Property Summary'!$L$21)^('MF CapEx'!CL$3-1))</f>
        <v/>
      </c>
      <c r="CM38" s="149" t="str">
        <f>IF(OR($B38="",$B38=0),"",$I38*$C38*(1+'Property Summary'!$L$21)^('MF CapEx'!CM$3-1))</f>
        <v/>
      </c>
      <c r="CN38" s="149" t="str">
        <f>IF(OR($B38="",$B38=0),"",$I38*$C38*(1+'Property Summary'!$L$21)^('MF CapEx'!CN$3-1))</f>
        <v/>
      </c>
      <c r="CO38" s="149" t="str">
        <f>IF(OR($B38="",$B38=0),"",$I38*$C38*(1+'Property Summary'!$L$21)^('MF CapEx'!CO$3-1))</f>
        <v/>
      </c>
      <c r="CP38" s="149" t="str">
        <f>IF(OR($B38="",$B38=0),"",$I38*$C38*(1+'Property Summary'!$L$21)^('MF CapEx'!CP$3-1))</f>
        <v/>
      </c>
      <c r="CQ38" s="149" t="str">
        <f>IF(OR($B38="",$B38=0),"",$I38*$C38*(1+'Property Summary'!$L$21)^('MF CapEx'!CQ$3-1))</f>
        <v/>
      </c>
      <c r="CR38" s="149" t="str">
        <f>IF(OR($B38="",$B38=0),"",$I38*$C38*(1+'Property Summary'!$L$21)^('MF CapEx'!CR$3-1))</f>
        <v/>
      </c>
      <c r="CS38" s="149" t="str">
        <f>IF(OR($B38="",$B38=0),"",$I38*$C38*(1+'Property Summary'!$L$21)^('MF CapEx'!CS$3-1))</f>
        <v/>
      </c>
      <c r="CT38" s="149" t="str">
        <f>IF(OR($B38="",$B38=0),"",$I38*$C38*(1+'Property Summary'!$L$21)^('MF CapEx'!CT$3-1))</f>
        <v/>
      </c>
      <c r="CU38" s="149" t="str">
        <f>IF(OR($B38="",$B38=0),"",$I38*$C38*(1+'Property Summary'!$L$21)^('MF CapEx'!CU$3-1))</f>
        <v/>
      </c>
      <c r="CV38" s="149" t="str">
        <f>IF(OR($B38="",$B38=0),"",$I38*$C38*(1+'Property Summary'!$L$21)^('MF CapEx'!CV$3-1))</f>
        <v/>
      </c>
      <c r="CW38" s="149" t="str">
        <f>IF(OR($B38="",$B38=0),"",$I38*$C38*(1+'Property Summary'!$L$21)^('MF CapEx'!CW$3-1))</f>
        <v/>
      </c>
      <c r="CX38" s="149" t="str">
        <f>IF(OR($B38="",$B38=0),"",$I38*$C38*(1+'Property Summary'!$L$21)^('MF CapEx'!CX$3-1))</f>
        <v/>
      </c>
      <c r="CY38" s="149" t="str">
        <f>IF(OR($B38="",$B38=0),"",$I38*$C38*(1+'Property Summary'!$L$21)^('MF CapEx'!CY$3-1))</f>
        <v/>
      </c>
      <c r="CZ38" s="149" t="str">
        <f>IF(OR($B38="",$B38=0),"",$I38*$C38*(1+'Property Summary'!$L$21)^('MF CapEx'!CZ$3-1))</f>
        <v/>
      </c>
      <c r="DA38" s="149" t="str">
        <f>IF(OR($B38="",$B38=0),"",$I38*$C38*(1+'Property Summary'!$L$21)^('MF CapEx'!DA$3-1))</f>
        <v/>
      </c>
      <c r="DB38" s="149" t="str">
        <f>IF(OR($B38="",$B38=0),"",$I38*$C38*(1+'Property Summary'!$L$21)^('MF CapEx'!DB$3-1))</f>
        <v/>
      </c>
      <c r="DC38" s="149" t="str">
        <f>IF(OR($B38="",$B38=0),"",$I38*$C38*(1+'Property Summary'!$L$21)^('MF CapEx'!DC$3-1))</f>
        <v/>
      </c>
      <c r="DD38" s="149" t="str">
        <f>IF(OR($B38="",$B38=0),"",$I38*$C38*(1+'Property Summary'!$L$21)^('MF CapEx'!DD$3-1))</f>
        <v/>
      </c>
      <c r="DE38" s="149" t="str">
        <f>IF(OR($B38="",$B38=0),"",$I38*$C38*(1+'Property Summary'!$L$21)^('MF CapEx'!DE$3-1))</f>
        <v/>
      </c>
      <c r="DF38" s="149" t="str">
        <f>IF(OR($B38="",$B38=0),"",$I38*$C38*(1+'Property Summary'!$L$21)^('MF CapEx'!DF$3-1))</f>
        <v/>
      </c>
      <c r="DG38" s="149" t="str">
        <f>IF(OR($B38="",$B38=0),"",$I38*$C38*(1+'Property Summary'!$L$21)^('MF CapEx'!DG$3-1))</f>
        <v/>
      </c>
      <c r="DH38" s="149" t="str">
        <f>IF(OR($B38="",$B38=0),"",$I38*$C38*(1+'Property Summary'!$L$21)^('MF CapEx'!DH$3-1))</f>
        <v/>
      </c>
      <c r="DI38" s="149" t="str">
        <f>IF(OR($B38="",$B38=0),"",$I38*$C38*(1+'Property Summary'!$L$21)^('MF CapEx'!DI$3-1))</f>
        <v/>
      </c>
      <c r="DJ38" s="149" t="str">
        <f>IF(OR($B38="",$B38=0),"",$I38*$C38*(1+'Property Summary'!$L$21)^('MF CapEx'!DJ$3-1))</f>
        <v/>
      </c>
      <c r="DK38" s="149" t="str">
        <f>IF(OR($B38="",$B38=0),"",$I38*$C38*(1+'Property Summary'!$L$21)^('MF CapEx'!DK$3-1))</f>
        <v/>
      </c>
      <c r="DL38" s="149" t="str">
        <f>IF(OR($B38="",$B38=0),"",$I38*$C38*(1+'Property Summary'!$L$21)^('MF CapEx'!DL$3-1))</f>
        <v/>
      </c>
      <c r="DM38" s="149" t="str">
        <f>IF(OR($B38="",$B38=0),"",$I38*$C38*(1+'Property Summary'!$L$21)^('MF CapEx'!DM$3-1))</f>
        <v/>
      </c>
      <c r="DN38" s="149" t="str">
        <f>IF(OR($B38="",$B38=0),"",$I38*$C38*(1+'Property Summary'!$L$21)^('MF CapEx'!DN$3-1))</f>
        <v/>
      </c>
      <c r="DO38" s="149" t="str">
        <f>IF(OR($B38="",$B38=0),"",$I38*$C38*(1+'Property Summary'!$L$21)^('MF CapEx'!DO$3-1))</f>
        <v/>
      </c>
      <c r="DP38" s="149" t="str">
        <f>IF(OR($B38="",$B38=0),"",$I38*$C38*(1+'Property Summary'!$L$21)^('MF CapEx'!DP$3-1))</f>
        <v/>
      </c>
      <c r="DQ38" s="149" t="str">
        <f>IF(OR($B38="",$B38=0),"",$I38*$C38*(1+'Property Summary'!$L$21)^('MF CapEx'!DQ$3-1))</f>
        <v/>
      </c>
      <c r="DR38" s="149" t="str">
        <f>IF(OR($B38="",$B38=0),"",$I38*$C38*(1+'Property Summary'!$L$21)^('MF CapEx'!DR$3-1))</f>
        <v/>
      </c>
      <c r="DS38" s="149" t="str">
        <f>IF(OR($B38="",$B38=0),"",$I38*$C38*(1+'Property Summary'!$L$21)^('MF CapEx'!DS$3-1))</f>
        <v/>
      </c>
      <c r="DT38" s="149" t="str">
        <f>IF(OR($B38="",$B38=0),"",$I38*$C38*(1+'Property Summary'!$L$21)^('MF CapEx'!DT$3-1))</f>
        <v/>
      </c>
      <c r="DU38" s="149" t="str">
        <f>IF(OR($B38="",$B38=0),"",$I38*$C38*(1+'Property Summary'!$L$21)^('MF CapEx'!DU$3-1))</f>
        <v/>
      </c>
      <c r="DV38" s="149" t="str">
        <f>IF(OR($B38="",$B38=0),"",$I38*$C38*(1+'Property Summary'!$L$21)^('MF CapEx'!DV$3-1))</f>
        <v/>
      </c>
      <c r="DW38" s="149" t="str">
        <f>IF(OR($B38="",$B38=0),"",$I38*$C38*(1+'Property Summary'!$L$21)^('MF CapEx'!DW$3-1))</f>
        <v/>
      </c>
      <c r="DX38" s="149" t="str">
        <f>IF(OR($B38="",$B38=0),"",$I38*$C38*(1+'Property Summary'!$L$21)^('MF CapEx'!DX$3-1))</f>
        <v/>
      </c>
      <c r="DY38" s="149" t="str">
        <f>IF(OR($B38="",$B38=0),"",$I38*$C38*(1+'Property Summary'!$L$21)^('MF CapEx'!DY$3-1))</f>
        <v/>
      </c>
      <c r="DZ38" s="149" t="str">
        <f>IF(OR($B38="",$B38=0),"",$I38*$C38*(1+'Property Summary'!$L$21)^('MF CapEx'!DZ$3-1))</f>
        <v/>
      </c>
      <c r="EA38" s="149" t="str">
        <f>IF(OR($B38="",$B38=0),"",$I38*$C38*(1+'Property Summary'!$L$21)^('MF CapEx'!EA$3-1))</f>
        <v/>
      </c>
      <c r="EB38" s="149" t="str">
        <f>IF(OR($B38="",$B38=0),"",$I38*$C38*(1+'Property Summary'!$L$21)^('MF CapEx'!EB$3-1))</f>
        <v/>
      </c>
      <c r="EC38" s="149" t="str">
        <f>IF(OR($B38="",$B38=0),"",$I38*$C38*(1+'Property Summary'!$L$21)^('MF CapEx'!EC$3-1))</f>
        <v/>
      </c>
      <c r="ED38" s="149" t="str">
        <f>IF(OR($B38="",$B38=0),"",$I38*$C38*(1+'Property Summary'!$L$21)^('MF CapEx'!ED$3-1))</f>
        <v/>
      </c>
      <c r="EE38" s="149" t="str">
        <f>IF(OR($B38="",$B38=0),"",$I38*$C38*(1+'Property Summary'!$L$21)^('MF CapEx'!EE$3-1))</f>
        <v/>
      </c>
      <c r="EF38" s="149" t="str">
        <f>IF(OR($B38="",$B38=0),"",$I38*$C38*(1+'Property Summary'!$L$21)^('MF CapEx'!EF$3-1))</f>
        <v/>
      </c>
      <c r="EG38" s="149" t="str">
        <f>IF(OR($B38="",$B38=0),"",$I38*$C38*(1+'Property Summary'!$L$21)^('MF CapEx'!EG$3-1))</f>
        <v/>
      </c>
      <c r="EH38" s="149" t="str">
        <f>IF(OR($B38="",$B38=0),"",$I38*$C38*(1+'Property Summary'!$L$21)^('MF CapEx'!EH$3-1))</f>
        <v/>
      </c>
      <c r="EI38" s="149" t="str">
        <f>IF(OR($B38="",$B38=0),"",$I38*$C38*(1+'Property Summary'!$L$21)^('MF CapEx'!EI$3-1))</f>
        <v/>
      </c>
      <c r="EJ38" s="149" t="str">
        <f>IF(OR($B38="",$B38=0),"",$I38*$C38*(1+'Property Summary'!$L$21)^('MF CapEx'!EJ$3-1))</f>
        <v/>
      </c>
      <c r="EK38" s="149" t="str">
        <f>IF(OR($B38="",$B38=0),"",$I38*$C38*(1+'Property Summary'!$L$21)^('MF CapEx'!EK$3-1))</f>
        <v/>
      </c>
      <c r="EL38" s="149" t="str">
        <f>IF(OR($B38="",$B38=0),"",$I38*$C38*(1+'Property Summary'!$L$21)^('MF CapEx'!EL$3-1))</f>
        <v/>
      </c>
      <c r="EM38" s="149" t="str">
        <f>IF(OR($B38="",$B38=0),"",$I38*$C38*(1+'Property Summary'!$L$21)^('MF CapEx'!EM$3-1))</f>
        <v/>
      </c>
      <c r="EN38" s="149" t="str">
        <f>IF(OR($B38="",$B38=0),"",$I38*$C38*(1+'Property Summary'!$L$21)^('MF CapEx'!EN$3-1))</f>
        <v/>
      </c>
      <c r="EO38" s="149" t="str">
        <f>IF(OR($B38="",$B38=0),"",$I38*$C38*(1+'Property Summary'!$L$21)^('MF CapEx'!EO$3-1))</f>
        <v/>
      </c>
      <c r="EP38" s="149" t="str">
        <f>IF(OR($B38="",$B38=0),"",$I38*$C38*(1+'Property Summary'!$L$21)^('MF CapEx'!EP$3-1))</f>
        <v/>
      </c>
      <c r="EQ38" s="149" t="str">
        <f>IF(OR($B38="",$B38=0),"",$I38*$C38*(1+'Property Summary'!$L$21)^('MF CapEx'!EQ$3-1))</f>
        <v/>
      </c>
      <c r="ER38" s="149" t="str">
        <f>IF(OR($B38="",$B38=0),"",$I38*$C38*(1+'Property Summary'!$L$21)^('MF CapEx'!ER$3-1))</f>
        <v/>
      </c>
      <c r="ES38" s="149" t="str">
        <f>IF(OR($B38="",$B38=0),"",$I38*$C38*(1+'Property Summary'!$L$21)^('MF CapEx'!ES$3-1))</f>
        <v/>
      </c>
      <c r="ET38" s="149" t="str">
        <f>IF(OR($B38="",$B38=0),"",$I38*$C38*(1+'Property Summary'!$L$21)^('MF CapEx'!ET$3-1))</f>
        <v/>
      </c>
      <c r="EU38" s="149" t="str">
        <f>IF(OR($B38="",$B38=0),"",$I38*$C38*(1+'Property Summary'!$L$21)^('MF CapEx'!EU$3-1))</f>
        <v/>
      </c>
      <c r="EV38" s="149" t="str">
        <f>IF(OR($B38="",$B38=0),"",$I38*$C38*(1+'Property Summary'!$L$21)^('MF CapEx'!EV$3-1))</f>
        <v/>
      </c>
      <c r="EW38" s="149" t="str">
        <f>IF(OR($B38="",$B38=0),"",$I38*$C38*(1+'Property Summary'!$L$21)^('MF CapEx'!EW$3-1))</f>
        <v/>
      </c>
      <c r="EX38" s="149" t="str">
        <f>IF(OR($B38="",$B38=0),"",$I38*$C38*(1+'Property Summary'!$L$21)^('MF CapEx'!EX$3-1))</f>
        <v/>
      </c>
      <c r="EY38" s="149" t="str">
        <f>IF(OR($B38="",$B38=0),"",$I38*$C38*(1+'Property Summary'!$L$21)^('MF CapEx'!EY$3-1))</f>
        <v/>
      </c>
      <c r="EZ38" s="149" t="str">
        <f>IF(OR($B38="",$B38=0),"",$I38*$C38*(1+'Property Summary'!$L$21)^('MF CapEx'!EZ$3-1))</f>
        <v/>
      </c>
      <c r="FA38" s="149" t="str">
        <f>IF(OR($B38="",$B38=0),"",$I38*$C38*(1+'Property Summary'!$L$21)^('MF CapEx'!FA$3-1))</f>
        <v/>
      </c>
      <c r="FB38" s="149" t="str">
        <f>IF(OR($B38="",$B38=0),"",$I38*$C38*(1+'Property Summary'!$L$21)^('MF CapEx'!FB$3-1))</f>
        <v/>
      </c>
      <c r="FC38" s="149" t="str">
        <f>IF(OR($B38="",$B38=0),"",$I38*$C38*(1+'Property Summary'!$L$21)^('MF CapEx'!FC$3-1))</f>
        <v/>
      </c>
      <c r="FD38" s="149" t="str">
        <f>IF(OR($B38="",$B38=0),"",$I38*$C38*(1+'Property Summary'!$L$21)^('MF CapEx'!FD$3-1))</f>
        <v/>
      </c>
      <c r="FE38" s="149" t="str">
        <f>IF(OR($B38="",$B38=0),"",$I38*$C38*(1+'Property Summary'!$L$21)^('MF CapEx'!FE$3-1))</f>
        <v/>
      </c>
      <c r="FF38" s="149" t="str">
        <f>IF(OR($B38="",$B38=0),"",$I38*$C38*(1+'Property Summary'!$L$21)^('MF CapEx'!FF$3-1))</f>
        <v/>
      </c>
      <c r="FG38" s="149" t="str">
        <f>IF(OR($B38="",$B38=0),"",$I38*$C38*(1+'Property Summary'!$L$21)^('MF CapEx'!FG$3-1))</f>
        <v/>
      </c>
      <c r="FH38" s="149" t="str">
        <f>IF(OR($B38="",$B38=0),"",$I38*$C38*(1+'Property Summary'!$L$21)^('MF CapEx'!FH$3-1))</f>
        <v/>
      </c>
      <c r="FI38" s="149" t="str">
        <f>IF(OR($B38="",$B38=0),"",$I38*$C38*(1+'Property Summary'!$L$21)^('MF CapEx'!FI$3-1))</f>
        <v/>
      </c>
      <c r="FJ38" s="149" t="str">
        <f>IF(OR($B38="",$B38=0),"",$I38*$C38*(1+'Property Summary'!$L$21)^('MF CapEx'!FJ$3-1))</f>
        <v/>
      </c>
      <c r="FK38" s="149" t="str">
        <f>IF(OR($B38="",$B38=0),"",$I38*$C38*(1+'Property Summary'!$L$21)^('MF CapEx'!FK$3-1))</f>
        <v/>
      </c>
      <c r="FL38" s="149" t="str">
        <f>IF(OR($B38="",$B38=0),"",$I38*$C38*(1+'Property Summary'!$L$21)^('MF CapEx'!FL$3-1))</f>
        <v/>
      </c>
      <c r="FM38" s="149" t="str">
        <f>IF(OR($B38="",$B38=0),"",$I38*$C38*(1+'Property Summary'!$L$21)^('MF CapEx'!FM$3-1))</f>
        <v/>
      </c>
      <c r="FN38" s="149" t="str">
        <f>IF(OR($B38="",$B38=0),"",$I38*$C38*(1+'Property Summary'!$L$21)^('MF CapEx'!FN$3-1))</f>
        <v/>
      </c>
      <c r="FO38" s="149" t="str">
        <f>IF(OR($B38="",$B38=0),"",$I38*$C38*(1+'Property Summary'!$L$21)^('MF CapEx'!FO$3-1))</f>
        <v/>
      </c>
      <c r="FP38" s="149" t="str">
        <f>IF(OR($B38="",$B38=0),"",$I38*$C38*(1+'Property Summary'!$L$21)^('MF CapEx'!FP$3-1))</f>
        <v/>
      </c>
      <c r="FQ38" s="149" t="str">
        <f>IF(OR($B38="",$B38=0),"",$I38*$C38*(1+'Property Summary'!$L$21)^('MF CapEx'!FQ$3-1))</f>
        <v/>
      </c>
      <c r="FR38" s="149" t="str">
        <f>IF(OR($B38="",$B38=0),"",$I38*$C38*(1+'Property Summary'!$L$21)^('MF CapEx'!FR$3-1))</f>
        <v/>
      </c>
      <c r="FS38" s="149" t="str">
        <f>IF(OR($B38="",$B38=0),"",$I38*$C38*(1+'Property Summary'!$L$21)^('MF CapEx'!FS$3-1))</f>
        <v/>
      </c>
      <c r="FT38" s="149" t="str">
        <f>IF(OR($B38="",$B38=0),"",$I38*$C38*(1+'Property Summary'!$L$21)^('MF CapEx'!FT$3-1))</f>
        <v/>
      </c>
      <c r="FU38" s="149" t="str">
        <f>IF(OR($B38="",$B38=0),"",$I38*$C38*(1+'Property Summary'!$L$21)^('MF CapEx'!FU$3-1))</f>
        <v/>
      </c>
      <c r="FV38" s="149" t="str">
        <f>IF(OR($B38="",$B38=0),"",$I38*$C38*(1+'Property Summary'!$L$21)^('MF CapEx'!FV$3-1))</f>
        <v/>
      </c>
      <c r="FW38" s="149" t="str">
        <f>IF(OR($B38="",$B38=0),"",$I38*$C38*(1+'Property Summary'!$L$21)^('MF CapEx'!FW$3-1))</f>
        <v/>
      </c>
      <c r="FX38" s="149" t="str">
        <f>IF(OR($B38="",$B38=0),"",$I38*$C38*(1+'Property Summary'!$L$21)^('MF CapEx'!FX$3-1))</f>
        <v/>
      </c>
      <c r="FY38" s="149" t="str">
        <f>IF(OR($B38="",$B38=0),"",$I38*$C38*(1+'Property Summary'!$L$21)^('MF CapEx'!FY$3-1))</f>
        <v/>
      </c>
      <c r="FZ38" s="149" t="str">
        <f>IF(OR($B38="",$B38=0),"",$I38*$C38*(1+'Property Summary'!$L$21)^('MF CapEx'!FZ$3-1))</f>
        <v/>
      </c>
      <c r="GA38" s="149" t="str">
        <f>IF(OR($B38="",$B38=0),"",$I38*$C38*(1+'Property Summary'!$L$21)^('MF CapEx'!GA$3-1))</f>
        <v/>
      </c>
      <c r="GB38" s="149" t="str">
        <f>IF(OR($B38="",$B38=0),"",$I38*$C38*(1+'Property Summary'!$L$21)^('MF CapEx'!GB$3-1))</f>
        <v/>
      </c>
      <c r="GC38" s="149" t="str">
        <f>IF(OR($B38="",$B38=0),"",$I38*$C38*(1+'Property Summary'!$L$21)^('MF CapEx'!GC$3-1))</f>
        <v/>
      </c>
      <c r="GD38" s="149" t="str">
        <f>IF(OR($B38="",$B38=0),"",$I38*$C38*(1+'Property Summary'!$L$21)^('MF CapEx'!GD$3-1))</f>
        <v/>
      </c>
      <c r="GE38" s="149" t="str">
        <f>IF(OR($B38="",$B38=0),"",$I38*$C38*(1+'Property Summary'!$L$21)^('MF CapEx'!GE$3-1))</f>
        <v/>
      </c>
      <c r="GF38" s="149" t="str">
        <f>IF(OR($B38="",$B38=0),"",$I38*$C38*(1+'Property Summary'!$L$21)^('MF CapEx'!GF$3-1))</f>
        <v/>
      </c>
      <c r="GG38" s="149" t="str">
        <f>IF(OR($B38="",$B38=0),"",$I38*$C38*(1+'Property Summary'!$L$21)^('MF CapEx'!GG$3-1))</f>
        <v/>
      </c>
      <c r="GH38" s="149" t="str">
        <f>IF(OR($B38="",$B38=0),"",$I38*$C38*(1+'Property Summary'!$L$21)^('MF CapEx'!GH$3-1))</f>
        <v/>
      </c>
      <c r="GI38" s="149" t="str">
        <f>IF(OR($B38="",$B38=0),"",$I38*$C38*(1+'Property Summary'!$L$21)^('MF CapEx'!GI$3-1))</f>
        <v/>
      </c>
      <c r="GJ38" s="149" t="str">
        <f>IF(OR($B38="",$B38=0),"",$I38*$C38*(1+'Property Summary'!$L$21)^('MF CapEx'!GJ$3-1))</f>
        <v/>
      </c>
      <c r="GK38" s="149" t="str">
        <f>IF(OR($B38="",$B38=0),"",$I38*$C38*(1+'Property Summary'!$L$21)^('MF CapEx'!GK$3-1))</f>
        <v/>
      </c>
      <c r="GL38" s="149" t="str">
        <f>IF(OR($B38="",$B38=0),"",$I38*$C38*(1+'Property Summary'!$L$21)^('MF CapEx'!GL$3-1))</f>
        <v/>
      </c>
      <c r="GM38" s="149" t="str">
        <f>IF(OR($B38="",$B38=0),"",$I38*$C38*(1+'Property Summary'!$L$21)^('MF CapEx'!GM$3-1))</f>
        <v/>
      </c>
      <c r="GN38" s="149" t="str">
        <f>IF(OR($B38="",$B38=0),"",$I38*$C38*(1+'Property Summary'!$L$21)^('MF CapEx'!GN$3-1))</f>
        <v/>
      </c>
      <c r="GO38" s="149" t="str">
        <f>IF(OR($B38="",$B38=0),"",$I38*$C38*(1+'Property Summary'!$L$21)^('MF CapEx'!GO$3-1))</f>
        <v/>
      </c>
      <c r="GP38" s="149" t="str">
        <f>IF(OR($B38="",$B38=0),"",$I38*$C38*(1+'Property Summary'!$L$21)^('MF CapEx'!GP$3-1))</f>
        <v/>
      </c>
    </row>
    <row r="39" spans="2:198" x14ac:dyDescent="0.3">
      <c r="B39" s="184">
        <f>'MF Rent Roll'!B38</f>
        <v>0</v>
      </c>
      <c r="C39" s="171">
        <f>'MF Rent Roll'!C38</f>
        <v>0</v>
      </c>
      <c r="D39" s="172">
        <f>'MF Rent Roll'!D38</f>
        <v>0</v>
      </c>
      <c r="E39" s="172">
        <f>'MF Rent Roll'!E38</f>
        <v>0</v>
      </c>
      <c r="F39" s="173">
        <f>'MF Rent Roll'!F38</f>
        <v>0</v>
      </c>
      <c r="G39" s="174">
        <f>'MF Rent Roll'!G38</f>
        <v>0</v>
      </c>
      <c r="H39" s="176">
        <f>'MF Rent Roll'!J38</f>
        <v>0</v>
      </c>
      <c r="I39" s="174">
        <f>'MF Rent Roll'!K38</f>
        <v>0</v>
      </c>
      <c r="J39" s="177">
        <f>'MF Rent Roll'!L38</f>
        <v>0</v>
      </c>
      <c r="K39" s="178">
        <f>'MF Rent Roll'!M38</f>
        <v>0</v>
      </c>
      <c r="L39" s="174">
        <f>'MF Rent Roll'!N38</f>
        <v>0</v>
      </c>
      <c r="M39" s="179">
        <f>'MF Rent Roll'!O38</f>
        <v>0</v>
      </c>
      <c r="N39" s="180" t="str">
        <f>'MF Rent Roll'!P38</f>
        <v/>
      </c>
      <c r="O39" s="181" t="str">
        <f>'MF Rent Roll'!Q38</f>
        <v/>
      </c>
      <c r="P39" s="104" t="str">
        <f>'MF Rent Roll'!R38</f>
        <v/>
      </c>
      <c r="S39" s="149" t="str">
        <f>IF(OR($B39="",$B39=0),"",$I39*$C39*(1+'Property Summary'!$L$21)^('MF CapEx'!S$3-1))</f>
        <v/>
      </c>
      <c r="T39" s="149" t="str">
        <f>IF(OR($B39="",$B39=0),"",$I39*$C39*(1+'Property Summary'!$L$21)^('MF CapEx'!T$3-1))</f>
        <v/>
      </c>
      <c r="U39" s="149" t="str">
        <f>IF(OR($B39="",$B39=0),"",$I39*$C39*(1+'Property Summary'!$L$21)^('MF CapEx'!U$3-1))</f>
        <v/>
      </c>
      <c r="V39" s="149" t="str">
        <f>IF(OR($B39="",$B39=0),"",$I39*$C39*(1+'Property Summary'!$L$21)^('MF CapEx'!V$3-1))</f>
        <v/>
      </c>
      <c r="W39" s="149" t="str">
        <f>IF(OR($B39="",$B39=0),"",$I39*$C39*(1+'Property Summary'!$L$21)^('MF CapEx'!W$3-1))</f>
        <v/>
      </c>
      <c r="X39" s="149" t="str">
        <f>IF(OR($B39="",$B39=0),"",$I39*$C39*(1+'Property Summary'!$L$21)^('MF CapEx'!X$3-1))</f>
        <v/>
      </c>
      <c r="Y39" s="149" t="str">
        <f>IF(OR($B39="",$B39=0),"",$I39*$C39*(1+'Property Summary'!$L$21)^('MF CapEx'!Y$3-1))</f>
        <v/>
      </c>
      <c r="Z39" s="149" t="str">
        <f>IF(OR($B39="",$B39=0),"",$I39*$C39*(1+'Property Summary'!$L$21)^('MF CapEx'!Z$3-1))</f>
        <v/>
      </c>
      <c r="AA39" s="149" t="str">
        <f>IF(OR($B39="",$B39=0),"",$I39*$C39*(1+'Property Summary'!$L$21)^('MF CapEx'!AA$3-1))</f>
        <v/>
      </c>
      <c r="AB39" s="149" t="str">
        <f>IF(OR($B39="",$B39=0),"",$I39*$C39*(1+'Property Summary'!$L$21)^('MF CapEx'!AB$3-1))</f>
        <v/>
      </c>
      <c r="AC39" s="149" t="str">
        <f>IF(OR($B39="",$B39=0),"",$I39*$C39*(1+'Property Summary'!$L$21)^('MF CapEx'!AC$3-1))</f>
        <v/>
      </c>
      <c r="AD39" s="149" t="str">
        <f>IF(OR($B39="",$B39=0),"",$I39*$C39*(1+'Property Summary'!$L$21)^('MF CapEx'!AD$3-1))</f>
        <v/>
      </c>
      <c r="AE39" s="149" t="str">
        <f>IF(OR($B39="",$B39=0),"",$I39*$C39*(1+'Property Summary'!$L$21)^('MF CapEx'!AE$3-1))</f>
        <v/>
      </c>
      <c r="AF39" s="149" t="str">
        <f>IF(OR($B39="",$B39=0),"",$I39*$C39*(1+'Property Summary'!$L$21)^('MF CapEx'!AF$3-1))</f>
        <v/>
      </c>
      <c r="AG39" s="149" t="str">
        <f>IF(OR($B39="",$B39=0),"",$I39*$C39*(1+'Property Summary'!$L$21)^('MF CapEx'!AG$3-1))</f>
        <v/>
      </c>
      <c r="AH39" s="149" t="str">
        <f>IF(OR($B39="",$B39=0),"",$I39*$C39*(1+'Property Summary'!$L$21)^('MF CapEx'!AH$3-1))</f>
        <v/>
      </c>
      <c r="AI39" s="149" t="str">
        <f>IF(OR($B39="",$B39=0),"",$I39*$C39*(1+'Property Summary'!$L$21)^('MF CapEx'!AI$3-1))</f>
        <v/>
      </c>
      <c r="AJ39" s="149" t="str">
        <f>IF(OR($B39="",$B39=0),"",$I39*$C39*(1+'Property Summary'!$L$21)^('MF CapEx'!AJ$3-1))</f>
        <v/>
      </c>
      <c r="AK39" s="149" t="str">
        <f>IF(OR($B39="",$B39=0),"",$I39*$C39*(1+'Property Summary'!$L$21)^('MF CapEx'!AK$3-1))</f>
        <v/>
      </c>
      <c r="AL39" s="149" t="str">
        <f>IF(OR($B39="",$B39=0),"",$I39*$C39*(1+'Property Summary'!$L$21)^('MF CapEx'!AL$3-1))</f>
        <v/>
      </c>
      <c r="AM39" s="149" t="str">
        <f>IF(OR($B39="",$B39=0),"",$I39*$C39*(1+'Property Summary'!$L$21)^('MF CapEx'!AM$3-1))</f>
        <v/>
      </c>
      <c r="AN39" s="149" t="str">
        <f>IF(OR($B39="",$B39=0),"",$I39*$C39*(1+'Property Summary'!$L$21)^('MF CapEx'!AN$3-1))</f>
        <v/>
      </c>
      <c r="AO39" s="149" t="str">
        <f>IF(OR($B39="",$B39=0),"",$I39*$C39*(1+'Property Summary'!$L$21)^('MF CapEx'!AO$3-1))</f>
        <v/>
      </c>
      <c r="AP39" s="149" t="str">
        <f>IF(OR($B39="",$B39=0),"",$I39*$C39*(1+'Property Summary'!$L$21)^('MF CapEx'!AP$3-1))</f>
        <v/>
      </c>
      <c r="AQ39" s="149" t="str">
        <f>IF(OR($B39="",$B39=0),"",$I39*$C39*(1+'Property Summary'!$L$21)^('MF CapEx'!AQ$3-1))</f>
        <v/>
      </c>
      <c r="AR39" s="149" t="str">
        <f>IF(OR($B39="",$B39=0),"",$I39*$C39*(1+'Property Summary'!$L$21)^('MF CapEx'!AR$3-1))</f>
        <v/>
      </c>
      <c r="AS39" s="149" t="str">
        <f>IF(OR($B39="",$B39=0),"",$I39*$C39*(1+'Property Summary'!$L$21)^('MF CapEx'!AS$3-1))</f>
        <v/>
      </c>
      <c r="AT39" s="149" t="str">
        <f>IF(OR($B39="",$B39=0),"",$I39*$C39*(1+'Property Summary'!$L$21)^('MF CapEx'!AT$3-1))</f>
        <v/>
      </c>
      <c r="AU39" s="149" t="str">
        <f>IF(OR($B39="",$B39=0),"",$I39*$C39*(1+'Property Summary'!$L$21)^('MF CapEx'!AU$3-1))</f>
        <v/>
      </c>
      <c r="AV39" s="149" t="str">
        <f>IF(OR($B39="",$B39=0),"",$I39*$C39*(1+'Property Summary'!$L$21)^('MF CapEx'!AV$3-1))</f>
        <v/>
      </c>
      <c r="AW39" s="149" t="str">
        <f>IF(OR($B39="",$B39=0),"",$I39*$C39*(1+'Property Summary'!$L$21)^('MF CapEx'!AW$3-1))</f>
        <v/>
      </c>
      <c r="AX39" s="149" t="str">
        <f>IF(OR($B39="",$B39=0),"",$I39*$C39*(1+'Property Summary'!$L$21)^('MF CapEx'!AX$3-1))</f>
        <v/>
      </c>
      <c r="AY39" s="149" t="str">
        <f>IF(OR($B39="",$B39=0),"",$I39*$C39*(1+'Property Summary'!$L$21)^('MF CapEx'!AY$3-1))</f>
        <v/>
      </c>
      <c r="AZ39" s="149" t="str">
        <f>IF(OR($B39="",$B39=0),"",$I39*$C39*(1+'Property Summary'!$L$21)^('MF CapEx'!AZ$3-1))</f>
        <v/>
      </c>
      <c r="BA39" s="149" t="str">
        <f>IF(OR($B39="",$B39=0),"",$I39*$C39*(1+'Property Summary'!$L$21)^('MF CapEx'!BA$3-1))</f>
        <v/>
      </c>
      <c r="BB39" s="149" t="str">
        <f>IF(OR($B39="",$B39=0),"",$I39*$C39*(1+'Property Summary'!$L$21)^('MF CapEx'!BB$3-1))</f>
        <v/>
      </c>
      <c r="BC39" s="149" t="str">
        <f>IF(OR($B39="",$B39=0),"",$I39*$C39*(1+'Property Summary'!$L$21)^('MF CapEx'!BC$3-1))</f>
        <v/>
      </c>
      <c r="BD39" s="149" t="str">
        <f>IF(OR($B39="",$B39=0),"",$I39*$C39*(1+'Property Summary'!$L$21)^('MF CapEx'!BD$3-1))</f>
        <v/>
      </c>
      <c r="BE39" s="149" t="str">
        <f>IF(OR($B39="",$B39=0),"",$I39*$C39*(1+'Property Summary'!$L$21)^('MF CapEx'!BE$3-1))</f>
        <v/>
      </c>
      <c r="BF39" s="149" t="str">
        <f>IF(OR($B39="",$B39=0),"",$I39*$C39*(1+'Property Summary'!$L$21)^('MF CapEx'!BF$3-1))</f>
        <v/>
      </c>
      <c r="BG39" s="149" t="str">
        <f>IF(OR($B39="",$B39=0),"",$I39*$C39*(1+'Property Summary'!$L$21)^('MF CapEx'!BG$3-1))</f>
        <v/>
      </c>
      <c r="BH39" s="149" t="str">
        <f>IF(OR($B39="",$B39=0),"",$I39*$C39*(1+'Property Summary'!$L$21)^('MF CapEx'!BH$3-1))</f>
        <v/>
      </c>
      <c r="BI39" s="149" t="str">
        <f>IF(OR($B39="",$B39=0),"",$I39*$C39*(1+'Property Summary'!$L$21)^('MF CapEx'!BI$3-1))</f>
        <v/>
      </c>
      <c r="BJ39" s="149" t="str">
        <f>IF(OR($B39="",$B39=0),"",$I39*$C39*(1+'Property Summary'!$L$21)^('MF CapEx'!BJ$3-1))</f>
        <v/>
      </c>
      <c r="BK39" s="149" t="str">
        <f>IF(OR($B39="",$B39=0),"",$I39*$C39*(1+'Property Summary'!$L$21)^('MF CapEx'!BK$3-1))</f>
        <v/>
      </c>
      <c r="BL39" s="149" t="str">
        <f>IF(OR($B39="",$B39=0),"",$I39*$C39*(1+'Property Summary'!$L$21)^('MF CapEx'!BL$3-1))</f>
        <v/>
      </c>
      <c r="BM39" s="149" t="str">
        <f>IF(OR($B39="",$B39=0),"",$I39*$C39*(1+'Property Summary'!$L$21)^('MF CapEx'!BM$3-1))</f>
        <v/>
      </c>
      <c r="BN39" s="149" t="str">
        <f>IF(OR($B39="",$B39=0),"",$I39*$C39*(1+'Property Summary'!$L$21)^('MF CapEx'!BN$3-1))</f>
        <v/>
      </c>
      <c r="BO39" s="149" t="str">
        <f>IF(OR($B39="",$B39=0),"",$I39*$C39*(1+'Property Summary'!$L$21)^('MF CapEx'!BO$3-1))</f>
        <v/>
      </c>
      <c r="BP39" s="149" t="str">
        <f>IF(OR($B39="",$B39=0),"",$I39*$C39*(1+'Property Summary'!$L$21)^('MF CapEx'!BP$3-1))</f>
        <v/>
      </c>
      <c r="BQ39" s="149" t="str">
        <f>IF(OR($B39="",$B39=0),"",$I39*$C39*(1+'Property Summary'!$L$21)^('MF CapEx'!BQ$3-1))</f>
        <v/>
      </c>
      <c r="BR39" s="149" t="str">
        <f>IF(OR($B39="",$B39=0),"",$I39*$C39*(1+'Property Summary'!$L$21)^('MF CapEx'!BR$3-1))</f>
        <v/>
      </c>
      <c r="BS39" s="149" t="str">
        <f>IF(OR($B39="",$B39=0),"",$I39*$C39*(1+'Property Summary'!$L$21)^('MF CapEx'!BS$3-1))</f>
        <v/>
      </c>
      <c r="BT39" s="149" t="str">
        <f>IF(OR($B39="",$B39=0),"",$I39*$C39*(1+'Property Summary'!$L$21)^('MF CapEx'!BT$3-1))</f>
        <v/>
      </c>
      <c r="BU39" s="149" t="str">
        <f>IF(OR($B39="",$B39=0),"",$I39*$C39*(1+'Property Summary'!$L$21)^('MF CapEx'!BU$3-1))</f>
        <v/>
      </c>
      <c r="BV39" s="149" t="str">
        <f>IF(OR($B39="",$B39=0),"",$I39*$C39*(1+'Property Summary'!$L$21)^('MF CapEx'!BV$3-1))</f>
        <v/>
      </c>
      <c r="BW39" s="149" t="str">
        <f>IF(OR($B39="",$B39=0),"",$I39*$C39*(1+'Property Summary'!$L$21)^('MF CapEx'!BW$3-1))</f>
        <v/>
      </c>
      <c r="BX39" s="149" t="str">
        <f>IF(OR($B39="",$B39=0),"",$I39*$C39*(1+'Property Summary'!$L$21)^('MF CapEx'!BX$3-1))</f>
        <v/>
      </c>
      <c r="BY39" s="149" t="str">
        <f>IF(OR($B39="",$B39=0),"",$I39*$C39*(1+'Property Summary'!$L$21)^('MF CapEx'!BY$3-1))</f>
        <v/>
      </c>
      <c r="BZ39" s="149" t="str">
        <f>IF(OR($B39="",$B39=0),"",$I39*$C39*(1+'Property Summary'!$L$21)^('MF CapEx'!BZ$3-1))</f>
        <v/>
      </c>
      <c r="CA39" s="149" t="str">
        <f>IF(OR($B39="",$B39=0),"",$I39*$C39*(1+'Property Summary'!$L$21)^('MF CapEx'!CA$3-1))</f>
        <v/>
      </c>
      <c r="CB39" s="149" t="str">
        <f>IF(OR($B39="",$B39=0),"",$I39*$C39*(1+'Property Summary'!$L$21)^('MF CapEx'!CB$3-1))</f>
        <v/>
      </c>
      <c r="CC39" s="149" t="str">
        <f>IF(OR($B39="",$B39=0),"",$I39*$C39*(1+'Property Summary'!$L$21)^('MF CapEx'!CC$3-1))</f>
        <v/>
      </c>
      <c r="CD39" s="149" t="str">
        <f>IF(OR($B39="",$B39=0),"",$I39*$C39*(1+'Property Summary'!$L$21)^('MF CapEx'!CD$3-1))</f>
        <v/>
      </c>
      <c r="CE39" s="149" t="str">
        <f>IF(OR($B39="",$B39=0),"",$I39*$C39*(1+'Property Summary'!$L$21)^('MF CapEx'!CE$3-1))</f>
        <v/>
      </c>
      <c r="CF39" s="149" t="str">
        <f>IF(OR($B39="",$B39=0),"",$I39*$C39*(1+'Property Summary'!$L$21)^('MF CapEx'!CF$3-1))</f>
        <v/>
      </c>
      <c r="CG39" s="149" t="str">
        <f>IF(OR($B39="",$B39=0),"",$I39*$C39*(1+'Property Summary'!$L$21)^('MF CapEx'!CG$3-1))</f>
        <v/>
      </c>
      <c r="CH39" s="149" t="str">
        <f>IF(OR($B39="",$B39=0),"",$I39*$C39*(1+'Property Summary'!$L$21)^('MF CapEx'!CH$3-1))</f>
        <v/>
      </c>
      <c r="CI39" s="149" t="str">
        <f>IF(OR($B39="",$B39=0),"",$I39*$C39*(1+'Property Summary'!$L$21)^('MF CapEx'!CI$3-1))</f>
        <v/>
      </c>
      <c r="CJ39" s="149" t="str">
        <f>IF(OR($B39="",$B39=0),"",$I39*$C39*(1+'Property Summary'!$L$21)^('MF CapEx'!CJ$3-1))</f>
        <v/>
      </c>
      <c r="CK39" s="149" t="str">
        <f>IF(OR($B39="",$B39=0),"",$I39*$C39*(1+'Property Summary'!$L$21)^('MF CapEx'!CK$3-1))</f>
        <v/>
      </c>
      <c r="CL39" s="149" t="str">
        <f>IF(OR($B39="",$B39=0),"",$I39*$C39*(1+'Property Summary'!$L$21)^('MF CapEx'!CL$3-1))</f>
        <v/>
      </c>
      <c r="CM39" s="149" t="str">
        <f>IF(OR($B39="",$B39=0),"",$I39*$C39*(1+'Property Summary'!$L$21)^('MF CapEx'!CM$3-1))</f>
        <v/>
      </c>
      <c r="CN39" s="149" t="str">
        <f>IF(OR($B39="",$B39=0),"",$I39*$C39*(1+'Property Summary'!$L$21)^('MF CapEx'!CN$3-1))</f>
        <v/>
      </c>
      <c r="CO39" s="149" t="str">
        <f>IF(OR($B39="",$B39=0),"",$I39*$C39*(1+'Property Summary'!$L$21)^('MF CapEx'!CO$3-1))</f>
        <v/>
      </c>
      <c r="CP39" s="149" t="str">
        <f>IF(OR($B39="",$B39=0),"",$I39*$C39*(1+'Property Summary'!$L$21)^('MF CapEx'!CP$3-1))</f>
        <v/>
      </c>
      <c r="CQ39" s="149" t="str">
        <f>IF(OR($B39="",$B39=0),"",$I39*$C39*(1+'Property Summary'!$L$21)^('MF CapEx'!CQ$3-1))</f>
        <v/>
      </c>
      <c r="CR39" s="149" t="str">
        <f>IF(OR($B39="",$B39=0),"",$I39*$C39*(1+'Property Summary'!$L$21)^('MF CapEx'!CR$3-1))</f>
        <v/>
      </c>
      <c r="CS39" s="149" t="str">
        <f>IF(OR($B39="",$B39=0),"",$I39*$C39*(1+'Property Summary'!$L$21)^('MF CapEx'!CS$3-1))</f>
        <v/>
      </c>
      <c r="CT39" s="149" t="str">
        <f>IF(OR($B39="",$B39=0),"",$I39*$C39*(1+'Property Summary'!$L$21)^('MF CapEx'!CT$3-1))</f>
        <v/>
      </c>
      <c r="CU39" s="149" t="str">
        <f>IF(OR($B39="",$B39=0),"",$I39*$C39*(1+'Property Summary'!$L$21)^('MF CapEx'!CU$3-1))</f>
        <v/>
      </c>
      <c r="CV39" s="149" t="str">
        <f>IF(OR($B39="",$B39=0),"",$I39*$C39*(1+'Property Summary'!$L$21)^('MF CapEx'!CV$3-1))</f>
        <v/>
      </c>
      <c r="CW39" s="149" t="str">
        <f>IF(OR($B39="",$B39=0),"",$I39*$C39*(1+'Property Summary'!$L$21)^('MF CapEx'!CW$3-1))</f>
        <v/>
      </c>
      <c r="CX39" s="149" t="str">
        <f>IF(OR($B39="",$B39=0),"",$I39*$C39*(1+'Property Summary'!$L$21)^('MF CapEx'!CX$3-1))</f>
        <v/>
      </c>
      <c r="CY39" s="149" t="str">
        <f>IF(OR($B39="",$B39=0),"",$I39*$C39*(1+'Property Summary'!$L$21)^('MF CapEx'!CY$3-1))</f>
        <v/>
      </c>
      <c r="CZ39" s="149" t="str">
        <f>IF(OR($B39="",$B39=0),"",$I39*$C39*(1+'Property Summary'!$L$21)^('MF CapEx'!CZ$3-1))</f>
        <v/>
      </c>
      <c r="DA39" s="149" t="str">
        <f>IF(OR($B39="",$B39=0),"",$I39*$C39*(1+'Property Summary'!$L$21)^('MF CapEx'!DA$3-1))</f>
        <v/>
      </c>
      <c r="DB39" s="149" t="str">
        <f>IF(OR($B39="",$B39=0),"",$I39*$C39*(1+'Property Summary'!$L$21)^('MF CapEx'!DB$3-1))</f>
        <v/>
      </c>
      <c r="DC39" s="149" t="str">
        <f>IF(OR($B39="",$B39=0),"",$I39*$C39*(1+'Property Summary'!$L$21)^('MF CapEx'!DC$3-1))</f>
        <v/>
      </c>
      <c r="DD39" s="149" t="str">
        <f>IF(OR($B39="",$B39=0),"",$I39*$C39*(1+'Property Summary'!$L$21)^('MF CapEx'!DD$3-1))</f>
        <v/>
      </c>
      <c r="DE39" s="149" t="str">
        <f>IF(OR($B39="",$B39=0),"",$I39*$C39*(1+'Property Summary'!$L$21)^('MF CapEx'!DE$3-1))</f>
        <v/>
      </c>
      <c r="DF39" s="149" t="str">
        <f>IF(OR($B39="",$B39=0),"",$I39*$C39*(1+'Property Summary'!$L$21)^('MF CapEx'!DF$3-1))</f>
        <v/>
      </c>
      <c r="DG39" s="149" t="str">
        <f>IF(OR($B39="",$B39=0),"",$I39*$C39*(1+'Property Summary'!$L$21)^('MF CapEx'!DG$3-1))</f>
        <v/>
      </c>
      <c r="DH39" s="149" t="str">
        <f>IF(OR($B39="",$B39=0),"",$I39*$C39*(1+'Property Summary'!$L$21)^('MF CapEx'!DH$3-1))</f>
        <v/>
      </c>
      <c r="DI39" s="149" t="str">
        <f>IF(OR($B39="",$B39=0),"",$I39*$C39*(1+'Property Summary'!$L$21)^('MF CapEx'!DI$3-1))</f>
        <v/>
      </c>
      <c r="DJ39" s="149" t="str">
        <f>IF(OR($B39="",$B39=0),"",$I39*$C39*(1+'Property Summary'!$L$21)^('MF CapEx'!DJ$3-1))</f>
        <v/>
      </c>
      <c r="DK39" s="149" t="str">
        <f>IF(OR($B39="",$B39=0),"",$I39*$C39*(1+'Property Summary'!$L$21)^('MF CapEx'!DK$3-1))</f>
        <v/>
      </c>
      <c r="DL39" s="149" t="str">
        <f>IF(OR($B39="",$B39=0),"",$I39*$C39*(1+'Property Summary'!$L$21)^('MF CapEx'!DL$3-1))</f>
        <v/>
      </c>
      <c r="DM39" s="149" t="str">
        <f>IF(OR($B39="",$B39=0),"",$I39*$C39*(1+'Property Summary'!$L$21)^('MF CapEx'!DM$3-1))</f>
        <v/>
      </c>
      <c r="DN39" s="149" t="str">
        <f>IF(OR($B39="",$B39=0),"",$I39*$C39*(1+'Property Summary'!$L$21)^('MF CapEx'!DN$3-1))</f>
        <v/>
      </c>
      <c r="DO39" s="149" t="str">
        <f>IF(OR($B39="",$B39=0),"",$I39*$C39*(1+'Property Summary'!$L$21)^('MF CapEx'!DO$3-1))</f>
        <v/>
      </c>
      <c r="DP39" s="149" t="str">
        <f>IF(OR($B39="",$B39=0),"",$I39*$C39*(1+'Property Summary'!$L$21)^('MF CapEx'!DP$3-1))</f>
        <v/>
      </c>
      <c r="DQ39" s="149" t="str">
        <f>IF(OR($B39="",$B39=0),"",$I39*$C39*(1+'Property Summary'!$L$21)^('MF CapEx'!DQ$3-1))</f>
        <v/>
      </c>
      <c r="DR39" s="149" t="str">
        <f>IF(OR($B39="",$B39=0),"",$I39*$C39*(1+'Property Summary'!$L$21)^('MF CapEx'!DR$3-1))</f>
        <v/>
      </c>
      <c r="DS39" s="149" t="str">
        <f>IF(OR($B39="",$B39=0),"",$I39*$C39*(1+'Property Summary'!$L$21)^('MF CapEx'!DS$3-1))</f>
        <v/>
      </c>
      <c r="DT39" s="149" t="str">
        <f>IF(OR($B39="",$B39=0),"",$I39*$C39*(1+'Property Summary'!$L$21)^('MF CapEx'!DT$3-1))</f>
        <v/>
      </c>
      <c r="DU39" s="149" t="str">
        <f>IF(OR($B39="",$B39=0),"",$I39*$C39*(1+'Property Summary'!$L$21)^('MF CapEx'!DU$3-1))</f>
        <v/>
      </c>
      <c r="DV39" s="149" t="str">
        <f>IF(OR($B39="",$B39=0),"",$I39*$C39*(1+'Property Summary'!$L$21)^('MF CapEx'!DV$3-1))</f>
        <v/>
      </c>
      <c r="DW39" s="149" t="str">
        <f>IF(OR($B39="",$B39=0),"",$I39*$C39*(1+'Property Summary'!$L$21)^('MF CapEx'!DW$3-1))</f>
        <v/>
      </c>
      <c r="DX39" s="149" t="str">
        <f>IF(OR($B39="",$B39=0),"",$I39*$C39*(1+'Property Summary'!$L$21)^('MF CapEx'!DX$3-1))</f>
        <v/>
      </c>
      <c r="DY39" s="149" t="str">
        <f>IF(OR($B39="",$B39=0),"",$I39*$C39*(1+'Property Summary'!$L$21)^('MF CapEx'!DY$3-1))</f>
        <v/>
      </c>
      <c r="DZ39" s="149" t="str">
        <f>IF(OR($B39="",$B39=0),"",$I39*$C39*(1+'Property Summary'!$L$21)^('MF CapEx'!DZ$3-1))</f>
        <v/>
      </c>
      <c r="EA39" s="149" t="str">
        <f>IF(OR($B39="",$B39=0),"",$I39*$C39*(1+'Property Summary'!$L$21)^('MF CapEx'!EA$3-1))</f>
        <v/>
      </c>
      <c r="EB39" s="149" t="str">
        <f>IF(OR($B39="",$B39=0),"",$I39*$C39*(1+'Property Summary'!$L$21)^('MF CapEx'!EB$3-1))</f>
        <v/>
      </c>
      <c r="EC39" s="149" t="str">
        <f>IF(OR($B39="",$B39=0),"",$I39*$C39*(1+'Property Summary'!$L$21)^('MF CapEx'!EC$3-1))</f>
        <v/>
      </c>
      <c r="ED39" s="149" t="str">
        <f>IF(OR($B39="",$B39=0),"",$I39*$C39*(1+'Property Summary'!$L$21)^('MF CapEx'!ED$3-1))</f>
        <v/>
      </c>
      <c r="EE39" s="149" t="str">
        <f>IF(OR($B39="",$B39=0),"",$I39*$C39*(1+'Property Summary'!$L$21)^('MF CapEx'!EE$3-1))</f>
        <v/>
      </c>
      <c r="EF39" s="149" t="str">
        <f>IF(OR($B39="",$B39=0),"",$I39*$C39*(1+'Property Summary'!$L$21)^('MF CapEx'!EF$3-1))</f>
        <v/>
      </c>
      <c r="EG39" s="149" t="str">
        <f>IF(OR($B39="",$B39=0),"",$I39*$C39*(1+'Property Summary'!$L$21)^('MF CapEx'!EG$3-1))</f>
        <v/>
      </c>
      <c r="EH39" s="149" t="str">
        <f>IF(OR($B39="",$B39=0),"",$I39*$C39*(1+'Property Summary'!$L$21)^('MF CapEx'!EH$3-1))</f>
        <v/>
      </c>
      <c r="EI39" s="149" t="str">
        <f>IF(OR($B39="",$B39=0),"",$I39*$C39*(1+'Property Summary'!$L$21)^('MF CapEx'!EI$3-1))</f>
        <v/>
      </c>
      <c r="EJ39" s="149" t="str">
        <f>IF(OR($B39="",$B39=0),"",$I39*$C39*(1+'Property Summary'!$L$21)^('MF CapEx'!EJ$3-1))</f>
        <v/>
      </c>
      <c r="EK39" s="149" t="str">
        <f>IF(OR($B39="",$B39=0),"",$I39*$C39*(1+'Property Summary'!$L$21)^('MF CapEx'!EK$3-1))</f>
        <v/>
      </c>
      <c r="EL39" s="149" t="str">
        <f>IF(OR($B39="",$B39=0),"",$I39*$C39*(1+'Property Summary'!$L$21)^('MF CapEx'!EL$3-1))</f>
        <v/>
      </c>
      <c r="EM39" s="149" t="str">
        <f>IF(OR($B39="",$B39=0),"",$I39*$C39*(1+'Property Summary'!$L$21)^('MF CapEx'!EM$3-1))</f>
        <v/>
      </c>
      <c r="EN39" s="149" t="str">
        <f>IF(OR($B39="",$B39=0),"",$I39*$C39*(1+'Property Summary'!$L$21)^('MF CapEx'!EN$3-1))</f>
        <v/>
      </c>
      <c r="EO39" s="149" t="str">
        <f>IF(OR($B39="",$B39=0),"",$I39*$C39*(1+'Property Summary'!$L$21)^('MF CapEx'!EO$3-1))</f>
        <v/>
      </c>
      <c r="EP39" s="149" t="str">
        <f>IF(OR($B39="",$B39=0),"",$I39*$C39*(1+'Property Summary'!$L$21)^('MF CapEx'!EP$3-1))</f>
        <v/>
      </c>
      <c r="EQ39" s="149" t="str">
        <f>IF(OR($B39="",$B39=0),"",$I39*$C39*(1+'Property Summary'!$L$21)^('MF CapEx'!EQ$3-1))</f>
        <v/>
      </c>
      <c r="ER39" s="149" t="str">
        <f>IF(OR($B39="",$B39=0),"",$I39*$C39*(1+'Property Summary'!$L$21)^('MF CapEx'!ER$3-1))</f>
        <v/>
      </c>
      <c r="ES39" s="149" t="str">
        <f>IF(OR($B39="",$B39=0),"",$I39*$C39*(1+'Property Summary'!$L$21)^('MF CapEx'!ES$3-1))</f>
        <v/>
      </c>
      <c r="ET39" s="149" t="str">
        <f>IF(OR($B39="",$B39=0),"",$I39*$C39*(1+'Property Summary'!$L$21)^('MF CapEx'!ET$3-1))</f>
        <v/>
      </c>
      <c r="EU39" s="149" t="str">
        <f>IF(OR($B39="",$B39=0),"",$I39*$C39*(1+'Property Summary'!$L$21)^('MF CapEx'!EU$3-1))</f>
        <v/>
      </c>
      <c r="EV39" s="149" t="str">
        <f>IF(OR($B39="",$B39=0),"",$I39*$C39*(1+'Property Summary'!$L$21)^('MF CapEx'!EV$3-1))</f>
        <v/>
      </c>
      <c r="EW39" s="149" t="str">
        <f>IF(OR($B39="",$B39=0),"",$I39*$C39*(1+'Property Summary'!$L$21)^('MF CapEx'!EW$3-1))</f>
        <v/>
      </c>
      <c r="EX39" s="149" t="str">
        <f>IF(OR($B39="",$B39=0),"",$I39*$C39*(1+'Property Summary'!$L$21)^('MF CapEx'!EX$3-1))</f>
        <v/>
      </c>
      <c r="EY39" s="149" t="str">
        <f>IF(OR($B39="",$B39=0),"",$I39*$C39*(1+'Property Summary'!$L$21)^('MF CapEx'!EY$3-1))</f>
        <v/>
      </c>
      <c r="EZ39" s="149" t="str">
        <f>IF(OR($B39="",$B39=0),"",$I39*$C39*(1+'Property Summary'!$L$21)^('MF CapEx'!EZ$3-1))</f>
        <v/>
      </c>
      <c r="FA39" s="149" t="str">
        <f>IF(OR($B39="",$B39=0),"",$I39*$C39*(1+'Property Summary'!$L$21)^('MF CapEx'!FA$3-1))</f>
        <v/>
      </c>
      <c r="FB39" s="149" t="str">
        <f>IF(OR($B39="",$B39=0),"",$I39*$C39*(1+'Property Summary'!$L$21)^('MF CapEx'!FB$3-1))</f>
        <v/>
      </c>
      <c r="FC39" s="149" t="str">
        <f>IF(OR($B39="",$B39=0),"",$I39*$C39*(1+'Property Summary'!$L$21)^('MF CapEx'!FC$3-1))</f>
        <v/>
      </c>
      <c r="FD39" s="149" t="str">
        <f>IF(OR($B39="",$B39=0),"",$I39*$C39*(1+'Property Summary'!$L$21)^('MF CapEx'!FD$3-1))</f>
        <v/>
      </c>
      <c r="FE39" s="149" t="str">
        <f>IF(OR($B39="",$B39=0),"",$I39*$C39*(1+'Property Summary'!$L$21)^('MF CapEx'!FE$3-1))</f>
        <v/>
      </c>
      <c r="FF39" s="149" t="str">
        <f>IF(OR($B39="",$B39=0),"",$I39*$C39*(1+'Property Summary'!$L$21)^('MF CapEx'!FF$3-1))</f>
        <v/>
      </c>
      <c r="FG39" s="149" t="str">
        <f>IF(OR($B39="",$B39=0),"",$I39*$C39*(1+'Property Summary'!$L$21)^('MF CapEx'!FG$3-1))</f>
        <v/>
      </c>
      <c r="FH39" s="149" t="str">
        <f>IF(OR($B39="",$B39=0),"",$I39*$C39*(1+'Property Summary'!$L$21)^('MF CapEx'!FH$3-1))</f>
        <v/>
      </c>
      <c r="FI39" s="149" t="str">
        <f>IF(OR($B39="",$B39=0),"",$I39*$C39*(1+'Property Summary'!$L$21)^('MF CapEx'!FI$3-1))</f>
        <v/>
      </c>
      <c r="FJ39" s="149" t="str">
        <f>IF(OR($B39="",$B39=0),"",$I39*$C39*(1+'Property Summary'!$L$21)^('MF CapEx'!FJ$3-1))</f>
        <v/>
      </c>
      <c r="FK39" s="149" t="str">
        <f>IF(OR($B39="",$B39=0),"",$I39*$C39*(1+'Property Summary'!$L$21)^('MF CapEx'!FK$3-1))</f>
        <v/>
      </c>
      <c r="FL39" s="149" t="str">
        <f>IF(OR($B39="",$B39=0),"",$I39*$C39*(1+'Property Summary'!$L$21)^('MF CapEx'!FL$3-1))</f>
        <v/>
      </c>
      <c r="FM39" s="149" t="str">
        <f>IF(OR($B39="",$B39=0),"",$I39*$C39*(1+'Property Summary'!$L$21)^('MF CapEx'!FM$3-1))</f>
        <v/>
      </c>
      <c r="FN39" s="149" t="str">
        <f>IF(OR($B39="",$B39=0),"",$I39*$C39*(1+'Property Summary'!$L$21)^('MF CapEx'!FN$3-1))</f>
        <v/>
      </c>
      <c r="FO39" s="149" t="str">
        <f>IF(OR($B39="",$B39=0),"",$I39*$C39*(1+'Property Summary'!$L$21)^('MF CapEx'!FO$3-1))</f>
        <v/>
      </c>
      <c r="FP39" s="149" t="str">
        <f>IF(OR($B39="",$B39=0),"",$I39*$C39*(1+'Property Summary'!$L$21)^('MF CapEx'!FP$3-1))</f>
        <v/>
      </c>
      <c r="FQ39" s="149" t="str">
        <f>IF(OR($B39="",$B39=0),"",$I39*$C39*(1+'Property Summary'!$L$21)^('MF CapEx'!FQ$3-1))</f>
        <v/>
      </c>
      <c r="FR39" s="149" t="str">
        <f>IF(OR($B39="",$B39=0),"",$I39*$C39*(1+'Property Summary'!$L$21)^('MF CapEx'!FR$3-1))</f>
        <v/>
      </c>
      <c r="FS39" s="149" t="str">
        <f>IF(OR($B39="",$B39=0),"",$I39*$C39*(1+'Property Summary'!$L$21)^('MF CapEx'!FS$3-1))</f>
        <v/>
      </c>
      <c r="FT39" s="149" t="str">
        <f>IF(OR($B39="",$B39=0),"",$I39*$C39*(1+'Property Summary'!$L$21)^('MF CapEx'!FT$3-1))</f>
        <v/>
      </c>
      <c r="FU39" s="149" t="str">
        <f>IF(OR($B39="",$B39=0),"",$I39*$C39*(1+'Property Summary'!$L$21)^('MF CapEx'!FU$3-1))</f>
        <v/>
      </c>
      <c r="FV39" s="149" t="str">
        <f>IF(OR($B39="",$B39=0),"",$I39*$C39*(1+'Property Summary'!$L$21)^('MF CapEx'!FV$3-1))</f>
        <v/>
      </c>
      <c r="FW39" s="149" t="str">
        <f>IF(OR($B39="",$B39=0),"",$I39*$C39*(1+'Property Summary'!$L$21)^('MF CapEx'!FW$3-1))</f>
        <v/>
      </c>
      <c r="FX39" s="149" t="str">
        <f>IF(OR($B39="",$B39=0),"",$I39*$C39*(1+'Property Summary'!$L$21)^('MF CapEx'!FX$3-1))</f>
        <v/>
      </c>
      <c r="FY39" s="149" t="str">
        <f>IF(OR($B39="",$B39=0),"",$I39*$C39*(1+'Property Summary'!$L$21)^('MF CapEx'!FY$3-1))</f>
        <v/>
      </c>
      <c r="FZ39" s="149" t="str">
        <f>IF(OR($B39="",$B39=0),"",$I39*$C39*(1+'Property Summary'!$L$21)^('MF CapEx'!FZ$3-1))</f>
        <v/>
      </c>
      <c r="GA39" s="149" t="str">
        <f>IF(OR($B39="",$B39=0),"",$I39*$C39*(1+'Property Summary'!$L$21)^('MF CapEx'!GA$3-1))</f>
        <v/>
      </c>
      <c r="GB39" s="149" t="str">
        <f>IF(OR($B39="",$B39=0),"",$I39*$C39*(1+'Property Summary'!$L$21)^('MF CapEx'!GB$3-1))</f>
        <v/>
      </c>
      <c r="GC39" s="149" t="str">
        <f>IF(OR($B39="",$B39=0),"",$I39*$C39*(1+'Property Summary'!$L$21)^('MF CapEx'!GC$3-1))</f>
        <v/>
      </c>
      <c r="GD39" s="149" t="str">
        <f>IF(OR($B39="",$B39=0),"",$I39*$C39*(1+'Property Summary'!$L$21)^('MF CapEx'!GD$3-1))</f>
        <v/>
      </c>
      <c r="GE39" s="149" t="str">
        <f>IF(OR($B39="",$B39=0),"",$I39*$C39*(1+'Property Summary'!$L$21)^('MF CapEx'!GE$3-1))</f>
        <v/>
      </c>
      <c r="GF39" s="149" t="str">
        <f>IF(OR($B39="",$B39=0),"",$I39*$C39*(1+'Property Summary'!$L$21)^('MF CapEx'!GF$3-1))</f>
        <v/>
      </c>
      <c r="GG39" s="149" t="str">
        <f>IF(OR($B39="",$B39=0),"",$I39*$C39*(1+'Property Summary'!$L$21)^('MF CapEx'!GG$3-1))</f>
        <v/>
      </c>
      <c r="GH39" s="149" t="str">
        <f>IF(OR($B39="",$B39=0),"",$I39*$C39*(1+'Property Summary'!$L$21)^('MF CapEx'!GH$3-1))</f>
        <v/>
      </c>
      <c r="GI39" s="149" t="str">
        <f>IF(OR($B39="",$B39=0),"",$I39*$C39*(1+'Property Summary'!$L$21)^('MF CapEx'!GI$3-1))</f>
        <v/>
      </c>
      <c r="GJ39" s="149" t="str">
        <f>IF(OR($B39="",$B39=0),"",$I39*$C39*(1+'Property Summary'!$L$21)^('MF CapEx'!GJ$3-1))</f>
        <v/>
      </c>
      <c r="GK39" s="149" t="str">
        <f>IF(OR($B39="",$B39=0),"",$I39*$C39*(1+'Property Summary'!$L$21)^('MF CapEx'!GK$3-1))</f>
        <v/>
      </c>
      <c r="GL39" s="149" t="str">
        <f>IF(OR($B39="",$B39=0),"",$I39*$C39*(1+'Property Summary'!$L$21)^('MF CapEx'!GL$3-1))</f>
        <v/>
      </c>
      <c r="GM39" s="149" t="str">
        <f>IF(OR($B39="",$B39=0),"",$I39*$C39*(1+'Property Summary'!$L$21)^('MF CapEx'!GM$3-1))</f>
        <v/>
      </c>
      <c r="GN39" s="149" t="str">
        <f>IF(OR($B39="",$B39=0),"",$I39*$C39*(1+'Property Summary'!$L$21)^('MF CapEx'!GN$3-1))</f>
        <v/>
      </c>
      <c r="GO39" s="149" t="str">
        <f>IF(OR($B39="",$B39=0),"",$I39*$C39*(1+'Property Summary'!$L$21)^('MF CapEx'!GO$3-1))</f>
        <v/>
      </c>
      <c r="GP39" s="149" t="str">
        <f>IF(OR($B39="",$B39=0),"",$I39*$C39*(1+'Property Summary'!$L$21)^('MF CapEx'!GP$3-1))</f>
        <v/>
      </c>
    </row>
    <row r="40" spans="2:198" x14ac:dyDescent="0.3">
      <c r="R40" s="89" t="s">
        <v>174</v>
      </c>
      <c r="S40" s="149">
        <f>SUM(S6:S39)</f>
        <v>7100</v>
      </c>
      <c r="T40" s="149">
        <f t="shared" ref="T40:CE40" si="9">SUM(T6:T39)</f>
        <v>7100</v>
      </c>
      <c r="U40" s="149">
        <f t="shared" si="9"/>
        <v>7100</v>
      </c>
      <c r="V40" s="149">
        <f t="shared" si="9"/>
        <v>7100</v>
      </c>
      <c r="W40" s="149">
        <f t="shared" si="9"/>
        <v>7100</v>
      </c>
      <c r="X40" s="149">
        <f t="shared" si="9"/>
        <v>7100</v>
      </c>
      <c r="Y40" s="149">
        <f t="shared" si="9"/>
        <v>7100</v>
      </c>
      <c r="Z40" s="149">
        <f t="shared" si="9"/>
        <v>7100</v>
      </c>
      <c r="AA40" s="149">
        <f t="shared" si="9"/>
        <v>7100</v>
      </c>
      <c r="AB40" s="149">
        <f t="shared" si="9"/>
        <v>7100</v>
      </c>
      <c r="AC40" s="149">
        <f t="shared" si="9"/>
        <v>7100</v>
      </c>
      <c r="AD40" s="149">
        <f t="shared" si="9"/>
        <v>7100</v>
      </c>
      <c r="AE40" s="149">
        <f t="shared" si="9"/>
        <v>7242.0000000000009</v>
      </c>
      <c r="AF40" s="149">
        <f t="shared" si="9"/>
        <v>7242.0000000000009</v>
      </c>
      <c r="AG40" s="149">
        <f t="shared" si="9"/>
        <v>7242.0000000000009</v>
      </c>
      <c r="AH40" s="149">
        <f t="shared" si="9"/>
        <v>7242.0000000000009</v>
      </c>
      <c r="AI40" s="149">
        <f t="shared" si="9"/>
        <v>7242.0000000000009</v>
      </c>
      <c r="AJ40" s="149">
        <f t="shared" si="9"/>
        <v>7242.0000000000009</v>
      </c>
      <c r="AK40" s="149">
        <f t="shared" si="9"/>
        <v>7242.0000000000009</v>
      </c>
      <c r="AL40" s="149">
        <f t="shared" si="9"/>
        <v>7242.0000000000009</v>
      </c>
      <c r="AM40" s="149">
        <f t="shared" si="9"/>
        <v>7242.0000000000009</v>
      </c>
      <c r="AN40" s="149">
        <f t="shared" si="9"/>
        <v>7242.0000000000009</v>
      </c>
      <c r="AO40" s="149">
        <f t="shared" si="9"/>
        <v>7242.0000000000009</v>
      </c>
      <c r="AP40" s="149">
        <f t="shared" si="9"/>
        <v>7242.0000000000009</v>
      </c>
      <c r="AQ40" s="149">
        <f t="shared" si="9"/>
        <v>7386.84</v>
      </c>
      <c r="AR40" s="149">
        <f t="shared" si="9"/>
        <v>7386.84</v>
      </c>
      <c r="AS40" s="149">
        <f t="shared" si="9"/>
        <v>7386.84</v>
      </c>
      <c r="AT40" s="149">
        <f t="shared" si="9"/>
        <v>7386.84</v>
      </c>
      <c r="AU40" s="149">
        <f t="shared" si="9"/>
        <v>7386.84</v>
      </c>
      <c r="AV40" s="149">
        <f t="shared" si="9"/>
        <v>7386.84</v>
      </c>
      <c r="AW40" s="149">
        <f t="shared" si="9"/>
        <v>7386.84</v>
      </c>
      <c r="AX40" s="149">
        <f t="shared" si="9"/>
        <v>7386.84</v>
      </c>
      <c r="AY40" s="149">
        <f t="shared" si="9"/>
        <v>7386.84</v>
      </c>
      <c r="AZ40" s="149">
        <f t="shared" si="9"/>
        <v>7386.84</v>
      </c>
      <c r="BA40" s="149">
        <f t="shared" si="9"/>
        <v>7386.84</v>
      </c>
      <c r="BB40" s="149">
        <f t="shared" si="9"/>
        <v>7386.84</v>
      </c>
      <c r="BC40" s="149">
        <f t="shared" si="9"/>
        <v>7534.5767999999989</v>
      </c>
      <c r="BD40" s="149">
        <f t="shared" si="9"/>
        <v>7534.5767999999989</v>
      </c>
      <c r="BE40" s="149">
        <f t="shared" si="9"/>
        <v>7534.5767999999989</v>
      </c>
      <c r="BF40" s="149">
        <f t="shared" si="9"/>
        <v>7534.5767999999989</v>
      </c>
      <c r="BG40" s="149">
        <f t="shared" si="9"/>
        <v>7534.5767999999989</v>
      </c>
      <c r="BH40" s="149">
        <f t="shared" si="9"/>
        <v>7534.5767999999989</v>
      </c>
      <c r="BI40" s="149">
        <f t="shared" si="9"/>
        <v>7534.5767999999989</v>
      </c>
      <c r="BJ40" s="149">
        <f t="shared" si="9"/>
        <v>7534.5767999999989</v>
      </c>
      <c r="BK40" s="149">
        <f t="shared" si="9"/>
        <v>7534.5767999999989</v>
      </c>
      <c r="BL40" s="149">
        <f t="shared" si="9"/>
        <v>7534.5767999999989</v>
      </c>
      <c r="BM40" s="149">
        <f t="shared" si="9"/>
        <v>7534.5767999999989</v>
      </c>
      <c r="BN40" s="149">
        <f t="shared" si="9"/>
        <v>7534.5767999999989</v>
      </c>
      <c r="BO40" s="149">
        <f t="shared" si="9"/>
        <v>7685.268336000001</v>
      </c>
      <c r="BP40" s="149">
        <f t="shared" si="9"/>
        <v>7685.268336000001</v>
      </c>
      <c r="BQ40" s="149">
        <f t="shared" si="9"/>
        <v>7685.268336000001</v>
      </c>
      <c r="BR40" s="149">
        <f t="shared" si="9"/>
        <v>7685.268336000001</v>
      </c>
      <c r="BS40" s="149">
        <f t="shared" si="9"/>
        <v>7685.268336000001</v>
      </c>
      <c r="BT40" s="149">
        <f t="shared" si="9"/>
        <v>7685.268336000001</v>
      </c>
      <c r="BU40" s="149">
        <f t="shared" si="9"/>
        <v>7685.268336000001</v>
      </c>
      <c r="BV40" s="149">
        <f t="shared" si="9"/>
        <v>7685.268336000001</v>
      </c>
      <c r="BW40" s="149">
        <f t="shared" si="9"/>
        <v>7685.268336000001</v>
      </c>
      <c r="BX40" s="149">
        <f t="shared" si="9"/>
        <v>7685.268336000001</v>
      </c>
      <c r="BY40" s="149">
        <f t="shared" si="9"/>
        <v>7685.268336000001</v>
      </c>
      <c r="BZ40" s="149">
        <f t="shared" si="9"/>
        <v>7685.268336000001</v>
      </c>
      <c r="CA40" s="149">
        <f t="shared" si="9"/>
        <v>7838.9737027199999</v>
      </c>
      <c r="CB40" s="149">
        <f t="shared" si="9"/>
        <v>7838.9737027199999</v>
      </c>
      <c r="CC40" s="149">
        <f t="shared" si="9"/>
        <v>7838.9737027199999</v>
      </c>
      <c r="CD40" s="149">
        <f t="shared" si="9"/>
        <v>7838.9737027199999</v>
      </c>
      <c r="CE40" s="149">
        <f t="shared" si="9"/>
        <v>7838.9737027199999</v>
      </c>
      <c r="CF40" s="149">
        <f t="shared" ref="CF40:EQ40" si="10">SUM(CF6:CF39)</f>
        <v>7838.9737027199999</v>
      </c>
      <c r="CG40" s="149">
        <f t="shared" si="10"/>
        <v>7838.9737027199999</v>
      </c>
      <c r="CH40" s="149">
        <f t="shared" si="10"/>
        <v>7838.9737027199999</v>
      </c>
      <c r="CI40" s="149">
        <f t="shared" si="10"/>
        <v>7838.9737027199999</v>
      </c>
      <c r="CJ40" s="149">
        <f t="shared" si="10"/>
        <v>7838.9737027199999</v>
      </c>
      <c r="CK40" s="149">
        <f t="shared" si="10"/>
        <v>7838.9737027199999</v>
      </c>
      <c r="CL40" s="149">
        <f t="shared" si="10"/>
        <v>7838.9737027199999</v>
      </c>
      <c r="CM40" s="149">
        <f t="shared" si="10"/>
        <v>7995.7531767744013</v>
      </c>
      <c r="CN40" s="149">
        <f t="shared" si="10"/>
        <v>7995.7531767744013</v>
      </c>
      <c r="CO40" s="149">
        <f t="shared" si="10"/>
        <v>7995.7531767744013</v>
      </c>
      <c r="CP40" s="149">
        <f t="shared" si="10"/>
        <v>7995.7531767744013</v>
      </c>
      <c r="CQ40" s="149">
        <f t="shared" si="10"/>
        <v>7995.7531767744013</v>
      </c>
      <c r="CR40" s="149">
        <f t="shared" si="10"/>
        <v>7995.7531767744013</v>
      </c>
      <c r="CS40" s="149">
        <f t="shared" si="10"/>
        <v>7995.7531767744013</v>
      </c>
      <c r="CT40" s="149">
        <f t="shared" si="10"/>
        <v>7995.7531767744013</v>
      </c>
      <c r="CU40" s="149">
        <f t="shared" si="10"/>
        <v>7995.7531767744013</v>
      </c>
      <c r="CV40" s="149">
        <f t="shared" si="10"/>
        <v>7995.7531767744013</v>
      </c>
      <c r="CW40" s="149">
        <f t="shared" si="10"/>
        <v>7995.7531767744013</v>
      </c>
      <c r="CX40" s="149">
        <f t="shared" si="10"/>
        <v>7995.7531767744013</v>
      </c>
      <c r="CY40" s="149">
        <f t="shared" si="10"/>
        <v>8155.6682403098857</v>
      </c>
      <c r="CZ40" s="149">
        <f t="shared" si="10"/>
        <v>8155.6682403098857</v>
      </c>
      <c r="DA40" s="149">
        <f t="shared" si="10"/>
        <v>8155.6682403098857</v>
      </c>
      <c r="DB40" s="149">
        <f t="shared" si="10"/>
        <v>8155.6682403098857</v>
      </c>
      <c r="DC40" s="149">
        <f t="shared" si="10"/>
        <v>8155.6682403098857</v>
      </c>
      <c r="DD40" s="149">
        <f t="shared" si="10"/>
        <v>8155.6682403098857</v>
      </c>
      <c r="DE40" s="149">
        <f t="shared" si="10"/>
        <v>8155.6682403098857</v>
      </c>
      <c r="DF40" s="149">
        <f t="shared" si="10"/>
        <v>8155.6682403098857</v>
      </c>
      <c r="DG40" s="149">
        <f t="shared" si="10"/>
        <v>8155.6682403098857</v>
      </c>
      <c r="DH40" s="149">
        <f t="shared" si="10"/>
        <v>8155.6682403098857</v>
      </c>
      <c r="DI40" s="149">
        <f t="shared" si="10"/>
        <v>8155.6682403098857</v>
      </c>
      <c r="DJ40" s="149">
        <f t="shared" si="10"/>
        <v>8155.6682403098857</v>
      </c>
      <c r="DK40" s="149">
        <f t="shared" si="10"/>
        <v>8318.7816051160862</v>
      </c>
      <c r="DL40" s="149">
        <f t="shared" si="10"/>
        <v>8318.7816051160862</v>
      </c>
      <c r="DM40" s="149">
        <f t="shared" si="10"/>
        <v>8318.7816051160862</v>
      </c>
      <c r="DN40" s="149">
        <f t="shared" si="10"/>
        <v>8318.7816051160862</v>
      </c>
      <c r="DO40" s="149">
        <f t="shared" si="10"/>
        <v>8318.7816051160862</v>
      </c>
      <c r="DP40" s="149">
        <f t="shared" si="10"/>
        <v>8318.7816051160862</v>
      </c>
      <c r="DQ40" s="149">
        <f t="shared" si="10"/>
        <v>8318.7816051160862</v>
      </c>
      <c r="DR40" s="149">
        <f t="shared" si="10"/>
        <v>8318.7816051160862</v>
      </c>
      <c r="DS40" s="149">
        <f t="shared" si="10"/>
        <v>8318.7816051160862</v>
      </c>
      <c r="DT40" s="149">
        <f t="shared" si="10"/>
        <v>8318.7816051160862</v>
      </c>
      <c r="DU40" s="149">
        <f t="shared" si="10"/>
        <v>8318.7816051160862</v>
      </c>
      <c r="DV40" s="149">
        <f t="shared" si="10"/>
        <v>8318.7816051160862</v>
      </c>
      <c r="DW40" s="149">
        <f t="shared" si="10"/>
        <v>8485.1572372184073</v>
      </c>
      <c r="DX40" s="149">
        <f t="shared" si="10"/>
        <v>8485.1572372184073</v>
      </c>
      <c r="DY40" s="149">
        <f t="shared" si="10"/>
        <v>8485.1572372184073</v>
      </c>
      <c r="DZ40" s="149">
        <f t="shared" si="10"/>
        <v>8485.1572372184073</v>
      </c>
      <c r="EA40" s="149">
        <f t="shared" si="10"/>
        <v>8485.1572372184073</v>
      </c>
      <c r="EB40" s="149">
        <f t="shared" si="10"/>
        <v>8485.1572372184073</v>
      </c>
      <c r="EC40" s="149">
        <f t="shared" si="10"/>
        <v>8485.1572372184073</v>
      </c>
      <c r="ED40" s="149">
        <f t="shared" si="10"/>
        <v>8485.1572372184073</v>
      </c>
      <c r="EE40" s="149">
        <f t="shared" si="10"/>
        <v>8485.1572372184073</v>
      </c>
      <c r="EF40" s="149">
        <f t="shared" si="10"/>
        <v>8485.1572372184073</v>
      </c>
      <c r="EG40" s="149">
        <f t="shared" si="10"/>
        <v>8485.1572372184073</v>
      </c>
      <c r="EH40" s="149">
        <f t="shared" si="10"/>
        <v>8485.1572372184073</v>
      </c>
      <c r="EI40" s="149">
        <f t="shared" si="10"/>
        <v>8654.8603819627751</v>
      </c>
      <c r="EJ40" s="149">
        <f t="shared" si="10"/>
        <v>8654.8603819627751</v>
      </c>
      <c r="EK40" s="149">
        <f t="shared" si="10"/>
        <v>8654.8603819627751</v>
      </c>
      <c r="EL40" s="149">
        <f t="shared" si="10"/>
        <v>8654.8603819627751</v>
      </c>
      <c r="EM40" s="149">
        <f t="shared" si="10"/>
        <v>8654.8603819627751</v>
      </c>
      <c r="EN40" s="149">
        <f t="shared" si="10"/>
        <v>8654.8603819627751</v>
      </c>
      <c r="EO40" s="149">
        <f t="shared" si="10"/>
        <v>8654.8603819627751</v>
      </c>
      <c r="EP40" s="149">
        <f t="shared" si="10"/>
        <v>8654.8603819627751</v>
      </c>
      <c r="EQ40" s="149">
        <f t="shared" si="10"/>
        <v>8654.8603819627751</v>
      </c>
      <c r="ER40" s="149">
        <f t="shared" ref="ER40:GP40" si="11">SUM(ER6:ER39)</f>
        <v>8654.8603819627751</v>
      </c>
      <c r="ES40" s="149">
        <f t="shared" si="11"/>
        <v>8654.8603819627751</v>
      </c>
      <c r="ET40" s="149">
        <f t="shared" si="11"/>
        <v>8654.8603819627751</v>
      </c>
      <c r="EU40" s="149">
        <f t="shared" si="11"/>
        <v>8827.9575896020287</v>
      </c>
      <c r="EV40" s="149">
        <f t="shared" si="11"/>
        <v>8827.9575896020287</v>
      </c>
      <c r="EW40" s="149">
        <f t="shared" si="11"/>
        <v>8827.9575896020287</v>
      </c>
      <c r="EX40" s="149">
        <f t="shared" si="11"/>
        <v>8827.9575896020287</v>
      </c>
      <c r="EY40" s="149">
        <f t="shared" si="11"/>
        <v>8827.9575896020287</v>
      </c>
      <c r="EZ40" s="149">
        <f t="shared" si="11"/>
        <v>8827.9575896020287</v>
      </c>
      <c r="FA40" s="149">
        <f t="shared" si="11"/>
        <v>8827.9575896020287</v>
      </c>
      <c r="FB40" s="149">
        <f t="shared" si="11"/>
        <v>8827.9575896020287</v>
      </c>
      <c r="FC40" s="149">
        <f t="shared" si="11"/>
        <v>8827.9575896020287</v>
      </c>
      <c r="FD40" s="149">
        <f t="shared" si="11"/>
        <v>8827.9575896020287</v>
      </c>
      <c r="FE40" s="149">
        <f t="shared" si="11"/>
        <v>8827.9575896020287</v>
      </c>
      <c r="FF40" s="149">
        <f t="shared" si="11"/>
        <v>8827.9575896020287</v>
      </c>
      <c r="FG40" s="149">
        <f t="shared" si="11"/>
        <v>9004.5167413940708</v>
      </c>
      <c r="FH40" s="149">
        <f t="shared" si="11"/>
        <v>9004.5167413940708</v>
      </c>
      <c r="FI40" s="149">
        <f t="shared" si="11"/>
        <v>9004.5167413940708</v>
      </c>
      <c r="FJ40" s="149">
        <f t="shared" si="11"/>
        <v>9004.5167413940708</v>
      </c>
      <c r="FK40" s="149">
        <f t="shared" si="11"/>
        <v>9004.5167413940708</v>
      </c>
      <c r="FL40" s="149">
        <f t="shared" si="11"/>
        <v>9004.5167413940708</v>
      </c>
      <c r="FM40" s="149">
        <f t="shared" si="11"/>
        <v>9004.5167413940708</v>
      </c>
      <c r="FN40" s="149">
        <f t="shared" si="11"/>
        <v>9004.5167413940708</v>
      </c>
      <c r="FO40" s="149">
        <f t="shared" si="11"/>
        <v>9004.5167413940708</v>
      </c>
      <c r="FP40" s="149">
        <f t="shared" si="11"/>
        <v>9004.5167413940708</v>
      </c>
      <c r="FQ40" s="149">
        <f t="shared" si="11"/>
        <v>9004.5167413940708</v>
      </c>
      <c r="FR40" s="149">
        <f t="shared" si="11"/>
        <v>9004.5167413940708</v>
      </c>
      <c r="FS40" s="149">
        <f t="shared" si="11"/>
        <v>9184.6070762219515</v>
      </c>
      <c r="FT40" s="149">
        <f t="shared" si="11"/>
        <v>9184.6070762219515</v>
      </c>
      <c r="FU40" s="149">
        <f t="shared" si="11"/>
        <v>9184.6070762219515</v>
      </c>
      <c r="FV40" s="149">
        <f t="shared" si="11"/>
        <v>9184.6070762219515</v>
      </c>
      <c r="FW40" s="149">
        <f t="shared" si="11"/>
        <v>9184.6070762219515</v>
      </c>
      <c r="FX40" s="149">
        <f t="shared" si="11"/>
        <v>9184.6070762219515</v>
      </c>
      <c r="FY40" s="149">
        <f t="shared" si="11"/>
        <v>9184.6070762219515</v>
      </c>
      <c r="FZ40" s="149">
        <f t="shared" si="11"/>
        <v>9184.6070762219515</v>
      </c>
      <c r="GA40" s="149">
        <f t="shared" si="11"/>
        <v>9184.6070762219515</v>
      </c>
      <c r="GB40" s="149">
        <f t="shared" si="11"/>
        <v>9184.6070762219515</v>
      </c>
      <c r="GC40" s="149">
        <f t="shared" si="11"/>
        <v>9184.6070762219515</v>
      </c>
      <c r="GD40" s="149">
        <f t="shared" si="11"/>
        <v>9184.6070762219515</v>
      </c>
      <c r="GE40" s="149">
        <f t="shared" si="11"/>
        <v>9368.299217746393</v>
      </c>
      <c r="GF40" s="149">
        <f t="shared" si="11"/>
        <v>9368.299217746393</v>
      </c>
      <c r="GG40" s="149">
        <f t="shared" si="11"/>
        <v>9368.299217746393</v>
      </c>
      <c r="GH40" s="149">
        <f t="shared" si="11"/>
        <v>9368.299217746393</v>
      </c>
      <c r="GI40" s="149">
        <f t="shared" si="11"/>
        <v>9368.299217746393</v>
      </c>
      <c r="GJ40" s="149">
        <f t="shared" si="11"/>
        <v>9368.299217746393</v>
      </c>
      <c r="GK40" s="149">
        <f t="shared" si="11"/>
        <v>9368.299217746393</v>
      </c>
      <c r="GL40" s="149">
        <f t="shared" si="11"/>
        <v>9368.299217746393</v>
      </c>
      <c r="GM40" s="149">
        <f t="shared" si="11"/>
        <v>9368.299217746393</v>
      </c>
      <c r="GN40" s="149">
        <f t="shared" si="11"/>
        <v>9368.299217746393</v>
      </c>
      <c r="GO40" s="149">
        <f t="shared" si="11"/>
        <v>9368.299217746393</v>
      </c>
      <c r="GP40" s="149">
        <f t="shared" si="11"/>
        <v>9368.299217746393</v>
      </c>
    </row>
  </sheetData>
  <mergeCells count="1">
    <mergeCell ref="N4:P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GP40"/>
  <sheetViews>
    <sheetView workbookViewId="0"/>
  </sheetViews>
  <sheetFormatPr defaultColWidth="9.109375" defaultRowHeight="14.4" x14ac:dyDescent="0.3"/>
  <cols>
    <col min="2" max="2" width="12.88671875" style="185" customWidth="1"/>
    <col min="3" max="3" width="12.88671875" style="89" customWidth="1"/>
    <col min="4" max="4" width="5.6640625" style="89" bestFit="1" customWidth="1"/>
    <col min="5" max="5" width="6.44140625" style="89" bestFit="1" customWidth="1"/>
    <col min="6" max="6" width="8.109375" style="89" bestFit="1" customWidth="1"/>
    <col min="7" max="7" width="9.5546875" style="89" bestFit="1" customWidth="1"/>
    <col min="8" max="8" width="10.88671875" style="89" bestFit="1" customWidth="1"/>
    <col min="9" max="9" width="10.88671875" style="89" customWidth="1"/>
    <col min="10" max="10" width="11.44140625" style="89" customWidth="1"/>
    <col min="11" max="11" width="17" style="89" customWidth="1"/>
    <col min="12" max="12" width="13.5546875" style="89" customWidth="1"/>
    <col min="13" max="13" width="10.88671875" style="89" bestFit="1" customWidth="1"/>
    <col min="14" max="14" width="13.5546875" style="89" bestFit="1" customWidth="1"/>
    <col min="15" max="16" width="10.88671875" style="89" bestFit="1" customWidth="1"/>
    <col min="17" max="18" width="9.109375" style="89"/>
    <col min="19" max="19" width="9.33203125" style="89" bestFit="1" customWidth="1"/>
    <col min="20" max="20" width="9.6640625" style="89" bestFit="1" customWidth="1"/>
    <col min="21" max="21" width="9.88671875" style="89" bestFit="1" customWidth="1"/>
    <col min="22" max="22" width="9.5546875" style="89" bestFit="1" customWidth="1"/>
    <col min="23" max="23" width="10.109375" style="89" bestFit="1" customWidth="1"/>
    <col min="24" max="24" width="9.44140625" style="89" bestFit="1" customWidth="1"/>
    <col min="25" max="25" width="8.88671875" style="89" bestFit="1" customWidth="1"/>
    <col min="26" max="26" width="9.88671875" style="89" bestFit="1" customWidth="1"/>
    <col min="27" max="27" width="9.6640625" style="89" bestFit="1" customWidth="1"/>
    <col min="28" max="28" width="9.44140625" style="89" bestFit="1" customWidth="1"/>
    <col min="29" max="29" width="10" style="89" bestFit="1" customWidth="1"/>
    <col min="30" max="30" width="9.6640625" style="89" bestFit="1" customWidth="1"/>
    <col min="31" max="31" width="9.33203125" style="89" bestFit="1" customWidth="1"/>
    <col min="32" max="32" width="9.6640625" style="89" bestFit="1" customWidth="1"/>
    <col min="33" max="33" width="9.88671875" style="89" bestFit="1" customWidth="1"/>
    <col min="34" max="34" width="9.5546875" style="89" bestFit="1" customWidth="1"/>
    <col min="35" max="35" width="10.109375" style="89" bestFit="1" customWidth="1"/>
    <col min="36" max="36" width="9.44140625" style="89" bestFit="1" customWidth="1"/>
    <col min="37" max="37" width="8.88671875" style="89" bestFit="1" customWidth="1"/>
    <col min="38" max="38" width="9.88671875" style="89" bestFit="1" customWidth="1"/>
    <col min="39" max="39" width="9.6640625" style="89" bestFit="1" customWidth="1"/>
    <col min="40" max="40" width="9.44140625" style="89" bestFit="1" customWidth="1"/>
    <col min="41" max="41" width="10" style="89" bestFit="1" customWidth="1"/>
    <col min="42" max="42" width="9.6640625" style="89" bestFit="1" customWidth="1"/>
    <col min="43" max="43" width="9.33203125" style="89" bestFit="1" customWidth="1"/>
    <col min="44" max="44" width="9.6640625" style="89" bestFit="1" customWidth="1"/>
    <col min="45" max="45" width="9.88671875" style="89" bestFit="1" customWidth="1"/>
    <col min="46" max="46" width="9.5546875" style="89" bestFit="1" customWidth="1"/>
    <col min="47" max="47" width="10.109375" style="89" bestFit="1" customWidth="1"/>
    <col min="48" max="48" width="9.44140625" style="89" bestFit="1" customWidth="1"/>
    <col min="49" max="49" width="8.88671875" style="89" bestFit="1" customWidth="1"/>
    <col min="50" max="50" width="9.88671875" style="89" bestFit="1" customWidth="1"/>
    <col min="51" max="51" width="9.6640625" style="89" bestFit="1" customWidth="1"/>
    <col min="52" max="52" width="9.44140625" style="89" bestFit="1" customWidth="1"/>
    <col min="53" max="53" width="10" style="89" bestFit="1" customWidth="1"/>
    <col min="54" max="54" width="9.6640625" style="89" bestFit="1" customWidth="1"/>
    <col min="55" max="55" width="9.33203125" style="89" bestFit="1" customWidth="1"/>
    <col min="56" max="56" width="9.6640625" style="89" bestFit="1" customWidth="1"/>
    <col min="57" max="57" width="9.88671875" style="89" bestFit="1" customWidth="1"/>
    <col min="58" max="58" width="9.5546875" style="89" bestFit="1" customWidth="1"/>
    <col min="59" max="59" width="10.109375" style="89" bestFit="1" customWidth="1"/>
    <col min="60" max="60" width="9.44140625" style="89" bestFit="1" customWidth="1"/>
    <col min="61" max="61" width="8.88671875" style="89" bestFit="1" customWidth="1"/>
    <col min="62" max="62" width="9.88671875" style="89" bestFit="1" customWidth="1"/>
    <col min="63" max="63" width="9.6640625" style="89" bestFit="1" customWidth="1"/>
    <col min="64" max="64" width="9.44140625" style="89" bestFit="1" customWidth="1"/>
    <col min="65" max="65" width="10" style="89" bestFit="1" customWidth="1"/>
    <col min="66" max="66" width="9.6640625" style="89" bestFit="1" customWidth="1"/>
    <col min="67" max="67" width="9.33203125" style="89" bestFit="1" customWidth="1"/>
    <col min="68" max="68" width="9.6640625" style="89" bestFit="1" customWidth="1"/>
    <col min="69" max="69" width="9.88671875" style="89" bestFit="1" customWidth="1"/>
    <col min="70" max="70" width="9.5546875" style="89" bestFit="1" customWidth="1"/>
    <col min="71" max="71" width="10.109375" style="89" bestFit="1" customWidth="1"/>
    <col min="72" max="72" width="9.44140625" style="89" bestFit="1" customWidth="1"/>
    <col min="73" max="73" width="8.88671875" style="89" bestFit="1" customWidth="1"/>
    <col min="74" max="74" width="9.88671875" style="89" bestFit="1" customWidth="1"/>
    <col min="75" max="75" width="9.6640625" style="89" bestFit="1" customWidth="1"/>
    <col min="76" max="76" width="9.44140625" style="89" bestFit="1" customWidth="1"/>
    <col min="77" max="77" width="10" style="89" bestFit="1" customWidth="1"/>
    <col min="78" max="78" width="9.6640625" style="89" bestFit="1" customWidth="1"/>
    <col min="79" max="79" width="9.33203125" style="89" bestFit="1" customWidth="1"/>
    <col min="80" max="80" width="9.6640625" style="89" bestFit="1" customWidth="1"/>
    <col min="81" max="81" width="9.88671875" style="89" bestFit="1" customWidth="1"/>
    <col min="82" max="82" width="9.5546875" style="89" bestFit="1" customWidth="1"/>
    <col min="83" max="83" width="10.109375" style="89" bestFit="1" customWidth="1"/>
    <col min="84" max="84" width="9.44140625" style="89" bestFit="1" customWidth="1"/>
    <col min="85" max="85" width="8.88671875" style="89" bestFit="1" customWidth="1"/>
    <col min="86" max="86" width="9.88671875" style="89" bestFit="1" customWidth="1"/>
    <col min="87" max="87" width="9.6640625" style="89" bestFit="1" customWidth="1"/>
    <col min="88" max="88" width="9.44140625" style="89" bestFit="1" customWidth="1"/>
    <col min="89" max="89" width="10" style="89" bestFit="1" customWidth="1"/>
    <col min="90" max="90" width="9.6640625" style="89" bestFit="1" customWidth="1"/>
    <col min="91" max="91" width="9.33203125" style="89" bestFit="1" customWidth="1"/>
    <col min="92" max="92" width="9.6640625" style="89" bestFit="1" customWidth="1"/>
    <col min="93" max="93" width="9.88671875" style="89" bestFit="1" customWidth="1"/>
    <col min="94" max="94" width="9.5546875" style="89" bestFit="1" customWidth="1"/>
    <col min="95" max="95" width="10.109375" style="89" bestFit="1" customWidth="1"/>
    <col min="96" max="96" width="9.44140625" style="89" bestFit="1" customWidth="1"/>
    <col min="97" max="97" width="8.88671875" style="89" bestFit="1" customWidth="1"/>
    <col min="98" max="98" width="9.88671875" style="89" bestFit="1" customWidth="1"/>
    <col min="99" max="99" width="9.6640625" style="89" bestFit="1" customWidth="1"/>
    <col min="100" max="100" width="9.44140625" style="89" bestFit="1" customWidth="1"/>
    <col min="101" max="101" width="10" style="89" bestFit="1" customWidth="1"/>
    <col min="102" max="102" width="9.6640625" style="89" bestFit="1" customWidth="1"/>
    <col min="103" max="103" width="9.33203125" style="89" bestFit="1" customWidth="1"/>
    <col min="104" max="104" width="9.6640625" style="89" bestFit="1" customWidth="1"/>
    <col min="105" max="105" width="9.88671875" style="89" bestFit="1" customWidth="1"/>
    <col min="106" max="106" width="9.5546875" style="89" bestFit="1" customWidth="1"/>
    <col min="107" max="107" width="10.109375" style="89" bestFit="1" customWidth="1"/>
    <col min="108" max="108" width="9.44140625" style="89" bestFit="1" customWidth="1"/>
    <col min="109" max="109" width="8.88671875" style="89" bestFit="1" customWidth="1"/>
    <col min="110" max="110" width="9.88671875" style="89" bestFit="1" customWidth="1"/>
    <col min="111" max="111" width="9.6640625" style="89" bestFit="1" customWidth="1"/>
    <col min="112" max="112" width="9.44140625" style="89" bestFit="1" customWidth="1"/>
    <col min="113" max="113" width="10" style="89" bestFit="1" customWidth="1"/>
    <col min="114" max="114" width="9.6640625" style="89" bestFit="1" customWidth="1"/>
    <col min="115" max="115" width="9.33203125" style="89" bestFit="1" customWidth="1"/>
    <col min="116" max="116" width="9.6640625" style="89" bestFit="1" customWidth="1"/>
    <col min="117" max="117" width="9.88671875" style="89" bestFit="1" customWidth="1"/>
    <col min="118" max="118" width="9.5546875" style="89" bestFit="1" customWidth="1"/>
    <col min="119" max="119" width="10.109375" style="89" bestFit="1" customWidth="1"/>
    <col min="120" max="120" width="9.44140625" style="89" bestFit="1" customWidth="1"/>
    <col min="121" max="121" width="8.88671875" style="89" bestFit="1" customWidth="1"/>
    <col min="122" max="122" width="9.88671875" style="89" bestFit="1" customWidth="1"/>
    <col min="123" max="123" width="9.6640625" style="89" bestFit="1" customWidth="1"/>
    <col min="124" max="124" width="9.44140625" style="89" bestFit="1" customWidth="1"/>
    <col min="125" max="125" width="10" style="89" bestFit="1" customWidth="1"/>
    <col min="126" max="126" width="9.6640625" style="89" bestFit="1" customWidth="1"/>
    <col min="127" max="127" width="9.33203125" style="89" bestFit="1" customWidth="1"/>
    <col min="128" max="128" width="9.6640625" style="89" bestFit="1" customWidth="1"/>
    <col min="129" max="129" width="9.88671875" style="89" bestFit="1" customWidth="1"/>
    <col min="130" max="130" width="9.5546875" style="89" bestFit="1" customWidth="1"/>
    <col min="131" max="131" width="10.109375" style="89" bestFit="1" customWidth="1"/>
    <col min="132" max="132" width="9.44140625" style="89" bestFit="1" customWidth="1"/>
    <col min="133" max="133" width="8.88671875" style="89" bestFit="1" customWidth="1"/>
    <col min="134" max="134" width="9.88671875" style="89" bestFit="1" customWidth="1"/>
    <col min="135" max="135" width="9.6640625" style="89" bestFit="1" customWidth="1"/>
    <col min="136" max="136" width="9.44140625" style="89" bestFit="1" customWidth="1"/>
    <col min="137" max="137" width="10" style="89" bestFit="1" customWidth="1"/>
    <col min="138" max="138" width="9.6640625" style="89" bestFit="1" customWidth="1"/>
    <col min="139" max="139" width="9.33203125" style="89" bestFit="1" customWidth="1"/>
    <col min="140" max="140" width="9.6640625" style="89" bestFit="1" customWidth="1"/>
    <col min="141" max="141" width="9.88671875" style="89" bestFit="1" customWidth="1"/>
    <col min="142" max="142" width="9.5546875" style="89" bestFit="1" customWidth="1"/>
    <col min="143" max="143" width="10.109375" style="89" bestFit="1" customWidth="1"/>
    <col min="144" max="144" width="9.44140625" style="89" bestFit="1" customWidth="1"/>
    <col min="145" max="145" width="8.88671875" style="89" bestFit="1" customWidth="1"/>
    <col min="146" max="146" width="9.88671875" style="89" bestFit="1" customWidth="1"/>
    <col min="147" max="147" width="9.6640625" style="89" bestFit="1" customWidth="1"/>
    <col min="148" max="148" width="9.44140625" style="89" bestFit="1" customWidth="1"/>
    <col min="149" max="149" width="10" style="89" bestFit="1" customWidth="1"/>
    <col min="150" max="150" width="9.6640625" style="89" bestFit="1" customWidth="1"/>
    <col min="151" max="151" width="9.33203125" style="89" bestFit="1" customWidth="1"/>
    <col min="152" max="152" width="9.6640625" style="89" bestFit="1" customWidth="1"/>
    <col min="153" max="153" width="9.88671875" style="89" bestFit="1" customWidth="1"/>
    <col min="154" max="154" width="9.5546875" style="89" bestFit="1" customWidth="1"/>
    <col min="155" max="155" width="10.109375" style="89" bestFit="1" customWidth="1"/>
    <col min="156" max="156" width="9.44140625" style="89" bestFit="1" customWidth="1"/>
    <col min="157" max="157" width="8.88671875" style="89" bestFit="1" customWidth="1"/>
    <col min="158" max="158" width="9.88671875" style="89" bestFit="1" customWidth="1"/>
    <col min="159" max="159" width="9.6640625" style="89" bestFit="1" customWidth="1"/>
    <col min="160" max="160" width="9.44140625" style="89" bestFit="1" customWidth="1"/>
    <col min="161" max="161" width="10" style="89" bestFit="1" customWidth="1"/>
    <col min="162" max="162" width="9.6640625" style="89" bestFit="1" customWidth="1"/>
    <col min="163" max="163" width="9.33203125" style="89" bestFit="1" customWidth="1"/>
    <col min="164" max="164" width="9.6640625" style="89" bestFit="1" customWidth="1"/>
    <col min="165" max="165" width="9.88671875" style="89" bestFit="1" customWidth="1"/>
    <col min="166" max="166" width="9.5546875" style="89" bestFit="1" customWidth="1"/>
    <col min="167" max="167" width="10.109375" style="89" bestFit="1" customWidth="1"/>
    <col min="168" max="168" width="9.44140625" style="89" bestFit="1" customWidth="1"/>
    <col min="169" max="169" width="8.88671875" style="89" bestFit="1" customWidth="1"/>
    <col min="170" max="170" width="9.88671875" style="89" bestFit="1" customWidth="1"/>
    <col min="171" max="171" width="9.6640625" style="89" bestFit="1" customWidth="1"/>
    <col min="172" max="172" width="9.44140625" style="89" bestFit="1" customWidth="1"/>
    <col min="173" max="173" width="10" style="89" bestFit="1" customWidth="1"/>
    <col min="174" max="174" width="9.6640625" style="89" bestFit="1" customWidth="1"/>
    <col min="175" max="175" width="9.33203125" style="89" bestFit="1" customWidth="1"/>
    <col min="176" max="176" width="9.6640625" style="89" bestFit="1" customWidth="1"/>
    <col min="177" max="177" width="9.88671875" style="89" bestFit="1" customWidth="1"/>
    <col min="178" max="178" width="9.5546875" style="89" bestFit="1" customWidth="1"/>
    <col min="179" max="179" width="10.109375" style="89" bestFit="1" customWidth="1"/>
    <col min="180" max="180" width="9.44140625" style="89" bestFit="1" customWidth="1"/>
    <col min="181" max="181" width="8.88671875" style="89" bestFit="1" customWidth="1"/>
    <col min="182" max="182" width="9.88671875" style="89" bestFit="1" customWidth="1"/>
    <col min="183" max="183" width="9.6640625" style="89" bestFit="1" customWidth="1"/>
    <col min="184" max="184" width="9.44140625" style="89" bestFit="1" customWidth="1"/>
    <col min="185" max="185" width="10" style="89" bestFit="1" customWidth="1"/>
    <col min="186" max="186" width="9.6640625" style="89" bestFit="1" customWidth="1"/>
    <col min="187" max="187" width="9.33203125" style="89" bestFit="1" customWidth="1"/>
    <col min="188" max="188" width="9.6640625" style="89" bestFit="1" customWidth="1"/>
    <col min="189" max="189" width="9.88671875" style="89" bestFit="1" customWidth="1"/>
    <col min="190" max="190" width="9.5546875" style="89" bestFit="1" customWidth="1"/>
    <col min="191" max="191" width="10.109375" style="89" bestFit="1" customWidth="1"/>
    <col min="192" max="192" width="9.44140625" style="89" bestFit="1" customWidth="1"/>
    <col min="193" max="193" width="8.88671875" style="89" bestFit="1" customWidth="1"/>
    <col min="194" max="194" width="9.88671875" style="89" bestFit="1" customWidth="1"/>
    <col min="195" max="195" width="9.6640625" style="89" bestFit="1" customWidth="1"/>
    <col min="196" max="196" width="9.44140625" style="89" bestFit="1" customWidth="1"/>
    <col min="197" max="197" width="10" style="89" bestFit="1" customWidth="1"/>
    <col min="198" max="198" width="9.6640625" style="89" bestFit="1" customWidth="1"/>
  </cols>
  <sheetData>
    <row r="3" spans="2:198" ht="15.6" x14ac:dyDescent="0.3">
      <c r="B3" s="74" t="s">
        <v>177</v>
      </c>
      <c r="C3" s="109"/>
      <c r="D3" s="88"/>
      <c r="E3" s="88"/>
      <c r="F3" s="88"/>
      <c r="G3" s="88"/>
      <c r="H3" s="88"/>
      <c r="I3" s="169"/>
      <c r="J3" s="88"/>
      <c r="K3" s="88"/>
      <c r="L3" s="88"/>
      <c r="M3" s="88"/>
      <c r="N3" s="88"/>
      <c r="O3" s="88"/>
      <c r="P3" s="88"/>
      <c r="R3" s="89" t="s">
        <v>46</v>
      </c>
      <c r="S3" s="89">
        <f>ROUNDUP(S4/12,0)</f>
        <v>1</v>
      </c>
      <c r="T3" s="89">
        <f t="shared" ref="T3:CE3" si="0">ROUNDUP(T4/12,0)</f>
        <v>1</v>
      </c>
      <c r="U3" s="89">
        <f t="shared" si="0"/>
        <v>1</v>
      </c>
      <c r="V3" s="89">
        <f t="shared" si="0"/>
        <v>1</v>
      </c>
      <c r="W3" s="89">
        <f t="shared" si="0"/>
        <v>1</v>
      </c>
      <c r="X3" s="89">
        <f t="shared" si="0"/>
        <v>1</v>
      </c>
      <c r="Y3" s="89">
        <f t="shared" si="0"/>
        <v>1</v>
      </c>
      <c r="Z3" s="89">
        <f t="shared" si="0"/>
        <v>1</v>
      </c>
      <c r="AA3" s="89">
        <f t="shared" si="0"/>
        <v>1</v>
      </c>
      <c r="AB3" s="89">
        <f t="shared" si="0"/>
        <v>1</v>
      </c>
      <c r="AC3" s="89">
        <f t="shared" si="0"/>
        <v>1</v>
      </c>
      <c r="AD3" s="89">
        <f t="shared" si="0"/>
        <v>1</v>
      </c>
      <c r="AE3" s="89">
        <f t="shared" si="0"/>
        <v>2</v>
      </c>
      <c r="AF3" s="89">
        <f t="shared" si="0"/>
        <v>2</v>
      </c>
      <c r="AG3" s="89">
        <f t="shared" si="0"/>
        <v>2</v>
      </c>
      <c r="AH3" s="89">
        <f t="shared" si="0"/>
        <v>2</v>
      </c>
      <c r="AI3" s="89">
        <f t="shared" si="0"/>
        <v>2</v>
      </c>
      <c r="AJ3" s="89">
        <f t="shared" si="0"/>
        <v>2</v>
      </c>
      <c r="AK3" s="89">
        <f t="shared" si="0"/>
        <v>2</v>
      </c>
      <c r="AL3" s="89">
        <f t="shared" si="0"/>
        <v>2</v>
      </c>
      <c r="AM3" s="89">
        <f t="shared" si="0"/>
        <v>2</v>
      </c>
      <c r="AN3" s="89">
        <f t="shared" si="0"/>
        <v>2</v>
      </c>
      <c r="AO3" s="89">
        <f t="shared" si="0"/>
        <v>2</v>
      </c>
      <c r="AP3" s="89">
        <f t="shared" si="0"/>
        <v>2</v>
      </c>
      <c r="AQ3" s="89">
        <f t="shared" si="0"/>
        <v>3</v>
      </c>
      <c r="AR3" s="89">
        <f t="shared" si="0"/>
        <v>3</v>
      </c>
      <c r="AS3" s="89">
        <f t="shared" si="0"/>
        <v>3</v>
      </c>
      <c r="AT3" s="89">
        <f t="shared" si="0"/>
        <v>3</v>
      </c>
      <c r="AU3" s="89">
        <f t="shared" si="0"/>
        <v>3</v>
      </c>
      <c r="AV3" s="89">
        <f t="shared" si="0"/>
        <v>3</v>
      </c>
      <c r="AW3" s="89">
        <f t="shared" si="0"/>
        <v>3</v>
      </c>
      <c r="AX3" s="89">
        <f t="shared" si="0"/>
        <v>3</v>
      </c>
      <c r="AY3" s="89">
        <f t="shared" si="0"/>
        <v>3</v>
      </c>
      <c r="AZ3" s="89">
        <f t="shared" si="0"/>
        <v>3</v>
      </c>
      <c r="BA3" s="89">
        <f t="shared" si="0"/>
        <v>3</v>
      </c>
      <c r="BB3" s="89">
        <f t="shared" si="0"/>
        <v>3</v>
      </c>
      <c r="BC3" s="89">
        <f t="shared" si="0"/>
        <v>4</v>
      </c>
      <c r="BD3" s="89">
        <f t="shared" si="0"/>
        <v>4</v>
      </c>
      <c r="BE3" s="89">
        <f t="shared" si="0"/>
        <v>4</v>
      </c>
      <c r="BF3" s="89">
        <f t="shared" si="0"/>
        <v>4</v>
      </c>
      <c r="BG3" s="89">
        <f t="shared" si="0"/>
        <v>4</v>
      </c>
      <c r="BH3" s="89">
        <f t="shared" si="0"/>
        <v>4</v>
      </c>
      <c r="BI3" s="89">
        <f t="shared" si="0"/>
        <v>4</v>
      </c>
      <c r="BJ3" s="89">
        <f t="shared" si="0"/>
        <v>4</v>
      </c>
      <c r="BK3" s="89">
        <f t="shared" si="0"/>
        <v>4</v>
      </c>
      <c r="BL3" s="89">
        <f t="shared" si="0"/>
        <v>4</v>
      </c>
      <c r="BM3" s="89">
        <f t="shared" si="0"/>
        <v>4</v>
      </c>
      <c r="BN3" s="89">
        <f t="shared" si="0"/>
        <v>4</v>
      </c>
      <c r="BO3" s="89">
        <f t="shared" si="0"/>
        <v>5</v>
      </c>
      <c r="BP3" s="89">
        <f t="shared" si="0"/>
        <v>5</v>
      </c>
      <c r="BQ3" s="89">
        <f t="shared" si="0"/>
        <v>5</v>
      </c>
      <c r="BR3" s="89">
        <f t="shared" si="0"/>
        <v>5</v>
      </c>
      <c r="BS3" s="89">
        <f t="shared" si="0"/>
        <v>5</v>
      </c>
      <c r="BT3" s="89">
        <f t="shared" si="0"/>
        <v>5</v>
      </c>
      <c r="BU3" s="89">
        <f t="shared" si="0"/>
        <v>5</v>
      </c>
      <c r="BV3" s="89">
        <f t="shared" si="0"/>
        <v>5</v>
      </c>
      <c r="BW3" s="89">
        <f t="shared" si="0"/>
        <v>5</v>
      </c>
      <c r="BX3" s="89">
        <f t="shared" si="0"/>
        <v>5</v>
      </c>
      <c r="BY3" s="89">
        <f t="shared" si="0"/>
        <v>5</v>
      </c>
      <c r="BZ3" s="89">
        <f t="shared" si="0"/>
        <v>5</v>
      </c>
      <c r="CA3" s="89">
        <f t="shared" si="0"/>
        <v>6</v>
      </c>
      <c r="CB3" s="89">
        <f t="shared" si="0"/>
        <v>6</v>
      </c>
      <c r="CC3" s="89">
        <f t="shared" si="0"/>
        <v>6</v>
      </c>
      <c r="CD3" s="89">
        <f t="shared" si="0"/>
        <v>6</v>
      </c>
      <c r="CE3" s="89">
        <f t="shared" si="0"/>
        <v>6</v>
      </c>
      <c r="CF3" s="89">
        <f t="shared" ref="CF3:EQ3" si="1">ROUNDUP(CF4/12,0)</f>
        <v>6</v>
      </c>
      <c r="CG3" s="89">
        <f t="shared" si="1"/>
        <v>6</v>
      </c>
      <c r="CH3" s="89">
        <f t="shared" si="1"/>
        <v>6</v>
      </c>
      <c r="CI3" s="89">
        <f t="shared" si="1"/>
        <v>6</v>
      </c>
      <c r="CJ3" s="89">
        <f t="shared" si="1"/>
        <v>6</v>
      </c>
      <c r="CK3" s="89">
        <f t="shared" si="1"/>
        <v>6</v>
      </c>
      <c r="CL3" s="89">
        <f t="shared" si="1"/>
        <v>6</v>
      </c>
      <c r="CM3" s="89">
        <f t="shared" si="1"/>
        <v>7</v>
      </c>
      <c r="CN3" s="89">
        <f t="shared" si="1"/>
        <v>7</v>
      </c>
      <c r="CO3" s="89">
        <f t="shared" si="1"/>
        <v>7</v>
      </c>
      <c r="CP3" s="89">
        <f t="shared" si="1"/>
        <v>7</v>
      </c>
      <c r="CQ3" s="89">
        <f t="shared" si="1"/>
        <v>7</v>
      </c>
      <c r="CR3" s="89">
        <f t="shared" si="1"/>
        <v>7</v>
      </c>
      <c r="CS3" s="89">
        <f t="shared" si="1"/>
        <v>7</v>
      </c>
      <c r="CT3" s="89">
        <f t="shared" si="1"/>
        <v>7</v>
      </c>
      <c r="CU3" s="89">
        <f t="shared" si="1"/>
        <v>7</v>
      </c>
      <c r="CV3" s="89">
        <f t="shared" si="1"/>
        <v>7</v>
      </c>
      <c r="CW3" s="89">
        <f t="shared" si="1"/>
        <v>7</v>
      </c>
      <c r="CX3" s="89">
        <f t="shared" si="1"/>
        <v>7</v>
      </c>
      <c r="CY3" s="89">
        <f t="shared" si="1"/>
        <v>8</v>
      </c>
      <c r="CZ3" s="89">
        <f t="shared" si="1"/>
        <v>8</v>
      </c>
      <c r="DA3" s="89">
        <f t="shared" si="1"/>
        <v>8</v>
      </c>
      <c r="DB3" s="89">
        <f t="shared" si="1"/>
        <v>8</v>
      </c>
      <c r="DC3" s="89">
        <f t="shared" si="1"/>
        <v>8</v>
      </c>
      <c r="DD3" s="89">
        <f t="shared" si="1"/>
        <v>8</v>
      </c>
      <c r="DE3" s="89">
        <f t="shared" si="1"/>
        <v>8</v>
      </c>
      <c r="DF3" s="89">
        <f t="shared" si="1"/>
        <v>8</v>
      </c>
      <c r="DG3" s="89">
        <f t="shared" si="1"/>
        <v>8</v>
      </c>
      <c r="DH3" s="89">
        <f t="shared" si="1"/>
        <v>8</v>
      </c>
      <c r="DI3" s="89">
        <f t="shared" si="1"/>
        <v>8</v>
      </c>
      <c r="DJ3" s="89">
        <f t="shared" si="1"/>
        <v>8</v>
      </c>
      <c r="DK3" s="89">
        <f t="shared" si="1"/>
        <v>9</v>
      </c>
      <c r="DL3" s="89">
        <f t="shared" si="1"/>
        <v>9</v>
      </c>
      <c r="DM3" s="89">
        <f t="shared" si="1"/>
        <v>9</v>
      </c>
      <c r="DN3" s="89">
        <f t="shared" si="1"/>
        <v>9</v>
      </c>
      <c r="DO3" s="89">
        <f t="shared" si="1"/>
        <v>9</v>
      </c>
      <c r="DP3" s="89">
        <f t="shared" si="1"/>
        <v>9</v>
      </c>
      <c r="DQ3" s="89">
        <f t="shared" si="1"/>
        <v>9</v>
      </c>
      <c r="DR3" s="89">
        <f t="shared" si="1"/>
        <v>9</v>
      </c>
      <c r="DS3" s="89">
        <f t="shared" si="1"/>
        <v>9</v>
      </c>
      <c r="DT3" s="89">
        <f t="shared" si="1"/>
        <v>9</v>
      </c>
      <c r="DU3" s="89">
        <f t="shared" si="1"/>
        <v>9</v>
      </c>
      <c r="DV3" s="89">
        <f t="shared" si="1"/>
        <v>9</v>
      </c>
      <c r="DW3" s="89">
        <f t="shared" si="1"/>
        <v>10</v>
      </c>
      <c r="DX3" s="89">
        <f t="shared" si="1"/>
        <v>10</v>
      </c>
      <c r="DY3" s="89">
        <f t="shared" si="1"/>
        <v>10</v>
      </c>
      <c r="DZ3" s="89">
        <f t="shared" si="1"/>
        <v>10</v>
      </c>
      <c r="EA3" s="89">
        <f t="shared" si="1"/>
        <v>10</v>
      </c>
      <c r="EB3" s="89">
        <f t="shared" si="1"/>
        <v>10</v>
      </c>
      <c r="EC3" s="89">
        <f t="shared" si="1"/>
        <v>10</v>
      </c>
      <c r="ED3" s="89">
        <f t="shared" si="1"/>
        <v>10</v>
      </c>
      <c r="EE3" s="89">
        <f t="shared" si="1"/>
        <v>10</v>
      </c>
      <c r="EF3" s="89">
        <f t="shared" si="1"/>
        <v>10</v>
      </c>
      <c r="EG3" s="89">
        <f t="shared" si="1"/>
        <v>10</v>
      </c>
      <c r="EH3" s="89">
        <f t="shared" si="1"/>
        <v>10</v>
      </c>
      <c r="EI3" s="89">
        <f t="shared" si="1"/>
        <v>11</v>
      </c>
      <c r="EJ3" s="89">
        <f t="shared" si="1"/>
        <v>11</v>
      </c>
      <c r="EK3" s="89">
        <f t="shared" si="1"/>
        <v>11</v>
      </c>
      <c r="EL3" s="89">
        <f t="shared" si="1"/>
        <v>11</v>
      </c>
      <c r="EM3" s="89">
        <f t="shared" si="1"/>
        <v>11</v>
      </c>
      <c r="EN3" s="89">
        <f t="shared" si="1"/>
        <v>11</v>
      </c>
      <c r="EO3" s="89">
        <f t="shared" si="1"/>
        <v>11</v>
      </c>
      <c r="EP3" s="89">
        <f t="shared" si="1"/>
        <v>11</v>
      </c>
      <c r="EQ3" s="89">
        <f t="shared" si="1"/>
        <v>11</v>
      </c>
      <c r="ER3" s="89">
        <f t="shared" ref="ER3:GP3" si="2">ROUNDUP(ER4/12,0)</f>
        <v>11</v>
      </c>
      <c r="ES3" s="89">
        <f t="shared" si="2"/>
        <v>11</v>
      </c>
      <c r="ET3" s="89">
        <f t="shared" si="2"/>
        <v>11</v>
      </c>
      <c r="EU3" s="89">
        <f t="shared" si="2"/>
        <v>12</v>
      </c>
      <c r="EV3" s="89">
        <f t="shared" si="2"/>
        <v>12</v>
      </c>
      <c r="EW3" s="89">
        <f t="shared" si="2"/>
        <v>12</v>
      </c>
      <c r="EX3" s="89">
        <f t="shared" si="2"/>
        <v>12</v>
      </c>
      <c r="EY3" s="89">
        <f t="shared" si="2"/>
        <v>12</v>
      </c>
      <c r="EZ3" s="89">
        <f t="shared" si="2"/>
        <v>12</v>
      </c>
      <c r="FA3" s="89">
        <f t="shared" si="2"/>
        <v>12</v>
      </c>
      <c r="FB3" s="89">
        <f t="shared" si="2"/>
        <v>12</v>
      </c>
      <c r="FC3" s="89">
        <f t="shared" si="2"/>
        <v>12</v>
      </c>
      <c r="FD3" s="89">
        <f t="shared" si="2"/>
        <v>12</v>
      </c>
      <c r="FE3" s="89">
        <f t="shared" si="2"/>
        <v>12</v>
      </c>
      <c r="FF3" s="89">
        <f t="shared" si="2"/>
        <v>12</v>
      </c>
      <c r="FG3" s="89">
        <f t="shared" si="2"/>
        <v>13</v>
      </c>
      <c r="FH3" s="89">
        <f t="shared" si="2"/>
        <v>13</v>
      </c>
      <c r="FI3" s="89">
        <f t="shared" si="2"/>
        <v>13</v>
      </c>
      <c r="FJ3" s="89">
        <f t="shared" si="2"/>
        <v>13</v>
      </c>
      <c r="FK3" s="89">
        <f t="shared" si="2"/>
        <v>13</v>
      </c>
      <c r="FL3" s="89">
        <f t="shared" si="2"/>
        <v>13</v>
      </c>
      <c r="FM3" s="89">
        <f t="shared" si="2"/>
        <v>13</v>
      </c>
      <c r="FN3" s="89">
        <f t="shared" si="2"/>
        <v>13</v>
      </c>
      <c r="FO3" s="89">
        <f t="shared" si="2"/>
        <v>13</v>
      </c>
      <c r="FP3" s="89">
        <f t="shared" si="2"/>
        <v>13</v>
      </c>
      <c r="FQ3" s="89">
        <f t="shared" si="2"/>
        <v>13</v>
      </c>
      <c r="FR3" s="89">
        <f t="shared" si="2"/>
        <v>13</v>
      </c>
      <c r="FS3" s="89">
        <f t="shared" si="2"/>
        <v>14</v>
      </c>
      <c r="FT3" s="89">
        <f t="shared" si="2"/>
        <v>14</v>
      </c>
      <c r="FU3" s="89">
        <f t="shared" si="2"/>
        <v>14</v>
      </c>
      <c r="FV3" s="89">
        <f t="shared" si="2"/>
        <v>14</v>
      </c>
      <c r="FW3" s="89">
        <f t="shared" si="2"/>
        <v>14</v>
      </c>
      <c r="FX3" s="89">
        <f t="shared" si="2"/>
        <v>14</v>
      </c>
      <c r="FY3" s="89">
        <f t="shared" si="2"/>
        <v>14</v>
      </c>
      <c r="FZ3" s="89">
        <f t="shared" si="2"/>
        <v>14</v>
      </c>
      <c r="GA3" s="89">
        <f t="shared" si="2"/>
        <v>14</v>
      </c>
      <c r="GB3" s="89">
        <f t="shared" si="2"/>
        <v>14</v>
      </c>
      <c r="GC3" s="89">
        <f t="shared" si="2"/>
        <v>14</v>
      </c>
      <c r="GD3" s="89">
        <f t="shared" si="2"/>
        <v>14</v>
      </c>
      <c r="GE3" s="89">
        <f t="shared" si="2"/>
        <v>15</v>
      </c>
      <c r="GF3" s="89">
        <f t="shared" si="2"/>
        <v>15</v>
      </c>
      <c r="GG3" s="89">
        <f t="shared" si="2"/>
        <v>15</v>
      </c>
      <c r="GH3" s="89">
        <f t="shared" si="2"/>
        <v>15</v>
      </c>
      <c r="GI3" s="89">
        <f t="shared" si="2"/>
        <v>15</v>
      </c>
      <c r="GJ3" s="89">
        <f t="shared" si="2"/>
        <v>15</v>
      </c>
      <c r="GK3" s="89">
        <f t="shared" si="2"/>
        <v>15</v>
      </c>
      <c r="GL3" s="89">
        <f t="shared" si="2"/>
        <v>15</v>
      </c>
      <c r="GM3" s="89">
        <f t="shared" si="2"/>
        <v>15</v>
      </c>
      <c r="GN3" s="89">
        <f t="shared" si="2"/>
        <v>15</v>
      </c>
      <c r="GO3" s="89">
        <f t="shared" si="2"/>
        <v>15</v>
      </c>
      <c r="GP3" s="89">
        <f t="shared" si="2"/>
        <v>15</v>
      </c>
    </row>
    <row r="4" spans="2:198" x14ac:dyDescent="0.3">
      <c r="B4" s="68"/>
      <c r="C4" s="122"/>
      <c r="D4" s="88"/>
      <c r="E4" s="88"/>
      <c r="F4" s="88"/>
      <c r="G4" s="88"/>
      <c r="H4" s="88"/>
      <c r="I4" s="88"/>
      <c r="J4" s="88"/>
      <c r="K4" s="88"/>
      <c r="L4" s="88"/>
      <c r="M4" s="88"/>
      <c r="N4" s="295" t="s">
        <v>162</v>
      </c>
      <c r="O4" s="296"/>
      <c r="P4" s="296"/>
      <c r="R4" s="89" t="s">
        <v>167</v>
      </c>
      <c r="S4" s="89">
        <v>1</v>
      </c>
      <c r="T4" s="89">
        <f>S4+1</f>
        <v>2</v>
      </c>
      <c r="U4" s="89">
        <f t="shared" ref="U4:CF4" si="3">T4+1</f>
        <v>3</v>
      </c>
      <c r="V4" s="89">
        <f t="shared" si="3"/>
        <v>4</v>
      </c>
      <c r="W4" s="89">
        <f t="shared" si="3"/>
        <v>5</v>
      </c>
      <c r="X4" s="89">
        <f t="shared" si="3"/>
        <v>6</v>
      </c>
      <c r="Y4" s="89">
        <f t="shared" si="3"/>
        <v>7</v>
      </c>
      <c r="Z4" s="89">
        <f t="shared" si="3"/>
        <v>8</v>
      </c>
      <c r="AA4" s="89">
        <f t="shared" si="3"/>
        <v>9</v>
      </c>
      <c r="AB4" s="89">
        <f t="shared" si="3"/>
        <v>10</v>
      </c>
      <c r="AC4" s="89">
        <f t="shared" si="3"/>
        <v>11</v>
      </c>
      <c r="AD4" s="89">
        <f t="shared" si="3"/>
        <v>12</v>
      </c>
      <c r="AE4" s="89">
        <f t="shared" si="3"/>
        <v>13</v>
      </c>
      <c r="AF4" s="89">
        <f t="shared" si="3"/>
        <v>14</v>
      </c>
      <c r="AG4" s="89">
        <f t="shared" si="3"/>
        <v>15</v>
      </c>
      <c r="AH4" s="89">
        <f t="shared" si="3"/>
        <v>16</v>
      </c>
      <c r="AI4" s="89">
        <f t="shared" si="3"/>
        <v>17</v>
      </c>
      <c r="AJ4" s="89">
        <f t="shared" si="3"/>
        <v>18</v>
      </c>
      <c r="AK4" s="89">
        <f t="shared" si="3"/>
        <v>19</v>
      </c>
      <c r="AL4" s="89">
        <f t="shared" si="3"/>
        <v>20</v>
      </c>
      <c r="AM4" s="89">
        <f t="shared" si="3"/>
        <v>21</v>
      </c>
      <c r="AN4" s="89">
        <f t="shared" si="3"/>
        <v>22</v>
      </c>
      <c r="AO4" s="89">
        <f t="shared" si="3"/>
        <v>23</v>
      </c>
      <c r="AP4" s="89">
        <f t="shared" si="3"/>
        <v>24</v>
      </c>
      <c r="AQ4" s="89">
        <f t="shared" si="3"/>
        <v>25</v>
      </c>
      <c r="AR4" s="89">
        <f t="shared" si="3"/>
        <v>26</v>
      </c>
      <c r="AS4" s="89">
        <f t="shared" si="3"/>
        <v>27</v>
      </c>
      <c r="AT4" s="89">
        <f t="shared" si="3"/>
        <v>28</v>
      </c>
      <c r="AU4" s="89">
        <f t="shared" si="3"/>
        <v>29</v>
      </c>
      <c r="AV4" s="89">
        <f t="shared" si="3"/>
        <v>30</v>
      </c>
      <c r="AW4" s="89">
        <f t="shared" si="3"/>
        <v>31</v>
      </c>
      <c r="AX4" s="89">
        <f t="shared" si="3"/>
        <v>32</v>
      </c>
      <c r="AY4" s="89">
        <f t="shared" si="3"/>
        <v>33</v>
      </c>
      <c r="AZ4" s="89">
        <f t="shared" si="3"/>
        <v>34</v>
      </c>
      <c r="BA4" s="89">
        <f t="shared" si="3"/>
        <v>35</v>
      </c>
      <c r="BB4" s="89">
        <f t="shared" si="3"/>
        <v>36</v>
      </c>
      <c r="BC4" s="89">
        <f t="shared" si="3"/>
        <v>37</v>
      </c>
      <c r="BD4" s="89">
        <f t="shared" si="3"/>
        <v>38</v>
      </c>
      <c r="BE4" s="89">
        <f t="shared" si="3"/>
        <v>39</v>
      </c>
      <c r="BF4" s="89">
        <f t="shared" si="3"/>
        <v>40</v>
      </c>
      <c r="BG4" s="89">
        <f t="shared" si="3"/>
        <v>41</v>
      </c>
      <c r="BH4" s="89">
        <f t="shared" si="3"/>
        <v>42</v>
      </c>
      <c r="BI4" s="89">
        <f t="shared" si="3"/>
        <v>43</v>
      </c>
      <c r="BJ4" s="89">
        <f t="shared" si="3"/>
        <v>44</v>
      </c>
      <c r="BK4" s="89">
        <f t="shared" si="3"/>
        <v>45</v>
      </c>
      <c r="BL4" s="89">
        <f t="shared" si="3"/>
        <v>46</v>
      </c>
      <c r="BM4" s="89">
        <f t="shared" si="3"/>
        <v>47</v>
      </c>
      <c r="BN4" s="89">
        <f t="shared" si="3"/>
        <v>48</v>
      </c>
      <c r="BO4" s="89">
        <f t="shared" si="3"/>
        <v>49</v>
      </c>
      <c r="BP4" s="89">
        <f t="shared" si="3"/>
        <v>50</v>
      </c>
      <c r="BQ4" s="89">
        <f t="shared" si="3"/>
        <v>51</v>
      </c>
      <c r="BR4" s="89">
        <f t="shared" si="3"/>
        <v>52</v>
      </c>
      <c r="BS4" s="89">
        <f t="shared" si="3"/>
        <v>53</v>
      </c>
      <c r="BT4" s="89">
        <f t="shared" si="3"/>
        <v>54</v>
      </c>
      <c r="BU4" s="89">
        <f t="shared" si="3"/>
        <v>55</v>
      </c>
      <c r="BV4" s="89">
        <f t="shared" si="3"/>
        <v>56</v>
      </c>
      <c r="BW4" s="89">
        <f t="shared" si="3"/>
        <v>57</v>
      </c>
      <c r="BX4" s="89">
        <f t="shared" si="3"/>
        <v>58</v>
      </c>
      <c r="BY4" s="89">
        <f t="shared" si="3"/>
        <v>59</v>
      </c>
      <c r="BZ4" s="89">
        <f t="shared" si="3"/>
        <v>60</v>
      </c>
      <c r="CA4" s="89">
        <f t="shared" si="3"/>
        <v>61</v>
      </c>
      <c r="CB4" s="89">
        <f t="shared" si="3"/>
        <v>62</v>
      </c>
      <c r="CC4" s="89">
        <f t="shared" si="3"/>
        <v>63</v>
      </c>
      <c r="CD4" s="89">
        <f t="shared" si="3"/>
        <v>64</v>
      </c>
      <c r="CE4" s="89">
        <f t="shared" si="3"/>
        <v>65</v>
      </c>
      <c r="CF4" s="89">
        <f t="shared" si="3"/>
        <v>66</v>
      </c>
      <c r="CG4" s="89">
        <f t="shared" ref="CG4:ER4" si="4">CF4+1</f>
        <v>67</v>
      </c>
      <c r="CH4" s="89">
        <f t="shared" si="4"/>
        <v>68</v>
      </c>
      <c r="CI4" s="89">
        <f t="shared" si="4"/>
        <v>69</v>
      </c>
      <c r="CJ4" s="89">
        <f t="shared" si="4"/>
        <v>70</v>
      </c>
      <c r="CK4" s="89">
        <f t="shared" si="4"/>
        <v>71</v>
      </c>
      <c r="CL4" s="89">
        <f t="shared" si="4"/>
        <v>72</v>
      </c>
      <c r="CM4" s="89">
        <f t="shared" si="4"/>
        <v>73</v>
      </c>
      <c r="CN4" s="89">
        <f t="shared" si="4"/>
        <v>74</v>
      </c>
      <c r="CO4" s="89">
        <f t="shared" si="4"/>
        <v>75</v>
      </c>
      <c r="CP4" s="89">
        <f t="shared" si="4"/>
        <v>76</v>
      </c>
      <c r="CQ4" s="89">
        <f t="shared" si="4"/>
        <v>77</v>
      </c>
      <c r="CR4" s="89">
        <f t="shared" si="4"/>
        <v>78</v>
      </c>
      <c r="CS4" s="89">
        <f t="shared" si="4"/>
        <v>79</v>
      </c>
      <c r="CT4" s="89">
        <f t="shared" si="4"/>
        <v>80</v>
      </c>
      <c r="CU4" s="89">
        <f t="shared" si="4"/>
        <v>81</v>
      </c>
      <c r="CV4" s="89">
        <f t="shared" si="4"/>
        <v>82</v>
      </c>
      <c r="CW4" s="89">
        <f t="shared" si="4"/>
        <v>83</v>
      </c>
      <c r="CX4" s="89">
        <f t="shared" si="4"/>
        <v>84</v>
      </c>
      <c r="CY4" s="89">
        <f t="shared" si="4"/>
        <v>85</v>
      </c>
      <c r="CZ4" s="89">
        <f t="shared" si="4"/>
        <v>86</v>
      </c>
      <c r="DA4" s="89">
        <f t="shared" si="4"/>
        <v>87</v>
      </c>
      <c r="DB4" s="89">
        <f t="shared" si="4"/>
        <v>88</v>
      </c>
      <c r="DC4" s="89">
        <f t="shared" si="4"/>
        <v>89</v>
      </c>
      <c r="DD4" s="89">
        <f t="shared" si="4"/>
        <v>90</v>
      </c>
      <c r="DE4" s="89">
        <f t="shared" si="4"/>
        <v>91</v>
      </c>
      <c r="DF4" s="89">
        <f t="shared" si="4"/>
        <v>92</v>
      </c>
      <c r="DG4" s="89">
        <f t="shared" si="4"/>
        <v>93</v>
      </c>
      <c r="DH4" s="89">
        <f t="shared" si="4"/>
        <v>94</v>
      </c>
      <c r="DI4" s="89">
        <f t="shared" si="4"/>
        <v>95</v>
      </c>
      <c r="DJ4" s="89">
        <f t="shared" si="4"/>
        <v>96</v>
      </c>
      <c r="DK4" s="89">
        <f t="shared" si="4"/>
        <v>97</v>
      </c>
      <c r="DL4" s="89">
        <f t="shared" si="4"/>
        <v>98</v>
      </c>
      <c r="DM4" s="89">
        <f t="shared" si="4"/>
        <v>99</v>
      </c>
      <c r="DN4" s="89">
        <f t="shared" si="4"/>
        <v>100</v>
      </c>
      <c r="DO4" s="89">
        <f t="shared" si="4"/>
        <v>101</v>
      </c>
      <c r="DP4" s="89">
        <f t="shared" si="4"/>
        <v>102</v>
      </c>
      <c r="DQ4" s="89">
        <f t="shared" si="4"/>
        <v>103</v>
      </c>
      <c r="DR4" s="89">
        <f t="shared" si="4"/>
        <v>104</v>
      </c>
      <c r="DS4" s="89">
        <f t="shared" si="4"/>
        <v>105</v>
      </c>
      <c r="DT4" s="89">
        <f t="shared" si="4"/>
        <v>106</v>
      </c>
      <c r="DU4" s="89">
        <f t="shared" si="4"/>
        <v>107</v>
      </c>
      <c r="DV4" s="89">
        <f t="shared" si="4"/>
        <v>108</v>
      </c>
      <c r="DW4" s="89">
        <f t="shared" si="4"/>
        <v>109</v>
      </c>
      <c r="DX4" s="89">
        <f t="shared" si="4"/>
        <v>110</v>
      </c>
      <c r="DY4" s="89">
        <f t="shared" si="4"/>
        <v>111</v>
      </c>
      <c r="DZ4" s="89">
        <f t="shared" si="4"/>
        <v>112</v>
      </c>
      <c r="EA4" s="89">
        <f t="shared" si="4"/>
        <v>113</v>
      </c>
      <c r="EB4" s="89">
        <f t="shared" si="4"/>
        <v>114</v>
      </c>
      <c r="EC4" s="89">
        <f t="shared" si="4"/>
        <v>115</v>
      </c>
      <c r="ED4" s="89">
        <f t="shared" si="4"/>
        <v>116</v>
      </c>
      <c r="EE4" s="89">
        <f t="shared" si="4"/>
        <v>117</v>
      </c>
      <c r="EF4" s="89">
        <f t="shared" si="4"/>
        <v>118</v>
      </c>
      <c r="EG4" s="89">
        <f t="shared" si="4"/>
        <v>119</v>
      </c>
      <c r="EH4" s="89">
        <f t="shared" si="4"/>
        <v>120</v>
      </c>
      <c r="EI4" s="89">
        <f t="shared" si="4"/>
        <v>121</v>
      </c>
      <c r="EJ4" s="89">
        <f t="shared" si="4"/>
        <v>122</v>
      </c>
      <c r="EK4" s="89">
        <f t="shared" si="4"/>
        <v>123</v>
      </c>
      <c r="EL4" s="89">
        <f t="shared" si="4"/>
        <v>124</v>
      </c>
      <c r="EM4" s="89">
        <f t="shared" si="4"/>
        <v>125</v>
      </c>
      <c r="EN4" s="89">
        <f t="shared" si="4"/>
        <v>126</v>
      </c>
      <c r="EO4" s="89">
        <f t="shared" si="4"/>
        <v>127</v>
      </c>
      <c r="EP4" s="89">
        <f t="shared" si="4"/>
        <v>128</v>
      </c>
      <c r="EQ4" s="89">
        <f t="shared" si="4"/>
        <v>129</v>
      </c>
      <c r="ER4" s="89">
        <f t="shared" si="4"/>
        <v>130</v>
      </c>
      <c r="ES4" s="89">
        <f t="shared" ref="ES4:GP4" si="5">ER4+1</f>
        <v>131</v>
      </c>
      <c r="ET4" s="89">
        <f t="shared" si="5"/>
        <v>132</v>
      </c>
      <c r="EU4" s="89">
        <f t="shared" si="5"/>
        <v>133</v>
      </c>
      <c r="EV4" s="89">
        <f t="shared" si="5"/>
        <v>134</v>
      </c>
      <c r="EW4" s="89">
        <f t="shared" si="5"/>
        <v>135</v>
      </c>
      <c r="EX4" s="89">
        <f t="shared" si="5"/>
        <v>136</v>
      </c>
      <c r="EY4" s="89">
        <f t="shared" si="5"/>
        <v>137</v>
      </c>
      <c r="EZ4" s="89">
        <f t="shared" si="5"/>
        <v>138</v>
      </c>
      <c r="FA4" s="89">
        <f t="shared" si="5"/>
        <v>139</v>
      </c>
      <c r="FB4" s="89">
        <f t="shared" si="5"/>
        <v>140</v>
      </c>
      <c r="FC4" s="89">
        <f t="shared" si="5"/>
        <v>141</v>
      </c>
      <c r="FD4" s="89">
        <f t="shared" si="5"/>
        <v>142</v>
      </c>
      <c r="FE4" s="89">
        <f t="shared" si="5"/>
        <v>143</v>
      </c>
      <c r="FF4" s="89">
        <f t="shared" si="5"/>
        <v>144</v>
      </c>
      <c r="FG4" s="89">
        <f t="shared" si="5"/>
        <v>145</v>
      </c>
      <c r="FH4" s="89">
        <f t="shared" si="5"/>
        <v>146</v>
      </c>
      <c r="FI4" s="89">
        <f t="shared" si="5"/>
        <v>147</v>
      </c>
      <c r="FJ4" s="89">
        <f t="shared" si="5"/>
        <v>148</v>
      </c>
      <c r="FK4" s="89">
        <f t="shared" si="5"/>
        <v>149</v>
      </c>
      <c r="FL4" s="89">
        <f t="shared" si="5"/>
        <v>150</v>
      </c>
      <c r="FM4" s="89">
        <f t="shared" si="5"/>
        <v>151</v>
      </c>
      <c r="FN4" s="89">
        <f t="shared" si="5"/>
        <v>152</v>
      </c>
      <c r="FO4" s="89">
        <f t="shared" si="5"/>
        <v>153</v>
      </c>
      <c r="FP4" s="89">
        <f t="shared" si="5"/>
        <v>154</v>
      </c>
      <c r="FQ4" s="89">
        <f t="shared" si="5"/>
        <v>155</v>
      </c>
      <c r="FR4" s="89">
        <f t="shared" si="5"/>
        <v>156</v>
      </c>
      <c r="FS4" s="89">
        <f t="shared" si="5"/>
        <v>157</v>
      </c>
      <c r="FT4" s="89">
        <f t="shared" si="5"/>
        <v>158</v>
      </c>
      <c r="FU4" s="89">
        <f t="shared" si="5"/>
        <v>159</v>
      </c>
      <c r="FV4" s="89">
        <f t="shared" si="5"/>
        <v>160</v>
      </c>
      <c r="FW4" s="89">
        <f t="shared" si="5"/>
        <v>161</v>
      </c>
      <c r="FX4" s="89">
        <f t="shared" si="5"/>
        <v>162</v>
      </c>
      <c r="FY4" s="89">
        <f t="shared" si="5"/>
        <v>163</v>
      </c>
      <c r="FZ4" s="89">
        <f t="shared" si="5"/>
        <v>164</v>
      </c>
      <c r="GA4" s="89">
        <f t="shared" si="5"/>
        <v>165</v>
      </c>
      <c r="GB4" s="89">
        <f t="shared" si="5"/>
        <v>166</v>
      </c>
      <c r="GC4" s="89">
        <f t="shared" si="5"/>
        <v>167</v>
      </c>
      <c r="GD4" s="89">
        <f t="shared" si="5"/>
        <v>168</v>
      </c>
      <c r="GE4" s="89">
        <f t="shared" si="5"/>
        <v>169</v>
      </c>
      <c r="GF4" s="89">
        <f t="shared" si="5"/>
        <v>170</v>
      </c>
      <c r="GG4" s="89">
        <f t="shared" si="5"/>
        <v>171</v>
      </c>
      <c r="GH4" s="89">
        <f t="shared" si="5"/>
        <v>172</v>
      </c>
      <c r="GI4" s="89">
        <f t="shared" si="5"/>
        <v>173</v>
      </c>
      <c r="GJ4" s="89">
        <f t="shared" si="5"/>
        <v>174</v>
      </c>
      <c r="GK4" s="89">
        <f t="shared" si="5"/>
        <v>175</v>
      </c>
      <c r="GL4" s="89">
        <f t="shared" si="5"/>
        <v>176</v>
      </c>
      <c r="GM4" s="89">
        <f t="shared" si="5"/>
        <v>177</v>
      </c>
      <c r="GN4" s="89">
        <f t="shared" si="5"/>
        <v>178</v>
      </c>
      <c r="GO4" s="89">
        <f t="shared" si="5"/>
        <v>179</v>
      </c>
      <c r="GP4" s="89">
        <f t="shared" si="5"/>
        <v>180</v>
      </c>
    </row>
    <row r="5" spans="2:198" ht="28.8" x14ac:dyDescent="0.3">
      <c r="B5" s="183" t="s">
        <v>148</v>
      </c>
      <c r="C5" s="123" t="s">
        <v>153</v>
      </c>
      <c r="D5" s="123" t="s">
        <v>149</v>
      </c>
      <c r="E5" s="123" t="s">
        <v>150</v>
      </c>
      <c r="F5" s="123" t="s">
        <v>151</v>
      </c>
      <c r="G5" s="123" t="s">
        <v>152</v>
      </c>
      <c r="H5" s="123" t="s">
        <v>154</v>
      </c>
      <c r="I5" s="123" t="s">
        <v>163</v>
      </c>
      <c r="J5" s="123" t="s">
        <v>157</v>
      </c>
      <c r="K5" s="123" t="s">
        <v>158</v>
      </c>
      <c r="L5" s="123" t="s">
        <v>156</v>
      </c>
      <c r="M5" s="123" t="s">
        <v>155</v>
      </c>
      <c r="N5" s="124" t="s">
        <v>159</v>
      </c>
      <c r="O5" s="125" t="s">
        <v>160</v>
      </c>
      <c r="P5" s="125" t="s">
        <v>161</v>
      </c>
      <c r="Q5" s="90"/>
      <c r="R5" s="90" t="s">
        <v>166</v>
      </c>
      <c r="S5" s="170">
        <f>EOMONTH(Analysis_Start,0)</f>
        <v>42400</v>
      </c>
      <c r="T5" s="170">
        <f>EOMONTH(S5,1)</f>
        <v>42429</v>
      </c>
      <c r="U5" s="170">
        <f t="shared" ref="U5:CF5" si="6">EOMONTH(T5,1)</f>
        <v>42460</v>
      </c>
      <c r="V5" s="170">
        <f t="shared" si="6"/>
        <v>42490</v>
      </c>
      <c r="W5" s="170">
        <f t="shared" si="6"/>
        <v>42521</v>
      </c>
      <c r="X5" s="170">
        <f t="shared" si="6"/>
        <v>42551</v>
      </c>
      <c r="Y5" s="170">
        <f t="shared" si="6"/>
        <v>42582</v>
      </c>
      <c r="Z5" s="170">
        <f t="shared" si="6"/>
        <v>42613</v>
      </c>
      <c r="AA5" s="170">
        <f t="shared" si="6"/>
        <v>42643</v>
      </c>
      <c r="AB5" s="170">
        <f t="shared" si="6"/>
        <v>42674</v>
      </c>
      <c r="AC5" s="170">
        <f t="shared" si="6"/>
        <v>42704</v>
      </c>
      <c r="AD5" s="170">
        <f t="shared" si="6"/>
        <v>42735</v>
      </c>
      <c r="AE5" s="170">
        <f t="shared" si="6"/>
        <v>42766</v>
      </c>
      <c r="AF5" s="170">
        <f t="shared" si="6"/>
        <v>42794</v>
      </c>
      <c r="AG5" s="170">
        <f t="shared" si="6"/>
        <v>42825</v>
      </c>
      <c r="AH5" s="170">
        <f t="shared" si="6"/>
        <v>42855</v>
      </c>
      <c r="AI5" s="170">
        <f t="shared" si="6"/>
        <v>42886</v>
      </c>
      <c r="AJ5" s="170">
        <f t="shared" si="6"/>
        <v>42916</v>
      </c>
      <c r="AK5" s="170">
        <f t="shared" si="6"/>
        <v>42947</v>
      </c>
      <c r="AL5" s="170">
        <f t="shared" si="6"/>
        <v>42978</v>
      </c>
      <c r="AM5" s="170">
        <f t="shared" si="6"/>
        <v>43008</v>
      </c>
      <c r="AN5" s="170">
        <f t="shared" si="6"/>
        <v>43039</v>
      </c>
      <c r="AO5" s="170">
        <f t="shared" si="6"/>
        <v>43069</v>
      </c>
      <c r="AP5" s="170">
        <f t="shared" si="6"/>
        <v>43100</v>
      </c>
      <c r="AQ5" s="170">
        <f t="shared" si="6"/>
        <v>43131</v>
      </c>
      <c r="AR5" s="170">
        <f t="shared" si="6"/>
        <v>43159</v>
      </c>
      <c r="AS5" s="170">
        <f t="shared" si="6"/>
        <v>43190</v>
      </c>
      <c r="AT5" s="170">
        <f t="shared" si="6"/>
        <v>43220</v>
      </c>
      <c r="AU5" s="170">
        <f t="shared" si="6"/>
        <v>43251</v>
      </c>
      <c r="AV5" s="170">
        <f t="shared" si="6"/>
        <v>43281</v>
      </c>
      <c r="AW5" s="170">
        <f t="shared" si="6"/>
        <v>43312</v>
      </c>
      <c r="AX5" s="170">
        <f t="shared" si="6"/>
        <v>43343</v>
      </c>
      <c r="AY5" s="170">
        <f t="shared" si="6"/>
        <v>43373</v>
      </c>
      <c r="AZ5" s="170">
        <f t="shared" si="6"/>
        <v>43404</v>
      </c>
      <c r="BA5" s="170">
        <f t="shared" si="6"/>
        <v>43434</v>
      </c>
      <c r="BB5" s="170">
        <f t="shared" si="6"/>
        <v>43465</v>
      </c>
      <c r="BC5" s="170">
        <f t="shared" si="6"/>
        <v>43496</v>
      </c>
      <c r="BD5" s="170">
        <f t="shared" si="6"/>
        <v>43524</v>
      </c>
      <c r="BE5" s="170">
        <f t="shared" si="6"/>
        <v>43555</v>
      </c>
      <c r="BF5" s="170">
        <f t="shared" si="6"/>
        <v>43585</v>
      </c>
      <c r="BG5" s="170">
        <f t="shared" si="6"/>
        <v>43616</v>
      </c>
      <c r="BH5" s="170">
        <f t="shared" si="6"/>
        <v>43646</v>
      </c>
      <c r="BI5" s="170">
        <f t="shared" si="6"/>
        <v>43677</v>
      </c>
      <c r="BJ5" s="170">
        <f t="shared" si="6"/>
        <v>43708</v>
      </c>
      <c r="BK5" s="170">
        <f t="shared" si="6"/>
        <v>43738</v>
      </c>
      <c r="BL5" s="170">
        <f t="shared" si="6"/>
        <v>43769</v>
      </c>
      <c r="BM5" s="170">
        <f t="shared" si="6"/>
        <v>43799</v>
      </c>
      <c r="BN5" s="170">
        <f t="shared" si="6"/>
        <v>43830</v>
      </c>
      <c r="BO5" s="170">
        <f t="shared" si="6"/>
        <v>43861</v>
      </c>
      <c r="BP5" s="170">
        <f t="shared" si="6"/>
        <v>43890</v>
      </c>
      <c r="BQ5" s="170">
        <f t="shared" si="6"/>
        <v>43921</v>
      </c>
      <c r="BR5" s="170">
        <f t="shared" si="6"/>
        <v>43951</v>
      </c>
      <c r="BS5" s="170">
        <f t="shared" si="6"/>
        <v>43982</v>
      </c>
      <c r="BT5" s="170">
        <f t="shared" si="6"/>
        <v>44012</v>
      </c>
      <c r="BU5" s="170">
        <f t="shared" si="6"/>
        <v>44043</v>
      </c>
      <c r="BV5" s="170">
        <f t="shared" si="6"/>
        <v>44074</v>
      </c>
      <c r="BW5" s="170">
        <f t="shared" si="6"/>
        <v>44104</v>
      </c>
      <c r="BX5" s="170">
        <f t="shared" si="6"/>
        <v>44135</v>
      </c>
      <c r="BY5" s="170">
        <f t="shared" si="6"/>
        <v>44165</v>
      </c>
      <c r="BZ5" s="170">
        <f t="shared" si="6"/>
        <v>44196</v>
      </c>
      <c r="CA5" s="170">
        <f t="shared" si="6"/>
        <v>44227</v>
      </c>
      <c r="CB5" s="170">
        <f t="shared" si="6"/>
        <v>44255</v>
      </c>
      <c r="CC5" s="170">
        <f t="shared" si="6"/>
        <v>44286</v>
      </c>
      <c r="CD5" s="170">
        <f t="shared" si="6"/>
        <v>44316</v>
      </c>
      <c r="CE5" s="170">
        <f t="shared" si="6"/>
        <v>44347</v>
      </c>
      <c r="CF5" s="170">
        <f t="shared" si="6"/>
        <v>44377</v>
      </c>
      <c r="CG5" s="170">
        <f t="shared" ref="CG5:ER5" si="7">EOMONTH(CF5,1)</f>
        <v>44408</v>
      </c>
      <c r="CH5" s="170">
        <f t="shared" si="7"/>
        <v>44439</v>
      </c>
      <c r="CI5" s="170">
        <f t="shared" si="7"/>
        <v>44469</v>
      </c>
      <c r="CJ5" s="170">
        <f t="shared" si="7"/>
        <v>44500</v>
      </c>
      <c r="CK5" s="170">
        <f t="shared" si="7"/>
        <v>44530</v>
      </c>
      <c r="CL5" s="170">
        <f t="shared" si="7"/>
        <v>44561</v>
      </c>
      <c r="CM5" s="170">
        <f t="shared" si="7"/>
        <v>44592</v>
      </c>
      <c r="CN5" s="170">
        <f t="shared" si="7"/>
        <v>44620</v>
      </c>
      <c r="CO5" s="170">
        <f t="shared" si="7"/>
        <v>44651</v>
      </c>
      <c r="CP5" s="170">
        <f t="shared" si="7"/>
        <v>44681</v>
      </c>
      <c r="CQ5" s="170">
        <f t="shared" si="7"/>
        <v>44712</v>
      </c>
      <c r="CR5" s="170">
        <f t="shared" si="7"/>
        <v>44742</v>
      </c>
      <c r="CS5" s="170">
        <f t="shared" si="7"/>
        <v>44773</v>
      </c>
      <c r="CT5" s="170">
        <f t="shared" si="7"/>
        <v>44804</v>
      </c>
      <c r="CU5" s="170">
        <f t="shared" si="7"/>
        <v>44834</v>
      </c>
      <c r="CV5" s="170">
        <f t="shared" si="7"/>
        <v>44865</v>
      </c>
      <c r="CW5" s="170">
        <f t="shared" si="7"/>
        <v>44895</v>
      </c>
      <c r="CX5" s="170">
        <f t="shared" si="7"/>
        <v>44926</v>
      </c>
      <c r="CY5" s="170">
        <f t="shared" si="7"/>
        <v>44957</v>
      </c>
      <c r="CZ5" s="170">
        <f t="shared" si="7"/>
        <v>44985</v>
      </c>
      <c r="DA5" s="170">
        <f t="shared" si="7"/>
        <v>45016</v>
      </c>
      <c r="DB5" s="170">
        <f t="shared" si="7"/>
        <v>45046</v>
      </c>
      <c r="DC5" s="170">
        <f t="shared" si="7"/>
        <v>45077</v>
      </c>
      <c r="DD5" s="170">
        <f t="shared" si="7"/>
        <v>45107</v>
      </c>
      <c r="DE5" s="170">
        <f t="shared" si="7"/>
        <v>45138</v>
      </c>
      <c r="DF5" s="170">
        <f t="shared" si="7"/>
        <v>45169</v>
      </c>
      <c r="DG5" s="170">
        <f t="shared" si="7"/>
        <v>45199</v>
      </c>
      <c r="DH5" s="170">
        <f t="shared" si="7"/>
        <v>45230</v>
      </c>
      <c r="DI5" s="170">
        <f t="shared" si="7"/>
        <v>45260</v>
      </c>
      <c r="DJ5" s="170">
        <f t="shared" si="7"/>
        <v>45291</v>
      </c>
      <c r="DK5" s="170">
        <f t="shared" si="7"/>
        <v>45322</v>
      </c>
      <c r="DL5" s="170">
        <f t="shared" si="7"/>
        <v>45351</v>
      </c>
      <c r="DM5" s="170">
        <f t="shared" si="7"/>
        <v>45382</v>
      </c>
      <c r="DN5" s="170">
        <f t="shared" si="7"/>
        <v>45412</v>
      </c>
      <c r="DO5" s="170">
        <f t="shared" si="7"/>
        <v>45443</v>
      </c>
      <c r="DP5" s="170">
        <f t="shared" si="7"/>
        <v>45473</v>
      </c>
      <c r="DQ5" s="170">
        <f t="shared" si="7"/>
        <v>45504</v>
      </c>
      <c r="DR5" s="170">
        <f t="shared" si="7"/>
        <v>45535</v>
      </c>
      <c r="DS5" s="170">
        <f t="shared" si="7"/>
        <v>45565</v>
      </c>
      <c r="DT5" s="170">
        <f t="shared" si="7"/>
        <v>45596</v>
      </c>
      <c r="DU5" s="170">
        <f t="shared" si="7"/>
        <v>45626</v>
      </c>
      <c r="DV5" s="170">
        <f t="shared" si="7"/>
        <v>45657</v>
      </c>
      <c r="DW5" s="170">
        <f t="shared" si="7"/>
        <v>45688</v>
      </c>
      <c r="DX5" s="170">
        <f t="shared" si="7"/>
        <v>45716</v>
      </c>
      <c r="DY5" s="170">
        <f t="shared" si="7"/>
        <v>45747</v>
      </c>
      <c r="DZ5" s="170">
        <f t="shared" si="7"/>
        <v>45777</v>
      </c>
      <c r="EA5" s="170">
        <f t="shared" si="7"/>
        <v>45808</v>
      </c>
      <c r="EB5" s="170">
        <f t="shared" si="7"/>
        <v>45838</v>
      </c>
      <c r="EC5" s="170">
        <f t="shared" si="7"/>
        <v>45869</v>
      </c>
      <c r="ED5" s="170">
        <f t="shared" si="7"/>
        <v>45900</v>
      </c>
      <c r="EE5" s="170">
        <f t="shared" si="7"/>
        <v>45930</v>
      </c>
      <c r="EF5" s="170">
        <f t="shared" si="7"/>
        <v>45961</v>
      </c>
      <c r="EG5" s="170">
        <f t="shared" si="7"/>
        <v>45991</v>
      </c>
      <c r="EH5" s="170">
        <f t="shared" si="7"/>
        <v>46022</v>
      </c>
      <c r="EI5" s="170">
        <f t="shared" si="7"/>
        <v>46053</v>
      </c>
      <c r="EJ5" s="170">
        <f t="shared" si="7"/>
        <v>46081</v>
      </c>
      <c r="EK5" s="170">
        <f t="shared" si="7"/>
        <v>46112</v>
      </c>
      <c r="EL5" s="170">
        <f t="shared" si="7"/>
        <v>46142</v>
      </c>
      <c r="EM5" s="170">
        <f t="shared" si="7"/>
        <v>46173</v>
      </c>
      <c r="EN5" s="170">
        <f t="shared" si="7"/>
        <v>46203</v>
      </c>
      <c r="EO5" s="170">
        <f t="shared" si="7"/>
        <v>46234</v>
      </c>
      <c r="EP5" s="170">
        <f t="shared" si="7"/>
        <v>46265</v>
      </c>
      <c r="EQ5" s="170">
        <f t="shared" si="7"/>
        <v>46295</v>
      </c>
      <c r="ER5" s="170">
        <f t="shared" si="7"/>
        <v>46326</v>
      </c>
      <c r="ES5" s="170">
        <f t="shared" ref="ES5:GP5" si="8">EOMONTH(ER5,1)</f>
        <v>46356</v>
      </c>
      <c r="ET5" s="170">
        <f t="shared" si="8"/>
        <v>46387</v>
      </c>
      <c r="EU5" s="170">
        <f t="shared" si="8"/>
        <v>46418</v>
      </c>
      <c r="EV5" s="170">
        <f t="shared" si="8"/>
        <v>46446</v>
      </c>
      <c r="EW5" s="170">
        <f t="shared" si="8"/>
        <v>46477</v>
      </c>
      <c r="EX5" s="170">
        <f t="shared" si="8"/>
        <v>46507</v>
      </c>
      <c r="EY5" s="170">
        <f t="shared" si="8"/>
        <v>46538</v>
      </c>
      <c r="EZ5" s="170">
        <f t="shared" si="8"/>
        <v>46568</v>
      </c>
      <c r="FA5" s="170">
        <f t="shared" si="8"/>
        <v>46599</v>
      </c>
      <c r="FB5" s="170">
        <f t="shared" si="8"/>
        <v>46630</v>
      </c>
      <c r="FC5" s="170">
        <f t="shared" si="8"/>
        <v>46660</v>
      </c>
      <c r="FD5" s="170">
        <f t="shared" si="8"/>
        <v>46691</v>
      </c>
      <c r="FE5" s="170">
        <f t="shared" si="8"/>
        <v>46721</v>
      </c>
      <c r="FF5" s="170">
        <f t="shared" si="8"/>
        <v>46752</v>
      </c>
      <c r="FG5" s="170">
        <f t="shared" si="8"/>
        <v>46783</v>
      </c>
      <c r="FH5" s="170">
        <f t="shared" si="8"/>
        <v>46812</v>
      </c>
      <c r="FI5" s="170">
        <f t="shared" si="8"/>
        <v>46843</v>
      </c>
      <c r="FJ5" s="170">
        <f t="shared" si="8"/>
        <v>46873</v>
      </c>
      <c r="FK5" s="170">
        <f t="shared" si="8"/>
        <v>46904</v>
      </c>
      <c r="FL5" s="170">
        <f t="shared" si="8"/>
        <v>46934</v>
      </c>
      <c r="FM5" s="170">
        <f t="shared" si="8"/>
        <v>46965</v>
      </c>
      <c r="FN5" s="170">
        <f t="shared" si="8"/>
        <v>46996</v>
      </c>
      <c r="FO5" s="170">
        <f t="shared" si="8"/>
        <v>47026</v>
      </c>
      <c r="FP5" s="170">
        <f t="shared" si="8"/>
        <v>47057</v>
      </c>
      <c r="FQ5" s="170">
        <f t="shared" si="8"/>
        <v>47087</v>
      </c>
      <c r="FR5" s="170">
        <f t="shared" si="8"/>
        <v>47118</v>
      </c>
      <c r="FS5" s="170">
        <f t="shared" si="8"/>
        <v>47149</v>
      </c>
      <c r="FT5" s="170">
        <f t="shared" si="8"/>
        <v>47177</v>
      </c>
      <c r="FU5" s="170">
        <f t="shared" si="8"/>
        <v>47208</v>
      </c>
      <c r="FV5" s="170">
        <f t="shared" si="8"/>
        <v>47238</v>
      </c>
      <c r="FW5" s="170">
        <f t="shared" si="8"/>
        <v>47269</v>
      </c>
      <c r="FX5" s="170">
        <f t="shared" si="8"/>
        <v>47299</v>
      </c>
      <c r="FY5" s="170">
        <f t="shared" si="8"/>
        <v>47330</v>
      </c>
      <c r="FZ5" s="170">
        <f t="shared" si="8"/>
        <v>47361</v>
      </c>
      <c r="GA5" s="170">
        <f t="shared" si="8"/>
        <v>47391</v>
      </c>
      <c r="GB5" s="170">
        <f t="shared" si="8"/>
        <v>47422</v>
      </c>
      <c r="GC5" s="170">
        <f t="shared" si="8"/>
        <v>47452</v>
      </c>
      <c r="GD5" s="170">
        <f t="shared" si="8"/>
        <v>47483</v>
      </c>
      <c r="GE5" s="170">
        <f t="shared" si="8"/>
        <v>47514</v>
      </c>
      <c r="GF5" s="170">
        <f t="shared" si="8"/>
        <v>47542</v>
      </c>
      <c r="GG5" s="170">
        <f t="shared" si="8"/>
        <v>47573</v>
      </c>
      <c r="GH5" s="170">
        <f t="shared" si="8"/>
        <v>47603</v>
      </c>
      <c r="GI5" s="170">
        <f t="shared" si="8"/>
        <v>47634</v>
      </c>
      <c r="GJ5" s="170">
        <f t="shared" si="8"/>
        <v>47664</v>
      </c>
      <c r="GK5" s="170">
        <f t="shared" si="8"/>
        <v>47695</v>
      </c>
      <c r="GL5" s="170">
        <f t="shared" si="8"/>
        <v>47726</v>
      </c>
      <c r="GM5" s="170">
        <f t="shared" si="8"/>
        <v>47756</v>
      </c>
      <c r="GN5" s="170">
        <f t="shared" si="8"/>
        <v>47787</v>
      </c>
      <c r="GO5" s="170">
        <f t="shared" si="8"/>
        <v>47817</v>
      </c>
      <c r="GP5" s="170">
        <f t="shared" si="8"/>
        <v>47848</v>
      </c>
    </row>
    <row r="6" spans="2:198" x14ac:dyDescent="0.3">
      <c r="B6" s="184" t="str">
        <f>'MF Rent Roll'!B5</f>
        <v>Studio</v>
      </c>
      <c r="C6" s="171">
        <f>'MF Rent Roll'!C5</f>
        <v>40</v>
      </c>
      <c r="D6" s="172">
        <f>'MF Rent Roll'!D5</f>
        <v>0</v>
      </c>
      <c r="E6" s="172">
        <f>'MF Rent Roll'!E5</f>
        <v>1</v>
      </c>
      <c r="F6" s="173">
        <f>'MF Rent Roll'!F5</f>
        <v>430</v>
      </c>
      <c r="G6" s="174">
        <f>'MF Rent Roll'!G5</f>
        <v>510</v>
      </c>
      <c r="H6" s="176">
        <f>'MF Rent Roll'!J5</f>
        <v>12</v>
      </c>
      <c r="I6" s="174">
        <f>'MF Rent Roll'!K5</f>
        <v>50</v>
      </c>
      <c r="J6" s="177">
        <f>'MF Rent Roll'!L5</f>
        <v>0</v>
      </c>
      <c r="K6" s="178">
        <f>'MF Rent Roll'!M5</f>
        <v>20</v>
      </c>
      <c r="L6" s="174">
        <f>'MF Rent Roll'!N5</f>
        <v>300</v>
      </c>
      <c r="M6" s="179">
        <f>'MF Rent Roll'!O5</f>
        <v>0.6</v>
      </c>
      <c r="N6" s="180">
        <f>'MF Rent Roll'!P5</f>
        <v>0</v>
      </c>
      <c r="O6" s="181">
        <f>'MF Rent Roll'!Q5</f>
        <v>8</v>
      </c>
      <c r="P6" s="104">
        <f>'MF Rent Roll'!R5</f>
        <v>120</v>
      </c>
      <c r="S6" s="182" t="b">
        <f>IF($B6=0,"",INT(S$4/$H6)=S$4/$H6)</f>
        <v>0</v>
      </c>
      <c r="T6" s="182" t="b">
        <f t="shared" ref="T6:CE9" si="9">IF($B6=0,"",INT(T$4/$H6)=T$4/$H6)</f>
        <v>0</v>
      </c>
      <c r="U6" s="182" t="b">
        <f t="shared" si="9"/>
        <v>0</v>
      </c>
      <c r="V6" s="182" t="b">
        <f t="shared" si="9"/>
        <v>0</v>
      </c>
      <c r="W6" s="182" t="b">
        <f t="shared" si="9"/>
        <v>0</v>
      </c>
      <c r="X6" s="182" t="b">
        <f t="shared" si="9"/>
        <v>0</v>
      </c>
      <c r="Y6" s="182" t="b">
        <f t="shared" si="9"/>
        <v>0</v>
      </c>
      <c r="Z6" s="182" t="b">
        <f t="shared" si="9"/>
        <v>0</v>
      </c>
      <c r="AA6" s="182" t="b">
        <f t="shared" si="9"/>
        <v>0</v>
      </c>
      <c r="AB6" s="182" t="b">
        <f t="shared" si="9"/>
        <v>0</v>
      </c>
      <c r="AC6" s="182" t="b">
        <f t="shared" si="9"/>
        <v>0</v>
      </c>
      <c r="AD6" s="182" t="b">
        <f t="shared" si="9"/>
        <v>1</v>
      </c>
      <c r="AE6" s="182" t="b">
        <f t="shared" si="9"/>
        <v>0</v>
      </c>
      <c r="AF6" s="182" t="b">
        <f t="shared" si="9"/>
        <v>0</v>
      </c>
      <c r="AG6" s="182" t="b">
        <f t="shared" si="9"/>
        <v>0</v>
      </c>
      <c r="AH6" s="182" t="b">
        <f t="shared" si="9"/>
        <v>0</v>
      </c>
      <c r="AI6" s="182" t="b">
        <f t="shared" si="9"/>
        <v>0</v>
      </c>
      <c r="AJ6" s="182" t="b">
        <f t="shared" si="9"/>
        <v>0</v>
      </c>
      <c r="AK6" s="182" t="b">
        <f t="shared" si="9"/>
        <v>0</v>
      </c>
      <c r="AL6" s="182" t="b">
        <f t="shared" si="9"/>
        <v>0</v>
      </c>
      <c r="AM6" s="182" t="b">
        <f t="shared" si="9"/>
        <v>0</v>
      </c>
      <c r="AN6" s="182" t="b">
        <f t="shared" si="9"/>
        <v>0</v>
      </c>
      <c r="AO6" s="182" t="b">
        <f t="shared" si="9"/>
        <v>0</v>
      </c>
      <c r="AP6" s="182" t="b">
        <f t="shared" si="9"/>
        <v>1</v>
      </c>
      <c r="AQ6" s="182" t="b">
        <f t="shared" si="9"/>
        <v>0</v>
      </c>
      <c r="AR6" s="182" t="b">
        <f t="shared" si="9"/>
        <v>0</v>
      </c>
      <c r="AS6" s="182" t="b">
        <f t="shared" si="9"/>
        <v>0</v>
      </c>
      <c r="AT6" s="182" t="b">
        <f t="shared" si="9"/>
        <v>0</v>
      </c>
      <c r="AU6" s="182" t="b">
        <f t="shared" si="9"/>
        <v>0</v>
      </c>
      <c r="AV6" s="182" t="b">
        <f t="shared" si="9"/>
        <v>0</v>
      </c>
      <c r="AW6" s="182" t="b">
        <f t="shared" si="9"/>
        <v>0</v>
      </c>
      <c r="AX6" s="182" t="b">
        <f t="shared" si="9"/>
        <v>0</v>
      </c>
      <c r="AY6" s="182" t="b">
        <f t="shared" si="9"/>
        <v>0</v>
      </c>
      <c r="AZ6" s="182" t="b">
        <f t="shared" si="9"/>
        <v>0</v>
      </c>
      <c r="BA6" s="182" t="b">
        <f t="shared" si="9"/>
        <v>0</v>
      </c>
      <c r="BB6" s="182" t="b">
        <f t="shared" si="9"/>
        <v>1</v>
      </c>
      <c r="BC6" s="182" t="b">
        <f t="shared" si="9"/>
        <v>0</v>
      </c>
      <c r="BD6" s="182" t="b">
        <f t="shared" si="9"/>
        <v>0</v>
      </c>
      <c r="BE6" s="182" t="b">
        <f t="shared" si="9"/>
        <v>0</v>
      </c>
      <c r="BF6" s="182" t="b">
        <f t="shared" si="9"/>
        <v>0</v>
      </c>
      <c r="BG6" s="182" t="b">
        <f t="shared" si="9"/>
        <v>0</v>
      </c>
      <c r="BH6" s="182" t="b">
        <f t="shared" si="9"/>
        <v>0</v>
      </c>
      <c r="BI6" s="182" t="b">
        <f t="shared" si="9"/>
        <v>0</v>
      </c>
      <c r="BJ6" s="182" t="b">
        <f t="shared" si="9"/>
        <v>0</v>
      </c>
      <c r="BK6" s="182" t="b">
        <f t="shared" si="9"/>
        <v>0</v>
      </c>
      <c r="BL6" s="182" t="b">
        <f t="shared" si="9"/>
        <v>0</v>
      </c>
      <c r="BM6" s="182" t="b">
        <f t="shared" si="9"/>
        <v>0</v>
      </c>
      <c r="BN6" s="182" t="b">
        <f t="shared" si="9"/>
        <v>1</v>
      </c>
      <c r="BO6" s="182" t="b">
        <f t="shared" si="9"/>
        <v>0</v>
      </c>
      <c r="BP6" s="182" t="b">
        <f t="shared" si="9"/>
        <v>0</v>
      </c>
      <c r="BQ6" s="182" t="b">
        <f t="shared" si="9"/>
        <v>0</v>
      </c>
      <c r="BR6" s="182" t="b">
        <f t="shared" si="9"/>
        <v>0</v>
      </c>
      <c r="BS6" s="182" t="b">
        <f t="shared" si="9"/>
        <v>0</v>
      </c>
      <c r="BT6" s="182" t="b">
        <f t="shared" si="9"/>
        <v>0</v>
      </c>
      <c r="BU6" s="182" t="b">
        <f t="shared" si="9"/>
        <v>0</v>
      </c>
      <c r="BV6" s="182" t="b">
        <f t="shared" si="9"/>
        <v>0</v>
      </c>
      <c r="BW6" s="182" t="b">
        <f t="shared" si="9"/>
        <v>0</v>
      </c>
      <c r="BX6" s="182" t="b">
        <f t="shared" si="9"/>
        <v>0</v>
      </c>
      <c r="BY6" s="182" t="b">
        <f t="shared" si="9"/>
        <v>0</v>
      </c>
      <c r="BZ6" s="182" t="b">
        <f t="shared" si="9"/>
        <v>1</v>
      </c>
      <c r="CA6" s="182" t="b">
        <f t="shared" si="9"/>
        <v>0</v>
      </c>
      <c r="CB6" s="182" t="b">
        <f t="shared" si="9"/>
        <v>0</v>
      </c>
      <c r="CC6" s="182" t="b">
        <f t="shared" si="9"/>
        <v>0</v>
      </c>
      <c r="CD6" s="182" t="b">
        <f t="shared" si="9"/>
        <v>0</v>
      </c>
      <c r="CE6" s="182" t="b">
        <f t="shared" si="9"/>
        <v>0</v>
      </c>
      <c r="CF6" s="182" t="b">
        <f t="shared" ref="CF6:EQ9" si="10">IF($B6=0,"",INT(CF$4/$H6)=CF$4/$H6)</f>
        <v>0</v>
      </c>
      <c r="CG6" s="182" t="b">
        <f t="shared" si="10"/>
        <v>0</v>
      </c>
      <c r="CH6" s="182" t="b">
        <f t="shared" si="10"/>
        <v>0</v>
      </c>
      <c r="CI6" s="182" t="b">
        <f t="shared" si="10"/>
        <v>0</v>
      </c>
      <c r="CJ6" s="182" t="b">
        <f t="shared" si="10"/>
        <v>0</v>
      </c>
      <c r="CK6" s="182" t="b">
        <f t="shared" si="10"/>
        <v>0</v>
      </c>
      <c r="CL6" s="182" t="b">
        <f t="shared" si="10"/>
        <v>1</v>
      </c>
      <c r="CM6" s="182" t="b">
        <f t="shared" si="10"/>
        <v>0</v>
      </c>
      <c r="CN6" s="182" t="b">
        <f t="shared" si="10"/>
        <v>0</v>
      </c>
      <c r="CO6" s="182" t="b">
        <f t="shared" si="10"/>
        <v>0</v>
      </c>
      <c r="CP6" s="182" t="b">
        <f t="shared" si="10"/>
        <v>0</v>
      </c>
      <c r="CQ6" s="182" t="b">
        <f t="shared" si="10"/>
        <v>0</v>
      </c>
      <c r="CR6" s="182" t="b">
        <f t="shared" si="10"/>
        <v>0</v>
      </c>
      <c r="CS6" s="182" t="b">
        <f t="shared" si="10"/>
        <v>0</v>
      </c>
      <c r="CT6" s="182" t="b">
        <f t="shared" si="10"/>
        <v>0</v>
      </c>
      <c r="CU6" s="182" t="b">
        <f t="shared" si="10"/>
        <v>0</v>
      </c>
      <c r="CV6" s="182" t="b">
        <f t="shared" si="10"/>
        <v>0</v>
      </c>
      <c r="CW6" s="182" t="b">
        <f t="shared" si="10"/>
        <v>0</v>
      </c>
      <c r="CX6" s="182" t="b">
        <f t="shared" si="10"/>
        <v>1</v>
      </c>
      <c r="CY6" s="182" t="b">
        <f t="shared" si="10"/>
        <v>0</v>
      </c>
      <c r="CZ6" s="182" t="b">
        <f t="shared" si="10"/>
        <v>0</v>
      </c>
      <c r="DA6" s="182" t="b">
        <f t="shared" si="10"/>
        <v>0</v>
      </c>
      <c r="DB6" s="182" t="b">
        <f t="shared" si="10"/>
        <v>0</v>
      </c>
      <c r="DC6" s="182" t="b">
        <f t="shared" si="10"/>
        <v>0</v>
      </c>
      <c r="DD6" s="182" t="b">
        <f t="shared" si="10"/>
        <v>0</v>
      </c>
      <c r="DE6" s="182" t="b">
        <f t="shared" si="10"/>
        <v>0</v>
      </c>
      <c r="DF6" s="182" t="b">
        <f t="shared" si="10"/>
        <v>0</v>
      </c>
      <c r="DG6" s="182" t="b">
        <f t="shared" si="10"/>
        <v>0</v>
      </c>
      <c r="DH6" s="182" t="b">
        <f t="shared" si="10"/>
        <v>0</v>
      </c>
      <c r="DI6" s="182" t="b">
        <f t="shared" si="10"/>
        <v>0</v>
      </c>
      <c r="DJ6" s="182" t="b">
        <f t="shared" si="10"/>
        <v>1</v>
      </c>
      <c r="DK6" s="182" t="b">
        <f t="shared" si="10"/>
        <v>0</v>
      </c>
      <c r="DL6" s="182" t="b">
        <f t="shared" si="10"/>
        <v>0</v>
      </c>
      <c r="DM6" s="182" t="b">
        <f t="shared" si="10"/>
        <v>0</v>
      </c>
      <c r="DN6" s="182" t="b">
        <f t="shared" si="10"/>
        <v>0</v>
      </c>
      <c r="DO6" s="182" t="b">
        <f t="shared" si="10"/>
        <v>0</v>
      </c>
      <c r="DP6" s="182" t="b">
        <f t="shared" si="10"/>
        <v>0</v>
      </c>
      <c r="DQ6" s="182" t="b">
        <f t="shared" si="10"/>
        <v>0</v>
      </c>
      <c r="DR6" s="182" t="b">
        <f t="shared" si="10"/>
        <v>0</v>
      </c>
      <c r="DS6" s="182" t="b">
        <f t="shared" si="10"/>
        <v>0</v>
      </c>
      <c r="DT6" s="182" t="b">
        <f t="shared" si="10"/>
        <v>0</v>
      </c>
      <c r="DU6" s="182" t="b">
        <f t="shared" si="10"/>
        <v>0</v>
      </c>
      <c r="DV6" s="182" t="b">
        <f t="shared" si="10"/>
        <v>1</v>
      </c>
      <c r="DW6" s="182" t="b">
        <f t="shared" si="10"/>
        <v>0</v>
      </c>
      <c r="DX6" s="182" t="b">
        <f t="shared" si="10"/>
        <v>0</v>
      </c>
      <c r="DY6" s="182" t="b">
        <f t="shared" si="10"/>
        <v>0</v>
      </c>
      <c r="DZ6" s="182" t="b">
        <f t="shared" si="10"/>
        <v>0</v>
      </c>
      <c r="EA6" s="182" t="b">
        <f t="shared" si="10"/>
        <v>0</v>
      </c>
      <c r="EB6" s="182" t="b">
        <f t="shared" si="10"/>
        <v>0</v>
      </c>
      <c r="EC6" s="182" t="b">
        <f t="shared" si="10"/>
        <v>0</v>
      </c>
      <c r="ED6" s="182" t="b">
        <f t="shared" si="10"/>
        <v>0</v>
      </c>
      <c r="EE6" s="182" t="b">
        <f t="shared" si="10"/>
        <v>0</v>
      </c>
      <c r="EF6" s="182" t="b">
        <f t="shared" si="10"/>
        <v>0</v>
      </c>
      <c r="EG6" s="182" t="b">
        <f t="shared" si="10"/>
        <v>0</v>
      </c>
      <c r="EH6" s="182" t="b">
        <f t="shared" si="10"/>
        <v>1</v>
      </c>
      <c r="EI6" s="182" t="b">
        <f t="shared" si="10"/>
        <v>0</v>
      </c>
      <c r="EJ6" s="182" t="b">
        <f t="shared" si="10"/>
        <v>0</v>
      </c>
      <c r="EK6" s="182" t="b">
        <f t="shared" si="10"/>
        <v>0</v>
      </c>
      <c r="EL6" s="182" t="b">
        <f t="shared" si="10"/>
        <v>0</v>
      </c>
      <c r="EM6" s="182" t="b">
        <f t="shared" si="10"/>
        <v>0</v>
      </c>
      <c r="EN6" s="182" t="b">
        <f t="shared" si="10"/>
        <v>0</v>
      </c>
      <c r="EO6" s="182" t="b">
        <f t="shared" si="10"/>
        <v>0</v>
      </c>
      <c r="EP6" s="182" t="b">
        <f t="shared" si="10"/>
        <v>0</v>
      </c>
      <c r="EQ6" s="182" t="b">
        <f t="shared" si="10"/>
        <v>0</v>
      </c>
      <c r="ER6" s="182" t="b">
        <f t="shared" ref="ER6:GP10" si="11">IF($B6=0,"",INT(ER$4/$H6)=ER$4/$H6)</f>
        <v>0</v>
      </c>
      <c r="ES6" s="182" t="b">
        <f t="shared" si="11"/>
        <v>0</v>
      </c>
      <c r="ET6" s="182" t="b">
        <f t="shared" si="11"/>
        <v>1</v>
      </c>
      <c r="EU6" s="182" t="b">
        <f t="shared" si="11"/>
        <v>0</v>
      </c>
      <c r="EV6" s="182" t="b">
        <f t="shared" si="11"/>
        <v>0</v>
      </c>
      <c r="EW6" s="182" t="b">
        <f t="shared" si="11"/>
        <v>0</v>
      </c>
      <c r="EX6" s="182" t="b">
        <f t="shared" si="11"/>
        <v>0</v>
      </c>
      <c r="EY6" s="182" t="b">
        <f t="shared" si="11"/>
        <v>0</v>
      </c>
      <c r="EZ6" s="182" t="b">
        <f t="shared" si="11"/>
        <v>0</v>
      </c>
      <c r="FA6" s="182" t="b">
        <f t="shared" si="11"/>
        <v>0</v>
      </c>
      <c r="FB6" s="182" t="b">
        <f t="shared" si="11"/>
        <v>0</v>
      </c>
      <c r="FC6" s="182" t="b">
        <f t="shared" si="11"/>
        <v>0</v>
      </c>
      <c r="FD6" s="182" t="b">
        <f t="shared" si="11"/>
        <v>0</v>
      </c>
      <c r="FE6" s="182" t="b">
        <f t="shared" si="11"/>
        <v>0</v>
      </c>
      <c r="FF6" s="182" t="b">
        <f t="shared" si="11"/>
        <v>1</v>
      </c>
      <c r="FG6" s="182" t="b">
        <f t="shared" si="11"/>
        <v>0</v>
      </c>
      <c r="FH6" s="182" t="b">
        <f t="shared" si="11"/>
        <v>0</v>
      </c>
      <c r="FI6" s="182" t="b">
        <f t="shared" si="11"/>
        <v>0</v>
      </c>
      <c r="FJ6" s="182" t="b">
        <f t="shared" si="11"/>
        <v>0</v>
      </c>
      <c r="FK6" s="182" t="b">
        <f t="shared" si="11"/>
        <v>0</v>
      </c>
      <c r="FL6" s="182" t="b">
        <f t="shared" si="11"/>
        <v>0</v>
      </c>
      <c r="FM6" s="182" t="b">
        <f t="shared" si="11"/>
        <v>0</v>
      </c>
      <c r="FN6" s="182" t="b">
        <f t="shared" si="11"/>
        <v>0</v>
      </c>
      <c r="FO6" s="182" t="b">
        <f t="shared" si="11"/>
        <v>0</v>
      </c>
      <c r="FP6" s="182" t="b">
        <f t="shared" si="11"/>
        <v>0</v>
      </c>
      <c r="FQ6" s="182" t="b">
        <f t="shared" si="11"/>
        <v>0</v>
      </c>
      <c r="FR6" s="182" t="b">
        <f t="shared" si="11"/>
        <v>1</v>
      </c>
      <c r="FS6" s="182" t="b">
        <f t="shared" si="11"/>
        <v>0</v>
      </c>
      <c r="FT6" s="182" t="b">
        <f t="shared" si="11"/>
        <v>0</v>
      </c>
      <c r="FU6" s="182" t="b">
        <f t="shared" si="11"/>
        <v>0</v>
      </c>
      <c r="FV6" s="182" t="b">
        <f t="shared" si="11"/>
        <v>0</v>
      </c>
      <c r="FW6" s="182" t="b">
        <f t="shared" si="11"/>
        <v>0</v>
      </c>
      <c r="FX6" s="182" t="b">
        <f t="shared" si="11"/>
        <v>0</v>
      </c>
      <c r="FY6" s="182" t="b">
        <f t="shared" si="11"/>
        <v>0</v>
      </c>
      <c r="FZ6" s="182" t="b">
        <f t="shared" si="11"/>
        <v>0</v>
      </c>
      <c r="GA6" s="182" t="b">
        <f t="shared" si="11"/>
        <v>0</v>
      </c>
      <c r="GB6" s="182" t="b">
        <f t="shared" si="11"/>
        <v>0</v>
      </c>
      <c r="GC6" s="182" t="b">
        <f t="shared" si="11"/>
        <v>0</v>
      </c>
      <c r="GD6" s="182" t="b">
        <f t="shared" si="11"/>
        <v>1</v>
      </c>
      <c r="GE6" s="182" t="b">
        <f t="shared" si="11"/>
        <v>0</v>
      </c>
      <c r="GF6" s="182" t="b">
        <f t="shared" si="11"/>
        <v>0</v>
      </c>
      <c r="GG6" s="182" t="b">
        <f t="shared" si="11"/>
        <v>0</v>
      </c>
      <c r="GH6" s="182" t="b">
        <f t="shared" si="11"/>
        <v>0</v>
      </c>
      <c r="GI6" s="182" t="b">
        <f t="shared" si="11"/>
        <v>0</v>
      </c>
      <c r="GJ6" s="182" t="b">
        <f t="shared" si="11"/>
        <v>0</v>
      </c>
      <c r="GK6" s="182" t="b">
        <f t="shared" si="11"/>
        <v>0</v>
      </c>
      <c r="GL6" s="182" t="b">
        <f t="shared" si="11"/>
        <v>0</v>
      </c>
      <c r="GM6" s="182" t="b">
        <f t="shared" si="11"/>
        <v>0</v>
      </c>
      <c r="GN6" s="182" t="b">
        <f t="shared" si="11"/>
        <v>0</v>
      </c>
      <c r="GO6" s="182" t="b">
        <f t="shared" si="11"/>
        <v>0</v>
      </c>
      <c r="GP6" s="182" t="b">
        <f t="shared" si="11"/>
        <v>1</v>
      </c>
    </row>
    <row r="7" spans="2:198" x14ac:dyDescent="0.3">
      <c r="B7" s="184" t="str">
        <f>'MF Rent Roll'!B6</f>
        <v>1bd/1ba</v>
      </c>
      <c r="C7" s="171">
        <f>'MF Rent Roll'!C6</f>
        <v>24</v>
      </c>
      <c r="D7" s="172">
        <f>'MF Rent Roll'!D6</f>
        <v>1</v>
      </c>
      <c r="E7" s="172">
        <f>'MF Rent Roll'!E6</f>
        <v>1</v>
      </c>
      <c r="F7" s="173">
        <f>'MF Rent Roll'!F6</f>
        <v>671</v>
      </c>
      <c r="G7" s="174">
        <f>'MF Rent Roll'!G6</f>
        <v>660</v>
      </c>
      <c r="H7" s="176">
        <f>'MF Rent Roll'!J6</f>
        <v>12</v>
      </c>
      <c r="I7" s="174">
        <f>'MF Rent Roll'!K6</f>
        <v>50</v>
      </c>
      <c r="J7" s="177">
        <f>'MF Rent Roll'!L6</f>
        <v>0</v>
      </c>
      <c r="K7" s="178">
        <f>'MF Rent Roll'!M6</f>
        <v>20</v>
      </c>
      <c r="L7" s="174">
        <f>'MF Rent Roll'!N6</f>
        <v>300</v>
      </c>
      <c r="M7" s="179">
        <f>'MF Rent Roll'!O6</f>
        <v>0.6</v>
      </c>
      <c r="N7" s="180">
        <f>'MF Rent Roll'!P6</f>
        <v>0</v>
      </c>
      <c r="O7" s="181">
        <f>'MF Rent Roll'!Q6</f>
        <v>8</v>
      </c>
      <c r="P7" s="104">
        <f>'MF Rent Roll'!R6</f>
        <v>120</v>
      </c>
      <c r="S7" s="182" t="b">
        <f t="shared" ref="S7:AH29" si="12">IF($B7=0,"",INT(S$4/$H7)=S$4/$H7)</f>
        <v>0</v>
      </c>
      <c r="T7" s="182" t="b">
        <f t="shared" si="9"/>
        <v>0</v>
      </c>
      <c r="U7" s="182" t="b">
        <f t="shared" si="9"/>
        <v>0</v>
      </c>
      <c r="V7" s="182" t="b">
        <f t="shared" si="9"/>
        <v>0</v>
      </c>
      <c r="W7" s="182" t="b">
        <f t="shared" si="9"/>
        <v>0</v>
      </c>
      <c r="X7" s="182" t="b">
        <f t="shared" si="9"/>
        <v>0</v>
      </c>
      <c r="Y7" s="182" t="b">
        <f t="shared" si="9"/>
        <v>0</v>
      </c>
      <c r="Z7" s="182" t="b">
        <f t="shared" si="9"/>
        <v>0</v>
      </c>
      <c r="AA7" s="182" t="b">
        <f t="shared" si="9"/>
        <v>0</v>
      </c>
      <c r="AB7" s="182" t="b">
        <f t="shared" si="9"/>
        <v>0</v>
      </c>
      <c r="AC7" s="182" t="b">
        <f t="shared" si="9"/>
        <v>0</v>
      </c>
      <c r="AD7" s="182" t="b">
        <f t="shared" si="9"/>
        <v>1</v>
      </c>
      <c r="AE7" s="182" t="b">
        <f t="shared" si="9"/>
        <v>0</v>
      </c>
      <c r="AF7" s="182" t="b">
        <f t="shared" si="9"/>
        <v>0</v>
      </c>
      <c r="AG7" s="182" t="b">
        <f t="shared" si="9"/>
        <v>0</v>
      </c>
      <c r="AH7" s="182" t="b">
        <f t="shared" si="9"/>
        <v>0</v>
      </c>
      <c r="AI7" s="182" t="b">
        <f t="shared" si="9"/>
        <v>0</v>
      </c>
      <c r="AJ7" s="182" t="b">
        <f t="shared" si="9"/>
        <v>0</v>
      </c>
      <c r="AK7" s="182" t="b">
        <f t="shared" si="9"/>
        <v>0</v>
      </c>
      <c r="AL7" s="182" t="b">
        <f t="shared" si="9"/>
        <v>0</v>
      </c>
      <c r="AM7" s="182" t="b">
        <f t="shared" si="9"/>
        <v>0</v>
      </c>
      <c r="AN7" s="182" t="b">
        <f t="shared" si="9"/>
        <v>0</v>
      </c>
      <c r="AO7" s="182" t="b">
        <f t="shared" si="9"/>
        <v>0</v>
      </c>
      <c r="AP7" s="182" t="b">
        <f t="shared" si="9"/>
        <v>1</v>
      </c>
      <c r="AQ7" s="182" t="b">
        <f t="shared" si="9"/>
        <v>0</v>
      </c>
      <c r="AR7" s="182" t="b">
        <f t="shared" si="9"/>
        <v>0</v>
      </c>
      <c r="AS7" s="182" t="b">
        <f t="shared" si="9"/>
        <v>0</v>
      </c>
      <c r="AT7" s="182" t="b">
        <f t="shared" si="9"/>
        <v>0</v>
      </c>
      <c r="AU7" s="182" t="b">
        <f t="shared" si="9"/>
        <v>0</v>
      </c>
      <c r="AV7" s="182" t="b">
        <f t="shared" si="9"/>
        <v>0</v>
      </c>
      <c r="AW7" s="182" t="b">
        <f t="shared" si="9"/>
        <v>0</v>
      </c>
      <c r="AX7" s="182" t="b">
        <f t="shared" si="9"/>
        <v>0</v>
      </c>
      <c r="AY7" s="182" t="b">
        <f t="shared" si="9"/>
        <v>0</v>
      </c>
      <c r="AZ7" s="182" t="b">
        <f t="shared" si="9"/>
        <v>0</v>
      </c>
      <c r="BA7" s="182" t="b">
        <f t="shared" si="9"/>
        <v>0</v>
      </c>
      <c r="BB7" s="182" t="b">
        <f t="shared" si="9"/>
        <v>1</v>
      </c>
      <c r="BC7" s="182" t="b">
        <f t="shared" si="9"/>
        <v>0</v>
      </c>
      <c r="BD7" s="182" t="b">
        <f t="shared" si="9"/>
        <v>0</v>
      </c>
      <c r="BE7" s="182" t="b">
        <f t="shared" si="9"/>
        <v>0</v>
      </c>
      <c r="BF7" s="182" t="b">
        <f t="shared" si="9"/>
        <v>0</v>
      </c>
      <c r="BG7" s="182" t="b">
        <f t="shared" si="9"/>
        <v>0</v>
      </c>
      <c r="BH7" s="182" t="b">
        <f t="shared" si="9"/>
        <v>0</v>
      </c>
      <c r="BI7" s="182" t="b">
        <f t="shared" si="9"/>
        <v>0</v>
      </c>
      <c r="BJ7" s="182" t="b">
        <f t="shared" si="9"/>
        <v>0</v>
      </c>
      <c r="BK7" s="182" t="b">
        <f t="shared" si="9"/>
        <v>0</v>
      </c>
      <c r="BL7" s="182" t="b">
        <f t="shared" si="9"/>
        <v>0</v>
      </c>
      <c r="BM7" s="182" t="b">
        <f t="shared" si="9"/>
        <v>0</v>
      </c>
      <c r="BN7" s="182" t="b">
        <f t="shared" si="9"/>
        <v>1</v>
      </c>
      <c r="BO7" s="182" t="b">
        <f t="shared" si="9"/>
        <v>0</v>
      </c>
      <c r="BP7" s="182" t="b">
        <f t="shared" si="9"/>
        <v>0</v>
      </c>
      <c r="BQ7" s="182" t="b">
        <f t="shared" si="9"/>
        <v>0</v>
      </c>
      <c r="BR7" s="182" t="b">
        <f t="shared" si="9"/>
        <v>0</v>
      </c>
      <c r="BS7" s="182" t="b">
        <f t="shared" si="9"/>
        <v>0</v>
      </c>
      <c r="BT7" s="182" t="b">
        <f t="shared" si="9"/>
        <v>0</v>
      </c>
      <c r="BU7" s="182" t="b">
        <f t="shared" si="9"/>
        <v>0</v>
      </c>
      <c r="BV7" s="182" t="b">
        <f t="shared" si="9"/>
        <v>0</v>
      </c>
      <c r="BW7" s="182" t="b">
        <f t="shared" si="9"/>
        <v>0</v>
      </c>
      <c r="BX7" s="182" t="b">
        <f t="shared" si="9"/>
        <v>0</v>
      </c>
      <c r="BY7" s="182" t="b">
        <f t="shared" si="9"/>
        <v>0</v>
      </c>
      <c r="BZ7" s="182" t="b">
        <f t="shared" si="9"/>
        <v>1</v>
      </c>
      <c r="CA7" s="182" t="b">
        <f t="shared" si="9"/>
        <v>0</v>
      </c>
      <c r="CB7" s="182" t="b">
        <f t="shared" si="9"/>
        <v>0</v>
      </c>
      <c r="CC7" s="182" t="b">
        <f t="shared" si="9"/>
        <v>0</v>
      </c>
      <c r="CD7" s="182" t="b">
        <f t="shared" si="9"/>
        <v>0</v>
      </c>
      <c r="CE7" s="182" t="b">
        <f t="shared" si="9"/>
        <v>0</v>
      </c>
      <c r="CF7" s="182" t="b">
        <f t="shared" si="10"/>
        <v>0</v>
      </c>
      <c r="CG7" s="182" t="b">
        <f t="shared" si="10"/>
        <v>0</v>
      </c>
      <c r="CH7" s="182" t="b">
        <f t="shared" si="10"/>
        <v>0</v>
      </c>
      <c r="CI7" s="182" t="b">
        <f t="shared" si="10"/>
        <v>0</v>
      </c>
      <c r="CJ7" s="182" t="b">
        <f t="shared" si="10"/>
        <v>0</v>
      </c>
      <c r="CK7" s="182" t="b">
        <f t="shared" si="10"/>
        <v>0</v>
      </c>
      <c r="CL7" s="182" t="b">
        <f t="shared" si="10"/>
        <v>1</v>
      </c>
      <c r="CM7" s="182" t="b">
        <f t="shared" si="10"/>
        <v>0</v>
      </c>
      <c r="CN7" s="182" t="b">
        <f t="shared" si="10"/>
        <v>0</v>
      </c>
      <c r="CO7" s="182" t="b">
        <f t="shared" si="10"/>
        <v>0</v>
      </c>
      <c r="CP7" s="182" t="b">
        <f t="shared" si="10"/>
        <v>0</v>
      </c>
      <c r="CQ7" s="182" t="b">
        <f t="shared" si="10"/>
        <v>0</v>
      </c>
      <c r="CR7" s="182" t="b">
        <f t="shared" si="10"/>
        <v>0</v>
      </c>
      <c r="CS7" s="182" t="b">
        <f t="shared" si="10"/>
        <v>0</v>
      </c>
      <c r="CT7" s="182" t="b">
        <f t="shared" si="10"/>
        <v>0</v>
      </c>
      <c r="CU7" s="182" t="b">
        <f t="shared" si="10"/>
        <v>0</v>
      </c>
      <c r="CV7" s="182" t="b">
        <f t="shared" si="10"/>
        <v>0</v>
      </c>
      <c r="CW7" s="182" t="b">
        <f t="shared" si="10"/>
        <v>0</v>
      </c>
      <c r="CX7" s="182" t="b">
        <f t="shared" si="10"/>
        <v>1</v>
      </c>
      <c r="CY7" s="182" t="b">
        <f t="shared" si="10"/>
        <v>0</v>
      </c>
      <c r="CZ7" s="182" t="b">
        <f t="shared" si="10"/>
        <v>0</v>
      </c>
      <c r="DA7" s="182" t="b">
        <f t="shared" si="10"/>
        <v>0</v>
      </c>
      <c r="DB7" s="182" t="b">
        <f t="shared" si="10"/>
        <v>0</v>
      </c>
      <c r="DC7" s="182" t="b">
        <f t="shared" si="10"/>
        <v>0</v>
      </c>
      <c r="DD7" s="182" t="b">
        <f t="shared" si="10"/>
        <v>0</v>
      </c>
      <c r="DE7" s="182" t="b">
        <f t="shared" si="10"/>
        <v>0</v>
      </c>
      <c r="DF7" s="182" t="b">
        <f t="shared" si="10"/>
        <v>0</v>
      </c>
      <c r="DG7" s="182" t="b">
        <f t="shared" si="10"/>
        <v>0</v>
      </c>
      <c r="DH7" s="182" t="b">
        <f t="shared" si="10"/>
        <v>0</v>
      </c>
      <c r="DI7" s="182" t="b">
        <f t="shared" si="10"/>
        <v>0</v>
      </c>
      <c r="DJ7" s="182" t="b">
        <f t="shared" si="10"/>
        <v>1</v>
      </c>
      <c r="DK7" s="182" t="b">
        <f t="shared" si="10"/>
        <v>0</v>
      </c>
      <c r="DL7" s="182" t="b">
        <f t="shared" si="10"/>
        <v>0</v>
      </c>
      <c r="DM7" s="182" t="b">
        <f t="shared" si="10"/>
        <v>0</v>
      </c>
      <c r="DN7" s="182" t="b">
        <f t="shared" si="10"/>
        <v>0</v>
      </c>
      <c r="DO7" s="182" t="b">
        <f t="shared" si="10"/>
        <v>0</v>
      </c>
      <c r="DP7" s="182" t="b">
        <f t="shared" si="10"/>
        <v>0</v>
      </c>
      <c r="DQ7" s="182" t="b">
        <f t="shared" si="10"/>
        <v>0</v>
      </c>
      <c r="DR7" s="182" t="b">
        <f t="shared" si="10"/>
        <v>0</v>
      </c>
      <c r="DS7" s="182" t="b">
        <f t="shared" si="10"/>
        <v>0</v>
      </c>
      <c r="DT7" s="182" t="b">
        <f t="shared" si="10"/>
        <v>0</v>
      </c>
      <c r="DU7" s="182" t="b">
        <f t="shared" si="10"/>
        <v>0</v>
      </c>
      <c r="DV7" s="182" t="b">
        <f t="shared" si="10"/>
        <v>1</v>
      </c>
      <c r="DW7" s="182" t="b">
        <f t="shared" si="10"/>
        <v>0</v>
      </c>
      <c r="DX7" s="182" t="b">
        <f t="shared" si="10"/>
        <v>0</v>
      </c>
      <c r="DY7" s="182" t="b">
        <f t="shared" si="10"/>
        <v>0</v>
      </c>
      <c r="DZ7" s="182" t="b">
        <f t="shared" si="10"/>
        <v>0</v>
      </c>
      <c r="EA7" s="182" t="b">
        <f t="shared" si="10"/>
        <v>0</v>
      </c>
      <c r="EB7" s="182" t="b">
        <f t="shared" si="10"/>
        <v>0</v>
      </c>
      <c r="EC7" s="182" t="b">
        <f t="shared" si="10"/>
        <v>0</v>
      </c>
      <c r="ED7" s="182" t="b">
        <f t="shared" si="10"/>
        <v>0</v>
      </c>
      <c r="EE7" s="182" t="b">
        <f t="shared" si="10"/>
        <v>0</v>
      </c>
      <c r="EF7" s="182" t="b">
        <f t="shared" si="10"/>
        <v>0</v>
      </c>
      <c r="EG7" s="182" t="b">
        <f t="shared" si="10"/>
        <v>0</v>
      </c>
      <c r="EH7" s="182" t="b">
        <f t="shared" si="10"/>
        <v>1</v>
      </c>
      <c r="EI7" s="182" t="b">
        <f t="shared" si="10"/>
        <v>0</v>
      </c>
      <c r="EJ7" s="182" t="b">
        <f t="shared" si="10"/>
        <v>0</v>
      </c>
      <c r="EK7" s="182" t="b">
        <f t="shared" si="10"/>
        <v>0</v>
      </c>
      <c r="EL7" s="182" t="b">
        <f t="shared" si="10"/>
        <v>0</v>
      </c>
      <c r="EM7" s="182" t="b">
        <f t="shared" si="10"/>
        <v>0</v>
      </c>
      <c r="EN7" s="182" t="b">
        <f t="shared" si="10"/>
        <v>0</v>
      </c>
      <c r="EO7" s="182" t="b">
        <f t="shared" si="10"/>
        <v>0</v>
      </c>
      <c r="EP7" s="182" t="b">
        <f t="shared" si="10"/>
        <v>0</v>
      </c>
      <c r="EQ7" s="182" t="b">
        <f t="shared" si="10"/>
        <v>0</v>
      </c>
      <c r="ER7" s="182" t="b">
        <f t="shared" si="11"/>
        <v>0</v>
      </c>
      <c r="ES7" s="182" t="b">
        <f t="shared" si="11"/>
        <v>0</v>
      </c>
      <c r="ET7" s="182" t="b">
        <f t="shared" si="11"/>
        <v>1</v>
      </c>
      <c r="EU7" s="182" t="b">
        <f t="shared" si="11"/>
        <v>0</v>
      </c>
      <c r="EV7" s="182" t="b">
        <f t="shared" si="11"/>
        <v>0</v>
      </c>
      <c r="EW7" s="182" t="b">
        <f t="shared" si="11"/>
        <v>0</v>
      </c>
      <c r="EX7" s="182" t="b">
        <f t="shared" si="11"/>
        <v>0</v>
      </c>
      <c r="EY7" s="182" t="b">
        <f t="shared" si="11"/>
        <v>0</v>
      </c>
      <c r="EZ7" s="182" t="b">
        <f t="shared" si="11"/>
        <v>0</v>
      </c>
      <c r="FA7" s="182" t="b">
        <f t="shared" si="11"/>
        <v>0</v>
      </c>
      <c r="FB7" s="182" t="b">
        <f t="shared" si="11"/>
        <v>0</v>
      </c>
      <c r="FC7" s="182" t="b">
        <f t="shared" si="11"/>
        <v>0</v>
      </c>
      <c r="FD7" s="182" t="b">
        <f t="shared" si="11"/>
        <v>0</v>
      </c>
      <c r="FE7" s="182" t="b">
        <f t="shared" si="11"/>
        <v>0</v>
      </c>
      <c r="FF7" s="182" t="b">
        <f t="shared" si="11"/>
        <v>1</v>
      </c>
      <c r="FG7" s="182" t="b">
        <f t="shared" si="11"/>
        <v>0</v>
      </c>
      <c r="FH7" s="182" t="b">
        <f t="shared" si="11"/>
        <v>0</v>
      </c>
      <c r="FI7" s="182" t="b">
        <f t="shared" si="11"/>
        <v>0</v>
      </c>
      <c r="FJ7" s="182" t="b">
        <f t="shared" si="11"/>
        <v>0</v>
      </c>
      <c r="FK7" s="182" t="b">
        <f t="shared" si="11"/>
        <v>0</v>
      </c>
      <c r="FL7" s="182" t="b">
        <f t="shared" si="11"/>
        <v>0</v>
      </c>
      <c r="FM7" s="182" t="b">
        <f t="shared" si="11"/>
        <v>0</v>
      </c>
      <c r="FN7" s="182" t="b">
        <f t="shared" si="11"/>
        <v>0</v>
      </c>
      <c r="FO7" s="182" t="b">
        <f t="shared" si="11"/>
        <v>0</v>
      </c>
      <c r="FP7" s="182" t="b">
        <f t="shared" si="11"/>
        <v>0</v>
      </c>
      <c r="FQ7" s="182" t="b">
        <f t="shared" si="11"/>
        <v>0</v>
      </c>
      <c r="FR7" s="182" t="b">
        <f t="shared" si="11"/>
        <v>1</v>
      </c>
      <c r="FS7" s="182" t="b">
        <f t="shared" si="11"/>
        <v>0</v>
      </c>
      <c r="FT7" s="182" t="b">
        <f t="shared" si="11"/>
        <v>0</v>
      </c>
      <c r="FU7" s="182" t="b">
        <f t="shared" si="11"/>
        <v>0</v>
      </c>
      <c r="FV7" s="182" t="b">
        <f t="shared" si="11"/>
        <v>0</v>
      </c>
      <c r="FW7" s="182" t="b">
        <f t="shared" si="11"/>
        <v>0</v>
      </c>
      <c r="FX7" s="182" t="b">
        <f t="shared" si="11"/>
        <v>0</v>
      </c>
      <c r="FY7" s="182" t="b">
        <f t="shared" si="11"/>
        <v>0</v>
      </c>
      <c r="FZ7" s="182" t="b">
        <f t="shared" si="11"/>
        <v>0</v>
      </c>
      <c r="GA7" s="182" t="b">
        <f t="shared" si="11"/>
        <v>0</v>
      </c>
      <c r="GB7" s="182" t="b">
        <f t="shared" si="11"/>
        <v>0</v>
      </c>
      <c r="GC7" s="182" t="b">
        <f t="shared" si="11"/>
        <v>0</v>
      </c>
      <c r="GD7" s="182" t="b">
        <f t="shared" si="11"/>
        <v>1</v>
      </c>
      <c r="GE7" s="182" t="b">
        <f t="shared" si="11"/>
        <v>0</v>
      </c>
      <c r="GF7" s="182" t="b">
        <f t="shared" si="11"/>
        <v>0</v>
      </c>
      <c r="GG7" s="182" t="b">
        <f t="shared" si="11"/>
        <v>0</v>
      </c>
      <c r="GH7" s="182" t="b">
        <f t="shared" si="11"/>
        <v>0</v>
      </c>
      <c r="GI7" s="182" t="b">
        <f t="shared" si="11"/>
        <v>0</v>
      </c>
      <c r="GJ7" s="182" t="b">
        <f t="shared" si="11"/>
        <v>0</v>
      </c>
      <c r="GK7" s="182" t="b">
        <f t="shared" si="11"/>
        <v>0</v>
      </c>
      <c r="GL7" s="182" t="b">
        <f t="shared" si="11"/>
        <v>0</v>
      </c>
      <c r="GM7" s="182" t="b">
        <f t="shared" si="11"/>
        <v>0</v>
      </c>
      <c r="GN7" s="182" t="b">
        <f t="shared" si="11"/>
        <v>0</v>
      </c>
      <c r="GO7" s="182" t="b">
        <f t="shared" si="11"/>
        <v>0</v>
      </c>
      <c r="GP7" s="182" t="b">
        <f t="shared" si="11"/>
        <v>1</v>
      </c>
    </row>
    <row r="8" spans="2:198" x14ac:dyDescent="0.3">
      <c r="B8" s="184" t="str">
        <f>'MF Rent Roll'!B7</f>
        <v>2bd/2ba</v>
      </c>
      <c r="C8" s="171">
        <f>'MF Rent Roll'!C7</f>
        <v>24</v>
      </c>
      <c r="D8" s="172">
        <f>'MF Rent Roll'!D7</f>
        <v>2</v>
      </c>
      <c r="E8" s="172">
        <f>'MF Rent Roll'!E7</f>
        <v>2</v>
      </c>
      <c r="F8" s="173">
        <f>'MF Rent Roll'!F7</f>
        <v>945</v>
      </c>
      <c r="G8" s="174">
        <f>'MF Rent Roll'!G7</f>
        <v>850</v>
      </c>
      <c r="H8" s="176">
        <f>'MF Rent Roll'!J7</f>
        <v>12</v>
      </c>
      <c r="I8" s="174">
        <f>'MF Rent Roll'!K7</f>
        <v>60</v>
      </c>
      <c r="J8" s="177">
        <f>'MF Rent Roll'!L7</f>
        <v>0</v>
      </c>
      <c r="K8" s="178">
        <f>'MF Rent Roll'!M7</f>
        <v>25</v>
      </c>
      <c r="L8" s="174">
        <f>'MF Rent Roll'!N7</f>
        <v>350</v>
      </c>
      <c r="M8" s="179">
        <f>'MF Rent Roll'!O7</f>
        <v>0.6</v>
      </c>
      <c r="N8" s="180">
        <f>'MF Rent Roll'!P7</f>
        <v>0</v>
      </c>
      <c r="O8" s="181">
        <f>'MF Rent Roll'!Q7</f>
        <v>10</v>
      </c>
      <c r="P8" s="104">
        <f>'MF Rent Roll'!R7</f>
        <v>140</v>
      </c>
      <c r="S8" s="182" t="b">
        <f t="shared" si="12"/>
        <v>0</v>
      </c>
      <c r="T8" s="182" t="b">
        <f t="shared" si="9"/>
        <v>0</v>
      </c>
      <c r="U8" s="182" t="b">
        <f t="shared" si="9"/>
        <v>0</v>
      </c>
      <c r="V8" s="182" t="b">
        <f t="shared" si="9"/>
        <v>0</v>
      </c>
      <c r="W8" s="182" t="b">
        <f t="shared" si="9"/>
        <v>0</v>
      </c>
      <c r="X8" s="182" t="b">
        <f t="shared" si="9"/>
        <v>0</v>
      </c>
      <c r="Y8" s="182" t="b">
        <f t="shared" si="9"/>
        <v>0</v>
      </c>
      <c r="Z8" s="182" t="b">
        <f t="shared" si="9"/>
        <v>0</v>
      </c>
      <c r="AA8" s="182" t="b">
        <f t="shared" si="9"/>
        <v>0</v>
      </c>
      <c r="AB8" s="182" t="b">
        <f t="shared" si="9"/>
        <v>0</v>
      </c>
      <c r="AC8" s="182" t="b">
        <f t="shared" si="9"/>
        <v>0</v>
      </c>
      <c r="AD8" s="182" t="b">
        <f t="shared" si="9"/>
        <v>1</v>
      </c>
      <c r="AE8" s="182" t="b">
        <f t="shared" si="9"/>
        <v>0</v>
      </c>
      <c r="AF8" s="182" t="b">
        <f t="shared" si="9"/>
        <v>0</v>
      </c>
      <c r="AG8" s="182" t="b">
        <f t="shared" si="9"/>
        <v>0</v>
      </c>
      <c r="AH8" s="182" t="b">
        <f t="shared" si="9"/>
        <v>0</v>
      </c>
      <c r="AI8" s="182" t="b">
        <f t="shared" si="9"/>
        <v>0</v>
      </c>
      <c r="AJ8" s="182" t="b">
        <f t="shared" si="9"/>
        <v>0</v>
      </c>
      <c r="AK8" s="182" t="b">
        <f t="shared" si="9"/>
        <v>0</v>
      </c>
      <c r="AL8" s="182" t="b">
        <f t="shared" si="9"/>
        <v>0</v>
      </c>
      <c r="AM8" s="182" t="b">
        <f t="shared" si="9"/>
        <v>0</v>
      </c>
      <c r="AN8" s="182" t="b">
        <f t="shared" si="9"/>
        <v>0</v>
      </c>
      <c r="AO8" s="182" t="b">
        <f t="shared" si="9"/>
        <v>0</v>
      </c>
      <c r="AP8" s="182" t="b">
        <f t="shared" si="9"/>
        <v>1</v>
      </c>
      <c r="AQ8" s="182" t="b">
        <f t="shared" si="9"/>
        <v>0</v>
      </c>
      <c r="AR8" s="182" t="b">
        <f t="shared" si="9"/>
        <v>0</v>
      </c>
      <c r="AS8" s="182" t="b">
        <f t="shared" si="9"/>
        <v>0</v>
      </c>
      <c r="AT8" s="182" t="b">
        <f t="shared" si="9"/>
        <v>0</v>
      </c>
      <c r="AU8" s="182" t="b">
        <f t="shared" si="9"/>
        <v>0</v>
      </c>
      <c r="AV8" s="182" t="b">
        <f t="shared" si="9"/>
        <v>0</v>
      </c>
      <c r="AW8" s="182" t="b">
        <f t="shared" si="9"/>
        <v>0</v>
      </c>
      <c r="AX8" s="182" t="b">
        <f t="shared" si="9"/>
        <v>0</v>
      </c>
      <c r="AY8" s="182" t="b">
        <f t="shared" si="9"/>
        <v>0</v>
      </c>
      <c r="AZ8" s="182" t="b">
        <f t="shared" si="9"/>
        <v>0</v>
      </c>
      <c r="BA8" s="182" t="b">
        <f t="shared" si="9"/>
        <v>0</v>
      </c>
      <c r="BB8" s="182" t="b">
        <f t="shared" si="9"/>
        <v>1</v>
      </c>
      <c r="BC8" s="182" t="b">
        <f t="shared" si="9"/>
        <v>0</v>
      </c>
      <c r="BD8" s="182" t="b">
        <f t="shared" si="9"/>
        <v>0</v>
      </c>
      <c r="BE8" s="182" t="b">
        <f t="shared" si="9"/>
        <v>0</v>
      </c>
      <c r="BF8" s="182" t="b">
        <f t="shared" si="9"/>
        <v>0</v>
      </c>
      <c r="BG8" s="182" t="b">
        <f t="shared" si="9"/>
        <v>0</v>
      </c>
      <c r="BH8" s="182" t="b">
        <f t="shared" si="9"/>
        <v>0</v>
      </c>
      <c r="BI8" s="182" t="b">
        <f t="shared" si="9"/>
        <v>0</v>
      </c>
      <c r="BJ8" s="182" t="b">
        <f t="shared" si="9"/>
        <v>0</v>
      </c>
      <c r="BK8" s="182" t="b">
        <f t="shared" si="9"/>
        <v>0</v>
      </c>
      <c r="BL8" s="182" t="b">
        <f t="shared" si="9"/>
        <v>0</v>
      </c>
      <c r="BM8" s="182" t="b">
        <f t="shared" si="9"/>
        <v>0</v>
      </c>
      <c r="BN8" s="182" t="b">
        <f t="shared" si="9"/>
        <v>1</v>
      </c>
      <c r="BO8" s="182" t="b">
        <f t="shared" si="9"/>
        <v>0</v>
      </c>
      <c r="BP8" s="182" t="b">
        <f t="shared" si="9"/>
        <v>0</v>
      </c>
      <c r="BQ8" s="182" t="b">
        <f t="shared" si="9"/>
        <v>0</v>
      </c>
      <c r="BR8" s="182" t="b">
        <f t="shared" si="9"/>
        <v>0</v>
      </c>
      <c r="BS8" s="182" t="b">
        <f t="shared" si="9"/>
        <v>0</v>
      </c>
      <c r="BT8" s="182" t="b">
        <f t="shared" si="9"/>
        <v>0</v>
      </c>
      <c r="BU8" s="182" t="b">
        <f t="shared" si="9"/>
        <v>0</v>
      </c>
      <c r="BV8" s="182" t="b">
        <f t="shared" si="9"/>
        <v>0</v>
      </c>
      <c r="BW8" s="182" t="b">
        <f t="shared" si="9"/>
        <v>0</v>
      </c>
      <c r="BX8" s="182" t="b">
        <f t="shared" si="9"/>
        <v>0</v>
      </c>
      <c r="BY8" s="182" t="b">
        <f t="shared" si="9"/>
        <v>0</v>
      </c>
      <c r="BZ8" s="182" t="b">
        <f t="shared" si="9"/>
        <v>1</v>
      </c>
      <c r="CA8" s="182" t="b">
        <f t="shared" si="9"/>
        <v>0</v>
      </c>
      <c r="CB8" s="182" t="b">
        <f t="shared" si="9"/>
        <v>0</v>
      </c>
      <c r="CC8" s="182" t="b">
        <f t="shared" si="9"/>
        <v>0</v>
      </c>
      <c r="CD8" s="182" t="b">
        <f t="shared" si="9"/>
        <v>0</v>
      </c>
      <c r="CE8" s="182" t="b">
        <f t="shared" si="9"/>
        <v>0</v>
      </c>
      <c r="CF8" s="182" t="b">
        <f t="shared" si="10"/>
        <v>0</v>
      </c>
      <c r="CG8" s="182" t="b">
        <f t="shared" si="10"/>
        <v>0</v>
      </c>
      <c r="CH8" s="182" t="b">
        <f t="shared" si="10"/>
        <v>0</v>
      </c>
      <c r="CI8" s="182" t="b">
        <f t="shared" si="10"/>
        <v>0</v>
      </c>
      <c r="CJ8" s="182" t="b">
        <f t="shared" si="10"/>
        <v>0</v>
      </c>
      <c r="CK8" s="182" t="b">
        <f t="shared" si="10"/>
        <v>0</v>
      </c>
      <c r="CL8" s="182" t="b">
        <f t="shared" si="10"/>
        <v>1</v>
      </c>
      <c r="CM8" s="182" t="b">
        <f t="shared" si="10"/>
        <v>0</v>
      </c>
      <c r="CN8" s="182" t="b">
        <f t="shared" si="10"/>
        <v>0</v>
      </c>
      <c r="CO8" s="182" t="b">
        <f t="shared" si="10"/>
        <v>0</v>
      </c>
      <c r="CP8" s="182" t="b">
        <f t="shared" si="10"/>
        <v>0</v>
      </c>
      <c r="CQ8" s="182" t="b">
        <f t="shared" si="10"/>
        <v>0</v>
      </c>
      <c r="CR8" s="182" t="b">
        <f t="shared" si="10"/>
        <v>0</v>
      </c>
      <c r="CS8" s="182" t="b">
        <f t="shared" si="10"/>
        <v>0</v>
      </c>
      <c r="CT8" s="182" t="b">
        <f t="shared" si="10"/>
        <v>0</v>
      </c>
      <c r="CU8" s="182" t="b">
        <f t="shared" si="10"/>
        <v>0</v>
      </c>
      <c r="CV8" s="182" t="b">
        <f t="shared" si="10"/>
        <v>0</v>
      </c>
      <c r="CW8" s="182" t="b">
        <f t="shared" si="10"/>
        <v>0</v>
      </c>
      <c r="CX8" s="182" t="b">
        <f t="shared" si="10"/>
        <v>1</v>
      </c>
      <c r="CY8" s="182" t="b">
        <f t="shared" si="10"/>
        <v>0</v>
      </c>
      <c r="CZ8" s="182" t="b">
        <f t="shared" si="10"/>
        <v>0</v>
      </c>
      <c r="DA8" s="182" t="b">
        <f t="shared" si="10"/>
        <v>0</v>
      </c>
      <c r="DB8" s="182" t="b">
        <f t="shared" si="10"/>
        <v>0</v>
      </c>
      <c r="DC8" s="182" t="b">
        <f t="shared" si="10"/>
        <v>0</v>
      </c>
      <c r="DD8" s="182" t="b">
        <f t="shared" si="10"/>
        <v>0</v>
      </c>
      <c r="DE8" s="182" t="b">
        <f t="shared" si="10"/>
        <v>0</v>
      </c>
      <c r="DF8" s="182" t="b">
        <f t="shared" si="10"/>
        <v>0</v>
      </c>
      <c r="DG8" s="182" t="b">
        <f t="shared" si="10"/>
        <v>0</v>
      </c>
      <c r="DH8" s="182" t="b">
        <f t="shared" si="10"/>
        <v>0</v>
      </c>
      <c r="DI8" s="182" t="b">
        <f t="shared" si="10"/>
        <v>0</v>
      </c>
      <c r="DJ8" s="182" t="b">
        <f t="shared" si="10"/>
        <v>1</v>
      </c>
      <c r="DK8" s="182" t="b">
        <f t="shared" si="10"/>
        <v>0</v>
      </c>
      <c r="DL8" s="182" t="b">
        <f t="shared" si="10"/>
        <v>0</v>
      </c>
      <c r="DM8" s="182" t="b">
        <f t="shared" si="10"/>
        <v>0</v>
      </c>
      <c r="DN8" s="182" t="b">
        <f t="shared" si="10"/>
        <v>0</v>
      </c>
      <c r="DO8" s="182" t="b">
        <f t="shared" si="10"/>
        <v>0</v>
      </c>
      <c r="DP8" s="182" t="b">
        <f t="shared" si="10"/>
        <v>0</v>
      </c>
      <c r="DQ8" s="182" t="b">
        <f t="shared" si="10"/>
        <v>0</v>
      </c>
      <c r="DR8" s="182" t="b">
        <f t="shared" si="10"/>
        <v>0</v>
      </c>
      <c r="DS8" s="182" t="b">
        <f t="shared" si="10"/>
        <v>0</v>
      </c>
      <c r="DT8" s="182" t="b">
        <f t="shared" si="10"/>
        <v>0</v>
      </c>
      <c r="DU8" s="182" t="b">
        <f t="shared" si="10"/>
        <v>0</v>
      </c>
      <c r="DV8" s="182" t="b">
        <f t="shared" si="10"/>
        <v>1</v>
      </c>
      <c r="DW8" s="182" t="b">
        <f t="shared" si="10"/>
        <v>0</v>
      </c>
      <c r="DX8" s="182" t="b">
        <f t="shared" si="10"/>
        <v>0</v>
      </c>
      <c r="DY8" s="182" t="b">
        <f t="shared" si="10"/>
        <v>0</v>
      </c>
      <c r="DZ8" s="182" t="b">
        <f t="shared" si="10"/>
        <v>0</v>
      </c>
      <c r="EA8" s="182" t="b">
        <f t="shared" si="10"/>
        <v>0</v>
      </c>
      <c r="EB8" s="182" t="b">
        <f t="shared" si="10"/>
        <v>0</v>
      </c>
      <c r="EC8" s="182" t="b">
        <f t="shared" si="10"/>
        <v>0</v>
      </c>
      <c r="ED8" s="182" t="b">
        <f t="shared" si="10"/>
        <v>0</v>
      </c>
      <c r="EE8" s="182" t="b">
        <f t="shared" si="10"/>
        <v>0</v>
      </c>
      <c r="EF8" s="182" t="b">
        <f t="shared" si="10"/>
        <v>0</v>
      </c>
      <c r="EG8" s="182" t="b">
        <f t="shared" si="10"/>
        <v>0</v>
      </c>
      <c r="EH8" s="182" t="b">
        <f t="shared" si="10"/>
        <v>1</v>
      </c>
      <c r="EI8" s="182" t="b">
        <f t="shared" si="10"/>
        <v>0</v>
      </c>
      <c r="EJ8" s="182" t="b">
        <f t="shared" si="10"/>
        <v>0</v>
      </c>
      <c r="EK8" s="182" t="b">
        <f t="shared" si="10"/>
        <v>0</v>
      </c>
      <c r="EL8" s="182" t="b">
        <f t="shared" si="10"/>
        <v>0</v>
      </c>
      <c r="EM8" s="182" t="b">
        <f t="shared" si="10"/>
        <v>0</v>
      </c>
      <c r="EN8" s="182" t="b">
        <f t="shared" si="10"/>
        <v>0</v>
      </c>
      <c r="EO8" s="182" t="b">
        <f t="shared" si="10"/>
        <v>0</v>
      </c>
      <c r="EP8" s="182" t="b">
        <f t="shared" si="10"/>
        <v>0</v>
      </c>
      <c r="EQ8" s="182" t="b">
        <f t="shared" si="10"/>
        <v>0</v>
      </c>
      <c r="ER8" s="182" t="b">
        <f t="shared" si="11"/>
        <v>0</v>
      </c>
      <c r="ES8" s="182" t="b">
        <f t="shared" si="11"/>
        <v>0</v>
      </c>
      <c r="ET8" s="182" t="b">
        <f t="shared" si="11"/>
        <v>1</v>
      </c>
      <c r="EU8" s="182" t="b">
        <f t="shared" si="11"/>
        <v>0</v>
      </c>
      <c r="EV8" s="182" t="b">
        <f t="shared" si="11"/>
        <v>0</v>
      </c>
      <c r="EW8" s="182" t="b">
        <f t="shared" si="11"/>
        <v>0</v>
      </c>
      <c r="EX8" s="182" t="b">
        <f t="shared" si="11"/>
        <v>0</v>
      </c>
      <c r="EY8" s="182" t="b">
        <f t="shared" si="11"/>
        <v>0</v>
      </c>
      <c r="EZ8" s="182" t="b">
        <f t="shared" si="11"/>
        <v>0</v>
      </c>
      <c r="FA8" s="182" t="b">
        <f t="shared" si="11"/>
        <v>0</v>
      </c>
      <c r="FB8" s="182" t="b">
        <f t="shared" si="11"/>
        <v>0</v>
      </c>
      <c r="FC8" s="182" t="b">
        <f t="shared" si="11"/>
        <v>0</v>
      </c>
      <c r="FD8" s="182" t="b">
        <f t="shared" si="11"/>
        <v>0</v>
      </c>
      <c r="FE8" s="182" t="b">
        <f t="shared" si="11"/>
        <v>0</v>
      </c>
      <c r="FF8" s="182" t="b">
        <f t="shared" si="11"/>
        <v>1</v>
      </c>
      <c r="FG8" s="182" t="b">
        <f t="shared" si="11"/>
        <v>0</v>
      </c>
      <c r="FH8" s="182" t="b">
        <f t="shared" si="11"/>
        <v>0</v>
      </c>
      <c r="FI8" s="182" t="b">
        <f t="shared" si="11"/>
        <v>0</v>
      </c>
      <c r="FJ8" s="182" t="b">
        <f t="shared" si="11"/>
        <v>0</v>
      </c>
      <c r="FK8" s="182" t="b">
        <f t="shared" si="11"/>
        <v>0</v>
      </c>
      <c r="FL8" s="182" t="b">
        <f t="shared" si="11"/>
        <v>0</v>
      </c>
      <c r="FM8" s="182" t="b">
        <f t="shared" si="11"/>
        <v>0</v>
      </c>
      <c r="FN8" s="182" t="b">
        <f t="shared" si="11"/>
        <v>0</v>
      </c>
      <c r="FO8" s="182" t="b">
        <f t="shared" si="11"/>
        <v>0</v>
      </c>
      <c r="FP8" s="182" t="b">
        <f t="shared" si="11"/>
        <v>0</v>
      </c>
      <c r="FQ8" s="182" t="b">
        <f t="shared" si="11"/>
        <v>0</v>
      </c>
      <c r="FR8" s="182" t="b">
        <f t="shared" si="11"/>
        <v>1</v>
      </c>
      <c r="FS8" s="182" t="b">
        <f t="shared" si="11"/>
        <v>0</v>
      </c>
      <c r="FT8" s="182" t="b">
        <f t="shared" si="11"/>
        <v>0</v>
      </c>
      <c r="FU8" s="182" t="b">
        <f t="shared" si="11"/>
        <v>0</v>
      </c>
      <c r="FV8" s="182" t="b">
        <f t="shared" si="11"/>
        <v>0</v>
      </c>
      <c r="FW8" s="182" t="b">
        <f t="shared" si="11"/>
        <v>0</v>
      </c>
      <c r="FX8" s="182" t="b">
        <f t="shared" si="11"/>
        <v>0</v>
      </c>
      <c r="FY8" s="182" t="b">
        <f t="shared" si="11"/>
        <v>0</v>
      </c>
      <c r="FZ8" s="182" t="b">
        <f t="shared" si="11"/>
        <v>0</v>
      </c>
      <c r="GA8" s="182" t="b">
        <f t="shared" si="11"/>
        <v>0</v>
      </c>
      <c r="GB8" s="182" t="b">
        <f t="shared" si="11"/>
        <v>0</v>
      </c>
      <c r="GC8" s="182" t="b">
        <f t="shared" si="11"/>
        <v>0</v>
      </c>
      <c r="GD8" s="182" t="b">
        <f t="shared" si="11"/>
        <v>1</v>
      </c>
      <c r="GE8" s="182" t="b">
        <f t="shared" si="11"/>
        <v>0</v>
      </c>
      <c r="GF8" s="182" t="b">
        <f t="shared" si="11"/>
        <v>0</v>
      </c>
      <c r="GG8" s="182" t="b">
        <f t="shared" si="11"/>
        <v>0</v>
      </c>
      <c r="GH8" s="182" t="b">
        <f t="shared" si="11"/>
        <v>0</v>
      </c>
      <c r="GI8" s="182" t="b">
        <f t="shared" si="11"/>
        <v>0</v>
      </c>
      <c r="GJ8" s="182" t="b">
        <f t="shared" si="11"/>
        <v>0</v>
      </c>
      <c r="GK8" s="182" t="b">
        <f t="shared" si="11"/>
        <v>0</v>
      </c>
      <c r="GL8" s="182" t="b">
        <f t="shared" si="11"/>
        <v>0</v>
      </c>
      <c r="GM8" s="182" t="b">
        <f t="shared" si="11"/>
        <v>0</v>
      </c>
      <c r="GN8" s="182" t="b">
        <f t="shared" si="11"/>
        <v>0</v>
      </c>
      <c r="GO8" s="182" t="b">
        <f t="shared" si="11"/>
        <v>0</v>
      </c>
      <c r="GP8" s="182" t="b">
        <f t="shared" si="11"/>
        <v>1</v>
      </c>
    </row>
    <row r="9" spans="2:198" x14ac:dyDescent="0.3">
      <c r="B9" s="184" t="str">
        <f>'MF Rent Roll'!B8</f>
        <v>2bd/1.5ba</v>
      </c>
      <c r="C9" s="171">
        <f>'MF Rent Roll'!C8</f>
        <v>12</v>
      </c>
      <c r="D9" s="172">
        <f>'MF Rent Roll'!D8</f>
        <v>2</v>
      </c>
      <c r="E9" s="172">
        <f>'MF Rent Roll'!E8</f>
        <v>1.5</v>
      </c>
      <c r="F9" s="173">
        <f>'MF Rent Roll'!F8</f>
        <v>1025</v>
      </c>
      <c r="G9" s="174">
        <f>'MF Rent Roll'!G8</f>
        <v>850</v>
      </c>
      <c r="H9" s="176">
        <f>'MF Rent Roll'!J8</f>
        <v>12</v>
      </c>
      <c r="I9" s="174">
        <f>'MF Rent Roll'!K8</f>
        <v>65</v>
      </c>
      <c r="J9" s="177">
        <f>'MF Rent Roll'!L8</f>
        <v>0</v>
      </c>
      <c r="K9" s="178">
        <f>'MF Rent Roll'!M8</f>
        <v>25</v>
      </c>
      <c r="L9" s="174">
        <f>'MF Rent Roll'!N8</f>
        <v>350</v>
      </c>
      <c r="M9" s="179">
        <f>'MF Rent Roll'!O8</f>
        <v>0.6</v>
      </c>
      <c r="N9" s="180">
        <f>'MF Rent Roll'!P8</f>
        <v>0</v>
      </c>
      <c r="O9" s="181">
        <f>'MF Rent Roll'!Q8</f>
        <v>10</v>
      </c>
      <c r="P9" s="104">
        <f>'MF Rent Roll'!R8</f>
        <v>140</v>
      </c>
      <c r="S9" s="182" t="b">
        <f t="shared" si="12"/>
        <v>0</v>
      </c>
      <c r="T9" s="182" t="b">
        <f t="shared" si="9"/>
        <v>0</v>
      </c>
      <c r="U9" s="182" t="b">
        <f t="shared" si="9"/>
        <v>0</v>
      </c>
      <c r="V9" s="182" t="b">
        <f t="shared" si="9"/>
        <v>0</v>
      </c>
      <c r="W9" s="182" t="b">
        <f t="shared" si="9"/>
        <v>0</v>
      </c>
      <c r="X9" s="182" t="b">
        <f t="shared" si="9"/>
        <v>0</v>
      </c>
      <c r="Y9" s="182" t="b">
        <f t="shared" si="9"/>
        <v>0</v>
      </c>
      <c r="Z9" s="182" t="b">
        <f t="shared" si="9"/>
        <v>0</v>
      </c>
      <c r="AA9" s="182" t="b">
        <f t="shared" si="9"/>
        <v>0</v>
      </c>
      <c r="AB9" s="182" t="b">
        <f t="shared" si="9"/>
        <v>0</v>
      </c>
      <c r="AC9" s="182" t="b">
        <f t="shared" si="9"/>
        <v>0</v>
      </c>
      <c r="AD9" s="182" t="b">
        <f t="shared" si="9"/>
        <v>1</v>
      </c>
      <c r="AE9" s="182" t="b">
        <f t="shared" si="9"/>
        <v>0</v>
      </c>
      <c r="AF9" s="182" t="b">
        <f t="shared" si="9"/>
        <v>0</v>
      </c>
      <c r="AG9" s="182" t="b">
        <f t="shared" si="9"/>
        <v>0</v>
      </c>
      <c r="AH9" s="182" t="b">
        <f t="shared" si="9"/>
        <v>0</v>
      </c>
      <c r="AI9" s="182" t="b">
        <f t="shared" si="9"/>
        <v>0</v>
      </c>
      <c r="AJ9" s="182" t="b">
        <f t="shared" si="9"/>
        <v>0</v>
      </c>
      <c r="AK9" s="182" t="b">
        <f t="shared" si="9"/>
        <v>0</v>
      </c>
      <c r="AL9" s="182" t="b">
        <f t="shared" si="9"/>
        <v>0</v>
      </c>
      <c r="AM9" s="182" t="b">
        <f t="shared" si="9"/>
        <v>0</v>
      </c>
      <c r="AN9" s="182" t="b">
        <f t="shared" si="9"/>
        <v>0</v>
      </c>
      <c r="AO9" s="182" t="b">
        <f t="shared" si="9"/>
        <v>0</v>
      </c>
      <c r="AP9" s="182" t="b">
        <f t="shared" si="9"/>
        <v>1</v>
      </c>
      <c r="AQ9" s="182" t="b">
        <f t="shared" si="9"/>
        <v>0</v>
      </c>
      <c r="AR9" s="182" t="b">
        <f t="shared" si="9"/>
        <v>0</v>
      </c>
      <c r="AS9" s="182" t="b">
        <f t="shared" si="9"/>
        <v>0</v>
      </c>
      <c r="AT9" s="182" t="b">
        <f t="shared" si="9"/>
        <v>0</v>
      </c>
      <c r="AU9" s="182" t="b">
        <f t="shared" si="9"/>
        <v>0</v>
      </c>
      <c r="AV9" s="182" t="b">
        <f t="shared" si="9"/>
        <v>0</v>
      </c>
      <c r="AW9" s="182" t="b">
        <f t="shared" si="9"/>
        <v>0</v>
      </c>
      <c r="AX9" s="182" t="b">
        <f t="shared" si="9"/>
        <v>0</v>
      </c>
      <c r="AY9" s="182" t="b">
        <f t="shared" si="9"/>
        <v>0</v>
      </c>
      <c r="AZ9" s="182" t="b">
        <f t="shared" si="9"/>
        <v>0</v>
      </c>
      <c r="BA9" s="182" t="b">
        <f t="shared" si="9"/>
        <v>0</v>
      </c>
      <c r="BB9" s="182" t="b">
        <f t="shared" si="9"/>
        <v>1</v>
      </c>
      <c r="BC9" s="182" t="b">
        <f t="shared" si="9"/>
        <v>0</v>
      </c>
      <c r="BD9" s="182" t="b">
        <f t="shared" si="9"/>
        <v>0</v>
      </c>
      <c r="BE9" s="182" t="b">
        <f t="shared" si="9"/>
        <v>0</v>
      </c>
      <c r="BF9" s="182" t="b">
        <f t="shared" si="9"/>
        <v>0</v>
      </c>
      <c r="BG9" s="182" t="b">
        <f t="shared" si="9"/>
        <v>0</v>
      </c>
      <c r="BH9" s="182" t="b">
        <f t="shared" si="9"/>
        <v>0</v>
      </c>
      <c r="BI9" s="182" t="b">
        <f t="shared" si="9"/>
        <v>0</v>
      </c>
      <c r="BJ9" s="182" t="b">
        <f t="shared" si="9"/>
        <v>0</v>
      </c>
      <c r="BK9" s="182" t="b">
        <f t="shared" si="9"/>
        <v>0</v>
      </c>
      <c r="BL9" s="182" t="b">
        <f t="shared" si="9"/>
        <v>0</v>
      </c>
      <c r="BM9" s="182" t="b">
        <f t="shared" si="9"/>
        <v>0</v>
      </c>
      <c r="BN9" s="182" t="b">
        <f t="shared" si="9"/>
        <v>1</v>
      </c>
      <c r="BO9" s="182" t="b">
        <f t="shared" si="9"/>
        <v>0</v>
      </c>
      <c r="BP9" s="182" t="b">
        <f t="shared" si="9"/>
        <v>0</v>
      </c>
      <c r="BQ9" s="182" t="b">
        <f t="shared" si="9"/>
        <v>0</v>
      </c>
      <c r="BR9" s="182" t="b">
        <f t="shared" si="9"/>
        <v>0</v>
      </c>
      <c r="BS9" s="182" t="b">
        <f t="shared" si="9"/>
        <v>0</v>
      </c>
      <c r="BT9" s="182" t="b">
        <f t="shared" si="9"/>
        <v>0</v>
      </c>
      <c r="BU9" s="182" t="b">
        <f t="shared" si="9"/>
        <v>0</v>
      </c>
      <c r="BV9" s="182" t="b">
        <f t="shared" si="9"/>
        <v>0</v>
      </c>
      <c r="BW9" s="182" t="b">
        <f t="shared" si="9"/>
        <v>0</v>
      </c>
      <c r="BX9" s="182" t="b">
        <f t="shared" si="9"/>
        <v>0</v>
      </c>
      <c r="BY9" s="182" t="b">
        <f t="shared" si="9"/>
        <v>0</v>
      </c>
      <c r="BZ9" s="182" t="b">
        <f t="shared" si="9"/>
        <v>1</v>
      </c>
      <c r="CA9" s="182" t="b">
        <f t="shared" si="9"/>
        <v>0</v>
      </c>
      <c r="CB9" s="182" t="b">
        <f t="shared" si="9"/>
        <v>0</v>
      </c>
      <c r="CC9" s="182" t="b">
        <f t="shared" si="9"/>
        <v>0</v>
      </c>
      <c r="CD9" s="182" t="b">
        <f t="shared" si="9"/>
        <v>0</v>
      </c>
      <c r="CE9" s="182" t="b">
        <f t="shared" ref="T9:CE13" si="13">IF($B9=0,"",INT(CE$4/$H9)=CE$4/$H9)</f>
        <v>0</v>
      </c>
      <c r="CF9" s="182" t="b">
        <f t="shared" si="10"/>
        <v>0</v>
      </c>
      <c r="CG9" s="182" t="b">
        <f t="shared" si="10"/>
        <v>0</v>
      </c>
      <c r="CH9" s="182" t="b">
        <f t="shared" si="10"/>
        <v>0</v>
      </c>
      <c r="CI9" s="182" t="b">
        <f t="shared" si="10"/>
        <v>0</v>
      </c>
      <c r="CJ9" s="182" t="b">
        <f t="shared" si="10"/>
        <v>0</v>
      </c>
      <c r="CK9" s="182" t="b">
        <f t="shared" si="10"/>
        <v>0</v>
      </c>
      <c r="CL9" s="182" t="b">
        <f t="shared" si="10"/>
        <v>1</v>
      </c>
      <c r="CM9" s="182" t="b">
        <f t="shared" si="10"/>
        <v>0</v>
      </c>
      <c r="CN9" s="182" t="b">
        <f t="shared" si="10"/>
        <v>0</v>
      </c>
      <c r="CO9" s="182" t="b">
        <f t="shared" si="10"/>
        <v>0</v>
      </c>
      <c r="CP9" s="182" t="b">
        <f t="shared" si="10"/>
        <v>0</v>
      </c>
      <c r="CQ9" s="182" t="b">
        <f t="shared" si="10"/>
        <v>0</v>
      </c>
      <c r="CR9" s="182" t="b">
        <f t="shared" si="10"/>
        <v>0</v>
      </c>
      <c r="CS9" s="182" t="b">
        <f t="shared" si="10"/>
        <v>0</v>
      </c>
      <c r="CT9" s="182" t="b">
        <f t="shared" si="10"/>
        <v>0</v>
      </c>
      <c r="CU9" s="182" t="b">
        <f t="shared" si="10"/>
        <v>0</v>
      </c>
      <c r="CV9" s="182" t="b">
        <f t="shared" si="10"/>
        <v>0</v>
      </c>
      <c r="CW9" s="182" t="b">
        <f t="shared" si="10"/>
        <v>0</v>
      </c>
      <c r="CX9" s="182" t="b">
        <f t="shared" si="10"/>
        <v>1</v>
      </c>
      <c r="CY9" s="182" t="b">
        <f t="shared" si="10"/>
        <v>0</v>
      </c>
      <c r="CZ9" s="182" t="b">
        <f t="shared" si="10"/>
        <v>0</v>
      </c>
      <c r="DA9" s="182" t="b">
        <f t="shared" si="10"/>
        <v>0</v>
      </c>
      <c r="DB9" s="182" t="b">
        <f t="shared" si="10"/>
        <v>0</v>
      </c>
      <c r="DC9" s="182" t="b">
        <f t="shared" si="10"/>
        <v>0</v>
      </c>
      <c r="DD9" s="182" t="b">
        <f t="shared" si="10"/>
        <v>0</v>
      </c>
      <c r="DE9" s="182" t="b">
        <f t="shared" si="10"/>
        <v>0</v>
      </c>
      <c r="DF9" s="182" t="b">
        <f t="shared" si="10"/>
        <v>0</v>
      </c>
      <c r="DG9" s="182" t="b">
        <f t="shared" si="10"/>
        <v>0</v>
      </c>
      <c r="DH9" s="182" t="b">
        <f t="shared" si="10"/>
        <v>0</v>
      </c>
      <c r="DI9" s="182" t="b">
        <f t="shared" si="10"/>
        <v>0</v>
      </c>
      <c r="DJ9" s="182" t="b">
        <f t="shared" si="10"/>
        <v>1</v>
      </c>
      <c r="DK9" s="182" t="b">
        <f t="shared" si="10"/>
        <v>0</v>
      </c>
      <c r="DL9" s="182" t="b">
        <f t="shared" si="10"/>
        <v>0</v>
      </c>
      <c r="DM9" s="182" t="b">
        <f t="shared" si="10"/>
        <v>0</v>
      </c>
      <c r="DN9" s="182" t="b">
        <f t="shared" si="10"/>
        <v>0</v>
      </c>
      <c r="DO9" s="182" t="b">
        <f t="shared" si="10"/>
        <v>0</v>
      </c>
      <c r="DP9" s="182" t="b">
        <f t="shared" si="10"/>
        <v>0</v>
      </c>
      <c r="DQ9" s="182" t="b">
        <f t="shared" si="10"/>
        <v>0</v>
      </c>
      <c r="DR9" s="182" t="b">
        <f t="shared" si="10"/>
        <v>0</v>
      </c>
      <c r="DS9" s="182" t="b">
        <f t="shared" si="10"/>
        <v>0</v>
      </c>
      <c r="DT9" s="182" t="b">
        <f t="shared" si="10"/>
        <v>0</v>
      </c>
      <c r="DU9" s="182" t="b">
        <f t="shared" si="10"/>
        <v>0</v>
      </c>
      <c r="DV9" s="182" t="b">
        <f t="shared" si="10"/>
        <v>1</v>
      </c>
      <c r="DW9" s="182" t="b">
        <f t="shared" si="10"/>
        <v>0</v>
      </c>
      <c r="DX9" s="182" t="b">
        <f t="shared" si="10"/>
        <v>0</v>
      </c>
      <c r="DY9" s="182" t="b">
        <f t="shared" si="10"/>
        <v>0</v>
      </c>
      <c r="DZ9" s="182" t="b">
        <f t="shared" si="10"/>
        <v>0</v>
      </c>
      <c r="EA9" s="182" t="b">
        <f t="shared" si="10"/>
        <v>0</v>
      </c>
      <c r="EB9" s="182" t="b">
        <f t="shared" si="10"/>
        <v>0</v>
      </c>
      <c r="EC9" s="182" t="b">
        <f t="shared" si="10"/>
        <v>0</v>
      </c>
      <c r="ED9" s="182" t="b">
        <f t="shared" si="10"/>
        <v>0</v>
      </c>
      <c r="EE9" s="182" t="b">
        <f t="shared" si="10"/>
        <v>0</v>
      </c>
      <c r="EF9" s="182" t="b">
        <f t="shared" si="10"/>
        <v>0</v>
      </c>
      <c r="EG9" s="182" t="b">
        <f t="shared" si="10"/>
        <v>0</v>
      </c>
      <c r="EH9" s="182" t="b">
        <f t="shared" si="10"/>
        <v>1</v>
      </c>
      <c r="EI9" s="182" t="b">
        <f t="shared" si="10"/>
        <v>0</v>
      </c>
      <c r="EJ9" s="182" t="b">
        <f t="shared" si="10"/>
        <v>0</v>
      </c>
      <c r="EK9" s="182" t="b">
        <f t="shared" si="10"/>
        <v>0</v>
      </c>
      <c r="EL9" s="182" t="b">
        <f t="shared" si="10"/>
        <v>0</v>
      </c>
      <c r="EM9" s="182" t="b">
        <f t="shared" si="10"/>
        <v>0</v>
      </c>
      <c r="EN9" s="182" t="b">
        <f t="shared" si="10"/>
        <v>0</v>
      </c>
      <c r="EO9" s="182" t="b">
        <f t="shared" si="10"/>
        <v>0</v>
      </c>
      <c r="EP9" s="182" t="b">
        <f t="shared" si="10"/>
        <v>0</v>
      </c>
      <c r="EQ9" s="182" t="b">
        <f t="shared" ref="CF9:EQ13" si="14">IF($B9=0,"",INT(EQ$4/$H9)=EQ$4/$H9)</f>
        <v>0</v>
      </c>
      <c r="ER9" s="182" t="b">
        <f t="shared" si="11"/>
        <v>0</v>
      </c>
      <c r="ES9" s="182" t="b">
        <f t="shared" si="11"/>
        <v>0</v>
      </c>
      <c r="ET9" s="182" t="b">
        <f t="shared" si="11"/>
        <v>1</v>
      </c>
      <c r="EU9" s="182" t="b">
        <f t="shared" si="11"/>
        <v>0</v>
      </c>
      <c r="EV9" s="182" t="b">
        <f t="shared" si="11"/>
        <v>0</v>
      </c>
      <c r="EW9" s="182" t="b">
        <f t="shared" si="11"/>
        <v>0</v>
      </c>
      <c r="EX9" s="182" t="b">
        <f t="shared" si="11"/>
        <v>0</v>
      </c>
      <c r="EY9" s="182" t="b">
        <f t="shared" si="11"/>
        <v>0</v>
      </c>
      <c r="EZ9" s="182" t="b">
        <f t="shared" si="11"/>
        <v>0</v>
      </c>
      <c r="FA9" s="182" t="b">
        <f t="shared" si="11"/>
        <v>0</v>
      </c>
      <c r="FB9" s="182" t="b">
        <f t="shared" si="11"/>
        <v>0</v>
      </c>
      <c r="FC9" s="182" t="b">
        <f t="shared" si="11"/>
        <v>0</v>
      </c>
      <c r="FD9" s="182" t="b">
        <f t="shared" si="11"/>
        <v>0</v>
      </c>
      <c r="FE9" s="182" t="b">
        <f t="shared" si="11"/>
        <v>0</v>
      </c>
      <c r="FF9" s="182" t="b">
        <f t="shared" si="11"/>
        <v>1</v>
      </c>
      <c r="FG9" s="182" t="b">
        <f t="shared" si="11"/>
        <v>0</v>
      </c>
      <c r="FH9" s="182" t="b">
        <f t="shared" si="11"/>
        <v>0</v>
      </c>
      <c r="FI9" s="182" t="b">
        <f t="shared" si="11"/>
        <v>0</v>
      </c>
      <c r="FJ9" s="182" t="b">
        <f t="shared" si="11"/>
        <v>0</v>
      </c>
      <c r="FK9" s="182" t="b">
        <f t="shared" si="11"/>
        <v>0</v>
      </c>
      <c r="FL9" s="182" t="b">
        <f t="shared" si="11"/>
        <v>0</v>
      </c>
      <c r="FM9" s="182" t="b">
        <f t="shared" si="11"/>
        <v>0</v>
      </c>
      <c r="FN9" s="182" t="b">
        <f t="shared" si="11"/>
        <v>0</v>
      </c>
      <c r="FO9" s="182" t="b">
        <f t="shared" si="11"/>
        <v>0</v>
      </c>
      <c r="FP9" s="182" t="b">
        <f t="shared" si="11"/>
        <v>0</v>
      </c>
      <c r="FQ9" s="182" t="b">
        <f t="shared" si="11"/>
        <v>0</v>
      </c>
      <c r="FR9" s="182" t="b">
        <f t="shared" si="11"/>
        <v>1</v>
      </c>
      <c r="FS9" s="182" t="b">
        <f t="shared" si="11"/>
        <v>0</v>
      </c>
      <c r="FT9" s="182" t="b">
        <f t="shared" si="11"/>
        <v>0</v>
      </c>
      <c r="FU9" s="182" t="b">
        <f t="shared" si="11"/>
        <v>0</v>
      </c>
      <c r="FV9" s="182" t="b">
        <f t="shared" si="11"/>
        <v>0</v>
      </c>
      <c r="FW9" s="182" t="b">
        <f t="shared" si="11"/>
        <v>0</v>
      </c>
      <c r="FX9" s="182" t="b">
        <f t="shared" si="11"/>
        <v>0</v>
      </c>
      <c r="FY9" s="182" t="b">
        <f t="shared" si="11"/>
        <v>0</v>
      </c>
      <c r="FZ9" s="182" t="b">
        <f t="shared" si="11"/>
        <v>0</v>
      </c>
      <c r="GA9" s="182" t="b">
        <f t="shared" si="11"/>
        <v>0</v>
      </c>
      <c r="GB9" s="182" t="b">
        <f t="shared" si="11"/>
        <v>0</v>
      </c>
      <c r="GC9" s="182" t="b">
        <f t="shared" si="11"/>
        <v>0</v>
      </c>
      <c r="GD9" s="182" t="b">
        <f t="shared" si="11"/>
        <v>1</v>
      </c>
      <c r="GE9" s="182" t="b">
        <f t="shared" si="11"/>
        <v>0</v>
      </c>
      <c r="GF9" s="182" t="b">
        <f t="shared" si="11"/>
        <v>0</v>
      </c>
      <c r="GG9" s="182" t="b">
        <f t="shared" si="11"/>
        <v>0</v>
      </c>
      <c r="GH9" s="182" t="b">
        <f t="shared" si="11"/>
        <v>0</v>
      </c>
      <c r="GI9" s="182" t="b">
        <f t="shared" si="11"/>
        <v>0</v>
      </c>
      <c r="GJ9" s="182" t="b">
        <f t="shared" si="11"/>
        <v>0</v>
      </c>
      <c r="GK9" s="182" t="b">
        <f t="shared" si="11"/>
        <v>0</v>
      </c>
      <c r="GL9" s="182" t="b">
        <f t="shared" si="11"/>
        <v>0</v>
      </c>
      <c r="GM9" s="182" t="b">
        <f t="shared" si="11"/>
        <v>0</v>
      </c>
      <c r="GN9" s="182" t="b">
        <f t="shared" si="11"/>
        <v>0</v>
      </c>
      <c r="GO9" s="182" t="b">
        <f t="shared" si="11"/>
        <v>0</v>
      </c>
      <c r="GP9" s="182" t="b">
        <f t="shared" si="11"/>
        <v>1</v>
      </c>
    </row>
    <row r="10" spans="2:198" x14ac:dyDescent="0.3">
      <c r="B10" s="184" t="str">
        <f>'MF Rent Roll'!B9</f>
        <v>3bd/2ba</v>
      </c>
      <c r="C10" s="171">
        <f>'MF Rent Roll'!C9</f>
        <v>24</v>
      </c>
      <c r="D10" s="172">
        <f>'MF Rent Roll'!D9</f>
        <v>3</v>
      </c>
      <c r="E10" s="172">
        <f>'MF Rent Roll'!E9</f>
        <v>2</v>
      </c>
      <c r="F10" s="173">
        <f>'MF Rent Roll'!F9</f>
        <v>1046</v>
      </c>
      <c r="G10" s="174">
        <f>'MF Rent Roll'!G9</f>
        <v>1100</v>
      </c>
      <c r="H10" s="176">
        <f>'MF Rent Roll'!J9</f>
        <v>12</v>
      </c>
      <c r="I10" s="174">
        <f>'MF Rent Roll'!K9</f>
        <v>70</v>
      </c>
      <c r="J10" s="177">
        <f>'MF Rent Roll'!L9</f>
        <v>0</v>
      </c>
      <c r="K10" s="178">
        <f>'MF Rent Roll'!M9</f>
        <v>30</v>
      </c>
      <c r="L10" s="174">
        <f>'MF Rent Roll'!N9</f>
        <v>400</v>
      </c>
      <c r="M10" s="179">
        <f>'MF Rent Roll'!O9</f>
        <v>0.6</v>
      </c>
      <c r="N10" s="180">
        <f>'MF Rent Roll'!P9</f>
        <v>0</v>
      </c>
      <c r="O10" s="181">
        <f>'MF Rent Roll'!Q9</f>
        <v>12</v>
      </c>
      <c r="P10" s="104">
        <f>'MF Rent Roll'!R9</f>
        <v>160</v>
      </c>
      <c r="S10" s="182" t="b">
        <f t="shared" si="12"/>
        <v>0</v>
      </c>
      <c r="T10" s="182" t="b">
        <f t="shared" si="13"/>
        <v>0</v>
      </c>
      <c r="U10" s="182" t="b">
        <f t="shared" si="13"/>
        <v>0</v>
      </c>
      <c r="V10" s="182" t="b">
        <f t="shared" si="13"/>
        <v>0</v>
      </c>
      <c r="W10" s="182" t="b">
        <f t="shared" si="13"/>
        <v>0</v>
      </c>
      <c r="X10" s="182" t="b">
        <f t="shared" si="13"/>
        <v>0</v>
      </c>
      <c r="Y10" s="182" t="b">
        <f t="shared" si="13"/>
        <v>0</v>
      </c>
      <c r="Z10" s="182" t="b">
        <f t="shared" si="13"/>
        <v>0</v>
      </c>
      <c r="AA10" s="182" t="b">
        <f t="shared" si="13"/>
        <v>0</v>
      </c>
      <c r="AB10" s="182" t="b">
        <f t="shared" si="13"/>
        <v>0</v>
      </c>
      <c r="AC10" s="182" t="b">
        <f t="shared" si="13"/>
        <v>0</v>
      </c>
      <c r="AD10" s="182" t="b">
        <f t="shared" si="13"/>
        <v>1</v>
      </c>
      <c r="AE10" s="182" t="b">
        <f t="shared" si="13"/>
        <v>0</v>
      </c>
      <c r="AF10" s="182" t="b">
        <f t="shared" si="13"/>
        <v>0</v>
      </c>
      <c r="AG10" s="182" t="b">
        <f t="shared" si="13"/>
        <v>0</v>
      </c>
      <c r="AH10" s="182" t="b">
        <f t="shared" si="13"/>
        <v>0</v>
      </c>
      <c r="AI10" s="182" t="b">
        <f t="shared" si="13"/>
        <v>0</v>
      </c>
      <c r="AJ10" s="182" t="b">
        <f t="shared" si="13"/>
        <v>0</v>
      </c>
      <c r="AK10" s="182" t="b">
        <f t="shared" si="13"/>
        <v>0</v>
      </c>
      <c r="AL10" s="182" t="b">
        <f t="shared" si="13"/>
        <v>0</v>
      </c>
      <c r="AM10" s="182" t="b">
        <f t="shared" si="13"/>
        <v>0</v>
      </c>
      <c r="AN10" s="182" t="b">
        <f t="shared" si="13"/>
        <v>0</v>
      </c>
      <c r="AO10" s="182" t="b">
        <f t="shared" si="13"/>
        <v>0</v>
      </c>
      <c r="AP10" s="182" t="b">
        <f t="shared" si="13"/>
        <v>1</v>
      </c>
      <c r="AQ10" s="182" t="b">
        <f t="shared" si="13"/>
        <v>0</v>
      </c>
      <c r="AR10" s="182" t="b">
        <f t="shared" si="13"/>
        <v>0</v>
      </c>
      <c r="AS10" s="182" t="b">
        <f t="shared" si="13"/>
        <v>0</v>
      </c>
      <c r="AT10" s="182" t="b">
        <f t="shared" si="13"/>
        <v>0</v>
      </c>
      <c r="AU10" s="182" t="b">
        <f t="shared" si="13"/>
        <v>0</v>
      </c>
      <c r="AV10" s="182" t="b">
        <f t="shared" si="13"/>
        <v>0</v>
      </c>
      <c r="AW10" s="182" t="b">
        <f t="shared" si="13"/>
        <v>0</v>
      </c>
      <c r="AX10" s="182" t="b">
        <f t="shared" si="13"/>
        <v>0</v>
      </c>
      <c r="AY10" s="182" t="b">
        <f t="shared" si="13"/>
        <v>0</v>
      </c>
      <c r="AZ10" s="182" t="b">
        <f t="shared" si="13"/>
        <v>0</v>
      </c>
      <c r="BA10" s="182" t="b">
        <f t="shared" si="13"/>
        <v>0</v>
      </c>
      <c r="BB10" s="182" t="b">
        <f t="shared" si="13"/>
        <v>1</v>
      </c>
      <c r="BC10" s="182" t="b">
        <f t="shared" si="13"/>
        <v>0</v>
      </c>
      <c r="BD10" s="182" t="b">
        <f t="shared" si="13"/>
        <v>0</v>
      </c>
      <c r="BE10" s="182" t="b">
        <f t="shared" si="13"/>
        <v>0</v>
      </c>
      <c r="BF10" s="182" t="b">
        <f t="shared" si="13"/>
        <v>0</v>
      </c>
      <c r="BG10" s="182" t="b">
        <f t="shared" si="13"/>
        <v>0</v>
      </c>
      <c r="BH10" s="182" t="b">
        <f t="shared" si="13"/>
        <v>0</v>
      </c>
      <c r="BI10" s="182" t="b">
        <f t="shared" si="13"/>
        <v>0</v>
      </c>
      <c r="BJ10" s="182" t="b">
        <f t="shared" si="13"/>
        <v>0</v>
      </c>
      <c r="BK10" s="182" t="b">
        <f t="shared" si="13"/>
        <v>0</v>
      </c>
      <c r="BL10" s="182" t="b">
        <f t="shared" si="13"/>
        <v>0</v>
      </c>
      <c r="BM10" s="182" t="b">
        <f t="shared" si="13"/>
        <v>0</v>
      </c>
      <c r="BN10" s="182" t="b">
        <f t="shared" si="13"/>
        <v>1</v>
      </c>
      <c r="BO10" s="182" t="b">
        <f t="shared" si="13"/>
        <v>0</v>
      </c>
      <c r="BP10" s="182" t="b">
        <f t="shared" si="13"/>
        <v>0</v>
      </c>
      <c r="BQ10" s="182" t="b">
        <f t="shared" si="13"/>
        <v>0</v>
      </c>
      <c r="BR10" s="182" t="b">
        <f t="shared" si="13"/>
        <v>0</v>
      </c>
      <c r="BS10" s="182" t="b">
        <f t="shared" si="13"/>
        <v>0</v>
      </c>
      <c r="BT10" s="182" t="b">
        <f t="shared" si="13"/>
        <v>0</v>
      </c>
      <c r="BU10" s="182" t="b">
        <f t="shared" si="13"/>
        <v>0</v>
      </c>
      <c r="BV10" s="182" t="b">
        <f t="shared" si="13"/>
        <v>0</v>
      </c>
      <c r="BW10" s="182" t="b">
        <f t="shared" si="13"/>
        <v>0</v>
      </c>
      <c r="BX10" s="182" t="b">
        <f t="shared" si="13"/>
        <v>0</v>
      </c>
      <c r="BY10" s="182" t="b">
        <f t="shared" si="13"/>
        <v>0</v>
      </c>
      <c r="BZ10" s="182" t="b">
        <f t="shared" si="13"/>
        <v>1</v>
      </c>
      <c r="CA10" s="182" t="b">
        <f t="shared" si="13"/>
        <v>0</v>
      </c>
      <c r="CB10" s="182" t="b">
        <f t="shared" si="13"/>
        <v>0</v>
      </c>
      <c r="CC10" s="182" t="b">
        <f t="shared" si="13"/>
        <v>0</v>
      </c>
      <c r="CD10" s="182" t="b">
        <f t="shared" si="13"/>
        <v>0</v>
      </c>
      <c r="CE10" s="182" t="b">
        <f t="shared" si="13"/>
        <v>0</v>
      </c>
      <c r="CF10" s="182" t="b">
        <f t="shared" si="14"/>
        <v>0</v>
      </c>
      <c r="CG10" s="182" t="b">
        <f t="shared" si="14"/>
        <v>0</v>
      </c>
      <c r="CH10" s="182" t="b">
        <f t="shared" si="14"/>
        <v>0</v>
      </c>
      <c r="CI10" s="182" t="b">
        <f t="shared" si="14"/>
        <v>0</v>
      </c>
      <c r="CJ10" s="182" t="b">
        <f t="shared" si="14"/>
        <v>0</v>
      </c>
      <c r="CK10" s="182" t="b">
        <f t="shared" si="14"/>
        <v>0</v>
      </c>
      <c r="CL10" s="182" t="b">
        <f t="shared" si="14"/>
        <v>1</v>
      </c>
      <c r="CM10" s="182" t="b">
        <f t="shared" si="14"/>
        <v>0</v>
      </c>
      <c r="CN10" s="182" t="b">
        <f t="shared" si="14"/>
        <v>0</v>
      </c>
      <c r="CO10" s="182" t="b">
        <f t="shared" si="14"/>
        <v>0</v>
      </c>
      <c r="CP10" s="182" t="b">
        <f t="shared" si="14"/>
        <v>0</v>
      </c>
      <c r="CQ10" s="182" t="b">
        <f t="shared" si="14"/>
        <v>0</v>
      </c>
      <c r="CR10" s="182" t="b">
        <f t="shared" si="14"/>
        <v>0</v>
      </c>
      <c r="CS10" s="182" t="b">
        <f t="shared" si="14"/>
        <v>0</v>
      </c>
      <c r="CT10" s="182" t="b">
        <f t="shared" si="14"/>
        <v>0</v>
      </c>
      <c r="CU10" s="182" t="b">
        <f t="shared" si="14"/>
        <v>0</v>
      </c>
      <c r="CV10" s="182" t="b">
        <f t="shared" si="14"/>
        <v>0</v>
      </c>
      <c r="CW10" s="182" t="b">
        <f t="shared" si="14"/>
        <v>0</v>
      </c>
      <c r="CX10" s="182" t="b">
        <f t="shared" si="14"/>
        <v>1</v>
      </c>
      <c r="CY10" s="182" t="b">
        <f t="shared" si="14"/>
        <v>0</v>
      </c>
      <c r="CZ10" s="182" t="b">
        <f t="shared" si="14"/>
        <v>0</v>
      </c>
      <c r="DA10" s="182" t="b">
        <f t="shared" si="14"/>
        <v>0</v>
      </c>
      <c r="DB10" s="182" t="b">
        <f t="shared" si="14"/>
        <v>0</v>
      </c>
      <c r="DC10" s="182" t="b">
        <f t="shared" si="14"/>
        <v>0</v>
      </c>
      <c r="DD10" s="182" t="b">
        <f t="shared" si="14"/>
        <v>0</v>
      </c>
      <c r="DE10" s="182" t="b">
        <f t="shared" si="14"/>
        <v>0</v>
      </c>
      <c r="DF10" s="182" t="b">
        <f t="shared" si="14"/>
        <v>0</v>
      </c>
      <c r="DG10" s="182" t="b">
        <f t="shared" si="14"/>
        <v>0</v>
      </c>
      <c r="DH10" s="182" t="b">
        <f t="shared" si="14"/>
        <v>0</v>
      </c>
      <c r="DI10" s="182" t="b">
        <f t="shared" si="14"/>
        <v>0</v>
      </c>
      <c r="DJ10" s="182" t="b">
        <f t="shared" si="14"/>
        <v>1</v>
      </c>
      <c r="DK10" s="182" t="b">
        <f t="shared" si="14"/>
        <v>0</v>
      </c>
      <c r="DL10" s="182" t="b">
        <f t="shared" si="14"/>
        <v>0</v>
      </c>
      <c r="DM10" s="182" t="b">
        <f t="shared" si="14"/>
        <v>0</v>
      </c>
      <c r="DN10" s="182" t="b">
        <f t="shared" si="14"/>
        <v>0</v>
      </c>
      <c r="DO10" s="182" t="b">
        <f t="shared" si="14"/>
        <v>0</v>
      </c>
      <c r="DP10" s="182" t="b">
        <f t="shared" si="14"/>
        <v>0</v>
      </c>
      <c r="DQ10" s="182" t="b">
        <f t="shared" si="14"/>
        <v>0</v>
      </c>
      <c r="DR10" s="182" t="b">
        <f t="shared" si="14"/>
        <v>0</v>
      </c>
      <c r="DS10" s="182" t="b">
        <f t="shared" si="14"/>
        <v>0</v>
      </c>
      <c r="DT10" s="182" t="b">
        <f t="shared" si="14"/>
        <v>0</v>
      </c>
      <c r="DU10" s="182" t="b">
        <f t="shared" si="14"/>
        <v>0</v>
      </c>
      <c r="DV10" s="182" t="b">
        <f t="shared" si="14"/>
        <v>1</v>
      </c>
      <c r="DW10" s="182" t="b">
        <f t="shared" si="14"/>
        <v>0</v>
      </c>
      <c r="DX10" s="182" t="b">
        <f t="shared" si="14"/>
        <v>0</v>
      </c>
      <c r="DY10" s="182" t="b">
        <f t="shared" si="14"/>
        <v>0</v>
      </c>
      <c r="DZ10" s="182" t="b">
        <f t="shared" si="14"/>
        <v>0</v>
      </c>
      <c r="EA10" s="182" t="b">
        <f t="shared" si="14"/>
        <v>0</v>
      </c>
      <c r="EB10" s="182" t="b">
        <f t="shared" si="14"/>
        <v>0</v>
      </c>
      <c r="EC10" s="182" t="b">
        <f t="shared" si="14"/>
        <v>0</v>
      </c>
      <c r="ED10" s="182" t="b">
        <f t="shared" si="14"/>
        <v>0</v>
      </c>
      <c r="EE10" s="182" t="b">
        <f t="shared" si="14"/>
        <v>0</v>
      </c>
      <c r="EF10" s="182" t="b">
        <f t="shared" si="14"/>
        <v>0</v>
      </c>
      <c r="EG10" s="182" t="b">
        <f t="shared" si="14"/>
        <v>0</v>
      </c>
      <c r="EH10" s="182" t="b">
        <f t="shared" si="14"/>
        <v>1</v>
      </c>
      <c r="EI10" s="182" t="b">
        <f t="shared" si="14"/>
        <v>0</v>
      </c>
      <c r="EJ10" s="182" t="b">
        <f t="shared" si="14"/>
        <v>0</v>
      </c>
      <c r="EK10" s="182" t="b">
        <f t="shared" si="14"/>
        <v>0</v>
      </c>
      <c r="EL10" s="182" t="b">
        <f t="shared" si="14"/>
        <v>0</v>
      </c>
      <c r="EM10" s="182" t="b">
        <f t="shared" si="14"/>
        <v>0</v>
      </c>
      <c r="EN10" s="182" t="b">
        <f t="shared" si="14"/>
        <v>0</v>
      </c>
      <c r="EO10" s="182" t="b">
        <f t="shared" si="14"/>
        <v>0</v>
      </c>
      <c r="EP10" s="182" t="b">
        <f t="shared" si="14"/>
        <v>0</v>
      </c>
      <c r="EQ10" s="182" t="b">
        <f t="shared" si="14"/>
        <v>0</v>
      </c>
      <c r="ER10" s="182" t="b">
        <f t="shared" si="11"/>
        <v>0</v>
      </c>
      <c r="ES10" s="182" t="b">
        <f t="shared" si="11"/>
        <v>0</v>
      </c>
      <c r="ET10" s="182" t="b">
        <f t="shared" si="11"/>
        <v>1</v>
      </c>
      <c r="EU10" s="182" t="b">
        <f t="shared" si="11"/>
        <v>0</v>
      </c>
      <c r="EV10" s="182" t="b">
        <f t="shared" si="11"/>
        <v>0</v>
      </c>
      <c r="EW10" s="182" t="b">
        <f t="shared" si="11"/>
        <v>0</v>
      </c>
      <c r="EX10" s="182" t="b">
        <f t="shared" si="11"/>
        <v>0</v>
      </c>
      <c r="EY10" s="182" t="b">
        <f t="shared" si="11"/>
        <v>0</v>
      </c>
      <c r="EZ10" s="182" t="b">
        <f t="shared" si="11"/>
        <v>0</v>
      </c>
      <c r="FA10" s="182" t="b">
        <f t="shared" si="11"/>
        <v>0</v>
      </c>
      <c r="FB10" s="182" t="b">
        <f t="shared" si="11"/>
        <v>0</v>
      </c>
      <c r="FC10" s="182" t="b">
        <f t="shared" si="11"/>
        <v>0</v>
      </c>
      <c r="FD10" s="182" t="b">
        <f t="shared" si="11"/>
        <v>0</v>
      </c>
      <c r="FE10" s="182" t="b">
        <f t="shared" si="11"/>
        <v>0</v>
      </c>
      <c r="FF10" s="182" t="b">
        <f t="shared" si="11"/>
        <v>1</v>
      </c>
      <c r="FG10" s="182" t="b">
        <f t="shared" si="11"/>
        <v>0</v>
      </c>
      <c r="FH10" s="182" t="b">
        <f t="shared" si="11"/>
        <v>0</v>
      </c>
      <c r="FI10" s="182" t="b">
        <f t="shared" si="11"/>
        <v>0</v>
      </c>
      <c r="FJ10" s="182" t="b">
        <f t="shared" si="11"/>
        <v>0</v>
      </c>
      <c r="FK10" s="182" t="b">
        <f t="shared" si="11"/>
        <v>0</v>
      </c>
      <c r="FL10" s="182" t="b">
        <f t="shared" si="11"/>
        <v>0</v>
      </c>
      <c r="FM10" s="182" t="b">
        <f t="shared" si="11"/>
        <v>0</v>
      </c>
      <c r="FN10" s="182" t="b">
        <f t="shared" si="11"/>
        <v>0</v>
      </c>
      <c r="FO10" s="182" t="b">
        <f t="shared" si="11"/>
        <v>0</v>
      </c>
      <c r="FP10" s="182" t="b">
        <f t="shared" si="11"/>
        <v>0</v>
      </c>
      <c r="FQ10" s="182" t="b">
        <f t="shared" si="11"/>
        <v>0</v>
      </c>
      <c r="FR10" s="182" t="b">
        <f t="shared" si="11"/>
        <v>1</v>
      </c>
      <c r="FS10" s="182" t="b">
        <f t="shared" si="11"/>
        <v>0</v>
      </c>
      <c r="FT10" s="182" t="b">
        <f t="shared" si="11"/>
        <v>0</v>
      </c>
      <c r="FU10" s="182" t="b">
        <f t="shared" si="11"/>
        <v>0</v>
      </c>
      <c r="FV10" s="182" t="b">
        <f t="shared" si="11"/>
        <v>0</v>
      </c>
      <c r="FW10" s="182" t="b">
        <f t="shared" si="11"/>
        <v>0</v>
      </c>
      <c r="FX10" s="182" t="b">
        <f t="shared" si="11"/>
        <v>0</v>
      </c>
      <c r="FY10" s="182" t="b">
        <f t="shared" si="11"/>
        <v>0</v>
      </c>
      <c r="FZ10" s="182" t="b">
        <f t="shared" si="11"/>
        <v>0</v>
      </c>
      <c r="GA10" s="182" t="b">
        <f t="shared" si="11"/>
        <v>0</v>
      </c>
      <c r="GB10" s="182" t="b">
        <f t="shared" si="11"/>
        <v>0</v>
      </c>
      <c r="GC10" s="182" t="b">
        <f t="shared" si="11"/>
        <v>0</v>
      </c>
      <c r="GD10" s="182" t="b">
        <f t="shared" si="11"/>
        <v>1</v>
      </c>
      <c r="GE10" s="182" t="b">
        <f t="shared" si="11"/>
        <v>0</v>
      </c>
      <c r="GF10" s="182" t="b">
        <f t="shared" si="11"/>
        <v>0</v>
      </c>
      <c r="GG10" s="182" t="b">
        <f t="shared" si="11"/>
        <v>0</v>
      </c>
      <c r="GH10" s="182" t="b">
        <f t="shared" si="11"/>
        <v>0</v>
      </c>
      <c r="GI10" s="182" t="b">
        <f t="shared" si="11"/>
        <v>0</v>
      </c>
      <c r="GJ10" s="182" t="b">
        <f t="shared" si="11"/>
        <v>0</v>
      </c>
      <c r="GK10" s="182" t="b">
        <f t="shared" si="11"/>
        <v>0</v>
      </c>
      <c r="GL10" s="182" t="b">
        <f t="shared" si="11"/>
        <v>0</v>
      </c>
      <c r="GM10" s="182" t="b">
        <f t="shared" si="11"/>
        <v>0</v>
      </c>
      <c r="GN10" s="182" t="b">
        <f t="shared" si="11"/>
        <v>0</v>
      </c>
      <c r="GO10" s="182" t="b">
        <f t="shared" si="11"/>
        <v>0</v>
      </c>
      <c r="GP10" s="182" t="b">
        <f t="shared" si="11"/>
        <v>1</v>
      </c>
    </row>
    <row r="11" spans="2:198" x14ac:dyDescent="0.3">
      <c r="B11" s="184">
        <f>'MF Rent Roll'!B10</f>
        <v>0</v>
      </c>
      <c r="C11" s="171">
        <f>'MF Rent Roll'!C10</f>
        <v>0</v>
      </c>
      <c r="D11" s="172">
        <f>'MF Rent Roll'!D10</f>
        <v>0</v>
      </c>
      <c r="E11" s="172">
        <f>'MF Rent Roll'!E10</f>
        <v>0</v>
      </c>
      <c r="F11" s="173">
        <f>'MF Rent Roll'!F10</f>
        <v>0</v>
      </c>
      <c r="G11" s="174">
        <f>'MF Rent Roll'!G10</f>
        <v>0</v>
      </c>
      <c r="H11" s="176">
        <f>'MF Rent Roll'!J10</f>
        <v>0</v>
      </c>
      <c r="I11" s="174">
        <f>'MF Rent Roll'!K10</f>
        <v>0</v>
      </c>
      <c r="J11" s="177">
        <f>'MF Rent Roll'!L10</f>
        <v>0</v>
      </c>
      <c r="K11" s="178">
        <f>'MF Rent Roll'!M10</f>
        <v>0</v>
      </c>
      <c r="L11" s="174">
        <f>'MF Rent Roll'!N10</f>
        <v>0</v>
      </c>
      <c r="M11" s="179">
        <f>'MF Rent Roll'!O10</f>
        <v>0</v>
      </c>
      <c r="N11" s="180" t="str">
        <f>'MF Rent Roll'!P10</f>
        <v/>
      </c>
      <c r="O11" s="181" t="str">
        <f>'MF Rent Roll'!Q10</f>
        <v/>
      </c>
      <c r="P11" s="104" t="str">
        <f>'MF Rent Roll'!R10</f>
        <v/>
      </c>
      <c r="S11" s="182" t="str">
        <f t="shared" si="12"/>
        <v/>
      </c>
      <c r="T11" s="182" t="str">
        <f t="shared" si="13"/>
        <v/>
      </c>
      <c r="U11" s="182" t="str">
        <f t="shared" si="13"/>
        <v/>
      </c>
      <c r="V11" s="182" t="str">
        <f t="shared" si="13"/>
        <v/>
      </c>
      <c r="W11" s="182" t="str">
        <f t="shared" si="13"/>
        <v/>
      </c>
      <c r="X11" s="182" t="str">
        <f t="shared" si="13"/>
        <v/>
      </c>
      <c r="Y11" s="182" t="str">
        <f t="shared" si="13"/>
        <v/>
      </c>
      <c r="Z11" s="182" t="str">
        <f t="shared" si="13"/>
        <v/>
      </c>
      <c r="AA11" s="182" t="str">
        <f t="shared" si="13"/>
        <v/>
      </c>
      <c r="AB11" s="182" t="str">
        <f t="shared" si="13"/>
        <v/>
      </c>
      <c r="AC11" s="182" t="str">
        <f t="shared" si="13"/>
        <v/>
      </c>
      <c r="AD11" s="182" t="str">
        <f t="shared" si="13"/>
        <v/>
      </c>
      <c r="AE11" s="182" t="str">
        <f t="shared" si="13"/>
        <v/>
      </c>
      <c r="AF11" s="182" t="str">
        <f t="shared" si="13"/>
        <v/>
      </c>
      <c r="AG11" s="182" t="str">
        <f t="shared" si="13"/>
        <v/>
      </c>
      <c r="AH11" s="182" t="str">
        <f t="shared" si="13"/>
        <v/>
      </c>
      <c r="AI11" s="182" t="str">
        <f t="shared" si="13"/>
        <v/>
      </c>
      <c r="AJ11" s="182" t="str">
        <f t="shared" si="13"/>
        <v/>
      </c>
      <c r="AK11" s="182" t="str">
        <f t="shared" si="13"/>
        <v/>
      </c>
      <c r="AL11" s="182" t="str">
        <f t="shared" si="13"/>
        <v/>
      </c>
      <c r="AM11" s="182" t="str">
        <f t="shared" si="13"/>
        <v/>
      </c>
      <c r="AN11" s="182" t="str">
        <f t="shared" si="13"/>
        <v/>
      </c>
      <c r="AO11" s="182" t="str">
        <f t="shared" si="13"/>
        <v/>
      </c>
      <c r="AP11" s="182" t="str">
        <f t="shared" si="13"/>
        <v/>
      </c>
      <c r="AQ11" s="182" t="str">
        <f t="shared" si="13"/>
        <v/>
      </c>
      <c r="AR11" s="182" t="str">
        <f t="shared" si="13"/>
        <v/>
      </c>
      <c r="AS11" s="182" t="str">
        <f t="shared" si="13"/>
        <v/>
      </c>
      <c r="AT11" s="182" t="str">
        <f t="shared" si="13"/>
        <v/>
      </c>
      <c r="AU11" s="182" t="str">
        <f t="shared" si="13"/>
        <v/>
      </c>
      <c r="AV11" s="182" t="str">
        <f t="shared" si="13"/>
        <v/>
      </c>
      <c r="AW11" s="182" t="str">
        <f t="shared" si="13"/>
        <v/>
      </c>
      <c r="AX11" s="182" t="str">
        <f t="shared" si="13"/>
        <v/>
      </c>
      <c r="AY11" s="182" t="str">
        <f t="shared" si="13"/>
        <v/>
      </c>
      <c r="AZ11" s="182" t="str">
        <f t="shared" si="13"/>
        <v/>
      </c>
      <c r="BA11" s="182" t="str">
        <f t="shared" si="13"/>
        <v/>
      </c>
      <c r="BB11" s="182" t="str">
        <f t="shared" si="13"/>
        <v/>
      </c>
      <c r="BC11" s="182" t="str">
        <f t="shared" si="13"/>
        <v/>
      </c>
      <c r="BD11" s="182" t="str">
        <f t="shared" si="13"/>
        <v/>
      </c>
      <c r="BE11" s="182" t="str">
        <f t="shared" si="13"/>
        <v/>
      </c>
      <c r="BF11" s="182" t="str">
        <f t="shared" si="13"/>
        <v/>
      </c>
      <c r="BG11" s="182" t="str">
        <f t="shared" si="13"/>
        <v/>
      </c>
      <c r="BH11" s="182" t="str">
        <f t="shared" si="13"/>
        <v/>
      </c>
      <c r="BI11" s="182" t="str">
        <f t="shared" si="13"/>
        <v/>
      </c>
      <c r="BJ11" s="182" t="str">
        <f t="shared" si="13"/>
        <v/>
      </c>
      <c r="BK11" s="182" t="str">
        <f t="shared" si="13"/>
        <v/>
      </c>
      <c r="BL11" s="182" t="str">
        <f t="shared" si="13"/>
        <v/>
      </c>
      <c r="BM11" s="182" t="str">
        <f t="shared" si="13"/>
        <v/>
      </c>
      <c r="BN11" s="182" t="str">
        <f t="shared" si="13"/>
        <v/>
      </c>
      <c r="BO11" s="182" t="str">
        <f t="shared" si="13"/>
        <v/>
      </c>
      <c r="BP11" s="182" t="str">
        <f t="shared" si="13"/>
        <v/>
      </c>
      <c r="BQ11" s="182" t="str">
        <f t="shared" si="13"/>
        <v/>
      </c>
      <c r="BR11" s="182" t="str">
        <f t="shared" si="13"/>
        <v/>
      </c>
      <c r="BS11" s="182" t="str">
        <f t="shared" si="13"/>
        <v/>
      </c>
      <c r="BT11" s="182" t="str">
        <f t="shared" si="13"/>
        <v/>
      </c>
      <c r="BU11" s="182" t="str">
        <f t="shared" si="13"/>
        <v/>
      </c>
      <c r="BV11" s="182" t="str">
        <f t="shared" si="13"/>
        <v/>
      </c>
      <c r="BW11" s="182" t="str">
        <f t="shared" si="13"/>
        <v/>
      </c>
      <c r="BX11" s="182" t="str">
        <f t="shared" si="13"/>
        <v/>
      </c>
      <c r="BY11" s="182" t="str">
        <f t="shared" si="13"/>
        <v/>
      </c>
      <c r="BZ11" s="182" t="str">
        <f t="shared" si="13"/>
        <v/>
      </c>
      <c r="CA11" s="182" t="str">
        <f t="shared" si="13"/>
        <v/>
      </c>
      <c r="CB11" s="182" t="str">
        <f t="shared" si="13"/>
        <v/>
      </c>
      <c r="CC11" s="182" t="str">
        <f t="shared" si="13"/>
        <v/>
      </c>
      <c r="CD11" s="182" t="str">
        <f t="shared" si="13"/>
        <v/>
      </c>
      <c r="CE11" s="182" t="str">
        <f t="shared" si="13"/>
        <v/>
      </c>
      <c r="CF11" s="182" t="str">
        <f t="shared" si="14"/>
        <v/>
      </c>
      <c r="CG11" s="182" t="str">
        <f t="shared" si="14"/>
        <v/>
      </c>
      <c r="CH11" s="182" t="str">
        <f t="shared" si="14"/>
        <v/>
      </c>
      <c r="CI11" s="182" t="str">
        <f t="shared" si="14"/>
        <v/>
      </c>
      <c r="CJ11" s="182" t="str">
        <f t="shared" si="14"/>
        <v/>
      </c>
      <c r="CK11" s="182" t="str">
        <f t="shared" si="14"/>
        <v/>
      </c>
      <c r="CL11" s="182" t="str">
        <f t="shared" si="14"/>
        <v/>
      </c>
      <c r="CM11" s="182" t="str">
        <f t="shared" si="14"/>
        <v/>
      </c>
      <c r="CN11" s="182" t="str">
        <f t="shared" si="14"/>
        <v/>
      </c>
      <c r="CO11" s="182" t="str">
        <f t="shared" si="14"/>
        <v/>
      </c>
      <c r="CP11" s="182" t="str">
        <f t="shared" si="14"/>
        <v/>
      </c>
      <c r="CQ11" s="182" t="str">
        <f t="shared" si="14"/>
        <v/>
      </c>
      <c r="CR11" s="182" t="str">
        <f t="shared" si="14"/>
        <v/>
      </c>
      <c r="CS11" s="182" t="str">
        <f t="shared" si="14"/>
        <v/>
      </c>
      <c r="CT11" s="182" t="str">
        <f t="shared" si="14"/>
        <v/>
      </c>
      <c r="CU11" s="182" t="str">
        <f t="shared" si="14"/>
        <v/>
      </c>
      <c r="CV11" s="182" t="str">
        <f t="shared" si="14"/>
        <v/>
      </c>
      <c r="CW11" s="182" t="str">
        <f t="shared" si="14"/>
        <v/>
      </c>
      <c r="CX11" s="182" t="str">
        <f t="shared" si="14"/>
        <v/>
      </c>
      <c r="CY11" s="182" t="str">
        <f t="shared" si="14"/>
        <v/>
      </c>
      <c r="CZ11" s="182" t="str">
        <f t="shared" si="14"/>
        <v/>
      </c>
      <c r="DA11" s="182" t="str">
        <f t="shared" si="14"/>
        <v/>
      </c>
      <c r="DB11" s="182" t="str">
        <f t="shared" si="14"/>
        <v/>
      </c>
      <c r="DC11" s="182" t="str">
        <f t="shared" si="14"/>
        <v/>
      </c>
      <c r="DD11" s="182" t="str">
        <f t="shared" si="14"/>
        <v/>
      </c>
      <c r="DE11" s="182" t="str">
        <f t="shared" si="14"/>
        <v/>
      </c>
      <c r="DF11" s="182" t="str">
        <f t="shared" si="14"/>
        <v/>
      </c>
      <c r="DG11" s="182" t="str">
        <f t="shared" si="14"/>
        <v/>
      </c>
      <c r="DH11" s="182" t="str">
        <f t="shared" si="14"/>
        <v/>
      </c>
      <c r="DI11" s="182" t="str">
        <f t="shared" si="14"/>
        <v/>
      </c>
      <c r="DJ11" s="182" t="str">
        <f t="shared" si="14"/>
        <v/>
      </c>
      <c r="DK11" s="182" t="str">
        <f t="shared" si="14"/>
        <v/>
      </c>
      <c r="DL11" s="182" t="str">
        <f t="shared" si="14"/>
        <v/>
      </c>
      <c r="DM11" s="182" t="str">
        <f t="shared" si="14"/>
        <v/>
      </c>
      <c r="DN11" s="182" t="str">
        <f t="shared" si="14"/>
        <v/>
      </c>
      <c r="DO11" s="182" t="str">
        <f t="shared" si="14"/>
        <v/>
      </c>
      <c r="DP11" s="182" t="str">
        <f t="shared" si="14"/>
        <v/>
      </c>
      <c r="DQ11" s="182" t="str">
        <f t="shared" si="14"/>
        <v/>
      </c>
      <c r="DR11" s="182" t="str">
        <f t="shared" si="14"/>
        <v/>
      </c>
      <c r="DS11" s="182" t="str">
        <f t="shared" si="14"/>
        <v/>
      </c>
      <c r="DT11" s="182" t="str">
        <f t="shared" si="14"/>
        <v/>
      </c>
      <c r="DU11" s="182" t="str">
        <f t="shared" si="14"/>
        <v/>
      </c>
      <c r="DV11" s="182" t="str">
        <f t="shared" si="14"/>
        <v/>
      </c>
      <c r="DW11" s="182" t="str">
        <f t="shared" si="14"/>
        <v/>
      </c>
      <c r="DX11" s="182" t="str">
        <f t="shared" si="14"/>
        <v/>
      </c>
      <c r="DY11" s="182" t="str">
        <f t="shared" si="14"/>
        <v/>
      </c>
      <c r="DZ11" s="182" t="str">
        <f t="shared" si="14"/>
        <v/>
      </c>
      <c r="EA11" s="182" t="str">
        <f t="shared" si="14"/>
        <v/>
      </c>
      <c r="EB11" s="182" t="str">
        <f t="shared" si="14"/>
        <v/>
      </c>
      <c r="EC11" s="182" t="str">
        <f t="shared" si="14"/>
        <v/>
      </c>
      <c r="ED11" s="182" t="str">
        <f t="shared" si="14"/>
        <v/>
      </c>
      <c r="EE11" s="182" t="str">
        <f t="shared" si="14"/>
        <v/>
      </c>
      <c r="EF11" s="182" t="str">
        <f t="shared" si="14"/>
        <v/>
      </c>
      <c r="EG11" s="182" t="str">
        <f t="shared" si="14"/>
        <v/>
      </c>
      <c r="EH11" s="182" t="str">
        <f t="shared" si="14"/>
        <v/>
      </c>
      <c r="EI11" s="182" t="str">
        <f t="shared" si="14"/>
        <v/>
      </c>
      <c r="EJ11" s="182" t="str">
        <f t="shared" si="14"/>
        <v/>
      </c>
      <c r="EK11" s="182" t="str">
        <f t="shared" si="14"/>
        <v/>
      </c>
      <c r="EL11" s="182" t="str">
        <f t="shared" si="14"/>
        <v/>
      </c>
      <c r="EM11" s="182" t="str">
        <f t="shared" si="14"/>
        <v/>
      </c>
      <c r="EN11" s="182" t="str">
        <f t="shared" si="14"/>
        <v/>
      </c>
      <c r="EO11" s="182" t="str">
        <f t="shared" si="14"/>
        <v/>
      </c>
      <c r="EP11" s="182" t="str">
        <f t="shared" si="14"/>
        <v/>
      </c>
      <c r="EQ11" s="182" t="str">
        <f t="shared" si="14"/>
        <v/>
      </c>
      <c r="ER11" s="182" t="str">
        <f t="shared" ref="ER11:FG26" si="15">IF($B11=0,"",INT(ER$4/$H11)=ER$4/$H11)</f>
        <v/>
      </c>
      <c r="ES11" s="182" t="str">
        <f t="shared" si="15"/>
        <v/>
      </c>
      <c r="ET11" s="182" t="str">
        <f t="shared" si="15"/>
        <v/>
      </c>
      <c r="EU11" s="182" t="str">
        <f t="shared" si="15"/>
        <v/>
      </c>
      <c r="EV11" s="182" t="str">
        <f t="shared" si="15"/>
        <v/>
      </c>
      <c r="EW11" s="182" t="str">
        <f t="shared" si="15"/>
        <v/>
      </c>
      <c r="EX11" s="182" t="str">
        <f t="shared" si="15"/>
        <v/>
      </c>
      <c r="EY11" s="182" t="str">
        <f t="shared" si="15"/>
        <v/>
      </c>
      <c r="EZ11" s="182" t="str">
        <f t="shared" si="15"/>
        <v/>
      </c>
      <c r="FA11" s="182" t="str">
        <f t="shared" si="15"/>
        <v/>
      </c>
      <c r="FB11" s="182" t="str">
        <f t="shared" si="15"/>
        <v/>
      </c>
      <c r="FC11" s="182" t="str">
        <f t="shared" si="15"/>
        <v/>
      </c>
      <c r="FD11" s="182" t="str">
        <f t="shared" si="15"/>
        <v/>
      </c>
      <c r="FE11" s="182" t="str">
        <f t="shared" si="15"/>
        <v/>
      </c>
      <c r="FF11" s="182" t="str">
        <f t="shared" si="15"/>
        <v/>
      </c>
      <c r="FG11" s="182" t="str">
        <f t="shared" si="15"/>
        <v/>
      </c>
      <c r="FH11" s="182" t="str">
        <f t="shared" ref="FH11:FW39" si="16">IF($B11=0,"",INT(FH$4/$H11)=FH$4/$H11)</f>
        <v/>
      </c>
      <c r="FI11" s="182" t="str">
        <f t="shared" si="16"/>
        <v/>
      </c>
      <c r="FJ11" s="182" t="str">
        <f t="shared" si="16"/>
        <v/>
      </c>
      <c r="FK11" s="182" t="str">
        <f t="shared" si="16"/>
        <v/>
      </c>
      <c r="FL11" s="182" t="str">
        <f t="shared" si="16"/>
        <v/>
      </c>
      <c r="FM11" s="182" t="str">
        <f t="shared" si="16"/>
        <v/>
      </c>
      <c r="FN11" s="182" t="str">
        <f t="shared" si="16"/>
        <v/>
      </c>
      <c r="FO11" s="182" t="str">
        <f t="shared" si="16"/>
        <v/>
      </c>
      <c r="FP11" s="182" t="str">
        <f t="shared" si="16"/>
        <v/>
      </c>
      <c r="FQ11" s="182" t="str">
        <f t="shared" si="16"/>
        <v/>
      </c>
      <c r="FR11" s="182" t="str">
        <f t="shared" si="16"/>
        <v/>
      </c>
      <c r="FS11" s="182" t="str">
        <f t="shared" si="16"/>
        <v/>
      </c>
      <c r="FT11" s="182" t="str">
        <f t="shared" si="16"/>
        <v/>
      </c>
      <c r="FU11" s="182" t="str">
        <f t="shared" si="16"/>
        <v/>
      </c>
      <c r="FV11" s="182" t="str">
        <f t="shared" si="16"/>
        <v/>
      </c>
      <c r="FW11" s="182" t="str">
        <f t="shared" si="16"/>
        <v/>
      </c>
      <c r="FX11" s="182" t="str">
        <f t="shared" ref="FX11:GM26" si="17">IF($B11=0,"",INT(FX$4/$H11)=FX$4/$H11)</f>
        <v/>
      </c>
      <c r="FY11" s="182" t="str">
        <f t="shared" si="17"/>
        <v/>
      </c>
      <c r="FZ11" s="182" t="str">
        <f t="shared" si="17"/>
        <v/>
      </c>
      <c r="GA11" s="182" t="str">
        <f t="shared" si="17"/>
        <v/>
      </c>
      <c r="GB11" s="182" t="str">
        <f t="shared" si="17"/>
        <v/>
      </c>
      <c r="GC11" s="182" t="str">
        <f t="shared" si="17"/>
        <v/>
      </c>
      <c r="GD11" s="182" t="str">
        <f t="shared" si="17"/>
        <v/>
      </c>
      <c r="GE11" s="182" t="str">
        <f t="shared" si="17"/>
        <v/>
      </c>
      <c r="GF11" s="182" t="str">
        <f t="shared" si="17"/>
        <v/>
      </c>
      <c r="GG11" s="182" t="str">
        <f t="shared" si="17"/>
        <v/>
      </c>
      <c r="GH11" s="182" t="str">
        <f t="shared" si="17"/>
        <v/>
      </c>
      <c r="GI11" s="182" t="str">
        <f t="shared" si="17"/>
        <v/>
      </c>
      <c r="GJ11" s="182" t="str">
        <f t="shared" si="17"/>
        <v/>
      </c>
      <c r="GK11" s="182" t="str">
        <f t="shared" si="17"/>
        <v/>
      </c>
      <c r="GL11" s="182" t="str">
        <f t="shared" si="17"/>
        <v/>
      </c>
      <c r="GM11" s="182" t="str">
        <f t="shared" si="17"/>
        <v/>
      </c>
      <c r="GN11" s="182" t="str">
        <f t="shared" ref="GN11:GP25" si="18">IF($B11=0,"",INT(GN$4/$H11)=GN$4/$H11)</f>
        <v/>
      </c>
      <c r="GO11" s="182" t="str">
        <f t="shared" si="18"/>
        <v/>
      </c>
      <c r="GP11" s="182" t="str">
        <f t="shared" si="18"/>
        <v/>
      </c>
    </row>
    <row r="12" spans="2:198" x14ac:dyDescent="0.3">
      <c r="B12" s="184">
        <f>'MF Rent Roll'!B11</f>
        <v>0</v>
      </c>
      <c r="C12" s="171">
        <f>'MF Rent Roll'!C11</f>
        <v>0</v>
      </c>
      <c r="D12" s="172">
        <f>'MF Rent Roll'!D11</f>
        <v>0</v>
      </c>
      <c r="E12" s="172">
        <f>'MF Rent Roll'!E11</f>
        <v>0</v>
      </c>
      <c r="F12" s="173">
        <f>'MF Rent Roll'!F11</f>
        <v>0</v>
      </c>
      <c r="G12" s="174">
        <f>'MF Rent Roll'!G11</f>
        <v>0</v>
      </c>
      <c r="H12" s="176">
        <f>'MF Rent Roll'!J11</f>
        <v>0</v>
      </c>
      <c r="I12" s="174">
        <f>'MF Rent Roll'!K11</f>
        <v>0</v>
      </c>
      <c r="J12" s="177">
        <f>'MF Rent Roll'!L11</f>
        <v>0</v>
      </c>
      <c r="K12" s="178">
        <f>'MF Rent Roll'!M11</f>
        <v>0</v>
      </c>
      <c r="L12" s="174">
        <f>'MF Rent Roll'!N11</f>
        <v>0</v>
      </c>
      <c r="M12" s="179">
        <f>'MF Rent Roll'!O11</f>
        <v>0</v>
      </c>
      <c r="N12" s="180" t="str">
        <f>'MF Rent Roll'!P11</f>
        <v/>
      </c>
      <c r="O12" s="181" t="str">
        <f>'MF Rent Roll'!Q11</f>
        <v/>
      </c>
      <c r="P12" s="104" t="str">
        <f>'MF Rent Roll'!R11</f>
        <v/>
      </c>
      <c r="S12" s="182" t="str">
        <f t="shared" si="12"/>
        <v/>
      </c>
      <c r="T12" s="182" t="str">
        <f t="shared" si="13"/>
        <v/>
      </c>
      <c r="U12" s="182" t="str">
        <f t="shared" si="13"/>
        <v/>
      </c>
      <c r="V12" s="182" t="str">
        <f t="shared" si="13"/>
        <v/>
      </c>
      <c r="W12" s="182" t="str">
        <f t="shared" si="13"/>
        <v/>
      </c>
      <c r="X12" s="182" t="str">
        <f t="shared" si="13"/>
        <v/>
      </c>
      <c r="Y12" s="182" t="str">
        <f t="shared" si="13"/>
        <v/>
      </c>
      <c r="Z12" s="182" t="str">
        <f t="shared" si="13"/>
        <v/>
      </c>
      <c r="AA12" s="182" t="str">
        <f t="shared" si="13"/>
        <v/>
      </c>
      <c r="AB12" s="182" t="str">
        <f t="shared" si="13"/>
        <v/>
      </c>
      <c r="AC12" s="182" t="str">
        <f t="shared" si="13"/>
        <v/>
      </c>
      <c r="AD12" s="182" t="str">
        <f t="shared" si="13"/>
        <v/>
      </c>
      <c r="AE12" s="182" t="str">
        <f t="shared" si="13"/>
        <v/>
      </c>
      <c r="AF12" s="182" t="str">
        <f t="shared" si="13"/>
        <v/>
      </c>
      <c r="AG12" s="182" t="str">
        <f t="shared" si="13"/>
        <v/>
      </c>
      <c r="AH12" s="182" t="str">
        <f t="shared" si="13"/>
        <v/>
      </c>
      <c r="AI12" s="182" t="str">
        <f t="shared" si="13"/>
        <v/>
      </c>
      <c r="AJ12" s="182" t="str">
        <f t="shared" si="13"/>
        <v/>
      </c>
      <c r="AK12" s="182" t="str">
        <f t="shared" si="13"/>
        <v/>
      </c>
      <c r="AL12" s="182" t="str">
        <f t="shared" si="13"/>
        <v/>
      </c>
      <c r="AM12" s="182" t="str">
        <f t="shared" si="13"/>
        <v/>
      </c>
      <c r="AN12" s="182" t="str">
        <f t="shared" si="13"/>
        <v/>
      </c>
      <c r="AO12" s="182" t="str">
        <f t="shared" si="13"/>
        <v/>
      </c>
      <c r="AP12" s="182" t="str">
        <f t="shared" si="13"/>
        <v/>
      </c>
      <c r="AQ12" s="182" t="str">
        <f t="shared" si="13"/>
        <v/>
      </c>
      <c r="AR12" s="182" t="str">
        <f t="shared" si="13"/>
        <v/>
      </c>
      <c r="AS12" s="182" t="str">
        <f t="shared" si="13"/>
        <v/>
      </c>
      <c r="AT12" s="182" t="str">
        <f t="shared" si="13"/>
        <v/>
      </c>
      <c r="AU12" s="182" t="str">
        <f t="shared" si="13"/>
        <v/>
      </c>
      <c r="AV12" s="182" t="str">
        <f t="shared" si="13"/>
        <v/>
      </c>
      <c r="AW12" s="182" t="str">
        <f t="shared" si="13"/>
        <v/>
      </c>
      <c r="AX12" s="182" t="str">
        <f t="shared" si="13"/>
        <v/>
      </c>
      <c r="AY12" s="182" t="str">
        <f t="shared" si="13"/>
        <v/>
      </c>
      <c r="AZ12" s="182" t="str">
        <f t="shared" si="13"/>
        <v/>
      </c>
      <c r="BA12" s="182" t="str">
        <f t="shared" si="13"/>
        <v/>
      </c>
      <c r="BB12" s="182" t="str">
        <f t="shared" si="13"/>
        <v/>
      </c>
      <c r="BC12" s="182" t="str">
        <f t="shared" si="13"/>
        <v/>
      </c>
      <c r="BD12" s="182" t="str">
        <f t="shared" si="13"/>
        <v/>
      </c>
      <c r="BE12" s="182" t="str">
        <f t="shared" si="13"/>
        <v/>
      </c>
      <c r="BF12" s="182" t="str">
        <f t="shared" si="13"/>
        <v/>
      </c>
      <c r="BG12" s="182" t="str">
        <f t="shared" si="13"/>
        <v/>
      </c>
      <c r="BH12" s="182" t="str">
        <f t="shared" si="13"/>
        <v/>
      </c>
      <c r="BI12" s="182" t="str">
        <f t="shared" si="13"/>
        <v/>
      </c>
      <c r="BJ12" s="182" t="str">
        <f t="shared" si="13"/>
        <v/>
      </c>
      <c r="BK12" s="182" t="str">
        <f t="shared" si="13"/>
        <v/>
      </c>
      <c r="BL12" s="182" t="str">
        <f t="shared" si="13"/>
        <v/>
      </c>
      <c r="BM12" s="182" t="str">
        <f t="shared" si="13"/>
        <v/>
      </c>
      <c r="BN12" s="182" t="str">
        <f t="shared" si="13"/>
        <v/>
      </c>
      <c r="BO12" s="182" t="str">
        <f t="shared" si="13"/>
        <v/>
      </c>
      <c r="BP12" s="182" t="str">
        <f t="shared" si="13"/>
        <v/>
      </c>
      <c r="BQ12" s="182" t="str">
        <f t="shared" si="13"/>
        <v/>
      </c>
      <c r="BR12" s="182" t="str">
        <f t="shared" si="13"/>
        <v/>
      </c>
      <c r="BS12" s="182" t="str">
        <f t="shared" si="13"/>
        <v/>
      </c>
      <c r="BT12" s="182" t="str">
        <f t="shared" si="13"/>
        <v/>
      </c>
      <c r="BU12" s="182" t="str">
        <f t="shared" si="13"/>
        <v/>
      </c>
      <c r="BV12" s="182" t="str">
        <f t="shared" si="13"/>
        <v/>
      </c>
      <c r="BW12" s="182" t="str">
        <f t="shared" si="13"/>
        <v/>
      </c>
      <c r="BX12" s="182" t="str">
        <f t="shared" si="13"/>
        <v/>
      </c>
      <c r="BY12" s="182" t="str">
        <f t="shared" si="13"/>
        <v/>
      </c>
      <c r="BZ12" s="182" t="str">
        <f t="shared" si="13"/>
        <v/>
      </c>
      <c r="CA12" s="182" t="str">
        <f t="shared" si="13"/>
        <v/>
      </c>
      <c r="CB12" s="182" t="str">
        <f t="shared" si="13"/>
        <v/>
      </c>
      <c r="CC12" s="182" t="str">
        <f t="shared" si="13"/>
        <v/>
      </c>
      <c r="CD12" s="182" t="str">
        <f t="shared" si="13"/>
        <v/>
      </c>
      <c r="CE12" s="182" t="str">
        <f t="shared" si="13"/>
        <v/>
      </c>
      <c r="CF12" s="182" t="str">
        <f t="shared" si="14"/>
        <v/>
      </c>
      <c r="CG12" s="182" t="str">
        <f t="shared" si="14"/>
        <v/>
      </c>
      <c r="CH12" s="182" t="str">
        <f t="shared" si="14"/>
        <v/>
      </c>
      <c r="CI12" s="182" t="str">
        <f t="shared" si="14"/>
        <v/>
      </c>
      <c r="CJ12" s="182" t="str">
        <f t="shared" si="14"/>
        <v/>
      </c>
      <c r="CK12" s="182" t="str">
        <f t="shared" si="14"/>
        <v/>
      </c>
      <c r="CL12" s="182" t="str">
        <f t="shared" si="14"/>
        <v/>
      </c>
      <c r="CM12" s="182" t="str">
        <f t="shared" si="14"/>
        <v/>
      </c>
      <c r="CN12" s="182" t="str">
        <f t="shared" si="14"/>
        <v/>
      </c>
      <c r="CO12" s="182" t="str">
        <f t="shared" si="14"/>
        <v/>
      </c>
      <c r="CP12" s="182" t="str">
        <f t="shared" si="14"/>
        <v/>
      </c>
      <c r="CQ12" s="182" t="str">
        <f t="shared" si="14"/>
        <v/>
      </c>
      <c r="CR12" s="182" t="str">
        <f t="shared" si="14"/>
        <v/>
      </c>
      <c r="CS12" s="182" t="str">
        <f t="shared" si="14"/>
        <v/>
      </c>
      <c r="CT12" s="182" t="str">
        <f t="shared" si="14"/>
        <v/>
      </c>
      <c r="CU12" s="182" t="str">
        <f t="shared" si="14"/>
        <v/>
      </c>
      <c r="CV12" s="182" t="str">
        <f t="shared" si="14"/>
        <v/>
      </c>
      <c r="CW12" s="182" t="str">
        <f t="shared" si="14"/>
        <v/>
      </c>
      <c r="CX12" s="182" t="str">
        <f t="shared" si="14"/>
        <v/>
      </c>
      <c r="CY12" s="182" t="str">
        <f t="shared" si="14"/>
        <v/>
      </c>
      <c r="CZ12" s="182" t="str">
        <f t="shared" si="14"/>
        <v/>
      </c>
      <c r="DA12" s="182" t="str">
        <f t="shared" si="14"/>
        <v/>
      </c>
      <c r="DB12" s="182" t="str">
        <f t="shared" si="14"/>
        <v/>
      </c>
      <c r="DC12" s="182" t="str">
        <f t="shared" si="14"/>
        <v/>
      </c>
      <c r="DD12" s="182" t="str">
        <f t="shared" si="14"/>
        <v/>
      </c>
      <c r="DE12" s="182" t="str">
        <f t="shared" si="14"/>
        <v/>
      </c>
      <c r="DF12" s="182" t="str">
        <f t="shared" si="14"/>
        <v/>
      </c>
      <c r="DG12" s="182" t="str">
        <f t="shared" si="14"/>
        <v/>
      </c>
      <c r="DH12" s="182" t="str">
        <f t="shared" si="14"/>
        <v/>
      </c>
      <c r="DI12" s="182" t="str">
        <f t="shared" si="14"/>
        <v/>
      </c>
      <c r="DJ12" s="182" t="str">
        <f t="shared" si="14"/>
        <v/>
      </c>
      <c r="DK12" s="182" t="str">
        <f t="shared" si="14"/>
        <v/>
      </c>
      <c r="DL12" s="182" t="str">
        <f t="shared" si="14"/>
        <v/>
      </c>
      <c r="DM12" s="182" t="str">
        <f t="shared" si="14"/>
        <v/>
      </c>
      <c r="DN12" s="182" t="str">
        <f t="shared" si="14"/>
        <v/>
      </c>
      <c r="DO12" s="182" t="str">
        <f t="shared" si="14"/>
        <v/>
      </c>
      <c r="DP12" s="182" t="str">
        <f t="shared" si="14"/>
        <v/>
      </c>
      <c r="DQ12" s="182" t="str">
        <f t="shared" si="14"/>
        <v/>
      </c>
      <c r="DR12" s="182" t="str">
        <f t="shared" si="14"/>
        <v/>
      </c>
      <c r="DS12" s="182" t="str">
        <f t="shared" si="14"/>
        <v/>
      </c>
      <c r="DT12" s="182" t="str">
        <f t="shared" si="14"/>
        <v/>
      </c>
      <c r="DU12" s="182" t="str">
        <f t="shared" si="14"/>
        <v/>
      </c>
      <c r="DV12" s="182" t="str">
        <f t="shared" si="14"/>
        <v/>
      </c>
      <c r="DW12" s="182" t="str">
        <f t="shared" si="14"/>
        <v/>
      </c>
      <c r="DX12" s="182" t="str">
        <f t="shared" si="14"/>
        <v/>
      </c>
      <c r="DY12" s="182" t="str">
        <f t="shared" si="14"/>
        <v/>
      </c>
      <c r="DZ12" s="182" t="str">
        <f t="shared" si="14"/>
        <v/>
      </c>
      <c r="EA12" s="182" t="str">
        <f t="shared" si="14"/>
        <v/>
      </c>
      <c r="EB12" s="182" t="str">
        <f t="shared" si="14"/>
        <v/>
      </c>
      <c r="EC12" s="182" t="str">
        <f t="shared" si="14"/>
        <v/>
      </c>
      <c r="ED12" s="182" t="str">
        <f t="shared" si="14"/>
        <v/>
      </c>
      <c r="EE12" s="182" t="str">
        <f t="shared" si="14"/>
        <v/>
      </c>
      <c r="EF12" s="182" t="str">
        <f t="shared" si="14"/>
        <v/>
      </c>
      <c r="EG12" s="182" t="str">
        <f t="shared" si="14"/>
        <v/>
      </c>
      <c r="EH12" s="182" t="str">
        <f t="shared" si="14"/>
        <v/>
      </c>
      <c r="EI12" s="182" t="str">
        <f t="shared" si="14"/>
        <v/>
      </c>
      <c r="EJ12" s="182" t="str">
        <f t="shared" si="14"/>
        <v/>
      </c>
      <c r="EK12" s="182" t="str">
        <f t="shared" si="14"/>
        <v/>
      </c>
      <c r="EL12" s="182" t="str">
        <f t="shared" si="14"/>
        <v/>
      </c>
      <c r="EM12" s="182" t="str">
        <f t="shared" si="14"/>
        <v/>
      </c>
      <c r="EN12" s="182" t="str">
        <f t="shared" si="14"/>
        <v/>
      </c>
      <c r="EO12" s="182" t="str">
        <f t="shared" si="14"/>
        <v/>
      </c>
      <c r="EP12" s="182" t="str">
        <f t="shared" si="14"/>
        <v/>
      </c>
      <c r="EQ12" s="182" t="str">
        <f t="shared" si="14"/>
        <v/>
      </c>
      <c r="ER12" s="182" t="str">
        <f t="shared" si="15"/>
        <v/>
      </c>
      <c r="ES12" s="182" t="str">
        <f t="shared" si="15"/>
        <v/>
      </c>
      <c r="ET12" s="182" t="str">
        <f t="shared" si="15"/>
        <v/>
      </c>
      <c r="EU12" s="182" t="str">
        <f t="shared" si="15"/>
        <v/>
      </c>
      <c r="EV12" s="182" t="str">
        <f t="shared" si="15"/>
        <v/>
      </c>
      <c r="EW12" s="182" t="str">
        <f t="shared" si="15"/>
        <v/>
      </c>
      <c r="EX12" s="182" t="str">
        <f t="shared" si="15"/>
        <v/>
      </c>
      <c r="EY12" s="182" t="str">
        <f t="shared" si="15"/>
        <v/>
      </c>
      <c r="EZ12" s="182" t="str">
        <f t="shared" si="15"/>
        <v/>
      </c>
      <c r="FA12" s="182" t="str">
        <f t="shared" si="15"/>
        <v/>
      </c>
      <c r="FB12" s="182" t="str">
        <f t="shared" si="15"/>
        <v/>
      </c>
      <c r="FC12" s="182" t="str">
        <f t="shared" si="15"/>
        <v/>
      </c>
      <c r="FD12" s="182" t="str">
        <f t="shared" si="15"/>
        <v/>
      </c>
      <c r="FE12" s="182" t="str">
        <f t="shared" si="15"/>
        <v/>
      </c>
      <c r="FF12" s="182" t="str">
        <f t="shared" si="15"/>
        <v/>
      </c>
      <c r="FG12" s="182" t="str">
        <f t="shared" si="15"/>
        <v/>
      </c>
      <c r="FH12" s="182" t="str">
        <f t="shared" si="16"/>
        <v/>
      </c>
      <c r="FI12" s="182" t="str">
        <f t="shared" si="16"/>
        <v/>
      </c>
      <c r="FJ12" s="182" t="str">
        <f t="shared" si="16"/>
        <v/>
      </c>
      <c r="FK12" s="182" t="str">
        <f t="shared" si="16"/>
        <v/>
      </c>
      <c r="FL12" s="182" t="str">
        <f t="shared" si="16"/>
        <v/>
      </c>
      <c r="FM12" s="182" t="str">
        <f t="shared" si="16"/>
        <v/>
      </c>
      <c r="FN12" s="182" t="str">
        <f t="shared" si="16"/>
        <v/>
      </c>
      <c r="FO12" s="182" t="str">
        <f t="shared" si="16"/>
        <v/>
      </c>
      <c r="FP12" s="182" t="str">
        <f t="shared" si="16"/>
        <v/>
      </c>
      <c r="FQ12" s="182" t="str">
        <f t="shared" si="16"/>
        <v/>
      </c>
      <c r="FR12" s="182" t="str">
        <f t="shared" si="16"/>
        <v/>
      </c>
      <c r="FS12" s="182" t="str">
        <f t="shared" si="16"/>
        <v/>
      </c>
      <c r="FT12" s="182" t="str">
        <f t="shared" si="16"/>
        <v/>
      </c>
      <c r="FU12" s="182" t="str">
        <f t="shared" si="16"/>
        <v/>
      </c>
      <c r="FV12" s="182" t="str">
        <f t="shared" si="16"/>
        <v/>
      </c>
      <c r="FW12" s="182" t="str">
        <f t="shared" si="16"/>
        <v/>
      </c>
      <c r="FX12" s="182" t="str">
        <f t="shared" si="17"/>
        <v/>
      </c>
      <c r="FY12" s="182" t="str">
        <f t="shared" si="17"/>
        <v/>
      </c>
      <c r="FZ12" s="182" t="str">
        <f t="shared" si="17"/>
        <v/>
      </c>
      <c r="GA12" s="182" t="str">
        <f t="shared" si="17"/>
        <v/>
      </c>
      <c r="GB12" s="182" t="str">
        <f t="shared" si="17"/>
        <v/>
      </c>
      <c r="GC12" s="182" t="str">
        <f t="shared" si="17"/>
        <v/>
      </c>
      <c r="GD12" s="182" t="str">
        <f t="shared" si="17"/>
        <v/>
      </c>
      <c r="GE12" s="182" t="str">
        <f t="shared" si="17"/>
        <v/>
      </c>
      <c r="GF12" s="182" t="str">
        <f t="shared" si="17"/>
        <v/>
      </c>
      <c r="GG12" s="182" t="str">
        <f t="shared" si="17"/>
        <v/>
      </c>
      <c r="GH12" s="182" t="str">
        <f t="shared" si="17"/>
        <v/>
      </c>
      <c r="GI12" s="182" t="str">
        <f t="shared" si="17"/>
        <v/>
      </c>
      <c r="GJ12" s="182" t="str">
        <f t="shared" si="17"/>
        <v/>
      </c>
      <c r="GK12" s="182" t="str">
        <f t="shared" si="17"/>
        <v/>
      </c>
      <c r="GL12" s="182" t="str">
        <f t="shared" si="17"/>
        <v/>
      </c>
      <c r="GM12" s="182" t="str">
        <f t="shared" si="17"/>
        <v/>
      </c>
      <c r="GN12" s="182" t="str">
        <f t="shared" si="18"/>
        <v/>
      </c>
      <c r="GO12" s="182" t="str">
        <f t="shared" si="18"/>
        <v/>
      </c>
      <c r="GP12" s="182" t="str">
        <f t="shared" si="18"/>
        <v/>
      </c>
    </row>
    <row r="13" spans="2:198" x14ac:dyDescent="0.3">
      <c r="B13" s="184">
        <f>'MF Rent Roll'!B12</f>
        <v>0</v>
      </c>
      <c r="C13" s="171">
        <f>'MF Rent Roll'!C12</f>
        <v>0</v>
      </c>
      <c r="D13" s="172">
        <f>'MF Rent Roll'!D12</f>
        <v>0</v>
      </c>
      <c r="E13" s="172">
        <f>'MF Rent Roll'!E12</f>
        <v>0</v>
      </c>
      <c r="F13" s="173">
        <f>'MF Rent Roll'!F12</f>
        <v>0</v>
      </c>
      <c r="G13" s="174">
        <f>'MF Rent Roll'!G12</f>
        <v>0</v>
      </c>
      <c r="H13" s="176">
        <f>'MF Rent Roll'!J12</f>
        <v>0</v>
      </c>
      <c r="I13" s="174">
        <f>'MF Rent Roll'!K12</f>
        <v>0</v>
      </c>
      <c r="J13" s="177">
        <f>'MF Rent Roll'!L12</f>
        <v>0</v>
      </c>
      <c r="K13" s="178">
        <f>'MF Rent Roll'!M12</f>
        <v>0</v>
      </c>
      <c r="L13" s="174">
        <f>'MF Rent Roll'!N12</f>
        <v>0</v>
      </c>
      <c r="M13" s="179">
        <f>'MF Rent Roll'!O12</f>
        <v>0</v>
      </c>
      <c r="N13" s="180" t="str">
        <f>'MF Rent Roll'!P12</f>
        <v/>
      </c>
      <c r="O13" s="181" t="str">
        <f>'MF Rent Roll'!Q12</f>
        <v/>
      </c>
      <c r="P13" s="104" t="str">
        <f>'MF Rent Roll'!R12</f>
        <v/>
      </c>
      <c r="S13" s="182" t="str">
        <f t="shared" si="12"/>
        <v/>
      </c>
      <c r="T13" s="182" t="str">
        <f t="shared" si="13"/>
        <v/>
      </c>
      <c r="U13" s="182" t="str">
        <f t="shared" si="13"/>
        <v/>
      </c>
      <c r="V13" s="182" t="str">
        <f t="shared" si="13"/>
        <v/>
      </c>
      <c r="W13" s="182" t="str">
        <f t="shared" si="13"/>
        <v/>
      </c>
      <c r="X13" s="182" t="str">
        <f t="shared" si="13"/>
        <v/>
      </c>
      <c r="Y13" s="182" t="str">
        <f t="shared" si="13"/>
        <v/>
      </c>
      <c r="Z13" s="182" t="str">
        <f t="shared" si="13"/>
        <v/>
      </c>
      <c r="AA13" s="182" t="str">
        <f t="shared" si="13"/>
        <v/>
      </c>
      <c r="AB13" s="182" t="str">
        <f t="shared" si="13"/>
        <v/>
      </c>
      <c r="AC13" s="182" t="str">
        <f t="shared" si="13"/>
        <v/>
      </c>
      <c r="AD13" s="182" t="str">
        <f t="shared" si="13"/>
        <v/>
      </c>
      <c r="AE13" s="182" t="str">
        <f t="shared" si="13"/>
        <v/>
      </c>
      <c r="AF13" s="182" t="str">
        <f t="shared" si="13"/>
        <v/>
      </c>
      <c r="AG13" s="182" t="str">
        <f t="shared" si="13"/>
        <v/>
      </c>
      <c r="AH13" s="182" t="str">
        <f t="shared" si="13"/>
        <v/>
      </c>
      <c r="AI13" s="182" t="str">
        <f t="shared" si="13"/>
        <v/>
      </c>
      <c r="AJ13" s="182" t="str">
        <f t="shared" si="13"/>
        <v/>
      </c>
      <c r="AK13" s="182" t="str">
        <f t="shared" si="13"/>
        <v/>
      </c>
      <c r="AL13" s="182" t="str">
        <f t="shared" si="13"/>
        <v/>
      </c>
      <c r="AM13" s="182" t="str">
        <f t="shared" si="13"/>
        <v/>
      </c>
      <c r="AN13" s="182" t="str">
        <f t="shared" si="13"/>
        <v/>
      </c>
      <c r="AO13" s="182" t="str">
        <f t="shared" si="13"/>
        <v/>
      </c>
      <c r="AP13" s="182" t="str">
        <f t="shared" si="13"/>
        <v/>
      </c>
      <c r="AQ13" s="182" t="str">
        <f t="shared" si="13"/>
        <v/>
      </c>
      <c r="AR13" s="182" t="str">
        <f t="shared" si="13"/>
        <v/>
      </c>
      <c r="AS13" s="182" t="str">
        <f t="shared" si="13"/>
        <v/>
      </c>
      <c r="AT13" s="182" t="str">
        <f t="shared" si="13"/>
        <v/>
      </c>
      <c r="AU13" s="182" t="str">
        <f t="shared" si="13"/>
        <v/>
      </c>
      <c r="AV13" s="182" t="str">
        <f t="shared" si="13"/>
        <v/>
      </c>
      <c r="AW13" s="182" t="str">
        <f t="shared" si="13"/>
        <v/>
      </c>
      <c r="AX13" s="182" t="str">
        <f t="shared" si="13"/>
        <v/>
      </c>
      <c r="AY13" s="182" t="str">
        <f t="shared" si="13"/>
        <v/>
      </c>
      <c r="AZ13" s="182" t="str">
        <f t="shared" si="13"/>
        <v/>
      </c>
      <c r="BA13" s="182" t="str">
        <f t="shared" si="13"/>
        <v/>
      </c>
      <c r="BB13" s="182" t="str">
        <f t="shared" si="13"/>
        <v/>
      </c>
      <c r="BC13" s="182" t="str">
        <f t="shared" si="13"/>
        <v/>
      </c>
      <c r="BD13" s="182" t="str">
        <f t="shared" si="13"/>
        <v/>
      </c>
      <c r="BE13" s="182" t="str">
        <f t="shared" si="13"/>
        <v/>
      </c>
      <c r="BF13" s="182" t="str">
        <f t="shared" si="13"/>
        <v/>
      </c>
      <c r="BG13" s="182" t="str">
        <f t="shared" si="13"/>
        <v/>
      </c>
      <c r="BH13" s="182" t="str">
        <f t="shared" si="13"/>
        <v/>
      </c>
      <c r="BI13" s="182" t="str">
        <f t="shared" si="13"/>
        <v/>
      </c>
      <c r="BJ13" s="182" t="str">
        <f t="shared" si="13"/>
        <v/>
      </c>
      <c r="BK13" s="182" t="str">
        <f t="shared" si="13"/>
        <v/>
      </c>
      <c r="BL13" s="182" t="str">
        <f t="shared" si="13"/>
        <v/>
      </c>
      <c r="BM13" s="182" t="str">
        <f t="shared" si="13"/>
        <v/>
      </c>
      <c r="BN13" s="182" t="str">
        <f t="shared" si="13"/>
        <v/>
      </c>
      <c r="BO13" s="182" t="str">
        <f t="shared" si="13"/>
        <v/>
      </c>
      <c r="BP13" s="182" t="str">
        <f t="shared" si="13"/>
        <v/>
      </c>
      <c r="BQ13" s="182" t="str">
        <f t="shared" si="13"/>
        <v/>
      </c>
      <c r="BR13" s="182" t="str">
        <f t="shared" si="13"/>
        <v/>
      </c>
      <c r="BS13" s="182" t="str">
        <f t="shared" si="13"/>
        <v/>
      </c>
      <c r="BT13" s="182" t="str">
        <f t="shared" si="13"/>
        <v/>
      </c>
      <c r="BU13" s="182" t="str">
        <f t="shared" si="13"/>
        <v/>
      </c>
      <c r="BV13" s="182" t="str">
        <f t="shared" si="13"/>
        <v/>
      </c>
      <c r="BW13" s="182" t="str">
        <f t="shared" si="13"/>
        <v/>
      </c>
      <c r="BX13" s="182" t="str">
        <f t="shared" si="13"/>
        <v/>
      </c>
      <c r="BY13" s="182" t="str">
        <f t="shared" si="13"/>
        <v/>
      </c>
      <c r="BZ13" s="182" t="str">
        <f t="shared" si="13"/>
        <v/>
      </c>
      <c r="CA13" s="182" t="str">
        <f t="shared" si="13"/>
        <v/>
      </c>
      <c r="CB13" s="182" t="str">
        <f t="shared" si="13"/>
        <v/>
      </c>
      <c r="CC13" s="182" t="str">
        <f t="shared" si="13"/>
        <v/>
      </c>
      <c r="CD13" s="182" t="str">
        <f t="shared" ref="CD13:CS30" si="19">IF($B13=0,"",INT(CD$4/$H13)=CD$4/$H13)</f>
        <v/>
      </c>
      <c r="CE13" s="182" t="str">
        <f t="shared" si="19"/>
        <v/>
      </c>
      <c r="CF13" s="182" t="str">
        <f t="shared" si="14"/>
        <v/>
      </c>
      <c r="CG13" s="182" t="str">
        <f t="shared" si="14"/>
        <v/>
      </c>
      <c r="CH13" s="182" t="str">
        <f t="shared" si="14"/>
        <v/>
      </c>
      <c r="CI13" s="182" t="str">
        <f t="shared" si="14"/>
        <v/>
      </c>
      <c r="CJ13" s="182" t="str">
        <f t="shared" si="14"/>
        <v/>
      </c>
      <c r="CK13" s="182" t="str">
        <f t="shared" si="14"/>
        <v/>
      </c>
      <c r="CL13" s="182" t="str">
        <f t="shared" si="14"/>
        <v/>
      </c>
      <c r="CM13" s="182" t="str">
        <f t="shared" si="14"/>
        <v/>
      </c>
      <c r="CN13" s="182" t="str">
        <f t="shared" si="14"/>
        <v/>
      </c>
      <c r="CO13" s="182" t="str">
        <f t="shared" si="14"/>
        <v/>
      </c>
      <c r="CP13" s="182" t="str">
        <f t="shared" si="14"/>
        <v/>
      </c>
      <c r="CQ13" s="182" t="str">
        <f t="shared" si="14"/>
        <v/>
      </c>
      <c r="CR13" s="182" t="str">
        <f t="shared" si="14"/>
        <v/>
      </c>
      <c r="CS13" s="182" t="str">
        <f t="shared" si="14"/>
        <v/>
      </c>
      <c r="CT13" s="182" t="str">
        <f t="shared" si="14"/>
        <v/>
      </c>
      <c r="CU13" s="182" t="str">
        <f t="shared" si="14"/>
        <v/>
      </c>
      <c r="CV13" s="182" t="str">
        <f t="shared" si="14"/>
        <v/>
      </c>
      <c r="CW13" s="182" t="str">
        <f t="shared" si="14"/>
        <v/>
      </c>
      <c r="CX13" s="182" t="str">
        <f t="shared" si="14"/>
        <v/>
      </c>
      <c r="CY13" s="182" t="str">
        <f t="shared" si="14"/>
        <v/>
      </c>
      <c r="CZ13" s="182" t="str">
        <f t="shared" si="14"/>
        <v/>
      </c>
      <c r="DA13" s="182" t="str">
        <f t="shared" si="14"/>
        <v/>
      </c>
      <c r="DB13" s="182" t="str">
        <f t="shared" si="14"/>
        <v/>
      </c>
      <c r="DC13" s="182" t="str">
        <f t="shared" si="14"/>
        <v/>
      </c>
      <c r="DD13" s="182" t="str">
        <f t="shared" si="14"/>
        <v/>
      </c>
      <c r="DE13" s="182" t="str">
        <f t="shared" si="14"/>
        <v/>
      </c>
      <c r="DF13" s="182" t="str">
        <f t="shared" si="14"/>
        <v/>
      </c>
      <c r="DG13" s="182" t="str">
        <f t="shared" si="14"/>
        <v/>
      </c>
      <c r="DH13" s="182" t="str">
        <f t="shared" si="14"/>
        <v/>
      </c>
      <c r="DI13" s="182" t="str">
        <f t="shared" si="14"/>
        <v/>
      </c>
      <c r="DJ13" s="182" t="str">
        <f t="shared" si="14"/>
        <v/>
      </c>
      <c r="DK13" s="182" t="str">
        <f t="shared" si="14"/>
        <v/>
      </c>
      <c r="DL13" s="182" t="str">
        <f t="shared" si="14"/>
        <v/>
      </c>
      <c r="DM13" s="182" t="str">
        <f t="shared" si="14"/>
        <v/>
      </c>
      <c r="DN13" s="182" t="str">
        <f t="shared" si="14"/>
        <v/>
      </c>
      <c r="DO13" s="182" t="str">
        <f t="shared" si="14"/>
        <v/>
      </c>
      <c r="DP13" s="182" t="str">
        <f t="shared" si="14"/>
        <v/>
      </c>
      <c r="DQ13" s="182" t="str">
        <f t="shared" si="14"/>
        <v/>
      </c>
      <c r="DR13" s="182" t="str">
        <f t="shared" si="14"/>
        <v/>
      </c>
      <c r="DS13" s="182" t="str">
        <f t="shared" si="14"/>
        <v/>
      </c>
      <c r="DT13" s="182" t="str">
        <f t="shared" si="14"/>
        <v/>
      </c>
      <c r="DU13" s="182" t="str">
        <f t="shared" si="14"/>
        <v/>
      </c>
      <c r="DV13" s="182" t="str">
        <f t="shared" si="14"/>
        <v/>
      </c>
      <c r="DW13" s="182" t="str">
        <f t="shared" si="14"/>
        <v/>
      </c>
      <c r="DX13" s="182" t="str">
        <f t="shared" si="14"/>
        <v/>
      </c>
      <c r="DY13" s="182" t="str">
        <f t="shared" si="14"/>
        <v/>
      </c>
      <c r="DZ13" s="182" t="str">
        <f t="shared" si="14"/>
        <v/>
      </c>
      <c r="EA13" s="182" t="str">
        <f t="shared" si="14"/>
        <v/>
      </c>
      <c r="EB13" s="182" t="str">
        <f t="shared" si="14"/>
        <v/>
      </c>
      <c r="EC13" s="182" t="str">
        <f t="shared" si="14"/>
        <v/>
      </c>
      <c r="ED13" s="182" t="str">
        <f t="shared" si="14"/>
        <v/>
      </c>
      <c r="EE13" s="182" t="str">
        <f t="shared" si="14"/>
        <v/>
      </c>
      <c r="EF13" s="182" t="str">
        <f t="shared" si="14"/>
        <v/>
      </c>
      <c r="EG13" s="182" t="str">
        <f t="shared" si="14"/>
        <v/>
      </c>
      <c r="EH13" s="182" t="str">
        <f t="shared" si="14"/>
        <v/>
      </c>
      <c r="EI13" s="182" t="str">
        <f t="shared" si="14"/>
        <v/>
      </c>
      <c r="EJ13" s="182" t="str">
        <f t="shared" si="14"/>
        <v/>
      </c>
      <c r="EK13" s="182" t="str">
        <f t="shared" si="14"/>
        <v/>
      </c>
      <c r="EL13" s="182" t="str">
        <f t="shared" si="14"/>
        <v/>
      </c>
      <c r="EM13" s="182" t="str">
        <f t="shared" si="14"/>
        <v/>
      </c>
      <c r="EN13" s="182" t="str">
        <f t="shared" si="14"/>
        <v/>
      </c>
      <c r="EO13" s="182" t="str">
        <f t="shared" si="14"/>
        <v/>
      </c>
      <c r="EP13" s="182" t="str">
        <f t="shared" ref="EP13:FE39" si="20">IF($B13=0,"",INT(EP$4/$H13)=EP$4/$H13)</f>
        <v/>
      </c>
      <c r="EQ13" s="182" t="str">
        <f t="shared" si="20"/>
        <v/>
      </c>
      <c r="ER13" s="182" t="str">
        <f t="shared" si="15"/>
        <v/>
      </c>
      <c r="ES13" s="182" t="str">
        <f t="shared" si="15"/>
        <v/>
      </c>
      <c r="ET13" s="182" t="str">
        <f t="shared" si="15"/>
        <v/>
      </c>
      <c r="EU13" s="182" t="str">
        <f t="shared" si="15"/>
        <v/>
      </c>
      <c r="EV13" s="182" t="str">
        <f t="shared" si="15"/>
        <v/>
      </c>
      <c r="EW13" s="182" t="str">
        <f t="shared" si="15"/>
        <v/>
      </c>
      <c r="EX13" s="182" t="str">
        <f t="shared" si="15"/>
        <v/>
      </c>
      <c r="EY13" s="182" t="str">
        <f t="shared" si="15"/>
        <v/>
      </c>
      <c r="EZ13" s="182" t="str">
        <f t="shared" si="15"/>
        <v/>
      </c>
      <c r="FA13" s="182" t="str">
        <f t="shared" si="15"/>
        <v/>
      </c>
      <c r="FB13" s="182" t="str">
        <f t="shared" si="15"/>
        <v/>
      </c>
      <c r="FC13" s="182" t="str">
        <f t="shared" si="15"/>
        <v/>
      </c>
      <c r="FD13" s="182" t="str">
        <f t="shared" si="15"/>
        <v/>
      </c>
      <c r="FE13" s="182" t="str">
        <f t="shared" si="15"/>
        <v/>
      </c>
      <c r="FF13" s="182" t="str">
        <f t="shared" si="15"/>
        <v/>
      </c>
      <c r="FG13" s="182" t="str">
        <f t="shared" si="15"/>
        <v/>
      </c>
      <c r="FH13" s="182" t="str">
        <f t="shared" si="16"/>
        <v/>
      </c>
      <c r="FI13" s="182" t="str">
        <f t="shared" si="16"/>
        <v/>
      </c>
      <c r="FJ13" s="182" t="str">
        <f t="shared" si="16"/>
        <v/>
      </c>
      <c r="FK13" s="182" t="str">
        <f t="shared" si="16"/>
        <v/>
      </c>
      <c r="FL13" s="182" t="str">
        <f t="shared" si="16"/>
        <v/>
      </c>
      <c r="FM13" s="182" t="str">
        <f t="shared" si="16"/>
        <v/>
      </c>
      <c r="FN13" s="182" t="str">
        <f t="shared" si="16"/>
        <v/>
      </c>
      <c r="FO13" s="182" t="str">
        <f t="shared" si="16"/>
        <v/>
      </c>
      <c r="FP13" s="182" t="str">
        <f t="shared" si="16"/>
        <v/>
      </c>
      <c r="FQ13" s="182" t="str">
        <f t="shared" si="16"/>
        <v/>
      </c>
      <c r="FR13" s="182" t="str">
        <f t="shared" si="16"/>
        <v/>
      </c>
      <c r="FS13" s="182" t="str">
        <f t="shared" si="16"/>
        <v/>
      </c>
      <c r="FT13" s="182" t="str">
        <f t="shared" si="16"/>
        <v/>
      </c>
      <c r="FU13" s="182" t="str">
        <f t="shared" si="16"/>
        <v/>
      </c>
      <c r="FV13" s="182" t="str">
        <f t="shared" si="16"/>
        <v/>
      </c>
      <c r="FW13" s="182" t="str">
        <f t="shared" si="16"/>
        <v/>
      </c>
      <c r="FX13" s="182" t="str">
        <f t="shared" si="17"/>
        <v/>
      </c>
      <c r="FY13" s="182" t="str">
        <f t="shared" si="17"/>
        <v/>
      </c>
      <c r="FZ13" s="182" t="str">
        <f t="shared" si="17"/>
        <v/>
      </c>
      <c r="GA13" s="182" t="str">
        <f t="shared" si="17"/>
        <v/>
      </c>
      <c r="GB13" s="182" t="str">
        <f t="shared" si="17"/>
        <v/>
      </c>
      <c r="GC13" s="182" t="str">
        <f t="shared" si="17"/>
        <v/>
      </c>
      <c r="GD13" s="182" t="str">
        <f t="shared" si="17"/>
        <v/>
      </c>
      <c r="GE13" s="182" t="str">
        <f t="shared" si="17"/>
        <v/>
      </c>
      <c r="GF13" s="182" t="str">
        <f t="shared" si="17"/>
        <v/>
      </c>
      <c r="GG13" s="182" t="str">
        <f t="shared" si="17"/>
        <v/>
      </c>
      <c r="GH13" s="182" t="str">
        <f t="shared" si="17"/>
        <v/>
      </c>
      <c r="GI13" s="182" t="str">
        <f t="shared" si="17"/>
        <v/>
      </c>
      <c r="GJ13" s="182" t="str">
        <f t="shared" si="17"/>
        <v/>
      </c>
      <c r="GK13" s="182" t="str">
        <f t="shared" si="17"/>
        <v/>
      </c>
      <c r="GL13" s="182" t="str">
        <f t="shared" si="17"/>
        <v/>
      </c>
      <c r="GM13" s="182" t="str">
        <f t="shared" si="17"/>
        <v/>
      </c>
      <c r="GN13" s="182" t="str">
        <f t="shared" si="18"/>
        <v/>
      </c>
      <c r="GO13" s="182" t="str">
        <f t="shared" si="18"/>
        <v/>
      </c>
      <c r="GP13" s="182" t="str">
        <f t="shared" si="18"/>
        <v/>
      </c>
    </row>
    <row r="14" spans="2:198" x14ac:dyDescent="0.3">
      <c r="B14" s="184">
        <f>'MF Rent Roll'!B13</f>
        <v>0</v>
      </c>
      <c r="C14" s="171">
        <f>'MF Rent Roll'!C13</f>
        <v>0</v>
      </c>
      <c r="D14" s="172">
        <f>'MF Rent Roll'!D13</f>
        <v>0</v>
      </c>
      <c r="E14" s="172">
        <f>'MF Rent Roll'!E13</f>
        <v>0</v>
      </c>
      <c r="F14" s="173">
        <f>'MF Rent Roll'!F13</f>
        <v>0</v>
      </c>
      <c r="G14" s="174">
        <f>'MF Rent Roll'!G13</f>
        <v>0</v>
      </c>
      <c r="H14" s="176">
        <f>'MF Rent Roll'!J13</f>
        <v>0</v>
      </c>
      <c r="I14" s="174">
        <f>'MF Rent Roll'!K13</f>
        <v>0</v>
      </c>
      <c r="J14" s="177">
        <f>'MF Rent Roll'!L13</f>
        <v>0</v>
      </c>
      <c r="K14" s="178">
        <f>'MF Rent Roll'!M13</f>
        <v>0</v>
      </c>
      <c r="L14" s="174">
        <f>'MF Rent Roll'!N13</f>
        <v>0</v>
      </c>
      <c r="M14" s="179">
        <f>'MF Rent Roll'!O13</f>
        <v>0</v>
      </c>
      <c r="N14" s="180" t="str">
        <f>'MF Rent Roll'!P13</f>
        <v/>
      </c>
      <c r="O14" s="181" t="str">
        <f>'MF Rent Roll'!Q13</f>
        <v/>
      </c>
      <c r="P14" s="104" t="str">
        <f>'MF Rent Roll'!R13</f>
        <v/>
      </c>
      <c r="S14" s="182" t="str">
        <f t="shared" si="12"/>
        <v/>
      </c>
      <c r="T14" s="182" t="str">
        <f t="shared" si="12"/>
        <v/>
      </c>
      <c r="U14" s="182" t="str">
        <f t="shared" si="12"/>
        <v/>
      </c>
      <c r="V14" s="182" t="str">
        <f t="shared" si="12"/>
        <v/>
      </c>
      <c r="W14" s="182" t="str">
        <f t="shared" si="12"/>
        <v/>
      </c>
      <c r="X14" s="182" t="str">
        <f t="shared" si="12"/>
        <v/>
      </c>
      <c r="Y14" s="182" t="str">
        <f t="shared" si="12"/>
        <v/>
      </c>
      <c r="Z14" s="182" t="str">
        <f t="shared" si="12"/>
        <v/>
      </c>
      <c r="AA14" s="182" t="str">
        <f t="shared" si="12"/>
        <v/>
      </c>
      <c r="AB14" s="182" t="str">
        <f t="shared" si="12"/>
        <v/>
      </c>
      <c r="AC14" s="182" t="str">
        <f t="shared" si="12"/>
        <v/>
      </c>
      <c r="AD14" s="182" t="str">
        <f t="shared" si="12"/>
        <v/>
      </c>
      <c r="AE14" s="182" t="str">
        <f t="shared" si="12"/>
        <v/>
      </c>
      <c r="AF14" s="182" t="str">
        <f t="shared" si="12"/>
        <v/>
      </c>
      <c r="AG14" s="182" t="str">
        <f t="shared" si="12"/>
        <v/>
      </c>
      <c r="AH14" s="182" t="str">
        <f t="shared" si="12"/>
        <v/>
      </c>
      <c r="AI14" s="182" t="str">
        <f t="shared" ref="AI14:AX30" si="21">IF($B14=0,"",INT(AI$4/$H14)=AI$4/$H14)</f>
        <v/>
      </c>
      <c r="AJ14" s="182" t="str">
        <f t="shared" si="21"/>
        <v/>
      </c>
      <c r="AK14" s="182" t="str">
        <f t="shared" si="21"/>
        <v/>
      </c>
      <c r="AL14" s="182" t="str">
        <f t="shared" si="21"/>
        <v/>
      </c>
      <c r="AM14" s="182" t="str">
        <f t="shared" si="21"/>
        <v/>
      </c>
      <c r="AN14" s="182" t="str">
        <f t="shared" si="21"/>
        <v/>
      </c>
      <c r="AO14" s="182" t="str">
        <f t="shared" si="21"/>
        <v/>
      </c>
      <c r="AP14" s="182" t="str">
        <f t="shared" si="21"/>
        <v/>
      </c>
      <c r="AQ14" s="182" t="str">
        <f t="shared" si="21"/>
        <v/>
      </c>
      <c r="AR14" s="182" t="str">
        <f t="shared" si="21"/>
        <v/>
      </c>
      <c r="AS14" s="182" t="str">
        <f t="shared" si="21"/>
        <v/>
      </c>
      <c r="AT14" s="182" t="str">
        <f t="shared" si="21"/>
        <v/>
      </c>
      <c r="AU14" s="182" t="str">
        <f t="shared" si="21"/>
        <v/>
      </c>
      <c r="AV14" s="182" t="str">
        <f t="shared" si="21"/>
        <v/>
      </c>
      <c r="AW14" s="182" t="str">
        <f t="shared" si="21"/>
        <v/>
      </c>
      <c r="AX14" s="182" t="str">
        <f t="shared" si="21"/>
        <v/>
      </c>
      <c r="AY14" s="182" t="str">
        <f t="shared" ref="AY14:BN29" si="22">IF($B14=0,"",INT(AY$4/$H14)=AY$4/$H14)</f>
        <v/>
      </c>
      <c r="AZ14" s="182" t="str">
        <f t="shared" si="22"/>
        <v/>
      </c>
      <c r="BA14" s="182" t="str">
        <f t="shared" si="22"/>
        <v/>
      </c>
      <c r="BB14" s="182" t="str">
        <f t="shared" si="22"/>
        <v/>
      </c>
      <c r="BC14" s="182" t="str">
        <f t="shared" si="22"/>
        <v/>
      </c>
      <c r="BD14" s="182" t="str">
        <f t="shared" si="22"/>
        <v/>
      </c>
      <c r="BE14" s="182" t="str">
        <f t="shared" si="22"/>
        <v/>
      </c>
      <c r="BF14" s="182" t="str">
        <f t="shared" si="22"/>
        <v/>
      </c>
      <c r="BG14" s="182" t="str">
        <f t="shared" si="22"/>
        <v/>
      </c>
      <c r="BH14" s="182" t="str">
        <f t="shared" si="22"/>
        <v/>
      </c>
      <c r="BI14" s="182" t="str">
        <f t="shared" si="22"/>
        <v/>
      </c>
      <c r="BJ14" s="182" t="str">
        <f t="shared" si="22"/>
        <v/>
      </c>
      <c r="BK14" s="182" t="str">
        <f t="shared" si="22"/>
        <v/>
      </c>
      <c r="BL14" s="182" t="str">
        <f t="shared" si="22"/>
        <v/>
      </c>
      <c r="BM14" s="182" t="str">
        <f t="shared" si="22"/>
        <v/>
      </c>
      <c r="BN14" s="182" t="str">
        <f t="shared" si="22"/>
        <v/>
      </c>
      <c r="BO14" s="182" t="str">
        <f t="shared" ref="BO14:CD39" si="23">IF($B14=0,"",INT(BO$4/$H14)=BO$4/$H14)</f>
        <v/>
      </c>
      <c r="BP14" s="182" t="str">
        <f t="shared" si="23"/>
        <v/>
      </c>
      <c r="BQ14" s="182" t="str">
        <f t="shared" si="23"/>
        <v/>
      </c>
      <c r="BR14" s="182" t="str">
        <f t="shared" si="23"/>
        <v/>
      </c>
      <c r="BS14" s="182" t="str">
        <f t="shared" si="23"/>
        <v/>
      </c>
      <c r="BT14" s="182" t="str">
        <f t="shared" si="23"/>
        <v/>
      </c>
      <c r="BU14" s="182" t="str">
        <f t="shared" si="23"/>
        <v/>
      </c>
      <c r="BV14" s="182" t="str">
        <f t="shared" si="23"/>
        <v/>
      </c>
      <c r="BW14" s="182" t="str">
        <f t="shared" si="23"/>
        <v/>
      </c>
      <c r="BX14" s="182" t="str">
        <f t="shared" si="23"/>
        <v/>
      </c>
      <c r="BY14" s="182" t="str">
        <f t="shared" si="23"/>
        <v/>
      </c>
      <c r="BZ14" s="182" t="str">
        <f t="shared" si="23"/>
        <v/>
      </c>
      <c r="CA14" s="182" t="str">
        <f t="shared" si="23"/>
        <v/>
      </c>
      <c r="CB14" s="182" t="str">
        <f t="shared" si="23"/>
        <v/>
      </c>
      <c r="CC14" s="182" t="str">
        <f t="shared" si="23"/>
        <v/>
      </c>
      <c r="CD14" s="182" t="str">
        <f t="shared" si="23"/>
        <v/>
      </c>
      <c r="CE14" s="182" t="str">
        <f t="shared" si="19"/>
        <v/>
      </c>
      <c r="CF14" s="182" t="str">
        <f t="shared" si="19"/>
        <v/>
      </c>
      <c r="CG14" s="182" t="str">
        <f t="shared" si="19"/>
        <v/>
      </c>
      <c r="CH14" s="182" t="str">
        <f t="shared" si="19"/>
        <v/>
      </c>
      <c r="CI14" s="182" t="str">
        <f t="shared" si="19"/>
        <v/>
      </c>
      <c r="CJ14" s="182" t="str">
        <f t="shared" si="19"/>
        <v/>
      </c>
      <c r="CK14" s="182" t="str">
        <f t="shared" si="19"/>
        <v/>
      </c>
      <c r="CL14" s="182" t="str">
        <f t="shared" si="19"/>
        <v/>
      </c>
      <c r="CM14" s="182" t="str">
        <f t="shared" si="19"/>
        <v/>
      </c>
      <c r="CN14" s="182" t="str">
        <f t="shared" si="19"/>
        <v/>
      </c>
      <c r="CO14" s="182" t="str">
        <f t="shared" si="19"/>
        <v/>
      </c>
      <c r="CP14" s="182" t="str">
        <f t="shared" si="19"/>
        <v/>
      </c>
      <c r="CQ14" s="182" t="str">
        <f t="shared" si="19"/>
        <v/>
      </c>
      <c r="CR14" s="182" t="str">
        <f t="shared" si="19"/>
        <v/>
      </c>
      <c r="CS14" s="182" t="str">
        <f t="shared" si="19"/>
        <v/>
      </c>
      <c r="CT14" s="182" t="str">
        <f t="shared" ref="CT14:DI29" si="24">IF($B14=0,"",INT(CT$4/$H14)=CT$4/$H14)</f>
        <v/>
      </c>
      <c r="CU14" s="182" t="str">
        <f t="shared" si="24"/>
        <v/>
      </c>
      <c r="CV14" s="182" t="str">
        <f t="shared" si="24"/>
        <v/>
      </c>
      <c r="CW14" s="182" t="str">
        <f t="shared" si="24"/>
        <v/>
      </c>
      <c r="CX14" s="182" t="str">
        <f t="shared" si="24"/>
        <v/>
      </c>
      <c r="CY14" s="182" t="str">
        <f t="shared" si="24"/>
        <v/>
      </c>
      <c r="CZ14" s="182" t="str">
        <f t="shared" si="24"/>
        <v/>
      </c>
      <c r="DA14" s="182" t="str">
        <f t="shared" si="24"/>
        <v/>
      </c>
      <c r="DB14" s="182" t="str">
        <f t="shared" si="24"/>
        <v/>
      </c>
      <c r="DC14" s="182" t="str">
        <f t="shared" si="24"/>
        <v/>
      </c>
      <c r="DD14" s="182" t="str">
        <f t="shared" si="24"/>
        <v/>
      </c>
      <c r="DE14" s="182" t="str">
        <f t="shared" si="24"/>
        <v/>
      </c>
      <c r="DF14" s="182" t="str">
        <f t="shared" si="24"/>
        <v/>
      </c>
      <c r="DG14" s="182" t="str">
        <f t="shared" si="24"/>
        <v/>
      </c>
      <c r="DH14" s="182" t="str">
        <f t="shared" si="24"/>
        <v/>
      </c>
      <c r="DI14" s="182" t="str">
        <f t="shared" si="24"/>
        <v/>
      </c>
      <c r="DJ14" s="182" t="str">
        <f t="shared" ref="DJ14:DY39" si="25">IF($B14=0,"",INT(DJ$4/$H14)=DJ$4/$H14)</f>
        <v/>
      </c>
      <c r="DK14" s="182" t="str">
        <f t="shared" si="25"/>
        <v/>
      </c>
      <c r="DL14" s="182" t="str">
        <f t="shared" si="25"/>
        <v/>
      </c>
      <c r="DM14" s="182" t="str">
        <f t="shared" si="25"/>
        <v/>
      </c>
      <c r="DN14" s="182" t="str">
        <f t="shared" si="25"/>
        <v/>
      </c>
      <c r="DO14" s="182" t="str">
        <f t="shared" si="25"/>
        <v/>
      </c>
      <c r="DP14" s="182" t="str">
        <f t="shared" si="25"/>
        <v/>
      </c>
      <c r="DQ14" s="182" t="str">
        <f t="shared" si="25"/>
        <v/>
      </c>
      <c r="DR14" s="182" t="str">
        <f t="shared" si="25"/>
        <v/>
      </c>
      <c r="DS14" s="182" t="str">
        <f t="shared" si="25"/>
        <v/>
      </c>
      <c r="DT14" s="182" t="str">
        <f t="shared" si="25"/>
        <v/>
      </c>
      <c r="DU14" s="182" t="str">
        <f t="shared" si="25"/>
        <v/>
      </c>
      <c r="DV14" s="182" t="str">
        <f t="shared" si="25"/>
        <v/>
      </c>
      <c r="DW14" s="182" t="str">
        <f t="shared" si="25"/>
        <v/>
      </c>
      <c r="DX14" s="182" t="str">
        <f t="shared" si="25"/>
        <v/>
      </c>
      <c r="DY14" s="182" t="str">
        <f t="shared" si="25"/>
        <v/>
      </c>
      <c r="DZ14" s="182" t="str">
        <f t="shared" ref="DZ14:EO29" si="26">IF($B14=0,"",INT(DZ$4/$H14)=DZ$4/$H14)</f>
        <v/>
      </c>
      <c r="EA14" s="182" t="str">
        <f t="shared" si="26"/>
        <v/>
      </c>
      <c r="EB14" s="182" t="str">
        <f t="shared" si="26"/>
        <v/>
      </c>
      <c r="EC14" s="182" t="str">
        <f t="shared" si="26"/>
        <v/>
      </c>
      <c r="ED14" s="182" t="str">
        <f t="shared" si="26"/>
        <v/>
      </c>
      <c r="EE14" s="182" t="str">
        <f t="shared" si="26"/>
        <v/>
      </c>
      <c r="EF14" s="182" t="str">
        <f t="shared" si="26"/>
        <v/>
      </c>
      <c r="EG14" s="182" t="str">
        <f t="shared" si="26"/>
        <v/>
      </c>
      <c r="EH14" s="182" t="str">
        <f t="shared" si="26"/>
        <v/>
      </c>
      <c r="EI14" s="182" t="str">
        <f t="shared" si="26"/>
        <v/>
      </c>
      <c r="EJ14" s="182" t="str">
        <f t="shared" si="26"/>
        <v/>
      </c>
      <c r="EK14" s="182" t="str">
        <f t="shared" si="26"/>
        <v/>
      </c>
      <c r="EL14" s="182" t="str">
        <f t="shared" si="26"/>
        <v/>
      </c>
      <c r="EM14" s="182" t="str">
        <f t="shared" si="26"/>
        <v/>
      </c>
      <c r="EN14" s="182" t="str">
        <f t="shared" si="26"/>
        <v/>
      </c>
      <c r="EO14" s="182" t="str">
        <f t="shared" si="26"/>
        <v/>
      </c>
      <c r="EP14" s="182" t="str">
        <f t="shared" si="20"/>
        <v/>
      </c>
      <c r="EQ14" s="182" t="str">
        <f t="shared" si="20"/>
        <v/>
      </c>
      <c r="ER14" s="182" t="str">
        <f t="shared" si="15"/>
        <v/>
      </c>
      <c r="ES14" s="182" t="str">
        <f t="shared" si="15"/>
        <v/>
      </c>
      <c r="ET14" s="182" t="str">
        <f t="shared" si="15"/>
        <v/>
      </c>
      <c r="EU14" s="182" t="str">
        <f t="shared" si="15"/>
        <v/>
      </c>
      <c r="EV14" s="182" t="str">
        <f t="shared" si="15"/>
        <v/>
      </c>
      <c r="EW14" s="182" t="str">
        <f t="shared" si="15"/>
        <v/>
      </c>
      <c r="EX14" s="182" t="str">
        <f t="shared" si="15"/>
        <v/>
      </c>
      <c r="EY14" s="182" t="str">
        <f t="shared" si="15"/>
        <v/>
      </c>
      <c r="EZ14" s="182" t="str">
        <f t="shared" si="15"/>
        <v/>
      </c>
      <c r="FA14" s="182" t="str">
        <f t="shared" si="15"/>
        <v/>
      </c>
      <c r="FB14" s="182" t="str">
        <f t="shared" si="15"/>
        <v/>
      </c>
      <c r="FC14" s="182" t="str">
        <f t="shared" si="15"/>
        <v/>
      </c>
      <c r="FD14" s="182" t="str">
        <f t="shared" si="15"/>
        <v/>
      </c>
      <c r="FE14" s="182" t="str">
        <f t="shared" si="15"/>
        <v/>
      </c>
      <c r="FF14" s="182" t="str">
        <f t="shared" si="15"/>
        <v/>
      </c>
      <c r="FG14" s="182" t="str">
        <f t="shared" si="15"/>
        <v/>
      </c>
      <c r="FH14" s="182" t="str">
        <f t="shared" si="16"/>
        <v/>
      </c>
      <c r="FI14" s="182" t="str">
        <f t="shared" si="16"/>
        <v/>
      </c>
      <c r="FJ14" s="182" t="str">
        <f t="shared" si="16"/>
        <v/>
      </c>
      <c r="FK14" s="182" t="str">
        <f t="shared" si="16"/>
        <v/>
      </c>
      <c r="FL14" s="182" t="str">
        <f t="shared" si="16"/>
        <v/>
      </c>
      <c r="FM14" s="182" t="str">
        <f t="shared" si="16"/>
        <v/>
      </c>
      <c r="FN14" s="182" t="str">
        <f t="shared" si="16"/>
        <v/>
      </c>
      <c r="FO14" s="182" t="str">
        <f t="shared" si="16"/>
        <v/>
      </c>
      <c r="FP14" s="182" t="str">
        <f t="shared" si="16"/>
        <v/>
      </c>
      <c r="FQ14" s="182" t="str">
        <f t="shared" si="16"/>
        <v/>
      </c>
      <c r="FR14" s="182" t="str">
        <f t="shared" si="16"/>
        <v/>
      </c>
      <c r="FS14" s="182" t="str">
        <f t="shared" si="16"/>
        <v/>
      </c>
      <c r="FT14" s="182" t="str">
        <f t="shared" si="16"/>
        <v/>
      </c>
      <c r="FU14" s="182" t="str">
        <f t="shared" si="16"/>
        <v/>
      </c>
      <c r="FV14" s="182" t="str">
        <f t="shared" si="16"/>
        <v/>
      </c>
      <c r="FW14" s="182" t="str">
        <f t="shared" si="16"/>
        <v/>
      </c>
      <c r="FX14" s="182" t="str">
        <f t="shared" si="17"/>
        <v/>
      </c>
      <c r="FY14" s="182" t="str">
        <f t="shared" si="17"/>
        <v/>
      </c>
      <c r="FZ14" s="182" t="str">
        <f t="shared" si="17"/>
        <v/>
      </c>
      <c r="GA14" s="182" t="str">
        <f t="shared" si="17"/>
        <v/>
      </c>
      <c r="GB14" s="182" t="str">
        <f t="shared" si="17"/>
        <v/>
      </c>
      <c r="GC14" s="182" t="str">
        <f t="shared" si="17"/>
        <v/>
      </c>
      <c r="GD14" s="182" t="str">
        <f t="shared" si="17"/>
        <v/>
      </c>
      <c r="GE14" s="182" t="str">
        <f t="shared" si="17"/>
        <v/>
      </c>
      <c r="GF14" s="182" t="str">
        <f t="shared" si="17"/>
        <v/>
      </c>
      <c r="GG14" s="182" t="str">
        <f t="shared" si="17"/>
        <v/>
      </c>
      <c r="GH14" s="182" t="str">
        <f t="shared" si="17"/>
        <v/>
      </c>
      <c r="GI14" s="182" t="str">
        <f t="shared" si="17"/>
        <v/>
      </c>
      <c r="GJ14" s="182" t="str">
        <f t="shared" si="17"/>
        <v/>
      </c>
      <c r="GK14" s="182" t="str">
        <f t="shared" si="17"/>
        <v/>
      </c>
      <c r="GL14" s="182" t="str">
        <f t="shared" si="17"/>
        <v/>
      </c>
      <c r="GM14" s="182" t="str">
        <f t="shared" si="17"/>
        <v/>
      </c>
      <c r="GN14" s="182" t="str">
        <f t="shared" si="18"/>
        <v/>
      </c>
      <c r="GO14" s="182" t="str">
        <f t="shared" si="18"/>
        <v/>
      </c>
      <c r="GP14" s="182" t="str">
        <f t="shared" si="18"/>
        <v/>
      </c>
    </row>
    <row r="15" spans="2:198" x14ac:dyDescent="0.3">
      <c r="B15" s="184">
        <f>'MF Rent Roll'!B14</f>
        <v>0</v>
      </c>
      <c r="C15" s="171">
        <f>'MF Rent Roll'!C14</f>
        <v>0</v>
      </c>
      <c r="D15" s="172">
        <f>'MF Rent Roll'!D14</f>
        <v>0</v>
      </c>
      <c r="E15" s="172">
        <f>'MF Rent Roll'!E14</f>
        <v>0</v>
      </c>
      <c r="F15" s="173">
        <f>'MF Rent Roll'!F14</f>
        <v>0</v>
      </c>
      <c r="G15" s="174">
        <f>'MF Rent Roll'!G14</f>
        <v>0</v>
      </c>
      <c r="H15" s="176">
        <f>'MF Rent Roll'!J14</f>
        <v>0</v>
      </c>
      <c r="I15" s="174">
        <f>'MF Rent Roll'!K14</f>
        <v>0</v>
      </c>
      <c r="J15" s="177">
        <f>'MF Rent Roll'!L14</f>
        <v>0</v>
      </c>
      <c r="K15" s="178">
        <f>'MF Rent Roll'!M14</f>
        <v>0</v>
      </c>
      <c r="L15" s="174">
        <f>'MF Rent Roll'!N14</f>
        <v>0</v>
      </c>
      <c r="M15" s="179">
        <f>'MF Rent Roll'!O14</f>
        <v>0</v>
      </c>
      <c r="N15" s="180" t="str">
        <f>'MF Rent Roll'!P14</f>
        <v/>
      </c>
      <c r="O15" s="181" t="str">
        <f>'MF Rent Roll'!Q14</f>
        <v/>
      </c>
      <c r="P15" s="104" t="str">
        <f>'MF Rent Roll'!R14</f>
        <v/>
      </c>
      <c r="S15" s="182" t="str">
        <f t="shared" si="12"/>
        <v/>
      </c>
      <c r="T15" s="182" t="str">
        <f t="shared" si="12"/>
        <v/>
      </c>
      <c r="U15" s="182" t="str">
        <f t="shared" si="12"/>
        <v/>
      </c>
      <c r="V15" s="182" t="str">
        <f t="shared" si="12"/>
        <v/>
      </c>
      <c r="W15" s="182" t="str">
        <f t="shared" si="12"/>
        <v/>
      </c>
      <c r="X15" s="182" t="str">
        <f t="shared" si="12"/>
        <v/>
      </c>
      <c r="Y15" s="182" t="str">
        <f t="shared" si="12"/>
        <v/>
      </c>
      <c r="Z15" s="182" t="str">
        <f t="shared" si="12"/>
        <v/>
      </c>
      <c r="AA15" s="182" t="str">
        <f t="shared" si="12"/>
        <v/>
      </c>
      <c r="AB15" s="182" t="str">
        <f t="shared" si="12"/>
        <v/>
      </c>
      <c r="AC15" s="182" t="str">
        <f t="shared" si="12"/>
        <v/>
      </c>
      <c r="AD15" s="182" t="str">
        <f t="shared" si="12"/>
        <v/>
      </c>
      <c r="AE15" s="182" t="str">
        <f t="shared" si="12"/>
        <v/>
      </c>
      <c r="AF15" s="182" t="str">
        <f t="shared" si="12"/>
        <v/>
      </c>
      <c r="AG15" s="182" t="str">
        <f t="shared" si="12"/>
        <v/>
      </c>
      <c r="AH15" s="182" t="str">
        <f t="shared" si="12"/>
        <v/>
      </c>
      <c r="AI15" s="182" t="str">
        <f t="shared" si="21"/>
        <v/>
      </c>
      <c r="AJ15" s="182" t="str">
        <f t="shared" si="21"/>
        <v/>
      </c>
      <c r="AK15" s="182" t="str">
        <f t="shared" si="21"/>
        <v/>
      </c>
      <c r="AL15" s="182" t="str">
        <f t="shared" si="21"/>
        <v/>
      </c>
      <c r="AM15" s="182" t="str">
        <f t="shared" si="21"/>
        <v/>
      </c>
      <c r="AN15" s="182" t="str">
        <f t="shared" si="21"/>
        <v/>
      </c>
      <c r="AO15" s="182" t="str">
        <f t="shared" si="21"/>
        <v/>
      </c>
      <c r="AP15" s="182" t="str">
        <f t="shared" si="21"/>
        <v/>
      </c>
      <c r="AQ15" s="182" t="str">
        <f t="shared" si="21"/>
        <v/>
      </c>
      <c r="AR15" s="182" t="str">
        <f t="shared" si="21"/>
        <v/>
      </c>
      <c r="AS15" s="182" t="str">
        <f t="shared" si="21"/>
        <v/>
      </c>
      <c r="AT15" s="182" t="str">
        <f t="shared" si="21"/>
        <v/>
      </c>
      <c r="AU15" s="182" t="str">
        <f t="shared" si="21"/>
        <v/>
      </c>
      <c r="AV15" s="182" t="str">
        <f t="shared" si="21"/>
        <v/>
      </c>
      <c r="AW15" s="182" t="str">
        <f t="shared" si="21"/>
        <v/>
      </c>
      <c r="AX15" s="182" t="str">
        <f t="shared" si="21"/>
        <v/>
      </c>
      <c r="AY15" s="182" t="str">
        <f t="shared" si="22"/>
        <v/>
      </c>
      <c r="AZ15" s="182" t="str">
        <f t="shared" si="22"/>
        <v/>
      </c>
      <c r="BA15" s="182" t="str">
        <f t="shared" si="22"/>
        <v/>
      </c>
      <c r="BB15" s="182" t="str">
        <f t="shared" si="22"/>
        <v/>
      </c>
      <c r="BC15" s="182" t="str">
        <f t="shared" si="22"/>
        <v/>
      </c>
      <c r="BD15" s="182" t="str">
        <f t="shared" si="22"/>
        <v/>
      </c>
      <c r="BE15" s="182" t="str">
        <f t="shared" si="22"/>
        <v/>
      </c>
      <c r="BF15" s="182" t="str">
        <f t="shared" si="22"/>
        <v/>
      </c>
      <c r="BG15" s="182" t="str">
        <f t="shared" si="22"/>
        <v/>
      </c>
      <c r="BH15" s="182" t="str">
        <f t="shared" si="22"/>
        <v/>
      </c>
      <c r="BI15" s="182" t="str">
        <f t="shared" si="22"/>
        <v/>
      </c>
      <c r="BJ15" s="182" t="str">
        <f t="shared" si="22"/>
        <v/>
      </c>
      <c r="BK15" s="182" t="str">
        <f t="shared" si="22"/>
        <v/>
      </c>
      <c r="BL15" s="182" t="str">
        <f t="shared" si="22"/>
        <v/>
      </c>
      <c r="BM15" s="182" t="str">
        <f t="shared" si="22"/>
        <v/>
      </c>
      <c r="BN15" s="182" t="str">
        <f t="shared" si="22"/>
        <v/>
      </c>
      <c r="BO15" s="182" t="str">
        <f t="shared" si="23"/>
        <v/>
      </c>
      <c r="BP15" s="182" t="str">
        <f t="shared" si="23"/>
        <v/>
      </c>
      <c r="BQ15" s="182" t="str">
        <f t="shared" si="23"/>
        <v/>
      </c>
      <c r="BR15" s="182" t="str">
        <f t="shared" si="23"/>
        <v/>
      </c>
      <c r="BS15" s="182" t="str">
        <f t="shared" si="23"/>
        <v/>
      </c>
      <c r="BT15" s="182" t="str">
        <f t="shared" si="23"/>
        <v/>
      </c>
      <c r="BU15" s="182" t="str">
        <f t="shared" si="23"/>
        <v/>
      </c>
      <c r="BV15" s="182" t="str">
        <f t="shared" si="23"/>
        <v/>
      </c>
      <c r="BW15" s="182" t="str">
        <f t="shared" si="23"/>
        <v/>
      </c>
      <c r="BX15" s="182" t="str">
        <f t="shared" si="23"/>
        <v/>
      </c>
      <c r="BY15" s="182" t="str">
        <f t="shared" si="23"/>
        <v/>
      </c>
      <c r="BZ15" s="182" t="str">
        <f t="shared" si="23"/>
        <v/>
      </c>
      <c r="CA15" s="182" t="str">
        <f t="shared" si="23"/>
        <v/>
      </c>
      <c r="CB15" s="182" t="str">
        <f t="shared" si="23"/>
        <v/>
      </c>
      <c r="CC15" s="182" t="str">
        <f t="shared" si="23"/>
        <v/>
      </c>
      <c r="CD15" s="182" t="str">
        <f t="shared" si="23"/>
        <v/>
      </c>
      <c r="CE15" s="182" t="str">
        <f t="shared" si="19"/>
        <v/>
      </c>
      <c r="CF15" s="182" t="str">
        <f t="shared" si="19"/>
        <v/>
      </c>
      <c r="CG15" s="182" t="str">
        <f t="shared" si="19"/>
        <v/>
      </c>
      <c r="CH15" s="182" t="str">
        <f t="shared" si="19"/>
        <v/>
      </c>
      <c r="CI15" s="182" t="str">
        <f t="shared" si="19"/>
        <v/>
      </c>
      <c r="CJ15" s="182" t="str">
        <f t="shared" si="19"/>
        <v/>
      </c>
      <c r="CK15" s="182" t="str">
        <f t="shared" si="19"/>
        <v/>
      </c>
      <c r="CL15" s="182" t="str">
        <f t="shared" si="19"/>
        <v/>
      </c>
      <c r="CM15" s="182" t="str">
        <f t="shared" si="19"/>
        <v/>
      </c>
      <c r="CN15" s="182" t="str">
        <f t="shared" si="19"/>
        <v/>
      </c>
      <c r="CO15" s="182" t="str">
        <f t="shared" si="19"/>
        <v/>
      </c>
      <c r="CP15" s="182" t="str">
        <f t="shared" si="19"/>
        <v/>
      </c>
      <c r="CQ15" s="182" t="str">
        <f t="shared" si="19"/>
        <v/>
      </c>
      <c r="CR15" s="182" t="str">
        <f t="shared" si="19"/>
        <v/>
      </c>
      <c r="CS15" s="182" t="str">
        <f t="shared" si="19"/>
        <v/>
      </c>
      <c r="CT15" s="182" t="str">
        <f t="shared" si="24"/>
        <v/>
      </c>
      <c r="CU15" s="182" t="str">
        <f t="shared" si="24"/>
        <v/>
      </c>
      <c r="CV15" s="182" t="str">
        <f t="shared" si="24"/>
        <v/>
      </c>
      <c r="CW15" s="182" t="str">
        <f t="shared" si="24"/>
        <v/>
      </c>
      <c r="CX15" s="182" t="str">
        <f t="shared" si="24"/>
        <v/>
      </c>
      <c r="CY15" s="182" t="str">
        <f t="shared" si="24"/>
        <v/>
      </c>
      <c r="CZ15" s="182" t="str">
        <f t="shared" si="24"/>
        <v/>
      </c>
      <c r="DA15" s="182" t="str">
        <f t="shared" si="24"/>
        <v/>
      </c>
      <c r="DB15" s="182" t="str">
        <f t="shared" si="24"/>
        <v/>
      </c>
      <c r="DC15" s="182" t="str">
        <f t="shared" si="24"/>
        <v/>
      </c>
      <c r="DD15" s="182" t="str">
        <f t="shared" si="24"/>
        <v/>
      </c>
      <c r="DE15" s="182" t="str">
        <f t="shared" si="24"/>
        <v/>
      </c>
      <c r="DF15" s="182" t="str">
        <f t="shared" si="24"/>
        <v/>
      </c>
      <c r="DG15" s="182" t="str">
        <f t="shared" si="24"/>
        <v/>
      </c>
      <c r="DH15" s="182" t="str">
        <f t="shared" si="24"/>
        <v/>
      </c>
      <c r="DI15" s="182" t="str">
        <f t="shared" si="24"/>
        <v/>
      </c>
      <c r="DJ15" s="182" t="str">
        <f t="shared" si="25"/>
        <v/>
      </c>
      <c r="DK15" s="182" t="str">
        <f t="shared" si="25"/>
        <v/>
      </c>
      <c r="DL15" s="182" t="str">
        <f t="shared" si="25"/>
        <v/>
      </c>
      <c r="DM15" s="182" t="str">
        <f t="shared" si="25"/>
        <v/>
      </c>
      <c r="DN15" s="182" t="str">
        <f t="shared" si="25"/>
        <v/>
      </c>
      <c r="DO15" s="182" t="str">
        <f t="shared" si="25"/>
        <v/>
      </c>
      <c r="DP15" s="182" t="str">
        <f t="shared" si="25"/>
        <v/>
      </c>
      <c r="DQ15" s="182" t="str">
        <f t="shared" si="25"/>
        <v/>
      </c>
      <c r="DR15" s="182" t="str">
        <f t="shared" si="25"/>
        <v/>
      </c>
      <c r="DS15" s="182" t="str">
        <f t="shared" si="25"/>
        <v/>
      </c>
      <c r="DT15" s="182" t="str">
        <f t="shared" si="25"/>
        <v/>
      </c>
      <c r="DU15" s="182" t="str">
        <f t="shared" si="25"/>
        <v/>
      </c>
      <c r="DV15" s="182" t="str">
        <f t="shared" si="25"/>
        <v/>
      </c>
      <c r="DW15" s="182" t="str">
        <f t="shared" si="25"/>
        <v/>
      </c>
      <c r="DX15" s="182" t="str">
        <f t="shared" si="25"/>
        <v/>
      </c>
      <c r="DY15" s="182" t="str">
        <f t="shared" si="25"/>
        <v/>
      </c>
      <c r="DZ15" s="182" t="str">
        <f t="shared" si="26"/>
        <v/>
      </c>
      <c r="EA15" s="182" t="str">
        <f t="shared" si="26"/>
        <v/>
      </c>
      <c r="EB15" s="182" t="str">
        <f t="shared" si="26"/>
        <v/>
      </c>
      <c r="EC15" s="182" t="str">
        <f t="shared" si="26"/>
        <v/>
      </c>
      <c r="ED15" s="182" t="str">
        <f t="shared" si="26"/>
        <v/>
      </c>
      <c r="EE15" s="182" t="str">
        <f t="shared" si="26"/>
        <v/>
      </c>
      <c r="EF15" s="182" t="str">
        <f t="shared" si="26"/>
        <v/>
      </c>
      <c r="EG15" s="182" t="str">
        <f t="shared" si="26"/>
        <v/>
      </c>
      <c r="EH15" s="182" t="str">
        <f t="shared" si="26"/>
        <v/>
      </c>
      <c r="EI15" s="182" t="str">
        <f t="shared" si="26"/>
        <v/>
      </c>
      <c r="EJ15" s="182" t="str">
        <f t="shared" si="26"/>
        <v/>
      </c>
      <c r="EK15" s="182" t="str">
        <f t="shared" si="26"/>
        <v/>
      </c>
      <c r="EL15" s="182" t="str">
        <f t="shared" si="26"/>
        <v/>
      </c>
      <c r="EM15" s="182" t="str">
        <f t="shared" si="26"/>
        <v/>
      </c>
      <c r="EN15" s="182" t="str">
        <f t="shared" si="26"/>
        <v/>
      </c>
      <c r="EO15" s="182" t="str">
        <f t="shared" si="26"/>
        <v/>
      </c>
      <c r="EP15" s="182" t="str">
        <f t="shared" si="20"/>
        <v/>
      </c>
      <c r="EQ15" s="182" t="str">
        <f t="shared" si="20"/>
        <v/>
      </c>
      <c r="ER15" s="182" t="str">
        <f t="shared" si="15"/>
        <v/>
      </c>
      <c r="ES15" s="182" t="str">
        <f t="shared" si="15"/>
        <v/>
      </c>
      <c r="ET15" s="182" t="str">
        <f t="shared" si="15"/>
        <v/>
      </c>
      <c r="EU15" s="182" t="str">
        <f t="shared" si="15"/>
        <v/>
      </c>
      <c r="EV15" s="182" t="str">
        <f t="shared" si="15"/>
        <v/>
      </c>
      <c r="EW15" s="182" t="str">
        <f t="shared" si="15"/>
        <v/>
      </c>
      <c r="EX15" s="182" t="str">
        <f t="shared" si="15"/>
        <v/>
      </c>
      <c r="EY15" s="182" t="str">
        <f t="shared" si="15"/>
        <v/>
      </c>
      <c r="EZ15" s="182" t="str">
        <f t="shared" si="15"/>
        <v/>
      </c>
      <c r="FA15" s="182" t="str">
        <f t="shared" si="15"/>
        <v/>
      </c>
      <c r="FB15" s="182" t="str">
        <f t="shared" si="15"/>
        <v/>
      </c>
      <c r="FC15" s="182" t="str">
        <f t="shared" si="15"/>
        <v/>
      </c>
      <c r="FD15" s="182" t="str">
        <f t="shared" si="15"/>
        <v/>
      </c>
      <c r="FE15" s="182" t="str">
        <f t="shared" si="15"/>
        <v/>
      </c>
      <c r="FF15" s="182" t="str">
        <f t="shared" si="15"/>
        <v/>
      </c>
      <c r="FG15" s="182" t="str">
        <f t="shared" si="15"/>
        <v/>
      </c>
      <c r="FH15" s="182" t="str">
        <f t="shared" si="16"/>
        <v/>
      </c>
      <c r="FI15" s="182" t="str">
        <f t="shared" si="16"/>
        <v/>
      </c>
      <c r="FJ15" s="182" t="str">
        <f t="shared" si="16"/>
        <v/>
      </c>
      <c r="FK15" s="182" t="str">
        <f t="shared" si="16"/>
        <v/>
      </c>
      <c r="FL15" s="182" t="str">
        <f t="shared" si="16"/>
        <v/>
      </c>
      <c r="FM15" s="182" t="str">
        <f t="shared" si="16"/>
        <v/>
      </c>
      <c r="FN15" s="182" t="str">
        <f t="shared" si="16"/>
        <v/>
      </c>
      <c r="FO15" s="182" t="str">
        <f t="shared" si="16"/>
        <v/>
      </c>
      <c r="FP15" s="182" t="str">
        <f t="shared" si="16"/>
        <v/>
      </c>
      <c r="FQ15" s="182" t="str">
        <f t="shared" si="16"/>
        <v/>
      </c>
      <c r="FR15" s="182" t="str">
        <f t="shared" si="16"/>
        <v/>
      </c>
      <c r="FS15" s="182" t="str">
        <f t="shared" si="16"/>
        <v/>
      </c>
      <c r="FT15" s="182" t="str">
        <f t="shared" si="16"/>
        <v/>
      </c>
      <c r="FU15" s="182" t="str">
        <f t="shared" si="16"/>
        <v/>
      </c>
      <c r="FV15" s="182" t="str">
        <f t="shared" si="16"/>
        <v/>
      </c>
      <c r="FW15" s="182" t="str">
        <f t="shared" si="16"/>
        <v/>
      </c>
      <c r="FX15" s="182" t="str">
        <f t="shared" si="17"/>
        <v/>
      </c>
      <c r="FY15" s="182" t="str">
        <f t="shared" si="17"/>
        <v/>
      </c>
      <c r="FZ15" s="182" t="str">
        <f t="shared" si="17"/>
        <v/>
      </c>
      <c r="GA15" s="182" t="str">
        <f t="shared" si="17"/>
        <v/>
      </c>
      <c r="GB15" s="182" t="str">
        <f t="shared" si="17"/>
        <v/>
      </c>
      <c r="GC15" s="182" t="str">
        <f t="shared" si="17"/>
        <v/>
      </c>
      <c r="GD15" s="182" t="str">
        <f t="shared" si="17"/>
        <v/>
      </c>
      <c r="GE15" s="182" t="str">
        <f t="shared" si="17"/>
        <v/>
      </c>
      <c r="GF15" s="182" t="str">
        <f t="shared" si="17"/>
        <v/>
      </c>
      <c r="GG15" s="182" t="str">
        <f t="shared" si="17"/>
        <v/>
      </c>
      <c r="GH15" s="182" t="str">
        <f t="shared" si="17"/>
        <v/>
      </c>
      <c r="GI15" s="182" t="str">
        <f t="shared" si="17"/>
        <v/>
      </c>
      <c r="GJ15" s="182" t="str">
        <f t="shared" si="17"/>
        <v/>
      </c>
      <c r="GK15" s="182" t="str">
        <f t="shared" si="17"/>
        <v/>
      </c>
      <c r="GL15" s="182" t="str">
        <f t="shared" si="17"/>
        <v/>
      </c>
      <c r="GM15" s="182" t="str">
        <f t="shared" si="17"/>
        <v/>
      </c>
      <c r="GN15" s="182" t="str">
        <f t="shared" si="18"/>
        <v/>
      </c>
      <c r="GO15" s="182" t="str">
        <f t="shared" si="18"/>
        <v/>
      </c>
      <c r="GP15" s="182" t="str">
        <f t="shared" si="18"/>
        <v/>
      </c>
    </row>
    <row r="16" spans="2:198" x14ac:dyDescent="0.3">
      <c r="B16" s="184">
        <f>'MF Rent Roll'!B15</f>
        <v>0</v>
      </c>
      <c r="C16" s="171">
        <f>'MF Rent Roll'!C15</f>
        <v>0</v>
      </c>
      <c r="D16" s="172">
        <f>'MF Rent Roll'!D15</f>
        <v>0</v>
      </c>
      <c r="E16" s="172">
        <f>'MF Rent Roll'!E15</f>
        <v>0</v>
      </c>
      <c r="F16" s="173">
        <f>'MF Rent Roll'!F15</f>
        <v>0</v>
      </c>
      <c r="G16" s="174">
        <f>'MF Rent Roll'!G15</f>
        <v>0</v>
      </c>
      <c r="H16" s="176">
        <f>'MF Rent Roll'!J15</f>
        <v>0</v>
      </c>
      <c r="I16" s="174">
        <f>'MF Rent Roll'!K15</f>
        <v>0</v>
      </c>
      <c r="J16" s="177">
        <f>'MF Rent Roll'!L15</f>
        <v>0</v>
      </c>
      <c r="K16" s="178">
        <f>'MF Rent Roll'!M15</f>
        <v>0</v>
      </c>
      <c r="L16" s="174">
        <f>'MF Rent Roll'!N15</f>
        <v>0</v>
      </c>
      <c r="M16" s="179">
        <f>'MF Rent Roll'!O15</f>
        <v>0</v>
      </c>
      <c r="N16" s="180" t="str">
        <f>'MF Rent Roll'!P15</f>
        <v/>
      </c>
      <c r="O16" s="181" t="str">
        <f>'MF Rent Roll'!Q15</f>
        <v/>
      </c>
      <c r="P16" s="104" t="str">
        <f>'MF Rent Roll'!R15</f>
        <v/>
      </c>
      <c r="S16" s="182" t="str">
        <f t="shared" si="12"/>
        <v/>
      </c>
      <c r="T16" s="182" t="str">
        <f t="shared" si="12"/>
        <v/>
      </c>
      <c r="U16" s="182" t="str">
        <f t="shared" si="12"/>
        <v/>
      </c>
      <c r="V16" s="182" t="str">
        <f t="shared" si="12"/>
        <v/>
      </c>
      <c r="W16" s="182" t="str">
        <f t="shared" si="12"/>
        <v/>
      </c>
      <c r="X16" s="182" t="str">
        <f t="shared" si="12"/>
        <v/>
      </c>
      <c r="Y16" s="182" t="str">
        <f t="shared" si="12"/>
        <v/>
      </c>
      <c r="Z16" s="182" t="str">
        <f t="shared" si="12"/>
        <v/>
      </c>
      <c r="AA16" s="182" t="str">
        <f t="shared" si="12"/>
        <v/>
      </c>
      <c r="AB16" s="182" t="str">
        <f t="shared" si="12"/>
        <v/>
      </c>
      <c r="AC16" s="182" t="str">
        <f t="shared" si="12"/>
        <v/>
      </c>
      <c r="AD16" s="182" t="str">
        <f t="shared" si="12"/>
        <v/>
      </c>
      <c r="AE16" s="182" t="str">
        <f t="shared" si="12"/>
        <v/>
      </c>
      <c r="AF16" s="182" t="str">
        <f t="shared" si="12"/>
        <v/>
      </c>
      <c r="AG16" s="182" t="str">
        <f t="shared" si="12"/>
        <v/>
      </c>
      <c r="AH16" s="182" t="str">
        <f t="shared" si="12"/>
        <v/>
      </c>
      <c r="AI16" s="182" t="str">
        <f t="shared" si="21"/>
        <v/>
      </c>
      <c r="AJ16" s="182" t="str">
        <f t="shared" si="21"/>
        <v/>
      </c>
      <c r="AK16" s="182" t="str">
        <f t="shared" si="21"/>
        <v/>
      </c>
      <c r="AL16" s="182" t="str">
        <f t="shared" si="21"/>
        <v/>
      </c>
      <c r="AM16" s="182" t="str">
        <f t="shared" si="21"/>
        <v/>
      </c>
      <c r="AN16" s="182" t="str">
        <f t="shared" si="21"/>
        <v/>
      </c>
      <c r="AO16" s="182" t="str">
        <f t="shared" si="21"/>
        <v/>
      </c>
      <c r="AP16" s="182" t="str">
        <f t="shared" si="21"/>
        <v/>
      </c>
      <c r="AQ16" s="182" t="str">
        <f t="shared" si="21"/>
        <v/>
      </c>
      <c r="AR16" s="182" t="str">
        <f t="shared" si="21"/>
        <v/>
      </c>
      <c r="AS16" s="182" t="str">
        <f t="shared" si="21"/>
        <v/>
      </c>
      <c r="AT16" s="182" t="str">
        <f t="shared" si="21"/>
        <v/>
      </c>
      <c r="AU16" s="182" t="str">
        <f t="shared" si="21"/>
        <v/>
      </c>
      <c r="AV16" s="182" t="str">
        <f t="shared" si="21"/>
        <v/>
      </c>
      <c r="AW16" s="182" t="str">
        <f t="shared" si="21"/>
        <v/>
      </c>
      <c r="AX16" s="182" t="str">
        <f t="shared" si="21"/>
        <v/>
      </c>
      <c r="AY16" s="182" t="str">
        <f t="shared" si="22"/>
        <v/>
      </c>
      <c r="AZ16" s="182" t="str">
        <f t="shared" si="22"/>
        <v/>
      </c>
      <c r="BA16" s="182" t="str">
        <f t="shared" si="22"/>
        <v/>
      </c>
      <c r="BB16" s="182" t="str">
        <f t="shared" si="22"/>
        <v/>
      </c>
      <c r="BC16" s="182" t="str">
        <f t="shared" si="22"/>
        <v/>
      </c>
      <c r="BD16" s="182" t="str">
        <f t="shared" si="22"/>
        <v/>
      </c>
      <c r="BE16" s="182" t="str">
        <f t="shared" si="22"/>
        <v/>
      </c>
      <c r="BF16" s="182" t="str">
        <f t="shared" si="22"/>
        <v/>
      </c>
      <c r="BG16" s="182" t="str">
        <f t="shared" si="22"/>
        <v/>
      </c>
      <c r="BH16" s="182" t="str">
        <f t="shared" si="22"/>
        <v/>
      </c>
      <c r="BI16" s="182" t="str">
        <f t="shared" si="22"/>
        <v/>
      </c>
      <c r="BJ16" s="182" t="str">
        <f t="shared" si="22"/>
        <v/>
      </c>
      <c r="BK16" s="182" t="str">
        <f t="shared" si="22"/>
        <v/>
      </c>
      <c r="BL16" s="182" t="str">
        <f t="shared" si="22"/>
        <v/>
      </c>
      <c r="BM16" s="182" t="str">
        <f t="shared" si="22"/>
        <v/>
      </c>
      <c r="BN16" s="182" t="str">
        <f t="shared" si="22"/>
        <v/>
      </c>
      <c r="BO16" s="182" t="str">
        <f t="shared" si="23"/>
        <v/>
      </c>
      <c r="BP16" s="182" t="str">
        <f t="shared" si="23"/>
        <v/>
      </c>
      <c r="BQ16" s="182" t="str">
        <f t="shared" si="23"/>
        <v/>
      </c>
      <c r="BR16" s="182" t="str">
        <f t="shared" si="23"/>
        <v/>
      </c>
      <c r="BS16" s="182" t="str">
        <f t="shared" si="23"/>
        <v/>
      </c>
      <c r="BT16" s="182" t="str">
        <f t="shared" si="23"/>
        <v/>
      </c>
      <c r="BU16" s="182" t="str">
        <f t="shared" si="23"/>
        <v/>
      </c>
      <c r="BV16" s="182" t="str">
        <f t="shared" si="23"/>
        <v/>
      </c>
      <c r="BW16" s="182" t="str">
        <f t="shared" si="23"/>
        <v/>
      </c>
      <c r="BX16" s="182" t="str">
        <f t="shared" si="23"/>
        <v/>
      </c>
      <c r="BY16" s="182" t="str">
        <f t="shared" si="23"/>
        <v/>
      </c>
      <c r="BZ16" s="182" t="str">
        <f t="shared" si="23"/>
        <v/>
      </c>
      <c r="CA16" s="182" t="str">
        <f t="shared" si="23"/>
        <v/>
      </c>
      <c r="CB16" s="182" t="str">
        <f t="shared" si="23"/>
        <v/>
      </c>
      <c r="CC16" s="182" t="str">
        <f t="shared" si="23"/>
        <v/>
      </c>
      <c r="CD16" s="182" t="str">
        <f t="shared" si="23"/>
        <v/>
      </c>
      <c r="CE16" s="182" t="str">
        <f t="shared" si="19"/>
        <v/>
      </c>
      <c r="CF16" s="182" t="str">
        <f t="shared" si="19"/>
        <v/>
      </c>
      <c r="CG16" s="182" t="str">
        <f t="shared" si="19"/>
        <v/>
      </c>
      <c r="CH16" s="182" t="str">
        <f t="shared" si="19"/>
        <v/>
      </c>
      <c r="CI16" s="182" t="str">
        <f t="shared" si="19"/>
        <v/>
      </c>
      <c r="CJ16" s="182" t="str">
        <f t="shared" si="19"/>
        <v/>
      </c>
      <c r="CK16" s="182" t="str">
        <f t="shared" si="19"/>
        <v/>
      </c>
      <c r="CL16" s="182" t="str">
        <f t="shared" si="19"/>
        <v/>
      </c>
      <c r="CM16" s="182" t="str">
        <f t="shared" si="19"/>
        <v/>
      </c>
      <c r="CN16" s="182" t="str">
        <f t="shared" si="19"/>
        <v/>
      </c>
      <c r="CO16" s="182" t="str">
        <f t="shared" si="19"/>
        <v/>
      </c>
      <c r="CP16" s="182" t="str">
        <f t="shared" si="19"/>
        <v/>
      </c>
      <c r="CQ16" s="182" t="str">
        <f t="shared" si="19"/>
        <v/>
      </c>
      <c r="CR16" s="182" t="str">
        <f t="shared" si="19"/>
        <v/>
      </c>
      <c r="CS16" s="182" t="str">
        <f t="shared" si="19"/>
        <v/>
      </c>
      <c r="CT16" s="182" t="str">
        <f t="shared" si="24"/>
        <v/>
      </c>
      <c r="CU16" s="182" t="str">
        <f t="shared" si="24"/>
        <v/>
      </c>
      <c r="CV16" s="182" t="str">
        <f t="shared" si="24"/>
        <v/>
      </c>
      <c r="CW16" s="182" t="str">
        <f t="shared" si="24"/>
        <v/>
      </c>
      <c r="CX16" s="182" t="str">
        <f t="shared" si="24"/>
        <v/>
      </c>
      <c r="CY16" s="182" t="str">
        <f t="shared" si="24"/>
        <v/>
      </c>
      <c r="CZ16" s="182" t="str">
        <f t="shared" si="24"/>
        <v/>
      </c>
      <c r="DA16" s="182" t="str">
        <f t="shared" si="24"/>
        <v/>
      </c>
      <c r="DB16" s="182" t="str">
        <f t="shared" si="24"/>
        <v/>
      </c>
      <c r="DC16" s="182" t="str">
        <f t="shared" si="24"/>
        <v/>
      </c>
      <c r="DD16" s="182" t="str">
        <f t="shared" si="24"/>
        <v/>
      </c>
      <c r="DE16" s="182" t="str">
        <f t="shared" si="24"/>
        <v/>
      </c>
      <c r="DF16" s="182" t="str">
        <f t="shared" si="24"/>
        <v/>
      </c>
      <c r="DG16" s="182" t="str">
        <f t="shared" si="24"/>
        <v/>
      </c>
      <c r="DH16" s="182" t="str">
        <f t="shared" si="24"/>
        <v/>
      </c>
      <c r="DI16" s="182" t="str">
        <f t="shared" si="24"/>
        <v/>
      </c>
      <c r="DJ16" s="182" t="str">
        <f t="shared" si="25"/>
        <v/>
      </c>
      <c r="DK16" s="182" t="str">
        <f t="shared" si="25"/>
        <v/>
      </c>
      <c r="DL16" s="182" t="str">
        <f t="shared" si="25"/>
        <v/>
      </c>
      <c r="DM16" s="182" t="str">
        <f t="shared" si="25"/>
        <v/>
      </c>
      <c r="DN16" s="182" t="str">
        <f t="shared" si="25"/>
        <v/>
      </c>
      <c r="DO16" s="182" t="str">
        <f t="shared" si="25"/>
        <v/>
      </c>
      <c r="DP16" s="182" t="str">
        <f t="shared" si="25"/>
        <v/>
      </c>
      <c r="DQ16" s="182" t="str">
        <f t="shared" si="25"/>
        <v/>
      </c>
      <c r="DR16" s="182" t="str">
        <f t="shared" si="25"/>
        <v/>
      </c>
      <c r="DS16" s="182" t="str">
        <f t="shared" si="25"/>
        <v/>
      </c>
      <c r="DT16" s="182" t="str">
        <f t="shared" si="25"/>
        <v/>
      </c>
      <c r="DU16" s="182" t="str">
        <f t="shared" si="25"/>
        <v/>
      </c>
      <c r="DV16" s="182" t="str">
        <f t="shared" si="25"/>
        <v/>
      </c>
      <c r="DW16" s="182" t="str">
        <f t="shared" si="25"/>
        <v/>
      </c>
      <c r="DX16" s="182" t="str">
        <f t="shared" si="25"/>
        <v/>
      </c>
      <c r="DY16" s="182" t="str">
        <f t="shared" si="25"/>
        <v/>
      </c>
      <c r="DZ16" s="182" t="str">
        <f t="shared" si="26"/>
        <v/>
      </c>
      <c r="EA16" s="182" t="str">
        <f t="shared" si="26"/>
        <v/>
      </c>
      <c r="EB16" s="182" t="str">
        <f t="shared" si="26"/>
        <v/>
      </c>
      <c r="EC16" s="182" t="str">
        <f t="shared" si="26"/>
        <v/>
      </c>
      <c r="ED16" s="182" t="str">
        <f t="shared" si="26"/>
        <v/>
      </c>
      <c r="EE16" s="182" t="str">
        <f t="shared" si="26"/>
        <v/>
      </c>
      <c r="EF16" s="182" t="str">
        <f t="shared" si="26"/>
        <v/>
      </c>
      <c r="EG16" s="182" t="str">
        <f t="shared" si="26"/>
        <v/>
      </c>
      <c r="EH16" s="182" t="str">
        <f t="shared" si="26"/>
        <v/>
      </c>
      <c r="EI16" s="182" t="str">
        <f t="shared" si="26"/>
        <v/>
      </c>
      <c r="EJ16" s="182" t="str">
        <f t="shared" si="26"/>
        <v/>
      </c>
      <c r="EK16" s="182" t="str">
        <f t="shared" si="26"/>
        <v/>
      </c>
      <c r="EL16" s="182" t="str">
        <f t="shared" si="26"/>
        <v/>
      </c>
      <c r="EM16" s="182" t="str">
        <f t="shared" si="26"/>
        <v/>
      </c>
      <c r="EN16" s="182" t="str">
        <f t="shared" si="26"/>
        <v/>
      </c>
      <c r="EO16" s="182" t="str">
        <f t="shared" si="26"/>
        <v/>
      </c>
      <c r="EP16" s="182" t="str">
        <f t="shared" si="20"/>
        <v/>
      </c>
      <c r="EQ16" s="182" t="str">
        <f t="shared" si="20"/>
        <v/>
      </c>
      <c r="ER16" s="182" t="str">
        <f t="shared" si="15"/>
        <v/>
      </c>
      <c r="ES16" s="182" t="str">
        <f t="shared" si="15"/>
        <v/>
      </c>
      <c r="ET16" s="182" t="str">
        <f t="shared" si="15"/>
        <v/>
      </c>
      <c r="EU16" s="182" t="str">
        <f t="shared" si="15"/>
        <v/>
      </c>
      <c r="EV16" s="182" t="str">
        <f t="shared" si="15"/>
        <v/>
      </c>
      <c r="EW16" s="182" t="str">
        <f t="shared" si="15"/>
        <v/>
      </c>
      <c r="EX16" s="182" t="str">
        <f t="shared" si="15"/>
        <v/>
      </c>
      <c r="EY16" s="182" t="str">
        <f t="shared" si="15"/>
        <v/>
      </c>
      <c r="EZ16" s="182" t="str">
        <f t="shared" si="15"/>
        <v/>
      </c>
      <c r="FA16" s="182" t="str">
        <f t="shared" si="15"/>
        <v/>
      </c>
      <c r="FB16" s="182" t="str">
        <f t="shared" si="15"/>
        <v/>
      </c>
      <c r="FC16" s="182" t="str">
        <f t="shared" si="15"/>
        <v/>
      </c>
      <c r="FD16" s="182" t="str">
        <f t="shared" si="15"/>
        <v/>
      </c>
      <c r="FE16" s="182" t="str">
        <f t="shared" si="15"/>
        <v/>
      </c>
      <c r="FF16" s="182" t="str">
        <f t="shared" si="15"/>
        <v/>
      </c>
      <c r="FG16" s="182" t="str">
        <f t="shared" si="15"/>
        <v/>
      </c>
      <c r="FH16" s="182" t="str">
        <f t="shared" si="16"/>
        <v/>
      </c>
      <c r="FI16" s="182" t="str">
        <f t="shared" si="16"/>
        <v/>
      </c>
      <c r="FJ16" s="182" t="str">
        <f t="shared" si="16"/>
        <v/>
      </c>
      <c r="FK16" s="182" t="str">
        <f t="shared" si="16"/>
        <v/>
      </c>
      <c r="FL16" s="182" t="str">
        <f t="shared" si="16"/>
        <v/>
      </c>
      <c r="FM16" s="182" t="str">
        <f t="shared" si="16"/>
        <v/>
      </c>
      <c r="FN16" s="182" t="str">
        <f t="shared" si="16"/>
        <v/>
      </c>
      <c r="FO16" s="182" t="str">
        <f t="shared" si="16"/>
        <v/>
      </c>
      <c r="FP16" s="182" t="str">
        <f t="shared" si="16"/>
        <v/>
      </c>
      <c r="FQ16" s="182" t="str">
        <f t="shared" si="16"/>
        <v/>
      </c>
      <c r="FR16" s="182" t="str">
        <f t="shared" si="16"/>
        <v/>
      </c>
      <c r="FS16" s="182" t="str">
        <f t="shared" si="16"/>
        <v/>
      </c>
      <c r="FT16" s="182" t="str">
        <f t="shared" si="16"/>
        <v/>
      </c>
      <c r="FU16" s="182" t="str">
        <f t="shared" si="16"/>
        <v/>
      </c>
      <c r="FV16" s="182" t="str">
        <f t="shared" si="16"/>
        <v/>
      </c>
      <c r="FW16" s="182" t="str">
        <f t="shared" si="16"/>
        <v/>
      </c>
      <c r="FX16" s="182" t="str">
        <f t="shared" si="17"/>
        <v/>
      </c>
      <c r="FY16" s="182" t="str">
        <f t="shared" si="17"/>
        <v/>
      </c>
      <c r="FZ16" s="182" t="str">
        <f t="shared" si="17"/>
        <v/>
      </c>
      <c r="GA16" s="182" t="str">
        <f t="shared" si="17"/>
        <v/>
      </c>
      <c r="GB16" s="182" t="str">
        <f t="shared" si="17"/>
        <v/>
      </c>
      <c r="GC16" s="182" t="str">
        <f t="shared" si="17"/>
        <v/>
      </c>
      <c r="GD16" s="182" t="str">
        <f t="shared" si="17"/>
        <v/>
      </c>
      <c r="GE16" s="182" t="str">
        <f t="shared" si="17"/>
        <v/>
      </c>
      <c r="GF16" s="182" t="str">
        <f t="shared" si="17"/>
        <v/>
      </c>
      <c r="GG16" s="182" t="str">
        <f t="shared" si="17"/>
        <v/>
      </c>
      <c r="GH16" s="182" t="str">
        <f t="shared" si="17"/>
        <v/>
      </c>
      <c r="GI16" s="182" t="str">
        <f t="shared" si="17"/>
        <v/>
      </c>
      <c r="GJ16" s="182" t="str">
        <f t="shared" si="17"/>
        <v/>
      </c>
      <c r="GK16" s="182" t="str">
        <f t="shared" si="17"/>
        <v/>
      </c>
      <c r="GL16" s="182" t="str">
        <f t="shared" si="17"/>
        <v/>
      </c>
      <c r="GM16" s="182" t="str">
        <f t="shared" si="17"/>
        <v/>
      </c>
      <c r="GN16" s="182" t="str">
        <f t="shared" si="18"/>
        <v/>
      </c>
      <c r="GO16" s="182" t="str">
        <f t="shared" si="18"/>
        <v/>
      </c>
      <c r="GP16" s="182" t="str">
        <f t="shared" si="18"/>
        <v/>
      </c>
    </row>
    <row r="17" spans="2:198" x14ac:dyDescent="0.3">
      <c r="B17" s="184">
        <f>'MF Rent Roll'!B16</f>
        <v>0</v>
      </c>
      <c r="C17" s="171">
        <f>'MF Rent Roll'!C16</f>
        <v>0</v>
      </c>
      <c r="D17" s="172">
        <f>'MF Rent Roll'!D16</f>
        <v>0</v>
      </c>
      <c r="E17" s="172">
        <f>'MF Rent Roll'!E16</f>
        <v>0</v>
      </c>
      <c r="F17" s="173">
        <f>'MF Rent Roll'!F16</f>
        <v>0</v>
      </c>
      <c r="G17" s="174">
        <f>'MF Rent Roll'!G16</f>
        <v>0</v>
      </c>
      <c r="H17" s="176">
        <f>'MF Rent Roll'!J16</f>
        <v>0</v>
      </c>
      <c r="I17" s="174">
        <f>'MF Rent Roll'!K16</f>
        <v>0</v>
      </c>
      <c r="J17" s="177">
        <f>'MF Rent Roll'!L16</f>
        <v>0</v>
      </c>
      <c r="K17" s="178">
        <f>'MF Rent Roll'!M16</f>
        <v>0</v>
      </c>
      <c r="L17" s="174">
        <f>'MF Rent Roll'!N16</f>
        <v>0</v>
      </c>
      <c r="M17" s="179">
        <f>'MF Rent Roll'!O16</f>
        <v>0</v>
      </c>
      <c r="N17" s="180" t="str">
        <f>'MF Rent Roll'!P16</f>
        <v/>
      </c>
      <c r="O17" s="181" t="str">
        <f>'MF Rent Roll'!Q16</f>
        <v/>
      </c>
      <c r="P17" s="104" t="str">
        <f>'MF Rent Roll'!R16</f>
        <v/>
      </c>
      <c r="S17" s="182" t="str">
        <f t="shared" si="12"/>
        <v/>
      </c>
      <c r="T17" s="182" t="str">
        <f t="shared" si="12"/>
        <v/>
      </c>
      <c r="U17" s="182" t="str">
        <f t="shared" si="12"/>
        <v/>
      </c>
      <c r="V17" s="182" t="str">
        <f t="shared" si="12"/>
        <v/>
      </c>
      <c r="W17" s="182" t="str">
        <f t="shared" si="12"/>
        <v/>
      </c>
      <c r="X17" s="182" t="str">
        <f t="shared" si="12"/>
        <v/>
      </c>
      <c r="Y17" s="182" t="str">
        <f t="shared" si="12"/>
        <v/>
      </c>
      <c r="Z17" s="182" t="str">
        <f t="shared" si="12"/>
        <v/>
      </c>
      <c r="AA17" s="182" t="str">
        <f t="shared" si="12"/>
        <v/>
      </c>
      <c r="AB17" s="182" t="str">
        <f t="shared" si="12"/>
        <v/>
      </c>
      <c r="AC17" s="182" t="str">
        <f t="shared" si="12"/>
        <v/>
      </c>
      <c r="AD17" s="182" t="str">
        <f t="shared" si="12"/>
        <v/>
      </c>
      <c r="AE17" s="182" t="str">
        <f t="shared" si="12"/>
        <v/>
      </c>
      <c r="AF17" s="182" t="str">
        <f t="shared" si="12"/>
        <v/>
      </c>
      <c r="AG17" s="182" t="str">
        <f t="shared" si="12"/>
        <v/>
      </c>
      <c r="AH17" s="182" t="str">
        <f t="shared" si="12"/>
        <v/>
      </c>
      <c r="AI17" s="182" t="str">
        <f t="shared" si="21"/>
        <v/>
      </c>
      <c r="AJ17" s="182" t="str">
        <f t="shared" si="21"/>
        <v/>
      </c>
      <c r="AK17" s="182" t="str">
        <f t="shared" si="21"/>
        <v/>
      </c>
      <c r="AL17" s="182" t="str">
        <f t="shared" si="21"/>
        <v/>
      </c>
      <c r="AM17" s="182" t="str">
        <f t="shared" si="21"/>
        <v/>
      </c>
      <c r="AN17" s="182" t="str">
        <f t="shared" si="21"/>
        <v/>
      </c>
      <c r="AO17" s="182" t="str">
        <f t="shared" si="21"/>
        <v/>
      </c>
      <c r="AP17" s="182" t="str">
        <f t="shared" si="21"/>
        <v/>
      </c>
      <c r="AQ17" s="182" t="str">
        <f t="shared" si="21"/>
        <v/>
      </c>
      <c r="AR17" s="182" t="str">
        <f t="shared" si="21"/>
        <v/>
      </c>
      <c r="AS17" s="182" t="str">
        <f t="shared" si="21"/>
        <v/>
      </c>
      <c r="AT17" s="182" t="str">
        <f t="shared" si="21"/>
        <v/>
      </c>
      <c r="AU17" s="182" t="str">
        <f t="shared" si="21"/>
        <v/>
      </c>
      <c r="AV17" s="182" t="str">
        <f t="shared" si="21"/>
        <v/>
      </c>
      <c r="AW17" s="182" t="str">
        <f t="shared" si="21"/>
        <v/>
      </c>
      <c r="AX17" s="182" t="str">
        <f t="shared" si="21"/>
        <v/>
      </c>
      <c r="AY17" s="182" t="str">
        <f t="shared" si="22"/>
        <v/>
      </c>
      <c r="AZ17" s="182" t="str">
        <f t="shared" si="22"/>
        <v/>
      </c>
      <c r="BA17" s="182" t="str">
        <f t="shared" si="22"/>
        <v/>
      </c>
      <c r="BB17" s="182" t="str">
        <f t="shared" si="22"/>
        <v/>
      </c>
      <c r="BC17" s="182" t="str">
        <f t="shared" si="22"/>
        <v/>
      </c>
      <c r="BD17" s="182" t="str">
        <f t="shared" si="22"/>
        <v/>
      </c>
      <c r="BE17" s="182" t="str">
        <f t="shared" si="22"/>
        <v/>
      </c>
      <c r="BF17" s="182" t="str">
        <f t="shared" si="22"/>
        <v/>
      </c>
      <c r="BG17" s="182" t="str">
        <f t="shared" si="22"/>
        <v/>
      </c>
      <c r="BH17" s="182" t="str">
        <f t="shared" si="22"/>
        <v/>
      </c>
      <c r="BI17" s="182" t="str">
        <f t="shared" si="22"/>
        <v/>
      </c>
      <c r="BJ17" s="182" t="str">
        <f t="shared" si="22"/>
        <v/>
      </c>
      <c r="BK17" s="182" t="str">
        <f t="shared" si="22"/>
        <v/>
      </c>
      <c r="BL17" s="182" t="str">
        <f t="shared" si="22"/>
        <v/>
      </c>
      <c r="BM17" s="182" t="str">
        <f t="shared" si="22"/>
        <v/>
      </c>
      <c r="BN17" s="182" t="str">
        <f t="shared" si="22"/>
        <v/>
      </c>
      <c r="BO17" s="182" t="str">
        <f t="shared" si="23"/>
        <v/>
      </c>
      <c r="BP17" s="182" t="str">
        <f t="shared" si="23"/>
        <v/>
      </c>
      <c r="BQ17" s="182" t="str">
        <f t="shared" si="23"/>
        <v/>
      </c>
      <c r="BR17" s="182" t="str">
        <f t="shared" si="23"/>
        <v/>
      </c>
      <c r="BS17" s="182" t="str">
        <f t="shared" si="23"/>
        <v/>
      </c>
      <c r="BT17" s="182" t="str">
        <f t="shared" si="23"/>
        <v/>
      </c>
      <c r="BU17" s="182" t="str">
        <f t="shared" si="23"/>
        <v/>
      </c>
      <c r="BV17" s="182" t="str">
        <f t="shared" si="23"/>
        <v/>
      </c>
      <c r="BW17" s="182" t="str">
        <f t="shared" si="23"/>
        <v/>
      </c>
      <c r="BX17" s="182" t="str">
        <f t="shared" si="23"/>
        <v/>
      </c>
      <c r="BY17" s="182" t="str">
        <f t="shared" si="23"/>
        <v/>
      </c>
      <c r="BZ17" s="182" t="str">
        <f t="shared" si="23"/>
        <v/>
      </c>
      <c r="CA17" s="182" t="str">
        <f t="shared" si="23"/>
        <v/>
      </c>
      <c r="CB17" s="182" t="str">
        <f t="shared" si="23"/>
        <v/>
      </c>
      <c r="CC17" s="182" t="str">
        <f t="shared" si="23"/>
        <v/>
      </c>
      <c r="CD17" s="182" t="str">
        <f t="shared" si="23"/>
        <v/>
      </c>
      <c r="CE17" s="182" t="str">
        <f t="shared" si="19"/>
        <v/>
      </c>
      <c r="CF17" s="182" t="str">
        <f t="shared" si="19"/>
        <v/>
      </c>
      <c r="CG17" s="182" t="str">
        <f t="shared" si="19"/>
        <v/>
      </c>
      <c r="CH17" s="182" t="str">
        <f t="shared" si="19"/>
        <v/>
      </c>
      <c r="CI17" s="182" t="str">
        <f t="shared" si="19"/>
        <v/>
      </c>
      <c r="CJ17" s="182" t="str">
        <f t="shared" si="19"/>
        <v/>
      </c>
      <c r="CK17" s="182" t="str">
        <f t="shared" si="19"/>
        <v/>
      </c>
      <c r="CL17" s="182" t="str">
        <f t="shared" si="19"/>
        <v/>
      </c>
      <c r="CM17" s="182" t="str">
        <f t="shared" si="19"/>
        <v/>
      </c>
      <c r="CN17" s="182" t="str">
        <f t="shared" si="19"/>
        <v/>
      </c>
      <c r="CO17" s="182" t="str">
        <f t="shared" si="19"/>
        <v/>
      </c>
      <c r="CP17" s="182" t="str">
        <f t="shared" si="19"/>
        <v/>
      </c>
      <c r="CQ17" s="182" t="str">
        <f t="shared" si="19"/>
        <v/>
      </c>
      <c r="CR17" s="182" t="str">
        <f t="shared" si="19"/>
        <v/>
      </c>
      <c r="CS17" s="182" t="str">
        <f t="shared" si="19"/>
        <v/>
      </c>
      <c r="CT17" s="182" t="str">
        <f t="shared" si="24"/>
        <v/>
      </c>
      <c r="CU17" s="182" t="str">
        <f t="shared" si="24"/>
        <v/>
      </c>
      <c r="CV17" s="182" t="str">
        <f t="shared" si="24"/>
        <v/>
      </c>
      <c r="CW17" s="182" t="str">
        <f t="shared" si="24"/>
        <v/>
      </c>
      <c r="CX17" s="182" t="str">
        <f t="shared" si="24"/>
        <v/>
      </c>
      <c r="CY17" s="182" t="str">
        <f t="shared" si="24"/>
        <v/>
      </c>
      <c r="CZ17" s="182" t="str">
        <f t="shared" si="24"/>
        <v/>
      </c>
      <c r="DA17" s="182" t="str">
        <f t="shared" si="24"/>
        <v/>
      </c>
      <c r="DB17" s="182" t="str">
        <f t="shared" si="24"/>
        <v/>
      </c>
      <c r="DC17" s="182" t="str">
        <f t="shared" si="24"/>
        <v/>
      </c>
      <c r="DD17" s="182" t="str">
        <f t="shared" si="24"/>
        <v/>
      </c>
      <c r="DE17" s="182" t="str">
        <f t="shared" si="24"/>
        <v/>
      </c>
      <c r="DF17" s="182" t="str">
        <f t="shared" si="24"/>
        <v/>
      </c>
      <c r="DG17" s="182" t="str">
        <f t="shared" si="24"/>
        <v/>
      </c>
      <c r="DH17" s="182" t="str">
        <f t="shared" si="24"/>
        <v/>
      </c>
      <c r="DI17" s="182" t="str">
        <f t="shared" si="24"/>
        <v/>
      </c>
      <c r="DJ17" s="182" t="str">
        <f t="shared" si="25"/>
        <v/>
      </c>
      <c r="DK17" s="182" t="str">
        <f t="shared" si="25"/>
        <v/>
      </c>
      <c r="DL17" s="182" t="str">
        <f t="shared" si="25"/>
        <v/>
      </c>
      <c r="DM17" s="182" t="str">
        <f t="shared" si="25"/>
        <v/>
      </c>
      <c r="DN17" s="182" t="str">
        <f t="shared" si="25"/>
        <v/>
      </c>
      <c r="DO17" s="182" t="str">
        <f t="shared" si="25"/>
        <v/>
      </c>
      <c r="DP17" s="182" t="str">
        <f t="shared" si="25"/>
        <v/>
      </c>
      <c r="DQ17" s="182" t="str">
        <f t="shared" si="25"/>
        <v/>
      </c>
      <c r="DR17" s="182" t="str">
        <f t="shared" si="25"/>
        <v/>
      </c>
      <c r="DS17" s="182" t="str">
        <f t="shared" si="25"/>
        <v/>
      </c>
      <c r="DT17" s="182" t="str">
        <f t="shared" si="25"/>
        <v/>
      </c>
      <c r="DU17" s="182" t="str">
        <f t="shared" si="25"/>
        <v/>
      </c>
      <c r="DV17" s="182" t="str">
        <f t="shared" si="25"/>
        <v/>
      </c>
      <c r="DW17" s="182" t="str">
        <f t="shared" si="25"/>
        <v/>
      </c>
      <c r="DX17" s="182" t="str">
        <f t="shared" si="25"/>
        <v/>
      </c>
      <c r="DY17" s="182" t="str">
        <f t="shared" si="25"/>
        <v/>
      </c>
      <c r="DZ17" s="182" t="str">
        <f t="shared" si="26"/>
        <v/>
      </c>
      <c r="EA17" s="182" t="str">
        <f t="shared" si="26"/>
        <v/>
      </c>
      <c r="EB17" s="182" t="str">
        <f t="shared" si="26"/>
        <v/>
      </c>
      <c r="EC17" s="182" t="str">
        <f t="shared" si="26"/>
        <v/>
      </c>
      <c r="ED17" s="182" t="str">
        <f t="shared" si="26"/>
        <v/>
      </c>
      <c r="EE17" s="182" t="str">
        <f t="shared" si="26"/>
        <v/>
      </c>
      <c r="EF17" s="182" t="str">
        <f t="shared" si="26"/>
        <v/>
      </c>
      <c r="EG17" s="182" t="str">
        <f t="shared" si="26"/>
        <v/>
      </c>
      <c r="EH17" s="182" t="str">
        <f t="shared" si="26"/>
        <v/>
      </c>
      <c r="EI17" s="182" t="str">
        <f t="shared" si="26"/>
        <v/>
      </c>
      <c r="EJ17" s="182" t="str">
        <f t="shared" si="26"/>
        <v/>
      </c>
      <c r="EK17" s="182" t="str">
        <f t="shared" si="26"/>
        <v/>
      </c>
      <c r="EL17" s="182" t="str">
        <f t="shared" si="26"/>
        <v/>
      </c>
      <c r="EM17" s="182" t="str">
        <f t="shared" si="26"/>
        <v/>
      </c>
      <c r="EN17" s="182" t="str">
        <f t="shared" si="26"/>
        <v/>
      </c>
      <c r="EO17" s="182" t="str">
        <f t="shared" si="26"/>
        <v/>
      </c>
      <c r="EP17" s="182" t="str">
        <f t="shared" si="20"/>
        <v/>
      </c>
      <c r="EQ17" s="182" t="str">
        <f t="shared" si="20"/>
        <v/>
      </c>
      <c r="ER17" s="182" t="str">
        <f t="shared" si="15"/>
        <v/>
      </c>
      <c r="ES17" s="182" t="str">
        <f t="shared" si="15"/>
        <v/>
      </c>
      <c r="ET17" s="182" t="str">
        <f t="shared" si="15"/>
        <v/>
      </c>
      <c r="EU17" s="182" t="str">
        <f t="shared" si="15"/>
        <v/>
      </c>
      <c r="EV17" s="182" t="str">
        <f t="shared" si="15"/>
        <v/>
      </c>
      <c r="EW17" s="182" t="str">
        <f t="shared" si="15"/>
        <v/>
      </c>
      <c r="EX17" s="182" t="str">
        <f t="shared" si="15"/>
        <v/>
      </c>
      <c r="EY17" s="182" t="str">
        <f t="shared" si="15"/>
        <v/>
      </c>
      <c r="EZ17" s="182" t="str">
        <f t="shared" si="15"/>
        <v/>
      </c>
      <c r="FA17" s="182" t="str">
        <f t="shared" si="15"/>
        <v/>
      </c>
      <c r="FB17" s="182" t="str">
        <f t="shared" si="15"/>
        <v/>
      </c>
      <c r="FC17" s="182" t="str">
        <f t="shared" si="15"/>
        <v/>
      </c>
      <c r="FD17" s="182" t="str">
        <f t="shared" si="15"/>
        <v/>
      </c>
      <c r="FE17" s="182" t="str">
        <f t="shared" si="15"/>
        <v/>
      </c>
      <c r="FF17" s="182" t="str">
        <f t="shared" si="15"/>
        <v/>
      </c>
      <c r="FG17" s="182" t="str">
        <f t="shared" si="15"/>
        <v/>
      </c>
      <c r="FH17" s="182" t="str">
        <f t="shared" si="16"/>
        <v/>
      </c>
      <c r="FI17" s="182" t="str">
        <f t="shared" si="16"/>
        <v/>
      </c>
      <c r="FJ17" s="182" t="str">
        <f t="shared" si="16"/>
        <v/>
      </c>
      <c r="FK17" s="182" t="str">
        <f t="shared" si="16"/>
        <v/>
      </c>
      <c r="FL17" s="182" t="str">
        <f t="shared" si="16"/>
        <v/>
      </c>
      <c r="FM17" s="182" t="str">
        <f t="shared" si="16"/>
        <v/>
      </c>
      <c r="FN17" s="182" t="str">
        <f t="shared" si="16"/>
        <v/>
      </c>
      <c r="FO17" s="182" t="str">
        <f t="shared" si="16"/>
        <v/>
      </c>
      <c r="FP17" s="182" t="str">
        <f t="shared" si="16"/>
        <v/>
      </c>
      <c r="FQ17" s="182" t="str">
        <f t="shared" si="16"/>
        <v/>
      </c>
      <c r="FR17" s="182" t="str">
        <f t="shared" si="16"/>
        <v/>
      </c>
      <c r="FS17" s="182" t="str">
        <f t="shared" si="16"/>
        <v/>
      </c>
      <c r="FT17" s="182" t="str">
        <f t="shared" si="16"/>
        <v/>
      </c>
      <c r="FU17" s="182" t="str">
        <f t="shared" si="16"/>
        <v/>
      </c>
      <c r="FV17" s="182" t="str">
        <f t="shared" si="16"/>
        <v/>
      </c>
      <c r="FW17" s="182" t="str">
        <f t="shared" si="16"/>
        <v/>
      </c>
      <c r="FX17" s="182" t="str">
        <f t="shared" si="17"/>
        <v/>
      </c>
      <c r="FY17" s="182" t="str">
        <f t="shared" si="17"/>
        <v/>
      </c>
      <c r="FZ17" s="182" t="str">
        <f t="shared" si="17"/>
        <v/>
      </c>
      <c r="GA17" s="182" t="str">
        <f t="shared" si="17"/>
        <v/>
      </c>
      <c r="GB17" s="182" t="str">
        <f t="shared" si="17"/>
        <v/>
      </c>
      <c r="GC17" s="182" t="str">
        <f t="shared" si="17"/>
        <v/>
      </c>
      <c r="GD17" s="182" t="str">
        <f t="shared" si="17"/>
        <v/>
      </c>
      <c r="GE17" s="182" t="str">
        <f t="shared" si="17"/>
        <v/>
      </c>
      <c r="GF17" s="182" t="str">
        <f t="shared" si="17"/>
        <v/>
      </c>
      <c r="GG17" s="182" t="str">
        <f t="shared" si="17"/>
        <v/>
      </c>
      <c r="GH17" s="182" t="str">
        <f t="shared" si="17"/>
        <v/>
      </c>
      <c r="GI17" s="182" t="str">
        <f t="shared" si="17"/>
        <v/>
      </c>
      <c r="GJ17" s="182" t="str">
        <f t="shared" si="17"/>
        <v/>
      </c>
      <c r="GK17" s="182" t="str">
        <f t="shared" si="17"/>
        <v/>
      </c>
      <c r="GL17" s="182" t="str">
        <f t="shared" si="17"/>
        <v/>
      </c>
      <c r="GM17" s="182" t="str">
        <f t="shared" si="17"/>
        <v/>
      </c>
      <c r="GN17" s="182" t="str">
        <f t="shared" si="18"/>
        <v/>
      </c>
      <c r="GO17" s="182" t="str">
        <f t="shared" si="18"/>
        <v/>
      </c>
      <c r="GP17" s="182" t="str">
        <f t="shared" si="18"/>
        <v/>
      </c>
    </row>
    <row r="18" spans="2:198" x14ac:dyDescent="0.3">
      <c r="B18" s="184">
        <f>'MF Rent Roll'!B17</f>
        <v>0</v>
      </c>
      <c r="C18" s="171">
        <f>'MF Rent Roll'!C17</f>
        <v>0</v>
      </c>
      <c r="D18" s="172">
        <f>'MF Rent Roll'!D17</f>
        <v>0</v>
      </c>
      <c r="E18" s="172">
        <f>'MF Rent Roll'!E17</f>
        <v>0</v>
      </c>
      <c r="F18" s="173">
        <f>'MF Rent Roll'!F17</f>
        <v>0</v>
      </c>
      <c r="G18" s="174">
        <f>'MF Rent Roll'!G17</f>
        <v>0</v>
      </c>
      <c r="H18" s="176">
        <f>'MF Rent Roll'!J17</f>
        <v>0</v>
      </c>
      <c r="I18" s="174">
        <f>'MF Rent Roll'!K17</f>
        <v>0</v>
      </c>
      <c r="J18" s="177">
        <f>'MF Rent Roll'!L17</f>
        <v>0</v>
      </c>
      <c r="K18" s="178">
        <f>'MF Rent Roll'!M17</f>
        <v>0</v>
      </c>
      <c r="L18" s="174">
        <f>'MF Rent Roll'!N17</f>
        <v>0</v>
      </c>
      <c r="M18" s="179">
        <f>'MF Rent Roll'!O17</f>
        <v>0</v>
      </c>
      <c r="N18" s="180" t="str">
        <f>'MF Rent Roll'!P17</f>
        <v/>
      </c>
      <c r="O18" s="181" t="str">
        <f>'MF Rent Roll'!Q17</f>
        <v/>
      </c>
      <c r="P18" s="104" t="str">
        <f>'MF Rent Roll'!R17</f>
        <v/>
      </c>
      <c r="S18" s="182" t="str">
        <f t="shared" si="12"/>
        <v/>
      </c>
      <c r="T18" s="182" t="str">
        <f t="shared" si="12"/>
        <v/>
      </c>
      <c r="U18" s="182" t="str">
        <f t="shared" si="12"/>
        <v/>
      </c>
      <c r="V18" s="182" t="str">
        <f t="shared" si="12"/>
        <v/>
      </c>
      <c r="W18" s="182" t="str">
        <f t="shared" si="12"/>
        <v/>
      </c>
      <c r="X18" s="182" t="str">
        <f t="shared" si="12"/>
        <v/>
      </c>
      <c r="Y18" s="182" t="str">
        <f t="shared" si="12"/>
        <v/>
      </c>
      <c r="Z18" s="182" t="str">
        <f t="shared" si="12"/>
        <v/>
      </c>
      <c r="AA18" s="182" t="str">
        <f t="shared" si="12"/>
        <v/>
      </c>
      <c r="AB18" s="182" t="str">
        <f t="shared" si="12"/>
        <v/>
      </c>
      <c r="AC18" s="182" t="str">
        <f t="shared" si="12"/>
        <v/>
      </c>
      <c r="AD18" s="182" t="str">
        <f t="shared" si="12"/>
        <v/>
      </c>
      <c r="AE18" s="182" t="str">
        <f t="shared" si="12"/>
        <v/>
      </c>
      <c r="AF18" s="182" t="str">
        <f t="shared" si="12"/>
        <v/>
      </c>
      <c r="AG18" s="182" t="str">
        <f t="shared" si="12"/>
        <v/>
      </c>
      <c r="AH18" s="182" t="str">
        <f t="shared" si="12"/>
        <v/>
      </c>
      <c r="AI18" s="182" t="str">
        <f t="shared" si="21"/>
        <v/>
      </c>
      <c r="AJ18" s="182" t="str">
        <f t="shared" si="21"/>
        <v/>
      </c>
      <c r="AK18" s="182" t="str">
        <f t="shared" si="21"/>
        <v/>
      </c>
      <c r="AL18" s="182" t="str">
        <f t="shared" si="21"/>
        <v/>
      </c>
      <c r="AM18" s="182" t="str">
        <f t="shared" si="21"/>
        <v/>
      </c>
      <c r="AN18" s="182" t="str">
        <f t="shared" si="21"/>
        <v/>
      </c>
      <c r="AO18" s="182" t="str">
        <f t="shared" si="21"/>
        <v/>
      </c>
      <c r="AP18" s="182" t="str">
        <f t="shared" si="21"/>
        <v/>
      </c>
      <c r="AQ18" s="182" t="str">
        <f t="shared" si="21"/>
        <v/>
      </c>
      <c r="AR18" s="182" t="str">
        <f t="shared" si="21"/>
        <v/>
      </c>
      <c r="AS18" s="182" t="str">
        <f t="shared" si="21"/>
        <v/>
      </c>
      <c r="AT18" s="182" t="str">
        <f t="shared" si="21"/>
        <v/>
      </c>
      <c r="AU18" s="182" t="str">
        <f t="shared" si="21"/>
        <v/>
      </c>
      <c r="AV18" s="182" t="str">
        <f t="shared" si="21"/>
        <v/>
      </c>
      <c r="AW18" s="182" t="str">
        <f t="shared" si="21"/>
        <v/>
      </c>
      <c r="AX18" s="182" t="str">
        <f t="shared" si="21"/>
        <v/>
      </c>
      <c r="AY18" s="182" t="str">
        <f t="shared" si="22"/>
        <v/>
      </c>
      <c r="AZ18" s="182" t="str">
        <f t="shared" si="22"/>
        <v/>
      </c>
      <c r="BA18" s="182" t="str">
        <f t="shared" si="22"/>
        <v/>
      </c>
      <c r="BB18" s="182" t="str">
        <f t="shared" si="22"/>
        <v/>
      </c>
      <c r="BC18" s="182" t="str">
        <f t="shared" si="22"/>
        <v/>
      </c>
      <c r="BD18" s="182" t="str">
        <f t="shared" si="22"/>
        <v/>
      </c>
      <c r="BE18" s="182" t="str">
        <f t="shared" si="22"/>
        <v/>
      </c>
      <c r="BF18" s="182" t="str">
        <f t="shared" si="22"/>
        <v/>
      </c>
      <c r="BG18" s="182" t="str">
        <f t="shared" si="22"/>
        <v/>
      </c>
      <c r="BH18" s="182" t="str">
        <f t="shared" si="22"/>
        <v/>
      </c>
      <c r="BI18" s="182" t="str">
        <f t="shared" si="22"/>
        <v/>
      </c>
      <c r="BJ18" s="182" t="str">
        <f t="shared" si="22"/>
        <v/>
      </c>
      <c r="BK18" s="182" t="str">
        <f t="shared" si="22"/>
        <v/>
      </c>
      <c r="BL18" s="182" t="str">
        <f t="shared" si="22"/>
        <v/>
      </c>
      <c r="BM18" s="182" t="str">
        <f t="shared" si="22"/>
        <v/>
      </c>
      <c r="BN18" s="182" t="str">
        <f t="shared" si="22"/>
        <v/>
      </c>
      <c r="BO18" s="182" t="str">
        <f t="shared" si="23"/>
        <v/>
      </c>
      <c r="BP18" s="182" t="str">
        <f t="shared" si="23"/>
        <v/>
      </c>
      <c r="BQ18" s="182" t="str">
        <f t="shared" si="23"/>
        <v/>
      </c>
      <c r="BR18" s="182" t="str">
        <f t="shared" si="23"/>
        <v/>
      </c>
      <c r="BS18" s="182" t="str">
        <f t="shared" si="23"/>
        <v/>
      </c>
      <c r="BT18" s="182" t="str">
        <f t="shared" si="23"/>
        <v/>
      </c>
      <c r="BU18" s="182" t="str">
        <f t="shared" si="23"/>
        <v/>
      </c>
      <c r="BV18" s="182" t="str">
        <f t="shared" si="23"/>
        <v/>
      </c>
      <c r="BW18" s="182" t="str">
        <f t="shared" si="23"/>
        <v/>
      </c>
      <c r="BX18" s="182" t="str">
        <f t="shared" si="23"/>
        <v/>
      </c>
      <c r="BY18" s="182" t="str">
        <f t="shared" si="23"/>
        <v/>
      </c>
      <c r="BZ18" s="182" t="str">
        <f t="shared" si="23"/>
        <v/>
      </c>
      <c r="CA18" s="182" t="str">
        <f t="shared" si="23"/>
        <v/>
      </c>
      <c r="CB18" s="182" t="str">
        <f t="shared" si="23"/>
        <v/>
      </c>
      <c r="CC18" s="182" t="str">
        <f t="shared" si="23"/>
        <v/>
      </c>
      <c r="CD18" s="182" t="str">
        <f t="shared" si="23"/>
        <v/>
      </c>
      <c r="CE18" s="182" t="str">
        <f t="shared" si="19"/>
        <v/>
      </c>
      <c r="CF18" s="182" t="str">
        <f t="shared" si="19"/>
        <v/>
      </c>
      <c r="CG18" s="182" t="str">
        <f t="shared" si="19"/>
        <v/>
      </c>
      <c r="CH18" s="182" t="str">
        <f t="shared" si="19"/>
        <v/>
      </c>
      <c r="CI18" s="182" t="str">
        <f t="shared" si="19"/>
        <v/>
      </c>
      <c r="CJ18" s="182" t="str">
        <f t="shared" si="19"/>
        <v/>
      </c>
      <c r="CK18" s="182" t="str">
        <f t="shared" si="19"/>
        <v/>
      </c>
      <c r="CL18" s="182" t="str">
        <f t="shared" si="19"/>
        <v/>
      </c>
      <c r="CM18" s="182" t="str">
        <f t="shared" si="19"/>
        <v/>
      </c>
      <c r="CN18" s="182" t="str">
        <f t="shared" si="19"/>
        <v/>
      </c>
      <c r="CO18" s="182" t="str">
        <f t="shared" si="19"/>
        <v/>
      </c>
      <c r="CP18" s="182" t="str">
        <f t="shared" si="19"/>
        <v/>
      </c>
      <c r="CQ18" s="182" t="str">
        <f t="shared" si="19"/>
        <v/>
      </c>
      <c r="CR18" s="182" t="str">
        <f t="shared" si="19"/>
        <v/>
      </c>
      <c r="CS18" s="182" t="str">
        <f t="shared" si="19"/>
        <v/>
      </c>
      <c r="CT18" s="182" t="str">
        <f t="shared" si="24"/>
        <v/>
      </c>
      <c r="CU18" s="182" t="str">
        <f t="shared" si="24"/>
        <v/>
      </c>
      <c r="CV18" s="182" t="str">
        <f t="shared" si="24"/>
        <v/>
      </c>
      <c r="CW18" s="182" t="str">
        <f t="shared" si="24"/>
        <v/>
      </c>
      <c r="CX18" s="182" t="str">
        <f t="shared" si="24"/>
        <v/>
      </c>
      <c r="CY18" s="182" t="str">
        <f t="shared" si="24"/>
        <v/>
      </c>
      <c r="CZ18" s="182" t="str">
        <f t="shared" si="24"/>
        <v/>
      </c>
      <c r="DA18" s="182" t="str">
        <f t="shared" si="24"/>
        <v/>
      </c>
      <c r="DB18" s="182" t="str">
        <f t="shared" si="24"/>
        <v/>
      </c>
      <c r="DC18" s="182" t="str">
        <f t="shared" si="24"/>
        <v/>
      </c>
      <c r="DD18" s="182" t="str">
        <f t="shared" si="24"/>
        <v/>
      </c>
      <c r="DE18" s="182" t="str">
        <f t="shared" si="24"/>
        <v/>
      </c>
      <c r="DF18" s="182" t="str">
        <f t="shared" si="24"/>
        <v/>
      </c>
      <c r="DG18" s="182" t="str">
        <f t="shared" si="24"/>
        <v/>
      </c>
      <c r="DH18" s="182" t="str">
        <f t="shared" si="24"/>
        <v/>
      </c>
      <c r="DI18" s="182" t="str">
        <f t="shared" si="24"/>
        <v/>
      </c>
      <c r="DJ18" s="182" t="str">
        <f t="shared" si="25"/>
        <v/>
      </c>
      <c r="DK18" s="182" t="str">
        <f t="shared" si="25"/>
        <v/>
      </c>
      <c r="DL18" s="182" t="str">
        <f t="shared" si="25"/>
        <v/>
      </c>
      <c r="DM18" s="182" t="str">
        <f t="shared" si="25"/>
        <v/>
      </c>
      <c r="DN18" s="182" t="str">
        <f t="shared" si="25"/>
        <v/>
      </c>
      <c r="DO18" s="182" t="str">
        <f t="shared" si="25"/>
        <v/>
      </c>
      <c r="DP18" s="182" t="str">
        <f t="shared" si="25"/>
        <v/>
      </c>
      <c r="DQ18" s="182" t="str">
        <f t="shared" si="25"/>
        <v/>
      </c>
      <c r="DR18" s="182" t="str">
        <f t="shared" si="25"/>
        <v/>
      </c>
      <c r="DS18" s="182" t="str">
        <f t="shared" si="25"/>
        <v/>
      </c>
      <c r="DT18" s="182" t="str">
        <f t="shared" si="25"/>
        <v/>
      </c>
      <c r="DU18" s="182" t="str">
        <f t="shared" si="25"/>
        <v/>
      </c>
      <c r="DV18" s="182" t="str">
        <f t="shared" si="25"/>
        <v/>
      </c>
      <c r="DW18" s="182" t="str">
        <f t="shared" si="25"/>
        <v/>
      </c>
      <c r="DX18" s="182" t="str">
        <f t="shared" si="25"/>
        <v/>
      </c>
      <c r="DY18" s="182" t="str">
        <f t="shared" si="25"/>
        <v/>
      </c>
      <c r="DZ18" s="182" t="str">
        <f t="shared" si="26"/>
        <v/>
      </c>
      <c r="EA18" s="182" t="str">
        <f t="shared" si="26"/>
        <v/>
      </c>
      <c r="EB18" s="182" t="str">
        <f t="shared" si="26"/>
        <v/>
      </c>
      <c r="EC18" s="182" t="str">
        <f t="shared" si="26"/>
        <v/>
      </c>
      <c r="ED18" s="182" t="str">
        <f t="shared" si="26"/>
        <v/>
      </c>
      <c r="EE18" s="182" t="str">
        <f t="shared" si="26"/>
        <v/>
      </c>
      <c r="EF18" s="182" t="str">
        <f t="shared" si="26"/>
        <v/>
      </c>
      <c r="EG18" s="182" t="str">
        <f t="shared" si="26"/>
        <v/>
      </c>
      <c r="EH18" s="182" t="str">
        <f t="shared" si="26"/>
        <v/>
      </c>
      <c r="EI18" s="182" t="str">
        <f t="shared" si="26"/>
        <v/>
      </c>
      <c r="EJ18" s="182" t="str">
        <f t="shared" si="26"/>
        <v/>
      </c>
      <c r="EK18" s="182" t="str">
        <f t="shared" si="26"/>
        <v/>
      </c>
      <c r="EL18" s="182" t="str">
        <f t="shared" si="26"/>
        <v/>
      </c>
      <c r="EM18" s="182" t="str">
        <f t="shared" si="26"/>
        <v/>
      </c>
      <c r="EN18" s="182" t="str">
        <f t="shared" si="26"/>
        <v/>
      </c>
      <c r="EO18" s="182" t="str">
        <f t="shared" si="26"/>
        <v/>
      </c>
      <c r="EP18" s="182" t="str">
        <f t="shared" si="20"/>
        <v/>
      </c>
      <c r="EQ18" s="182" t="str">
        <f t="shared" si="20"/>
        <v/>
      </c>
      <c r="ER18" s="182" t="str">
        <f t="shared" si="15"/>
        <v/>
      </c>
      <c r="ES18" s="182" t="str">
        <f t="shared" si="15"/>
        <v/>
      </c>
      <c r="ET18" s="182" t="str">
        <f t="shared" si="15"/>
        <v/>
      </c>
      <c r="EU18" s="182" t="str">
        <f t="shared" si="15"/>
        <v/>
      </c>
      <c r="EV18" s="182" t="str">
        <f t="shared" si="15"/>
        <v/>
      </c>
      <c r="EW18" s="182" t="str">
        <f t="shared" si="15"/>
        <v/>
      </c>
      <c r="EX18" s="182" t="str">
        <f t="shared" si="15"/>
        <v/>
      </c>
      <c r="EY18" s="182" t="str">
        <f t="shared" si="15"/>
        <v/>
      </c>
      <c r="EZ18" s="182" t="str">
        <f t="shared" si="15"/>
        <v/>
      </c>
      <c r="FA18" s="182" t="str">
        <f t="shared" si="15"/>
        <v/>
      </c>
      <c r="FB18" s="182" t="str">
        <f t="shared" si="15"/>
        <v/>
      </c>
      <c r="FC18" s="182" t="str">
        <f t="shared" si="15"/>
        <v/>
      </c>
      <c r="FD18" s="182" t="str">
        <f t="shared" si="15"/>
        <v/>
      </c>
      <c r="FE18" s="182" t="str">
        <f t="shared" si="15"/>
        <v/>
      </c>
      <c r="FF18" s="182" t="str">
        <f t="shared" si="15"/>
        <v/>
      </c>
      <c r="FG18" s="182" t="str">
        <f t="shared" si="15"/>
        <v/>
      </c>
      <c r="FH18" s="182" t="str">
        <f t="shared" si="16"/>
        <v/>
      </c>
      <c r="FI18" s="182" t="str">
        <f t="shared" si="16"/>
        <v/>
      </c>
      <c r="FJ18" s="182" t="str">
        <f t="shared" si="16"/>
        <v/>
      </c>
      <c r="FK18" s="182" t="str">
        <f t="shared" si="16"/>
        <v/>
      </c>
      <c r="FL18" s="182" t="str">
        <f t="shared" si="16"/>
        <v/>
      </c>
      <c r="FM18" s="182" t="str">
        <f t="shared" si="16"/>
        <v/>
      </c>
      <c r="FN18" s="182" t="str">
        <f t="shared" si="16"/>
        <v/>
      </c>
      <c r="FO18" s="182" t="str">
        <f t="shared" si="16"/>
        <v/>
      </c>
      <c r="FP18" s="182" t="str">
        <f t="shared" si="16"/>
        <v/>
      </c>
      <c r="FQ18" s="182" t="str">
        <f t="shared" si="16"/>
        <v/>
      </c>
      <c r="FR18" s="182" t="str">
        <f t="shared" si="16"/>
        <v/>
      </c>
      <c r="FS18" s="182" t="str">
        <f t="shared" si="16"/>
        <v/>
      </c>
      <c r="FT18" s="182" t="str">
        <f t="shared" si="16"/>
        <v/>
      </c>
      <c r="FU18" s="182" t="str">
        <f t="shared" si="16"/>
        <v/>
      </c>
      <c r="FV18" s="182" t="str">
        <f t="shared" si="16"/>
        <v/>
      </c>
      <c r="FW18" s="182" t="str">
        <f t="shared" si="16"/>
        <v/>
      </c>
      <c r="FX18" s="182" t="str">
        <f t="shared" si="17"/>
        <v/>
      </c>
      <c r="FY18" s="182" t="str">
        <f t="shared" si="17"/>
        <v/>
      </c>
      <c r="FZ18" s="182" t="str">
        <f t="shared" si="17"/>
        <v/>
      </c>
      <c r="GA18" s="182" t="str">
        <f t="shared" si="17"/>
        <v/>
      </c>
      <c r="GB18" s="182" t="str">
        <f t="shared" si="17"/>
        <v/>
      </c>
      <c r="GC18" s="182" t="str">
        <f t="shared" si="17"/>
        <v/>
      </c>
      <c r="GD18" s="182" t="str">
        <f t="shared" si="17"/>
        <v/>
      </c>
      <c r="GE18" s="182" t="str">
        <f t="shared" si="17"/>
        <v/>
      </c>
      <c r="GF18" s="182" t="str">
        <f t="shared" si="17"/>
        <v/>
      </c>
      <c r="GG18" s="182" t="str">
        <f t="shared" si="17"/>
        <v/>
      </c>
      <c r="GH18" s="182" t="str">
        <f t="shared" si="17"/>
        <v/>
      </c>
      <c r="GI18" s="182" t="str">
        <f t="shared" si="17"/>
        <v/>
      </c>
      <c r="GJ18" s="182" t="str">
        <f t="shared" si="17"/>
        <v/>
      </c>
      <c r="GK18" s="182" t="str">
        <f t="shared" si="17"/>
        <v/>
      </c>
      <c r="GL18" s="182" t="str">
        <f t="shared" si="17"/>
        <v/>
      </c>
      <c r="GM18" s="182" t="str">
        <f t="shared" si="17"/>
        <v/>
      </c>
      <c r="GN18" s="182" t="str">
        <f t="shared" si="18"/>
        <v/>
      </c>
      <c r="GO18" s="182" t="str">
        <f t="shared" si="18"/>
        <v/>
      </c>
      <c r="GP18" s="182" t="str">
        <f t="shared" si="18"/>
        <v/>
      </c>
    </row>
    <row r="19" spans="2:198" x14ac:dyDescent="0.3">
      <c r="B19" s="184">
        <f>'MF Rent Roll'!B18</f>
        <v>0</v>
      </c>
      <c r="C19" s="171">
        <f>'MF Rent Roll'!C18</f>
        <v>0</v>
      </c>
      <c r="D19" s="172">
        <f>'MF Rent Roll'!D18</f>
        <v>0</v>
      </c>
      <c r="E19" s="172">
        <f>'MF Rent Roll'!E18</f>
        <v>0</v>
      </c>
      <c r="F19" s="173">
        <f>'MF Rent Roll'!F18</f>
        <v>0</v>
      </c>
      <c r="G19" s="174">
        <f>'MF Rent Roll'!G18</f>
        <v>0</v>
      </c>
      <c r="H19" s="176">
        <f>'MF Rent Roll'!J18</f>
        <v>0</v>
      </c>
      <c r="I19" s="174">
        <f>'MF Rent Roll'!K18</f>
        <v>0</v>
      </c>
      <c r="J19" s="177">
        <f>'MF Rent Roll'!L18</f>
        <v>0</v>
      </c>
      <c r="K19" s="178">
        <f>'MF Rent Roll'!M18</f>
        <v>0</v>
      </c>
      <c r="L19" s="174">
        <f>'MF Rent Roll'!N18</f>
        <v>0</v>
      </c>
      <c r="M19" s="179">
        <f>'MF Rent Roll'!O18</f>
        <v>0</v>
      </c>
      <c r="N19" s="180" t="str">
        <f>'MF Rent Roll'!P18</f>
        <v/>
      </c>
      <c r="O19" s="181" t="str">
        <f>'MF Rent Roll'!Q18</f>
        <v/>
      </c>
      <c r="P19" s="104" t="str">
        <f>'MF Rent Roll'!R18</f>
        <v/>
      </c>
      <c r="S19" s="182" t="str">
        <f t="shared" si="12"/>
        <v/>
      </c>
      <c r="T19" s="182" t="str">
        <f t="shared" si="12"/>
        <v/>
      </c>
      <c r="U19" s="182" t="str">
        <f t="shared" si="12"/>
        <v/>
      </c>
      <c r="V19" s="182" t="str">
        <f t="shared" si="12"/>
        <v/>
      </c>
      <c r="W19" s="182" t="str">
        <f t="shared" si="12"/>
        <v/>
      </c>
      <c r="X19" s="182" t="str">
        <f t="shared" si="12"/>
        <v/>
      </c>
      <c r="Y19" s="182" t="str">
        <f t="shared" si="12"/>
        <v/>
      </c>
      <c r="Z19" s="182" t="str">
        <f t="shared" si="12"/>
        <v/>
      </c>
      <c r="AA19" s="182" t="str">
        <f t="shared" si="12"/>
        <v/>
      </c>
      <c r="AB19" s="182" t="str">
        <f t="shared" si="12"/>
        <v/>
      </c>
      <c r="AC19" s="182" t="str">
        <f t="shared" si="12"/>
        <v/>
      </c>
      <c r="AD19" s="182" t="str">
        <f t="shared" si="12"/>
        <v/>
      </c>
      <c r="AE19" s="182" t="str">
        <f t="shared" si="12"/>
        <v/>
      </c>
      <c r="AF19" s="182" t="str">
        <f t="shared" si="12"/>
        <v/>
      </c>
      <c r="AG19" s="182" t="str">
        <f t="shared" si="12"/>
        <v/>
      </c>
      <c r="AH19" s="182" t="str">
        <f t="shared" si="12"/>
        <v/>
      </c>
      <c r="AI19" s="182" t="str">
        <f t="shared" si="21"/>
        <v/>
      </c>
      <c r="AJ19" s="182" t="str">
        <f t="shared" si="21"/>
        <v/>
      </c>
      <c r="AK19" s="182" t="str">
        <f t="shared" si="21"/>
        <v/>
      </c>
      <c r="AL19" s="182" t="str">
        <f t="shared" si="21"/>
        <v/>
      </c>
      <c r="AM19" s="182" t="str">
        <f t="shared" si="21"/>
        <v/>
      </c>
      <c r="AN19" s="182" t="str">
        <f t="shared" si="21"/>
        <v/>
      </c>
      <c r="AO19" s="182" t="str">
        <f t="shared" si="21"/>
        <v/>
      </c>
      <c r="AP19" s="182" t="str">
        <f t="shared" si="21"/>
        <v/>
      </c>
      <c r="AQ19" s="182" t="str">
        <f t="shared" si="21"/>
        <v/>
      </c>
      <c r="AR19" s="182" t="str">
        <f t="shared" si="21"/>
        <v/>
      </c>
      <c r="AS19" s="182" t="str">
        <f t="shared" si="21"/>
        <v/>
      </c>
      <c r="AT19" s="182" t="str">
        <f t="shared" si="21"/>
        <v/>
      </c>
      <c r="AU19" s="182" t="str">
        <f t="shared" si="21"/>
        <v/>
      </c>
      <c r="AV19" s="182" t="str">
        <f t="shared" si="21"/>
        <v/>
      </c>
      <c r="AW19" s="182" t="str">
        <f t="shared" si="21"/>
        <v/>
      </c>
      <c r="AX19" s="182" t="str">
        <f t="shared" si="21"/>
        <v/>
      </c>
      <c r="AY19" s="182" t="str">
        <f t="shared" si="22"/>
        <v/>
      </c>
      <c r="AZ19" s="182" t="str">
        <f t="shared" si="22"/>
        <v/>
      </c>
      <c r="BA19" s="182" t="str">
        <f t="shared" si="22"/>
        <v/>
      </c>
      <c r="BB19" s="182" t="str">
        <f t="shared" si="22"/>
        <v/>
      </c>
      <c r="BC19" s="182" t="str">
        <f t="shared" si="22"/>
        <v/>
      </c>
      <c r="BD19" s="182" t="str">
        <f t="shared" si="22"/>
        <v/>
      </c>
      <c r="BE19" s="182" t="str">
        <f t="shared" si="22"/>
        <v/>
      </c>
      <c r="BF19" s="182" t="str">
        <f t="shared" si="22"/>
        <v/>
      </c>
      <c r="BG19" s="182" t="str">
        <f t="shared" si="22"/>
        <v/>
      </c>
      <c r="BH19" s="182" t="str">
        <f t="shared" si="22"/>
        <v/>
      </c>
      <c r="BI19" s="182" t="str">
        <f t="shared" si="22"/>
        <v/>
      </c>
      <c r="BJ19" s="182" t="str">
        <f t="shared" si="22"/>
        <v/>
      </c>
      <c r="BK19" s="182" t="str">
        <f t="shared" si="22"/>
        <v/>
      </c>
      <c r="BL19" s="182" t="str">
        <f t="shared" si="22"/>
        <v/>
      </c>
      <c r="BM19" s="182" t="str">
        <f t="shared" si="22"/>
        <v/>
      </c>
      <c r="BN19" s="182" t="str">
        <f t="shared" si="22"/>
        <v/>
      </c>
      <c r="BO19" s="182" t="str">
        <f t="shared" si="23"/>
        <v/>
      </c>
      <c r="BP19" s="182" t="str">
        <f t="shared" si="23"/>
        <v/>
      </c>
      <c r="BQ19" s="182" t="str">
        <f t="shared" si="23"/>
        <v/>
      </c>
      <c r="BR19" s="182" t="str">
        <f t="shared" si="23"/>
        <v/>
      </c>
      <c r="BS19" s="182" t="str">
        <f t="shared" si="23"/>
        <v/>
      </c>
      <c r="BT19" s="182" t="str">
        <f t="shared" si="23"/>
        <v/>
      </c>
      <c r="BU19" s="182" t="str">
        <f t="shared" si="23"/>
        <v/>
      </c>
      <c r="BV19" s="182" t="str">
        <f t="shared" si="23"/>
        <v/>
      </c>
      <c r="BW19" s="182" t="str">
        <f t="shared" si="23"/>
        <v/>
      </c>
      <c r="BX19" s="182" t="str">
        <f t="shared" si="23"/>
        <v/>
      </c>
      <c r="BY19" s="182" t="str">
        <f t="shared" si="23"/>
        <v/>
      </c>
      <c r="BZ19" s="182" t="str">
        <f t="shared" si="23"/>
        <v/>
      </c>
      <c r="CA19" s="182" t="str">
        <f t="shared" si="23"/>
        <v/>
      </c>
      <c r="CB19" s="182" t="str">
        <f t="shared" si="23"/>
        <v/>
      </c>
      <c r="CC19" s="182" t="str">
        <f t="shared" si="23"/>
        <v/>
      </c>
      <c r="CD19" s="182" t="str">
        <f t="shared" si="23"/>
        <v/>
      </c>
      <c r="CE19" s="182" t="str">
        <f t="shared" si="19"/>
        <v/>
      </c>
      <c r="CF19" s="182" t="str">
        <f t="shared" si="19"/>
        <v/>
      </c>
      <c r="CG19" s="182" t="str">
        <f t="shared" si="19"/>
        <v/>
      </c>
      <c r="CH19" s="182" t="str">
        <f t="shared" si="19"/>
        <v/>
      </c>
      <c r="CI19" s="182" t="str">
        <f t="shared" si="19"/>
        <v/>
      </c>
      <c r="CJ19" s="182" t="str">
        <f t="shared" si="19"/>
        <v/>
      </c>
      <c r="CK19" s="182" t="str">
        <f t="shared" si="19"/>
        <v/>
      </c>
      <c r="CL19" s="182" t="str">
        <f t="shared" si="19"/>
        <v/>
      </c>
      <c r="CM19" s="182" t="str">
        <f t="shared" si="19"/>
        <v/>
      </c>
      <c r="CN19" s="182" t="str">
        <f t="shared" si="19"/>
        <v/>
      </c>
      <c r="CO19" s="182" t="str">
        <f t="shared" si="19"/>
        <v/>
      </c>
      <c r="CP19" s="182" t="str">
        <f t="shared" si="19"/>
        <v/>
      </c>
      <c r="CQ19" s="182" t="str">
        <f t="shared" si="19"/>
        <v/>
      </c>
      <c r="CR19" s="182" t="str">
        <f t="shared" si="19"/>
        <v/>
      </c>
      <c r="CS19" s="182" t="str">
        <f t="shared" si="19"/>
        <v/>
      </c>
      <c r="CT19" s="182" t="str">
        <f t="shared" si="24"/>
        <v/>
      </c>
      <c r="CU19" s="182" t="str">
        <f t="shared" si="24"/>
        <v/>
      </c>
      <c r="CV19" s="182" t="str">
        <f t="shared" si="24"/>
        <v/>
      </c>
      <c r="CW19" s="182" t="str">
        <f t="shared" si="24"/>
        <v/>
      </c>
      <c r="CX19" s="182" t="str">
        <f t="shared" si="24"/>
        <v/>
      </c>
      <c r="CY19" s="182" t="str">
        <f t="shared" si="24"/>
        <v/>
      </c>
      <c r="CZ19" s="182" t="str">
        <f t="shared" si="24"/>
        <v/>
      </c>
      <c r="DA19" s="182" t="str">
        <f t="shared" si="24"/>
        <v/>
      </c>
      <c r="DB19" s="182" t="str">
        <f t="shared" si="24"/>
        <v/>
      </c>
      <c r="DC19" s="182" t="str">
        <f t="shared" si="24"/>
        <v/>
      </c>
      <c r="DD19" s="182" t="str">
        <f t="shared" si="24"/>
        <v/>
      </c>
      <c r="DE19" s="182" t="str">
        <f t="shared" si="24"/>
        <v/>
      </c>
      <c r="DF19" s="182" t="str">
        <f t="shared" si="24"/>
        <v/>
      </c>
      <c r="DG19" s="182" t="str">
        <f t="shared" si="24"/>
        <v/>
      </c>
      <c r="DH19" s="182" t="str">
        <f t="shared" si="24"/>
        <v/>
      </c>
      <c r="DI19" s="182" t="str">
        <f t="shared" si="24"/>
        <v/>
      </c>
      <c r="DJ19" s="182" t="str">
        <f t="shared" si="25"/>
        <v/>
      </c>
      <c r="DK19" s="182" t="str">
        <f t="shared" si="25"/>
        <v/>
      </c>
      <c r="DL19" s="182" t="str">
        <f t="shared" si="25"/>
        <v/>
      </c>
      <c r="DM19" s="182" t="str">
        <f t="shared" si="25"/>
        <v/>
      </c>
      <c r="DN19" s="182" t="str">
        <f t="shared" si="25"/>
        <v/>
      </c>
      <c r="DO19" s="182" t="str">
        <f t="shared" si="25"/>
        <v/>
      </c>
      <c r="DP19" s="182" t="str">
        <f t="shared" si="25"/>
        <v/>
      </c>
      <c r="DQ19" s="182" t="str">
        <f t="shared" si="25"/>
        <v/>
      </c>
      <c r="DR19" s="182" t="str">
        <f t="shared" si="25"/>
        <v/>
      </c>
      <c r="DS19" s="182" t="str">
        <f t="shared" si="25"/>
        <v/>
      </c>
      <c r="DT19" s="182" t="str">
        <f t="shared" si="25"/>
        <v/>
      </c>
      <c r="DU19" s="182" t="str">
        <f t="shared" si="25"/>
        <v/>
      </c>
      <c r="DV19" s="182" t="str">
        <f t="shared" si="25"/>
        <v/>
      </c>
      <c r="DW19" s="182" t="str">
        <f t="shared" si="25"/>
        <v/>
      </c>
      <c r="DX19" s="182" t="str">
        <f t="shared" si="25"/>
        <v/>
      </c>
      <c r="DY19" s="182" t="str">
        <f t="shared" si="25"/>
        <v/>
      </c>
      <c r="DZ19" s="182" t="str">
        <f t="shared" si="26"/>
        <v/>
      </c>
      <c r="EA19" s="182" t="str">
        <f t="shared" si="26"/>
        <v/>
      </c>
      <c r="EB19" s="182" t="str">
        <f t="shared" si="26"/>
        <v/>
      </c>
      <c r="EC19" s="182" t="str">
        <f t="shared" si="26"/>
        <v/>
      </c>
      <c r="ED19" s="182" t="str">
        <f t="shared" si="26"/>
        <v/>
      </c>
      <c r="EE19" s="182" t="str">
        <f t="shared" si="26"/>
        <v/>
      </c>
      <c r="EF19" s="182" t="str">
        <f t="shared" si="26"/>
        <v/>
      </c>
      <c r="EG19" s="182" t="str">
        <f t="shared" si="26"/>
        <v/>
      </c>
      <c r="EH19" s="182" t="str">
        <f t="shared" si="26"/>
        <v/>
      </c>
      <c r="EI19" s="182" t="str">
        <f t="shared" si="26"/>
        <v/>
      </c>
      <c r="EJ19" s="182" t="str">
        <f t="shared" si="26"/>
        <v/>
      </c>
      <c r="EK19" s="182" t="str">
        <f t="shared" si="26"/>
        <v/>
      </c>
      <c r="EL19" s="182" t="str">
        <f t="shared" si="26"/>
        <v/>
      </c>
      <c r="EM19" s="182" t="str">
        <f t="shared" si="26"/>
        <v/>
      </c>
      <c r="EN19" s="182" t="str">
        <f t="shared" si="26"/>
        <v/>
      </c>
      <c r="EO19" s="182" t="str">
        <f t="shared" si="26"/>
        <v/>
      </c>
      <c r="EP19" s="182" t="str">
        <f t="shared" si="20"/>
        <v/>
      </c>
      <c r="EQ19" s="182" t="str">
        <f t="shared" si="20"/>
        <v/>
      </c>
      <c r="ER19" s="182" t="str">
        <f t="shared" si="15"/>
        <v/>
      </c>
      <c r="ES19" s="182" t="str">
        <f t="shared" si="15"/>
        <v/>
      </c>
      <c r="ET19" s="182" t="str">
        <f t="shared" si="15"/>
        <v/>
      </c>
      <c r="EU19" s="182" t="str">
        <f t="shared" si="15"/>
        <v/>
      </c>
      <c r="EV19" s="182" t="str">
        <f t="shared" si="15"/>
        <v/>
      </c>
      <c r="EW19" s="182" t="str">
        <f t="shared" si="15"/>
        <v/>
      </c>
      <c r="EX19" s="182" t="str">
        <f t="shared" si="15"/>
        <v/>
      </c>
      <c r="EY19" s="182" t="str">
        <f t="shared" si="15"/>
        <v/>
      </c>
      <c r="EZ19" s="182" t="str">
        <f t="shared" si="15"/>
        <v/>
      </c>
      <c r="FA19" s="182" t="str">
        <f t="shared" si="15"/>
        <v/>
      </c>
      <c r="FB19" s="182" t="str">
        <f t="shared" si="15"/>
        <v/>
      </c>
      <c r="FC19" s="182" t="str">
        <f t="shared" si="15"/>
        <v/>
      </c>
      <c r="FD19" s="182" t="str">
        <f t="shared" si="15"/>
        <v/>
      </c>
      <c r="FE19" s="182" t="str">
        <f t="shared" si="15"/>
        <v/>
      </c>
      <c r="FF19" s="182" t="str">
        <f t="shared" si="15"/>
        <v/>
      </c>
      <c r="FG19" s="182" t="str">
        <f t="shared" si="15"/>
        <v/>
      </c>
      <c r="FH19" s="182" t="str">
        <f t="shared" si="16"/>
        <v/>
      </c>
      <c r="FI19" s="182" t="str">
        <f t="shared" si="16"/>
        <v/>
      </c>
      <c r="FJ19" s="182" t="str">
        <f t="shared" si="16"/>
        <v/>
      </c>
      <c r="FK19" s="182" t="str">
        <f t="shared" si="16"/>
        <v/>
      </c>
      <c r="FL19" s="182" t="str">
        <f t="shared" si="16"/>
        <v/>
      </c>
      <c r="FM19" s="182" t="str">
        <f t="shared" si="16"/>
        <v/>
      </c>
      <c r="FN19" s="182" t="str">
        <f t="shared" si="16"/>
        <v/>
      </c>
      <c r="FO19" s="182" t="str">
        <f t="shared" si="16"/>
        <v/>
      </c>
      <c r="FP19" s="182" t="str">
        <f t="shared" si="16"/>
        <v/>
      </c>
      <c r="FQ19" s="182" t="str">
        <f t="shared" si="16"/>
        <v/>
      </c>
      <c r="FR19" s="182" t="str">
        <f t="shared" si="16"/>
        <v/>
      </c>
      <c r="FS19" s="182" t="str">
        <f t="shared" si="16"/>
        <v/>
      </c>
      <c r="FT19" s="182" t="str">
        <f t="shared" si="16"/>
        <v/>
      </c>
      <c r="FU19" s="182" t="str">
        <f t="shared" si="16"/>
        <v/>
      </c>
      <c r="FV19" s="182" t="str">
        <f t="shared" si="16"/>
        <v/>
      </c>
      <c r="FW19" s="182" t="str">
        <f t="shared" si="16"/>
        <v/>
      </c>
      <c r="FX19" s="182" t="str">
        <f t="shared" si="17"/>
        <v/>
      </c>
      <c r="FY19" s="182" t="str">
        <f t="shared" si="17"/>
        <v/>
      </c>
      <c r="FZ19" s="182" t="str">
        <f t="shared" si="17"/>
        <v/>
      </c>
      <c r="GA19" s="182" t="str">
        <f t="shared" si="17"/>
        <v/>
      </c>
      <c r="GB19" s="182" t="str">
        <f t="shared" si="17"/>
        <v/>
      </c>
      <c r="GC19" s="182" t="str">
        <f t="shared" si="17"/>
        <v/>
      </c>
      <c r="GD19" s="182" t="str">
        <f t="shared" si="17"/>
        <v/>
      </c>
      <c r="GE19" s="182" t="str">
        <f t="shared" si="17"/>
        <v/>
      </c>
      <c r="GF19" s="182" t="str">
        <f t="shared" si="17"/>
        <v/>
      </c>
      <c r="GG19" s="182" t="str">
        <f t="shared" si="17"/>
        <v/>
      </c>
      <c r="GH19" s="182" t="str">
        <f t="shared" si="17"/>
        <v/>
      </c>
      <c r="GI19" s="182" t="str">
        <f t="shared" si="17"/>
        <v/>
      </c>
      <c r="GJ19" s="182" t="str">
        <f t="shared" si="17"/>
        <v/>
      </c>
      <c r="GK19" s="182" t="str">
        <f t="shared" si="17"/>
        <v/>
      </c>
      <c r="GL19" s="182" t="str">
        <f t="shared" si="17"/>
        <v/>
      </c>
      <c r="GM19" s="182" t="str">
        <f t="shared" si="17"/>
        <v/>
      </c>
      <c r="GN19" s="182" t="str">
        <f t="shared" si="18"/>
        <v/>
      </c>
      <c r="GO19" s="182" t="str">
        <f t="shared" si="18"/>
        <v/>
      </c>
      <c r="GP19" s="182" t="str">
        <f t="shared" si="18"/>
        <v/>
      </c>
    </row>
    <row r="20" spans="2:198" x14ac:dyDescent="0.3">
      <c r="B20" s="184">
        <f>'MF Rent Roll'!B19</f>
        <v>0</v>
      </c>
      <c r="C20" s="171">
        <f>'MF Rent Roll'!C19</f>
        <v>0</v>
      </c>
      <c r="D20" s="172">
        <f>'MF Rent Roll'!D19</f>
        <v>0</v>
      </c>
      <c r="E20" s="172">
        <f>'MF Rent Roll'!E19</f>
        <v>0</v>
      </c>
      <c r="F20" s="173">
        <f>'MF Rent Roll'!F19</f>
        <v>0</v>
      </c>
      <c r="G20" s="174">
        <f>'MF Rent Roll'!G19</f>
        <v>0</v>
      </c>
      <c r="H20" s="176">
        <f>'MF Rent Roll'!J19</f>
        <v>0</v>
      </c>
      <c r="I20" s="174">
        <f>'MF Rent Roll'!K19</f>
        <v>0</v>
      </c>
      <c r="J20" s="177">
        <f>'MF Rent Roll'!L19</f>
        <v>0</v>
      </c>
      <c r="K20" s="178">
        <f>'MF Rent Roll'!M19</f>
        <v>0</v>
      </c>
      <c r="L20" s="174">
        <f>'MF Rent Roll'!N19</f>
        <v>0</v>
      </c>
      <c r="M20" s="179">
        <f>'MF Rent Roll'!O19</f>
        <v>0</v>
      </c>
      <c r="N20" s="180" t="str">
        <f>'MF Rent Roll'!P19</f>
        <v/>
      </c>
      <c r="O20" s="181" t="str">
        <f>'MF Rent Roll'!Q19</f>
        <v/>
      </c>
      <c r="P20" s="104" t="str">
        <f>'MF Rent Roll'!R19</f>
        <v/>
      </c>
      <c r="S20" s="182" t="str">
        <f t="shared" si="12"/>
        <v/>
      </c>
      <c r="T20" s="182" t="str">
        <f t="shared" si="12"/>
        <v/>
      </c>
      <c r="U20" s="182" t="str">
        <f t="shared" si="12"/>
        <v/>
      </c>
      <c r="V20" s="182" t="str">
        <f t="shared" si="12"/>
        <v/>
      </c>
      <c r="W20" s="182" t="str">
        <f t="shared" si="12"/>
        <v/>
      </c>
      <c r="X20" s="182" t="str">
        <f t="shared" si="12"/>
        <v/>
      </c>
      <c r="Y20" s="182" t="str">
        <f t="shared" si="12"/>
        <v/>
      </c>
      <c r="Z20" s="182" t="str">
        <f t="shared" si="12"/>
        <v/>
      </c>
      <c r="AA20" s="182" t="str">
        <f t="shared" si="12"/>
        <v/>
      </c>
      <c r="AB20" s="182" t="str">
        <f t="shared" si="12"/>
        <v/>
      </c>
      <c r="AC20" s="182" t="str">
        <f t="shared" si="12"/>
        <v/>
      </c>
      <c r="AD20" s="182" t="str">
        <f t="shared" si="12"/>
        <v/>
      </c>
      <c r="AE20" s="182" t="str">
        <f t="shared" si="12"/>
        <v/>
      </c>
      <c r="AF20" s="182" t="str">
        <f t="shared" si="12"/>
        <v/>
      </c>
      <c r="AG20" s="182" t="str">
        <f t="shared" si="12"/>
        <v/>
      </c>
      <c r="AH20" s="182" t="str">
        <f t="shared" si="12"/>
        <v/>
      </c>
      <c r="AI20" s="182" t="str">
        <f t="shared" si="21"/>
        <v/>
      </c>
      <c r="AJ20" s="182" t="str">
        <f t="shared" si="21"/>
        <v/>
      </c>
      <c r="AK20" s="182" t="str">
        <f t="shared" si="21"/>
        <v/>
      </c>
      <c r="AL20" s="182" t="str">
        <f t="shared" si="21"/>
        <v/>
      </c>
      <c r="AM20" s="182" t="str">
        <f t="shared" si="21"/>
        <v/>
      </c>
      <c r="AN20" s="182" t="str">
        <f t="shared" si="21"/>
        <v/>
      </c>
      <c r="AO20" s="182" t="str">
        <f t="shared" si="21"/>
        <v/>
      </c>
      <c r="AP20" s="182" t="str">
        <f t="shared" si="21"/>
        <v/>
      </c>
      <c r="AQ20" s="182" t="str">
        <f t="shared" si="21"/>
        <v/>
      </c>
      <c r="AR20" s="182" t="str">
        <f t="shared" si="21"/>
        <v/>
      </c>
      <c r="AS20" s="182" t="str">
        <f t="shared" si="21"/>
        <v/>
      </c>
      <c r="AT20" s="182" t="str">
        <f t="shared" si="21"/>
        <v/>
      </c>
      <c r="AU20" s="182" t="str">
        <f t="shared" si="21"/>
        <v/>
      </c>
      <c r="AV20" s="182" t="str">
        <f t="shared" si="21"/>
        <v/>
      </c>
      <c r="AW20" s="182" t="str">
        <f t="shared" si="21"/>
        <v/>
      </c>
      <c r="AX20" s="182" t="str">
        <f t="shared" si="21"/>
        <v/>
      </c>
      <c r="AY20" s="182" t="str">
        <f t="shared" si="22"/>
        <v/>
      </c>
      <c r="AZ20" s="182" t="str">
        <f t="shared" si="22"/>
        <v/>
      </c>
      <c r="BA20" s="182" t="str">
        <f t="shared" si="22"/>
        <v/>
      </c>
      <c r="BB20" s="182" t="str">
        <f t="shared" si="22"/>
        <v/>
      </c>
      <c r="BC20" s="182" t="str">
        <f t="shared" si="22"/>
        <v/>
      </c>
      <c r="BD20" s="182" t="str">
        <f t="shared" si="22"/>
        <v/>
      </c>
      <c r="BE20" s="182" t="str">
        <f t="shared" si="22"/>
        <v/>
      </c>
      <c r="BF20" s="182" t="str">
        <f t="shared" si="22"/>
        <v/>
      </c>
      <c r="BG20" s="182" t="str">
        <f t="shared" si="22"/>
        <v/>
      </c>
      <c r="BH20" s="182" t="str">
        <f t="shared" si="22"/>
        <v/>
      </c>
      <c r="BI20" s="182" t="str">
        <f t="shared" si="22"/>
        <v/>
      </c>
      <c r="BJ20" s="182" t="str">
        <f t="shared" si="22"/>
        <v/>
      </c>
      <c r="BK20" s="182" t="str">
        <f t="shared" si="22"/>
        <v/>
      </c>
      <c r="BL20" s="182" t="str">
        <f t="shared" si="22"/>
        <v/>
      </c>
      <c r="BM20" s="182" t="str">
        <f t="shared" si="22"/>
        <v/>
      </c>
      <c r="BN20" s="182" t="str">
        <f t="shared" si="22"/>
        <v/>
      </c>
      <c r="BO20" s="182" t="str">
        <f t="shared" si="23"/>
        <v/>
      </c>
      <c r="BP20" s="182" t="str">
        <f t="shared" si="23"/>
        <v/>
      </c>
      <c r="BQ20" s="182" t="str">
        <f t="shared" si="23"/>
        <v/>
      </c>
      <c r="BR20" s="182" t="str">
        <f t="shared" si="23"/>
        <v/>
      </c>
      <c r="BS20" s="182" t="str">
        <f t="shared" si="23"/>
        <v/>
      </c>
      <c r="BT20" s="182" t="str">
        <f t="shared" si="23"/>
        <v/>
      </c>
      <c r="BU20" s="182" t="str">
        <f t="shared" si="23"/>
        <v/>
      </c>
      <c r="BV20" s="182" t="str">
        <f t="shared" si="23"/>
        <v/>
      </c>
      <c r="BW20" s="182" t="str">
        <f t="shared" si="23"/>
        <v/>
      </c>
      <c r="BX20" s="182" t="str">
        <f t="shared" si="23"/>
        <v/>
      </c>
      <c r="BY20" s="182" t="str">
        <f t="shared" si="23"/>
        <v/>
      </c>
      <c r="BZ20" s="182" t="str">
        <f t="shared" si="23"/>
        <v/>
      </c>
      <c r="CA20" s="182" t="str">
        <f t="shared" si="23"/>
        <v/>
      </c>
      <c r="CB20" s="182" t="str">
        <f t="shared" si="23"/>
        <v/>
      </c>
      <c r="CC20" s="182" t="str">
        <f t="shared" si="23"/>
        <v/>
      </c>
      <c r="CD20" s="182" t="str">
        <f t="shared" si="23"/>
        <v/>
      </c>
      <c r="CE20" s="182" t="str">
        <f t="shared" si="19"/>
        <v/>
      </c>
      <c r="CF20" s="182" t="str">
        <f t="shared" si="19"/>
        <v/>
      </c>
      <c r="CG20" s="182" t="str">
        <f t="shared" si="19"/>
        <v/>
      </c>
      <c r="CH20" s="182" t="str">
        <f t="shared" si="19"/>
        <v/>
      </c>
      <c r="CI20" s="182" t="str">
        <f t="shared" si="19"/>
        <v/>
      </c>
      <c r="CJ20" s="182" t="str">
        <f t="shared" si="19"/>
        <v/>
      </c>
      <c r="CK20" s="182" t="str">
        <f t="shared" si="19"/>
        <v/>
      </c>
      <c r="CL20" s="182" t="str">
        <f t="shared" si="19"/>
        <v/>
      </c>
      <c r="CM20" s="182" t="str">
        <f t="shared" si="19"/>
        <v/>
      </c>
      <c r="CN20" s="182" t="str">
        <f t="shared" si="19"/>
        <v/>
      </c>
      <c r="CO20" s="182" t="str">
        <f t="shared" si="19"/>
        <v/>
      </c>
      <c r="CP20" s="182" t="str">
        <f t="shared" si="19"/>
        <v/>
      </c>
      <c r="CQ20" s="182" t="str">
        <f t="shared" si="19"/>
        <v/>
      </c>
      <c r="CR20" s="182" t="str">
        <f t="shared" si="19"/>
        <v/>
      </c>
      <c r="CS20" s="182" t="str">
        <f t="shared" si="19"/>
        <v/>
      </c>
      <c r="CT20" s="182" t="str">
        <f t="shared" si="24"/>
        <v/>
      </c>
      <c r="CU20" s="182" t="str">
        <f t="shared" si="24"/>
        <v/>
      </c>
      <c r="CV20" s="182" t="str">
        <f t="shared" si="24"/>
        <v/>
      </c>
      <c r="CW20" s="182" t="str">
        <f t="shared" si="24"/>
        <v/>
      </c>
      <c r="CX20" s="182" t="str">
        <f t="shared" si="24"/>
        <v/>
      </c>
      <c r="CY20" s="182" t="str">
        <f t="shared" si="24"/>
        <v/>
      </c>
      <c r="CZ20" s="182" t="str">
        <f t="shared" si="24"/>
        <v/>
      </c>
      <c r="DA20" s="182" t="str">
        <f t="shared" si="24"/>
        <v/>
      </c>
      <c r="DB20" s="182" t="str">
        <f t="shared" si="24"/>
        <v/>
      </c>
      <c r="DC20" s="182" t="str">
        <f t="shared" si="24"/>
        <v/>
      </c>
      <c r="DD20" s="182" t="str">
        <f t="shared" si="24"/>
        <v/>
      </c>
      <c r="DE20" s="182" t="str">
        <f t="shared" si="24"/>
        <v/>
      </c>
      <c r="DF20" s="182" t="str">
        <f t="shared" si="24"/>
        <v/>
      </c>
      <c r="DG20" s="182" t="str">
        <f t="shared" si="24"/>
        <v/>
      </c>
      <c r="DH20" s="182" t="str">
        <f t="shared" si="24"/>
        <v/>
      </c>
      <c r="DI20" s="182" t="str">
        <f t="shared" si="24"/>
        <v/>
      </c>
      <c r="DJ20" s="182" t="str">
        <f t="shared" si="25"/>
        <v/>
      </c>
      <c r="DK20" s="182" t="str">
        <f t="shared" si="25"/>
        <v/>
      </c>
      <c r="DL20" s="182" t="str">
        <f t="shared" si="25"/>
        <v/>
      </c>
      <c r="DM20" s="182" t="str">
        <f t="shared" si="25"/>
        <v/>
      </c>
      <c r="DN20" s="182" t="str">
        <f t="shared" si="25"/>
        <v/>
      </c>
      <c r="DO20" s="182" t="str">
        <f t="shared" si="25"/>
        <v/>
      </c>
      <c r="DP20" s="182" t="str">
        <f t="shared" si="25"/>
        <v/>
      </c>
      <c r="DQ20" s="182" t="str">
        <f t="shared" si="25"/>
        <v/>
      </c>
      <c r="DR20" s="182" t="str">
        <f t="shared" si="25"/>
        <v/>
      </c>
      <c r="DS20" s="182" t="str">
        <f t="shared" si="25"/>
        <v/>
      </c>
      <c r="DT20" s="182" t="str">
        <f t="shared" si="25"/>
        <v/>
      </c>
      <c r="DU20" s="182" t="str">
        <f t="shared" si="25"/>
        <v/>
      </c>
      <c r="DV20" s="182" t="str">
        <f t="shared" si="25"/>
        <v/>
      </c>
      <c r="DW20" s="182" t="str">
        <f t="shared" si="25"/>
        <v/>
      </c>
      <c r="DX20" s="182" t="str">
        <f t="shared" si="25"/>
        <v/>
      </c>
      <c r="DY20" s="182" t="str">
        <f t="shared" si="25"/>
        <v/>
      </c>
      <c r="DZ20" s="182" t="str">
        <f t="shared" si="26"/>
        <v/>
      </c>
      <c r="EA20" s="182" t="str">
        <f t="shared" si="26"/>
        <v/>
      </c>
      <c r="EB20" s="182" t="str">
        <f t="shared" si="26"/>
        <v/>
      </c>
      <c r="EC20" s="182" t="str">
        <f t="shared" si="26"/>
        <v/>
      </c>
      <c r="ED20" s="182" t="str">
        <f t="shared" si="26"/>
        <v/>
      </c>
      <c r="EE20" s="182" t="str">
        <f t="shared" si="26"/>
        <v/>
      </c>
      <c r="EF20" s="182" t="str">
        <f t="shared" si="26"/>
        <v/>
      </c>
      <c r="EG20" s="182" t="str">
        <f t="shared" si="26"/>
        <v/>
      </c>
      <c r="EH20" s="182" t="str">
        <f t="shared" si="26"/>
        <v/>
      </c>
      <c r="EI20" s="182" t="str">
        <f t="shared" si="26"/>
        <v/>
      </c>
      <c r="EJ20" s="182" t="str">
        <f t="shared" si="26"/>
        <v/>
      </c>
      <c r="EK20" s="182" t="str">
        <f t="shared" si="26"/>
        <v/>
      </c>
      <c r="EL20" s="182" t="str">
        <f t="shared" si="26"/>
        <v/>
      </c>
      <c r="EM20" s="182" t="str">
        <f t="shared" si="26"/>
        <v/>
      </c>
      <c r="EN20" s="182" t="str">
        <f t="shared" si="26"/>
        <v/>
      </c>
      <c r="EO20" s="182" t="str">
        <f t="shared" si="26"/>
        <v/>
      </c>
      <c r="EP20" s="182" t="str">
        <f t="shared" si="20"/>
        <v/>
      </c>
      <c r="EQ20" s="182" t="str">
        <f t="shared" si="20"/>
        <v/>
      </c>
      <c r="ER20" s="182" t="str">
        <f t="shared" si="15"/>
        <v/>
      </c>
      <c r="ES20" s="182" t="str">
        <f t="shared" si="15"/>
        <v/>
      </c>
      <c r="ET20" s="182" t="str">
        <f t="shared" si="15"/>
        <v/>
      </c>
      <c r="EU20" s="182" t="str">
        <f t="shared" si="15"/>
        <v/>
      </c>
      <c r="EV20" s="182" t="str">
        <f t="shared" si="15"/>
        <v/>
      </c>
      <c r="EW20" s="182" t="str">
        <f t="shared" si="15"/>
        <v/>
      </c>
      <c r="EX20" s="182" t="str">
        <f t="shared" si="15"/>
        <v/>
      </c>
      <c r="EY20" s="182" t="str">
        <f t="shared" si="15"/>
        <v/>
      </c>
      <c r="EZ20" s="182" t="str">
        <f t="shared" si="15"/>
        <v/>
      </c>
      <c r="FA20" s="182" t="str">
        <f t="shared" si="15"/>
        <v/>
      </c>
      <c r="FB20" s="182" t="str">
        <f t="shared" si="15"/>
        <v/>
      </c>
      <c r="FC20" s="182" t="str">
        <f t="shared" si="15"/>
        <v/>
      </c>
      <c r="FD20" s="182" t="str">
        <f t="shared" si="15"/>
        <v/>
      </c>
      <c r="FE20" s="182" t="str">
        <f t="shared" si="15"/>
        <v/>
      </c>
      <c r="FF20" s="182" t="str">
        <f t="shared" si="15"/>
        <v/>
      </c>
      <c r="FG20" s="182" t="str">
        <f t="shared" si="15"/>
        <v/>
      </c>
      <c r="FH20" s="182" t="str">
        <f t="shared" si="16"/>
        <v/>
      </c>
      <c r="FI20" s="182" t="str">
        <f t="shared" si="16"/>
        <v/>
      </c>
      <c r="FJ20" s="182" t="str">
        <f t="shared" si="16"/>
        <v/>
      </c>
      <c r="FK20" s="182" t="str">
        <f t="shared" si="16"/>
        <v/>
      </c>
      <c r="FL20" s="182" t="str">
        <f t="shared" si="16"/>
        <v/>
      </c>
      <c r="FM20" s="182" t="str">
        <f t="shared" si="16"/>
        <v/>
      </c>
      <c r="FN20" s="182" t="str">
        <f t="shared" si="16"/>
        <v/>
      </c>
      <c r="FO20" s="182" t="str">
        <f t="shared" si="16"/>
        <v/>
      </c>
      <c r="FP20" s="182" t="str">
        <f t="shared" si="16"/>
        <v/>
      </c>
      <c r="FQ20" s="182" t="str">
        <f t="shared" si="16"/>
        <v/>
      </c>
      <c r="FR20" s="182" t="str">
        <f t="shared" si="16"/>
        <v/>
      </c>
      <c r="FS20" s="182" t="str">
        <f t="shared" si="16"/>
        <v/>
      </c>
      <c r="FT20" s="182" t="str">
        <f t="shared" si="16"/>
        <v/>
      </c>
      <c r="FU20" s="182" t="str">
        <f t="shared" si="16"/>
        <v/>
      </c>
      <c r="FV20" s="182" t="str">
        <f t="shared" si="16"/>
        <v/>
      </c>
      <c r="FW20" s="182" t="str">
        <f t="shared" si="16"/>
        <v/>
      </c>
      <c r="FX20" s="182" t="str">
        <f t="shared" si="17"/>
        <v/>
      </c>
      <c r="FY20" s="182" t="str">
        <f t="shared" si="17"/>
        <v/>
      </c>
      <c r="FZ20" s="182" t="str">
        <f t="shared" si="17"/>
        <v/>
      </c>
      <c r="GA20" s="182" t="str">
        <f t="shared" si="17"/>
        <v/>
      </c>
      <c r="GB20" s="182" t="str">
        <f t="shared" si="17"/>
        <v/>
      </c>
      <c r="GC20" s="182" t="str">
        <f t="shared" si="17"/>
        <v/>
      </c>
      <c r="GD20" s="182" t="str">
        <f t="shared" si="17"/>
        <v/>
      </c>
      <c r="GE20" s="182" t="str">
        <f t="shared" si="17"/>
        <v/>
      </c>
      <c r="GF20" s="182" t="str">
        <f t="shared" si="17"/>
        <v/>
      </c>
      <c r="GG20" s="182" t="str">
        <f t="shared" si="17"/>
        <v/>
      </c>
      <c r="GH20" s="182" t="str">
        <f t="shared" si="17"/>
        <v/>
      </c>
      <c r="GI20" s="182" t="str">
        <f t="shared" si="17"/>
        <v/>
      </c>
      <c r="GJ20" s="182" t="str">
        <f t="shared" si="17"/>
        <v/>
      </c>
      <c r="GK20" s="182" t="str">
        <f t="shared" si="17"/>
        <v/>
      </c>
      <c r="GL20" s="182" t="str">
        <f t="shared" si="17"/>
        <v/>
      </c>
      <c r="GM20" s="182" t="str">
        <f t="shared" si="17"/>
        <v/>
      </c>
      <c r="GN20" s="182" t="str">
        <f t="shared" si="18"/>
        <v/>
      </c>
      <c r="GO20" s="182" t="str">
        <f t="shared" si="18"/>
        <v/>
      </c>
      <c r="GP20" s="182" t="str">
        <f t="shared" si="18"/>
        <v/>
      </c>
    </row>
    <row r="21" spans="2:198" x14ac:dyDescent="0.3">
      <c r="B21" s="184">
        <f>'MF Rent Roll'!B20</f>
        <v>0</v>
      </c>
      <c r="C21" s="171">
        <f>'MF Rent Roll'!C20</f>
        <v>0</v>
      </c>
      <c r="D21" s="172">
        <f>'MF Rent Roll'!D20</f>
        <v>0</v>
      </c>
      <c r="E21" s="172">
        <f>'MF Rent Roll'!E20</f>
        <v>0</v>
      </c>
      <c r="F21" s="173">
        <f>'MF Rent Roll'!F20</f>
        <v>0</v>
      </c>
      <c r="G21" s="174">
        <f>'MF Rent Roll'!G20</f>
        <v>0</v>
      </c>
      <c r="H21" s="176">
        <f>'MF Rent Roll'!J20</f>
        <v>0</v>
      </c>
      <c r="I21" s="174">
        <f>'MF Rent Roll'!K20</f>
        <v>0</v>
      </c>
      <c r="J21" s="177">
        <f>'MF Rent Roll'!L20</f>
        <v>0</v>
      </c>
      <c r="K21" s="178">
        <f>'MF Rent Roll'!M20</f>
        <v>0</v>
      </c>
      <c r="L21" s="174">
        <f>'MF Rent Roll'!N20</f>
        <v>0</v>
      </c>
      <c r="M21" s="179">
        <f>'MF Rent Roll'!O20</f>
        <v>0</v>
      </c>
      <c r="N21" s="180" t="str">
        <f>'MF Rent Roll'!P20</f>
        <v/>
      </c>
      <c r="O21" s="181" t="str">
        <f>'MF Rent Roll'!Q20</f>
        <v/>
      </c>
      <c r="P21" s="104" t="str">
        <f>'MF Rent Roll'!R20</f>
        <v/>
      </c>
      <c r="S21" s="182" t="str">
        <f t="shared" si="12"/>
        <v/>
      </c>
      <c r="T21" s="182" t="str">
        <f t="shared" si="12"/>
        <v/>
      </c>
      <c r="U21" s="182" t="str">
        <f t="shared" si="12"/>
        <v/>
      </c>
      <c r="V21" s="182" t="str">
        <f t="shared" si="12"/>
        <v/>
      </c>
      <c r="W21" s="182" t="str">
        <f t="shared" si="12"/>
        <v/>
      </c>
      <c r="X21" s="182" t="str">
        <f t="shared" si="12"/>
        <v/>
      </c>
      <c r="Y21" s="182" t="str">
        <f t="shared" si="12"/>
        <v/>
      </c>
      <c r="Z21" s="182" t="str">
        <f t="shared" si="12"/>
        <v/>
      </c>
      <c r="AA21" s="182" t="str">
        <f t="shared" si="12"/>
        <v/>
      </c>
      <c r="AB21" s="182" t="str">
        <f t="shared" si="12"/>
        <v/>
      </c>
      <c r="AC21" s="182" t="str">
        <f t="shared" si="12"/>
        <v/>
      </c>
      <c r="AD21" s="182" t="str">
        <f t="shared" si="12"/>
        <v/>
      </c>
      <c r="AE21" s="182" t="str">
        <f t="shared" si="12"/>
        <v/>
      </c>
      <c r="AF21" s="182" t="str">
        <f t="shared" si="12"/>
        <v/>
      </c>
      <c r="AG21" s="182" t="str">
        <f t="shared" si="12"/>
        <v/>
      </c>
      <c r="AH21" s="182" t="str">
        <f t="shared" si="12"/>
        <v/>
      </c>
      <c r="AI21" s="182" t="str">
        <f t="shared" si="21"/>
        <v/>
      </c>
      <c r="AJ21" s="182" t="str">
        <f t="shared" si="21"/>
        <v/>
      </c>
      <c r="AK21" s="182" t="str">
        <f t="shared" si="21"/>
        <v/>
      </c>
      <c r="AL21" s="182" t="str">
        <f t="shared" si="21"/>
        <v/>
      </c>
      <c r="AM21" s="182" t="str">
        <f t="shared" si="21"/>
        <v/>
      </c>
      <c r="AN21" s="182" t="str">
        <f t="shared" si="21"/>
        <v/>
      </c>
      <c r="AO21" s="182" t="str">
        <f t="shared" si="21"/>
        <v/>
      </c>
      <c r="AP21" s="182" t="str">
        <f t="shared" si="21"/>
        <v/>
      </c>
      <c r="AQ21" s="182" t="str">
        <f t="shared" si="21"/>
        <v/>
      </c>
      <c r="AR21" s="182" t="str">
        <f t="shared" si="21"/>
        <v/>
      </c>
      <c r="AS21" s="182" t="str">
        <f t="shared" si="21"/>
        <v/>
      </c>
      <c r="AT21" s="182" t="str">
        <f t="shared" si="21"/>
        <v/>
      </c>
      <c r="AU21" s="182" t="str">
        <f t="shared" si="21"/>
        <v/>
      </c>
      <c r="AV21" s="182" t="str">
        <f t="shared" si="21"/>
        <v/>
      </c>
      <c r="AW21" s="182" t="str">
        <f t="shared" si="21"/>
        <v/>
      </c>
      <c r="AX21" s="182" t="str">
        <f t="shared" si="21"/>
        <v/>
      </c>
      <c r="AY21" s="182" t="str">
        <f t="shared" si="22"/>
        <v/>
      </c>
      <c r="AZ21" s="182" t="str">
        <f t="shared" si="22"/>
        <v/>
      </c>
      <c r="BA21" s="182" t="str">
        <f t="shared" si="22"/>
        <v/>
      </c>
      <c r="BB21" s="182" t="str">
        <f t="shared" si="22"/>
        <v/>
      </c>
      <c r="BC21" s="182" t="str">
        <f t="shared" si="22"/>
        <v/>
      </c>
      <c r="BD21" s="182" t="str">
        <f t="shared" si="22"/>
        <v/>
      </c>
      <c r="BE21" s="182" t="str">
        <f t="shared" si="22"/>
        <v/>
      </c>
      <c r="BF21" s="182" t="str">
        <f t="shared" si="22"/>
        <v/>
      </c>
      <c r="BG21" s="182" t="str">
        <f t="shared" si="22"/>
        <v/>
      </c>
      <c r="BH21" s="182" t="str">
        <f t="shared" si="22"/>
        <v/>
      </c>
      <c r="BI21" s="182" t="str">
        <f t="shared" si="22"/>
        <v/>
      </c>
      <c r="BJ21" s="182" t="str">
        <f t="shared" si="22"/>
        <v/>
      </c>
      <c r="BK21" s="182" t="str">
        <f t="shared" si="22"/>
        <v/>
      </c>
      <c r="BL21" s="182" t="str">
        <f t="shared" si="22"/>
        <v/>
      </c>
      <c r="BM21" s="182" t="str">
        <f t="shared" si="22"/>
        <v/>
      </c>
      <c r="BN21" s="182" t="str">
        <f t="shared" si="22"/>
        <v/>
      </c>
      <c r="BO21" s="182" t="str">
        <f t="shared" si="23"/>
        <v/>
      </c>
      <c r="BP21" s="182" t="str">
        <f t="shared" si="23"/>
        <v/>
      </c>
      <c r="BQ21" s="182" t="str">
        <f t="shared" si="23"/>
        <v/>
      </c>
      <c r="BR21" s="182" t="str">
        <f t="shared" si="23"/>
        <v/>
      </c>
      <c r="BS21" s="182" t="str">
        <f t="shared" si="23"/>
        <v/>
      </c>
      <c r="BT21" s="182" t="str">
        <f t="shared" si="23"/>
        <v/>
      </c>
      <c r="BU21" s="182" t="str">
        <f t="shared" si="23"/>
        <v/>
      </c>
      <c r="BV21" s="182" t="str">
        <f t="shared" si="23"/>
        <v/>
      </c>
      <c r="BW21" s="182" t="str">
        <f t="shared" si="23"/>
        <v/>
      </c>
      <c r="BX21" s="182" t="str">
        <f t="shared" si="23"/>
        <v/>
      </c>
      <c r="BY21" s="182" t="str">
        <f t="shared" si="23"/>
        <v/>
      </c>
      <c r="BZ21" s="182" t="str">
        <f t="shared" si="23"/>
        <v/>
      </c>
      <c r="CA21" s="182" t="str">
        <f t="shared" si="23"/>
        <v/>
      </c>
      <c r="CB21" s="182" t="str">
        <f t="shared" si="23"/>
        <v/>
      </c>
      <c r="CC21" s="182" t="str">
        <f t="shared" si="23"/>
        <v/>
      </c>
      <c r="CD21" s="182" t="str">
        <f t="shared" si="23"/>
        <v/>
      </c>
      <c r="CE21" s="182" t="str">
        <f t="shared" si="19"/>
        <v/>
      </c>
      <c r="CF21" s="182" t="str">
        <f t="shared" si="19"/>
        <v/>
      </c>
      <c r="CG21" s="182" t="str">
        <f t="shared" si="19"/>
        <v/>
      </c>
      <c r="CH21" s="182" t="str">
        <f t="shared" si="19"/>
        <v/>
      </c>
      <c r="CI21" s="182" t="str">
        <f t="shared" si="19"/>
        <v/>
      </c>
      <c r="CJ21" s="182" t="str">
        <f t="shared" si="19"/>
        <v/>
      </c>
      <c r="CK21" s="182" t="str">
        <f t="shared" si="19"/>
        <v/>
      </c>
      <c r="CL21" s="182" t="str">
        <f t="shared" si="19"/>
        <v/>
      </c>
      <c r="CM21" s="182" t="str">
        <f t="shared" si="19"/>
        <v/>
      </c>
      <c r="CN21" s="182" t="str">
        <f t="shared" si="19"/>
        <v/>
      </c>
      <c r="CO21" s="182" t="str">
        <f t="shared" si="19"/>
        <v/>
      </c>
      <c r="CP21" s="182" t="str">
        <f t="shared" si="19"/>
        <v/>
      </c>
      <c r="CQ21" s="182" t="str">
        <f t="shared" si="19"/>
        <v/>
      </c>
      <c r="CR21" s="182" t="str">
        <f t="shared" si="19"/>
        <v/>
      </c>
      <c r="CS21" s="182" t="str">
        <f t="shared" si="19"/>
        <v/>
      </c>
      <c r="CT21" s="182" t="str">
        <f t="shared" si="24"/>
        <v/>
      </c>
      <c r="CU21" s="182" t="str">
        <f t="shared" si="24"/>
        <v/>
      </c>
      <c r="CV21" s="182" t="str">
        <f t="shared" si="24"/>
        <v/>
      </c>
      <c r="CW21" s="182" t="str">
        <f t="shared" si="24"/>
        <v/>
      </c>
      <c r="CX21" s="182" t="str">
        <f t="shared" si="24"/>
        <v/>
      </c>
      <c r="CY21" s="182" t="str">
        <f t="shared" si="24"/>
        <v/>
      </c>
      <c r="CZ21" s="182" t="str">
        <f t="shared" si="24"/>
        <v/>
      </c>
      <c r="DA21" s="182" t="str">
        <f t="shared" si="24"/>
        <v/>
      </c>
      <c r="DB21" s="182" t="str">
        <f t="shared" si="24"/>
        <v/>
      </c>
      <c r="DC21" s="182" t="str">
        <f t="shared" si="24"/>
        <v/>
      </c>
      <c r="DD21" s="182" t="str">
        <f t="shared" si="24"/>
        <v/>
      </c>
      <c r="DE21" s="182" t="str">
        <f t="shared" si="24"/>
        <v/>
      </c>
      <c r="DF21" s="182" t="str">
        <f t="shared" si="24"/>
        <v/>
      </c>
      <c r="DG21" s="182" t="str">
        <f t="shared" si="24"/>
        <v/>
      </c>
      <c r="DH21" s="182" t="str">
        <f t="shared" si="24"/>
        <v/>
      </c>
      <c r="DI21" s="182" t="str">
        <f t="shared" si="24"/>
        <v/>
      </c>
      <c r="DJ21" s="182" t="str">
        <f t="shared" si="25"/>
        <v/>
      </c>
      <c r="DK21" s="182" t="str">
        <f t="shared" si="25"/>
        <v/>
      </c>
      <c r="DL21" s="182" t="str">
        <f t="shared" si="25"/>
        <v/>
      </c>
      <c r="DM21" s="182" t="str">
        <f t="shared" si="25"/>
        <v/>
      </c>
      <c r="DN21" s="182" t="str">
        <f t="shared" si="25"/>
        <v/>
      </c>
      <c r="DO21" s="182" t="str">
        <f t="shared" si="25"/>
        <v/>
      </c>
      <c r="DP21" s="182" t="str">
        <f t="shared" si="25"/>
        <v/>
      </c>
      <c r="DQ21" s="182" t="str">
        <f t="shared" si="25"/>
        <v/>
      </c>
      <c r="DR21" s="182" t="str">
        <f t="shared" si="25"/>
        <v/>
      </c>
      <c r="DS21" s="182" t="str">
        <f t="shared" si="25"/>
        <v/>
      </c>
      <c r="DT21" s="182" t="str">
        <f t="shared" si="25"/>
        <v/>
      </c>
      <c r="DU21" s="182" t="str">
        <f t="shared" si="25"/>
        <v/>
      </c>
      <c r="DV21" s="182" t="str">
        <f t="shared" si="25"/>
        <v/>
      </c>
      <c r="DW21" s="182" t="str">
        <f t="shared" si="25"/>
        <v/>
      </c>
      <c r="DX21" s="182" t="str">
        <f t="shared" si="25"/>
        <v/>
      </c>
      <c r="DY21" s="182" t="str">
        <f t="shared" si="25"/>
        <v/>
      </c>
      <c r="DZ21" s="182" t="str">
        <f t="shared" si="26"/>
        <v/>
      </c>
      <c r="EA21" s="182" t="str">
        <f t="shared" si="26"/>
        <v/>
      </c>
      <c r="EB21" s="182" t="str">
        <f t="shared" si="26"/>
        <v/>
      </c>
      <c r="EC21" s="182" t="str">
        <f t="shared" si="26"/>
        <v/>
      </c>
      <c r="ED21" s="182" t="str">
        <f t="shared" si="26"/>
        <v/>
      </c>
      <c r="EE21" s="182" t="str">
        <f t="shared" si="26"/>
        <v/>
      </c>
      <c r="EF21" s="182" t="str">
        <f t="shared" si="26"/>
        <v/>
      </c>
      <c r="EG21" s="182" t="str">
        <f t="shared" si="26"/>
        <v/>
      </c>
      <c r="EH21" s="182" t="str">
        <f t="shared" si="26"/>
        <v/>
      </c>
      <c r="EI21" s="182" t="str">
        <f t="shared" si="26"/>
        <v/>
      </c>
      <c r="EJ21" s="182" t="str">
        <f t="shared" si="26"/>
        <v/>
      </c>
      <c r="EK21" s="182" t="str">
        <f t="shared" si="26"/>
        <v/>
      </c>
      <c r="EL21" s="182" t="str">
        <f t="shared" si="26"/>
        <v/>
      </c>
      <c r="EM21" s="182" t="str">
        <f t="shared" si="26"/>
        <v/>
      </c>
      <c r="EN21" s="182" t="str">
        <f t="shared" si="26"/>
        <v/>
      </c>
      <c r="EO21" s="182" t="str">
        <f t="shared" si="26"/>
        <v/>
      </c>
      <c r="EP21" s="182" t="str">
        <f t="shared" si="20"/>
        <v/>
      </c>
      <c r="EQ21" s="182" t="str">
        <f t="shared" si="20"/>
        <v/>
      </c>
      <c r="ER21" s="182" t="str">
        <f t="shared" si="15"/>
        <v/>
      </c>
      <c r="ES21" s="182" t="str">
        <f t="shared" si="15"/>
        <v/>
      </c>
      <c r="ET21" s="182" t="str">
        <f t="shared" si="15"/>
        <v/>
      </c>
      <c r="EU21" s="182" t="str">
        <f t="shared" si="15"/>
        <v/>
      </c>
      <c r="EV21" s="182" t="str">
        <f t="shared" si="15"/>
        <v/>
      </c>
      <c r="EW21" s="182" t="str">
        <f t="shared" si="15"/>
        <v/>
      </c>
      <c r="EX21" s="182" t="str">
        <f t="shared" si="15"/>
        <v/>
      </c>
      <c r="EY21" s="182" t="str">
        <f t="shared" si="15"/>
        <v/>
      </c>
      <c r="EZ21" s="182" t="str">
        <f t="shared" si="15"/>
        <v/>
      </c>
      <c r="FA21" s="182" t="str">
        <f t="shared" si="15"/>
        <v/>
      </c>
      <c r="FB21" s="182" t="str">
        <f t="shared" si="15"/>
        <v/>
      </c>
      <c r="FC21" s="182" t="str">
        <f t="shared" si="15"/>
        <v/>
      </c>
      <c r="FD21" s="182" t="str">
        <f t="shared" si="15"/>
        <v/>
      </c>
      <c r="FE21" s="182" t="str">
        <f t="shared" si="15"/>
        <v/>
      </c>
      <c r="FF21" s="182" t="str">
        <f t="shared" si="15"/>
        <v/>
      </c>
      <c r="FG21" s="182" t="str">
        <f t="shared" si="15"/>
        <v/>
      </c>
      <c r="FH21" s="182" t="str">
        <f t="shared" si="16"/>
        <v/>
      </c>
      <c r="FI21" s="182" t="str">
        <f t="shared" si="16"/>
        <v/>
      </c>
      <c r="FJ21" s="182" t="str">
        <f t="shared" si="16"/>
        <v/>
      </c>
      <c r="FK21" s="182" t="str">
        <f t="shared" si="16"/>
        <v/>
      </c>
      <c r="FL21" s="182" t="str">
        <f t="shared" si="16"/>
        <v/>
      </c>
      <c r="FM21" s="182" t="str">
        <f t="shared" si="16"/>
        <v/>
      </c>
      <c r="FN21" s="182" t="str">
        <f t="shared" si="16"/>
        <v/>
      </c>
      <c r="FO21" s="182" t="str">
        <f t="shared" si="16"/>
        <v/>
      </c>
      <c r="FP21" s="182" t="str">
        <f t="shared" si="16"/>
        <v/>
      </c>
      <c r="FQ21" s="182" t="str">
        <f t="shared" si="16"/>
        <v/>
      </c>
      <c r="FR21" s="182" t="str">
        <f t="shared" si="16"/>
        <v/>
      </c>
      <c r="FS21" s="182" t="str">
        <f t="shared" si="16"/>
        <v/>
      </c>
      <c r="FT21" s="182" t="str">
        <f t="shared" si="16"/>
        <v/>
      </c>
      <c r="FU21" s="182" t="str">
        <f t="shared" si="16"/>
        <v/>
      </c>
      <c r="FV21" s="182" t="str">
        <f t="shared" si="16"/>
        <v/>
      </c>
      <c r="FW21" s="182" t="str">
        <f t="shared" si="16"/>
        <v/>
      </c>
      <c r="FX21" s="182" t="str">
        <f t="shared" si="17"/>
        <v/>
      </c>
      <c r="FY21" s="182" t="str">
        <f t="shared" si="17"/>
        <v/>
      </c>
      <c r="FZ21" s="182" t="str">
        <f t="shared" si="17"/>
        <v/>
      </c>
      <c r="GA21" s="182" t="str">
        <f t="shared" si="17"/>
        <v/>
      </c>
      <c r="GB21" s="182" t="str">
        <f t="shared" si="17"/>
        <v/>
      </c>
      <c r="GC21" s="182" t="str">
        <f t="shared" si="17"/>
        <v/>
      </c>
      <c r="GD21" s="182" t="str">
        <f t="shared" si="17"/>
        <v/>
      </c>
      <c r="GE21" s="182" t="str">
        <f t="shared" si="17"/>
        <v/>
      </c>
      <c r="GF21" s="182" t="str">
        <f t="shared" si="17"/>
        <v/>
      </c>
      <c r="GG21" s="182" t="str">
        <f t="shared" si="17"/>
        <v/>
      </c>
      <c r="GH21" s="182" t="str">
        <f t="shared" si="17"/>
        <v/>
      </c>
      <c r="GI21" s="182" t="str">
        <f t="shared" si="17"/>
        <v/>
      </c>
      <c r="GJ21" s="182" t="str">
        <f t="shared" si="17"/>
        <v/>
      </c>
      <c r="GK21" s="182" t="str">
        <f t="shared" si="17"/>
        <v/>
      </c>
      <c r="GL21" s="182" t="str">
        <f t="shared" si="17"/>
        <v/>
      </c>
      <c r="GM21" s="182" t="str">
        <f t="shared" si="17"/>
        <v/>
      </c>
      <c r="GN21" s="182" t="str">
        <f t="shared" si="18"/>
        <v/>
      </c>
      <c r="GO21" s="182" t="str">
        <f t="shared" si="18"/>
        <v/>
      </c>
      <c r="GP21" s="182" t="str">
        <f t="shared" si="18"/>
        <v/>
      </c>
    </row>
    <row r="22" spans="2:198" x14ac:dyDescent="0.3">
      <c r="B22" s="184">
        <f>'MF Rent Roll'!B21</f>
        <v>0</v>
      </c>
      <c r="C22" s="171">
        <f>'MF Rent Roll'!C21</f>
        <v>0</v>
      </c>
      <c r="D22" s="172">
        <f>'MF Rent Roll'!D21</f>
        <v>0</v>
      </c>
      <c r="E22" s="172">
        <f>'MF Rent Roll'!E21</f>
        <v>0</v>
      </c>
      <c r="F22" s="173">
        <f>'MF Rent Roll'!F21</f>
        <v>0</v>
      </c>
      <c r="G22" s="174">
        <f>'MF Rent Roll'!G21</f>
        <v>0</v>
      </c>
      <c r="H22" s="176">
        <f>'MF Rent Roll'!J21</f>
        <v>0</v>
      </c>
      <c r="I22" s="174">
        <f>'MF Rent Roll'!K21</f>
        <v>0</v>
      </c>
      <c r="J22" s="177">
        <f>'MF Rent Roll'!L21</f>
        <v>0</v>
      </c>
      <c r="K22" s="178">
        <f>'MF Rent Roll'!M21</f>
        <v>0</v>
      </c>
      <c r="L22" s="174">
        <f>'MF Rent Roll'!N21</f>
        <v>0</v>
      </c>
      <c r="M22" s="179">
        <f>'MF Rent Roll'!O21</f>
        <v>0</v>
      </c>
      <c r="N22" s="180" t="str">
        <f>'MF Rent Roll'!P21</f>
        <v/>
      </c>
      <c r="O22" s="181" t="str">
        <f>'MF Rent Roll'!Q21</f>
        <v/>
      </c>
      <c r="P22" s="104" t="str">
        <f>'MF Rent Roll'!R21</f>
        <v/>
      </c>
      <c r="S22" s="182" t="str">
        <f t="shared" si="12"/>
        <v/>
      </c>
      <c r="T22" s="182" t="str">
        <f t="shared" si="12"/>
        <v/>
      </c>
      <c r="U22" s="182" t="str">
        <f t="shared" si="12"/>
        <v/>
      </c>
      <c r="V22" s="182" t="str">
        <f t="shared" si="12"/>
        <v/>
      </c>
      <c r="W22" s="182" t="str">
        <f t="shared" si="12"/>
        <v/>
      </c>
      <c r="X22" s="182" t="str">
        <f t="shared" si="12"/>
        <v/>
      </c>
      <c r="Y22" s="182" t="str">
        <f t="shared" si="12"/>
        <v/>
      </c>
      <c r="Z22" s="182" t="str">
        <f t="shared" si="12"/>
        <v/>
      </c>
      <c r="AA22" s="182" t="str">
        <f t="shared" si="12"/>
        <v/>
      </c>
      <c r="AB22" s="182" t="str">
        <f t="shared" si="12"/>
        <v/>
      </c>
      <c r="AC22" s="182" t="str">
        <f t="shared" si="12"/>
        <v/>
      </c>
      <c r="AD22" s="182" t="str">
        <f t="shared" si="12"/>
        <v/>
      </c>
      <c r="AE22" s="182" t="str">
        <f t="shared" si="12"/>
        <v/>
      </c>
      <c r="AF22" s="182" t="str">
        <f t="shared" si="12"/>
        <v/>
      </c>
      <c r="AG22" s="182" t="str">
        <f t="shared" si="12"/>
        <v/>
      </c>
      <c r="AH22" s="182" t="str">
        <f t="shared" si="12"/>
        <v/>
      </c>
      <c r="AI22" s="182" t="str">
        <f t="shared" si="21"/>
        <v/>
      </c>
      <c r="AJ22" s="182" t="str">
        <f t="shared" si="21"/>
        <v/>
      </c>
      <c r="AK22" s="182" t="str">
        <f t="shared" si="21"/>
        <v/>
      </c>
      <c r="AL22" s="182" t="str">
        <f t="shared" si="21"/>
        <v/>
      </c>
      <c r="AM22" s="182" t="str">
        <f t="shared" si="21"/>
        <v/>
      </c>
      <c r="AN22" s="182" t="str">
        <f t="shared" si="21"/>
        <v/>
      </c>
      <c r="AO22" s="182" t="str">
        <f t="shared" si="21"/>
        <v/>
      </c>
      <c r="AP22" s="182" t="str">
        <f t="shared" si="21"/>
        <v/>
      </c>
      <c r="AQ22" s="182" t="str">
        <f t="shared" si="21"/>
        <v/>
      </c>
      <c r="AR22" s="182" t="str">
        <f t="shared" si="21"/>
        <v/>
      </c>
      <c r="AS22" s="182" t="str">
        <f t="shared" si="21"/>
        <v/>
      </c>
      <c r="AT22" s="182" t="str">
        <f t="shared" si="21"/>
        <v/>
      </c>
      <c r="AU22" s="182" t="str">
        <f t="shared" si="21"/>
        <v/>
      </c>
      <c r="AV22" s="182" t="str">
        <f t="shared" si="21"/>
        <v/>
      </c>
      <c r="AW22" s="182" t="str">
        <f t="shared" si="21"/>
        <v/>
      </c>
      <c r="AX22" s="182" t="str">
        <f t="shared" si="21"/>
        <v/>
      </c>
      <c r="AY22" s="182" t="str">
        <f t="shared" si="22"/>
        <v/>
      </c>
      <c r="AZ22" s="182" t="str">
        <f t="shared" si="22"/>
        <v/>
      </c>
      <c r="BA22" s="182" t="str">
        <f t="shared" si="22"/>
        <v/>
      </c>
      <c r="BB22" s="182" t="str">
        <f t="shared" si="22"/>
        <v/>
      </c>
      <c r="BC22" s="182" t="str">
        <f t="shared" si="22"/>
        <v/>
      </c>
      <c r="BD22" s="182" t="str">
        <f t="shared" si="22"/>
        <v/>
      </c>
      <c r="BE22" s="182" t="str">
        <f t="shared" si="22"/>
        <v/>
      </c>
      <c r="BF22" s="182" t="str">
        <f t="shared" si="22"/>
        <v/>
      </c>
      <c r="BG22" s="182" t="str">
        <f t="shared" si="22"/>
        <v/>
      </c>
      <c r="BH22" s="182" t="str">
        <f t="shared" si="22"/>
        <v/>
      </c>
      <c r="BI22" s="182" t="str">
        <f t="shared" si="22"/>
        <v/>
      </c>
      <c r="BJ22" s="182" t="str">
        <f t="shared" si="22"/>
        <v/>
      </c>
      <c r="BK22" s="182" t="str">
        <f t="shared" si="22"/>
        <v/>
      </c>
      <c r="BL22" s="182" t="str">
        <f t="shared" si="22"/>
        <v/>
      </c>
      <c r="BM22" s="182" t="str">
        <f t="shared" si="22"/>
        <v/>
      </c>
      <c r="BN22" s="182" t="str">
        <f t="shared" si="22"/>
        <v/>
      </c>
      <c r="BO22" s="182" t="str">
        <f t="shared" si="23"/>
        <v/>
      </c>
      <c r="BP22" s="182" t="str">
        <f t="shared" si="23"/>
        <v/>
      </c>
      <c r="BQ22" s="182" t="str">
        <f t="shared" si="23"/>
        <v/>
      </c>
      <c r="BR22" s="182" t="str">
        <f t="shared" si="23"/>
        <v/>
      </c>
      <c r="BS22" s="182" t="str">
        <f t="shared" si="23"/>
        <v/>
      </c>
      <c r="BT22" s="182" t="str">
        <f t="shared" si="23"/>
        <v/>
      </c>
      <c r="BU22" s="182" t="str">
        <f t="shared" si="23"/>
        <v/>
      </c>
      <c r="BV22" s="182" t="str">
        <f t="shared" si="23"/>
        <v/>
      </c>
      <c r="BW22" s="182" t="str">
        <f t="shared" si="23"/>
        <v/>
      </c>
      <c r="BX22" s="182" t="str">
        <f t="shared" si="23"/>
        <v/>
      </c>
      <c r="BY22" s="182" t="str">
        <f t="shared" si="23"/>
        <v/>
      </c>
      <c r="BZ22" s="182" t="str">
        <f t="shared" si="23"/>
        <v/>
      </c>
      <c r="CA22" s="182" t="str">
        <f t="shared" si="23"/>
        <v/>
      </c>
      <c r="CB22" s="182" t="str">
        <f t="shared" si="23"/>
        <v/>
      </c>
      <c r="CC22" s="182" t="str">
        <f t="shared" si="23"/>
        <v/>
      </c>
      <c r="CD22" s="182" t="str">
        <f t="shared" si="23"/>
        <v/>
      </c>
      <c r="CE22" s="182" t="str">
        <f t="shared" si="19"/>
        <v/>
      </c>
      <c r="CF22" s="182" t="str">
        <f t="shared" si="19"/>
        <v/>
      </c>
      <c r="CG22" s="182" t="str">
        <f t="shared" si="19"/>
        <v/>
      </c>
      <c r="CH22" s="182" t="str">
        <f t="shared" si="19"/>
        <v/>
      </c>
      <c r="CI22" s="182" t="str">
        <f t="shared" si="19"/>
        <v/>
      </c>
      <c r="CJ22" s="182" t="str">
        <f t="shared" si="19"/>
        <v/>
      </c>
      <c r="CK22" s="182" t="str">
        <f t="shared" si="19"/>
        <v/>
      </c>
      <c r="CL22" s="182" t="str">
        <f t="shared" si="19"/>
        <v/>
      </c>
      <c r="CM22" s="182" t="str">
        <f t="shared" si="19"/>
        <v/>
      </c>
      <c r="CN22" s="182" t="str">
        <f t="shared" si="19"/>
        <v/>
      </c>
      <c r="CO22" s="182" t="str">
        <f t="shared" si="19"/>
        <v/>
      </c>
      <c r="CP22" s="182" t="str">
        <f t="shared" si="19"/>
        <v/>
      </c>
      <c r="CQ22" s="182" t="str">
        <f t="shared" si="19"/>
        <v/>
      </c>
      <c r="CR22" s="182" t="str">
        <f t="shared" si="19"/>
        <v/>
      </c>
      <c r="CS22" s="182" t="str">
        <f t="shared" si="19"/>
        <v/>
      </c>
      <c r="CT22" s="182" t="str">
        <f t="shared" si="24"/>
        <v/>
      </c>
      <c r="CU22" s="182" t="str">
        <f t="shared" si="24"/>
        <v/>
      </c>
      <c r="CV22" s="182" t="str">
        <f t="shared" si="24"/>
        <v/>
      </c>
      <c r="CW22" s="182" t="str">
        <f t="shared" si="24"/>
        <v/>
      </c>
      <c r="CX22" s="182" t="str">
        <f t="shared" si="24"/>
        <v/>
      </c>
      <c r="CY22" s="182" t="str">
        <f t="shared" si="24"/>
        <v/>
      </c>
      <c r="CZ22" s="182" t="str">
        <f t="shared" si="24"/>
        <v/>
      </c>
      <c r="DA22" s="182" t="str">
        <f t="shared" si="24"/>
        <v/>
      </c>
      <c r="DB22" s="182" t="str">
        <f t="shared" si="24"/>
        <v/>
      </c>
      <c r="DC22" s="182" t="str">
        <f t="shared" si="24"/>
        <v/>
      </c>
      <c r="DD22" s="182" t="str">
        <f t="shared" si="24"/>
        <v/>
      </c>
      <c r="DE22" s="182" t="str">
        <f t="shared" si="24"/>
        <v/>
      </c>
      <c r="DF22" s="182" t="str">
        <f t="shared" si="24"/>
        <v/>
      </c>
      <c r="DG22" s="182" t="str">
        <f t="shared" si="24"/>
        <v/>
      </c>
      <c r="DH22" s="182" t="str">
        <f t="shared" si="24"/>
        <v/>
      </c>
      <c r="DI22" s="182" t="str">
        <f t="shared" si="24"/>
        <v/>
      </c>
      <c r="DJ22" s="182" t="str">
        <f t="shared" si="25"/>
        <v/>
      </c>
      <c r="DK22" s="182" t="str">
        <f t="shared" si="25"/>
        <v/>
      </c>
      <c r="DL22" s="182" t="str">
        <f t="shared" si="25"/>
        <v/>
      </c>
      <c r="DM22" s="182" t="str">
        <f t="shared" si="25"/>
        <v/>
      </c>
      <c r="DN22" s="182" t="str">
        <f t="shared" si="25"/>
        <v/>
      </c>
      <c r="DO22" s="182" t="str">
        <f t="shared" si="25"/>
        <v/>
      </c>
      <c r="DP22" s="182" t="str">
        <f t="shared" si="25"/>
        <v/>
      </c>
      <c r="DQ22" s="182" t="str">
        <f t="shared" si="25"/>
        <v/>
      </c>
      <c r="DR22" s="182" t="str">
        <f t="shared" si="25"/>
        <v/>
      </c>
      <c r="DS22" s="182" t="str">
        <f t="shared" si="25"/>
        <v/>
      </c>
      <c r="DT22" s="182" t="str">
        <f t="shared" si="25"/>
        <v/>
      </c>
      <c r="DU22" s="182" t="str">
        <f t="shared" si="25"/>
        <v/>
      </c>
      <c r="DV22" s="182" t="str">
        <f t="shared" si="25"/>
        <v/>
      </c>
      <c r="DW22" s="182" t="str">
        <f t="shared" si="25"/>
        <v/>
      </c>
      <c r="DX22" s="182" t="str">
        <f t="shared" si="25"/>
        <v/>
      </c>
      <c r="DY22" s="182" t="str">
        <f t="shared" si="25"/>
        <v/>
      </c>
      <c r="DZ22" s="182" t="str">
        <f t="shared" si="26"/>
        <v/>
      </c>
      <c r="EA22" s="182" t="str">
        <f t="shared" si="26"/>
        <v/>
      </c>
      <c r="EB22" s="182" t="str">
        <f t="shared" si="26"/>
        <v/>
      </c>
      <c r="EC22" s="182" t="str">
        <f t="shared" si="26"/>
        <v/>
      </c>
      <c r="ED22" s="182" t="str">
        <f t="shared" si="26"/>
        <v/>
      </c>
      <c r="EE22" s="182" t="str">
        <f t="shared" si="26"/>
        <v/>
      </c>
      <c r="EF22" s="182" t="str">
        <f t="shared" si="26"/>
        <v/>
      </c>
      <c r="EG22" s="182" t="str">
        <f t="shared" si="26"/>
        <v/>
      </c>
      <c r="EH22" s="182" t="str">
        <f t="shared" si="26"/>
        <v/>
      </c>
      <c r="EI22" s="182" t="str">
        <f t="shared" si="26"/>
        <v/>
      </c>
      <c r="EJ22" s="182" t="str">
        <f t="shared" si="26"/>
        <v/>
      </c>
      <c r="EK22" s="182" t="str">
        <f t="shared" si="26"/>
        <v/>
      </c>
      <c r="EL22" s="182" t="str">
        <f t="shared" si="26"/>
        <v/>
      </c>
      <c r="EM22" s="182" t="str">
        <f t="shared" si="26"/>
        <v/>
      </c>
      <c r="EN22" s="182" t="str">
        <f t="shared" si="26"/>
        <v/>
      </c>
      <c r="EO22" s="182" t="str">
        <f t="shared" si="26"/>
        <v/>
      </c>
      <c r="EP22" s="182" t="str">
        <f t="shared" si="20"/>
        <v/>
      </c>
      <c r="EQ22" s="182" t="str">
        <f t="shared" si="20"/>
        <v/>
      </c>
      <c r="ER22" s="182" t="str">
        <f t="shared" si="15"/>
        <v/>
      </c>
      <c r="ES22" s="182" t="str">
        <f t="shared" si="15"/>
        <v/>
      </c>
      <c r="ET22" s="182" t="str">
        <f t="shared" si="15"/>
        <v/>
      </c>
      <c r="EU22" s="182" t="str">
        <f t="shared" si="15"/>
        <v/>
      </c>
      <c r="EV22" s="182" t="str">
        <f t="shared" si="15"/>
        <v/>
      </c>
      <c r="EW22" s="182" t="str">
        <f t="shared" si="15"/>
        <v/>
      </c>
      <c r="EX22" s="182" t="str">
        <f t="shared" si="15"/>
        <v/>
      </c>
      <c r="EY22" s="182" t="str">
        <f t="shared" si="15"/>
        <v/>
      </c>
      <c r="EZ22" s="182" t="str">
        <f t="shared" si="15"/>
        <v/>
      </c>
      <c r="FA22" s="182" t="str">
        <f t="shared" si="15"/>
        <v/>
      </c>
      <c r="FB22" s="182" t="str">
        <f t="shared" si="15"/>
        <v/>
      </c>
      <c r="FC22" s="182" t="str">
        <f t="shared" si="15"/>
        <v/>
      </c>
      <c r="FD22" s="182" t="str">
        <f t="shared" si="15"/>
        <v/>
      </c>
      <c r="FE22" s="182" t="str">
        <f t="shared" si="15"/>
        <v/>
      </c>
      <c r="FF22" s="182" t="str">
        <f t="shared" si="15"/>
        <v/>
      </c>
      <c r="FG22" s="182" t="str">
        <f t="shared" si="15"/>
        <v/>
      </c>
      <c r="FH22" s="182" t="str">
        <f t="shared" si="16"/>
        <v/>
      </c>
      <c r="FI22" s="182" t="str">
        <f t="shared" si="16"/>
        <v/>
      </c>
      <c r="FJ22" s="182" t="str">
        <f t="shared" si="16"/>
        <v/>
      </c>
      <c r="FK22" s="182" t="str">
        <f t="shared" si="16"/>
        <v/>
      </c>
      <c r="FL22" s="182" t="str">
        <f t="shared" si="16"/>
        <v/>
      </c>
      <c r="FM22" s="182" t="str">
        <f t="shared" si="16"/>
        <v/>
      </c>
      <c r="FN22" s="182" t="str">
        <f t="shared" si="16"/>
        <v/>
      </c>
      <c r="FO22" s="182" t="str">
        <f t="shared" si="16"/>
        <v/>
      </c>
      <c r="FP22" s="182" t="str">
        <f t="shared" si="16"/>
        <v/>
      </c>
      <c r="FQ22" s="182" t="str">
        <f t="shared" si="16"/>
        <v/>
      </c>
      <c r="FR22" s="182" t="str">
        <f t="shared" si="16"/>
        <v/>
      </c>
      <c r="FS22" s="182" t="str">
        <f t="shared" si="16"/>
        <v/>
      </c>
      <c r="FT22" s="182" t="str">
        <f t="shared" si="16"/>
        <v/>
      </c>
      <c r="FU22" s="182" t="str">
        <f t="shared" si="16"/>
        <v/>
      </c>
      <c r="FV22" s="182" t="str">
        <f t="shared" si="16"/>
        <v/>
      </c>
      <c r="FW22" s="182" t="str">
        <f t="shared" si="16"/>
        <v/>
      </c>
      <c r="FX22" s="182" t="str">
        <f t="shared" si="17"/>
        <v/>
      </c>
      <c r="FY22" s="182" t="str">
        <f t="shared" si="17"/>
        <v/>
      </c>
      <c r="FZ22" s="182" t="str">
        <f t="shared" si="17"/>
        <v/>
      </c>
      <c r="GA22" s="182" t="str">
        <f t="shared" si="17"/>
        <v/>
      </c>
      <c r="GB22" s="182" t="str">
        <f t="shared" si="17"/>
        <v/>
      </c>
      <c r="GC22" s="182" t="str">
        <f t="shared" si="17"/>
        <v/>
      </c>
      <c r="GD22" s="182" t="str">
        <f t="shared" si="17"/>
        <v/>
      </c>
      <c r="GE22" s="182" t="str">
        <f t="shared" si="17"/>
        <v/>
      </c>
      <c r="GF22" s="182" t="str">
        <f t="shared" si="17"/>
        <v/>
      </c>
      <c r="GG22" s="182" t="str">
        <f t="shared" si="17"/>
        <v/>
      </c>
      <c r="GH22" s="182" t="str">
        <f t="shared" si="17"/>
        <v/>
      </c>
      <c r="GI22" s="182" t="str">
        <f t="shared" si="17"/>
        <v/>
      </c>
      <c r="GJ22" s="182" t="str">
        <f t="shared" si="17"/>
        <v/>
      </c>
      <c r="GK22" s="182" t="str">
        <f t="shared" si="17"/>
        <v/>
      </c>
      <c r="GL22" s="182" t="str">
        <f t="shared" si="17"/>
        <v/>
      </c>
      <c r="GM22" s="182" t="str">
        <f t="shared" si="17"/>
        <v/>
      </c>
      <c r="GN22" s="182" t="str">
        <f t="shared" si="18"/>
        <v/>
      </c>
      <c r="GO22" s="182" t="str">
        <f t="shared" si="18"/>
        <v/>
      </c>
      <c r="GP22" s="182" t="str">
        <f t="shared" si="18"/>
        <v/>
      </c>
    </row>
    <row r="23" spans="2:198" x14ac:dyDescent="0.3">
      <c r="B23" s="184">
        <f>'MF Rent Roll'!B22</f>
        <v>0</v>
      </c>
      <c r="C23" s="171">
        <f>'MF Rent Roll'!C22</f>
        <v>0</v>
      </c>
      <c r="D23" s="172">
        <f>'MF Rent Roll'!D22</f>
        <v>0</v>
      </c>
      <c r="E23" s="172">
        <f>'MF Rent Roll'!E22</f>
        <v>0</v>
      </c>
      <c r="F23" s="173">
        <f>'MF Rent Roll'!F22</f>
        <v>0</v>
      </c>
      <c r="G23" s="174">
        <f>'MF Rent Roll'!G22</f>
        <v>0</v>
      </c>
      <c r="H23" s="176">
        <f>'MF Rent Roll'!J22</f>
        <v>0</v>
      </c>
      <c r="I23" s="174">
        <f>'MF Rent Roll'!K22</f>
        <v>0</v>
      </c>
      <c r="J23" s="177">
        <f>'MF Rent Roll'!L22</f>
        <v>0</v>
      </c>
      <c r="K23" s="178">
        <f>'MF Rent Roll'!M22</f>
        <v>0</v>
      </c>
      <c r="L23" s="174">
        <f>'MF Rent Roll'!N22</f>
        <v>0</v>
      </c>
      <c r="M23" s="179">
        <f>'MF Rent Roll'!O22</f>
        <v>0</v>
      </c>
      <c r="N23" s="180" t="str">
        <f>'MF Rent Roll'!P22</f>
        <v/>
      </c>
      <c r="O23" s="181" t="str">
        <f>'MF Rent Roll'!Q22</f>
        <v/>
      </c>
      <c r="P23" s="104" t="str">
        <f>'MF Rent Roll'!R22</f>
        <v/>
      </c>
      <c r="S23" s="182" t="str">
        <f t="shared" si="12"/>
        <v/>
      </c>
      <c r="T23" s="182" t="str">
        <f t="shared" si="12"/>
        <v/>
      </c>
      <c r="U23" s="182" t="str">
        <f t="shared" si="12"/>
        <v/>
      </c>
      <c r="V23" s="182" t="str">
        <f t="shared" si="12"/>
        <v/>
      </c>
      <c r="W23" s="182" t="str">
        <f t="shared" si="12"/>
        <v/>
      </c>
      <c r="X23" s="182" t="str">
        <f t="shared" si="12"/>
        <v/>
      </c>
      <c r="Y23" s="182" t="str">
        <f t="shared" si="12"/>
        <v/>
      </c>
      <c r="Z23" s="182" t="str">
        <f t="shared" si="12"/>
        <v/>
      </c>
      <c r="AA23" s="182" t="str">
        <f t="shared" si="12"/>
        <v/>
      </c>
      <c r="AB23" s="182" t="str">
        <f t="shared" si="12"/>
        <v/>
      </c>
      <c r="AC23" s="182" t="str">
        <f t="shared" si="12"/>
        <v/>
      </c>
      <c r="AD23" s="182" t="str">
        <f t="shared" si="12"/>
        <v/>
      </c>
      <c r="AE23" s="182" t="str">
        <f t="shared" si="12"/>
        <v/>
      </c>
      <c r="AF23" s="182" t="str">
        <f t="shared" si="12"/>
        <v/>
      </c>
      <c r="AG23" s="182" t="str">
        <f t="shared" si="12"/>
        <v/>
      </c>
      <c r="AH23" s="182" t="str">
        <f t="shared" si="12"/>
        <v/>
      </c>
      <c r="AI23" s="182" t="str">
        <f t="shared" si="21"/>
        <v/>
      </c>
      <c r="AJ23" s="182" t="str">
        <f t="shared" si="21"/>
        <v/>
      </c>
      <c r="AK23" s="182" t="str">
        <f t="shared" si="21"/>
        <v/>
      </c>
      <c r="AL23" s="182" t="str">
        <f t="shared" si="21"/>
        <v/>
      </c>
      <c r="AM23" s="182" t="str">
        <f t="shared" si="21"/>
        <v/>
      </c>
      <c r="AN23" s="182" t="str">
        <f t="shared" si="21"/>
        <v/>
      </c>
      <c r="AO23" s="182" t="str">
        <f t="shared" si="21"/>
        <v/>
      </c>
      <c r="AP23" s="182" t="str">
        <f t="shared" si="21"/>
        <v/>
      </c>
      <c r="AQ23" s="182" t="str">
        <f t="shared" si="21"/>
        <v/>
      </c>
      <c r="AR23" s="182" t="str">
        <f t="shared" si="21"/>
        <v/>
      </c>
      <c r="AS23" s="182" t="str">
        <f t="shared" si="21"/>
        <v/>
      </c>
      <c r="AT23" s="182" t="str">
        <f t="shared" si="21"/>
        <v/>
      </c>
      <c r="AU23" s="182" t="str">
        <f t="shared" si="21"/>
        <v/>
      </c>
      <c r="AV23" s="182" t="str">
        <f t="shared" si="21"/>
        <v/>
      </c>
      <c r="AW23" s="182" t="str">
        <f t="shared" si="21"/>
        <v/>
      </c>
      <c r="AX23" s="182" t="str">
        <f t="shared" si="21"/>
        <v/>
      </c>
      <c r="AY23" s="182" t="str">
        <f t="shared" si="22"/>
        <v/>
      </c>
      <c r="AZ23" s="182" t="str">
        <f t="shared" si="22"/>
        <v/>
      </c>
      <c r="BA23" s="182" t="str">
        <f t="shared" si="22"/>
        <v/>
      </c>
      <c r="BB23" s="182" t="str">
        <f t="shared" si="22"/>
        <v/>
      </c>
      <c r="BC23" s="182" t="str">
        <f t="shared" si="22"/>
        <v/>
      </c>
      <c r="BD23" s="182" t="str">
        <f t="shared" si="22"/>
        <v/>
      </c>
      <c r="BE23" s="182" t="str">
        <f t="shared" si="22"/>
        <v/>
      </c>
      <c r="BF23" s="182" t="str">
        <f t="shared" si="22"/>
        <v/>
      </c>
      <c r="BG23" s="182" t="str">
        <f t="shared" si="22"/>
        <v/>
      </c>
      <c r="BH23" s="182" t="str">
        <f t="shared" si="22"/>
        <v/>
      </c>
      <c r="BI23" s="182" t="str">
        <f t="shared" si="22"/>
        <v/>
      </c>
      <c r="BJ23" s="182" t="str">
        <f t="shared" si="22"/>
        <v/>
      </c>
      <c r="BK23" s="182" t="str">
        <f t="shared" si="22"/>
        <v/>
      </c>
      <c r="BL23" s="182" t="str">
        <f t="shared" si="22"/>
        <v/>
      </c>
      <c r="BM23" s="182" t="str">
        <f t="shared" si="22"/>
        <v/>
      </c>
      <c r="BN23" s="182" t="str">
        <f t="shared" si="22"/>
        <v/>
      </c>
      <c r="BO23" s="182" t="str">
        <f t="shared" si="23"/>
        <v/>
      </c>
      <c r="BP23" s="182" t="str">
        <f t="shared" si="23"/>
        <v/>
      </c>
      <c r="BQ23" s="182" t="str">
        <f t="shared" si="23"/>
        <v/>
      </c>
      <c r="BR23" s="182" t="str">
        <f t="shared" si="23"/>
        <v/>
      </c>
      <c r="BS23" s="182" t="str">
        <f t="shared" si="23"/>
        <v/>
      </c>
      <c r="BT23" s="182" t="str">
        <f t="shared" si="23"/>
        <v/>
      </c>
      <c r="BU23" s="182" t="str">
        <f t="shared" si="23"/>
        <v/>
      </c>
      <c r="BV23" s="182" t="str">
        <f t="shared" si="23"/>
        <v/>
      </c>
      <c r="BW23" s="182" t="str">
        <f t="shared" si="23"/>
        <v/>
      </c>
      <c r="BX23" s="182" t="str">
        <f t="shared" si="23"/>
        <v/>
      </c>
      <c r="BY23" s="182" t="str">
        <f t="shared" si="23"/>
        <v/>
      </c>
      <c r="BZ23" s="182" t="str">
        <f t="shared" si="23"/>
        <v/>
      </c>
      <c r="CA23" s="182" t="str">
        <f t="shared" si="23"/>
        <v/>
      </c>
      <c r="CB23" s="182" t="str">
        <f t="shared" si="23"/>
        <v/>
      </c>
      <c r="CC23" s="182" t="str">
        <f t="shared" si="23"/>
        <v/>
      </c>
      <c r="CD23" s="182" t="str">
        <f t="shared" si="23"/>
        <v/>
      </c>
      <c r="CE23" s="182" t="str">
        <f t="shared" si="19"/>
        <v/>
      </c>
      <c r="CF23" s="182" t="str">
        <f t="shared" si="19"/>
        <v/>
      </c>
      <c r="CG23" s="182" t="str">
        <f t="shared" si="19"/>
        <v/>
      </c>
      <c r="CH23" s="182" t="str">
        <f t="shared" si="19"/>
        <v/>
      </c>
      <c r="CI23" s="182" t="str">
        <f t="shared" si="19"/>
        <v/>
      </c>
      <c r="CJ23" s="182" t="str">
        <f t="shared" si="19"/>
        <v/>
      </c>
      <c r="CK23" s="182" t="str">
        <f t="shared" si="19"/>
        <v/>
      </c>
      <c r="CL23" s="182" t="str">
        <f t="shared" si="19"/>
        <v/>
      </c>
      <c r="CM23" s="182" t="str">
        <f t="shared" si="19"/>
        <v/>
      </c>
      <c r="CN23" s="182" t="str">
        <f t="shared" si="19"/>
        <v/>
      </c>
      <c r="CO23" s="182" t="str">
        <f t="shared" si="19"/>
        <v/>
      </c>
      <c r="CP23" s="182" t="str">
        <f t="shared" si="19"/>
        <v/>
      </c>
      <c r="CQ23" s="182" t="str">
        <f t="shared" si="19"/>
        <v/>
      </c>
      <c r="CR23" s="182" t="str">
        <f t="shared" si="19"/>
        <v/>
      </c>
      <c r="CS23" s="182" t="str">
        <f t="shared" si="19"/>
        <v/>
      </c>
      <c r="CT23" s="182" t="str">
        <f t="shared" si="24"/>
        <v/>
      </c>
      <c r="CU23" s="182" t="str">
        <f t="shared" si="24"/>
        <v/>
      </c>
      <c r="CV23" s="182" t="str">
        <f t="shared" si="24"/>
        <v/>
      </c>
      <c r="CW23" s="182" t="str">
        <f t="shared" si="24"/>
        <v/>
      </c>
      <c r="CX23" s="182" t="str">
        <f t="shared" si="24"/>
        <v/>
      </c>
      <c r="CY23" s="182" t="str">
        <f t="shared" si="24"/>
        <v/>
      </c>
      <c r="CZ23" s="182" t="str">
        <f t="shared" si="24"/>
        <v/>
      </c>
      <c r="DA23" s="182" t="str">
        <f t="shared" si="24"/>
        <v/>
      </c>
      <c r="DB23" s="182" t="str">
        <f t="shared" si="24"/>
        <v/>
      </c>
      <c r="DC23" s="182" t="str">
        <f t="shared" si="24"/>
        <v/>
      </c>
      <c r="DD23" s="182" t="str">
        <f t="shared" si="24"/>
        <v/>
      </c>
      <c r="DE23" s="182" t="str">
        <f t="shared" si="24"/>
        <v/>
      </c>
      <c r="DF23" s="182" t="str">
        <f t="shared" si="24"/>
        <v/>
      </c>
      <c r="DG23" s="182" t="str">
        <f t="shared" si="24"/>
        <v/>
      </c>
      <c r="DH23" s="182" t="str">
        <f t="shared" si="24"/>
        <v/>
      </c>
      <c r="DI23" s="182" t="str">
        <f t="shared" si="24"/>
        <v/>
      </c>
      <c r="DJ23" s="182" t="str">
        <f t="shared" si="25"/>
        <v/>
      </c>
      <c r="DK23" s="182" t="str">
        <f t="shared" si="25"/>
        <v/>
      </c>
      <c r="DL23" s="182" t="str">
        <f t="shared" si="25"/>
        <v/>
      </c>
      <c r="DM23" s="182" t="str">
        <f t="shared" si="25"/>
        <v/>
      </c>
      <c r="DN23" s="182" t="str">
        <f t="shared" si="25"/>
        <v/>
      </c>
      <c r="DO23" s="182" t="str">
        <f t="shared" si="25"/>
        <v/>
      </c>
      <c r="DP23" s="182" t="str">
        <f t="shared" si="25"/>
        <v/>
      </c>
      <c r="DQ23" s="182" t="str">
        <f t="shared" si="25"/>
        <v/>
      </c>
      <c r="DR23" s="182" t="str">
        <f t="shared" si="25"/>
        <v/>
      </c>
      <c r="DS23" s="182" t="str">
        <f t="shared" si="25"/>
        <v/>
      </c>
      <c r="DT23" s="182" t="str">
        <f t="shared" si="25"/>
        <v/>
      </c>
      <c r="DU23" s="182" t="str">
        <f t="shared" si="25"/>
        <v/>
      </c>
      <c r="DV23" s="182" t="str">
        <f t="shared" si="25"/>
        <v/>
      </c>
      <c r="DW23" s="182" t="str">
        <f t="shared" si="25"/>
        <v/>
      </c>
      <c r="DX23" s="182" t="str">
        <f t="shared" si="25"/>
        <v/>
      </c>
      <c r="DY23" s="182" t="str">
        <f t="shared" si="25"/>
        <v/>
      </c>
      <c r="DZ23" s="182" t="str">
        <f t="shared" si="26"/>
        <v/>
      </c>
      <c r="EA23" s="182" t="str">
        <f t="shared" si="26"/>
        <v/>
      </c>
      <c r="EB23" s="182" t="str">
        <f t="shared" si="26"/>
        <v/>
      </c>
      <c r="EC23" s="182" t="str">
        <f t="shared" si="26"/>
        <v/>
      </c>
      <c r="ED23" s="182" t="str">
        <f t="shared" si="26"/>
        <v/>
      </c>
      <c r="EE23" s="182" t="str">
        <f t="shared" si="26"/>
        <v/>
      </c>
      <c r="EF23" s="182" t="str">
        <f t="shared" si="26"/>
        <v/>
      </c>
      <c r="EG23" s="182" t="str">
        <f t="shared" si="26"/>
        <v/>
      </c>
      <c r="EH23" s="182" t="str">
        <f t="shared" si="26"/>
        <v/>
      </c>
      <c r="EI23" s="182" t="str">
        <f t="shared" si="26"/>
        <v/>
      </c>
      <c r="EJ23" s="182" t="str">
        <f t="shared" si="26"/>
        <v/>
      </c>
      <c r="EK23" s="182" t="str">
        <f t="shared" si="26"/>
        <v/>
      </c>
      <c r="EL23" s="182" t="str">
        <f t="shared" si="26"/>
        <v/>
      </c>
      <c r="EM23" s="182" t="str">
        <f t="shared" si="26"/>
        <v/>
      </c>
      <c r="EN23" s="182" t="str">
        <f t="shared" si="26"/>
        <v/>
      </c>
      <c r="EO23" s="182" t="str">
        <f t="shared" si="26"/>
        <v/>
      </c>
      <c r="EP23" s="182" t="str">
        <f t="shared" si="20"/>
        <v/>
      </c>
      <c r="EQ23" s="182" t="str">
        <f t="shared" si="20"/>
        <v/>
      </c>
      <c r="ER23" s="182" t="str">
        <f t="shared" si="15"/>
        <v/>
      </c>
      <c r="ES23" s="182" t="str">
        <f t="shared" si="15"/>
        <v/>
      </c>
      <c r="ET23" s="182" t="str">
        <f t="shared" si="15"/>
        <v/>
      </c>
      <c r="EU23" s="182" t="str">
        <f t="shared" si="15"/>
        <v/>
      </c>
      <c r="EV23" s="182" t="str">
        <f t="shared" si="15"/>
        <v/>
      </c>
      <c r="EW23" s="182" t="str">
        <f t="shared" si="15"/>
        <v/>
      </c>
      <c r="EX23" s="182" t="str">
        <f t="shared" si="15"/>
        <v/>
      </c>
      <c r="EY23" s="182" t="str">
        <f t="shared" si="15"/>
        <v/>
      </c>
      <c r="EZ23" s="182" t="str">
        <f t="shared" si="15"/>
        <v/>
      </c>
      <c r="FA23" s="182" t="str">
        <f t="shared" si="15"/>
        <v/>
      </c>
      <c r="FB23" s="182" t="str">
        <f t="shared" si="15"/>
        <v/>
      </c>
      <c r="FC23" s="182" t="str">
        <f t="shared" si="15"/>
        <v/>
      </c>
      <c r="FD23" s="182" t="str">
        <f t="shared" si="15"/>
        <v/>
      </c>
      <c r="FE23" s="182" t="str">
        <f t="shared" si="15"/>
        <v/>
      </c>
      <c r="FF23" s="182" t="str">
        <f t="shared" si="15"/>
        <v/>
      </c>
      <c r="FG23" s="182" t="str">
        <f t="shared" si="15"/>
        <v/>
      </c>
      <c r="FH23" s="182" t="str">
        <f t="shared" si="16"/>
        <v/>
      </c>
      <c r="FI23" s="182" t="str">
        <f t="shared" si="16"/>
        <v/>
      </c>
      <c r="FJ23" s="182" t="str">
        <f t="shared" si="16"/>
        <v/>
      </c>
      <c r="FK23" s="182" t="str">
        <f t="shared" si="16"/>
        <v/>
      </c>
      <c r="FL23" s="182" t="str">
        <f t="shared" si="16"/>
        <v/>
      </c>
      <c r="FM23" s="182" t="str">
        <f t="shared" si="16"/>
        <v/>
      </c>
      <c r="FN23" s="182" t="str">
        <f t="shared" si="16"/>
        <v/>
      </c>
      <c r="FO23" s="182" t="str">
        <f t="shared" si="16"/>
        <v/>
      </c>
      <c r="FP23" s="182" t="str">
        <f t="shared" si="16"/>
        <v/>
      </c>
      <c r="FQ23" s="182" t="str">
        <f t="shared" si="16"/>
        <v/>
      </c>
      <c r="FR23" s="182" t="str">
        <f t="shared" si="16"/>
        <v/>
      </c>
      <c r="FS23" s="182" t="str">
        <f t="shared" si="16"/>
        <v/>
      </c>
      <c r="FT23" s="182" t="str">
        <f t="shared" si="16"/>
        <v/>
      </c>
      <c r="FU23" s="182" t="str">
        <f t="shared" si="16"/>
        <v/>
      </c>
      <c r="FV23" s="182" t="str">
        <f t="shared" si="16"/>
        <v/>
      </c>
      <c r="FW23" s="182" t="str">
        <f t="shared" si="16"/>
        <v/>
      </c>
      <c r="FX23" s="182" t="str">
        <f t="shared" si="17"/>
        <v/>
      </c>
      <c r="FY23" s="182" t="str">
        <f t="shared" si="17"/>
        <v/>
      </c>
      <c r="FZ23" s="182" t="str">
        <f t="shared" si="17"/>
        <v/>
      </c>
      <c r="GA23" s="182" t="str">
        <f t="shared" si="17"/>
        <v/>
      </c>
      <c r="GB23" s="182" t="str">
        <f t="shared" si="17"/>
        <v/>
      </c>
      <c r="GC23" s="182" t="str">
        <f t="shared" si="17"/>
        <v/>
      </c>
      <c r="GD23" s="182" t="str">
        <f t="shared" si="17"/>
        <v/>
      </c>
      <c r="GE23" s="182" t="str">
        <f t="shared" si="17"/>
        <v/>
      </c>
      <c r="GF23" s="182" t="str">
        <f t="shared" si="17"/>
        <v/>
      </c>
      <c r="GG23" s="182" t="str">
        <f t="shared" si="17"/>
        <v/>
      </c>
      <c r="GH23" s="182" t="str">
        <f t="shared" si="17"/>
        <v/>
      </c>
      <c r="GI23" s="182" t="str">
        <f t="shared" si="17"/>
        <v/>
      </c>
      <c r="GJ23" s="182" t="str">
        <f t="shared" si="17"/>
        <v/>
      </c>
      <c r="GK23" s="182" t="str">
        <f t="shared" si="17"/>
        <v/>
      </c>
      <c r="GL23" s="182" t="str">
        <f t="shared" si="17"/>
        <v/>
      </c>
      <c r="GM23" s="182" t="str">
        <f t="shared" si="17"/>
        <v/>
      </c>
      <c r="GN23" s="182" t="str">
        <f t="shared" si="18"/>
        <v/>
      </c>
      <c r="GO23" s="182" t="str">
        <f t="shared" si="18"/>
        <v/>
      </c>
      <c r="GP23" s="182" t="str">
        <f t="shared" si="18"/>
        <v/>
      </c>
    </row>
    <row r="24" spans="2:198" x14ac:dyDescent="0.3">
      <c r="B24" s="184">
        <f>'MF Rent Roll'!B23</f>
        <v>0</v>
      </c>
      <c r="C24" s="171">
        <f>'MF Rent Roll'!C23</f>
        <v>0</v>
      </c>
      <c r="D24" s="172">
        <f>'MF Rent Roll'!D23</f>
        <v>0</v>
      </c>
      <c r="E24" s="172">
        <f>'MF Rent Roll'!E23</f>
        <v>0</v>
      </c>
      <c r="F24" s="173">
        <f>'MF Rent Roll'!F23</f>
        <v>0</v>
      </c>
      <c r="G24" s="174">
        <f>'MF Rent Roll'!G23</f>
        <v>0</v>
      </c>
      <c r="H24" s="176">
        <f>'MF Rent Roll'!J23</f>
        <v>0</v>
      </c>
      <c r="I24" s="174">
        <f>'MF Rent Roll'!K23</f>
        <v>0</v>
      </c>
      <c r="J24" s="177">
        <f>'MF Rent Roll'!L23</f>
        <v>0</v>
      </c>
      <c r="K24" s="178">
        <f>'MF Rent Roll'!M23</f>
        <v>0</v>
      </c>
      <c r="L24" s="174">
        <f>'MF Rent Roll'!N23</f>
        <v>0</v>
      </c>
      <c r="M24" s="179">
        <f>'MF Rent Roll'!O23</f>
        <v>0</v>
      </c>
      <c r="N24" s="180" t="str">
        <f>'MF Rent Roll'!P23</f>
        <v/>
      </c>
      <c r="O24" s="181" t="str">
        <f>'MF Rent Roll'!Q23</f>
        <v/>
      </c>
      <c r="P24" s="104" t="str">
        <f>'MF Rent Roll'!R23</f>
        <v/>
      </c>
      <c r="S24" s="182" t="str">
        <f t="shared" si="12"/>
        <v/>
      </c>
      <c r="T24" s="182" t="str">
        <f t="shared" si="12"/>
        <v/>
      </c>
      <c r="U24" s="182" t="str">
        <f t="shared" si="12"/>
        <v/>
      </c>
      <c r="V24" s="182" t="str">
        <f t="shared" si="12"/>
        <v/>
      </c>
      <c r="W24" s="182" t="str">
        <f t="shared" si="12"/>
        <v/>
      </c>
      <c r="X24" s="182" t="str">
        <f t="shared" si="12"/>
        <v/>
      </c>
      <c r="Y24" s="182" t="str">
        <f t="shared" si="12"/>
        <v/>
      </c>
      <c r="Z24" s="182" t="str">
        <f t="shared" si="12"/>
        <v/>
      </c>
      <c r="AA24" s="182" t="str">
        <f t="shared" si="12"/>
        <v/>
      </c>
      <c r="AB24" s="182" t="str">
        <f t="shared" si="12"/>
        <v/>
      </c>
      <c r="AC24" s="182" t="str">
        <f t="shared" si="12"/>
        <v/>
      </c>
      <c r="AD24" s="182" t="str">
        <f t="shared" si="12"/>
        <v/>
      </c>
      <c r="AE24" s="182" t="str">
        <f t="shared" si="12"/>
        <v/>
      </c>
      <c r="AF24" s="182" t="str">
        <f t="shared" si="12"/>
        <v/>
      </c>
      <c r="AG24" s="182" t="str">
        <f t="shared" si="12"/>
        <v/>
      </c>
      <c r="AH24" s="182" t="str">
        <f t="shared" si="12"/>
        <v/>
      </c>
      <c r="AI24" s="182" t="str">
        <f t="shared" si="21"/>
        <v/>
      </c>
      <c r="AJ24" s="182" t="str">
        <f t="shared" si="21"/>
        <v/>
      </c>
      <c r="AK24" s="182" t="str">
        <f t="shared" si="21"/>
        <v/>
      </c>
      <c r="AL24" s="182" t="str">
        <f t="shared" si="21"/>
        <v/>
      </c>
      <c r="AM24" s="182" t="str">
        <f t="shared" si="21"/>
        <v/>
      </c>
      <c r="AN24" s="182" t="str">
        <f t="shared" si="21"/>
        <v/>
      </c>
      <c r="AO24" s="182" t="str">
        <f t="shared" si="21"/>
        <v/>
      </c>
      <c r="AP24" s="182" t="str">
        <f t="shared" si="21"/>
        <v/>
      </c>
      <c r="AQ24" s="182" t="str">
        <f t="shared" si="21"/>
        <v/>
      </c>
      <c r="AR24" s="182" t="str">
        <f t="shared" si="21"/>
        <v/>
      </c>
      <c r="AS24" s="182" t="str">
        <f t="shared" si="21"/>
        <v/>
      </c>
      <c r="AT24" s="182" t="str">
        <f t="shared" si="21"/>
        <v/>
      </c>
      <c r="AU24" s="182" t="str">
        <f t="shared" si="21"/>
        <v/>
      </c>
      <c r="AV24" s="182" t="str">
        <f t="shared" si="21"/>
        <v/>
      </c>
      <c r="AW24" s="182" t="str">
        <f t="shared" si="21"/>
        <v/>
      </c>
      <c r="AX24" s="182" t="str">
        <f t="shared" si="21"/>
        <v/>
      </c>
      <c r="AY24" s="182" t="str">
        <f t="shared" si="22"/>
        <v/>
      </c>
      <c r="AZ24" s="182" t="str">
        <f t="shared" si="22"/>
        <v/>
      </c>
      <c r="BA24" s="182" t="str">
        <f t="shared" si="22"/>
        <v/>
      </c>
      <c r="BB24" s="182" t="str">
        <f t="shared" si="22"/>
        <v/>
      </c>
      <c r="BC24" s="182" t="str">
        <f t="shared" si="22"/>
        <v/>
      </c>
      <c r="BD24" s="182" t="str">
        <f t="shared" si="22"/>
        <v/>
      </c>
      <c r="BE24" s="182" t="str">
        <f t="shared" si="22"/>
        <v/>
      </c>
      <c r="BF24" s="182" t="str">
        <f t="shared" si="22"/>
        <v/>
      </c>
      <c r="BG24" s="182" t="str">
        <f t="shared" si="22"/>
        <v/>
      </c>
      <c r="BH24" s="182" t="str">
        <f t="shared" si="22"/>
        <v/>
      </c>
      <c r="BI24" s="182" t="str">
        <f t="shared" si="22"/>
        <v/>
      </c>
      <c r="BJ24" s="182" t="str">
        <f t="shared" si="22"/>
        <v/>
      </c>
      <c r="BK24" s="182" t="str">
        <f t="shared" si="22"/>
        <v/>
      </c>
      <c r="BL24" s="182" t="str">
        <f t="shared" si="22"/>
        <v/>
      </c>
      <c r="BM24" s="182" t="str">
        <f t="shared" si="22"/>
        <v/>
      </c>
      <c r="BN24" s="182" t="str">
        <f t="shared" si="22"/>
        <v/>
      </c>
      <c r="BO24" s="182" t="str">
        <f t="shared" si="23"/>
        <v/>
      </c>
      <c r="BP24" s="182" t="str">
        <f t="shared" si="23"/>
        <v/>
      </c>
      <c r="BQ24" s="182" t="str">
        <f t="shared" si="23"/>
        <v/>
      </c>
      <c r="BR24" s="182" t="str">
        <f t="shared" si="23"/>
        <v/>
      </c>
      <c r="BS24" s="182" t="str">
        <f t="shared" si="23"/>
        <v/>
      </c>
      <c r="BT24" s="182" t="str">
        <f t="shared" si="23"/>
        <v/>
      </c>
      <c r="BU24" s="182" t="str">
        <f t="shared" si="23"/>
        <v/>
      </c>
      <c r="BV24" s="182" t="str">
        <f t="shared" si="23"/>
        <v/>
      </c>
      <c r="BW24" s="182" t="str">
        <f t="shared" si="23"/>
        <v/>
      </c>
      <c r="BX24" s="182" t="str">
        <f t="shared" si="23"/>
        <v/>
      </c>
      <c r="BY24" s="182" t="str">
        <f t="shared" si="23"/>
        <v/>
      </c>
      <c r="BZ24" s="182" t="str">
        <f t="shared" si="23"/>
        <v/>
      </c>
      <c r="CA24" s="182" t="str">
        <f t="shared" si="23"/>
        <v/>
      </c>
      <c r="CB24" s="182" t="str">
        <f t="shared" si="23"/>
        <v/>
      </c>
      <c r="CC24" s="182" t="str">
        <f t="shared" si="23"/>
        <v/>
      </c>
      <c r="CD24" s="182" t="str">
        <f t="shared" si="23"/>
        <v/>
      </c>
      <c r="CE24" s="182" t="str">
        <f t="shared" si="19"/>
        <v/>
      </c>
      <c r="CF24" s="182" t="str">
        <f t="shared" si="19"/>
        <v/>
      </c>
      <c r="CG24" s="182" t="str">
        <f t="shared" si="19"/>
        <v/>
      </c>
      <c r="CH24" s="182" t="str">
        <f t="shared" si="19"/>
        <v/>
      </c>
      <c r="CI24" s="182" t="str">
        <f t="shared" si="19"/>
        <v/>
      </c>
      <c r="CJ24" s="182" t="str">
        <f t="shared" si="19"/>
        <v/>
      </c>
      <c r="CK24" s="182" t="str">
        <f t="shared" si="19"/>
        <v/>
      </c>
      <c r="CL24" s="182" t="str">
        <f t="shared" si="19"/>
        <v/>
      </c>
      <c r="CM24" s="182" t="str">
        <f t="shared" si="19"/>
        <v/>
      </c>
      <c r="CN24" s="182" t="str">
        <f t="shared" si="19"/>
        <v/>
      </c>
      <c r="CO24" s="182" t="str">
        <f t="shared" si="19"/>
        <v/>
      </c>
      <c r="CP24" s="182" t="str">
        <f t="shared" si="19"/>
        <v/>
      </c>
      <c r="CQ24" s="182" t="str">
        <f t="shared" si="19"/>
        <v/>
      </c>
      <c r="CR24" s="182" t="str">
        <f t="shared" si="19"/>
        <v/>
      </c>
      <c r="CS24" s="182" t="str">
        <f t="shared" si="19"/>
        <v/>
      </c>
      <c r="CT24" s="182" t="str">
        <f t="shared" si="24"/>
        <v/>
      </c>
      <c r="CU24" s="182" t="str">
        <f t="shared" si="24"/>
        <v/>
      </c>
      <c r="CV24" s="182" t="str">
        <f t="shared" si="24"/>
        <v/>
      </c>
      <c r="CW24" s="182" t="str">
        <f t="shared" si="24"/>
        <v/>
      </c>
      <c r="CX24" s="182" t="str">
        <f t="shared" si="24"/>
        <v/>
      </c>
      <c r="CY24" s="182" t="str">
        <f t="shared" si="24"/>
        <v/>
      </c>
      <c r="CZ24" s="182" t="str">
        <f t="shared" si="24"/>
        <v/>
      </c>
      <c r="DA24" s="182" t="str">
        <f t="shared" si="24"/>
        <v/>
      </c>
      <c r="DB24" s="182" t="str">
        <f t="shared" si="24"/>
        <v/>
      </c>
      <c r="DC24" s="182" t="str">
        <f t="shared" si="24"/>
        <v/>
      </c>
      <c r="DD24" s="182" t="str">
        <f t="shared" si="24"/>
        <v/>
      </c>
      <c r="DE24" s="182" t="str">
        <f t="shared" si="24"/>
        <v/>
      </c>
      <c r="DF24" s="182" t="str">
        <f t="shared" si="24"/>
        <v/>
      </c>
      <c r="DG24" s="182" t="str">
        <f t="shared" si="24"/>
        <v/>
      </c>
      <c r="DH24" s="182" t="str">
        <f t="shared" si="24"/>
        <v/>
      </c>
      <c r="DI24" s="182" t="str">
        <f t="shared" si="24"/>
        <v/>
      </c>
      <c r="DJ24" s="182" t="str">
        <f t="shared" si="25"/>
        <v/>
      </c>
      <c r="DK24" s="182" t="str">
        <f t="shared" si="25"/>
        <v/>
      </c>
      <c r="DL24" s="182" t="str">
        <f t="shared" si="25"/>
        <v/>
      </c>
      <c r="DM24" s="182" t="str">
        <f t="shared" si="25"/>
        <v/>
      </c>
      <c r="DN24" s="182" t="str">
        <f t="shared" si="25"/>
        <v/>
      </c>
      <c r="DO24" s="182" t="str">
        <f t="shared" si="25"/>
        <v/>
      </c>
      <c r="DP24" s="182" t="str">
        <f t="shared" si="25"/>
        <v/>
      </c>
      <c r="DQ24" s="182" t="str">
        <f t="shared" si="25"/>
        <v/>
      </c>
      <c r="DR24" s="182" t="str">
        <f t="shared" si="25"/>
        <v/>
      </c>
      <c r="DS24" s="182" t="str">
        <f t="shared" si="25"/>
        <v/>
      </c>
      <c r="DT24" s="182" t="str">
        <f t="shared" si="25"/>
        <v/>
      </c>
      <c r="DU24" s="182" t="str">
        <f t="shared" si="25"/>
        <v/>
      </c>
      <c r="DV24" s="182" t="str">
        <f t="shared" si="25"/>
        <v/>
      </c>
      <c r="DW24" s="182" t="str">
        <f t="shared" si="25"/>
        <v/>
      </c>
      <c r="DX24" s="182" t="str">
        <f t="shared" si="25"/>
        <v/>
      </c>
      <c r="DY24" s="182" t="str">
        <f t="shared" si="25"/>
        <v/>
      </c>
      <c r="DZ24" s="182" t="str">
        <f t="shared" si="26"/>
        <v/>
      </c>
      <c r="EA24" s="182" t="str">
        <f t="shared" si="26"/>
        <v/>
      </c>
      <c r="EB24" s="182" t="str">
        <f t="shared" si="26"/>
        <v/>
      </c>
      <c r="EC24" s="182" t="str">
        <f t="shared" si="26"/>
        <v/>
      </c>
      <c r="ED24" s="182" t="str">
        <f t="shared" si="26"/>
        <v/>
      </c>
      <c r="EE24" s="182" t="str">
        <f t="shared" si="26"/>
        <v/>
      </c>
      <c r="EF24" s="182" t="str">
        <f t="shared" si="26"/>
        <v/>
      </c>
      <c r="EG24" s="182" t="str">
        <f t="shared" si="26"/>
        <v/>
      </c>
      <c r="EH24" s="182" t="str">
        <f t="shared" si="26"/>
        <v/>
      </c>
      <c r="EI24" s="182" t="str">
        <f t="shared" si="26"/>
        <v/>
      </c>
      <c r="EJ24" s="182" t="str">
        <f t="shared" si="26"/>
        <v/>
      </c>
      <c r="EK24" s="182" t="str">
        <f t="shared" si="26"/>
        <v/>
      </c>
      <c r="EL24" s="182" t="str">
        <f t="shared" si="26"/>
        <v/>
      </c>
      <c r="EM24" s="182" t="str">
        <f t="shared" si="26"/>
        <v/>
      </c>
      <c r="EN24" s="182" t="str">
        <f t="shared" si="26"/>
        <v/>
      </c>
      <c r="EO24" s="182" t="str">
        <f t="shared" si="26"/>
        <v/>
      </c>
      <c r="EP24" s="182" t="str">
        <f t="shared" si="20"/>
        <v/>
      </c>
      <c r="EQ24" s="182" t="str">
        <f t="shared" si="20"/>
        <v/>
      </c>
      <c r="ER24" s="182" t="str">
        <f t="shared" si="15"/>
        <v/>
      </c>
      <c r="ES24" s="182" t="str">
        <f t="shared" si="15"/>
        <v/>
      </c>
      <c r="ET24" s="182" t="str">
        <f t="shared" si="15"/>
        <v/>
      </c>
      <c r="EU24" s="182" t="str">
        <f t="shared" si="15"/>
        <v/>
      </c>
      <c r="EV24" s="182" t="str">
        <f t="shared" si="15"/>
        <v/>
      </c>
      <c r="EW24" s="182" t="str">
        <f t="shared" si="15"/>
        <v/>
      </c>
      <c r="EX24" s="182" t="str">
        <f t="shared" si="15"/>
        <v/>
      </c>
      <c r="EY24" s="182" t="str">
        <f t="shared" si="15"/>
        <v/>
      </c>
      <c r="EZ24" s="182" t="str">
        <f t="shared" si="15"/>
        <v/>
      </c>
      <c r="FA24" s="182" t="str">
        <f t="shared" si="15"/>
        <v/>
      </c>
      <c r="FB24" s="182" t="str">
        <f t="shared" si="15"/>
        <v/>
      </c>
      <c r="FC24" s="182" t="str">
        <f t="shared" si="15"/>
        <v/>
      </c>
      <c r="FD24" s="182" t="str">
        <f t="shared" si="15"/>
        <v/>
      </c>
      <c r="FE24" s="182" t="str">
        <f t="shared" si="15"/>
        <v/>
      </c>
      <c r="FF24" s="182" t="str">
        <f t="shared" si="15"/>
        <v/>
      </c>
      <c r="FG24" s="182" t="str">
        <f t="shared" si="15"/>
        <v/>
      </c>
      <c r="FH24" s="182" t="str">
        <f t="shared" si="16"/>
        <v/>
      </c>
      <c r="FI24" s="182" t="str">
        <f t="shared" si="16"/>
        <v/>
      </c>
      <c r="FJ24" s="182" t="str">
        <f t="shared" si="16"/>
        <v/>
      </c>
      <c r="FK24" s="182" t="str">
        <f t="shared" si="16"/>
        <v/>
      </c>
      <c r="FL24" s="182" t="str">
        <f t="shared" si="16"/>
        <v/>
      </c>
      <c r="FM24" s="182" t="str">
        <f t="shared" si="16"/>
        <v/>
      </c>
      <c r="FN24" s="182" t="str">
        <f t="shared" si="16"/>
        <v/>
      </c>
      <c r="FO24" s="182" t="str">
        <f t="shared" si="16"/>
        <v/>
      </c>
      <c r="FP24" s="182" t="str">
        <f t="shared" si="16"/>
        <v/>
      </c>
      <c r="FQ24" s="182" t="str">
        <f t="shared" si="16"/>
        <v/>
      </c>
      <c r="FR24" s="182" t="str">
        <f t="shared" si="16"/>
        <v/>
      </c>
      <c r="FS24" s="182" t="str">
        <f t="shared" si="16"/>
        <v/>
      </c>
      <c r="FT24" s="182" t="str">
        <f t="shared" si="16"/>
        <v/>
      </c>
      <c r="FU24" s="182" t="str">
        <f t="shared" si="16"/>
        <v/>
      </c>
      <c r="FV24" s="182" t="str">
        <f t="shared" si="16"/>
        <v/>
      </c>
      <c r="FW24" s="182" t="str">
        <f t="shared" si="16"/>
        <v/>
      </c>
      <c r="FX24" s="182" t="str">
        <f t="shared" si="17"/>
        <v/>
      </c>
      <c r="FY24" s="182" t="str">
        <f t="shared" si="17"/>
        <v/>
      </c>
      <c r="FZ24" s="182" t="str">
        <f t="shared" si="17"/>
        <v/>
      </c>
      <c r="GA24" s="182" t="str">
        <f t="shared" si="17"/>
        <v/>
      </c>
      <c r="GB24" s="182" t="str">
        <f t="shared" si="17"/>
        <v/>
      </c>
      <c r="GC24" s="182" t="str">
        <f t="shared" si="17"/>
        <v/>
      </c>
      <c r="GD24" s="182" t="str">
        <f t="shared" si="17"/>
        <v/>
      </c>
      <c r="GE24" s="182" t="str">
        <f t="shared" si="17"/>
        <v/>
      </c>
      <c r="GF24" s="182" t="str">
        <f t="shared" si="17"/>
        <v/>
      </c>
      <c r="GG24" s="182" t="str">
        <f t="shared" si="17"/>
        <v/>
      </c>
      <c r="GH24" s="182" t="str">
        <f t="shared" si="17"/>
        <v/>
      </c>
      <c r="GI24" s="182" t="str">
        <f t="shared" si="17"/>
        <v/>
      </c>
      <c r="GJ24" s="182" t="str">
        <f t="shared" si="17"/>
        <v/>
      </c>
      <c r="GK24" s="182" t="str">
        <f t="shared" si="17"/>
        <v/>
      </c>
      <c r="GL24" s="182" t="str">
        <f t="shared" si="17"/>
        <v/>
      </c>
      <c r="GM24" s="182" t="str">
        <f t="shared" si="17"/>
        <v/>
      </c>
      <c r="GN24" s="182" t="str">
        <f t="shared" si="18"/>
        <v/>
      </c>
      <c r="GO24" s="182" t="str">
        <f t="shared" si="18"/>
        <v/>
      </c>
      <c r="GP24" s="182" t="str">
        <f t="shared" si="18"/>
        <v/>
      </c>
    </row>
    <row r="25" spans="2:198" x14ac:dyDescent="0.3">
      <c r="B25" s="184">
        <f>'MF Rent Roll'!B24</f>
        <v>0</v>
      </c>
      <c r="C25" s="171">
        <f>'MF Rent Roll'!C24</f>
        <v>0</v>
      </c>
      <c r="D25" s="172">
        <f>'MF Rent Roll'!D24</f>
        <v>0</v>
      </c>
      <c r="E25" s="172">
        <f>'MF Rent Roll'!E24</f>
        <v>0</v>
      </c>
      <c r="F25" s="173">
        <f>'MF Rent Roll'!F24</f>
        <v>0</v>
      </c>
      <c r="G25" s="174">
        <f>'MF Rent Roll'!G24</f>
        <v>0</v>
      </c>
      <c r="H25" s="176">
        <f>'MF Rent Roll'!J24</f>
        <v>0</v>
      </c>
      <c r="I25" s="174">
        <f>'MF Rent Roll'!K24</f>
        <v>0</v>
      </c>
      <c r="J25" s="177">
        <f>'MF Rent Roll'!L24</f>
        <v>0</v>
      </c>
      <c r="K25" s="178">
        <f>'MF Rent Roll'!M24</f>
        <v>0</v>
      </c>
      <c r="L25" s="174">
        <f>'MF Rent Roll'!N24</f>
        <v>0</v>
      </c>
      <c r="M25" s="179">
        <f>'MF Rent Roll'!O24</f>
        <v>0</v>
      </c>
      <c r="N25" s="180" t="str">
        <f>'MF Rent Roll'!P24</f>
        <v/>
      </c>
      <c r="O25" s="181" t="str">
        <f>'MF Rent Roll'!Q24</f>
        <v/>
      </c>
      <c r="P25" s="104" t="str">
        <f>'MF Rent Roll'!R24</f>
        <v/>
      </c>
      <c r="S25" s="182" t="str">
        <f t="shared" si="12"/>
        <v/>
      </c>
      <c r="T25" s="182" t="str">
        <f t="shared" si="12"/>
        <v/>
      </c>
      <c r="U25" s="182" t="str">
        <f t="shared" si="12"/>
        <v/>
      </c>
      <c r="V25" s="182" t="str">
        <f t="shared" si="12"/>
        <v/>
      </c>
      <c r="W25" s="182" t="str">
        <f t="shared" si="12"/>
        <v/>
      </c>
      <c r="X25" s="182" t="str">
        <f t="shared" si="12"/>
        <v/>
      </c>
      <c r="Y25" s="182" t="str">
        <f t="shared" si="12"/>
        <v/>
      </c>
      <c r="Z25" s="182" t="str">
        <f t="shared" si="12"/>
        <v/>
      </c>
      <c r="AA25" s="182" t="str">
        <f t="shared" si="12"/>
        <v/>
      </c>
      <c r="AB25" s="182" t="str">
        <f t="shared" si="12"/>
        <v/>
      </c>
      <c r="AC25" s="182" t="str">
        <f t="shared" si="12"/>
        <v/>
      </c>
      <c r="AD25" s="182" t="str">
        <f t="shared" si="12"/>
        <v/>
      </c>
      <c r="AE25" s="182" t="str">
        <f t="shared" si="12"/>
        <v/>
      </c>
      <c r="AF25" s="182" t="str">
        <f t="shared" si="12"/>
        <v/>
      </c>
      <c r="AG25" s="182" t="str">
        <f t="shared" si="12"/>
        <v/>
      </c>
      <c r="AH25" s="182" t="str">
        <f t="shared" si="12"/>
        <v/>
      </c>
      <c r="AI25" s="182" t="str">
        <f t="shared" si="21"/>
        <v/>
      </c>
      <c r="AJ25" s="182" t="str">
        <f t="shared" si="21"/>
        <v/>
      </c>
      <c r="AK25" s="182" t="str">
        <f t="shared" si="21"/>
        <v/>
      </c>
      <c r="AL25" s="182" t="str">
        <f t="shared" si="21"/>
        <v/>
      </c>
      <c r="AM25" s="182" t="str">
        <f t="shared" si="21"/>
        <v/>
      </c>
      <c r="AN25" s="182" t="str">
        <f t="shared" si="21"/>
        <v/>
      </c>
      <c r="AO25" s="182" t="str">
        <f t="shared" si="21"/>
        <v/>
      </c>
      <c r="AP25" s="182" t="str">
        <f t="shared" si="21"/>
        <v/>
      </c>
      <c r="AQ25" s="182" t="str">
        <f t="shared" si="21"/>
        <v/>
      </c>
      <c r="AR25" s="182" t="str">
        <f t="shared" si="21"/>
        <v/>
      </c>
      <c r="AS25" s="182" t="str">
        <f t="shared" si="21"/>
        <v/>
      </c>
      <c r="AT25" s="182" t="str">
        <f t="shared" si="21"/>
        <v/>
      </c>
      <c r="AU25" s="182" t="str">
        <f t="shared" si="21"/>
        <v/>
      </c>
      <c r="AV25" s="182" t="str">
        <f t="shared" si="21"/>
        <v/>
      </c>
      <c r="AW25" s="182" t="str">
        <f t="shared" si="21"/>
        <v/>
      </c>
      <c r="AX25" s="182" t="str">
        <f t="shared" si="21"/>
        <v/>
      </c>
      <c r="AY25" s="182" t="str">
        <f t="shared" si="22"/>
        <v/>
      </c>
      <c r="AZ25" s="182" t="str">
        <f t="shared" si="22"/>
        <v/>
      </c>
      <c r="BA25" s="182" t="str">
        <f t="shared" si="22"/>
        <v/>
      </c>
      <c r="BB25" s="182" t="str">
        <f t="shared" si="22"/>
        <v/>
      </c>
      <c r="BC25" s="182" t="str">
        <f t="shared" si="22"/>
        <v/>
      </c>
      <c r="BD25" s="182" t="str">
        <f t="shared" si="22"/>
        <v/>
      </c>
      <c r="BE25" s="182" t="str">
        <f t="shared" si="22"/>
        <v/>
      </c>
      <c r="BF25" s="182" t="str">
        <f t="shared" si="22"/>
        <v/>
      </c>
      <c r="BG25" s="182" t="str">
        <f t="shared" si="22"/>
        <v/>
      </c>
      <c r="BH25" s="182" t="str">
        <f t="shared" si="22"/>
        <v/>
      </c>
      <c r="BI25" s="182" t="str">
        <f t="shared" si="22"/>
        <v/>
      </c>
      <c r="BJ25" s="182" t="str">
        <f t="shared" si="22"/>
        <v/>
      </c>
      <c r="BK25" s="182" t="str">
        <f t="shared" si="22"/>
        <v/>
      </c>
      <c r="BL25" s="182" t="str">
        <f t="shared" si="22"/>
        <v/>
      </c>
      <c r="BM25" s="182" t="str">
        <f t="shared" si="22"/>
        <v/>
      </c>
      <c r="BN25" s="182" t="str">
        <f t="shared" si="22"/>
        <v/>
      </c>
      <c r="BO25" s="182" t="str">
        <f t="shared" si="23"/>
        <v/>
      </c>
      <c r="BP25" s="182" t="str">
        <f t="shared" si="23"/>
        <v/>
      </c>
      <c r="BQ25" s="182" t="str">
        <f t="shared" si="23"/>
        <v/>
      </c>
      <c r="BR25" s="182" t="str">
        <f t="shared" si="23"/>
        <v/>
      </c>
      <c r="BS25" s="182" t="str">
        <f t="shared" si="23"/>
        <v/>
      </c>
      <c r="BT25" s="182" t="str">
        <f t="shared" si="23"/>
        <v/>
      </c>
      <c r="BU25" s="182" t="str">
        <f t="shared" si="23"/>
        <v/>
      </c>
      <c r="BV25" s="182" t="str">
        <f t="shared" si="23"/>
        <v/>
      </c>
      <c r="BW25" s="182" t="str">
        <f t="shared" si="23"/>
        <v/>
      </c>
      <c r="BX25" s="182" t="str">
        <f t="shared" si="23"/>
        <v/>
      </c>
      <c r="BY25" s="182" t="str">
        <f t="shared" si="23"/>
        <v/>
      </c>
      <c r="BZ25" s="182" t="str">
        <f t="shared" si="23"/>
        <v/>
      </c>
      <c r="CA25" s="182" t="str">
        <f t="shared" si="23"/>
        <v/>
      </c>
      <c r="CB25" s="182" t="str">
        <f t="shared" si="23"/>
        <v/>
      </c>
      <c r="CC25" s="182" t="str">
        <f t="shared" si="23"/>
        <v/>
      </c>
      <c r="CD25" s="182" t="str">
        <f t="shared" si="23"/>
        <v/>
      </c>
      <c r="CE25" s="182" t="str">
        <f t="shared" si="19"/>
        <v/>
      </c>
      <c r="CF25" s="182" t="str">
        <f t="shared" si="19"/>
        <v/>
      </c>
      <c r="CG25" s="182" t="str">
        <f t="shared" si="19"/>
        <v/>
      </c>
      <c r="CH25" s="182" t="str">
        <f t="shared" si="19"/>
        <v/>
      </c>
      <c r="CI25" s="182" t="str">
        <f t="shared" si="19"/>
        <v/>
      </c>
      <c r="CJ25" s="182" t="str">
        <f t="shared" si="19"/>
        <v/>
      </c>
      <c r="CK25" s="182" t="str">
        <f t="shared" si="19"/>
        <v/>
      </c>
      <c r="CL25" s="182" t="str">
        <f t="shared" si="19"/>
        <v/>
      </c>
      <c r="CM25" s="182" t="str">
        <f t="shared" si="19"/>
        <v/>
      </c>
      <c r="CN25" s="182" t="str">
        <f t="shared" si="19"/>
        <v/>
      </c>
      <c r="CO25" s="182" t="str">
        <f t="shared" si="19"/>
        <v/>
      </c>
      <c r="CP25" s="182" t="str">
        <f t="shared" si="19"/>
        <v/>
      </c>
      <c r="CQ25" s="182" t="str">
        <f t="shared" si="19"/>
        <v/>
      </c>
      <c r="CR25" s="182" t="str">
        <f t="shared" si="19"/>
        <v/>
      </c>
      <c r="CS25" s="182" t="str">
        <f t="shared" si="19"/>
        <v/>
      </c>
      <c r="CT25" s="182" t="str">
        <f t="shared" si="24"/>
        <v/>
      </c>
      <c r="CU25" s="182" t="str">
        <f t="shared" si="24"/>
        <v/>
      </c>
      <c r="CV25" s="182" t="str">
        <f t="shared" si="24"/>
        <v/>
      </c>
      <c r="CW25" s="182" t="str">
        <f t="shared" si="24"/>
        <v/>
      </c>
      <c r="CX25" s="182" t="str">
        <f t="shared" si="24"/>
        <v/>
      </c>
      <c r="CY25" s="182" t="str">
        <f t="shared" si="24"/>
        <v/>
      </c>
      <c r="CZ25" s="182" t="str">
        <f t="shared" si="24"/>
        <v/>
      </c>
      <c r="DA25" s="182" t="str">
        <f t="shared" si="24"/>
        <v/>
      </c>
      <c r="DB25" s="182" t="str">
        <f t="shared" si="24"/>
        <v/>
      </c>
      <c r="DC25" s="182" t="str">
        <f t="shared" si="24"/>
        <v/>
      </c>
      <c r="DD25" s="182" t="str">
        <f t="shared" si="24"/>
        <v/>
      </c>
      <c r="DE25" s="182" t="str">
        <f t="shared" si="24"/>
        <v/>
      </c>
      <c r="DF25" s="182" t="str">
        <f t="shared" si="24"/>
        <v/>
      </c>
      <c r="DG25" s="182" t="str">
        <f t="shared" si="24"/>
        <v/>
      </c>
      <c r="DH25" s="182" t="str">
        <f t="shared" si="24"/>
        <v/>
      </c>
      <c r="DI25" s="182" t="str">
        <f t="shared" si="24"/>
        <v/>
      </c>
      <c r="DJ25" s="182" t="str">
        <f t="shared" si="25"/>
        <v/>
      </c>
      <c r="DK25" s="182" t="str">
        <f t="shared" si="25"/>
        <v/>
      </c>
      <c r="DL25" s="182" t="str">
        <f t="shared" si="25"/>
        <v/>
      </c>
      <c r="DM25" s="182" t="str">
        <f t="shared" si="25"/>
        <v/>
      </c>
      <c r="DN25" s="182" t="str">
        <f t="shared" si="25"/>
        <v/>
      </c>
      <c r="DO25" s="182" t="str">
        <f t="shared" si="25"/>
        <v/>
      </c>
      <c r="DP25" s="182" t="str">
        <f t="shared" si="25"/>
        <v/>
      </c>
      <c r="DQ25" s="182" t="str">
        <f t="shared" si="25"/>
        <v/>
      </c>
      <c r="DR25" s="182" t="str">
        <f t="shared" si="25"/>
        <v/>
      </c>
      <c r="DS25" s="182" t="str">
        <f t="shared" si="25"/>
        <v/>
      </c>
      <c r="DT25" s="182" t="str">
        <f t="shared" si="25"/>
        <v/>
      </c>
      <c r="DU25" s="182" t="str">
        <f t="shared" si="25"/>
        <v/>
      </c>
      <c r="DV25" s="182" t="str">
        <f t="shared" si="25"/>
        <v/>
      </c>
      <c r="DW25" s="182" t="str">
        <f t="shared" si="25"/>
        <v/>
      </c>
      <c r="DX25" s="182" t="str">
        <f t="shared" si="25"/>
        <v/>
      </c>
      <c r="DY25" s="182" t="str">
        <f t="shared" si="25"/>
        <v/>
      </c>
      <c r="DZ25" s="182" t="str">
        <f t="shared" si="26"/>
        <v/>
      </c>
      <c r="EA25" s="182" t="str">
        <f t="shared" si="26"/>
        <v/>
      </c>
      <c r="EB25" s="182" t="str">
        <f t="shared" si="26"/>
        <v/>
      </c>
      <c r="EC25" s="182" t="str">
        <f t="shared" si="26"/>
        <v/>
      </c>
      <c r="ED25" s="182" t="str">
        <f t="shared" si="26"/>
        <v/>
      </c>
      <c r="EE25" s="182" t="str">
        <f t="shared" si="26"/>
        <v/>
      </c>
      <c r="EF25" s="182" t="str">
        <f t="shared" si="26"/>
        <v/>
      </c>
      <c r="EG25" s="182" t="str">
        <f t="shared" si="26"/>
        <v/>
      </c>
      <c r="EH25" s="182" t="str">
        <f t="shared" si="26"/>
        <v/>
      </c>
      <c r="EI25" s="182" t="str">
        <f t="shared" si="26"/>
        <v/>
      </c>
      <c r="EJ25" s="182" t="str">
        <f t="shared" si="26"/>
        <v/>
      </c>
      <c r="EK25" s="182" t="str">
        <f t="shared" si="26"/>
        <v/>
      </c>
      <c r="EL25" s="182" t="str">
        <f t="shared" si="26"/>
        <v/>
      </c>
      <c r="EM25" s="182" t="str">
        <f t="shared" si="26"/>
        <v/>
      </c>
      <c r="EN25" s="182" t="str">
        <f t="shared" si="26"/>
        <v/>
      </c>
      <c r="EO25" s="182" t="str">
        <f t="shared" si="26"/>
        <v/>
      </c>
      <c r="EP25" s="182" t="str">
        <f t="shared" si="20"/>
        <v/>
      </c>
      <c r="EQ25" s="182" t="str">
        <f t="shared" si="20"/>
        <v/>
      </c>
      <c r="ER25" s="182" t="str">
        <f t="shared" si="15"/>
        <v/>
      </c>
      <c r="ES25" s="182" t="str">
        <f t="shared" si="15"/>
        <v/>
      </c>
      <c r="ET25" s="182" t="str">
        <f t="shared" si="15"/>
        <v/>
      </c>
      <c r="EU25" s="182" t="str">
        <f t="shared" si="15"/>
        <v/>
      </c>
      <c r="EV25" s="182" t="str">
        <f t="shared" si="15"/>
        <v/>
      </c>
      <c r="EW25" s="182" t="str">
        <f t="shared" si="15"/>
        <v/>
      </c>
      <c r="EX25" s="182" t="str">
        <f t="shared" si="15"/>
        <v/>
      </c>
      <c r="EY25" s="182" t="str">
        <f t="shared" si="15"/>
        <v/>
      </c>
      <c r="EZ25" s="182" t="str">
        <f t="shared" si="15"/>
        <v/>
      </c>
      <c r="FA25" s="182" t="str">
        <f t="shared" si="15"/>
        <v/>
      </c>
      <c r="FB25" s="182" t="str">
        <f t="shared" si="15"/>
        <v/>
      </c>
      <c r="FC25" s="182" t="str">
        <f t="shared" si="15"/>
        <v/>
      </c>
      <c r="FD25" s="182" t="str">
        <f t="shared" si="15"/>
        <v/>
      </c>
      <c r="FE25" s="182" t="str">
        <f t="shared" si="15"/>
        <v/>
      </c>
      <c r="FF25" s="182" t="str">
        <f t="shared" si="15"/>
        <v/>
      </c>
      <c r="FG25" s="182" t="str">
        <f t="shared" si="15"/>
        <v/>
      </c>
      <c r="FH25" s="182" t="str">
        <f t="shared" si="16"/>
        <v/>
      </c>
      <c r="FI25" s="182" t="str">
        <f t="shared" si="16"/>
        <v/>
      </c>
      <c r="FJ25" s="182" t="str">
        <f t="shared" si="16"/>
        <v/>
      </c>
      <c r="FK25" s="182" t="str">
        <f t="shared" si="16"/>
        <v/>
      </c>
      <c r="FL25" s="182" t="str">
        <f t="shared" si="16"/>
        <v/>
      </c>
      <c r="FM25" s="182" t="str">
        <f t="shared" si="16"/>
        <v/>
      </c>
      <c r="FN25" s="182" t="str">
        <f t="shared" si="16"/>
        <v/>
      </c>
      <c r="FO25" s="182" t="str">
        <f t="shared" si="16"/>
        <v/>
      </c>
      <c r="FP25" s="182" t="str">
        <f t="shared" si="16"/>
        <v/>
      </c>
      <c r="FQ25" s="182" t="str">
        <f t="shared" si="16"/>
        <v/>
      </c>
      <c r="FR25" s="182" t="str">
        <f t="shared" si="16"/>
        <v/>
      </c>
      <c r="FS25" s="182" t="str">
        <f t="shared" si="16"/>
        <v/>
      </c>
      <c r="FT25" s="182" t="str">
        <f t="shared" si="16"/>
        <v/>
      </c>
      <c r="FU25" s="182" t="str">
        <f t="shared" si="16"/>
        <v/>
      </c>
      <c r="FV25" s="182" t="str">
        <f t="shared" si="16"/>
        <v/>
      </c>
      <c r="FW25" s="182" t="str">
        <f t="shared" si="16"/>
        <v/>
      </c>
      <c r="FX25" s="182" t="str">
        <f t="shared" si="17"/>
        <v/>
      </c>
      <c r="FY25" s="182" t="str">
        <f t="shared" si="17"/>
        <v/>
      </c>
      <c r="FZ25" s="182" t="str">
        <f t="shared" si="17"/>
        <v/>
      </c>
      <c r="GA25" s="182" t="str">
        <f t="shared" si="17"/>
        <v/>
      </c>
      <c r="GB25" s="182" t="str">
        <f t="shared" si="17"/>
        <v/>
      </c>
      <c r="GC25" s="182" t="str">
        <f t="shared" si="17"/>
        <v/>
      </c>
      <c r="GD25" s="182" t="str">
        <f t="shared" si="17"/>
        <v/>
      </c>
      <c r="GE25" s="182" t="str">
        <f t="shared" si="17"/>
        <v/>
      </c>
      <c r="GF25" s="182" t="str">
        <f t="shared" si="17"/>
        <v/>
      </c>
      <c r="GG25" s="182" t="str">
        <f t="shared" si="17"/>
        <v/>
      </c>
      <c r="GH25" s="182" t="str">
        <f t="shared" si="17"/>
        <v/>
      </c>
      <c r="GI25" s="182" t="str">
        <f t="shared" si="17"/>
        <v/>
      </c>
      <c r="GJ25" s="182" t="str">
        <f t="shared" si="17"/>
        <v/>
      </c>
      <c r="GK25" s="182" t="str">
        <f t="shared" si="17"/>
        <v/>
      </c>
      <c r="GL25" s="182" t="str">
        <f t="shared" si="17"/>
        <v/>
      </c>
      <c r="GM25" s="182" t="str">
        <f t="shared" si="17"/>
        <v/>
      </c>
      <c r="GN25" s="182" t="str">
        <f t="shared" si="18"/>
        <v/>
      </c>
      <c r="GO25" s="182" t="str">
        <f t="shared" si="18"/>
        <v/>
      </c>
      <c r="GP25" s="182" t="str">
        <f t="shared" si="18"/>
        <v/>
      </c>
    </row>
    <row r="26" spans="2:198" x14ac:dyDescent="0.3">
      <c r="B26" s="184">
        <f>'MF Rent Roll'!B25</f>
        <v>0</v>
      </c>
      <c r="C26" s="171">
        <f>'MF Rent Roll'!C25</f>
        <v>0</v>
      </c>
      <c r="D26" s="172">
        <f>'MF Rent Roll'!D25</f>
        <v>0</v>
      </c>
      <c r="E26" s="172">
        <f>'MF Rent Roll'!E25</f>
        <v>0</v>
      </c>
      <c r="F26" s="173">
        <f>'MF Rent Roll'!F25</f>
        <v>0</v>
      </c>
      <c r="G26" s="174">
        <f>'MF Rent Roll'!G25</f>
        <v>0</v>
      </c>
      <c r="H26" s="176">
        <f>'MF Rent Roll'!J25</f>
        <v>0</v>
      </c>
      <c r="I26" s="174">
        <f>'MF Rent Roll'!K25</f>
        <v>0</v>
      </c>
      <c r="J26" s="177">
        <f>'MF Rent Roll'!L25</f>
        <v>0</v>
      </c>
      <c r="K26" s="178">
        <f>'MF Rent Roll'!M25</f>
        <v>0</v>
      </c>
      <c r="L26" s="174">
        <f>'MF Rent Roll'!N25</f>
        <v>0</v>
      </c>
      <c r="M26" s="179">
        <f>'MF Rent Roll'!O25</f>
        <v>0</v>
      </c>
      <c r="N26" s="180" t="str">
        <f>'MF Rent Roll'!P25</f>
        <v/>
      </c>
      <c r="O26" s="181" t="str">
        <f>'MF Rent Roll'!Q25</f>
        <v/>
      </c>
      <c r="P26" s="104" t="str">
        <f>'MF Rent Roll'!R25</f>
        <v/>
      </c>
      <c r="S26" s="182" t="str">
        <f t="shared" si="12"/>
        <v/>
      </c>
      <c r="T26" s="182" t="str">
        <f t="shared" si="12"/>
        <v/>
      </c>
      <c r="U26" s="182" t="str">
        <f t="shared" si="12"/>
        <v/>
      </c>
      <c r="V26" s="182" t="str">
        <f t="shared" si="12"/>
        <v/>
      </c>
      <c r="W26" s="182" t="str">
        <f t="shared" si="12"/>
        <v/>
      </c>
      <c r="X26" s="182" t="str">
        <f t="shared" si="12"/>
        <v/>
      </c>
      <c r="Y26" s="182" t="str">
        <f t="shared" si="12"/>
        <v/>
      </c>
      <c r="Z26" s="182" t="str">
        <f t="shared" si="12"/>
        <v/>
      </c>
      <c r="AA26" s="182" t="str">
        <f t="shared" si="12"/>
        <v/>
      </c>
      <c r="AB26" s="182" t="str">
        <f t="shared" si="12"/>
        <v/>
      </c>
      <c r="AC26" s="182" t="str">
        <f t="shared" si="12"/>
        <v/>
      </c>
      <c r="AD26" s="182" t="str">
        <f t="shared" si="12"/>
        <v/>
      </c>
      <c r="AE26" s="182" t="str">
        <f t="shared" si="12"/>
        <v/>
      </c>
      <c r="AF26" s="182" t="str">
        <f t="shared" si="12"/>
        <v/>
      </c>
      <c r="AG26" s="182" t="str">
        <f t="shared" si="12"/>
        <v/>
      </c>
      <c r="AH26" s="182" t="str">
        <f t="shared" si="12"/>
        <v/>
      </c>
      <c r="AI26" s="182" t="str">
        <f t="shared" si="21"/>
        <v/>
      </c>
      <c r="AJ26" s="182" t="str">
        <f t="shared" si="21"/>
        <v/>
      </c>
      <c r="AK26" s="182" t="str">
        <f t="shared" si="21"/>
        <v/>
      </c>
      <c r="AL26" s="182" t="str">
        <f t="shared" si="21"/>
        <v/>
      </c>
      <c r="AM26" s="182" t="str">
        <f t="shared" si="21"/>
        <v/>
      </c>
      <c r="AN26" s="182" t="str">
        <f t="shared" si="21"/>
        <v/>
      </c>
      <c r="AO26" s="182" t="str">
        <f t="shared" si="21"/>
        <v/>
      </c>
      <c r="AP26" s="182" t="str">
        <f t="shared" si="21"/>
        <v/>
      </c>
      <c r="AQ26" s="182" t="str">
        <f t="shared" si="21"/>
        <v/>
      </c>
      <c r="AR26" s="182" t="str">
        <f t="shared" si="21"/>
        <v/>
      </c>
      <c r="AS26" s="182" t="str">
        <f t="shared" si="21"/>
        <v/>
      </c>
      <c r="AT26" s="182" t="str">
        <f t="shared" si="21"/>
        <v/>
      </c>
      <c r="AU26" s="182" t="str">
        <f t="shared" si="21"/>
        <v/>
      </c>
      <c r="AV26" s="182" t="str">
        <f t="shared" si="21"/>
        <v/>
      </c>
      <c r="AW26" s="182" t="str">
        <f t="shared" si="21"/>
        <v/>
      </c>
      <c r="AX26" s="182" t="str">
        <f t="shared" si="21"/>
        <v/>
      </c>
      <c r="AY26" s="182" t="str">
        <f t="shared" si="22"/>
        <v/>
      </c>
      <c r="AZ26" s="182" t="str">
        <f t="shared" si="22"/>
        <v/>
      </c>
      <c r="BA26" s="182" t="str">
        <f t="shared" si="22"/>
        <v/>
      </c>
      <c r="BB26" s="182" t="str">
        <f t="shared" si="22"/>
        <v/>
      </c>
      <c r="BC26" s="182" t="str">
        <f t="shared" si="22"/>
        <v/>
      </c>
      <c r="BD26" s="182" t="str">
        <f t="shared" si="22"/>
        <v/>
      </c>
      <c r="BE26" s="182" t="str">
        <f t="shared" si="22"/>
        <v/>
      </c>
      <c r="BF26" s="182" t="str">
        <f t="shared" si="22"/>
        <v/>
      </c>
      <c r="BG26" s="182" t="str">
        <f t="shared" si="22"/>
        <v/>
      </c>
      <c r="BH26" s="182" t="str">
        <f t="shared" si="22"/>
        <v/>
      </c>
      <c r="BI26" s="182" t="str">
        <f t="shared" si="22"/>
        <v/>
      </c>
      <c r="BJ26" s="182" t="str">
        <f t="shared" si="22"/>
        <v/>
      </c>
      <c r="BK26" s="182" t="str">
        <f t="shared" si="22"/>
        <v/>
      </c>
      <c r="BL26" s="182" t="str">
        <f t="shared" si="22"/>
        <v/>
      </c>
      <c r="BM26" s="182" t="str">
        <f t="shared" si="22"/>
        <v/>
      </c>
      <c r="BN26" s="182" t="str">
        <f t="shared" si="22"/>
        <v/>
      </c>
      <c r="BO26" s="182" t="str">
        <f t="shared" si="23"/>
        <v/>
      </c>
      <c r="BP26" s="182" t="str">
        <f t="shared" si="23"/>
        <v/>
      </c>
      <c r="BQ26" s="182" t="str">
        <f t="shared" si="23"/>
        <v/>
      </c>
      <c r="BR26" s="182" t="str">
        <f t="shared" si="23"/>
        <v/>
      </c>
      <c r="BS26" s="182" t="str">
        <f t="shared" si="23"/>
        <v/>
      </c>
      <c r="BT26" s="182" t="str">
        <f t="shared" si="23"/>
        <v/>
      </c>
      <c r="BU26" s="182" t="str">
        <f t="shared" si="23"/>
        <v/>
      </c>
      <c r="BV26" s="182" t="str">
        <f t="shared" si="23"/>
        <v/>
      </c>
      <c r="BW26" s="182" t="str">
        <f t="shared" si="23"/>
        <v/>
      </c>
      <c r="BX26" s="182" t="str">
        <f t="shared" si="23"/>
        <v/>
      </c>
      <c r="BY26" s="182" t="str">
        <f t="shared" si="23"/>
        <v/>
      </c>
      <c r="BZ26" s="182" t="str">
        <f t="shared" si="23"/>
        <v/>
      </c>
      <c r="CA26" s="182" t="str">
        <f t="shared" si="23"/>
        <v/>
      </c>
      <c r="CB26" s="182" t="str">
        <f t="shared" si="23"/>
        <v/>
      </c>
      <c r="CC26" s="182" t="str">
        <f t="shared" si="23"/>
        <v/>
      </c>
      <c r="CD26" s="182" t="str">
        <f t="shared" si="23"/>
        <v/>
      </c>
      <c r="CE26" s="182" t="str">
        <f t="shared" si="19"/>
        <v/>
      </c>
      <c r="CF26" s="182" t="str">
        <f t="shared" si="19"/>
        <v/>
      </c>
      <c r="CG26" s="182" t="str">
        <f t="shared" si="19"/>
        <v/>
      </c>
      <c r="CH26" s="182" t="str">
        <f t="shared" si="19"/>
        <v/>
      </c>
      <c r="CI26" s="182" t="str">
        <f t="shared" si="19"/>
        <v/>
      </c>
      <c r="CJ26" s="182" t="str">
        <f t="shared" si="19"/>
        <v/>
      </c>
      <c r="CK26" s="182" t="str">
        <f t="shared" si="19"/>
        <v/>
      </c>
      <c r="CL26" s="182" t="str">
        <f t="shared" si="19"/>
        <v/>
      </c>
      <c r="CM26" s="182" t="str">
        <f t="shared" si="19"/>
        <v/>
      </c>
      <c r="CN26" s="182" t="str">
        <f t="shared" si="19"/>
        <v/>
      </c>
      <c r="CO26" s="182" t="str">
        <f t="shared" si="19"/>
        <v/>
      </c>
      <c r="CP26" s="182" t="str">
        <f t="shared" si="19"/>
        <v/>
      </c>
      <c r="CQ26" s="182" t="str">
        <f t="shared" si="19"/>
        <v/>
      </c>
      <c r="CR26" s="182" t="str">
        <f t="shared" si="19"/>
        <v/>
      </c>
      <c r="CS26" s="182" t="str">
        <f t="shared" si="19"/>
        <v/>
      </c>
      <c r="CT26" s="182" t="str">
        <f t="shared" si="24"/>
        <v/>
      </c>
      <c r="CU26" s="182" t="str">
        <f t="shared" si="24"/>
        <v/>
      </c>
      <c r="CV26" s="182" t="str">
        <f t="shared" si="24"/>
        <v/>
      </c>
      <c r="CW26" s="182" t="str">
        <f t="shared" si="24"/>
        <v/>
      </c>
      <c r="CX26" s="182" t="str">
        <f t="shared" si="24"/>
        <v/>
      </c>
      <c r="CY26" s="182" t="str">
        <f t="shared" si="24"/>
        <v/>
      </c>
      <c r="CZ26" s="182" t="str">
        <f t="shared" si="24"/>
        <v/>
      </c>
      <c r="DA26" s="182" t="str">
        <f t="shared" si="24"/>
        <v/>
      </c>
      <c r="DB26" s="182" t="str">
        <f t="shared" si="24"/>
        <v/>
      </c>
      <c r="DC26" s="182" t="str">
        <f t="shared" si="24"/>
        <v/>
      </c>
      <c r="DD26" s="182" t="str">
        <f t="shared" si="24"/>
        <v/>
      </c>
      <c r="DE26" s="182" t="str">
        <f t="shared" si="24"/>
        <v/>
      </c>
      <c r="DF26" s="182" t="str">
        <f t="shared" si="24"/>
        <v/>
      </c>
      <c r="DG26" s="182" t="str">
        <f t="shared" si="24"/>
        <v/>
      </c>
      <c r="DH26" s="182" t="str">
        <f t="shared" si="24"/>
        <v/>
      </c>
      <c r="DI26" s="182" t="str">
        <f t="shared" si="24"/>
        <v/>
      </c>
      <c r="DJ26" s="182" t="str">
        <f t="shared" si="25"/>
        <v/>
      </c>
      <c r="DK26" s="182" t="str">
        <f t="shared" si="25"/>
        <v/>
      </c>
      <c r="DL26" s="182" t="str">
        <f t="shared" si="25"/>
        <v/>
      </c>
      <c r="DM26" s="182" t="str">
        <f t="shared" si="25"/>
        <v/>
      </c>
      <c r="DN26" s="182" t="str">
        <f t="shared" si="25"/>
        <v/>
      </c>
      <c r="DO26" s="182" t="str">
        <f t="shared" si="25"/>
        <v/>
      </c>
      <c r="DP26" s="182" t="str">
        <f t="shared" si="25"/>
        <v/>
      </c>
      <c r="DQ26" s="182" t="str">
        <f t="shared" si="25"/>
        <v/>
      </c>
      <c r="DR26" s="182" t="str">
        <f t="shared" si="25"/>
        <v/>
      </c>
      <c r="DS26" s="182" t="str">
        <f t="shared" si="25"/>
        <v/>
      </c>
      <c r="DT26" s="182" t="str">
        <f t="shared" si="25"/>
        <v/>
      </c>
      <c r="DU26" s="182" t="str">
        <f t="shared" si="25"/>
        <v/>
      </c>
      <c r="DV26" s="182" t="str">
        <f t="shared" si="25"/>
        <v/>
      </c>
      <c r="DW26" s="182" t="str">
        <f t="shared" si="25"/>
        <v/>
      </c>
      <c r="DX26" s="182" t="str">
        <f t="shared" si="25"/>
        <v/>
      </c>
      <c r="DY26" s="182" t="str">
        <f t="shared" si="25"/>
        <v/>
      </c>
      <c r="DZ26" s="182" t="str">
        <f t="shared" si="26"/>
        <v/>
      </c>
      <c r="EA26" s="182" t="str">
        <f t="shared" si="26"/>
        <v/>
      </c>
      <c r="EB26" s="182" t="str">
        <f t="shared" si="26"/>
        <v/>
      </c>
      <c r="EC26" s="182" t="str">
        <f t="shared" si="26"/>
        <v/>
      </c>
      <c r="ED26" s="182" t="str">
        <f t="shared" si="26"/>
        <v/>
      </c>
      <c r="EE26" s="182" t="str">
        <f t="shared" si="26"/>
        <v/>
      </c>
      <c r="EF26" s="182" t="str">
        <f t="shared" si="26"/>
        <v/>
      </c>
      <c r="EG26" s="182" t="str">
        <f t="shared" si="26"/>
        <v/>
      </c>
      <c r="EH26" s="182" t="str">
        <f t="shared" si="26"/>
        <v/>
      </c>
      <c r="EI26" s="182" t="str">
        <f t="shared" si="26"/>
        <v/>
      </c>
      <c r="EJ26" s="182" t="str">
        <f t="shared" si="26"/>
        <v/>
      </c>
      <c r="EK26" s="182" t="str">
        <f t="shared" si="26"/>
        <v/>
      </c>
      <c r="EL26" s="182" t="str">
        <f t="shared" si="26"/>
        <v/>
      </c>
      <c r="EM26" s="182" t="str">
        <f t="shared" si="26"/>
        <v/>
      </c>
      <c r="EN26" s="182" t="str">
        <f t="shared" si="26"/>
        <v/>
      </c>
      <c r="EO26" s="182" t="str">
        <f t="shared" si="26"/>
        <v/>
      </c>
      <c r="EP26" s="182" t="str">
        <f t="shared" si="20"/>
        <v/>
      </c>
      <c r="EQ26" s="182" t="str">
        <f t="shared" si="20"/>
        <v/>
      </c>
      <c r="ER26" s="182" t="str">
        <f t="shared" si="15"/>
        <v/>
      </c>
      <c r="ES26" s="182" t="str">
        <f t="shared" si="15"/>
        <v/>
      </c>
      <c r="ET26" s="182" t="str">
        <f t="shared" si="15"/>
        <v/>
      </c>
      <c r="EU26" s="182" t="str">
        <f t="shared" si="15"/>
        <v/>
      </c>
      <c r="EV26" s="182" t="str">
        <f t="shared" si="15"/>
        <v/>
      </c>
      <c r="EW26" s="182" t="str">
        <f t="shared" si="15"/>
        <v/>
      </c>
      <c r="EX26" s="182" t="str">
        <f t="shared" si="15"/>
        <v/>
      </c>
      <c r="EY26" s="182" t="str">
        <f t="shared" si="15"/>
        <v/>
      </c>
      <c r="EZ26" s="182" t="str">
        <f t="shared" si="15"/>
        <v/>
      </c>
      <c r="FA26" s="182" t="str">
        <f t="shared" si="15"/>
        <v/>
      </c>
      <c r="FB26" s="182" t="str">
        <f t="shared" si="15"/>
        <v/>
      </c>
      <c r="FC26" s="182" t="str">
        <f t="shared" si="15"/>
        <v/>
      </c>
      <c r="FD26" s="182" t="str">
        <f t="shared" si="15"/>
        <v/>
      </c>
      <c r="FE26" s="182" t="str">
        <f t="shared" si="15"/>
        <v/>
      </c>
      <c r="FF26" s="182" t="str">
        <f t="shared" si="15"/>
        <v/>
      </c>
      <c r="FG26" s="182" t="str">
        <f t="shared" ref="FG26:FV39" si="27">IF($B26=0,"",INT(FG$4/$H26)=FG$4/$H26)</f>
        <v/>
      </c>
      <c r="FH26" s="182" t="str">
        <f t="shared" si="27"/>
        <v/>
      </c>
      <c r="FI26" s="182" t="str">
        <f t="shared" si="27"/>
        <v/>
      </c>
      <c r="FJ26" s="182" t="str">
        <f t="shared" si="27"/>
        <v/>
      </c>
      <c r="FK26" s="182" t="str">
        <f t="shared" si="27"/>
        <v/>
      </c>
      <c r="FL26" s="182" t="str">
        <f t="shared" si="27"/>
        <v/>
      </c>
      <c r="FM26" s="182" t="str">
        <f t="shared" si="27"/>
        <v/>
      </c>
      <c r="FN26" s="182" t="str">
        <f t="shared" si="27"/>
        <v/>
      </c>
      <c r="FO26" s="182" t="str">
        <f t="shared" si="27"/>
        <v/>
      </c>
      <c r="FP26" s="182" t="str">
        <f t="shared" si="27"/>
        <v/>
      </c>
      <c r="FQ26" s="182" t="str">
        <f t="shared" si="27"/>
        <v/>
      </c>
      <c r="FR26" s="182" t="str">
        <f t="shared" si="27"/>
        <v/>
      </c>
      <c r="FS26" s="182" t="str">
        <f t="shared" si="27"/>
        <v/>
      </c>
      <c r="FT26" s="182" t="str">
        <f t="shared" si="27"/>
        <v/>
      </c>
      <c r="FU26" s="182" t="str">
        <f t="shared" si="27"/>
        <v/>
      </c>
      <c r="FV26" s="182" t="str">
        <f t="shared" si="27"/>
        <v/>
      </c>
      <c r="FW26" s="182" t="str">
        <f t="shared" si="16"/>
        <v/>
      </c>
      <c r="FX26" s="182" t="str">
        <f t="shared" si="17"/>
        <v/>
      </c>
      <c r="FY26" s="182" t="str">
        <f t="shared" si="17"/>
        <v/>
      </c>
      <c r="FZ26" s="182" t="str">
        <f t="shared" si="17"/>
        <v/>
      </c>
      <c r="GA26" s="182" t="str">
        <f t="shared" si="17"/>
        <v/>
      </c>
      <c r="GB26" s="182" t="str">
        <f t="shared" si="17"/>
        <v/>
      </c>
      <c r="GC26" s="182" t="str">
        <f t="shared" si="17"/>
        <v/>
      </c>
      <c r="GD26" s="182" t="str">
        <f t="shared" si="17"/>
        <v/>
      </c>
      <c r="GE26" s="182" t="str">
        <f t="shared" si="17"/>
        <v/>
      </c>
      <c r="GF26" s="182" t="str">
        <f t="shared" si="17"/>
        <v/>
      </c>
      <c r="GG26" s="182" t="str">
        <f t="shared" si="17"/>
        <v/>
      </c>
      <c r="GH26" s="182" t="str">
        <f t="shared" si="17"/>
        <v/>
      </c>
      <c r="GI26" s="182" t="str">
        <f t="shared" si="17"/>
        <v/>
      </c>
      <c r="GJ26" s="182" t="str">
        <f t="shared" si="17"/>
        <v/>
      </c>
      <c r="GK26" s="182" t="str">
        <f t="shared" si="17"/>
        <v/>
      </c>
      <c r="GL26" s="182" t="str">
        <f t="shared" si="17"/>
        <v/>
      </c>
      <c r="GM26" s="182" t="str">
        <f t="shared" ref="GM26:GP39" si="28">IF($B26=0,"",INT(GM$4/$H26)=GM$4/$H26)</f>
        <v/>
      </c>
      <c r="GN26" s="182" t="str">
        <f t="shared" si="28"/>
        <v/>
      </c>
      <c r="GO26" s="182" t="str">
        <f t="shared" si="28"/>
        <v/>
      </c>
      <c r="GP26" s="182" t="str">
        <f t="shared" si="28"/>
        <v/>
      </c>
    </row>
    <row r="27" spans="2:198" x14ac:dyDescent="0.3">
      <c r="B27" s="184">
        <f>'MF Rent Roll'!B26</f>
        <v>0</v>
      </c>
      <c r="C27" s="171">
        <f>'MF Rent Roll'!C26</f>
        <v>0</v>
      </c>
      <c r="D27" s="172">
        <f>'MF Rent Roll'!D26</f>
        <v>0</v>
      </c>
      <c r="E27" s="172">
        <f>'MF Rent Roll'!E26</f>
        <v>0</v>
      </c>
      <c r="F27" s="173">
        <f>'MF Rent Roll'!F26</f>
        <v>0</v>
      </c>
      <c r="G27" s="174">
        <f>'MF Rent Roll'!G26</f>
        <v>0</v>
      </c>
      <c r="H27" s="176">
        <f>'MF Rent Roll'!J26</f>
        <v>0</v>
      </c>
      <c r="I27" s="174">
        <f>'MF Rent Roll'!K26</f>
        <v>0</v>
      </c>
      <c r="J27" s="177">
        <f>'MF Rent Roll'!L26</f>
        <v>0</v>
      </c>
      <c r="K27" s="178">
        <f>'MF Rent Roll'!M26</f>
        <v>0</v>
      </c>
      <c r="L27" s="174">
        <f>'MF Rent Roll'!N26</f>
        <v>0</v>
      </c>
      <c r="M27" s="179">
        <f>'MF Rent Roll'!O26</f>
        <v>0</v>
      </c>
      <c r="N27" s="180" t="str">
        <f>'MF Rent Roll'!P26</f>
        <v/>
      </c>
      <c r="O27" s="181" t="str">
        <f>'MF Rent Roll'!Q26</f>
        <v/>
      </c>
      <c r="P27" s="104" t="str">
        <f>'MF Rent Roll'!R26</f>
        <v/>
      </c>
      <c r="S27" s="182" t="str">
        <f t="shared" si="12"/>
        <v/>
      </c>
      <c r="T27" s="182" t="str">
        <f t="shared" si="12"/>
        <v/>
      </c>
      <c r="U27" s="182" t="str">
        <f t="shared" si="12"/>
        <v/>
      </c>
      <c r="V27" s="182" t="str">
        <f t="shared" si="12"/>
        <v/>
      </c>
      <c r="W27" s="182" t="str">
        <f t="shared" si="12"/>
        <v/>
      </c>
      <c r="X27" s="182" t="str">
        <f t="shared" si="12"/>
        <v/>
      </c>
      <c r="Y27" s="182" t="str">
        <f t="shared" si="12"/>
        <v/>
      </c>
      <c r="Z27" s="182" t="str">
        <f t="shared" si="12"/>
        <v/>
      </c>
      <c r="AA27" s="182" t="str">
        <f t="shared" si="12"/>
        <v/>
      </c>
      <c r="AB27" s="182" t="str">
        <f t="shared" si="12"/>
        <v/>
      </c>
      <c r="AC27" s="182" t="str">
        <f t="shared" si="12"/>
        <v/>
      </c>
      <c r="AD27" s="182" t="str">
        <f t="shared" si="12"/>
        <v/>
      </c>
      <c r="AE27" s="182" t="str">
        <f t="shared" si="12"/>
        <v/>
      </c>
      <c r="AF27" s="182" t="str">
        <f t="shared" si="12"/>
        <v/>
      </c>
      <c r="AG27" s="182" t="str">
        <f t="shared" si="12"/>
        <v/>
      </c>
      <c r="AH27" s="182" t="str">
        <f t="shared" si="12"/>
        <v/>
      </c>
      <c r="AI27" s="182" t="str">
        <f t="shared" si="21"/>
        <v/>
      </c>
      <c r="AJ27" s="182" t="str">
        <f t="shared" si="21"/>
        <v/>
      </c>
      <c r="AK27" s="182" t="str">
        <f t="shared" si="21"/>
        <v/>
      </c>
      <c r="AL27" s="182" t="str">
        <f t="shared" si="21"/>
        <v/>
      </c>
      <c r="AM27" s="182" t="str">
        <f t="shared" si="21"/>
        <v/>
      </c>
      <c r="AN27" s="182" t="str">
        <f t="shared" si="21"/>
        <v/>
      </c>
      <c r="AO27" s="182" t="str">
        <f t="shared" si="21"/>
        <v/>
      </c>
      <c r="AP27" s="182" t="str">
        <f t="shared" si="21"/>
        <v/>
      </c>
      <c r="AQ27" s="182" t="str">
        <f t="shared" si="21"/>
        <v/>
      </c>
      <c r="AR27" s="182" t="str">
        <f t="shared" si="21"/>
        <v/>
      </c>
      <c r="AS27" s="182" t="str">
        <f t="shared" si="21"/>
        <v/>
      </c>
      <c r="AT27" s="182" t="str">
        <f t="shared" si="21"/>
        <v/>
      </c>
      <c r="AU27" s="182" t="str">
        <f t="shared" si="21"/>
        <v/>
      </c>
      <c r="AV27" s="182" t="str">
        <f t="shared" si="21"/>
        <v/>
      </c>
      <c r="AW27" s="182" t="str">
        <f t="shared" si="21"/>
        <v/>
      </c>
      <c r="AX27" s="182" t="str">
        <f t="shared" si="21"/>
        <v/>
      </c>
      <c r="AY27" s="182" t="str">
        <f t="shared" si="22"/>
        <v/>
      </c>
      <c r="AZ27" s="182" t="str">
        <f t="shared" si="22"/>
        <v/>
      </c>
      <c r="BA27" s="182" t="str">
        <f t="shared" si="22"/>
        <v/>
      </c>
      <c r="BB27" s="182" t="str">
        <f t="shared" si="22"/>
        <v/>
      </c>
      <c r="BC27" s="182" t="str">
        <f t="shared" si="22"/>
        <v/>
      </c>
      <c r="BD27" s="182" t="str">
        <f t="shared" si="22"/>
        <v/>
      </c>
      <c r="BE27" s="182" t="str">
        <f t="shared" si="22"/>
        <v/>
      </c>
      <c r="BF27" s="182" t="str">
        <f t="shared" si="22"/>
        <v/>
      </c>
      <c r="BG27" s="182" t="str">
        <f t="shared" si="22"/>
        <v/>
      </c>
      <c r="BH27" s="182" t="str">
        <f t="shared" si="22"/>
        <v/>
      </c>
      <c r="BI27" s="182" t="str">
        <f t="shared" si="22"/>
        <v/>
      </c>
      <c r="BJ27" s="182" t="str">
        <f t="shared" si="22"/>
        <v/>
      </c>
      <c r="BK27" s="182" t="str">
        <f t="shared" si="22"/>
        <v/>
      </c>
      <c r="BL27" s="182" t="str">
        <f t="shared" si="22"/>
        <v/>
      </c>
      <c r="BM27" s="182" t="str">
        <f t="shared" si="22"/>
        <v/>
      </c>
      <c r="BN27" s="182" t="str">
        <f t="shared" si="22"/>
        <v/>
      </c>
      <c r="BO27" s="182" t="str">
        <f t="shared" si="23"/>
        <v/>
      </c>
      <c r="BP27" s="182" t="str">
        <f t="shared" si="23"/>
        <v/>
      </c>
      <c r="BQ27" s="182" t="str">
        <f t="shared" si="23"/>
        <v/>
      </c>
      <c r="BR27" s="182" t="str">
        <f t="shared" si="23"/>
        <v/>
      </c>
      <c r="BS27" s="182" t="str">
        <f t="shared" si="23"/>
        <v/>
      </c>
      <c r="BT27" s="182" t="str">
        <f t="shared" si="23"/>
        <v/>
      </c>
      <c r="BU27" s="182" t="str">
        <f t="shared" si="23"/>
        <v/>
      </c>
      <c r="BV27" s="182" t="str">
        <f t="shared" si="23"/>
        <v/>
      </c>
      <c r="BW27" s="182" t="str">
        <f t="shared" si="23"/>
        <v/>
      </c>
      <c r="BX27" s="182" t="str">
        <f t="shared" si="23"/>
        <v/>
      </c>
      <c r="BY27" s="182" t="str">
        <f t="shared" si="23"/>
        <v/>
      </c>
      <c r="BZ27" s="182" t="str">
        <f t="shared" si="23"/>
        <v/>
      </c>
      <c r="CA27" s="182" t="str">
        <f t="shared" si="23"/>
        <v/>
      </c>
      <c r="CB27" s="182" t="str">
        <f t="shared" si="23"/>
        <v/>
      </c>
      <c r="CC27" s="182" t="str">
        <f t="shared" si="23"/>
        <v/>
      </c>
      <c r="CD27" s="182" t="str">
        <f t="shared" si="23"/>
        <v/>
      </c>
      <c r="CE27" s="182" t="str">
        <f t="shared" si="19"/>
        <v/>
      </c>
      <c r="CF27" s="182" t="str">
        <f t="shared" si="19"/>
        <v/>
      </c>
      <c r="CG27" s="182" t="str">
        <f t="shared" si="19"/>
        <v/>
      </c>
      <c r="CH27" s="182" t="str">
        <f t="shared" si="19"/>
        <v/>
      </c>
      <c r="CI27" s="182" t="str">
        <f t="shared" si="19"/>
        <v/>
      </c>
      <c r="CJ27" s="182" t="str">
        <f t="shared" si="19"/>
        <v/>
      </c>
      <c r="CK27" s="182" t="str">
        <f t="shared" si="19"/>
        <v/>
      </c>
      <c r="CL27" s="182" t="str">
        <f t="shared" si="19"/>
        <v/>
      </c>
      <c r="CM27" s="182" t="str">
        <f t="shared" si="19"/>
        <v/>
      </c>
      <c r="CN27" s="182" t="str">
        <f t="shared" si="19"/>
        <v/>
      </c>
      <c r="CO27" s="182" t="str">
        <f t="shared" si="19"/>
        <v/>
      </c>
      <c r="CP27" s="182" t="str">
        <f t="shared" si="19"/>
        <v/>
      </c>
      <c r="CQ27" s="182" t="str">
        <f t="shared" si="19"/>
        <v/>
      </c>
      <c r="CR27" s="182" t="str">
        <f t="shared" si="19"/>
        <v/>
      </c>
      <c r="CS27" s="182" t="str">
        <f t="shared" si="19"/>
        <v/>
      </c>
      <c r="CT27" s="182" t="str">
        <f t="shared" si="24"/>
        <v/>
      </c>
      <c r="CU27" s="182" t="str">
        <f t="shared" si="24"/>
        <v/>
      </c>
      <c r="CV27" s="182" t="str">
        <f t="shared" si="24"/>
        <v/>
      </c>
      <c r="CW27" s="182" t="str">
        <f t="shared" si="24"/>
        <v/>
      </c>
      <c r="CX27" s="182" t="str">
        <f t="shared" si="24"/>
        <v/>
      </c>
      <c r="CY27" s="182" t="str">
        <f t="shared" si="24"/>
        <v/>
      </c>
      <c r="CZ27" s="182" t="str">
        <f t="shared" si="24"/>
        <v/>
      </c>
      <c r="DA27" s="182" t="str">
        <f t="shared" si="24"/>
        <v/>
      </c>
      <c r="DB27" s="182" t="str">
        <f t="shared" si="24"/>
        <v/>
      </c>
      <c r="DC27" s="182" t="str">
        <f t="shared" si="24"/>
        <v/>
      </c>
      <c r="DD27" s="182" t="str">
        <f t="shared" si="24"/>
        <v/>
      </c>
      <c r="DE27" s="182" t="str">
        <f t="shared" si="24"/>
        <v/>
      </c>
      <c r="DF27" s="182" t="str">
        <f t="shared" si="24"/>
        <v/>
      </c>
      <c r="DG27" s="182" t="str">
        <f t="shared" si="24"/>
        <v/>
      </c>
      <c r="DH27" s="182" t="str">
        <f t="shared" si="24"/>
        <v/>
      </c>
      <c r="DI27" s="182" t="str">
        <f t="shared" si="24"/>
        <v/>
      </c>
      <c r="DJ27" s="182" t="str">
        <f t="shared" si="25"/>
        <v/>
      </c>
      <c r="DK27" s="182" t="str">
        <f t="shared" si="25"/>
        <v/>
      </c>
      <c r="DL27" s="182" t="str">
        <f t="shared" si="25"/>
        <v/>
      </c>
      <c r="DM27" s="182" t="str">
        <f t="shared" si="25"/>
        <v/>
      </c>
      <c r="DN27" s="182" t="str">
        <f t="shared" si="25"/>
        <v/>
      </c>
      <c r="DO27" s="182" t="str">
        <f t="shared" si="25"/>
        <v/>
      </c>
      <c r="DP27" s="182" t="str">
        <f t="shared" si="25"/>
        <v/>
      </c>
      <c r="DQ27" s="182" t="str">
        <f t="shared" si="25"/>
        <v/>
      </c>
      <c r="DR27" s="182" t="str">
        <f t="shared" si="25"/>
        <v/>
      </c>
      <c r="DS27" s="182" t="str">
        <f t="shared" si="25"/>
        <v/>
      </c>
      <c r="DT27" s="182" t="str">
        <f t="shared" si="25"/>
        <v/>
      </c>
      <c r="DU27" s="182" t="str">
        <f t="shared" si="25"/>
        <v/>
      </c>
      <c r="DV27" s="182" t="str">
        <f t="shared" si="25"/>
        <v/>
      </c>
      <c r="DW27" s="182" t="str">
        <f t="shared" si="25"/>
        <v/>
      </c>
      <c r="DX27" s="182" t="str">
        <f t="shared" si="25"/>
        <v/>
      </c>
      <c r="DY27" s="182" t="str">
        <f t="shared" si="25"/>
        <v/>
      </c>
      <c r="DZ27" s="182" t="str">
        <f t="shared" si="26"/>
        <v/>
      </c>
      <c r="EA27" s="182" t="str">
        <f t="shared" si="26"/>
        <v/>
      </c>
      <c r="EB27" s="182" t="str">
        <f t="shared" si="26"/>
        <v/>
      </c>
      <c r="EC27" s="182" t="str">
        <f t="shared" si="26"/>
        <v/>
      </c>
      <c r="ED27" s="182" t="str">
        <f t="shared" si="26"/>
        <v/>
      </c>
      <c r="EE27" s="182" t="str">
        <f t="shared" si="26"/>
        <v/>
      </c>
      <c r="EF27" s="182" t="str">
        <f t="shared" si="26"/>
        <v/>
      </c>
      <c r="EG27" s="182" t="str">
        <f t="shared" si="26"/>
        <v/>
      </c>
      <c r="EH27" s="182" t="str">
        <f t="shared" si="26"/>
        <v/>
      </c>
      <c r="EI27" s="182" t="str">
        <f t="shared" si="26"/>
        <v/>
      </c>
      <c r="EJ27" s="182" t="str">
        <f t="shared" si="26"/>
        <v/>
      </c>
      <c r="EK27" s="182" t="str">
        <f t="shared" si="26"/>
        <v/>
      </c>
      <c r="EL27" s="182" t="str">
        <f t="shared" si="26"/>
        <v/>
      </c>
      <c r="EM27" s="182" t="str">
        <f t="shared" si="26"/>
        <v/>
      </c>
      <c r="EN27" s="182" t="str">
        <f t="shared" si="26"/>
        <v/>
      </c>
      <c r="EO27" s="182" t="str">
        <f t="shared" si="26"/>
        <v/>
      </c>
      <c r="EP27" s="182" t="str">
        <f t="shared" si="20"/>
        <v/>
      </c>
      <c r="EQ27" s="182" t="str">
        <f t="shared" si="20"/>
        <v/>
      </c>
      <c r="ER27" s="182" t="str">
        <f t="shared" si="20"/>
        <v/>
      </c>
      <c r="ES27" s="182" t="str">
        <f t="shared" si="20"/>
        <v/>
      </c>
      <c r="ET27" s="182" t="str">
        <f t="shared" si="20"/>
        <v/>
      </c>
      <c r="EU27" s="182" t="str">
        <f t="shared" si="20"/>
        <v/>
      </c>
      <c r="EV27" s="182" t="str">
        <f t="shared" si="20"/>
        <v/>
      </c>
      <c r="EW27" s="182" t="str">
        <f t="shared" si="20"/>
        <v/>
      </c>
      <c r="EX27" s="182" t="str">
        <f t="shared" si="20"/>
        <v/>
      </c>
      <c r="EY27" s="182" t="str">
        <f t="shared" si="20"/>
        <v/>
      </c>
      <c r="EZ27" s="182" t="str">
        <f t="shared" si="20"/>
        <v/>
      </c>
      <c r="FA27" s="182" t="str">
        <f t="shared" si="20"/>
        <v/>
      </c>
      <c r="FB27" s="182" t="str">
        <f t="shared" si="20"/>
        <v/>
      </c>
      <c r="FC27" s="182" t="str">
        <f t="shared" si="20"/>
        <v/>
      </c>
      <c r="FD27" s="182" t="str">
        <f t="shared" si="20"/>
        <v/>
      </c>
      <c r="FE27" s="182" t="str">
        <f t="shared" si="20"/>
        <v/>
      </c>
      <c r="FF27" s="182" t="str">
        <f t="shared" ref="FF27:FU39" si="29">IF($B27=0,"",INT(FF$4/$H27)=FF$4/$H27)</f>
        <v/>
      </c>
      <c r="FG27" s="182" t="str">
        <f t="shared" si="29"/>
        <v/>
      </c>
      <c r="FH27" s="182" t="str">
        <f t="shared" si="29"/>
        <v/>
      </c>
      <c r="FI27" s="182" t="str">
        <f t="shared" si="29"/>
        <v/>
      </c>
      <c r="FJ27" s="182" t="str">
        <f t="shared" si="29"/>
        <v/>
      </c>
      <c r="FK27" s="182" t="str">
        <f t="shared" si="29"/>
        <v/>
      </c>
      <c r="FL27" s="182" t="str">
        <f t="shared" si="29"/>
        <v/>
      </c>
      <c r="FM27" s="182" t="str">
        <f t="shared" si="29"/>
        <v/>
      </c>
      <c r="FN27" s="182" t="str">
        <f t="shared" si="29"/>
        <v/>
      </c>
      <c r="FO27" s="182" t="str">
        <f t="shared" si="29"/>
        <v/>
      </c>
      <c r="FP27" s="182" t="str">
        <f t="shared" si="29"/>
        <v/>
      </c>
      <c r="FQ27" s="182" t="str">
        <f t="shared" si="29"/>
        <v/>
      </c>
      <c r="FR27" s="182" t="str">
        <f t="shared" si="29"/>
        <v/>
      </c>
      <c r="FS27" s="182" t="str">
        <f t="shared" si="29"/>
        <v/>
      </c>
      <c r="FT27" s="182" t="str">
        <f t="shared" si="29"/>
        <v/>
      </c>
      <c r="FU27" s="182" t="str">
        <f t="shared" si="29"/>
        <v/>
      </c>
      <c r="FV27" s="182" t="str">
        <f t="shared" si="27"/>
        <v/>
      </c>
      <c r="FW27" s="182" t="str">
        <f t="shared" si="16"/>
        <v/>
      </c>
      <c r="FX27" s="182" t="str">
        <f t="shared" ref="FX27:GM39" si="30">IF($B27=0,"",INT(FX$4/$H27)=FX$4/$H27)</f>
        <v/>
      </c>
      <c r="FY27" s="182" t="str">
        <f t="shared" si="30"/>
        <v/>
      </c>
      <c r="FZ27" s="182" t="str">
        <f t="shared" si="30"/>
        <v/>
      </c>
      <c r="GA27" s="182" t="str">
        <f t="shared" si="30"/>
        <v/>
      </c>
      <c r="GB27" s="182" t="str">
        <f t="shared" si="30"/>
        <v/>
      </c>
      <c r="GC27" s="182" t="str">
        <f t="shared" si="30"/>
        <v/>
      </c>
      <c r="GD27" s="182" t="str">
        <f t="shared" si="30"/>
        <v/>
      </c>
      <c r="GE27" s="182" t="str">
        <f t="shared" si="30"/>
        <v/>
      </c>
      <c r="GF27" s="182" t="str">
        <f t="shared" si="30"/>
        <v/>
      </c>
      <c r="GG27" s="182" t="str">
        <f t="shared" si="30"/>
        <v/>
      </c>
      <c r="GH27" s="182" t="str">
        <f t="shared" si="30"/>
        <v/>
      </c>
      <c r="GI27" s="182" t="str">
        <f t="shared" si="30"/>
        <v/>
      </c>
      <c r="GJ27" s="182" t="str">
        <f t="shared" si="30"/>
        <v/>
      </c>
      <c r="GK27" s="182" t="str">
        <f t="shared" si="30"/>
        <v/>
      </c>
      <c r="GL27" s="182" t="str">
        <f t="shared" si="30"/>
        <v/>
      </c>
      <c r="GM27" s="182" t="str">
        <f t="shared" si="30"/>
        <v/>
      </c>
      <c r="GN27" s="182" t="str">
        <f t="shared" si="28"/>
        <v/>
      </c>
      <c r="GO27" s="182" t="str">
        <f t="shared" si="28"/>
        <v/>
      </c>
      <c r="GP27" s="182" t="str">
        <f t="shared" si="28"/>
        <v/>
      </c>
    </row>
    <row r="28" spans="2:198" x14ac:dyDescent="0.3">
      <c r="B28" s="184">
        <f>'MF Rent Roll'!B27</f>
        <v>0</v>
      </c>
      <c r="C28" s="171">
        <f>'MF Rent Roll'!C27</f>
        <v>0</v>
      </c>
      <c r="D28" s="172">
        <f>'MF Rent Roll'!D27</f>
        <v>0</v>
      </c>
      <c r="E28" s="172">
        <f>'MF Rent Roll'!E27</f>
        <v>0</v>
      </c>
      <c r="F28" s="173">
        <f>'MF Rent Roll'!F27</f>
        <v>0</v>
      </c>
      <c r="G28" s="174">
        <f>'MF Rent Roll'!G27</f>
        <v>0</v>
      </c>
      <c r="H28" s="176">
        <f>'MF Rent Roll'!J27</f>
        <v>0</v>
      </c>
      <c r="I28" s="174">
        <f>'MF Rent Roll'!K27</f>
        <v>0</v>
      </c>
      <c r="J28" s="177">
        <f>'MF Rent Roll'!L27</f>
        <v>0</v>
      </c>
      <c r="K28" s="178">
        <f>'MF Rent Roll'!M27</f>
        <v>0</v>
      </c>
      <c r="L28" s="174">
        <f>'MF Rent Roll'!N27</f>
        <v>0</v>
      </c>
      <c r="M28" s="179">
        <f>'MF Rent Roll'!O27</f>
        <v>0</v>
      </c>
      <c r="N28" s="180" t="str">
        <f>'MF Rent Roll'!P27</f>
        <v/>
      </c>
      <c r="O28" s="181" t="str">
        <f>'MF Rent Roll'!Q27</f>
        <v/>
      </c>
      <c r="P28" s="104" t="str">
        <f>'MF Rent Roll'!R27</f>
        <v/>
      </c>
      <c r="S28" s="182" t="str">
        <f t="shared" si="12"/>
        <v/>
      </c>
      <c r="T28" s="182" t="str">
        <f t="shared" si="12"/>
        <v/>
      </c>
      <c r="U28" s="182" t="str">
        <f t="shared" si="12"/>
        <v/>
      </c>
      <c r="V28" s="182" t="str">
        <f t="shared" si="12"/>
        <v/>
      </c>
      <c r="W28" s="182" t="str">
        <f t="shared" si="12"/>
        <v/>
      </c>
      <c r="X28" s="182" t="str">
        <f t="shared" si="12"/>
        <v/>
      </c>
      <c r="Y28" s="182" t="str">
        <f t="shared" si="12"/>
        <v/>
      </c>
      <c r="Z28" s="182" t="str">
        <f t="shared" si="12"/>
        <v/>
      </c>
      <c r="AA28" s="182" t="str">
        <f t="shared" si="12"/>
        <v/>
      </c>
      <c r="AB28" s="182" t="str">
        <f t="shared" si="12"/>
        <v/>
      </c>
      <c r="AC28" s="182" t="str">
        <f t="shared" si="12"/>
        <v/>
      </c>
      <c r="AD28" s="182" t="str">
        <f t="shared" si="12"/>
        <v/>
      </c>
      <c r="AE28" s="182" t="str">
        <f t="shared" si="12"/>
        <v/>
      </c>
      <c r="AF28" s="182" t="str">
        <f t="shared" si="12"/>
        <v/>
      </c>
      <c r="AG28" s="182" t="str">
        <f t="shared" si="12"/>
        <v/>
      </c>
      <c r="AH28" s="182" t="str">
        <f t="shared" si="12"/>
        <v/>
      </c>
      <c r="AI28" s="182" t="str">
        <f t="shared" si="21"/>
        <v/>
      </c>
      <c r="AJ28" s="182" t="str">
        <f t="shared" si="21"/>
        <v/>
      </c>
      <c r="AK28" s="182" t="str">
        <f t="shared" si="21"/>
        <v/>
      </c>
      <c r="AL28" s="182" t="str">
        <f t="shared" si="21"/>
        <v/>
      </c>
      <c r="AM28" s="182" t="str">
        <f t="shared" si="21"/>
        <v/>
      </c>
      <c r="AN28" s="182" t="str">
        <f t="shared" si="21"/>
        <v/>
      </c>
      <c r="AO28" s="182" t="str">
        <f t="shared" si="21"/>
        <v/>
      </c>
      <c r="AP28" s="182" t="str">
        <f t="shared" si="21"/>
        <v/>
      </c>
      <c r="AQ28" s="182" t="str">
        <f t="shared" si="21"/>
        <v/>
      </c>
      <c r="AR28" s="182" t="str">
        <f t="shared" si="21"/>
        <v/>
      </c>
      <c r="AS28" s="182" t="str">
        <f t="shared" si="21"/>
        <v/>
      </c>
      <c r="AT28" s="182" t="str">
        <f t="shared" si="21"/>
        <v/>
      </c>
      <c r="AU28" s="182" t="str">
        <f t="shared" si="21"/>
        <v/>
      </c>
      <c r="AV28" s="182" t="str">
        <f t="shared" si="21"/>
        <v/>
      </c>
      <c r="AW28" s="182" t="str">
        <f t="shared" si="21"/>
        <v/>
      </c>
      <c r="AX28" s="182" t="str">
        <f t="shared" si="21"/>
        <v/>
      </c>
      <c r="AY28" s="182" t="str">
        <f t="shared" si="22"/>
        <v/>
      </c>
      <c r="AZ28" s="182" t="str">
        <f t="shared" si="22"/>
        <v/>
      </c>
      <c r="BA28" s="182" t="str">
        <f t="shared" si="22"/>
        <v/>
      </c>
      <c r="BB28" s="182" t="str">
        <f t="shared" si="22"/>
        <v/>
      </c>
      <c r="BC28" s="182" t="str">
        <f t="shared" si="22"/>
        <v/>
      </c>
      <c r="BD28" s="182" t="str">
        <f t="shared" si="22"/>
        <v/>
      </c>
      <c r="BE28" s="182" t="str">
        <f t="shared" si="22"/>
        <v/>
      </c>
      <c r="BF28" s="182" t="str">
        <f t="shared" si="22"/>
        <v/>
      </c>
      <c r="BG28" s="182" t="str">
        <f t="shared" si="22"/>
        <v/>
      </c>
      <c r="BH28" s="182" t="str">
        <f t="shared" si="22"/>
        <v/>
      </c>
      <c r="BI28" s="182" t="str">
        <f t="shared" si="22"/>
        <v/>
      </c>
      <c r="BJ28" s="182" t="str">
        <f t="shared" si="22"/>
        <v/>
      </c>
      <c r="BK28" s="182" t="str">
        <f t="shared" si="22"/>
        <v/>
      </c>
      <c r="BL28" s="182" t="str">
        <f t="shared" si="22"/>
        <v/>
      </c>
      <c r="BM28" s="182" t="str">
        <f t="shared" si="22"/>
        <v/>
      </c>
      <c r="BN28" s="182" t="str">
        <f t="shared" si="22"/>
        <v/>
      </c>
      <c r="BO28" s="182" t="str">
        <f t="shared" si="23"/>
        <v/>
      </c>
      <c r="BP28" s="182" t="str">
        <f t="shared" si="23"/>
        <v/>
      </c>
      <c r="BQ28" s="182" t="str">
        <f t="shared" si="23"/>
        <v/>
      </c>
      <c r="BR28" s="182" t="str">
        <f t="shared" si="23"/>
        <v/>
      </c>
      <c r="BS28" s="182" t="str">
        <f t="shared" si="23"/>
        <v/>
      </c>
      <c r="BT28" s="182" t="str">
        <f t="shared" si="23"/>
        <v/>
      </c>
      <c r="BU28" s="182" t="str">
        <f t="shared" si="23"/>
        <v/>
      </c>
      <c r="BV28" s="182" t="str">
        <f t="shared" si="23"/>
        <v/>
      </c>
      <c r="BW28" s="182" t="str">
        <f t="shared" si="23"/>
        <v/>
      </c>
      <c r="BX28" s="182" t="str">
        <f t="shared" si="23"/>
        <v/>
      </c>
      <c r="BY28" s="182" t="str">
        <f t="shared" si="23"/>
        <v/>
      </c>
      <c r="BZ28" s="182" t="str">
        <f t="shared" si="23"/>
        <v/>
      </c>
      <c r="CA28" s="182" t="str">
        <f t="shared" si="23"/>
        <v/>
      </c>
      <c r="CB28" s="182" t="str">
        <f t="shared" si="23"/>
        <v/>
      </c>
      <c r="CC28" s="182" t="str">
        <f t="shared" si="23"/>
        <v/>
      </c>
      <c r="CD28" s="182" t="str">
        <f t="shared" si="23"/>
        <v/>
      </c>
      <c r="CE28" s="182" t="str">
        <f t="shared" si="19"/>
        <v/>
      </c>
      <c r="CF28" s="182" t="str">
        <f t="shared" si="19"/>
        <v/>
      </c>
      <c r="CG28" s="182" t="str">
        <f t="shared" si="19"/>
        <v/>
      </c>
      <c r="CH28" s="182" t="str">
        <f t="shared" si="19"/>
        <v/>
      </c>
      <c r="CI28" s="182" t="str">
        <f t="shared" si="19"/>
        <v/>
      </c>
      <c r="CJ28" s="182" t="str">
        <f t="shared" si="19"/>
        <v/>
      </c>
      <c r="CK28" s="182" t="str">
        <f t="shared" si="19"/>
        <v/>
      </c>
      <c r="CL28" s="182" t="str">
        <f t="shared" si="19"/>
        <v/>
      </c>
      <c r="CM28" s="182" t="str">
        <f t="shared" si="19"/>
        <v/>
      </c>
      <c r="CN28" s="182" t="str">
        <f t="shared" si="19"/>
        <v/>
      </c>
      <c r="CO28" s="182" t="str">
        <f t="shared" si="19"/>
        <v/>
      </c>
      <c r="CP28" s="182" t="str">
        <f t="shared" si="19"/>
        <v/>
      </c>
      <c r="CQ28" s="182" t="str">
        <f t="shared" si="19"/>
        <v/>
      </c>
      <c r="CR28" s="182" t="str">
        <f t="shared" si="19"/>
        <v/>
      </c>
      <c r="CS28" s="182" t="str">
        <f t="shared" si="19"/>
        <v/>
      </c>
      <c r="CT28" s="182" t="str">
        <f t="shared" si="24"/>
        <v/>
      </c>
      <c r="CU28" s="182" t="str">
        <f t="shared" si="24"/>
        <v/>
      </c>
      <c r="CV28" s="182" t="str">
        <f t="shared" si="24"/>
        <v/>
      </c>
      <c r="CW28" s="182" t="str">
        <f t="shared" si="24"/>
        <v/>
      </c>
      <c r="CX28" s="182" t="str">
        <f t="shared" si="24"/>
        <v/>
      </c>
      <c r="CY28" s="182" t="str">
        <f t="shared" si="24"/>
        <v/>
      </c>
      <c r="CZ28" s="182" t="str">
        <f t="shared" si="24"/>
        <v/>
      </c>
      <c r="DA28" s="182" t="str">
        <f t="shared" si="24"/>
        <v/>
      </c>
      <c r="DB28" s="182" t="str">
        <f t="shared" si="24"/>
        <v/>
      </c>
      <c r="DC28" s="182" t="str">
        <f t="shared" si="24"/>
        <v/>
      </c>
      <c r="DD28" s="182" t="str">
        <f t="shared" si="24"/>
        <v/>
      </c>
      <c r="DE28" s="182" t="str">
        <f t="shared" si="24"/>
        <v/>
      </c>
      <c r="DF28" s="182" t="str">
        <f t="shared" si="24"/>
        <v/>
      </c>
      <c r="DG28" s="182" t="str">
        <f t="shared" si="24"/>
        <v/>
      </c>
      <c r="DH28" s="182" t="str">
        <f t="shared" si="24"/>
        <v/>
      </c>
      <c r="DI28" s="182" t="str">
        <f t="shared" si="24"/>
        <v/>
      </c>
      <c r="DJ28" s="182" t="str">
        <f t="shared" si="25"/>
        <v/>
      </c>
      <c r="DK28" s="182" t="str">
        <f t="shared" si="25"/>
        <v/>
      </c>
      <c r="DL28" s="182" t="str">
        <f t="shared" si="25"/>
        <v/>
      </c>
      <c r="DM28" s="182" t="str">
        <f t="shared" si="25"/>
        <v/>
      </c>
      <c r="DN28" s="182" t="str">
        <f t="shared" si="25"/>
        <v/>
      </c>
      <c r="DO28" s="182" t="str">
        <f t="shared" si="25"/>
        <v/>
      </c>
      <c r="DP28" s="182" t="str">
        <f t="shared" si="25"/>
        <v/>
      </c>
      <c r="DQ28" s="182" t="str">
        <f t="shared" si="25"/>
        <v/>
      </c>
      <c r="DR28" s="182" t="str">
        <f t="shared" si="25"/>
        <v/>
      </c>
      <c r="DS28" s="182" t="str">
        <f t="shared" si="25"/>
        <v/>
      </c>
      <c r="DT28" s="182" t="str">
        <f t="shared" si="25"/>
        <v/>
      </c>
      <c r="DU28" s="182" t="str">
        <f t="shared" si="25"/>
        <v/>
      </c>
      <c r="DV28" s="182" t="str">
        <f t="shared" si="25"/>
        <v/>
      </c>
      <c r="DW28" s="182" t="str">
        <f t="shared" si="25"/>
        <v/>
      </c>
      <c r="DX28" s="182" t="str">
        <f t="shared" si="25"/>
        <v/>
      </c>
      <c r="DY28" s="182" t="str">
        <f t="shared" si="25"/>
        <v/>
      </c>
      <c r="DZ28" s="182" t="str">
        <f t="shared" si="26"/>
        <v/>
      </c>
      <c r="EA28" s="182" t="str">
        <f t="shared" si="26"/>
        <v/>
      </c>
      <c r="EB28" s="182" t="str">
        <f t="shared" si="26"/>
        <v/>
      </c>
      <c r="EC28" s="182" t="str">
        <f t="shared" si="26"/>
        <v/>
      </c>
      <c r="ED28" s="182" t="str">
        <f t="shared" si="26"/>
        <v/>
      </c>
      <c r="EE28" s="182" t="str">
        <f t="shared" si="26"/>
        <v/>
      </c>
      <c r="EF28" s="182" t="str">
        <f t="shared" si="26"/>
        <v/>
      </c>
      <c r="EG28" s="182" t="str">
        <f t="shared" si="26"/>
        <v/>
      </c>
      <c r="EH28" s="182" t="str">
        <f t="shared" si="26"/>
        <v/>
      </c>
      <c r="EI28" s="182" t="str">
        <f t="shared" si="26"/>
        <v/>
      </c>
      <c r="EJ28" s="182" t="str">
        <f t="shared" si="26"/>
        <v/>
      </c>
      <c r="EK28" s="182" t="str">
        <f t="shared" si="26"/>
        <v/>
      </c>
      <c r="EL28" s="182" t="str">
        <f t="shared" si="26"/>
        <v/>
      </c>
      <c r="EM28" s="182" t="str">
        <f t="shared" si="26"/>
        <v/>
      </c>
      <c r="EN28" s="182" t="str">
        <f t="shared" si="26"/>
        <v/>
      </c>
      <c r="EO28" s="182" t="str">
        <f t="shared" si="26"/>
        <v/>
      </c>
      <c r="EP28" s="182" t="str">
        <f t="shared" si="20"/>
        <v/>
      </c>
      <c r="EQ28" s="182" t="str">
        <f t="shared" si="20"/>
        <v/>
      </c>
      <c r="ER28" s="182" t="str">
        <f t="shared" si="20"/>
        <v/>
      </c>
      <c r="ES28" s="182" t="str">
        <f t="shared" si="20"/>
        <v/>
      </c>
      <c r="ET28" s="182" t="str">
        <f t="shared" si="20"/>
        <v/>
      </c>
      <c r="EU28" s="182" t="str">
        <f t="shared" si="20"/>
        <v/>
      </c>
      <c r="EV28" s="182" t="str">
        <f t="shared" si="20"/>
        <v/>
      </c>
      <c r="EW28" s="182" t="str">
        <f t="shared" si="20"/>
        <v/>
      </c>
      <c r="EX28" s="182" t="str">
        <f t="shared" si="20"/>
        <v/>
      </c>
      <c r="EY28" s="182" t="str">
        <f t="shared" si="20"/>
        <v/>
      </c>
      <c r="EZ28" s="182" t="str">
        <f t="shared" si="20"/>
        <v/>
      </c>
      <c r="FA28" s="182" t="str">
        <f t="shared" si="20"/>
        <v/>
      </c>
      <c r="FB28" s="182" t="str">
        <f t="shared" si="20"/>
        <v/>
      </c>
      <c r="FC28" s="182" t="str">
        <f t="shared" si="20"/>
        <v/>
      </c>
      <c r="FD28" s="182" t="str">
        <f t="shared" si="20"/>
        <v/>
      </c>
      <c r="FE28" s="182" t="str">
        <f t="shared" si="20"/>
        <v/>
      </c>
      <c r="FF28" s="182" t="str">
        <f t="shared" si="29"/>
        <v/>
      </c>
      <c r="FG28" s="182" t="str">
        <f t="shared" si="29"/>
        <v/>
      </c>
      <c r="FH28" s="182" t="str">
        <f t="shared" si="29"/>
        <v/>
      </c>
      <c r="FI28" s="182" t="str">
        <f t="shared" si="29"/>
        <v/>
      </c>
      <c r="FJ28" s="182" t="str">
        <f t="shared" si="29"/>
        <v/>
      </c>
      <c r="FK28" s="182" t="str">
        <f t="shared" si="29"/>
        <v/>
      </c>
      <c r="FL28" s="182" t="str">
        <f t="shared" si="29"/>
        <v/>
      </c>
      <c r="FM28" s="182" t="str">
        <f t="shared" si="29"/>
        <v/>
      </c>
      <c r="FN28" s="182" t="str">
        <f t="shared" si="29"/>
        <v/>
      </c>
      <c r="FO28" s="182" t="str">
        <f t="shared" si="29"/>
        <v/>
      </c>
      <c r="FP28" s="182" t="str">
        <f t="shared" si="29"/>
        <v/>
      </c>
      <c r="FQ28" s="182" t="str">
        <f t="shared" si="29"/>
        <v/>
      </c>
      <c r="FR28" s="182" t="str">
        <f t="shared" si="29"/>
        <v/>
      </c>
      <c r="FS28" s="182" t="str">
        <f t="shared" si="29"/>
        <v/>
      </c>
      <c r="FT28" s="182" t="str">
        <f t="shared" si="29"/>
        <v/>
      </c>
      <c r="FU28" s="182" t="str">
        <f t="shared" si="29"/>
        <v/>
      </c>
      <c r="FV28" s="182" t="str">
        <f t="shared" si="27"/>
        <v/>
      </c>
      <c r="FW28" s="182" t="str">
        <f t="shared" si="16"/>
        <v/>
      </c>
      <c r="FX28" s="182" t="str">
        <f t="shared" si="30"/>
        <v/>
      </c>
      <c r="FY28" s="182" t="str">
        <f t="shared" si="30"/>
        <v/>
      </c>
      <c r="FZ28" s="182" t="str">
        <f t="shared" si="30"/>
        <v/>
      </c>
      <c r="GA28" s="182" t="str">
        <f t="shared" si="30"/>
        <v/>
      </c>
      <c r="GB28" s="182" t="str">
        <f t="shared" si="30"/>
        <v/>
      </c>
      <c r="GC28" s="182" t="str">
        <f t="shared" si="30"/>
        <v/>
      </c>
      <c r="GD28" s="182" t="str">
        <f t="shared" si="30"/>
        <v/>
      </c>
      <c r="GE28" s="182" t="str">
        <f t="shared" si="30"/>
        <v/>
      </c>
      <c r="GF28" s="182" t="str">
        <f t="shared" si="30"/>
        <v/>
      </c>
      <c r="GG28" s="182" t="str">
        <f t="shared" si="30"/>
        <v/>
      </c>
      <c r="GH28" s="182" t="str">
        <f t="shared" si="30"/>
        <v/>
      </c>
      <c r="GI28" s="182" t="str">
        <f t="shared" si="30"/>
        <v/>
      </c>
      <c r="GJ28" s="182" t="str">
        <f t="shared" si="30"/>
        <v/>
      </c>
      <c r="GK28" s="182" t="str">
        <f t="shared" si="30"/>
        <v/>
      </c>
      <c r="GL28" s="182" t="str">
        <f t="shared" si="30"/>
        <v/>
      </c>
      <c r="GM28" s="182" t="str">
        <f t="shared" si="30"/>
        <v/>
      </c>
      <c r="GN28" s="182" t="str">
        <f t="shared" si="28"/>
        <v/>
      </c>
      <c r="GO28" s="182" t="str">
        <f t="shared" si="28"/>
        <v/>
      </c>
      <c r="GP28" s="182" t="str">
        <f t="shared" si="28"/>
        <v/>
      </c>
    </row>
    <row r="29" spans="2:198" x14ac:dyDescent="0.3">
      <c r="B29" s="184">
        <f>'MF Rent Roll'!B28</f>
        <v>0</v>
      </c>
      <c r="C29" s="171">
        <f>'MF Rent Roll'!C28</f>
        <v>0</v>
      </c>
      <c r="D29" s="172">
        <f>'MF Rent Roll'!D28</f>
        <v>0</v>
      </c>
      <c r="E29" s="172">
        <f>'MF Rent Roll'!E28</f>
        <v>0</v>
      </c>
      <c r="F29" s="173">
        <f>'MF Rent Roll'!F28</f>
        <v>0</v>
      </c>
      <c r="G29" s="174">
        <f>'MF Rent Roll'!G28</f>
        <v>0</v>
      </c>
      <c r="H29" s="176">
        <f>'MF Rent Roll'!J28</f>
        <v>0</v>
      </c>
      <c r="I29" s="174">
        <f>'MF Rent Roll'!K28</f>
        <v>0</v>
      </c>
      <c r="J29" s="177">
        <f>'MF Rent Roll'!L28</f>
        <v>0</v>
      </c>
      <c r="K29" s="178">
        <f>'MF Rent Roll'!M28</f>
        <v>0</v>
      </c>
      <c r="L29" s="174">
        <f>'MF Rent Roll'!N28</f>
        <v>0</v>
      </c>
      <c r="M29" s="179">
        <f>'MF Rent Roll'!O28</f>
        <v>0</v>
      </c>
      <c r="N29" s="180" t="str">
        <f>'MF Rent Roll'!P28</f>
        <v/>
      </c>
      <c r="O29" s="181" t="str">
        <f>'MF Rent Roll'!Q28</f>
        <v/>
      </c>
      <c r="P29" s="104" t="str">
        <f>'MF Rent Roll'!R28</f>
        <v/>
      </c>
      <c r="S29" s="182" t="str">
        <f t="shared" si="12"/>
        <v/>
      </c>
      <c r="T29" s="182" t="str">
        <f t="shared" si="12"/>
        <v/>
      </c>
      <c r="U29" s="182" t="str">
        <f t="shared" si="12"/>
        <v/>
      </c>
      <c r="V29" s="182" t="str">
        <f t="shared" si="12"/>
        <v/>
      </c>
      <c r="W29" s="182" t="str">
        <f t="shared" si="12"/>
        <v/>
      </c>
      <c r="X29" s="182" t="str">
        <f t="shared" si="12"/>
        <v/>
      </c>
      <c r="Y29" s="182" t="str">
        <f t="shared" si="12"/>
        <v/>
      </c>
      <c r="Z29" s="182" t="str">
        <f t="shared" si="12"/>
        <v/>
      </c>
      <c r="AA29" s="182" t="str">
        <f t="shared" ref="AA29:AP39" si="31">IF($B29=0,"",INT(AA$4/$H29)=AA$4/$H29)</f>
        <v/>
      </c>
      <c r="AB29" s="182" t="str">
        <f t="shared" si="31"/>
        <v/>
      </c>
      <c r="AC29" s="182" t="str">
        <f t="shared" si="31"/>
        <v/>
      </c>
      <c r="AD29" s="182" t="str">
        <f t="shared" si="31"/>
        <v/>
      </c>
      <c r="AE29" s="182" t="str">
        <f t="shared" si="31"/>
        <v/>
      </c>
      <c r="AF29" s="182" t="str">
        <f t="shared" si="31"/>
        <v/>
      </c>
      <c r="AG29" s="182" t="str">
        <f t="shared" si="31"/>
        <v/>
      </c>
      <c r="AH29" s="182" t="str">
        <f t="shared" si="31"/>
        <v/>
      </c>
      <c r="AI29" s="182" t="str">
        <f t="shared" si="31"/>
        <v/>
      </c>
      <c r="AJ29" s="182" t="str">
        <f t="shared" si="31"/>
        <v/>
      </c>
      <c r="AK29" s="182" t="str">
        <f t="shared" si="31"/>
        <v/>
      </c>
      <c r="AL29" s="182" t="str">
        <f t="shared" si="31"/>
        <v/>
      </c>
      <c r="AM29" s="182" t="str">
        <f t="shared" si="31"/>
        <v/>
      </c>
      <c r="AN29" s="182" t="str">
        <f t="shared" si="31"/>
        <v/>
      </c>
      <c r="AO29" s="182" t="str">
        <f t="shared" si="31"/>
        <v/>
      </c>
      <c r="AP29" s="182" t="str">
        <f t="shared" si="31"/>
        <v/>
      </c>
      <c r="AQ29" s="182" t="str">
        <f t="shared" si="21"/>
        <v/>
      </c>
      <c r="AR29" s="182" t="str">
        <f t="shared" si="21"/>
        <v/>
      </c>
      <c r="AS29" s="182" t="str">
        <f t="shared" si="21"/>
        <v/>
      </c>
      <c r="AT29" s="182" t="str">
        <f t="shared" si="21"/>
        <v/>
      </c>
      <c r="AU29" s="182" t="str">
        <f t="shared" si="21"/>
        <v/>
      </c>
      <c r="AV29" s="182" t="str">
        <f t="shared" si="21"/>
        <v/>
      </c>
      <c r="AW29" s="182" t="str">
        <f t="shared" si="21"/>
        <v/>
      </c>
      <c r="AX29" s="182" t="str">
        <f t="shared" si="21"/>
        <v/>
      </c>
      <c r="AY29" s="182" t="str">
        <f t="shared" si="22"/>
        <v/>
      </c>
      <c r="AZ29" s="182" t="str">
        <f t="shared" si="22"/>
        <v/>
      </c>
      <c r="BA29" s="182" t="str">
        <f t="shared" si="22"/>
        <v/>
      </c>
      <c r="BB29" s="182" t="str">
        <f t="shared" si="22"/>
        <v/>
      </c>
      <c r="BC29" s="182" t="str">
        <f t="shared" si="22"/>
        <v/>
      </c>
      <c r="BD29" s="182" t="str">
        <f t="shared" si="22"/>
        <v/>
      </c>
      <c r="BE29" s="182" t="str">
        <f t="shared" si="22"/>
        <v/>
      </c>
      <c r="BF29" s="182" t="str">
        <f t="shared" si="22"/>
        <v/>
      </c>
      <c r="BG29" s="182" t="str">
        <f t="shared" si="22"/>
        <v/>
      </c>
      <c r="BH29" s="182" t="str">
        <f t="shared" si="22"/>
        <v/>
      </c>
      <c r="BI29" s="182" t="str">
        <f t="shared" si="22"/>
        <v/>
      </c>
      <c r="BJ29" s="182" t="str">
        <f t="shared" si="22"/>
        <v/>
      </c>
      <c r="BK29" s="182" t="str">
        <f t="shared" si="22"/>
        <v/>
      </c>
      <c r="BL29" s="182" t="str">
        <f t="shared" si="22"/>
        <v/>
      </c>
      <c r="BM29" s="182" t="str">
        <f t="shared" si="22"/>
        <v/>
      </c>
      <c r="BN29" s="182" t="str">
        <f t="shared" ref="BN29:CC39" si="32">IF($B29=0,"",INT(BN$4/$H29)=BN$4/$H29)</f>
        <v/>
      </c>
      <c r="BO29" s="182" t="str">
        <f t="shared" si="32"/>
        <v/>
      </c>
      <c r="BP29" s="182" t="str">
        <f t="shared" si="32"/>
        <v/>
      </c>
      <c r="BQ29" s="182" t="str">
        <f t="shared" si="32"/>
        <v/>
      </c>
      <c r="BR29" s="182" t="str">
        <f t="shared" si="32"/>
        <v/>
      </c>
      <c r="BS29" s="182" t="str">
        <f t="shared" si="32"/>
        <v/>
      </c>
      <c r="BT29" s="182" t="str">
        <f t="shared" si="32"/>
        <v/>
      </c>
      <c r="BU29" s="182" t="str">
        <f t="shared" si="32"/>
        <v/>
      </c>
      <c r="BV29" s="182" t="str">
        <f t="shared" si="32"/>
        <v/>
      </c>
      <c r="BW29" s="182" t="str">
        <f t="shared" si="32"/>
        <v/>
      </c>
      <c r="BX29" s="182" t="str">
        <f t="shared" si="32"/>
        <v/>
      </c>
      <c r="BY29" s="182" t="str">
        <f t="shared" si="32"/>
        <v/>
      </c>
      <c r="BZ29" s="182" t="str">
        <f t="shared" si="32"/>
        <v/>
      </c>
      <c r="CA29" s="182" t="str">
        <f t="shared" si="32"/>
        <v/>
      </c>
      <c r="CB29" s="182" t="str">
        <f t="shared" si="32"/>
        <v/>
      </c>
      <c r="CC29" s="182" t="str">
        <f t="shared" si="32"/>
        <v/>
      </c>
      <c r="CD29" s="182" t="str">
        <f t="shared" si="23"/>
        <v/>
      </c>
      <c r="CE29" s="182" t="str">
        <f t="shared" si="19"/>
        <v/>
      </c>
      <c r="CF29" s="182" t="str">
        <f t="shared" si="19"/>
        <v/>
      </c>
      <c r="CG29" s="182" t="str">
        <f t="shared" si="19"/>
        <v/>
      </c>
      <c r="CH29" s="182" t="str">
        <f t="shared" si="19"/>
        <v/>
      </c>
      <c r="CI29" s="182" t="str">
        <f t="shared" si="19"/>
        <v/>
      </c>
      <c r="CJ29" s="182" t="str">
        <f t="shared" si="19"/>
        <v/>
      </c>
      <c r="CK29" s="182" t="str">
        <f t="shared" si="19"/>
        <v/>
      </c>
      <c r="CL29" s="182" t="str">
        <f t="shared" si="19"/>
        <v/>
      </c>
      <c r="CM29" s="182" t="str">
        <f t="shared" si="19"/>
        <v/>
      </c>
      <c r="CN29" s="182" t="str">
        <f t="shared" si="19"/>
        <v/>
      </c>
      <c r="CO29" s="182" t="str">
        <f t="shared" si="19"/>
        <v/>
      </c>
      <c r="CP29" s="182" t="str">
        <f t="shared" si="19"/>
        <v/>
      </c>
      <c r="CQ29" s="182" t="str">
        <f t="shared" si="19"/>
        <v/>
      </c>
      <c r="CR29" s="182" t="str">
        <f t="shared" si="19"/>
        <v/>
      </c>
      <c r="CS29" s="182" t="str">
        <f t="shared" si="19"/>
        <v/>
      </c>
      <c r="CT29" s="182" t="str">
        <f t="shared" si="24"/>
        <v/>
      </c>
      <c r="CU29" s="182" t="str">
        <f t="shared" si="24"/>
        <v/>
      </c>
      <c r="CV29" s="182" t="str">
        <f t="shared" si="24"/>
        <v/>
      </c>
      <c r="CW29" s="182" t="str">
        <f t="shared" si="24"/>
        <v/>
      </c>
      <c r="CX29" s="182" t="str">
        <f t="shared" si="24"/>
        <v/>
      </c>
      <c r="CY29" s="182" t="str">
        <f t="shared" si="24"/>
        <v/>
      </c>
      <c r="CZ29" s="182" t="str">
        <f t="shared" si="24"/>
        <v/>
      </c>
      <c r="DA29" s="182" t="str">
        <f t="shared" si="24"/>
        <v/>
      </c>
      <c r="DB29" s="182" t="str">
        <f t="shared" si="24"/>
        <v/>
      </c>
      <c r="DC29" s="182" t="str">
        <f t="shared" si="24"/>
        <v/>
      </c>
      <c r="DD29" s="182" t="str">
        <f t="shared" si="24"/>
        <v/>
      </c>
      <c r="DE29" s="182" t="str">
        <f t="shared" si="24"/>
        <v/>
      </c>
      <c r="DF29" s="182" t="str">
        <f t="shared" si="24"/>
        <v/>
      </c>
      <c r="DG29" s="182" t="str">
        <f t="shared" si="24"/>
        <v/>
      </c>
      <c r="DH29" s="182" t="str">
        <f t="shared" si="24"/>
        <v/>
      </c>
      <c r="DI29" s="182" t="str">
        <f t="shared" ref="DI29:DX39" si="33">IF($B29=0,"",INT(DI$4/$H29)=DI$4/$H29)</f>
        <v/>
      </c>
      <c r="DJ29" s="182" t="str">
        <f t="shared" si="33"/>
        <v/>
      </c>
      <c r="DK29" s="182" t="str">
        <f t="shared" si="33"/>
        <v/>
      </c>
      <c r="DL29" s="182" t="str">
        <f t="shared" si="33"/>
        <v/>
      </c>
      <c r="DM29" s="182" t="str">
        <f t="shared" si="33"/>
        <v/>
      </c>
      <c r="DN29" s="182" t="str">
        <f t="shared" si="33"/>
        <v/>
      </c>
      <c r="DO29" s="182" t="str">
        <f t="shared" si="33"/>
        <v/>
      </c>
      <c r="DP29" s="182" t="str">
        <f t="shared" si="33"/>
        <v/>
      </c>
      <c r="DQ29" s="182" t="str">
        <f t="shared" si="33"/>
        <v/>
      </c>
      <c r="DR29" s="182" t="str">
        <f t="shared" si="33"/>
        <v/>
      </c>
      <c r="DS29" s="182" t="str">
        <f t="shared" si="33"/>
        <v/>
      </c>
      <c r="DT29" s="182" t="str">
        <f t="shared" si="33"/>
        <v/>
      </c>
      <c r="DU29" s="182" t="str">
        <f t="shared" si="33"/>
        <v/>
      </c>
      <c r="DV29" s="182" t="str">
        <f t="shared" si="33"/>
        <v/>
      </c>
      <c r="DW29" s="182" t="str">
        <f t="shared" si="33"/>
        <v/>
      </c>
      <c r="DX29" s="182" t="str">
        <f t="shared" si="33"/>
        <v/>
      </c>
      <c r="DY29" s="182" t="str">
        <f t="shared" si="25"/>
        <v/>
      </c>
      <c r="DZ29" s="182" t="str">
        <f t="shared" si="26"/>
        <v/>
      </c>
      <c r="EA29" s="182" t="str">
        <f t="shared" si="26"/>
        <v/>
      </c>
      <c r="EB29" s="182" t="str">
        <f t="shared" si="26"/>
        <v/>
      </c>
      <c r="EC29" s="182" t="str">
        <f t="shared" si="26"/>
        <v/>
      </c>
      <c r="ED29" s="182" t="str">
        <f t="shared" si="26"/>
        <v/>
      </c>
      <c r="EE29" s="182" t="str">
        <f t="shared" si="26"/>
        <v/>
      </c>
      <c r="EF29" s="182" t="str">
        <f t="shared" si="26"/>
        <v/>
      </c>
      <c r="EG29" s="182" t="str">
        <f t="shared" si="26"/>
        <v/>
      </c>
      <c r="EH29" s="182" t="str">
        <f t="shared" si="26"/>
        <v/>
      </c>
      <c r="EI29" s="182" t="str">
        <f t="shared" si="26"/>
        <v/>
      </c>
      <c r="EJ29" s="182" t="str">
        <f t="shared" si="26"/>
        <v/>
      </c>
      <c r="EK29" s="182" t="str">
        <f t="shared" si="26"/>
        <v/>
      </c>
      <c r="EL29" s="182" t="str">
        <f t="shared" si="26"/>
        <v/>
      </c>
      <c r="EM29" s="182" t="str">
        <f t="shared" si="26"/>
        <v/>
      </c>
      <c r="EN29" s="182" t="str">
        <f t="shared" si="26"/>
        <v/>
      </c>
      <c r="EO29" s="182" t="str">
        <f t="shared" ref="EO29:EQ39" si="34">IF($B29=0,"",INT(EO$4/$H29)=EO$4/$H29)</f>
        <v/>
      </c>
      <c r="EP29" s="182" t="str">
        <f t="shared" si="34"/>
        <v/>
      </c>
      <c r="EQ29" s="182" t="str">
        <f t="shared" si="34"/>
        <v/>
      </c>
      <c r="ER29" s="182" t="str">
        <f t="shared" si="20"/>
        <v/>
      </c>
      <c r="ES29" s="182" t="str">
        <f t="shared" si="20"/>
        <v/>
      </c>
      <c r="ET29" s="182" t="str">
        <f t="shared" si="20"/>
        <v/>
      </c>
      <c r="EU29" s="182" t="str">
        <f t="shared" si="20"/>
        <v/>
      </c>
      <c r="EV29" s="182" t="str">
        <f t="shared" si="20"/>
        <v/>
      </c>
      <c r="EW29" s="182" t="str">
        <f t="shared" si="20"/>
        <v/>
      </c>
      <c r="EX29" s="182" t="str">
        <f t="shared" si="20"/>
        <v/>
      </c>
      <c r="EY29" s="182" t="str">
        <f t="shared" si="20"/>
        <v/>
      </c>
      <c r="EZ29" s="182" t="str">
        <f t="shared" si="20"/>
        <v/>
      </c>
      <c r="FA29" s="182" t="str">
        <f t="shared" si="20"/>
        <v/>
      </c>
      <c r="FB29" s="182" t="str">
        <f t="shared" si="20"/>
        <v/>
      </c>
      <c r="FC29" s="182" t="str">
        <f t="shared" si="20"/>
        <v/>
      </c>
      <c r="FD29" s="182" t="str">
        <f t="shared" si="20"/>
        <v/>
      </c>
      <c r="FE29" s="182" t="str">
        <f t="shared" si="20"/>
        <v/>
      </c>
      <c r="FF29" s="182" t="str">
        <f t="shared" si="29"/>
        <v/>
      </c>
      <c r="FG29" s="182" t="str">
        <f t="shared" si="29"/>
        <v/>
      </c>
      <c r="FH29" s="182" t="str">
        <f t="shared" si="29"/>
        <v/>
      </c>
      <c r="FI29" s="182" t="str">
        <f t="shared" si="29"/>
        <v/>
      </c>
      <c r="FJ29" s="182" t="str">
        <f t="shared" si="29"/>
        <v/>
      </c>
      <c r="FK29" s="182" t="str">
        <f t="shared" si="29"/>
        <v/>
      </c>
      <c r="FL29" s="182" t="str">
        <f t="shared" si="29"/>
        <v/>
      </c>
      <c r="FM29" s="182" t="str">
        <f t="shared" si="29"/>
        <v/>
      </c>
      <c r="FN29" s="182" t="str">
        <f t="shared" si="29"/>
        <v/>
      </c>
      <c r="FO29" s="182" t="str">
        <f t="shared" si="29"/>
        <v/>
      </c>
      <c r="FP29" s="182" t="str">
        <f t="shared" si="29"/>
        <v/>
      </c>
      <c r="FQ29" s="182" t="str">
        <f t="shared" si="29"/>
        <v/>
      </c>
      <c r="FR29" s="182" t="str">
        <f t="shared" si="29"/>
        <v/>
      </c>
      <c r="FS29" s="182" t="str">
        <f t="shared" si="29"/>
        <v/>
      </c>
      <c r="FT29" s="182" t="str">
        <f t="shared" si="29"/>
        <v/>
      </c>
      <c r="FU29" s="182" t="str">
        <f t="shared" si="29"/>
        <v/>
      </c>
      <c r="FV29" s="182" t="str">
        <f t="shared" si="27"/>
        <v/>
      </c>
      <c r="FW29" s="182" t="str">
        <f t="shared" si="16"/>
        <v/>
      </c>
      <c r="FX29" s="182" t="str">
        <f t="shared" si="30"/>
        <v/>
      </c>
      <c r="FY29" s="182" t="str">
        <f t="shared" si="30"/>
        <v/>
      </c>
      <c r="FZ29" s="182" t="str">
        <f t="shared" si="30"/>
        <v/>
      </c>
      <c r="GA29" s="182" t="str">
        <f t="shared" si="30"/>
        <v/>
      </c>
      <c r="GB29" s="182" t="str">
        <f t="shared" si="30"/>
        <v/>
      </c>
      <c r="GC29" s="182" t="str">
        <f t="shared" si="30"/>
        <v/>
      </c>
      <c r="GD29" s="182" t="str">
        <f t="shared" si="30"/>
        <v/>
      </c>
      <c r="GE29" s="182" t="str">
        <f t="shared" si="30"/>
        <v/>
      </c>
      <c r="GF29" s="182" t="str">
        <f t="shared" si="30"/>
        <v/>
      </c>
      <c r="GG29" s="182" t="str">
        <f t="shared" si="30"/>
        <v/>
      </c>
      <c r="GH29" s="182" t="str">
        <f t="shared" si="30"/>
        <v/>
      </c>
      <c r="GI29" s="182" t="str">
        <f t="shared" si="30"/>
        <v/>
      </c>
      <c r="GJ29" s="182" t="str">
        <f t="shared" si="30"/>
        <v/>
      </c>
      <c r="GK29" s="182" t="str">
        <f t="shared" si="30"/>
        <v/>
      </c>
      <c r="GL29" s="182" t="str">
        <f t="shared" si="30"/>
        <v/>
      </c>
      <c r="GM29" s="182" t="str">
        <f t="shared" si="30"/>
        <v/>
      </c>
      <c r="GN29" s="182" t="str">
        <f t="shared" si="28"/>
        <v/>
      </c>
      <c r="GO29" s="182" t="str">
        <f t="shared" si="28"/>
        <v/>
      </c>
      <c r="GP29" s="182" t="str">
        <f t="shared" si="28"/>
        <v/>
      </c>
    </row>
    <row r="30" spans="2:198" x14ac:dyDescent="0.3">
      <c r="B30" s="184">
        <f>'MF Rent Roll'!B29</f>
        <v>0</v>
      </c>
      <c r="C30" s="171">
        <f>'MF Rent Roll'!C29</f>
        <v>0</v>
      </c>
      <c r="D30" s="172">
        <f>'MF Rent Roll'!D29</f>
        <v>0</v>
      </c>
      <c r="E30" s="172">
        <f>'MF Rent Roll'!E29</f>
        <v>0</v>
      </c>
      <c r="F30" s="173">
        <f>'MF Rent Roll'!F29</f>
        <v>0</v>
      </c>
      <c r="G30" s="174">
        <f>'MF Rent Roll'!G29</f>
        <v>0</v>
      </c>
      <c r="H30" s="176">
        <f>'MF Rent Roll'!J29</f>
        <v>0</v>
      </c>
      <c r="I30" s="174">
        <f>'MF Rent Roll'!K29</f>
        <v>0</v>
      </c>
      <c r="J30" s="177">
        <f>'MF Rent Roll'!L29</f>
        <v>0</v>
      </c>
      <c r="K30" s="178">
        <f>'MF Rent Roll'!M29</f>
        <v>0</v>
      </c>
      <c r="L30" s="174">
        <f>'MF Rent Roll'!N29</f>
        <v>0</v>
      </c>
      <c r="M30" s="179">
        <f>'MF Rent Roll'!O29</f>
        <v>0</v>
      </c>
      <c r="N30" s="180" t="str">
        <f>'MF Rent Roll'!P29</f>
        <v/>
      </c>
      <c r="O30" s="181" t="str">
        <f>'MF Rent Roll'!Q29</f>
        <v/>
      </c>
      <c r="P30" s="104" t="str">
        <f>'MF Rent Roll'!R29</f>
        <v/>
      </c>
      <c r="S30" s="182" t="str">
        <f t="shared" ref="S30:AH39" si="35">IF($B30=0,"",INT(S$4/$H30)=S$4/$H30)</f>
        <v/>
      </c>
      <c r="T30" s="182" t="str">
        <f t="shared" si="35"/>
        <v/>
      </c>
      <c r="U30" s="182" t="str">
        <f t="shared" si="35"/>
        <v/>
      </c>
      <c r="V30" s="182" t="str">
        <f t="shared" si="35"/>
        <v/>
      </c>
      <c r="W30" s="182" t="str">
        <f t="shared" si="35"/>
        <v/>
      </c>
      <c r="X30" s="182" t="str">
        <f t="shared" si="35"/>
        <v/>
      </c>
      <c r="Y30" s="182" t="str">
        <f t="shared" si="35"/>
        <v/>
      </c>
      <c r="Z30" s="182" t="str">
        <f t="shared" si="35"/>
        <v/>
      </c>
      <c r="AA30" s="182" t="str">
        <f t="shared" si="35"/>
        <v/>
      </c>
      <c r="AB30" s="182" t="str">
        <f t="shared" si="35"/>
        <v/>
      </c>
      <c r="AC30" s="182" t="str">
        <f t="shared" si="35"/>
        <v/>
      </c>
      <c r="AD30" s="182" t="str">
        <f t="shared" si="35"/>
        <v/>
      </c>
      <c r="AE30" s="182" t="str">
        <f t="shared" si="35"/>
        <v/>
      </c>
      <c r="AF30" s="182" t="str">
        <f t="shared" si="35"/>
        <v/>
      </c>
      <c r="AG30" s="182" t="str">
        <f t="shared" si="35"/>
        <v/>
      </c>
      <c r="AH30" s="182" t="str">
        <f t="shared" si="35"/>
        <v/>
      </c>
      <c r="AI30" s="182" t="str">
        <f t="shared" si="31"/>
        <v/>
      </c>
      <c r="AJ30" s="182" t="str">
        <f t="shared" si="31"/>
        <v/>
      </c>
      <c r="AK30" s="182" t="str">
        <f t="shared" si="31"/>
        <v/>
      </c>
      <c r="AL30" s="182" t="str">
        <f t="shared" si="31"/>
        <v/>
      </c>
      <c r="AM30" s="182" t="str">
        <f t="shared" si="31"/>
        <v/>
      </c>
      <c r="AN30" s="182" t="str">
        <f t="shared" si="31"/>
        <v/>
      </c>
      <c r="AO30" s="182" t="str">
        <f t="shared" si="31"/>
        <v/>
      </c>
      <c r="AP30" s="182" t="str">
        <f t="shared" si="31"/>
        <v/>
      </c>
      <c r="AQ30" s="182" t="str">
        <f t="shared" si="21"/>
        <v/>
      </c>
      <c r="AR30" s="182" t="str">
        <f t="shared" si="21"/>
        <v/>
      </c>
      <c r="AS30" s="182" t="str">
        <f t="shared" si="21"/>
        <v/>
      </c>
      <c r="AT30" s="182" t="str">
        <f t="shared" si="21"/>
        <v/>
      </c>
      <c r="AU30" s="182" t="str">
        <f t="shared" si="21"/>
        <v/>
      </c>
      <c r="AV30" s="182" t="str">
        <f t="shared" si="21"/>
        <v/>
      </c>
      <c r="AW30" s="182" t="str">
        <f t="shared" si="21"/>
        <v/>
      </c>
      <c r="AX30" s="182" t="str">
        <f t="shared" ref="AX30:BM39" si="36">IF($B30=0,"",INT(AX$4/$H30)=AX$4/$H30)</f>
        <v/>
      </c>
      <c r="AY30" s="182" t="str">
        <f t="shared" si="36"/>
        <v/>
      </c>
      <c r="AZ30" s="182" t="str">
        <f t="shared" si="36"/>
        <v/>
      </c>
      <c r="BA30" s="182" t="str">
        <f t="shared" si="36"/>
        <v/>
      </c>
      <c r="BB30" s="182" t="str">
        <f t="shared" si="36"/>
        <v/>
      </c>
      <c r="BC30" s="182" t="str">
        <f t="shared" si="36"/>
        <v/>
      </c>
      <c r="BD30" s="182" t="str">
        <f t="shared" si="36"/>
        <v/>
      </c>
      <c r="BE30" s="182" t="str">
        <f t="shared" si="36"/>
        <v/>
      </c>
      <c r="BF30" s="182" t="str">
        <f t="shared" si="36"/>
        <v/>
      </c>
      <c r="BG30" s="182" t="str">
        <f t="shared" si="36"/>
        <v/>
      </c>
      <c r="BH30" s="182" t="str">
        <f t="shared" si="36"/>
        <v/>
      </c>
      <c r="BI30" s="182" t="str">
        <f t="shared" si="36"/>
        <v/>
      </c>
      <c r="BJ30" s="182" t="str">
        <f t="shared" si="36"/>
        <v/>
      </c>
      <c r="BK30" s="182" t="str">
        <f t="shared" si="36"/>
        <v/>
      </c>
      <c r="BL30" s="182" t="str">
        <f t="shared" si="36"/>
        <v/>
      </c>
      <c r="BM30" s="182" t="str">
        <f t="shared" si="36"/>
        <v/>
      </c>
      <c r="BN30" s="182" t="str">
        <f t="shared" si="32"/>
        <v/>
      </c>
      <c r="BO30" s="182" t="str">
        <f t="shared" si="32"/>
        <v/>
      </c>
      <c r="BP30" s="182" t="str">
        <f t="shared" si="32"/>
        <v/>
      </c>
      <c r="BQ30" s="182" t="str">
        <f t="shared" si="32"/>
        <v/>
      </c>
      <c r="BR30" s="182" t="str">
        <f t="shared" si="32"/>
        <v/>
      </c>
      <c r="BS30" s="182" t="str">
        <f t="shared" si="32"/>
        <v/>
      </c>
      <c r="BT30" s="182" t="str">
        <f t="shared" si="32"/>
        <v/>
      </c>
      <c r="BU30" s="182" t="str">
        <f t="shared" si="32"/>
        <v/>
      </c>
      <c r="BV30" s="182" t="str">
        <f t="shared" si="32"/>
        <v/>
      </c>
      <c r="BW30" s="182" t="str">
        <f t="shared" si="32"/>
        <v/>
      </c>
      <c r="BX30" s="182" t="str">
        <f t="shared" si="32"/>
        <v/>
      </c>
      <c r="BY30" s="182" t="str">
        <f t="shared" si="32"/>
        <v/>
      </c>
      <c r="BZ30" s="182" t="str">
        <f t="shared" si="32"/>
        <v/>
      </c>
      <c r="CA30" s="182" t="str">
        <f t="shared" si="32"/>
        <v/>
      </c>
      <c r="CB30" s="182" t="str">
        <f t="shared" si="32"/>
        <v/>
      </c>
      <c r="CC30" s="182" t="str">
        <f t="shared" si="32"/>
        <v/>
      </c>
      <c r="CD30" s="182" t="str">
        <f t="shared" si="23"/>
        <v/>
      </c>
      <c r="CE30" s="182" t="str">
        <f t="shared" si="19"/>
        <v/>
      </c>
      <c r="CF30" s="182" t="str">
        <f t="shared" si="19"/>
        <v/>
      </c>
      <c r="CG30" s="182" t="str">
        <f t="shared" si="19"/>
        <v/>
      </c>
      <c r="CH30" s="182" t="str">
        <f t="shared" si="19"/>
        <v/>
      </c>
      <c r="CI30" s="182" t="str">
        <f t="shared" si="19"/>
        <v/>
      </c>
      <c r="CJ30" s="182" t="str">
        <f t="shared" si="19"/>
        <v/>
      </c>
      <c r="CK30" s="182" t="str">
        <f t="shared" si="19"/>
        <v/>
      </c>
      <c r="CL30" s="182" t="str">
        <f t="shared" si="19"/>
        <v/>
      </c>
      <c r="CM30" s="182" t="str">
        <f t="shared" si="19"/>
        <v/>
      </c>
      <c r="CN30" s="182" t="str">
        <f t="shared" si="19"/>
        <v/>
      </c>
      <c r="CO30" s="182" t="str">
        <f t="shared" si="19"/>
        <v/>
      </c>
      <c r="CP30" s="182" t="str">
        <f t="shared" si="19"/>
        <v/>
      </c>
      <c r="CQ30" s="182" t="str">
        <f t="shared" si="19"/>
        <v/>
      </c>
      <c r="CR30" s="182" t="str">
        <f t="shared" ref="CR30:DG39" si="37">IF($B30=0,"",INT(CR$4/$H30)=CR$4/$H30)</f>
        <v/>
      </c>
      <c r="CS30" s="182" t="str">
        <f t="shared" si="37"/>
        <v/>
      </c>
      <c r="CT30" s="182" t="str">
        <f t="shared" si="37"/>
        <v/>
      </c>
      <c r="CU30" s="182" t="str">
        <f t="shared" si="37"/>
        <v/>
      </c>
      <c r="CV30" s="182" t="str">
        <f t="shared" si="37"/>
        <v/>
      </c>
      <c r="CW30" s="182" t="str">
        <f t="shared" si="37"/>
        <v/>
      </c>
      <c r="CX30" s="182" t="str">
        <f t="shared" si="37"/>
        <v/>
      </c>
      <c r="CY30" s="182" t="str">
        <f t="shared" si="37"/>
        <v/>
      </c>
      <c r="CZ30" s="182" t="str">
        <f t="shared" si="37"/>
        <v/>
      </c>
      <c r="DA30" s="182" t="str">
        <f t="shared" si="37"/>
        <v/>
      </c>
      <c r="DB30" s="182" t="str">
        <f t="shared" si="37"/>
        <v/>
      </c>
      <c r="DC30" s="182" t="str">
        <f t="shared" si="37"/>
        <v/>
      </c>
      <c r="DD30" s="182" t="str">
        <f t="shared" si="37"/>
        <v/>
      </c>
      <c r="DE30" s="182" t="str">
        <f t="shared" si="37"/>
        <v/>
      </c>
      <c r="DF30" s="182" t="str">
        <f t="shared" si="37"/>
        <v/>
      </c>
      <c r="DG30" s="182" t="str">
        <f t="shared" si="37"/>
        <v/>
      </c>
      <c r="DH30" s="182" t="str">
        <f t="shared" ref="DH30:DW39" si="38">IF($B30=0,"",INT(DH$4/$H30)=DH$4/$H30)</f>
        <v/>
      </c>
      <c r="DI30" s="182" t="str">
        <f t="shared" si="38"/>
        <v/>
      </c>
      <c r="DJ30" s="182" t="str">
        <f t="shared" si="38"/>
        <v/>
      </c>
      <c r="DK30" s="182" t="str">
        <f t="shared" si="38"/>
        <v/>
      </c>
      <c r="DL30" s="182" t="str">
        <f t="shared" si="38"/>
        <v/>
      </c>
      <c r="DM30" s="182" t="str">
        <f t="shared" si="38"/>
        <v/>
      </c>
      <c r="DN30" s="182" t="str">
        <f t="shared" si="38"/>
        <v/>
      </c>
      <c r="DO30" s="182" t="str">
        <f t="shared" si="38"/>
        <v/>
      </c>
      <c r="DP30" s="182" t="str">
        <f t="shared" si="38"/>
        <v/>
      </c>
      <c r="DQ30" s="182" t="str">
        <f t="shared" si="38"/>
        <v/>
      </c>
      <c r="DR30" s="182" t="str">
        <f t="shared" si="38"/>
        <v/>
      </c>
      <c r="DS30" s="182" t="str">
        <f t="shared" si="38"/>
        <v/>
      </c>
      <c r="DT30" s="182" t="str">
        <f t="shared" si="38"/>
        <v/>
      </c>
      <c r="DU30" s="182" t="str">
        <f t="shared" si="38"/>
        <v/>
      </c>
      <c r="DV30" s="182" t="str">
        <f t="shared" si="38"/>
        <v/>
      </c>
      <c r="DW30" s="182" t="str">
        <f t="shared" si="38"/>
        <v/>
      </c>
      <c r="DX30" s="182" t="str">
        <f t="shared" si="33"/>
        <v/>
      </c>
      <c r="DY30" s="182" t="str">
        <f t="shared" si="25"/>
        <v/>
      </c>
      <c r="DZ30" s="182" t="str">
        <f t="shared" ref="DZ30:EO39" si="39">IF($B30=0,"",INT(DZ$4/$H30)=DZ$4/$H30)</f>
        <v/>
      </c>
      <c r="EA30" s="182" t="str">
        <f t="shared" si="39"/>
        <v/>
      </c>
      <c r="EB30" s="182" t="str">
        <f t="shared" si="39"/>
        <v/>
      </c>
      <c r="EC30" s="182" t="str">
        <f t="shared" si="39"/>
        <v/>
      </c>
      <c r="ED30" s="182" t="str">
        <f t="shared" si="39"/>
        <v/>
      </c>
      <c r="EE30" s="182" t="str">
        <f t="shared" si="39"/>
        <v/>
      </c>
      <c r="EF30" s="182" t="str">
        <f t="shared" si="39"/>
        <v/>
      </c>
      <c r="EG30" s="182" t="str">
        <f t="shared" si="39"/>
        <v/>
      </c>
      <c r="EH30" s="182" t="str">
        <f t="shared" si="39"/>
        <v/>
      </c>
      <c r="EI30" s="182" t="str">
        <f t="shared" si="39"/>
        <v/>
      </c>
      <c r="EJ30" s="182" t="str">
        <f t="shared" si="39"/>
        <v/>
      </c>
      <c r="EK30" s="182" t="str">
        <f t="shared" si="39"/>
        <v/>
      </c>
      <c r="EL30" s="182" t="str">
        <f t="shared" si="39"/>
        <v/>
      </c>
      <c r="EM30" s="182" t="str">
        <f t="shared" si="39"/>
        <v/>
      </c>
      <c r="EN30" s="182" t="str">
        <f t="shared" si="39"/>
        <v/>
      </c>
      <c r="EO30" s="182" t="str">
        <f t="shared" si="39"/>
        <v/>
      </c>
      <c r="EP30" s="182" t="str">
        <f t="shared" si="34"/>
        <v/>
      </c>
      <c r="EQ30" s="182" t="str">
        <f t="shared" si="34"/>
        <v/>
      </c>
      <c r="ER30" s="182" t="str">
        <f t="shared" si="20"/>
        <v/>
      </c>
      <c r="ES30" s="182" t="str">
        <f t="shared" si="20"/>
        <v/>
      </c>
      <c r="ET30" s="182" t="str">
        <f t="shared" si="20"/>
        <v/>
      </c>
      <c r="EU30" s="182" t="str">
        <f t="shared" si="20"/>
        <v/>
      </c>
      <c r="EV30" s="182" t="str">
        <f t="shared" si="20"/>
        <v/>
      </c>
      <c r="EW30" s="182" t="str">
        <f t="shared" si="20"/>
        <v/>
      </c>
      <c r="EX30" s="182" t="str">
        <f t="shared" si="20"/>
        <v/>
      </c>
      <c r="EY30" s="182" t="str">
        <f t="shared" si="20"/>
        <v/>
      </c>
      <c r="EZ30" s="182" t="str">
        <f t="shared" si="20"/>
        <v/>
      </c>
      <c r="FA30" s="182" t="str">
        <f t="shared" si="20"/>
        <v/>
      </c>
      <c r="FB30" s="182" t="str">
        <f t="shared" si="20"/>
        <v/>
      </c>
      <c r="FC30" s="182" t="str">
        <f t="shared" si="20"/>
        <v/>
      </c>
      <c r="FD30" s="182" t="str">
        <f t="shared" si="20"/>
        <v/>
      </c>
      <c r="FE30" s="182" t="str">
        <f t="shared" si="20"/>
        <v/>
      </c>
      <c r="FF30" s="182" t="str">
        <f t="shared" si="29"/>
        <v/>
      </c>
      <c r="FG30" s="182" t="str">
        <f t="shared" si="29"/>
        <v/>
      </c>
      <c r="FH30" s="182" t="str">
        <f t="shared" si="29"/>
        <v/>
      </c>
      <c r="FI30" s="182" t="str">
        <f t="shared" si="29"/>
        <v/>
      </c>
      <c r="FJ30" s="182" t="str">
        <f t="shared" si="29"/>
        <v/>
      </c>
      <c r="FK30" s="182" t="str">
        <f t="shared" si="29"/>
        <v/>
      </c>
      <c r="FL30" s="182" t="str">
        <f t="shared" si="29"/>
        <v/>
      </c>
      <c r="FM30" s="182" t="str">
        <f t="shared" si="29"/>
        <v/>
      </c>
      <c r="FN30" s="182" t="str">
        <f t="shared" si="29"/>
        <v/>
      </c>
      <c r="FO30" s="182" t="str">
        <f t="shared" si="29"/>
        <v/>
      </c>
      <c r="FP30" s="182" t="str">
        <f t="shared" si="29"/>
        <v/>
      </c>
      <c r="FQ30" s="182" t="str">
        <f t="shared" si="29"/>
        <v/>
      </c>
      <c r="FR30" s="182" t="str">
        <f t="shared" si="29"/>
        <v/>
      </c>
      <c r="FS30" s="182" t="str">
        <f t="shared" si="29"/>
        <v/>
      </c>
      <c r="FT30" s="182" t="str">
        <f t="shared" si="29"/>
        <v/>
      </c>
      <c r="FU30" s="182" t="str">
        <f t="shared" si="29"/>
        <v/>
      </c>
      <c r="FV30" s="182" t="str">
        <f t="shared" si="27"/>
        <v/>
      </c>
      <c r="FW30" s="182" t="str">
        <f t="shared" si="16"/>
        <v/>
      </c>
      <c r="FX30" s="182" t="str">
        <f t="shared" si="30"/>
        <v/>
      </c>
      <c r="FY30" s="182" t="str">
        <f t="shared" si="30"/>
        <v/>
      </c>
      <c r="FZ30" s="182" t="str">
        <f t="shared" si="30"/>
        <v/>
      </c>
      <c r="GA30" s="182" t="str">
        <f t="shared" si="30"/>
        <v/>
      </c>
      <c r="GB30" s="182" t="str">
        <f t="shared" si="30"/>
        <v/>
      </c>
      <c r="GC30" s="182" t="str">
        <f t="shared" si="30"/>
        <v/>
      </c>
      <c r="GD30" s="182" t="str">
        <f t="shared" si="30"/>
        <v/>
      </c>
      <c r="GE30" s="182" t="str">
        <f t="shared" si="30"/>
        <v/>
      </c>
      <c r="GF30" s="182" t="str">
        <f t="shared" si="30"/>
        <v/>
      </c>
      <c r="GG30" s="182" t="str">
        <f t="shared" si="30"/>
        <v/>
      </c>
      <c r="GH30" s="182" t="str">
        <f t="shared" si="30"/>
        <v/>
      </c>
      <c r="GI30" s="182" t="str">
        <f t="shared" si="30"/>
        <v/>
      </c>
      <c r="GJ30" s="182" t="str">
        <f t="shared" si="30"/>
        <v/>
      </c>
      <c r="GK30" s="182" t="str">
        <f t="shared" si="30"/>
        <v/>
      </c>
      <c r="GL30" s="182" t="str">
        <f t="shared" si="30"/>
        <v/>
      </c>
      <c r="GM30" s="182" t="str">
        <f t="shared" si="30"/>
        <v/>
      </c>
      <c r="GN30" s="182" t="str">
        <f t="shared" si="28"/>
        <v/>
      </c>
      <c r="GO30" s="182" t="str">
        <f t="shared" si="28"/>
        <v/>
      </c>
      <c r="GP30" s="182" t="str">
        <f t="shared" si="28"/>
        <v/>
      </c>
    </row>
    <row r="31" spans="2:198" x14ac:dyDescent="0.3">
      <c r="B31" s="184">
        <f>'MF Rent Roll'!B30</f>
        <v>0</v>
      </c>
      <c r="C31" s="171">
        <f>'MF Rent Roll'!C30</f>
        <v>0</v>
      </c>
      <c r="D31" s="172">
        <f>'MF Rent Roll'!D30</f>
        <v>0</v>
      </c>
      <c r="E31" s="172">
        <f>'MF Rent Roll'!E30</f>
        <v>0</v>
      </c>
      <c r="F31" s="173">
        <f>'MF Rent Roll'!F30</f>
        <v>0</v>
      </c>
      <c r="G31" s="174">
        <f>'MF Rent Roll'!G30</f>
        <v>0</v>
      </c>
      <c r="H31" s="176">
        <f>'MF Rent Roll'!J30</f>
        <v>0</v>
      </c>
      <c r="I31" s="174">
        <f>'MF Rent Roll'!K30</f>
        <v>0</v>
      </c>
      <c r="J31" s="177">
        <f>'MF Rent Roll'!L30</f>
        <v>0</v>
      </c>
      <c r="K31" s="178">
        <f>'MF Rent Roll'!M30</f>
        <v>0</v>
      </c>
      <c r="L31" s="174">
        <f>'MF Rent Roll'!N30</f>
        <v>0</v>
      </c>
      <c r="M31" s="179">
        <f>'MF Rent Roll'!O30</f>
        <v>0</v>
      </c>
      <c r="N31" s="180" t="str">
        <f>'MF Rent Roll'!P30</f>
        <v/>
      </c>
      <c r="O31" s="181" t="str">
        <f>'MF Rent Roll'!Q30</f>
        <v/>
      </c>
      <c r="P31" s="104" t="str">
        <f>'MF Rent Roll'!R30</f>
        <v/>
      </c>
      <c r="S31" s="182" t="str">
        <f t="shared" si="35"/>
        <v/>
      </c>
      <c r="T31" s="182" t="str">
        <f t="shared" si="35"/>
        <v/>
      </c>
      <c r="U31" s="182" t="str">
        <f t="shared" si="35"/>
        <v/>
      </c>
      <c r="V31" s="182" t="str">
        <f t="shared" si="35"/>
        <v/>
      </c>
      <c r="W31" s="182" t="str">
        <f t="shared" si="35"/>
        <v/>
      </c>
      <c r="X31" s="182" t="str">
        <f t="shared" si="35"/>
        <v/>
      </c>
      <c r="Y31" s="182" t="str">
        <f t="shared" si="35"/>
        <v/>
      </c>
      <c r="Z31" s="182" t="str">
        <f t="shared" si="35"/>
        <v/>
      </c>
      <c r="AA31" s="182" t="str">
        <f t="shared" si="35"/>
        <v/>
      </c>
      <c r="AB31" s="182" t="str">
        <f t="shared" si="35"/>
        <v/>
      </c>
      <c r="AC31" s="182" t="str">
        <f t="shared" si="35"/>
        <v/>
      </c>
      <c r="AD31" s="182" t="str">
        <f t="shared" si="35"/>
        <v/>
      </c>
      <c r="AE31" s="182" t="str">
        <f t="shared" si="35"/>
        <v/>
      </c>
      <c r="AF31" s="182" t="str">
        <f t="shared" si="35"/>
        <v/>
      </c>
      <c r="AG31" s="182" t="str">
        <f t="shared" si="35"/>
        <v/>
      </c>
      <c r="AH31" s="182" t="str">
        <f t="shared" si="35"/>
        <v/>
      </c>
      <c r="AI31" s="182" t="str">
        <f t="shared" si="31"/>
        <v/>
      </c>
      <c r="AJ31" s="182" t="str">
        <f t="shared" si="31"/>
        <v/>
      </c>
      <c r="AK31" s="182" t="str">
        <f t="shared" si="31"/>
        <v/>
      </c>
      <c r="AL31" s="182" t="str">
        <f t="shared" si="31"/>
        <v/>
      </c>
      <c r="AM31" s="182" t="str">
        <f t="shared" si="31"/>
        <v/>
      </c>
      <c r="AN31" s="182" t="str">
        <f t="shared" si="31"/>
        <v/>
      </c>
      <c r="AO31" s="182" t="str">
        <f t="shared" si="31"/>
        <v/>
      </c>
      <c r="AP31" s="182" t="str">
        <f t="shared" si="31"/>
        <v/>
      </c>
      <c r="AQ31" s="182" t="str">
        <f t="shared" ref="AQ31:BF39" si="40">IF($B31=0,"",INT(AQ$4/$H31)=AQ$4/$H31)</f>
        <v/>
      </c>
      <c r="AR31" s="182" t="str">
        <f t="shared" si="40"/>
        <v/>
      </c>
      <c r="AS31" s="182" t="str">
        <f t="shared" si="40"/>
        <v/>
      </c>
      <c r="AT31" s="182" t="str">
        <f t="shared" si="40"/>
        <v/>
      </c>
      <c r="AU31" s="182" t="str">
        <f t="shared" si="40"/>
        <v/>
      </c>
      <c r="AV31" s="182" t="str">
        <f t="shared" si="40"/>
        <v/>
      </c>
      <c r="AW31" s="182" t="str">
        <f t="shared" si="40"/>
        <v/>
      </c>
      <c r="AX31" s="182" t="str">
        <f t="shared" si="40"/>
        <v/>
      </c>
      <c r="AY31" s="182" t="str">
        <f t="shared" si="40"/>
        <v/>
      </c>
      <c r="AZ31" s="182" t="str">
        <f t="shared" si="40"/>
        <v/>
      </c>
      <c r="BA31" s="182" t="str">
        <f t="shared" si="40"/>
        <v/>
      </c>
      <c r="BB31" s="182" t="str">
        <f t="shared" si="40"/>
        <v/>
      </c>
      <c r="BC31" s="182" t="str">
        <f t="shared" si="40"/>
        <v/>
      </c>
      <c r="BD31" s="182" t="str">
        <f t="shared" si="40"/>
        <v/>
      </c>
      <c r="BE31" s="182" t="str">
        <f t="shared" si="40"/>
        <v/>
      </c>
      <c r="BF31" s="182" t="str">
        <f t="shared" si="40"/>
        <v/>
      </c>
      <c r="BG31" s="182" t="str">
        <f t="shared" si="36"/>
        <v/>
      </c>
      <c r="BH31" s="182" t="str">
        <f t="shared" si="36"/>
        <v/>
      </c>
      <c r="BI31" s="182" t="str">
        <f t="shared" si="36"/>
        <v/>
      </c>
      <c r="BJ31" s="182" t="str">
        <f t="shared" si="36"/>
        <v/>
      </c>
      <c r="BK31" s="182" t="str">
        <f t="shared" si="36"/>
        <v/>
      </c>
      <c r="BL31" s="182" t="str">
        <f t="shared" si="36"/>
        <v/>
      </c>
      <c r="BM31" s="182" t="str">
        <f t="shared" si="36"/>
        <v/>
      </c>
      <c r="BN31" s="182" t="str">
        <f t="shared" si="32"/>
        <v/>
      </c>
      <c r="BO31" s="182" t="str">
        <f t="shared" si="32"/>
        <v/>
      </c>
      <c r="BP31" s="182" t="str">
        <f t="shared" si="32"/>
        <v/>
      </c>
      <c r="BQ31" s="182" t="str">
        <f t="shared" si="32"/>
        <v/>
      </c>
      <c r="BR31" s="182" t="str">
        <f t="shared" si="32"/>
        <v/>
      </c>
      <c r="BS31" s="182" t="str">
        <f t="shared" si="32"/>
        <v/>
      </c>
      <c r="BT31" s="182" t="str">
        <f t="shared" si="32"/>
        <v/>
      </c>
      <c r="BU31" s="182" t="str">
        <f t="shared" si="32"/>
        <v/>
      </c>
      <c r="BV31" s="182" t="str">
        <f t="shared" si="32"/>
        <v/>
      </c>
      <c r="BW31" s="182" t="str">
        <f t="shared" si="32"/>
        <v/>
      </c>
      <c r="BX31" s="182" t="str">
        <f t="shared" si="32"/>
        <v/>
      </c>
      <c r="BY31" s="182" t="str">
        <f t="shared" si="32"/>
        <v/>
      </c>
      <c r="BZ31" s="182" t="str">
        <f t="shared" si="32"/>
        <v/>
      </c>
      <c r="CA31" s="182" t="str">
        <f t="shared" si="32"/>
        <v/>
      </c>
      <c r="CB31" s="182" t="str">
        <f t="shared" si="32"/>
        <v/>
      </c>
      <c r="CC31" s="182" t="str">
        <f t="shared" si="32"/>
        <v/>
      </c>
      <c r="CD31" s="182" t="str">
        <f t="shared" si="23"/>
        <v/>
      </c>
      <c r="CE31" s="182" t="str">
        <f t="shared" ref="CE31:CT39" si="41">IF($B31=0,"",INT(CE$4/$H31)=CE$4/$H31)</f>
        <v/>
      </c>
      <c r="CF31" s="182" t="str">
        <f t="shared" si="41"/>
        <v/>
      </c>
      <c r="CG31" s="182" t="str">
        <f t="shared" si="41"/>
        <v/>
      </c>
      <c r="CH31" s="182" t="str">
        <f t="shared" si="41"/>
        <v/>
      </c>
      <c r="CI31" s="182" t="str">
        <f t="shared" si="41"/>
        <v/>
      </c>
      <c r="CJ31" s="182" t="str">
        <f t="shared" si="41"/>
        <v/>
      </c>
      <c r="CK31" s="182" t="str">
        <f t="shared" si="41"/>
        <v/>
      </c>
      <c r="CL31" s="182" t="str">
        <f t="shared" si="41"/>
        <v/>
      </c>
      <c r="CM31" s="182" t="str">
        <f t="shared" si="41"/>
        <v/>
      </c>
      <c r="CN31" s="182" t="str">
        <f t="shared" si="41"/>
        <v/>
      </c>
      <c r="CO31" s="182" t="str">
        <f t="shared" si="41"/>
        <v/>
      </c>
      <c r="CP31" s="182" t="str">
        <f t="shared" si="41"/>
        <v/>
      </c>
      <c r="CQ31" s="182" t="str">
        <f t="shared" si="41"/>
        <v/>
      </c>
      <c r="CR31" s="182" t="str">
        <f t="shared" si="41"/>
        <v/>
      </c>
      <c r="CS31" s="182" t="str">
        <f t="shared" si="41"/>
        <v/>
      </c>
      <c r="CT31" s="182" t="str">
        <f t="shared" si="41"/>
        <v/>
      </c>
      <c r="CU31" s="182" t="str">
        <f t="shared" si="37"/>
        <v/>
      </c>
      <c r="CV31" s="182" t="str">
        <f t="shared" si="37"/>
        <v/>
      </c>
      <c r="CW31" s="182" t="str">
        <f t="shared" si="37"/>
        <v/>
      </c>
      <c r="CX31" s="182" t="str">
        <f t="shared" si="37"/>
        <v/>
      </c>
      <c r="CY31" s="182" t="str">
        <f t="shared" si="37"/>
        <v/>
      </c>
      <c r="CZ31" s="182" t="str">
        <f t="shared" si="37"/>
        <v/>
      </c>
      <c r="DA31" s="182" t="str">
        <f t="shared" si="37"/>
        <v/>
      </c>
      <c r="DB31" s="182" t="str">
        <f t="shared" si="37"/>
        <v/>
      </c>
      <c r="DC31" s="182" t="str">
        <f t="shared" si="37"/>
        <v/>
      </c>
      <c r="DD31" s="182" t="str">
        <f t="shared" si="37"/>
        <v/>
      </c>
      <c r="DE31" s="182" t="str">
        <f t="shared" si="37"/>
        <v/>
      </c>
      <c r="DF31" s="182" t="str">
        <f t="shared" si="37"/>
        <v/>
      </c>
      <c r="DG31" s="182" t="str">
        <f t="shared" si="37"/>
        <v/>
      </c>
      <c r="DH31" s="182" t="str">
        <f t="shared" si="38"/>
        <v/>
      </c>
      <c r="DI31" s="182" t="str">
        <f t="shared" si="38"/>
        <v/>
      </c>
      <c r="DJ31" s="182" t="str">
        <f t="shared" si="38"/>
        <v/>
      </c>
      <c r="DK31" s="182" t="str">
        <f t="shared" si="38"/>
        <v/>
      </c>
      <c r="DL31" s="182" t="str">
        <f t="shared" si="38"/>
        <v/>
      </c>
      <c r="DM31" s="182" t="str">
        <f t="shared" si="38"/>
        <v/>
      </c>
      <c r="DN31" s="182" t="str">
        <f t="shared" si="38"/>
        <v/>
      </c>
      <c r="DO31" s="182" t="str">
        <f t="shared" si="38"/>
        <v/>
      </c>
      <c r="DP31" s="182" t="str">
        <f t="shared" si="38"/>
        <v/>
      </c>
      <c r="DQ31" s="182" t="str">
        <f t="shared" si="38"/>
        <v/>
      </c>
      <c r="DR31" s="182" t="str">
        <f t="shared" si="38"/>
        <v/>
      </c>
      <c r="DS31" s="182" t="str">
        <f t="shared" si="38"/>
        <v/>
      </c>
      <c r="DT31" s="182" t="str">
        <f t="shared" si="38"/>
        <v/>
      </c>
      <c r="DU31" s="182" t="str">
        <f t="shared" si="38"/>
        <v/>
      </c>
      <c r="DV31" s="182" t="str">
        <f t="shared" si="38"/>
        <v/>
      </c>
      <c r="DW31" s="182" t="str">
        <f t="shared" si="38"/>
        <v/>
      </c>
      <c r="DX31" s="182" t="str">
        <f t="shared" si="33"/>
        <v/>
      </c>
      <c r="DY31" s="182" t="str">
        <f t="shared" si="25"/>
        <v/>
      </c>
      <c r="DZ31" s="182" t="str">
        <f t="shared" si="39"/>
        <v/>
      </c>
      <c r="EA31" s="182" t="str">
        <f t="shared" si="39"/>
        <v/>
      </c>
      <c r="EB31" s="182" t="str">
        <f t="shared" si="39"/>
        <v/>
      </c>
      <c r="EC31" s="182" t="str">
        <f t="shared" si="39"/>
        <v/>
      </c>
      <c r="ED31" s="182" t="str">
        <f t="shared" si="39"/>
        <v/>
      </c>
      <c r="EE31" s="182" t="str">
        <f t="shared" si="39"/>
        <v/>
      </c>
      <c r="EF31" s="182" t="str">
        <f t="shared" si="39"/>
        <v/>
      </c>
      <c r="EG31" s="182" t="str">
        <f t="shared" si="39"/>
        <v/>
      </c>
      <c r="EH31" s="182" t="str">
        <f t="shared" si="39"/>
        <v/>
      </c>
      <c r="EI31" s="182" t="str">
        <f t="shared" si="39"/>
        <v/>
      </c>
      <c r="EJ31" s="182" t="str">
        <f t="shared" si="39"/>
        <v/>
      </c>
      <c r="EK31" s="182" t="str">
        <f t="shared" si="39"/>
        <v/>
      </c>
      <c r="EL31" s="182" t="str">
        <f t="shared" si="39"/>
        <v/>
      </c>
      <c r="EM31" s="182" t="str">
        <f t="shared" si="39"/>
        <v/>
      </c>
      <c r="EN31" s="182" t="str">
        <f t="shared" si="39"/>
        <v/>
      </c>
      <c r="EO31" s="182" t="str">
        <f t="shared" si="39"/>
        <v/>
      </c>
      <c r="EP31" s="182" t="str">
        <f t="shared" si="34"/>
        <v/>
      </c>
      <c r="EQ31" s="182" t="str">
        <f t="shared" si="34"/>
        <v/>
      </c>
      <c r="ER31" s="182" t="str">
        <f t="shared" si="20"/>
        <v/>
      </c>
      <c r="ES31" s="182" t="str">
        <f t="shared" si="20"/>
        <v/>
      </c>
      <c r="ET31" s="182" t="str">
        <f t="shared" si="20"/>
        <v/>
      </c>
      <c r="EU31" s="182" t="str">
        <f t="shared" si="20"/>
        <v/>
      </c>
      <c r="EV31" s="182" t="str">
        <f t="shared" si="20"/>
        <v/>
      </c>
      <c r="EW31" s="182" t="str">
        <f t="shared" si="20"/>
        <v/>
      </c>
      <c r="EX31" s="182" t="str">
        <f t="shared" si="20"/>
        <v/>
      </c>
      <c r="EY31" s="182" t="str">
        <f t="shared" si="20"/>
        <v/>
      </c>
      <c r="EZ31" s="182" t="str">
        <f t="shared" si="20"/>
        <v/>
      </c>
      <c r="FA31" s="182" t="str">
        <f t="shared" si="20"/>
        <v/>
      </c>
      <c r="FB31" s="182" t="str">
        <f t="shared" si="20"/>
        <v/>
      </c>
      <c r="FC31" s="182" t="str">
        <f t="shared" si="20"/>
        <v/>
      </c>
      <c r="FD31" s="182" t="str">
        <f t="shared" si="20"/>
        <v/>
      </c>
      <c r="FE31" s="182" t="str">
        <f t="shared" si="20"/>
        <v/>
      </c>
      <c r="FF31" s="182" t="str">
        <f t="shared" si="29"/>
        <v/>
      </c>
      <c r="FG31" s="182" t="str">
        <f t="shared" si="29"/>
        <v/>
      </c>
      <c r="FH31" s="182" t="str">
        <f t="shared" si="29"/>
        <v/>
      </c>
      <c r="FI31" s="182" t="str">
        <f t="shared" si="29"/>
        <v/>
      </c>
      <c r="FJ31" s="182" t="str">
        <f t="shared" si="29"/>
        <v/>
      </c>
      <c r="FK31" s="182" t="str">
        <f t="shared" si="29"/>
        <v/>
      </c>
      <c r="FL31" s="182" t="str">
        <f t="shared" si="29"/>
        <v/>
      </c>
      <c r="FM31" s="182" t="str">
        <f t="shared" si="29"/>
        <v/>
      </c>
      <c r="FN31" s="182" t="str">
        <f t="shared" si="29"/>
        <v/>
      </c>
      <c r="FO31" s="182" t="str">
        <f t="shared" si="29"/>
        <v/>
      </c>
      <c r="FP31" s="182" t="str">
        <f t="shared" si="29"/>
        <v/>
      </c>
      <c r="FQ31" s="182" t="str">
        <f t="shared" si="29"/>
        <v/>
      </c>
      <c r="FR31" s="182" t="str">
        <f t="shared" si="29"/>
        <v/>
      </c>
      <c r="FS31" s="182" t="str">
        <f t="shared" si="29"/>
        <v/>
      </c>
      <c r="FT31" s="182" t="str">
        <f t="shared" si="29"/>
        <v/>
      </c>
      <c r="FU31" s="182" t="str">
        <f t="shared" si="29"/>
        <v/>
      </c>
      <c r="FV31" s="182" t="str">
        <f t="shared" si="27"/>
        <v/>
      </c>
      <c r="FW31" s="182" t="str">
        <f t="shared" si="16"/>
        <v/>
      </c>
      <c r="FX31" s="182" t="str">
        <f t="shared" si="30"/>
        <v/>
      </c>
      <c r="FY31" s="182" t="str">
        <f t="shared" si="30"/>
        <v/>
      </c>
      <c r="FZ31" s="182" t="str">
        <f t="shared" si="30"/>
        <v/>
      </c>
      <c r="GA31" s="182" t="str">
        <f t="shared" si="30"/>
        <v/>
      </c>
      <c r="GB31" s="182" t="str">
        <f t="shared" si="30"/>
        <v/>
      </c>
      <c r="GC31" s="182" t="str">
        <f t="shared" si="30"/>
        <v/>
      </c>
      <c r="GD31" s="182" t="str">
        <f t="shared" si="30"/>
        <v/>
      </c>
      <c r="GE31" s="182" t="str">
        <f t="shared" si="30"/>
        <v/>
      </c>
      <c r="GF31" s="182" t="str">
        <f t="shared" si="30"/>
        <v/>
      </c>
      <c r="GG31" s="182" t="str">
        <f t="shared" si="30"/>
        <v/>
      </c>
      <c r="GH31" s="182" t="str">
        <f t="shared" si="30"/>
        <v/>
      </c>
      <c r="GI31" s="182" t="str">
        <f t="shared" si="30"/>
        <v/>
      </c>
      <c r="GJ31" s="182" t="str">
        <f t="shared" si="30"/>
        <v/>
      </c>
      <c r="GK31" s="182" t="str">
        <f t="shared" si="30"/>
        <v/>
      </c>
      <c r="GL31" s="182" t="str">
        <f t="shared" si="30"/>
        <v/>
      </c>
      <c r="GM31" s="182" t="str">
        <f t="shared" si="30"/>
        <v/>
      </c>
      <c r="GN31" s="182" t="str">
        <f t="shared" si="28"/>
        <v/>
      </c>
      <c r="GO31" s="182" t="str">
        <f t="shared" si="28"/>
        <v/>
      </c>
      <c r="GP31" s="182" t="str">
        <f t="shared" si="28"/>
        <v/>
      </c>
    </row>
    <row r="32" spans="2:198" x14ac:dyDescent="0.3">
      <c r="B32" s="184">
        <f>'MF Rent Roll'!B31</f>
        <v>0</v>
      </c>
      <c r="C32" s="171">
        <f>'MF Rent Roll'!C31</f>
        <v>0</v>
      </c>
      <c r="D32" s="172">
        <f>'MF Rent Roll'!D31</f>
        <v>0</v>
      </c>
      <c r="E32" s="172">
        <f>'MF Rent Roll'!E31</f>
        <v>0</v>
      </c>
      <c r="F32" s="173">
        <f>'MF Rent Roll'!F31</f>
        <v>0</v>
      </c>
      <c r="G32" s="174">
        <f>'MF Rent Roll'!G31</f>
        <v>0</v>
      </c>
      <c r="H32" s="176">
        <f>'MF Rent Roll'!J31</f>
        <v>0</v>
      </c>
      <c r="I32" s="174">
        <f>'MF Rent Roll'!K31</f>
        <v>0</v>
      </c>
      <c r="J32" s="177">
        <f>'MF Rent Roll'!L31</f>
        <v>0</v>
      </c>
      <c r="K32" s="178">
        <f>'MF Rent Roll'!M31</f>
        <v>0</v>
      </c>
      <c r="L32" s="174">
        <f>'MF Rent Roll'!N31</f>
        <v>0</v>
      </c>
      <c r="M32" s="179">
        <f>'MF Rent Roll'!O31</f>
        <v>0</v>
      </c>
      <c r="N32" s="180" t="str">
        <f>'MF Rent Roll'!P31</f>
        <v/>
      </c>
      <c r="O32" s="181" t="str">
        <f>'MF Rent Roll'!Q31</f>
        <v/>
      </c>
      <c r="P32" s="104" t="str">
        <f>'MF Rent Roll'!R31</f>
        <v/>
      </c>
      <c r="S32" s="182" t="str">
        <f t="shared" si="35"/>
        <v/>
      </c>
      <c r="T32" s="182" t="str">
        <f t="shared" si="35"/>
        <v/>
      </c>
      <c r="U32" s="182" t="str">
        <f t="shared" si="35"/>
        <v/>
      </c>
      <c r="V32" s="182" t="str">
        <f t="shared" si="35"/>
        <v/>
      </c>
      <c r="W32" s="182" t="str">
        <f t="shared" si="35"/>
        <v/>
      </c>
      <c r="X32" s="182" t="str">
        <f t="shared" si="35"/>
        <v/>
      </c>
      <c r="Y32" s="182" t="str">
        <f t="shared" si="35"/>
        <v/>
      </c>
      <c r="Z32" s="182" t="str">
        <f t="shared" si="35"/>
        <v/>
      </c>
      <c r="AA32" s="182" t="str">
        <f t="shared" si="35"/>
        <v/>
      </c>
      <c r="AB32" s="182" t="str">
        <f t="shared" si="35"/>
        <v/>
      </c>
      <c r="AC32" s="182" t="str">
        <f t="shared" si="35"/>
        <v/>
      </c>
      <c r="AD32" s="182" t="str">
        <f t="shared" si="35"/>
        <v/>
      </c>
      <c r="AE32" s="182" t="str">
        <f t="shared" si="35"/>
        <v/>
      </c>
      <c r="AF32" s="182" t="str">
        <f t="shared" si="35"/>
        <v/>
      </c>
      <c r="AG32" s="182" t="str">
        <f t="shared" si="35"/>
        <v/>
      </c>
      <c r="AH32" s="182" t="str">
        <f t="shared" si="35"/>
        <v/>
      </c>
      <c r="AI32" s="182" t="str">
        <f t="shared" si="31"/>
        <v/>
      </c>
      <c r="AJ32" s="182" t="str">
        <f t="shared" si="31"/>
        <v/>
      </c>
      <c r="AK32" s="182" t="str">
        <f t="shared" si="31"/>
        <v/>
      </c>
      <c r="AL32" s="182" t="str">
        <f t="shared" si="31"/>
        <v/>
      </c>
      <c r="AM32" s="182" t="str">
        <f t="shared" si="31"/>
        <v/>
      </c>
      <c r="AN32" s="182" t="str">
        <f t="shared" si="31"/>
        <v/>
      </c>
      <c r="AO32" s="182" t="str">
        <f t="shared" si="31"/>
        <v/>
      </c>
      <c r="AP32" s="182" t="str">
        <f t="shared" si="31"/>
        <v/>
      </c>
      <c r="AQ32" s="182" t="str">
        <f t="shared" si="40"/>
        <v/>
      </c>
      <c r="AR32" s="182" t="str">
        <f t="shared" si="40"/>
        <v/>
      </c>
      <c r="AS32" s="182" t="str">
        <f t="shared" si="40"/>
        <v/>
      </c>
      <c r="AT32" s="182" t="str">
        <f t="shared" si="40"/>
        <v/>
      </c>
      <c r="AU32" s="182" t="str">
        <f t="shared" si="40"/>
        <v/>
      </c>
      <c r="AV32" s="182" t="str">
        <f t="shared" si="40"/>
        <v/>
      </c>
      <c r="AW32" s="182" t="str">
        <f t="shared" si="40"/>
        <v/>
      </c>
      <c r="AX32" s="182" t="str">
        <f t="shared" si="40"/>
        <v/>
      </c>
      <c r="AY32" s="182" t="str">
        <f t="shared" si="40"/>
        <v/>
      </c>
      <c r="AZ32" s="182" t="str">
        <f t="shared" si="40"/>
        <v/>
      </c>
      <c r="BA32" s="182" t="str">
        <f t="shared" si="40"/>
        <v/>
      </c>
      <c r="BB32" s="182" t="str">
        <f t="shared" si="40"/>
        <v/>
      </c>
      <c r="BC32" s="182" t="str">
        <f t="shared" si="40"/>
        <v/>
      </c>
      <c r="BD32" s="182" t="str">
        <f t="shared" si="40"/>
        <v/>
      </c>
      <c r="BE32" s="182" t="str">
        <f t="shared" si="40"/>
        <v/>
      </c>
      <c r="BF32" s="182" t="str">
        <f t="shared" si="40"/>
        <v/>
      </c>
      <c r="BG32" s="182" t="str">
        <f t="shared" si="36"/>
        <v/>
      </c>
      <c r="BH32" s="182" t="str">
        <f t="shared" si="36"/>
        <v/>
      </c>
      <c r="BI32" s="182" t="str">
        <f t="shared" si="36"/>
        <v/>
      </c>
      <c r="BJ32" s="182" t="str">
        <f t="shared" si="36"/>
        <v/>
      </c>
      <c r="BK32" s="182" t="str">
        <f t="shared" si="36"/>
        <v/>
      </c>
      <c r="BL32" s="182" t="str">
        <f t="shared" si="36"/>
        <v/>
      </c>
      <c r="BM32" s="182" t="str">
        <f t="shared" si="36"/>
        <v/>
      </c>
      <c r="BN32" s="182" t="str">
        <f t="shared" si="32"/>
        <v/>
      </c>
      <c r="BO32" s="182" t="str">
        <f t="shared" si="32"/>
        <v/>
      </c>
      <c r="BP32" s="182" t="str">
        <f t="shared" si="32"/>
        <v/>
      </c>
      <c r="BQ32" s="182" t="str">
        <f t="shared" si="32"/>
        <v/>
      </c>
      <c r="BR32" s="182" t="str">
        <f t="shared" si="32"/>
        <v/>
      </c>
      <c r="BS32" s="182" t="str">
        <f t="shared" si="32"/>
        <v/>
      </c>
      <c r="BT32" s="182" t="str">
        <f t="shared" si="32"/>
        <v/>
      </c>
      <c r="BU32" s="182" t="str">
        <f t="shared" si="32"/>
        <v/>
      </c>
      <c r="BV32" s="182" t="str">
        <f t="shared" si="32"/>
        <v/>
      </c>
      <c r="BW32" s="182" t="str">
        <f t="shared" si="32"/>
        <v/>
      </c>
      <c r="BX32" s="182" t="str">
        <f t="shared" si="32"/>
        <v/>
      </c>
      <c r="BY32" s="182" t="str">
        <f t="shared" si="32"/>
        <v/>
      </c>
      <c r="BZ32" s="182" t="str">
        <f t="shared" si="32"/>
        <v/>
      </c>
      <c r="CA32" s="182" t="str">
        <f t="shared" si="32"/>
        <v/>
      </c>
      <c r="CB32" s="182" t="str">
        <f t="shared" si="32"/>
        <v/>
      </c>
      <c r="CC32" s="182" t="str">
        <f t="shared" si="32"/>
        <v/>
      </c>
      <c r="CD32" s="182" t="str">
        <f t="shared" si="23"/>
        <v/>
      </c>
      <c r="CE32" s="182" t="str">
        <f t="shared" si="41"/>
        <v/>
      </c>
      <c r="CF32" s="182" t="str">
        <f t="shared" si="41"/>
        <v/>
      </c>
      <c r="CG32" s="182" t="str">
        <f t="shared" si="41"/>
        <v/>
      </c>
      <c r="CH32" s="182" t="str">
        <f t="shared" si="41"/>
        <v/>
      </c>
      <c r="CI32" s="182" t="str">
        <f t="shared" si="41"/>
        <v/>
      </c>
      <c r="CJ32" s="182" t="str">
        <f t="shared" si="41"/>
        <v/>
      </c>
      <c r="CK32" s="182" t="str">
        <f t="shared" si="41"/>
        <v/>
      </c>
      <c r="CL32" s="182" t="str">
        <f t="shared" si="41"/>
        <v/>
      </c>
      <c r="CM32" s="182" t="str">
        <f t="shared" si="41"/>
        <v/>
      </c>
      <c r="CN32" s="182" t="str">
        <f t="shared" si="41"/>
        <v/>
      </c>
      <c r="CO32" s="182" t="str">
        <f t="shared" si="41"/>
        <v/>
      </c>
      <c r="CP32" s="182" t="str">
        <f t="shared" si="41"/>
        <v/>
      </c>
      <c r="CQ32" s="182" t="str">
        <f t="shared" si="41"/>
        <v/>
      </c>
      <c r="CR32" s="182" t="str">
        <f t="shared" si="41"/>
        <v/>
      </c>
      <c r="CS32" s="182" t="str">
        <f t="shared" si="41"/>
        <v/>
      </c>
      <c r="CT32" s="182" t="str">
        <f t="shared" si="41"/>
        <v/>
      </c>
      <c r="CU32" s="182" t="str">
        <f t="shared" si="37"/>
        <v/>
      </c>
      <c r="CV32" s="182" t="str">
        <f t="shared" si="37"/>
        <v/>
      </c>
      <c r="CW32" s="182" t="str">
        <f t="shared" si="37"/>
        <v/>
      </c>
      <c r="CX32" s="182" t="str">
        <f t="shared" si="37"/>
        <v/>
      </c>
      <c r="CY32" s="182" t="str">
        <f t="shared" si="37"/>
        <v/>
      </c>
      <c r="CZ32" s="182" t="str">
        <f t="shared" si="37"/>
        <v/>
      </c>
      <c r="DA32" s="182" t="str">
        <f t="shared" si="37"/>
        <v/>
      </c>
      <c r="DB32" s="182" t="str">
        <f t="shared" si="37"/>
        <v/>
      </c>
      <c r="DC32" s="182" t="str">
        <f t="shared" si="37"/>
        <v/>
      </c>
      <c r="DD32" s="182" t="str">
        <f t="shared" si="37"/>
        <v/>
      </c>
      <c r="DE32" s="182" t="str">
        <f t="shared" si="37"/>
        <v/>
      </c>
      <c r="DF32" s="182" t="str">
        <f t="shared" si="37"/>
        <v/>
      </c>
      <c r="DG32" s="182" t="str">
        <f t="shared" si="37"/>
        <v/>
      </c>
      <c r="DH32" s="182" t="str">
        <f t="shared" si="38"/>
        <v/>
      </c>
      <c r="DI32" s="182" t="str">
        <f t="shared" si="38"/>
        <v/>
      </c>
      <c r="DJ32" s="182" t="str">
        <f t="shared" si="38"/>
        <v/>
      </c>
      <c r="DK32" s="182" t="str">
        <f t="shared" si="38"/>
        <v/>
      </c>
      <c r="DL32" s="182" t="str">
        <f t="shared" si="38"/>
        <v/>
      </c>
      <c r="DM32" s="182" t="str">
        <f t="shared" si="38"/>
        <v/>
      </c>
      <c r="DN32" s="182" t="str">
        <f t="shared" si="38"/>
        <v/>
      </c>
      <c r="DO32" s="182" t="str">
        <f t="shared" si="38"/>
        <v/>
      </c>
      <c r="DP32" s="182" t="str">
        <f t="shared" si="38"/>
        <v/>
      </c>
      <c r="DQ32" s="182" t="str">
        <f t="shared" si="38"/>
        <v/>
      </c>
      <c r="DR32" s="182" t="str">
        <f t="shared" si="38"/>
        <v/>
      </c>
      <c r="DS32" s="182" t="str">
        <f t="shared" si="38"/>
        <v/>
      </c>
      <c r="DT32" s="182" t="str">
        <f t="shared" si="38"/>
        <v/>
      </c>
      <c r="DU32" s="182" t="str">
        <f t="shared" si="38"/>
        <v/>
      </c>
      <c r="DV32" s="182" t="str">
        <f t="shared" si="38"/>
        <v/>
      </c>
      <c r="DW32" s="182" t="str">
        <f t="shared" si="38"/>
        <v/>
      </c>
      <c r="DX32" s="182" t="str">
        <f t="shared" si="33"/>
        <v/>
      </c>
      <c r="DY32" s="182" t="str">
        <f t="shared" si="25"/>
        <v/>
      </c>
      <c r="DZ32" s="182" t="str">
        <f t="shared" si="39"/>
        <v/>
      </c>
      <c r="EA32" s="182" t="str">
        <f t="shared" si="39"/>
        <v/>
      </c>
      <c r="EB32" s="182" t="str">
        <f t="shared" si="39"/>
        <v/>
      </c>
      <c r="EC32" s="182" t="str">
        <f t="shared" si="39"/>
        <v/>
      </c>
      <c r="ED32" s="182" t="str">
        <f t="shared" si="39"/>
        <v/>
      </c>
      <c r="EE32" s="182" t="str">
        <f t="shared" si="39"/>
        <v/>
      </c>
      <c r="EF32" s="182" t="str">
        <f t="shared" si="39"/>
        <v/>
      </c>
      <c r="EG32" s="182" t="str">
        <f t="shared" si="39"/>
        <v/>
      </c>
      <c r="EH32" s="182" t="str">
        <f t="shared" si="39"/>
        <v/>
      </c>
      <c r="EI32" s="182" t="str">
        <f t="shared" si="39"/>
        <v/>
      </c>
      <c r="EJ32" s="182" t="str">
        <f t="shared" si="39"/>
        <v/>
      </c>
      <c r="EK32" s="182" t="str">
        <f t="shared" si="39"/>
        <v/>
      </c>
      <c r="EL32" s="182" t="str">
        <f t="shared" si="39"/>
        <v/>
      </c>
      <c r="EM32" s="182" t="str">
        <f t="shared" si="39"/>
        <v/>
      </c>
      <c r="EN32" s="182" t="str">
        <f t="shared" si="39"/>
        <v/>
      </c>
      <c r="EO32" s="182" t="str">
        <f t="shared" si="39"/>
        <v/>
      </c>
      <c r="EP32" s="182" t="str">
        <f t="shared" si="34"/>
        <v/>
      </c>
      <c r="EQ32" s="182" t="str">
        <f t="shared" si="34"/>
        <v/>
      </c>
      <c r="ER32" s="182" t="str">
        <f t="shared" si="20"/>
        <v/>
      </c>
      <c r="ES32" s="182" t="str">
        <f t="shared" si="20"/>
        <v/>
      </c>
      <c r="ET32" s="182" t="str">
        <f t="shared" si="20"/>
        <v/>
      </c>
      <c r="EU32" s="182" t="str">
        <f t="shared" si="20"/>
        <v/>
      </c>
      <c r="EV32" s="182" t="str">
        <f t="shared" si="20"/>
        <v/>
      </c>
      <c r="EW32" s="182" t="str">
        <f t="shared" si="20"/>
        <v/>
      </c>
      <c r="EX32" s="182" t="str">
        <f t="shared" si="20"/>
        <v/>
      </c>
      <c r="EY32" s="182" t="str">
        <f t="shared" si="20"/>
        <v/>
      </c>
      <c r="EZ32" s="182" t="str">
        <f t="shared" si="20"/>
        <v/>
      </c>
      <c r="FA32" s="182" t="str">
        <f t="shared" si="20"/>
        <v/>
      </c>
      <c r="FB32" s="182" t="str">
        <f t="shared" si="20"/>
        <v/>
      </c>
      <c r="FC32" s="182" t="str">
        <f t="shared" si="20"/>
        <v/>
      </c>
      <c r="FD32" s="182" t="str">
        <f t="shared" si="20"/>
        <v/>
      </c>
      <c r="FE32" s="182" t="str">
        <f t="shared" si="20"/>
        <v/>
      </c>
      <c r="FF32" s="182" t="str">
        <f t="shared" si="29"/>
        <v/>
      </c>
      <c r="FG32" s="182" t="str">
        <f t="shared" si="29"/>
        <v/>
      </c>
      <c r="FH32" s="182" t="str">
        <f t="shared" si="29"/>
        <v/>
      </c>
      <c r="FI32" s="182" t="str">
        <f t="shared" si="29"/>
        <v/>
      </c>
      <c r="FJ32" s="182" t="str">
        <f t="shared" si="29"/>
        <v/>
      </c>
      <c r="FK32" s="182" t="str">
        <f t="shared" si="29"/>
        <v/>
      </c>
      <c r="FL32" s="182" t="str">
        <f t="shared" si="29"/>
        <v/>
      </c>
      <c r="FM32" s="182" t="str">
        <f t="shared" si="29"/>
        <v/>
      </c>
      <c r="FN32" s="182" t="str">
        <f t="shared" si="29"/>
        <v/>
      </c>
      <c r="FO32" s="182" t="str">
        <f t="shared" si="29"/>
        <v/>
      </c>
      <c r="FP32" s="182" t="str">
        <f t="shared" si="29"/>
        <v/>
      </c>
      <c r="FQ32" s="182" t="str">
        <f t="shared" si="29"/>
        <v/>
      </c>
      <c r="FR32" s="182" t="str">
        <f t="shared" si="29"/>
        <v/>
      </c>
      <c r="FS32" s="182" t="str">
        <f t="shared" si="29"/>
        <v/>
      </c>
      <c r="FT32" s="182" t="str">
        <f t="shared" si="29"/>
        <v/>
      </c>
      <c r="FU32" s="182" t="str">
        <f t="shared" si="29"/>
        <v/>
      </c>
      <c r="FV32" s="182" t="str">
        <f t="shared" si="27"/>
        <v/>
      </c>
      <c r="FW32" s="182" t="str">
        <f t="shared" si="16"/>
        <v/>
      </c>
      <c r="FX32" s="182" t="str">
        <f t="shared" si="30"/>
        <v/>
      </c>
      <c r="FY32" s="182" t="str">
        <f t="shared" si="30"/>
        <v/>
      </c>
      <c r="FZ32" s="182" t="str">
        <f t="shared" si="30"/>
        <v/>
      </c>
      <c r="GA32" s="182" t="str">
        <f t="shared" si="30"/>
        <v/>
      </c>
      <c r="GB32" s="182" t="str">
        <f t="shared" si="30"/>
        <v/>
      </c>
      <c r="GC32" s="182" t="str">
        <f t="shared" si="30"/>
        <v/>
      </c>
      <c r="GD32" s="182" t="str">
        <f t="shared" si="30"/>
        <v/>
      </c>
      <c r="GE32" s="182" t="str">
        <f t="shared" si="30"/>
        <v/>
      </c>
      <c r="GF32" s="182" t="str">
        <f t="shared" si="30"/>
        <v/>
      </c>
      <c r="GG32" s="182" t="str">
        <f t="shared" si="30"/>
        <v/>
      </c>
      <c r="GH32" s="182" t="str">
        <f t="shared" si="30"/>
        <v/>
      </c>
      <c r="GI32" s="182" t="str">
        <f t="shared" si="30"/>
        <v/>
      </c>
      <c r="GJ32" s="182" t="str">
        <f t="shared" si="30"/>
        <v/>
      </c>
      <c r="GK32" s="182" t="str">
        <f t="shared" si="30"/>
        <v/>
      </c>
      <c r="GL32" s="182" t="str">
        <f t="shared" si="30"/>
        <v/>
      </c>
      <c r="GM32" s="182" t="str">
        <f t="shared" si="30"/>
        <v/>
      </c>
      <c r="GN32" s="182" t="str">
        <f t="shared" si="28"/>
        <v/>
      </c>
      <c r="GO32" s="182" t="str">
        <f t="shared" si="28"/>
        <v/>
      </c>
      <c r="GP32" s="182" t="str">
        <f t="shared" si="28"/>
        <v/>
      </c>
    </row>
    <row r="33" spans="2:198" x14ac:dyDescent="0.3">
      <c r="B33" s="184">
        <f>'MF Rent Roll'!B32</f>
        <v>0</v>
      </c>
      <c r="C33" s="171">
        <f>'MF Rent Roll'!C32</f>
        <v>0</v>
      </c>
      <c r="D33" s="172">
        <f>'MF Rent Roll'!D32</f>
        <v>0</v>
      </c>
      <c r="E33" s="172">
        <f>'MF Rent Roll'!E32</f>
        <v>0</v>
      </c>
      <c r="F33" s="173">
        <f>'MF Rent Roll'!F32</f>
        <v>0</v>
      </c>
      <c r="G33" s="174">
        <f>'MF Rent Roll'!G32</f>
        <v>0</v>
      </c>
      <c r="H33" s="176">
        <f>'MF Rent Roll'!J32</f>
        <v>0</v>
      </c>
      <c r="I33" s="174">
        <f>'MF Rent Roll'!K32</f>
        <v>0</v>
      </c>
      <c r="J33" s="177">
        <f>'MF Rent Roll'!L32</f>
        <v>0</v>
      </c>
      <c r="K33" s="178">
        <f>'MF Rent Roll'!M32</f>
        <v>0</v>
      </c>
      <c r="L33" s="174">
        <f>'MF Rent Roll'!N32</f>
        <v>0</v>
      </c>
      <c r="M33" s="179">
        <f>'MF Rent Roll'!O32</f>
        <v>0</v>
      </c>
      <c r="N33" s="180" t="str">
        <f>'MF Rent Roll'!P32</f>
        <v/>
      </c>
      <c r="O33" s="181" t="str">
        <f>'MF Rent Roll'!Q32</f>
        <v/>
      </c>
      <c r="P33" s="104" t="str">
        <f>'MF Rent Roll'!R32</f>
        <v/>
      </c>
      <c r="S33" s="182" t="str">
        <f t="shared" si="35"/>
        <v/>
      </c>
      <c r="T33" s="182" t="str">
        <f t="shared" si="35"/>
        <v/>
      </c>
      <c r="U33" s="182" t="str">
        <f t="shared" si="35"/>
        <v/>
      </c>
      <c r="V33" s="182" t="str">
        <f t="shared" si="35"/>
        <v/>
      </c>
      <c r="W33" s="182" t="str">
        <f t="shared" si="35"/>
        <v/>
      </c>
      <c r="X33" s="182" t="str">
        <f t="shared" si="35"/>
        <v/>
      </c>
      <c r="Y33" s="182" t="str">
        <f t="shared" si="35"/>
        <v/>
      </c>
      <c r="Z33" s="182" t="str">
        <f t="shared" si="35"/>
        <v/>
      </c>
      <c r="AA33" s="182" t="str">
        <f t="shared" si="35"/>
        <v/>
      </c>
      <c r="AB33" s="182" t="str">
        <f t="shared" si="35"/>
        <v/>
      </c>
      <c r="AC33" s="182" t="str">
        <f t="shared" si="35"/>
        <v/>
      </c>
      <c r="AD33" s="182" t="str">
        <f t="shared" si="35"/>
        <v/>
      </c>
      <c r="AE33" s="182" t="str">
        <f t="shared" si="35"/>
        <v/>
      </c>
      <c r="AF33" s="182" t="str">
        <f t="shared" si="35"/>
        <v/>
      </c>
      <c r="AG33" s="182" t="str">
        <f t="shared" si="35"/>
        <v/>
      </c>
      <c r="AH33" s="182" t="str">
        <f t="shared" si="35"/>
        <v/>
      </c>
      <c r="AI33" s="182" t="str">
        <f t="shared" si="31"/>
        <v/>
      </c>
      <c r="AJ33" s="182" t="str">
        <f t="shared" si="31"/>
        <v/>
      </c>
      <c r="AK33" s="182" t="str">
        <f t="shared" si="31"/>
        <v/>
      </c>
      <c r="AL33" s="182" t="str">
        <f t="shared" si="31"/>
        <v/>
      </c>
      <c r="AM33" s="182" t="str">
        <f t="shared" si="31"/>
        <v/>
      </c>
      <c r="AN33" s="182" t="str">
        <f t="shared" si="31"/>
        <v/>
      </c>
      <c r="AO33" s="182" t="str">
        <f t="shared" si="31"/>
        <v/>
      </c>
      <c r="AP33" s="182" t="str">
        <f t="shared" si="31"/>
        <v/>
      </c>
      <c r="AQ33" s="182" t="str">
        <f t="shared" si="40"/>
        <v/>
      </c>
      <c r="AR33" s="182" t="str">
        <f t="shared" si="40"/>
        <v/>
      </c>
      <c r="AS33" s="182" t="str">
        <f t="shared" si="40"/>
        <v/>
      </c>
      <c r="AT33" s="182" t="str">
        <f t="shared" si="40"/>
        <v/>
      </c>
      <c r="AU33" s="182" t="str">
        <f t="shared" si="40"/>
        <v/>
      </c>
      <c r="AV33" s="182" t="str">
        <f t="shared" si="40"/>
        <v/>
      </c>
      <c r="AW33" s="182" t="str">
        <f t="shared" si="40"/>
        <v/>
      </c>
      <c r="AX33" s="182" t="str">
        <f t="shared" si="40"/>
        <v/>
      </c>
      <c r="AY33" s="182" t="str">
        <f t="shared" si="40"/>
        <v/>
      </c>
      <c r="AZ33" s="182" t="str">
        <f t="shared" si="40"/>
        <v/>
      </c>
      <c r="BA33" s="182" t="str">
        <f t="shared" si="40"/>
        <v/>
      </c>
      <c r="BB33" s="182" t="str">
        <f t="shared" si="40"/>
        <v/>
      </c>
      <c r="BC33" s="182" t="str">
        <f t="shared" si="40"/>
        <v/>
      </c>
      <c r="BD33" s="182" t="str">
        <f t="shared" si="40"/>
        <v/>
      </c>
      <c r="BE33" s="182" t="str">
        <f t="shared" si="40"/>
        <v/>
      </c>
      <c r="BF33" s="182" t="str">
        <f t="shared" si="40"/>
        <v/>
      </c>
      <c r="BG33" s="182" t="str">
        <f t="shared" si="36"/>
        <v/>
      </c>
      <c r="BH33" s="182" t="str">
        <f t="shared" si="36"/>
        <v/>
      </c>
      <c r="BI33" s="182" t="str">
        <f t="shared" si="36"/>
        <v/>
      </c>
      <c r="BJ33" s="182" t="str">
        <f t="shared" si="36"/>
        <v/>
      </c>
      <c r="BK33" s="182" t="str">
        <f t="shared" si="36"/>
        <v/>
      </c>
      <c r="BL33" s="182" t="str">
        <f t="shared" si="36"/>
        <v/>
      </c>
      <c r="BM33" s="182" t="str">
        <f t="shared" si="36"/>
        <v/>
      </c>
      <c r="BN33" s="182" t="str">
        <f t="shared" si="32"/>
        <v/>
      </c>
      <c r="BO33" s="182" t="str">
        <f t="shared" si="32"/>
        <v/>
      </c>
      <c r="BP33" s="182" t="str">
        <f t="shared" si="32"/>
        <v/>
      </c>
      <c r="BQ33" s="182" t="str">
        <f t="shared" si="32"/>
        <v/>
      </c>
      <c r="BR33" s="182" t="str">
        <f t="shared" si="32"/>
        <v/>
      </c>
      <c r="BS33" s="182" t="str">
        <f t="shared" si="32"/>
        <v/>
      </c>
      <c r="BT33" s="182" t="str">
        <f t="shared" si="32"/>
        <v/>
      </c>
      <c r="BU33" s="182" t="str">
        <f t="shared" si="32"/>
        <v/>
      </c>
      <c r="BV33" s="182" t="str">
        <f t="shared" si="32"/>
        <v/>
      </c>
      <c r="BW33" s="182" t="str">
        <f t="shared" si="32"/>
        <v/>
      </c>
      <c r="BX33" s="182" t="str">
        <f t="shared" si="32"/>
        <v/>
      </c>
      <c r="BY33" s="182" t="str">
        <f t="shared" si="32"/>
        <v/>
      </c>
      <c r="BZ33" s="182" t="str">
        <f t="shared" si="32"/>
        <v/>
      </c>
      <c r="CA33" s="182" t="str">
        <f t="shared" si="32"/>
        <v/>
      </c>
      <c r="CB33" s="182" t="str">
        <f t="shared" si="32"/>
        <v/>
      </c>
      <c r="CC33" s="182" t="str">
        <f t="shared" si="32"/>
        <v/>
      </c>
      <c r="CD33" s="182" t="str">
        <f t="shared" si="23"/>
        <v/>
      </c>
      <c r="CE33" s="182" t="str">
        <f t="shared" si="41"/>
        <v/>
      </c>
      <c r="CF33" s="182" t="str">
        <f t="shared" si="41"/>
        <v/>
      </c>
      <c r="CG33" s="182" t="str">
        <f t="shared" si="41"/>
        <v/>
      </c>
      <c r="CH33" s="182" t="str">
        <f t="shared" si="41"/>
        <v/>
      </c>
      <c r="CI33" s="182" t="str">
        <f t="shared" si="41"/>
        <v/>
      </c>
      <c r="CJ33" s="182" t="str">
        <f t="shared" si="41"/>
        <v/>
      </c>
      <c r="CK33" s="182" t="str">
        <f t="shared" si="41"/>
        <v/>
      </c>
      <c r="CL33" s="182" t="str">
        <f t="shared" si="41"/>
        <v/>
      </c>
      <c r="CM33" s="182" t="str">
        <f t="shared" si="41"/>
        <v/>
      </c>
      <c r="CN33" s="182" t="str">
        <f t="shared" si="41"/>
        <v/>
      </c>
      <c r="CO33" s="182" t="str">
        <f t="shared" si="41"/>
        <v/>
      </c>
      <c r="CP33" s="182" t="str">
        <f t="shared" si="41"/>
        <v/>
      </c>
      <c r="CQ33" s="182" t="str">
        <f t="shared" si="41"/>
        <v/>
      </c>
      <c r="CR33" s="182" t="str">
        <f t="shared" si="41"/>
        <v/>
      </c>
      <c r="CS33" s="182" t="str">
        <f t="shared" si="41"/>
        <v/>
      </c>
      <c r="CT33" s="182" t="str">
        <f t="shared" si="41"/>
        <v/>
      </c>
      <c r="CU33" s="182" t="str">
        <f t="shared" si="37"/>
        <v/>
      </c>
      <c r="CV33" s="182" t="str">
        <f t="shared" si="37"/>
        <v/>
      </c>
      <c r="CW33" s="182" t="str">
        <f t="shared" si="37"/>
        <v/>
      </c>
      <c r="CX33" s="182" t="str">
        <f t="shared" si="37"/>
        <v/>
      </c>
      <c r="CY33" s="182" t="str">
        <f t="shared" si="37"/>
        <v/>
      </c>
      <c r="CZ33" s="182" t="str">
        <f t="shared" si="37"/>
        <v/>
      </c>
      <c r="DA33" s="182" t="str">
        <f t="shared" si="37"/>
        <v/>
      </c>
      <c r="DB33" s="182" t="str">
        <f t="shared" si="37"/>
        <v/>
      </c>
      <c r="DC33" s="182" t="str">
        <f t="shared" si="37"/>
        <v/>
      </c>
      <c r="DD33" s="182" t="str">
        <f t="shared" si="37"/>
        <v/>
      </c>
      <c r="DE33" s="182" t="str">
        <f t="shared" si="37"/>
        <v/>
      </c>
      <c r="DF33" s="182" t="str">
        <f t="shared" si="37"/>
        <v/>
      </c>
      <c r="DG33" s="182" t="str">
        <f t="shared" si="37"/>
        <v/>
      </c>
      <c r="DH33" s="182" t="str">
        <f t="shared" si="38"/>
        <v/>
      </c>
      <c r="DI33" s="182" t="str">
        <f t="shared" si="38"/>
        <v/>
      </c>
      <c r="DJ33" s="182" t="str">
        <f t="shared" si="38"/>
        <v/>
      </c>
      <c r="DK33" s="182" t="str">
        <f t="shared" si="38"/>
        <v/>
      </c>
      <c r="DL33" s="182" t="str">
        <f t="shared" si="38"/>
        <v/>
      </c>
      <c r="DM33" s="182" t="str">
        <f t="shared" si="38"/>
        <v/>
      </c>
      <c r="DN33" s="182" t="str">
        <f t="shared" si="38"/>
        <v/>
      </c>
      <c r="DO33" s="182" t="str">
        <f t="shared" si="38"/>
        <v/>
      </c>
      <c r="DP33" s="182" t="str">
        <f t="shared" si="38"/>
        <v/>
      </c>
      <c r="DQ33" s="182" t="str">
        <f t="shared" si="38"/>
        <v/>
      </c>
      <c r="DR33" s="182" t="str">
        <f t="shared" si="38"/>
        <v/>
      </c>
      <c r="DS33" s="182" t="str">
        <f t="shared" si="38"/>
        <v/>
      </c>
      <c r="DT33" s="182" t="str">
        <f t="shared" si="38"/>
        <v/>
      </c>
      <c r="DU33" s="182" t="str">
        <f t="shared" si="38"/>
        <v/>
      </c>
      <c r="DV33" s="182" t="str">
        <f t="shared" si="38"/>
        <v/>
      </c>
      <c r="DW33" s="182" t="str">
        <f t="shared" si="38"/>
        <v/>
      </c>
      <c r="DX33" s="182" t="str">
        <f t="shared" si="33"/>
        <v/>
      </c>
      <c r="DY33" s="182" t="str">
        <f t="shared" si="25"/>
        <v/>
      </c>
      <c r="DZ33" s="182" t="str">
        <f t="shared" si="39"/>
        <v/>
      </c>
      <c r="EA33" s="182" t="str">
        <f t="shared" si="39"/>
        <v/>
      </c>
      <c r="EB33" s="182" t="str">
        <f t="shared" si="39"/>
        <v/>
      </c>
      <c r="EC33" s="182" t="str">
        <f t="shared" si="39"/>
        <v/>
      </c>
      <c r="ED33" s="182" t="str">
        <f t="shared" si="39"/>
        <v/>
      </c>
      <c r="EE33" s="182" t="str">
        <f t="shared" si="39"/>
        <v/>
      </c>
      <c r="EF33" s="182" t="str">
        <f t="shared" si="39"/>
        <v/>
      </c>
      <c r="EG33" s="182" t="str">
        <f t="shared" si="39"/>
        <v/>
      </c>
      <c r="EH33" s="182" t="str">
        <f t="shared" si="39"/>
        <v/>
      </c>
      <c r="EI33" s="182" t="str">
        <f t="shared" si="39"/>
        <v/>
      </c>
      <c r="EJ33" s="182" t="str">
        <f t="shared" si="39"/>
        <v/>
      </c>
      <c r="EK33" s="182" t="str">
        <f t="shared" si="39"/>
        <v/>
      </c>
      <c r="EL33" s="182" t="str">
        <f t="shared" si="39"/>
        <v/>
      </c>
      <c r="EM33" s="182" t="str">
        <f t="shared" si="39"/>
        <v/>
      </c>
      <c r="EN33" s="182" t="str">
        <f t="shared" si="39"/>
        <v/>
      </c>
      <c r="EO33" s="182" t="str">
        <f t="shared" si="39"/>
        <v/>
      </c>
      <c r="EP33" s="182" t="str">
        <f t="shared" si="34"/>
        <v/>
      </c>
      <c r="EQ33" s="182" t="str">
        <f t="shared" si="34"/>
        <v/>
      </c>
      <c r="ER33" s="182" t="str">
        <f t="shared" si="20"/>
        <v/>
      </c>
      <c r="ES33" s="182" t="str">
        <f t="shared" si="20"/>
        <v/>
      </c>
      <c r="ET33" s="182" t="str">
        <f t="shared" si="20"/>
        <v/>
      </c>
      <c r="EU33" s="182" t="str">
        <f t="shared" si="20"/>
        <v/>
      </c>
      <c r="EV33" s="182" t="str">
        <f t="shared" si="20"/>
        <v/>
      </c>
      <c r="EW33" s="182" t="str">
        <f t="shared" si="20"/>
        <v/>
      </c>
      <c r="EX33" s="182" t="str">
        <f t="shared" si="20"/>
        <v/>
      </c>
      <c r="EY33" s="182" t="str">
        <f t="shared" si="20"/>
        <v/>
      </c>
      <c r="EZ33" s="182" t="str">
        <f t="shared" si="20"/>
        <v/>
      </c>
      <c r="FA33" s="182" t="str">
        <f t="shared" si="20"/>
        <v/>
      </c>
      <c r="FB33" s="182" t="str">
        <f t="shared" si="20"/>
        <v/>
      </c>
      <c r="FC33" s="182" t="str">
        <f t="shared" si="20"/>
        <v/>
      </c>
      <c r="FD33" s="182" t="str">
        <f t="shared" si="20"/>
        <v/>
      </c>
      <c r="FE33" s="182" t="str">
        <f t="shared" si="20"/>
        <v/>
      </c>
      <c r="FF33" s="182" t="str">
        <f t="shared" si="29"/>
        <v/>
      </c>
      <c r="FG33" s="182" t="str">
        <f t="shared" si="29"/>
        <v/>
      </c>
      <c r="FH33" s="182" t="str">
        <f t="shared" si="29"/>
        <v/>
      </c>
      <c r="FI33" s="182" t="str">
        <f t="shared" si="29"/>
        <v/>
      </c>
      <c r="FJ33" s="182" t="str">
        <f t="shared" si="29"/>
        <v/>
      </c>
      <c r="FK33" s="182" t="str">
        <f t="shared" si="29"/>
        <v/>
      </c>
      <c r="FL33" s="182" t="str">
        <f t="shared" si="29"/>
        <v/>
      </c>
      <c r="FM33" s="182" t="str">
        <f t="shared" si="29"/>
        <v/>
      </c>
      <c r="FN33" s="182" t="str">
        <f t="shared" si="29"/>
        <v/>
      </c>
      <c r="FO33" s="182" t="str">
        <f t="shared" si="29"/>
        <v/>
      </c>
      <c r="FP33" s="182" t="str">
        <f t="shared" si="29"/>
        <v/>
      </c>
      <c r="FQ33" s="182" t="str">
        <f t="shared" si="29"/>
        <v/>
      </c>
      <c r="FR33" s="182" t="str">
        <f t="shared" si="29"/>
        <v/>
      </c>
      <c r="FS33" s="182" t="str">
        <f t="shared" si="29"/>
        <v/>
      </c>
      <c r="FT33" s="182" t="str">
        <f t="shared" si="29"/>
        <v/>
      </c>
      <c r="FU33" s="182" t="str">
        <f t="shared" si="29"/>
        <v/>
      </c>
      <c r="FV33" s="182" t="str">
        <f t="shared" si="27"/>
        <v/>
      </c>
      <c r="FW33" s="182" t="str">
        <f t="shared" si="16"/>
        <v/>
      </c>
      <c r="FX33" s="182" t="str">
        <f t="shared" si="30"/>
        <v/>
      </c>
      <c r="FY33" s="182" t="str">
        <f t="shared" si="30"/>
        <v/>
      </c>
      <c r="FZ33" s="182" t="str">
        <f t="shared" si="30"/>
        <v/>
      </c>
      <c r="GA33" s="182" t="str">
        <f t="shared" si="30"/>
        <v/>
      </c>
      <c r="GB33" s="182" t="str">
        <f t="shared" si="30"/>
        <v/>
      </c>
      <c r="GC33" s="182" t="str">
        <f t="shared" si="30"/>
        <v/>
      </c>
      <c r="GD33" s="182" t="str">
        <f t="shared" si="30"/>
        <v/>
      </c>
      <c r="GE33" s="182" t="str">
        <f t="shared" si="30"/>
        <v/>
      </c>
      <c r="GF33" s="182" t="str">
        <f t="shared" si="30"/>
        <v/>
      </c>
      <c r="GG33" s="182" t="str">
        <f t="shared" si="30"/>
        <v/>
      </c>
      <c r="GH33" s="182" t="str">
        <f t="shared" si="30"/>
        <v/>
      </c>
      <c r="GI33" s="182" t="str">
        <f t="shared" si="30"/>
        <v/>
      </c>
      <c r="GJ33" s="182" t="str">
        <f t="shared" si="30"/>
        <v/>
      </c>
      <c r="GK33" s="182" t="str">
        <f t="shared" si="30"/>
        <v/>
      </c>
      <c r="GL33" s="182" t="str">
        <f t="shared" si="30"/>
        <v/>
      </c>
      <c r="GM33" s="182" t="str">
        <f t="shared" si="30"/>
        <v/>
      </c>
      <c r="GN33" s="182" t="str">
        <f t="shared" si="28"/>
        <v/>
      </c>
      <c r="GO33" s="182" t="str">
        <f t="shared" si="28"/>
        <v/>
      </c>
      <c r="GP33" s="182" t="str">
        <f t="shared" si="28"/>
        <v/>
      </c>
    </row>
    <row r="34" spans="2:198" x14ac:dyDescent="0.3">
      <c r="B34" s="184">
        <f>'MF Rent Roll'!B33</f>
        <v>0</v>
      </c>
      <c r="C34" s="171">
        <f>'MF Rent Roll'!C33</f>
        <v>0</v>
      </c>
      <c r="D34" s="172">
        <f>'MF Rent Roll'!D33</f>
        <v>0</v>
      </c>
      <c r="E34" s="172">
        <f>'MF Rent Roll'!E33</f>
        <v>0</v>
      </c>
      <c r="F34" s="173">
        <f>'MF Rent Roll'!F33</f>
        <v>0</v>
      </c>
      <c r="G34" s="174">
        <f>'MF Rent Roll'!G33</f>
        <v>0</v>
      </c>
      <c r="H34" s="176">
        <f>'MF Rent Roll'!J33</f>
        <v>0</v>
      </c>
      <c r="I34" s="174">
        <f>'MF Rent Roll'!K33</f>
        <v>0</v>
      </c>
      <c r="J34" s="177">
        <f>'MF Rent Roll'!L33</f>
        <v>0</v>
      </c>
      <c r="K34" s="178">
        <f>'MF Rent Roll'!M33</f>
        <v>0</v>
      </c>
      <c r="L34" s="174">
        <f>'MF Rent Roll'!N33</f>
        <v>0</v>
      </c>
      <c r="M34" s="179">
        <f>'MF Rent Roll'!O33</f>
        <v>0</v>
      </c>
      <c r="N34" s="180" t="str">
        <f>'MF Rent Roll'!P33</f>
        <v/>
      </c>
      <c r="O34" s="181" t="str">
        <f>'MF Rent Roll'!Q33</f>
        <v/>
      </c>
      <c r="P34" s="104" t="str">
        <f>'MF Rent Roll'!R33</f>
        <v/>
      </c>
      <c r="S34" s="182" t="str">
        <f t="shared" si="35"/>
        <v/>
      </c>
      <c r="T34" s="182" t="str">
        <f t="shared" si="35"/>
        <v/>
      </c>
      <c r="U34" s="182" t="str">
        <f t="shared" si="35"/>
        <v/>
      </c>
      <c r="V34" s="182" t="str">
        <f t="shared" si="35"/>
        <v/>
      </c>
      <c r="W34" s="182" t="str">
        <f t="shared" si="35"/>
        <v/>
      </c>
      <c r="X34" s="182" t="str">
        <f t="shared" si="35"/>
        <v/>
      </c>
      <c r="Y34" s="182" t="str">
        <f t="shared" si="35"/>
        <v/>
      </c>
      <c r="Z34" s="182" t="str">
        <f t="shared" si="35"/>
        <v/>
      </c>
      <c r="AA34" s="182" t="str">
        <f t="shared" si="35"/>
        <v/>
      </c>
      <c r="AB34" s="182" t="str">
        <f t="shared" si="35"/>
        <v/>
      </c>
      <c r="AC34" s="182" t="str">
        <f t="shared" si="35"/>
        <v/>
      </c>
      <c r="AD34" s="182" t="str">
        <f t="shared" si="35"/>
        <v/>
      </c>
      <c r="AE34" s="182" t="str">
        <f t="shared" si="35"/>
        <v/>
      </c>
      <c r="AF34" s="182" t="str">
        <f t="shared" si="35"/>
        <v/>
      </c>
      <c r="AG34" s="182" t="str">
        <f t="shared" si="35"/>
        <v/>
      </c>
      <c r="AH34" s="182" t="str">
        <f t="shared" si="35"/>
        <v/>
      </c>
      <c r="AI34" s="182" t="str">
        <f t="shared" si="31"/>
        <v/>
      </c>
      <c r="AJ34" s="182" t="str">
        <f t="shared" si="31"/>
        <v/>
      </c>
      <c r="AK34" s="182" t="str">
        <f t="shared" si="31"/>
        <v/>
      </c>
      <c r="AL34" s="182" t="str">
        <f t="shared" si="31"/>
        <v/>
      </c>
      <c r="AM34" s="182" t="str">
        <f t="shared" si="31"/>
        <v/>
      </c>
      <c r="AN34" s="182" t="str">
        <f t="shared" si="31"/>
        <v/>
      </c>
      <c r="AO34" s="182" t="str">
        <f t="shared" si="31"/>
        <v/>
      </c>
      <c r="AP34" s="182" t="str">
        <f t="shared" si="31"/>
        <v/>
      </c>
      <c r="AQ34" s="182" t="str">
        <f t="shared" si="40"/>
        <v/>
      </c>
      <c r="AR34" s="182" t="str">
        <f t="shared" si="40"/>
        <v/>
      </c>
      <c r="AS34" s="182" t="str">
        <f t="shared" si="40"/>
        <v/>
      </c>
      <c r="AT34" s="182" t="str">
        <f t="shared" si="40"/>
        <v/>
      </c>
      <c r="AU34" s="182" t="str">
        <f t="shared" si="40"/>
        <v/>
      </c>
      <c r="AV34" s="182" t="str">
        <f t="shared" si="40"/>
        <v/>
      </c>
      <c r="AW34" s="182" t="str">
        <f t="shared" si="40"/>
        <v/>
      </c>
      <c r="AX34" s="182" t="str">
        <f t="shared" si="40"/>
        <v/>
      </c>
      <c r="AY34" s="182" t="str">
        <f t="shared" si="40"/>
        <v/>
      </c>
      <c r="AZ34" s="182" t="str">
        <f t="shared" si="40"/>
        <v/>
      </c>
      <c r="BA34" s="182" t="str">
        <f t="shared" si="40"/>
        <v/>
      </c>
      <c r="BB34" s="182" t="str">
        <f t="shared" si="40"/>
        <v/>
      </c>
      <c r="BC34" s="182" t="str">
        <f t="shared" si="40"/>
        <v/>
      </c>
      <c r="BD34" s="182" t="str">
        <f t="shared" si="40"/>
        <v/>
      </c>
      <c r="BE34" s="182" t="str">
        <f t="shared" si="40"/>
        <v/>
      </c>
      <c r="BF34" s="182" t="str">
        <f t="shared" si="40"/>
        <v/>
      </c>
      <c r="BG34" s="182" t="str">
        <f t="shared" si="36"/>
        <v/>
      </c>
      <c r="BH34" s="182" t="str">
        <f t="shared" si="36"/>
        <v/>
      </c>
      <c r="BI34" s="182" t="str">
        <f t="shared" si="36"/>
        <v/>
      </c>
      <c r="BJ34" s="182" t="str">
        <f t="shared" si="36"/>
        <v/>
      </c>
      <c r="BK34" s="182" t="str">
        <f t="shared" si="36"/>
        <v/>
      </c>
      <c r="BL34" s="182" t="str">
        <f t="shared" si="36"/>
        <v/>
      </c>
      <c r="BM34" s="182" t="str">
        <f t="shared" si="36"/>
        <v/>
      </c>
      <c r="BN34" s="182" t="str">
        <f t="shared" si="32"/>
        <v/>
      </c>
      <c r="BO34" s="182" t="str">
        <f t="shared" si="32"/>
        <v/>
      </c>
      <c r="BP34" s="182" t="str">
        <f t="shared" si="32"/>
        <v/>
      </c>
      <c r="BQ34" s="182" t="str">
        <f t="shared" si="32"/>
        <v/>
      </c>
      <c r="BR34" s="182" t="str">
        <f t="shared" si="32"/>
        <v/>
      </c>
      <c r="BS34" s="182" t="str">
        <f t="shared" si="32"/>
        <v/>
      </c>
      <c r="BT34" s="182" t="str">
        <f t="shared" si="32"/>
        <v/>
      </c>
      <c r="BU34" s="182" t="str">
        <f t="shared" si="32"/>
        <v/>
      </c>
      <c r="BV34" s="182" t="str">
        <f t="shared" si="32"/>
        <v/>
      </c>
      <c r="BW34" s="182" t="str">
        <f t="shared" si="32"/>
        <v/>
      </c>
      <c r="BX34" s="182" t="str">
        <f t="shared" si="32"/>
        <v/>
      </c>
      <c r="BY34" s="182" t="str">
        <f t="shared" si="32"/>
        <v/>
      </c>
      <c r="BZ34" s="182" t="str">
        <f t="shared" si="32"/>
        <v/>
      </c>
      <c r="CA34" s="182" t="str">
        <f t="shared" si="32"/>
        <v/>
      </c>
      <c r="CB34" s="182" t="str">
        <f t="shared" si="32"/>
        <v/>
      </c>
      <c r="CC34" s="182" t="str">
        <f t="shared" si="32"/>
        <v/>
      </c>
      <c r="CD34" s="182" t="str">
        <f t="shared" si="23"/>
        <v/>
      </c>
      <c r="CE34" s="182" t="str">
        <f t="shared" si="41"/>
        <v/>
      </c>
      <c r="CF34" s="182" t="str">
        <f t="shared" si="41"/>
        <v/>
      </c>
      <c r="CG34" s="182" t="str">
        <f t="shared" si="41"/>
        <v/>
      </c>
      <c r="CH34" s="182" t="str">
        <f t="shared" si="41"/>
        <v/>
      </c>
      <c r="CI34" s="182" t="str">
        <f t="shared" si="41"/>
        <v/>
      </c>
      <c r="CJ34" s="182" t="str">
        <f t="shared" si="41"/>
        <v/>
      </c>
      <c r="CK34" s="182" t="str">
        <f t="shared" si="41"/>
        <v/>
      </c>
      <c r="CL34" s="182" t="str">
        <f t="shared" si="41"/>
        <v/>
      </c>
      <c r="CM34" s="182" t="str">
        <f t="shared" si="41"/>
        <v/>
      </c>
      <c r="CN34" s="182" t="str">
        <f t="shared" si="41"/>
        <v/>
      </c>
      <c r="CO34" s="182" t="str">
        <f t="shared" si="41"/>
        <v/>
      </c>
      <c r="CP34" s="182" t="str">
        <f t="shared" si="41"/>
        <v/>
      </c>
      <c r="CQ34" s="182" t="str">
        <f t="shared" si="41"/>
        <v/>
      </c>
      <c r="CR34" s="182" t="str">
        <f t="shared" si="41"/>
        <v/>
      </c>
      <c r="CS34" s="182" t="str">
        <f t="shared" si="41"/>
        <v/>
      </c>
      <c r="CT34" s="182" t="str">
        <f t="shared" si="41"/>
        <v/>
      </c>
      <c r="CU34" s="182" t="str">
        <f t="shared" si="37"/>
        <v/>
      </c>
      <c r="CV34" s="182" t="str">
        <f t="shared" si="37"/>
        <v/>
      </c>
      <c r="CW34" s="182" t="str">
        <f t="shared" si="37"/>
        <v/>
      </c>
      <c r="CX34" s="182" t="str">
        <f t="shared" si="37"/>
        <v/>
      </c>
      <c r="CY34" s="182" t="str">
        <f t="shared" si="37"/>
        <v/>
      </c>
      <c r="CZ34" s="182" t="str">
        <f t="shared" si="37"/>
        <v/>
      </c>
      <c r="DA34" s="182" t="str">
        <f t="shared" si="37"/>
        <v/>
      </c>
      <c r="DB34" s="182" t="str">
        <f t="shared" si="37"/>
        <v/>
      </c>
      <c r="DC34" s="182" t="str">
        <f t="shared" si="37"/>
        <v/>
      </c>
      <c r="DD34" s="182" t="str">
        <f t="shared" si="37"/>
        <v/>
      </c>
      <c r="DE34" s="182" t="str">
        <f t="shared" si="37"/>
        <v/>
      </c>
      <c r="DF34" s="182" t="str">
        <f t="shared" si="37"/>
        <v/>
      </c>
      <c r="DG34" s="182" t="str">
        <f t="shared" si="37"/>
        <v/>
      </c>
      <c r="DH34" s="182" t="str">
        <f t="shared" si="38"/>
        <v/>
      </c>
      <c r="DI34" s="182" t="str">
        <f t="shared" si="38"/>
        <v/>
      </c>
      <c r="DJ34" s="182" t="str">
        <f t="shared" si="38"/>
        <v/>
      </c>
      <c r="DK34" s="182" t="str">
        <f t="shared" si="38"/>
        <v/>
      </c>
      <c r="DL34" s="182" t="str">
        <f t="shared" si="38"/>
        <v/>
      </c>
      <c r="DM34" s="182" t="str">
        <f t="shared" si="38"/>
        <v/>
      </c>
      <c r="DN34" s="182" t="str">
        <f t="shared" si="38"/>
        <v/>
      </c>
      <c r="DO34" s="182" t="str">
        <f t="shared" si="38"/>
        <v/>
      </c>
      <c r="DP34" s="182" t="str">
        <f t="shared" si="38"/>
        <v/>
      </c>
      <c r="DQ34" s="182" t="str">
        <f t="shared" si="38"/>
        <v/>
      </c>
      <c r="DR34" s="182" t="str">
        <f t="shared" si="38"/>
        <v/>
      </c>
      <c r="DS34" s="182" t="str">
        <f t="shared" si="38"/>
        <v/>
      </c>
      <c r="DT34" s="182" t="str">
        <f t="shared" si="38"/>
        <v/>
      </c>
      <c r="DU34" s="182" t="str">
        <f t="shared" si="38"/>
        <v/>
      </c>
      <c r="DV34" s="182" t="str">
        <f t="shared" si="38"/>
        <v/>
      </c>
      <c r="DW34" s="182" t="str">
        <f t="shared" si="38"/>
        <v/>
      </c>
      <c r="DX34" s="182" t="str">
        <f t="shared" si="33"/>
        <v/>
      </c>
      <c r="DY34" s="182" t="str">
        <f t="shared" si="25"/>
        <v/>
      </c>
      <c r="DZ34" s="182" t="str">
        <f t="shared" si="39"/>
        <v/>
      </c>
      <c r="EA34" s="182" t="str">
        <f t="shared" si="39"/>
        <v/>
      </c>
      <c r="EB34" s="182" t="str">
        <f t="shared" si="39"/>
        <v/>
      </c>
      <c r="EC34" s="182" t="str">
        <f t="shared" si="39"/>
        <v/>
      </c>
      <c r="ED34" s="182" t="str">
        <f t="shared" si="39"/>
        <v/>
      </c>
      <c r="EE34" s="182" t="str">
        <f t="shared" si="39"/>
        <v/>
      </c>
      <c r="EF34" s="182" t="str">
        <f t="shared" si="39"/>
        <v/>
      </c>
      <c r="EG34" s="182" t="str">
        <f t="shared" si="39"/>
        <v/>
      </c>
      <c r="EH34" s="182" t="str">
        <f t="shared" si="39"/>
        <v/>
      </c>
      <c r="EI34" s="182" t="str">
        <f t="shared" si="39"/>
        <v/>
      </c>
      <c r="EJ34" s="182" t="str">
        <f t="shared" si="39"/>
        <v/>
      </c>
      <c r="EK34" s="182" t="str">
        <f t="shared" si="39"/>
        <v/>
      </c>
      <c r="EL34" s="182" t="str">
        <f t="shared" si="39"/>
        <v/>
      </c>
      <c r="EM34" s="182" t="str">
        <f t="shared" si="39"/>
        <v/>
      </c>
      <c r="EN34" s="182" t="str">
        <f t="shared" si="39"/>
        <v/>
      </c>
      <c r="EO34" s="182" t="str">
        <f t="shared" si="39"/>
        <v/>
      </c>
      <c r="EP34" s="182" t="str">
        <f t="shared" si="34"/>
        <v/>
      </c>
      <c r="EQ34" s="182" t="str">
        <f t="shared" si="34"/>
        <v/>
      </c>
      <c r="ER34" s="182" t="str">
        <f t="shared" si="20"/>
        <v/>
      </c>
      <c r="ES34" s="182" t="str">
        <f t="shared" si="20"/>
        <v/>
      </c>
      <c r="ET34" s="182" t="str">
        <f t="shared" si="20"/>
        <v/>
      </c>
      <c r="EU34" s="182" t="str">
        <f t="shared" si="20"/>
        <v/>
      </c>
      <c r="EV34" s="182" t="str">
        <f t="shared" si="20"/>
        <v/>
      </c>
      <c r="EW34" s="182" t="str">
        <f t="shared" si="20"/>
        <v/>
      </c>
      <c r="EX34" s="182" t="str">
        <f t="shared" si="20"/>
        <v/>
      </c>
      <c r="EY34" s="182" t="str">
        <f t="shared" si="20"/>
        <v/>
      </c>
      <c r="EZ34" s="182" t="str">
        <f t="shared" si="20"/>
        <v/>
      </c>
      <c r="FA34" s="182" t="str">
        <f t="shared" si="20"/>
        <v/>
      </c>
      <c r="FB34" s="182" t="str">
        <f t="shared" si="20"/>
        <v/>
      </c>
      <c r="FC34" s="182" t="str">
        <f t="shared" si="20"/>
        <v/>
      </c>
      <c r="FD34" s="182" t="str">
        <f t="shared" si="20"/>
        <v/>
      </c>
      <c r="FE34" s="182" t="str">
        <f t="shared" si="20"/>
        <v/>
      </c>
      <c r="FF34" s="182" t="str">
        <f t="shared" si="29"/>
        <v/>
      </c>
      <c r="FG34" s="182" t="str">
        <f t="shared" si="29"/>
        <v/>
      </c>
      <c r="FH34" s="182" t="str">
        <f t="shared" si="29"/>
        <v/>
      </c>
      <c r="FI34" s="182" t="str">
        <f t="shared" si="29"/>
        <v/>
      </c>
      <c r="FJ34" s="182" t="str">
        <f t="shared" si="29"/>
        <v/>
      </c>
      <c r="FK34" s="182" t="str">
        <f t="shared" si="29"/>
        <v/>
      </c>
      <c r="FL34" s="182" t="str">
        <f t="shared" si="29"/>
        <v/>
      </c>
      <c r="FM34" s="182" t="str">
        <f t="shared" si="29"/>
        <v/>
      </c>
      <c r="FN34" s="182" t="str">
        <f t="shared" si="29"/>
        <v/>
      </c>
      <c r="FO34" s="182" t="str">
        <f t="shared" si="29"/>
        <v/>
      </c>
      <c r="FP34" s="182" t="str">
        <f t="shared" si="29"/>
        <v/>
      </c>
      <c r="FQ34" s="182" t="str">
        <f t="shared" si="29"/>
        <v/>
      </c>
      <c r="FR34" s="182" t="str">
        <f t="shared" si="29"/>
        <v/>
      </c>
      <c r="FS34" s="182" t="str">
        <f t="shared" si="29"/>
        <v/>
      </c>
      <c r="FT34" s="182" t="str">
        <f t="shared" si="29"/>
        <v/>
      </c>
      <c r="FU34" s="182" t="str">
        <f t="shared" si="29"/>
        <v/>
      </c>
      <c r="FV34" s="182" t="str">
        <f t="shared" si="27"/>
        <v/>
      </c>
      <c r="FW34" s="182" t="str">
        <f t="shared" si="16"/>
        <v/>
      </c>
      <c r="FX34" s="182" t="str">
        <f t="shared" si="30"/>
        <v/>
      </c>
      <c r="FY34" s="182" t="str">
        <f t="shared" si="30"/>
        <v/>
      </c>
      <c r="FZ34" s="182" t="str">
        <f t="shared" si="30"/>
        <v/>
      </c>
      <c r="GA34" s="182" t="str">
        <f t="shared" si="30"/>
        <v/>
      </c>
      <c r="GB34" s="182" t="str">
        <f t="shared" si="30"/>
        <v/>
      </c>
      <c r="GC34" s="182" t="str">
        <f t="shared" si="30"/>
        <v/>
      </c>
      <c r="GD34" s="182" t="str">
        <f t="shared" si="30"/>
        <v/>
      </c>
      <c r="GE34" s="182" t="str">
        <f t="shared" si="30"/>
        <v/>
      </c>
      <c r="GF34" s="182" t="str">
        <f t="shared" si="30"/>
        <v/>
      </c>
      <c r="GG34" s="182" t="str">
        <f t="shared" si="30"/>
        <v/>
      </c>
      <c r="GH34" s="182" t="str">
        <f t="shared" si="30"/>
        <v/>
      </c>
      <c r="GI34" s="182" t="str">
        <f t="shared" si="30"/>
        <v/>
      </c>
      <c r="GJ34" s="182" t="str">
        <f t="shared" si="30"/>
        <v/>
      </c>
      <c r="GK34" s="182" t="str">
        <f t="shared" si="30"/>
        <v/>
      </c>
      <c r="GL34" s="182" t="str">
        <f t="shared" si="30"/>
        <v/>
      </c>
      <c r="GM34" s="182" t="str">
        <f t="shared" si="30"/>
        <v/>
      </c>
      <c r="GN34" s="182" t="str">
        <f t="shared" si="28"/>
        <v/>
      </c>
      <c r="GO34" s="182" t="str">
        <f t="shared" si="28"/>
        <v/>
      </c>
      <c r="GP34" s="182" t="str">
        <f t="shared" si="28"/>
        <v/>
      </c>
    </row>
    <row r="35" spans="2:198" x14ac:dyDescent="0.3">
      <c r="B35" s="184">
        <f>'MF Rent Roll'!B34</f>
        <v>0</v>
      </c>
      <c r="C35" s="171">
        <f>'MF Rent Roll'!C34</f>
        <v>0</v>
      </c>
      <c r="D35" s="172">
        <f>'MF Rent Roll'!D34</f>
        <v>0</v>
      </c>
      <c r="E35" s="172">
        <f>'MF Rent Roll'!E34</f>
        <v>0</v>
      </c>
      <c r="F35" s="173">
        <f>'MF Rent Roll'!F34</f>
        <v>0</v>
      </c>
      <c r="G35" s="174">
        <f>'MF Rent Roll'!G34</f>
        <v>0</v>
      </c>
      <c r="H35" s="176">
        <f>'MF Rent Roll'!J34</f>
        <v>0</v>
      </c>
      <c r="I35" s="174">
        <f>'MF Rent Roll'!K34</f>
        <v>0</v>
      </c>
      <c r="J35" s="177">
        <f>'MF Rent Roll'!L34</f>
        <v>0</v>
      </c>
      <c r="K35" s="178">
        <f>'MF Rent Roll'!M34</f>
        <v>0</v>
      </c>
      <c r="L35" s="174">
        <f>'MF Rent Roll'!N34</f>
        <v>0</v>
      </c>
      <c r="M35" s="179">
        <f>'MF Rent Roll'!O34</f>
        <v>0</v>
      </c>
      <c r="N35" s="180" t="str">
        <f>'MF Rent Roll'!P34</f>
        <v/>
      </c>
      <c r="O35" s="181" t="str">
        <f>'MF Rent Roll'!Q34</f>
        <v/>
      </c>
      <c r="P35" s="104" t="str">
        <f>'MF Rent Roll'!R34</f>
        <v/>
      </c>
      <c r="S35" s="182" t="str">
        <f t="shared" si="35"/>
        <v/>
      </c>
      <c r="T35" s="182" t="str">
        <f t="shared" si="35"/>
        <v/>
      </c>
      <c r="U35" s="182" t="str">
        <f t="shared" si="35"/>
        <v/>
      </c>
      <c r="V35" s="182" t="str">
        <f t="shared" si="35"/>
        <v/>
      </c>
      <c r="W35" s="182" t="str">
        <f t="shared" si="35"/>
        <v/>
      </c>
      <c r="X35" s="182" t="str">
        <f t="shared" si="35"/>
        <v/>
      </c>
      <c r="Y35" s="182" t="str">
        <f t="shared" si="35"/>
        <v/>
      </c>
      <c r="Z35" s="182" t="str">
        <f t="shared" si="35"/>
        <v/>
      </c>
      <c r="AA35" s="182" t="str">
        <f t="shared" si="35"/>
        <v/>
      </c>
      <c r="AB35" s="182" t="str">
        <f t="shared" si="35"/>
        <v/>
      </c>
      <c r="AC35" s="182" t="str">
        <f t="shared" si="35"/>
        <v/>
      </c>
      <c r="AD35" s="182" t="str">
        <f t="shared" si="35"/>
        <v/>
      </c>
      <c r="AE35" s="182" t="str">
        <f t="shared" si="35"/>
        <v/>
      </c>
      <c r="AF35" s="182" t="str">
        <f t="shared" si="35"/>
        <v/>
      </c>
      <c r="AG35" s="182" t="str">
        <f t="shared" si="35"/>
        <v/>
      </c>
      <c r="AH35" s="182" t="str">
        <f t="shared" si="35"/>
        <v/>
      </c>
      <c r="AI35" s="182" t="str">
        <f t="shared" si="31"/>
        <v/>
      </c>
      <c r="AJ35" s="182" t="str">
        <f t="shared" si="31"/>
        <v/>
      </c>
      <c r="AK35" s="182" t="str">
        <f t="shared" si="31"/>
        <v/>
      </c>
      <c r="AL35" s="182" t="str">
        <f t="shared" si="31"/>
        <v/>
      </c>
      <c r="AM35" s="182" t="str">
        <f t="shared" si="31"/>
        <v/>
      </c>
      <c r="AN35" s="182" t="str">
        <f t="shared" si="31"/>
        <v/>
      </c>
      <c r="AO35" s="182" t="str">
        <f t="shared" si="31"/>
        <v/>
      </c>
      <c r="AP35" s="182" t="str">
        <f t="shared" si="31"/>
        <v/>
      </c>
      <c r="AQ35" s="182" t="str">
        <f t="shared" si="40"/>
        <v/>
      </c>
      <c r="AR35" s="182" t="str">
        <f t="shared" si="40"/>
        <v/>
      </c>
      <c r="AS35" s="182" t="str">
        <f t="shared" si="40"/>
        <v/>
      </c>
      <c r="AT35" s="182" t="str">
        <f t="shared" si="40"/>
        <v/>
      </c>
      <c r="AU35" s="182" t="str">
        <f t="shared" si="40"/>
        <v/>
      </c>
      <c r="AV35" s="182" t="str">
        <f t="shared" si="40"/>
        <v/>
      </c>
      <c r="AW35" s="182" t="str">
        <f t="shared" si="40"/>
        <v/>
      </c>
      <c r="AX35" s="182" t="str">
        <f t="shared" si="40"/>
        <v/>
      </c>
      <c r="AY35" s="182" t="str">
        <f t="shared" si="40"/>
        <v/>
      </c>
      <c r="AZ35" s="182" t="str">
        <f t="shared" si="40"/>
        <v/>
      </c>
      <c r="BA35" s="182" t="str">
        <f t="shared" si="40"/>
        <v/>
      </c>
      <c r="BB35" s="182" t="str">
        <f t="shared" si="40"/>
        <v/>
      </c>
      <c r="BC35" s="182" t="str">
        <f t="shared" si="40"/>
        <v/>
      </c>
      <c r="BD35" s="182" t="str">
        <f t="shared" si="40"/>
        <v/>
      </c>
      <c r="BE35" s="182" t="str">
        <f t="shared" si="40"/>
        <v/>
      </c>
      <c r="BF35" s="182" t="str">
        <f t="shared" si="40"/>
        <v/>
      </c>
      <c r="BG35" s="182" t="str">
        <f t="shared" si="36"/>
        <v/>
      </c>
      <c r="BH35" s="182" t="str">
        <f t="shared" si="36"/>
        <v/>
      </c>
      <c r="BI35" s="182" t="str">
        <f t="shared" si="36"/>
        <v/>
      </c>
      <c r="BJ35" s="182" t="str">
        <f t="shared" si="36"/>
        <v/>
      </c>
      <c r="BK35" s="182" t="str">
        <f t="shared" si="36"/>
        <v/>
      </c>
      <c r="BL35" s="182" t="str">
        <f t="shared" si="36"/>
        <v/>
      </c>
      <c r="BM35" s="182" t="str">
        <f t="shared" si="36"/>
        <v/>
      </c>
      <c r="BN35" s="182" t="str">
        <f t="shared" si="32"/>
        <v/>
      </c>
      <c r="BO35" s="182" t="str">
        <f t="shared" si="32"/>
        <v/>
      </c>
      <c r="BP35" s="182" t="str">
        <f t="shared" si="32"/>
        <v/>
      </c>
      <c r="BQ35" s="182" t="str">
        <f t="shared" si="32"/>
        <v/>
      </c>
      <c r="BR35" s="182" t="str">
        <f t="shared" si="32"/>
        <v/>
      </c>
      <c r="BS35" s="182" t="str">
        <f t="shared" si="32"/>
        <v/>
      </c>
      <c r="BT35" s="182" t="str">
        <f t="shared" si="32"/>
        <v/>
      </c>
      <c r="BU35" s="182" t="str">
        <f t="shared" si="32"/>
        <v/>
      </c>
      <c r="BV35" s="182" t="str">
        <f t="shared" si="32"/>
        <v/>
      </c>
      <c r="BW35" s="182" t="str">
        <f t="shared" si="32"/>
        <v/>
      </c>
      <c r="BX35" s="182" t="str">
        <f t="shared" si="32"/>
        <v/>
      </c>
      <c r="BY35" s="182" t="str">
        <f t="shared" si="32"/>
        <v/>
      </c>
      <c r="BZ35" s="182" t="str">
        <f t="shared" si="32"/>
        <v/>
      </c>
      <c r="CA35" s="182" t="str">
        <f t="shared" si="32"/>
        <v/>
      </c>
      <c r="CB35" s="182" t="str">
        <f t="shared" si="32"/>
        <v/>
      </c>
      <c r="CC35" s="182" t="str">
        <f t="shared" si="32"/>
        <v/>
      </c>
      <c r="CD35" s="182" t="str">
        <f t="shared" si="23"/>
        <v/>
      </c>
      <c r="CE35" s="182" t="str">
        <f t="shared" si="41"/>
        <v/>
      </c>
      <c r="CF35" s="182" t="str">
        <f t="shared" si="41"/>
        <v/>
      </c>
      <c r="CG35" s="182" t="str">
        <f t="shared" si="41"/>
        <v/>
      </c>
      <c r="CH35" s="182" t="str">
        <f t="shared" si="41"/>
        <v/>
      </c>
      <c r="CI35" s="182" t="str">
        <f t="shared" si="41"/>
        <v/>
      </c>
      <c r="CJ35" s="182" t="str">
        <f t="shared" si="41"/>
        <v/>
      </c>
      <c r="CK35" s="182" t="str">
        <f t="shared" si="41"/>
        <v/>
      </c>
      <c r="CL35" s="182" t="str">
        <f t="shared" si="41"/>
        <v/>
      </c>
      <c r="CM35" s="182" t="str">
        <f t="shared" si="41"/>
        <v/>
      </c>
      <c r="CN35" s="182" t="str">
        <f t="shared" si="41"/>
        <v/>
      </c>
      <c r="CO35" s="182" t="str">
        <f t="shared" si="41"/>
        <v/>
      </c>
      <c r="CP35" s="182" t="str">
        <f t="shared" si="41"/>
        <v/>
      </c>
      <c r="CQ35" s="182" t="str">
        <f t="shared" si="41"/>
        <v/>
      </c>
      <c r="CR35" s="182" t="str">
        <f t="shared" si="41"/>
        <v/>
      </c>
      <c r="CS35" s="182" t="str">
        <f t="shared" si="41"/>
        <v/>
      </c>
      <c r="CT35" s="182" t="str">
        <f t="shared" si="41"/>
        <v/>
      </c>
      <c r="CU35" s="182" t="str">
        <f t="shared" si="37"/>
        <v/>
      </c>
      <c r="CV35" s="182" t="str">
        <f t="shared" si="37"/>
        <v/>
      </c>
      <c r="CW35" s="182" t="str">
        <f t="shared" si="37"/>
        <v/>
      </c>
      <c r="CX35" s="182" t="str">
        <f t="shared" si="37"/>
        <v/>
      </c>
      <c r="CY35" s="182" t="str">
        <f t="shared" si="37"/>
        <v/>
      </c>
      <c r="CZ35" s="182" t="str">
        <f t="shared" si="37"/>
        <v/>
      </c>
      <c r="DA35" s="182" t="str">
        <f t="shared" si="37"/>
        <v/>
      </c>
      <c r="DB35" s="182" t="str">
        <f t="shared" si="37"/>
        <v/>
      </c>
      <c r="DC35" s="182" t="str">
        <f t="shared" si="37"/>
        <v/>
      </c>
      <c r="DD35" s="182" t="str">
        <f t="shared" si="37"/>
        <v/>
      </c>
      <c r="DE35" s="182" t="str">
        <f t="shared" si="37"/>
        <v/>
      </c>
      <c r="DF35" s="182" t="str">
        <f t="shared" si="37"/>
        <v/>
      </c>
      <c r="DG35" s="182" t="str">
        <f t="shared" si="37"/>
        <v/>
      </c>
      <c r="DH35" s="182" t="str">
        <f t="shared" si="38"/>
        <v/>
      </c>
      <c r="DI35" s="182" t="str">
        <f t="shared" si="38"/>
        <v/>
      </c>
      <c r="DJ35" s="182" t="str">
        <f t="shared" si="38"/>
        <v/>
      </c>
      <c r="DK35" s="182" t="str">
        <f t="shared" si="38"/>
        <v/>
      </c>
      <c r="DL35" s="182" t="str">
        <f t="shared" si="38"/>
        <v/>
      </c>
      <c r="DM35" s="182" t="str">
        <f t="shared" si="38"/>
        <v/>
      </c>
      <c r="DN35" s="182" t="str">
        <f t="shared" si="38"/>
        <v/>
      </c>
      <c r="DO35" s="182" t="str">
        <f t="shared" si="38"/>
        <v/>
      </c>
      <c r="DP35" s="182" t="str">
        <f t="shared" si="38"/>
        <v/>
      </c>
      <c r="DQ35" s="182" t="str">
        <f t="shared" si="38"/>
        <v/>
      </c>
      <c r="DR35" s="182" t="str">
        <f t="shared" si="38"/>
        <v/>
      </c>
      <c r="DS35" s="182" t="str">
        <f t="shared" si="38"/>
        <v/>
      </c>
      <c r="DT35" s="182" t="str">
        <f t="shared" si="38"/>
        <v/>
      </c>
      <c r="DU35" s="182" t="str">
        <f t="shared" si="38"/>
        <v/>
      </c>
      <c r="DV35" s="182" t="str">
        <f t="shared" si="38"/>
        <v/>
      </c>
      <c r="DW35" s="182" t="str">
        <f t="shared" si="38"/>
        <v/>
      </c>
      <c r="DX35" s="182" t="str">
        <f t="shared" si="33"/>
        <v/>
      </c>
      <c r="DY35" s="182" t="str">
        <f t="shared" si="25"/>
        <v/>
      </c>
      <c r="DZ35" s="182" t="str">
        <f t="shared" si="39"/>
        <v/>
      </c>
      <c r="EA35" s="182" t="str">
        <f t="shared" si="39"/>
        <v/>
      </c>
      <c r="EB35" s="182" t="str">
        <f t="shared" si="39"/>
        <v/>
      </c>
      <c r="EC35" s="182" t="str">
        <f t="shared" si="39"/>
        <v/>
      </c>
      <c r="ED35" s="182" t="str">
        <f t="shared" si="39"/>
        <v/>
      </c>
      <c r="EE35" s="182" t="str">
        <f t="shared" si="39"/>
        <v/>
      </c>
      <c r="EF35" s="182" t="str">
        <f t="shared" si="39"/>
        <v/>
      </c>
      <c r="EG35" s="182" t="str">
        <f t="shared" si="39"/>
        <v/>
      </c>
      <c r="EH35" s="182" t="str">
        <f t="shared" si="39"/>
        <v/>
      </c>
      <c r="EI35" s="182" t="str">
        <f t="shared" si="39"/>
        <v/>
      </c>
      <c r="EJ35" s="182" t="str">
        <f t="shared" si="39"/>
        <v/>
      </c>
      <c r="EK35" s="182" t="str">
        <f t="shared" si="39"/>
        <v/>
      </c>
      <c r="EL35" s="182" t="str">
        <f t="shared" si="39"/>
        <v/>
      </c>
      <c r="EM35" s="182" t="str">
        <f t="shared" si="39"/>
        <v/>
      </c>
      <c r="EN35" s="182" t="str">
        <f t="shared" si="39"/>
        <v/>
      </c>
      <c r="EO35" s="182" t="str">
        <f t="shared" si="39"/>
        <v/>
      </c>
      <c r="EP35" s="182" t="str">
        <f t="shared" si="34"/>
        <v/>
      </c>
      <c r="EQ35" s="182" t="str">
        <f t="shared" si="34"/>
        <v/>
      </c>
      <c r="ER35" s="182" t="str">
        <f t="shared" si="20"/>
        <v/>
      </c>
      <c r="ES35" s="182" t="str">
        <f t="shared" si="20"/>
        <v/>
      </c>
      <c r="ET35" s="182" t="str">
        <f t="shared" si="20"/>
        <v/>
      </c>
      <c r="EU35" s="182" t="str">
        <f t="shared" si="20"/>
        <v/>
      </c>
      <c r="EV35" s="182" t="str">
        <f t="shared" si="20"/>
        <v/>
      </c>
      <c r="EW35" s="182" t="str">
        <f t="shared" si="20"/>
        <v/>
      </c>
      <c r="EX35" s="182" t="str">
        <f t="shared" si="20"/>
        <v/>
      </c>
      <c r="EY35" s="182" t="str">
        <f t="shared" si="20"/>
        <v/>
      </c>
      <c r="EZ35" s="182" t="str">
        <f t="shared" si="20"/>
        <v/>
      </c>
      <c r="FA35" s="182" t="str">
        <f t="shared" si="20"/>
        <v/>
      </c>
      <c r="FB35" s="182" t="str">
        <f t="shared" si="20"/>
        <v/>
      </c>
      <c r="FC35" s="182" t="str">
        <f t="shared" si="20"/>
        <v/>
      </c>
      <c r="FD35" s="182" t="str">
        <f t="shared" si="20"/>
        <v/>
      </c>
      <c r="FE35" s="182" t="str">
        <f t="shared" si="20"/>
        <v/>
      </c>
      <c r="FF35" s="182" t="str">
        <f t="shared" si="29"/>
        <v/>
      </c>
      <c r="FG35" s="182" t="str">
        <f t="shared" si="29"/>
        <v/>
      </c>
      <c r="FH35" s="182" t="str">
        <f t="shared" si="29"/>
        <v/>
      </c>
      <c r="FI35" s="182" t="str">
        <f t="shared" si="29"/>
        <v/>
      </c>
      <c r="FJ35" s="182" t="str">
        <f t="shared" si="29"/>
        <v/>
      </c>
      <c r="FK35" s="182" t="str">
        <f t="shared" si="29"/>
        <v/>
      </c>
      <c r="FL35" s="182" t="str">
        <f t="shared" si="29"/>
        <v/>
      </c>
      <c r="FM35" s="182" t="str">
        <f t="shared" si="29"/>
        <v/>
      </c>
      <c r="FN35" s="182" t="str">
        <f t="shared" si="29"/>
        <v/>
      </c>
      <c r="FO35" s="182" t="str">
        <f t="shared" si="29"/>
        <v/>
      </c>
      <c r="FP35" s="182" t="str">
        <f t="shared" si="29"/>
        <v/>
      </c>
      <c r="FQ35" s="182" t="str">
        <f t="shared" si="29"/>
        <v/>
      </c>
      <c r="FR35" s="182" t="str">
        <f t="shared" si="29"/>
        <v/>
      </c>
      <c r="FS35" s="182" t="str">
        <f t="shared" si="29"/>
        <v/>
      </c>
      <c r="FT35" s="182" t="str">
        <f t="shared" si="29"/>
        <v/>
      </c>
      <c r="FU35" s="182" t="str">
        <f t="shared" si="29"/>
        <v/>
      </c>
      <c r="FV35" s="182" t="str">
        <f t="shared" si="27"/>
        <v/>
      </c>
      <c r="FW35" s="182" t="str">
        <f t="shared" si="16"/>
        <v/>
      </c>
      <c r="FX35" s="182" t="str">
        <f t="shared" si="30"/>
        <v/>
      </c>
      <c r="FY35" s="182" t="str">
        <f t="shared" si="30"/>
        <v/>
      </c>
      <c r="FZ35" s="182" t="str">
        <f t="shared" si="30"/>
        <v/>
      </c>
      <c r="GA35" s="182" t="str">
        <f t="shared" si="30"/>
        <v/>
      </c>
      <c r="GB35" s="182" t="str">
        <f t="shared" si="30"/>
        <v/>
      </c>
      <c r="GC35" s="182" t="str">
        <f t="shared" si="30"/>
        <v/>
      </c>
      <c r="GD35" s="182" t="str">
        <f t="shared" si="30"/>
        <v/>
      </c>
      <c r="GE35" s="182" t="str">
        <f t="shared" si="30"/>
        <v/>
      </c>
      <c r="GF35" s="182" t="str">
        <f t="shared" si="30"/>
        <v/>
      </c>
      <c r="GG35" s="182" t="str">
        <f t="shared" si="30"/>
        <v/>
      </c>
      <c r="GH35" s="182" t="str">
        <f t="shared" si="30"/>
        <v/>
      </c>
      <c r="GI35" s="182" t="str">
        <f t="shared" si="30"/>
        <v/>
      </c>
      <c r="GJ35" s="182" t="str">
        <f t="shared" si="30"/>
        <v/>
      </c>
      <c r="GK35" s="182" t="str">
        <f t="shared" si="30"/>
        <v/>
      </c>
      <c r="GL35" s="182" t="str">
        <f t="shared" si="30"/>
        <v/>
      </c>
      <c r="GM35" s="182" t="str">
        <f t="shared" si="30"/>
        <v/>
      </c>
      <c r="GN35" s="182" t="str">
        <f t="shared" si="28"/>
        <v/>
      </c>
      <c r="GO35" s="182" t="str">
        <f t="shared" si="28"/>
        <v/>
      </c>
      <c r="GP35" s="182" t="str">
        <f t="shared" si="28"/>
        <v/>
      </c>
    </row>
    <row r="36" spans="2:198" x14ac:dyDescent="0.3">
      <c r="B36" s="184">
        <f>'MF Rent Roll'!B35</f>
        <v>0</v>
      </c>
      <c r="C36" s="171">
        <f>'MF Rent Roll'!C35</f>
        <v>0</v>
      </c>
      <c r="D36" s="172">
        <f>'MF Rent Roll'!D35</f>
        <v>0</v>
      </c>
      <c r="E36" s="172">
        <f>'MF Rent Roll'!E35</f>
        <v>0</v>
      </c>
      <c r="F36" s="173">
        <f>'MF Rent Roll'!F35</f>
        <v>0</v>
      </c>
      <c r="G36" s="174">
        <f>'MF Rent Roll'!G35</f>
        <v>0</v>
      </c>
      <c r="H36" s="176">
        <f>'MF Rent Roll'!J35</f>
        <v>0</v>
      </c>
      <c r="I36" s="174">
        <f>'MF Rent Roll'!K35</f>
        <v>0</v>
      </c>
      <c r="J36" s="177">
        <f>'MF Rent Roll'!L35</f>
        <v>0</v>
      </c>
      <c r="K36" s="178">
        <f>'MF Rent Roll'!M35</f>
        <v>0</v>
      </c>
      <c r="L36" s="174">
        <f>'MF Rent Roll'!N35</f>
        <v>0</v>
      </c>
      <c r="M36" s="179">
        <f>'MF Rent Roll'!O35</f>
        <v>0</v>
      </c>
      <c r="N36" s="180" t="str">
        <f>'MF Rent Roll'!P35</f>
        <v/>
      </c>
      <c r="O36" s="181" t="str">
        <f>'MF Rent Roll'!Q35</f>
        <v/>
      </c>
      <c r="P36" s="104" t="str">
        <f>'MF Rent Roll'!R35</f>
        <v/>
      </c>
      <c r="S36" s="182" t="str">
        <f t="shared" si="35"/>
        <v/>
      </c>
      <c r="T36" s="182" t="str">
        <f t="shared" si="35"/>
        <v/>
      </c>
      <c r="U36" s="182" t="str">
        <f t="shared" si="35"/>
        <v/>
      </c>
      <c r="V36" s="182" t="str">
        <f t="shared" si="35"/>
        <v/>
      </c>
      <c r="W36" s="182" t="str">
        <f t="shared" si="35"/>
        <v/>
      </c>
      <c r="X36" s="182" t="str">
        <f t="shared" si="35"/>
        <v/>
      </c>
      <c r="Y36" s="182" t="str">
        <f t="shared" si="35"/>
        <v/>
      </c>
      <c r="Z36" s="182" t="str">
        <f t="shared" si="35"/>
        <v/>
      </c>
      <c r="AA36" s="182" t="str">
        <f t="shared" si="35"/>
        <v/>
      </c>
      <c r="AB36" s="182" t="str">
        <f t="shared" si="35"/>
        <v/>
      </c>
      <c r="AC36" s="182" t="str">
        <f t="shared" si="35"/>
        <v/>
      </c>
      <c r="AD36" s="182" t="str">
        <f t="shared" si="35"/>
        <v/>
      </c>
      <c r="AE36" s="182" t="str">
        <f t="shared" si="35"/>
        <v/>
      </c>
      <c r="AF36" s="182" t="str">
        <f t="shared" si="35"/>
        <v/>
      </c>
      <c r="AG36" s="182" t="str">
        <f t="shared" si="35"/>
        <v/>
      </c>
      <c r="AH36" s="182" t="str">
        <f t="shared" si="35"/>
        <v/>
      </c>
      <c r="AI36" s="182" t="str">
        <f t="shared" si="31"/>
        <v/>
      </c>
      <c r="AJ36" s="182" t="str">
        <f t="shared" si="31"/>
        <v/>
      </c>
      <c r="AK36" s="182" t="str">
        <f t="shared" si="31"/>
        <v/>
      </c>
      <c r="AL36" s="182" t="str">
        <f t="shared" si="31"/>
        <v/>
      </c>
      <c r="AM36" s="182" t="str">
        <f t="shared" si="31"/>
        <v/>
      </c>
      <c r="AN36" s="182" t="str">
        <f t="shared" si="31"/>
        <v/>
      </c>
      <c r="AO36" s="182" t="str">
        <f t="shared" si="31"/>
        <v/>
      </c>
      <c r="AP36" s="182" t="str">
        <f t="shared" si="31"/>
        <v/>
      </c>
      <c r="AQ36" s="182" t="str">
        <f t="shared" si="40"/>
        <v/>
      </c>
      <c r="AR36" s="182" t="str">
        <f t="shared" si="40"/>
        <v/>
      </c>
      <c r="AS36" s="182" t="str">
        <f t="shared" si="40"/>
        <v/>
      </c>
      <c r="AT36" s="182" t="str">
        <f t="shared" si="40"/>
        <v/>
      </c>
      <c r="AU36" s="182" t="str">
        <f t="shared" si="40"/>
        <v/>
      </c>
      <c r="AV36" s="182" t="str">
        <f t="shared" si="40"/>
        <v/>
      </c>
      <c r="AW36" s="182" t="str">
        <f t="shared" si="40"/>
        <v/>
      </c>
      <c r="AX36" s="182" t="str">
        <f t="shared" si="40"/>
        <v/>
      </c>
      <c r="AY36" s="182" t="str">
        <f t="shared" si="40"/>
        <v/>
      </c>
      <c r="AZ36" s="182" t="str">
        <f t="shared" si="40"/>
        <v/>
      </c>
      <c r="BA36" s="182" t="str">
        <f t="shared" si="40"/>
        <v/>
      </c>
      <c r="BB36" s="182" t="str">
        <f t="shared" si="40"/>
        <v/>
      </c>
      <c r="BC36" s="182" t="str">
        <f t="shared" si="40"/>
        <v/>
      </c>
      <c r="BD36" s="182" t="str">
        <f t="shared" si="40"/>
        <v/>
      </c>
      <c r="BE36" s="182" t="str">
        <f t="shared" si="40"/>
        <v/>
      </c>
      <c r="BF36" s="182" t="str">
        <f t="shared" si="40"/>
        <v/>
      </c>
      <c r="BG36" s="182" t="str">
        <f t="shared" si="36"/>
        <v/>
      </c>
      <c r="BH36" s="182" t="str">
        <f t="shared" si="36"/>
        <v/>
      </c>
      <c r="BI36" s="182" t="str">
        <f t="shared" si="36"/>
        <v/>
      </c>
      <c r="BJ36" s="182" t="str">
        <f t="shared" si="36"/>
        <v/>
      </c>
      <c r="BK36" s="182" t="str">
        <f t="shared" si="36"/>
        <v/>
      </c>
      <c r="BL36" s="182" t="str">
        <f t="shared" si="36"/>
        <v/>
      </c>
      <c r="BM36" s="182" t="str">
        <f t="shared" si="36"/>
        <v/>
      </c>
      <c r="BN36" s="182" t="str">
        <f t="shared" si="32"/>
        <v/>
      </c>
      <c r="BO36" s="182" t="str">
        <f t="shared" si="32"/>
        <v/>
      </c>
      <c r="BP36" s="182" t="str">
        <f t="shared" si="32"/>
        <v/>
      </c>
      <c r="BQ36" s="182" t="str">
        <f t="shared" si="32"/>
        <v/>
      </c>
      <c r="BR36" s="182" t="str">
        <f t="shared" si="32"/>
        <v/>
      </c>
      <c r="BS36" s="182" t="str">
        <f t="shared" si="32"/>
        <v/>
      </c>
      <c r="BT36" s="182" t="str">
        <f t="shared" si="32"/>
        <v/>
      </c>
      <c r="BU36" s="182" t="str">
        <f t="shared" si="32"/>
        <v/>
      </c>
      <c r="BV36" s="182" t="str">
        <f t="shared" si="32"/>
        <v/>
      </c>
      <c r="BW36" s="182" t="str">
        <f t="shared" si="32"/>
        <v/>
      </c>
      <c r="BX36" s="182" t="str">
        <f t="shared" si="32"/>
        <v/>
      </c>
      <c r="BY36" s="182" t="str">
        <f t="shared" si="32"/>
        <v/>
      </c>
      <c r="BZ36" s="182" t="str">
        <f t="shared" si="32"/>
        <v/>
      </c>
      <c r="CA36" s="182" t="str">
        <f t="shared" si="32"/>
        <v/>
      </c>
      <c r="CB36" s="182" t="str">
        <f t="shared" si="32"/>
        <v/>
      </c>
      <c r="CC36" s="182" t="str">
        <f t="shared" si="32"/>
        <v/>
      </c>
      <c r="CD36" s="182" t="str">
        <f t="shared" si="23"/>
        <v/>
      </c>
      <c r="CE36" s="182" t="str">
        <f t="shared" si="41"/>
        <v/>
      </c>
      <c r="CF36" s="182" t="str">
        <f t="shared" si="41"/>
        <v/>
      </c>
      <c r="CG36" s="182" t="str">
        <f t="shared" si="41"/>
        <v/>
      </c>
      <c r="CH36" s="182" t="str">
        <f t="shared" si="41"/>
        <v/>
      </c>
      <c r="CI36" s="182" t="str">
        <f t="shared" si="41"/>
        <v/>
      </c>
      <c r="CJ36" s="182" t="str">
        <f t="shared" si="41"/>
        <v/>
      </c>
      <c r="CK36" s="182" t="str">
        <f t="shared" si="41"/>
        <v/>
      </c>
      <c r="CL36" s="182" t="str">
        <f t="shared" si="41"/>
        <v/>
      </c>
      <c r="CM36" s="182" t="str">
        <f t="shared" si="41"/>
        <v/>
      </c>
      <c r="CN36" s="182" t="str">
        <f t="shared" si="41"/>
        <v/>
      </c>
      <c r="CO36" s="182" t="str">
        <f t="shared" si="41"/>
        <v/>
      </c>
      <c r="CP36" s="182" t="str">
        <f t="shared" si="41"/>
        <v/>
      </c>
      <c r="CQ36" s="182" t="str">
        <f t="shared" si="41"/>
        <v/>
      </c>
      <c r="CR36" s="182" t="str">
        <f t="shared" si="41"/>
        <v/>
      </c>
      <c r="CS36" s="182" t="str">
        <f t="shared" si="41"/>
        <v/>
      </c>
      <c r="CT36" s="182" t="str">
        <f t="shared" si="41"/>
        <v/>
      </c>
      <c r="CU36" s="182" t="str">
        <f t="shared" si="37"/>
        <v/>
      </c>
      <c r="CV36" s="182" t="str">
        <f t="shared" si="37"/>
        <v/>
      </c>
      <c r="CW36" s="182" t="str">
        <f t="shared" si="37"/>
        <v/>
      </c>
      <c r="CX36" s="182" t="str">
        <f t="shared" si="37"/>
        <v/>
      </c>
      <c r="CY36" s="182" t="str">
        <f t="shared" si="37"/>
        <v/>
      </c>
      <c r="CZ36" s="182" t="str">
        <f t="shared" si="37"/>
        <v/>
      </c>
      <c r="DA36" s="182" t="str">
        <f t="shared" si="37"/>
        <v/>
      </c>
      <c r="DB36" s="182" t="str">
        <f t="shared" si="37"/>
        <v/>
      </c>
      <c r="DC36" s="182" t="str">
        <f t="shared" si="37"/>
        <v/>
      </c>
      <c r="DD36" s="182" t="str">
        <f t="shared" si="37"/>
        <v/>
      </c>
      <c r="DE36" s="182" t="str">
        <f t="shared" si="37"/>
        <v/>
      </c>
      <c r="DF36" s="182" t="str">
        <f t="shared" si="37"/>
        <v/>
      </c>
      <c r="DG36" s="182" t="str">
        <f t="shared" si="37"/>
        <v/>
      </c>
      <c r="DH36" s="182" t="str">
        <f t="shared" si="38"/>
        <v/>
      </c>
      <c r="DI36" s="182" t="str">
        <f t="shared" si="38"/>
        <v/>
      </c>
      <c r="DJ36" s="182" t="str">
        <f t="shared" si="38"/>
        <v/>
      </c>
      <c r="DK36" s="182" t="str">
        <f t="shared" si="38"/>
        <v/>
      </c>
      <c r="DL36" s="182" t="str">
        <f t="shared" si="38"/>
        <v/>
      </c>
      <c r="DM36" s="182" t="str">
        <f t="shared" si="38"/>
        <v/>
      </c>
      <c r="DN36" s="182" t="str">
        <f t="shared" si="38"/>
        <v/>
      </c>
      <c r="DO36" s="182" t="str">
        <f t="shared" si="38"/>
        <v/>
      </c>
      <c r="DP36" s="182" t="str">
        <f t="shared" si="38"/>
        <v/>
      </c>
      <c r="DQ36" s="182" t="str">
        <f t="shared" si="38"/>
        <v/>
      </c>
      <c r="DR36" s="182" t="str">
        <f t="shared" si="38"/>
        <v/>
      </c>
      <c r="DS36" s="182" t="str">
        <f t="shared" si="38"/>
        <v/>
      </c>
      <c r="DT36" s="182" t="str">
        <f t="shared" si="38"/>
        <v/>
      </c>
      <c r="DU36" s="182" t="str">
        <f t="shared" si="38"/>
        <v/>
      </c>
      <c r="DV36" s="182" t="str">
        <f t="shared" si="38"/>
        <v/>
      </c>
      <c r="DW36" s="182" t="str">
        <f t="shared" si="38"/>
        <v/>
      </c>
      <c r="DX36" s="182" t="str">
        <f t="shared" si="33"/>
        <v/>
      </c>
      <c r="DY36" s="182" t="str">
        <f t="shared" si="25"/>
        <v/>
      </c>
      <c r="DZ36" s="182" t="str">
        <f t="shared" si="39"/>
        <v/>
      </c>
      <c r="EA36" s="182" t="str">
        <f t="shared" si="39"/>
        <v/>
      </c>
      <c r="EB36" s="182" t="str">
        <f t="shared" si="39"/>
        <v/>
      </c>
      <c r="EC36" s="182" t="str">
        <f t="shared" si="39"/>
        <v/>
      </c>
      <c r="ED36" s="182" t="str">
        <f t="shared" si="39"/>
        <v/>
      </c>
      <c r="EE36" s="182" t="str">
        <f t="shared" si="39"/>
        <v/>
      </c>
      <c r="EF36" s="182" t="str">
        <f t="shared" si="39"/>
        <v/>
      </c>
      <c r="EG36" s="182" t="str">
        <f t="shared" si="39"/>
        <v/>
      </c>
      <c r="EH36" s="182" t="str">
        <f t="shared" si="39"/>
        <v/>
      </c>
      <c r="EI36" s="182" t="str">
        <f t="shared" si="39"/>
        <v/>
      </c>
      <c r="EJ36" s="182" t="str">
        <f t="shared" si="39"/>
        <v/>
      </c>
      <c r="EK36" s="182" t="str">
        <f t="shared" si="39"/>
        <v/>
      </c>
      <c r="EL36" s="182" t="str">
        <f t="shared" si="39"/>
        <v/>
      </c>
      <c r="EM36" s="182" t="str">
        <f t="shared" si="39"/>
        <v/>
      </c>
      <c r="EN36" s="182" t="str">
        <f t="shared" si="39"/>
        <v/>
      </c>
      <c r="EO36" s="182" t="str">
        <f t="shared" si="39"/>
        <v/>
      </c>
      <c r="EP36" s="182" t="str">
        <f t="shared" si="34"/>
        <v/>
      </c>
      <c r="EQ36" s="182" t="str">
        <f t="shared" si="34"/>
        <v/>
      </c>
      <c r="ER36" s="182" t="str">
        <f t="shared" si="20"/>
        <v/>
      </c>
      <c r="ES36" s="182" t="str">
        <f t="shared" si="20"/>
        <v/>
      </c>
      <c r="ET36" s="182" t="str">
        <f t="shared" si="20"/>
        <v/>
      </c>
      <c r="EU36" s="182" t="str">
        <f t="shared" si="20"/>
        <v/>
      </c>
      <c r="EV36" s="182" t="str">
        <f t="shared" si="20"/>
        <v/>
      </c>
      <c r="EW36" s="182" t="str">
        <f t="shared" si="20"/>
        <v/>
      </c>
      <c r="EX36" s="182" t="str">
        <f t="shared" si="20"/>
        <v/>
      </c>
      <c r="EY36" s="182" t="str">
        <f t="shared" si="20"/>
        <v/>
      </c>
      <c r="EZ36" s="182" t="str">
        <f t="shared" si="20"/>
        <v/>
      </c>
      <c r="FA36" s="182" t="str">
        <f t="shared" si="20"/>
        <v/>
      </c>
      <c r="FB36" s="182" t="str">
        <f t="shared" si="20"/>
        <v/>
      </c>
      <c r="FC36" s="182" t="str">
        <f t="shared" si="20"/>
        <v/>
      </c>
      <c r="FD36" s="182" t="str">
        <f t="shared" si="20"/>
        <v/>
      </c>
      <c r="FE36" s="182" t="str">
        <f t="shared" si="20"/>
        <v/>
      </c>
      <c r="FF36" s="182" t="str">
        <f t="shared" si="29"/>
        <v/>
      </c>
      <c r="FG36" s="182" t="str">
        <f t="shared" si="29"/>
        <v/>
      </c>
      <c r="FH36" s="182" t="str">
        <f t="shared" si="29"/>
        <v/>
      </c>
      <c r="FI36" s="182" t="str">
        <f t="shared" si="29"/>
        <v/>
      </c>
      <c r="FJ36" s="182" t="str">
        <f t="shared" si="29"/>
        <v/>
      </c>
      <c r="FK36" s="182" t="str">
        <f t="shared" si="29"/>
        <v/>
      </c>
      <c r="FL36" s="182" t="str">
        <f t="shared" si="29"/>
        <v/>
      </c>
      <c r="FM36" s="182" t="str">
        <f t="shared" si="29"/>
        <v/>
      </c>
      <c r="FN36" s="182" t="str">
        <f t="shared" si="29"/>
        <v/>
      </c>
      <c r="FO36" s="182" t="str">
        <f t="shared" si="29"/>
        <v/>
      </c>
      <c r="FP36" s="182" t="str">
        <f t="shared" si="29"/>
        <v/>
      </c>
      <c r="FQ36" s="182" t="str">
        <f t="shared" si="29"/>
        <v/>
      </c>
      <c r="FR36" s="182" t="str">
        <f t="shared" si="29"/>
        <v/>
      </c>
      <c r="FS36" s="182" t="str">
        <f t="shared" si="29"/>
        <v/>
      </c>
      <c r="FT36" s="182" t="str">
        <f t="shared" si="29"/>
        <v/>
      </c>
      <c r="FU36" s="182" t="str">
        <f t="shared" si="29"/>
        <v/>
      </c>
      <c r="FV36" s="182" t="str">
        <f t="shared" si="27"/>
        <v/>
      </c>
      <c r="FW36" s="182" t="str">
        <f t="shared" si="16"/>
        <v/>
      </c>
      <c r="FX36" s="182" t="str">
        <f t="shared" si="30"/>
        <v/>
      </c>
      <c r="FY36" s="182" t="str">
        <f t="shared" si="30"/>
        <v/>
      </c>
      <c r="FZ36" s="182" t="str">
        <f t="shared" si="30"/>
        <v/>
      </c>
      <c r="GA36" s="182" t="str">
        <f t="shared" si="30"/>
        <v/>
      </c>
      <c r="GB36" s="182" t="str">
        <f t="shared" si="30"/>
        <v/>
      </c>
      <c r="GC36" s="182" t="str">
        <f t="shared" si="30"/>
        <v/>
      </c>
      <c r="GD36" s="182" t="str">
        <f t="shared" si="30"/>
        <v/>
      </c>
      <c r="GE36" s="182" t="str">
        <f t="shared" si="30"/>
        <v/>
      </c>
      <c r="GF36" s="182" t="str">
        <f t="shared" si="30"/>
        <v/>
      </c>
      <c r="GG36" s="182" t="str">
        <f t="shared" si="30"/>
        <v/>
      </c>
      <c r="GH36" s="182" t="str">
        <f t="shared" si="30"/>
        <v/>
      </c>
      <c r="GI36" s="182" t="str">
        <f t="shared" si="30"/>
        <v/>
      </c>
      <c r="GJ36" s="182" t="str">
        <f t="shared" si="30"/>
        <v/>
      </c>
      <c r="GK36" s="182" t="str">
        <f t="shared" si="30"/>
        <v/>
      </c>
      <c r="GL36" s="182" t="str">
        <f t="shared" si="30"/>
        <v/>
      </c>
      <c r="GM36" s="182" t="str">
        <f t="shared" si="30"/>
        <v/>
      </c>
      <c r="GN36" s="182" t="str">
        <f t="shared" si="28"/>
        <v/>
      </c>
      <c r="GO36" s="182" t="str">
        <f t="shared" si="28"/>
        <v/>
      </c>
      <c r="GP36" s="182" t="str">
        <f t="shared" si="28"/>
        <v/>
      </c>
    </row>
    <row r="37" spans="2:198" x14ac:dyDescent="0.3">
      <c r="B37" s="184">
        <f>'MF Rent Roll'!B36</f>
        <v>0</v>
      </c>
      <c r="C37" s="171">
        <f>'MF Rent Roll'!C36</f>
        <v>0</v>
      </c>
      <c r="D37" s="172">
        <f>'MF Rent Roll'!D36</f>
        <v>0</v>
      </c>
      <c r="E37" s="172">
        <f>'MF Rent Roll'!E36</f>
        <v>0</v>
      </c>
      <c r="F37" s="173">
        <f>'MF Rent Roll'!F36</f>
        <v>0</v>
      </c>
      <c r="G37" s="174">
        <f>'MF Rent Roll'!G36</f>
        <v>0</v>
      </c>
      <c r="H37" s="176">
        <f>'MF Rent Roll'!J36</f>
        <v>0</v>
      </c>
      <c r="I37" s="174">
        <f>'MF Rent Roll'!K36</f>
        <v>0</v>
      </c>
      <c r="J37" s="177">
        <f>'MF Rent Roll'!L36</f>
        <v>0</v>
      </c>
      <c r="K37" s="178">
        <f>'MF Rent Roll'!M36</f>
        <v>0</v>
      </c>
      <c r="L37" s="174">
        <f>'MF Rent Roll'!N36</f>
        <v>0</v>
      </c>
      <c r="M37" s="179">
        <f>'MF Rent Roll'!O36</f>
        <v>0</v>
      </c>
      <c r="N37" s="180" t="str">
        <f>'MF Rent Roll'!P36</f>
        <v/>
      </c>
      <c r="O37" s="181" t="str">
        <f>'MF Rent Roll'!Q36</f>
        <v/>
      </c>
      <c r="P37" s="104" t="str">
        <f>'MF Rent Roll'!R36</f>
        <v/>
      </c>
      <c r="S37" s="182" t="str">
        <f t="shared" si="35"/>
        <v/>
      </c>
      <c r="T37" s="182" t="str">
        <f t="shared" si="35"/>
        <v/>
      </c>
      <c r="U37" s="182" t="str">
        <f t="shared" si="35"/>
        <v/>
      </c>
      <c r="V37" s="182" t="str">
        <f t="shared" si="35"/>
        <v/>
      </c>
      <c r="W37" s="182" t="str">
        <f t="shared" si="35"/>
        <v/>
      </c>
      <c r="X37" s="182" t="str">
        <f t="shared" si="35"/>
        <v/>
      </c>
      <c r="Y37" s="182" t="str">
        <f t="shared" si="35"/>
        <v/>
      </c>
      <c r="Z37" s="182" t="str">
        <f t="shared" si="35"/>
        <v/>
      </c>
      <c r="AA37" s="182" t="str">
        <f t="shared" si="35"/>
        <v/>
      </c>
      <c r="AB37" s="182" t="str">
        <f t="shared" si="35"/>
        <v/>
      </c>
      <c r="AC37" s="182" t="str">
        <f t="shared" si="35"/>
        <v/>
      </c>
      <c r="AD37" s="182" t="str">
        <f t="shared" si="35"/>
        <v/>
      </c>
      <c r="AE37" s="182" t="str">
        <f t="shared" si="35"/>
        <v/>
      </c>
      <c r="AF37" s="182" t="str">
        <f t="shared" si="35"/>
        <v/>
      </c>
      <c r="AG37" s="182" t="str">
        <f t="shared" si="35"/>
        <v/>
      </c>
      <c r="AH37" s="182" t="str">
        <f t="shared" si="35"/>
        <v/>
      </c>
      <c r="AI37" s="182" t="str">
        <f t="shared" si="31"/>
        <v/>
      </c>
      <c r="AJ37" s="182" t="str">
        <f t="shared" si="31"/>
        <v/>
      </c>
      <c r="AK37" s="182" t="str">
        <f t="shared" si="31"/>
        <v/>
      </c>
      <c r="AL37" s="182" t="str">
        <f t="shared" si="31"/>
        <v/>
      </c>
      <c r="AM37" s="182" t="str">
        <f t="shared" si="31"/>
        <v/>
      </c>
      <c r="AN37" s="182" t="str">
        <f t="shared" si="31"/>
        <v/>
      </c>
      <c r="AO37" s="182" t="str">
        <f t="shared" si="31"/>
        <v/>
      </c>
      <c r="AP37" s="182" t="str">
        <f t="shared" si="31"/>
        <v/>
      </c>
      <c r="AQ37" s="182" t="str">
        <f t="shared" si="40"/>
        <v/>
      </c>
      <c r="AR37" s="182" t="str">
        <f t="shared" si="40"/>
        <v/>
      </c>
      <c r="AS37" s="182" t="str">
        <f t="shared" si="40"/>
        <v/>
      </c>
      <c r="AT37" s="182" t="str">
        <f t="shared" si="40"/>
        <v/>
      </c>
      <c r="AU37" s="182" t="str">
        <f t="shared" si="40"/>
        <v/>
      </c>
      <c r="AV37" s="182" t="str">
        <f t="shared" si="40"/>
        <v/>
      </c>
      <c r="AW37" s="182" t="str">
        <f t="shared" si="40"/>
        <v/>
      </c>
      <c r="AX37" s="182" t="str">
        <f t="shared" si="40"/>
        <v/>
      </c>
      <c r="AY37" s="182" t="str">
        <f t="shared" si="40"/>
        <v/>
      </c>
      <c r="AZ37" s="182" t="str">
        <f t="shared" si="40"/>
        <v/>
      </c>
      <c r="BA37" s="182" t="str">
        <f t="shared" si="40"/>
        <v/>
      </c>
      <c r="BB37" s="182" t="str">
        <f t="shared" si="40"/>
        <v/>
      </c>
      <c r="BC37" s="182" t="str">
        <f t="shared" si="40"/>
        <v/>
      </c>
      <c r="BD37" s="182" t="str">
        <f t="shared" si="40"/>
        <v/>
      </c>
      <c r="BE37" s="182" t="str">
        <f t="shared" si="40"/>
        <v/>
      </c>
      <c r="BF37" s="182" t="str">
        <f t="shared" si="40"/>
        <v/>
      </c>
      <c r="BG37" s="182" t="str">
        <f t="shared" si="36"/>
        <v/>
      </c>
      <c r="BH37" s="182" t="str">
        <f t="shared" si="36"/>
        <v/>
      </c>
      <c r="BI37" s="182" t="str">
        <f t="shared" si="36"/>
        <v/>
      </c>
      <c r="BJ37" s="182" t="str">
        <f t="shared" si="36"/>
        <v/>
      </c>
      <c r="BK37" s="182" t="str">
        <f t="shared" si="36"/>
        <v/>
      </c>
      <c r="BL37" s="182" t="str">
        <f t="shared" si="36"/>
        <v/>
      </c>
      <c r="BM37" s="182" t="str">
        <f t="shared" si="36"/>
        <v/>
      </c>
      <c r="BN37" s="182" t="str">
        <f t="shared" si="32"/>
        <v/>
      </c>
      <c r="BO37" s="182" t="str">
        <f t="shared" si="32"/>
        <v/>
      </c>
      <c r="BP37" s="182" t="str">
        <f t="shared" si="32"/>
        <v/>
      </c>
      <c r="BQ37" s="182" t="str">
        <f t="shared" si="32"/>
        <v/>
      </c>
      <c r="BR37" s="182" t="str">
        <f t="shared" si="32"/>
        <v/>
      </c>
      <c r="BS37" s="182" t="str">
        <f t="shared" si="32"/>
        <v/>
      </c>
      <c r="BT37" s="182" t="str">
        <f t="shared" si="32"/>
        <v/>
      </c>
      <c r="BU37" s="182" t="str">
        <f t="shared" si="32"/>
        <v/>
      </c>
      <c r="BV37" s="182" t="str">
        <f t="shared" si="32"/>
        <v/>
      </c>
      <c r="BW37" s="182" t="str">
        <f t="shared" si="32"/>
        <v/>
      </c>
      <c r="BX37" s="182" t="str">
        <f t="shared" si="32"/>
        <v/>
      </c>
      <c r="BY37" s="182" t="str">
        <f t="shared" si="32"/>
        <v/>
      </c>
      <c r="BZ37" s="182" t="str">
        <f t="shared" si="32"/>
        <v/>
      </c>
      <c r="CA37" s="182" t="str">
        <f t="shared" si="32"/>
        <v/>
      </c>
      <c r="CB37" s="182" t="str">
        <f t="shared" si="32"/>
        <v/>
      </c>
      <c r="CC37" s="182" t="str">
        <f t="shared" si="32"/>
        <v/>
      </c>
      <c r="CD37" s="182" t="str">
        <f t="shared" si="23"/>
        <v/>
      </c>
      <c r="CE37" s="182" t="str">
        <f t="shared" si="41"/>
        <v/>
      </c>
      <c r="CF37" s="182" t="str">
        <f t="shared" si="41"/>
        <v/>
      </c>
      <c r="CG37" s="182" t="str">
        <f t="shared" si="41"/>
        <v/>
      </c>
      <c r="CH37" s="182" t="str">
        <f t="shared" si="41"/>
        <v/>
      </c>
      <c r="CI37" s="182" t="str">
        <f t="shared" si="41"/>
        <v/>
      </c>
      <c r="CJ37" s="182" t="str">
        <f t="shared" si="41"/>
        <v/>
      </c>
      <c r="CK37" s="182" t="str">
        <f t="shared" si="41"/>
        <v/>
      </c>
      <c r="CL37" s="182" t="str">
        <f t="shared" si="41"/>
        <v/>
      </c>
      <c r="CM37" s="182" t="str">
        <f t="shared" si="41"/>
        <v/>
      </c>
      <c r="CN37" s="182" t="str">
        <f t="shared" si="41"/>
        <v/>
      </c>
      <c r="CO37" s="182" t="str">
        <f t="shared" si="41"/>
        <v/>
      </c>
      <c r="CP37" s="182" t="str">
        <f t="shared" si="41"/>
        <v/>
      </c>
      <c r="CQ37" s="182" t="str">
        <f t="shared" si="41"/>
        <v/>
      </c>
      <c r="CR37" s="182" t="str">
        <f t="shared" si="41"/>
        <v/>
      </c>
      <c r="CS37" s="182" t="str">
        <f t="shared" si="41"/>
        <v/>
      </c>
      <c r="CT37" s="182" t="str">
        <f t="shared" si="41"/>
        <v/>
      </c>
      <c r="CU37" s="182" t="str">
        <f t="shared" si="37"/>
        <v/>
      </c>
      <c r="CV37" s="182" t="str">
        <f t="shared" si="37"/>
        <v/>
      </c>
      <c r="CW37" s="182" t="str">
        <f t="shared" si="37"/>
        <v/>
      </c>
      <c r="CX37" s="182" t="str">
        <f t="shared" si="37"/>
        <v/>
      </c>
      <c r="CY37" s="182" t="str">
        <f t="shared" si="37"/>
        <v/>
      </c>
      <c r="CZ37" s="182" t="str">
        <f t="shared" si="37"/>
        <v/>
      </c>
      <c r="DA37" s="182" t="str">
        <f t="shared" si="37"/>
        <v/>
      </c>
      <c r="DB37" s="182" t="str">
        <f t="shared" si="37"/>
        <v/>
      </c>
      <c r="DC37" s="182" t="str">
        <f t="shared" si="37"/>
        <v/>
      </c>
      <c r="DD37" s="182" t="str">
        <f t="shared" si="37"/>
        <v/>
      </c>
      <c r="DE37" s="182" t="str">
        <f t="shared" si="37"/>
        <v/>
      </c>
      <c r="DF37" s="182" t="str">
        <f t="shared" si="37"/>
        <v/>
      </c>
      <c r="DG37" s="182" t="str">
        <f t="shared" si="37"/>
        <v/>
      </c>
      <c r="DH37" s="182" t="str">
        <f t="shared" si="38"/>
        <v/>
      </c>
      <c r="DI37" s="182" t="str">
        <f t="shared" si="38"/>
        <v/>
      </c>
      <c r="DJ37" s="182" t="str">
        <f t="shared" si="38"/>
        <v/>
      </c>
      <c r="DK37" s="182" t="str">
        <f t="shared" si="38"/>
        <v/>
      </c>
      <c r="DL37" s="182" t="str">
        <f t="shared" si="38"/>
        <v/>
      </c>
      <c r="DM37" s="182" t="str">
        <f t="shared" si="38"/>
        <v/>
      </c>
      <c r="DN37" s="182" t="str">
        <f t="shared" si="38"/>
        <v/>
      </c>
      <c r="DO37" s="182" t="str">
        <f t="shared" si="38"/>
        <v/>
      </c>
      <c r="DP37" s="182" t="str">
        <f t="shared" si="38"/>
        <v/>
      </c>
      <c r="DQ37" s="182" t="str">
        <f t="shared" si="38"/>
        <v/>
      </c>
      <c r="DR37" s="182" t="str">
        <f t="shared" si="38"/>
        <v/>
      </c>
      <c r="DS37" s="182" t="str">
        <f t="shared" si="38"/>
        <v/>
      </c>
      <c r="DT37" s="182" t="str">
        <f t="shared" si="38"/>
        <v/>
      </c>
      <c r="DU37" s="182" t="str">
        <f t="shared" si="38"/>
        <v/>
      </c>
      <c r="DV37" s="182" t="str">
        <f t="shared" si="38"/>
        <v/>
      </c>
      <c r="DW37" s="182" t="str">
        <f t="shared" si="38"/>
        <v/>
      </c>
      <c r="DX37" s="182" t="str">
        <f t="shared" si="33"/>
        <v/>
      </c>
      <c r="DY37" s="182" t="str">
        <f t="shared" si="25"/>
        <v/>
      </c>
      <c r="DZ37" s="182" t="str">
        <f t="shared" si="39"/>
        <v/>
      </c>
      <c r="EA37" s="182" t="str">
        <f t="shared" si="39"/>
        <v/>
      </c>
      <c r="EB37" s="182" t="str">
        <f t="shared" si="39"/>
        <v/>
      </c>
      <c r="EC37" s="182" t="str">
        <f t="shared" si="39"/>
        <v/>
      </c>
      <c r="ED37" s="182" t="str">
        <f t="shared" si="39"/>
        <v/>
      </c>
      <c r="EE37" s="182" t="str">
        <f t="shared" si="39"/>
        <v/>
      </c>
      <c r="EF37" s="182" t="str">
        <f t="shared" si="39"/>
        <v/>
      </c>
      <c r="EG37" s="182" t="str">
        <f t="shared" si="39"/>
        <v/>
      </c>
      <c r="EH37" s="182" t="str">
        <f t="shared" si="39"/>
        <v/>
      </c>
      <c r="EI37" s="182" t="str">
        <f t="shared" si="39"/>
        <v/>
      </c>
      <c r="EJ37" s="182" t="str">
        <f t="shared" si="39"/>
        <v/>
      </c>
      <c r="EK37" s="182" t="str">
        <f t="shared" si="39"/>
        <v/>
      </c>
      <c r="EL37" s="182" t="str">
        <f t="shared" si="39"/>
        <v/>
      </c>
      <c r="EM37" s="182" t="str">
        <f t="shared" si="39"/>
        <v/>
      </c>
      <c r="EN37" s="182" t="str">
        <f t="shared" si="39"/>
        <v/>
      </c>
      <c r="EO37" s="182" t="str">
        <f t="shared" si="39"/>
        <v/>
      </c>
      <c r="EP37" s="182" t="str">
        <f t="shared" si="34"/>
        <v/>
      </c>
      <c r="EQ37" s="182" t="str">
        <f t="shared" si="34"/>
        <v/>
      </c>
      <c r="ER37" s="182" t="str">
        <f t="shared" si="20"/>
        <v/>
      </c>
      <c r="ES37" s="182" t="str">
        <f t="shared" si="20"/>
        <v/>
      </c>
      <c r="ET37" s="182" t="str">
        <f t="shared" si="20"/>
        <v/>
      </c>
      <c r="EU37" s="182" t="str">
        <f t="shared" si="20"/>
        <v/>
      </c>
      <c r="EV37" s="182" t="str">
        <f t="shared" si="20"/>
        <v/>
      </c>
      <c r="EW37" s="182" t="str">
        <f t="shared" si="20"/>
        <v/>
      </c>
      <c r="EX37" s="182" t="str">
        <f t="shared" si="20"/>
        <v/>
      </c>
      <c r="EY37" s="182" t="str">
        <f t="shared" si="20"/>
        <v/>
      </c>
      <c r="EZ37" s="182" t="str">
        <f t="shared" si="20"/>
        <v/>
      </c>
      <c r="FA37" s="182" t="str">
        <f t="shared" si="20"/>
        <v/>
      </c>
      <c r="FB37" s="182" t="str">
        <f t="shared" si="20"/>
        <v/>
      </c>
      <c r="FC37" s="182" t="str">
        <f t="shared" si="20"/>
        <v/>
      </c>
      <c r="FD37" s="182" t="str">
        <f t="shared" si="20"/>
        <v/>
      </c>
      <c r="FE37" s="182" t="str">
        <f t="shared" si="20"/>
        <v/>
      </c>
      <c r="FF37" s="182" t="str">
        <f t="shared" si="29"/>
        <v/>
      </c>
      <c r="FG37" s="182" t="str">
        <f t="shared" si="29"/>
        <v/>
      </c>
      <c r="FH37" s="182" t="str">
        <f t="shared" si="29"/>
        <v/>
      </c>
      <c r="FI37" s="182" t="str">
        <f t="shared" si="29"/>
        <v/>
      </c>
      <c r="FJ37" s="182" t="str">
        <f t="shared" si="29"/>
        <v/>
      </c>
      <c r="FK37" s="182" t="str">
        <f t="shared" si="29"/>
        <v/>
      </c>
      <c r="FL37" s="182" t="str">
        <f t="shared" si="29"/>
        <v/>
      </c>
      <c r="FM37" s="182" t="str">
        <f t="shared" si="29"/>
        <v/>
      </c>
      <c r="FN37" s="182" t="str">
        <f t="shared" si="29"/>
        <v/>
      </c>
      <c r="FO37" s="182" t="str">
        <f t="shared" si="29"/>
        <v/>
      </c>
      <c r="FP37" s="182" t="str">
        <f t="shared" si="29"/>
        <v/>
      </c>
      <c r="FQ37" s="182" t="str">
        <f t="shared" si="29"/>
        <v/>
      </c>
      <c r="FR37" s="182" t="str">
        <f t="shared" si="29"/>
        <v/>
      </c>
      <c r="FS37" s="182" t="str">
        <f t="shared" si="29"/>
        <v/>
      </c>
      <c r="FT37" s="182" t="str">
        <f t="shared" si="29"/>
        <v/>
      </c>
      <c r="FU37" s="182" t="str">
        <f t="shared" si="29"/>
        <v/>
      </c>
      <c r="FV37" s="182" t="str">
        <f t="shared" si="27"/>
        <v/>
      </c>
      <c r="FW37" s="182" t="str">
        <f t="shared" si="16"/>
        <v/>
      </c>
      <c r="FX37" s="182" t="str">
        <f t="shared" si="30"/>
        <v/>
      </c>
      <c r="FY37" s="182" t="str">
        <f t="shared" si="30"/>
        <v/>
      </c>
      <c r="FZ37" s="182" t="str">
        <f t="shared" si="30"/>
        <v/>
      </c>
      <c r="GA37" s="182" t="str">
        <f t="shared" si="30"/>
        <v/>
      </c>
      <c r="GB37" s="182" t="str">
        <f t="shared" si="30"/>
        <v/>
      </c>
      <c r="GC37" s="182" t="str">
        <f t="shared" si="30"/>
        <v/>
      </c>
      <c r="GD37" s="182" t="str">
        <f t="shared" si="30"/>
        <v/>
      </c>
      <c r="GE37" s="182" t="str">
        <f t="shared" si="30"/>
        <v/>
      </c>
      <c r="GF37" s="182" t="str">
        <f t="shared" si="30"/>
        <v/>
      </c>
      <c r="GG37" s="182" t="str">
        <f t="shared" si="30"/>
        <v/>
      </c>
      <c r="GH37" s="182" t="str">
        <f t="shared" si="30"/>
        <v/>
      </c>
      <c r="GI37" s="182" t="str">
        <f t="shared" si="30"/>
        <v/>
      </c>
      <c r="GJ37" s="182" t="str">
        <f t="shared" si="30"/>
        <v/>
      </c>
      <c r="GK37" s="182" t="str">
        <f t="shared" si="30"/>
        <v/>
      </c>
      <c r="GL37" s="182" t="str">
        <f t="shared" si="30"/>
        <v/>
      </c>
      <c r="GM37" s="182" t="str">
        <f t="shared" si="30"/>
        <v/>
      </c>
      <c r="GN37" s="182" t="str">
        <f t="shared" si="28"/>
        <v/>
      </c>
      <c r="GO37" s="182" t="str">
        <f t="shared" si="28"/>
        <v/>
      </c>
      <c r="GP37" s="182" t="str">
        <f t="shared" si="28"/>
        <v/>
      </c>
    </row>
    <row r="38" spans="2:198" x14ac:dyDescent="0.3">
      <c r="B38" s="184">
        <f>'MF Rent Roll'!B37</f>
        <v>0</v>
      </c>
      <c r="C38" s="171">
        <f>'MF Rent Roll'!C37</f>
        <v>0</v>
      </c>
      <c r="D38" s="172">
        <f>'MF Rent Roll'!D37</f>
        <v>0</v>
      </c>
      <c r="E38" s="172">
        <f>'MF Rent Roll'!E37</f>
        <v>0</v>
      </c>
      <c r="F38" s="173">
        <f>'MF Rent Roll'!F37</f>
        <v>0</v>
      </c>
      <c r="G38" s="174">
        <f>'MF Rent Roll'!G37</f>
        <v>0</v>
      </c>
      <c r="H38" s="176">
        <f>'MF Rent Roll'!J37</f>
        <v>0</v>
      </c>
      <c r="I38" s="174">
        <f>'MF Rent Roll'!K37</f>
        <v>0</v>
      </c>
      <c r="J38" s="177">
        <f>'MF Rent Roll'!L37</f>
        <v>0</v>
      </c>
      <c r="K38" s="178">
        <f>'MF Rent Roll'!M37</f>
        <v>0</v>
      </c>
      <c r="L38" s="174">
        <f>'MF Rent Roll'!N37</f>
        <v>0</v>
      </c>
      <c r="M38" s="179">
        <f>'MF Rent Roll'!O37</f>
        <v>0</v>
      </c>
      <c r="N38" s="180" t="str">
        <f>'MF Rent Roll'!P37</f>
        <v/>
      </c>
      <c r="O38" s="181" t="str">
        <f>'MF Rent Roll'!Q37</f>
        <v/>
      </c>
      <c r="P38" s="104" t="str">
        <f>'MF Rent Roll'!R37</f>
        <v/>
      </c>
      <c r="S38" s="182" t="str">
        <f t="shared" si="35"/>
        <v/>
      </c>
      <c r="T38" s="182" t="str">
        <f t="shared" si="35"/>
        <v/>
      </c>
      <c r="U38" s="182" t="str">
        <f t="shared" si="35"/>
        <v/>
      </c>
      <c r="V38" s="182" t="str">
        <f t="shared" si="35"/>
        <v/>
      </c>
      <c r="W38" s="182" t="str">
        <f t="shared" si="35"/>
        <v/>
      </c>
      <c r="X38" s="182" t="str">
        <f t="shared" si="35"/>
        <v/>
      </c>
      <c r="Y38" s="182" t="str">
        <f t="shared" si="35"/>
        <v/>
      </c>
      <c r="Z38" s="182" t="str">
        <f t="shared" si="35"/>
        <v/>
      </c>
      <c r="AA38" s="182" t="str">
        <f t="shared" si="35"/>
        <v/>
      </c>
      <c r="AB38" s="182" t="str">
        <f t="shared" si="35"/>
        <v/>
      </c>
      <c r="AC38" s="182" t="str">
        <f t="shared" si="35"/>
        <v/>
      </c>
      <c r="AD38" s="182" t="str">
        <f t="shared" si="35"/>
        <v/>
      </c>
      <c r="AE38" s="182" t="str">
        <f t="shared" si="35"/>
        <v/>
      </c>
      <c r="AF38" s="182" t="str">
        <f t="shared" si="35"/>
        <v/>
      </c>
      <c r="AG38" s="182" t="str">
        <f t="shared" si="35"/>
        <v/>
      </c>
      <c r="AH38" s="182" t="str">
        <f t="shared" si="35"/>
        <v/>
      </c>
      <c r="AI38" s="182" t="str">
        <f t="shared" si="31"/>
        <v/>
      </c>
      <c r="AJ38" s="182" t="str">
        <f t="shared" si="31"/>
        <v/>
      </c>
      <c r="AK38" s="182" t="str">
        <f t="shared" si="31"/>
        <v/>
      </c>
      <c r="AL38" s="182" t="str">
        <f t="shared" si="31"/>
        <v/>
      </c>
      <c r="AM38" s="182" t="str">
        <f t="shared" si="31"/>
        <v/>
      </c>
      <c r="AN38" s="182" t="str">
        <f t="shared" si="31"/>
        <v/>
      </c>
      <c r="AO38" s="182" t="str">
        <f t="shared" si="31"/>
        <v/>
      </c>
      <c r="AP38" s="182" t="str">
        <f t="shared" si="31"/>
        <v/>
      </c>
      <c r="AQ38" s="182" t="str">
        <f t="shared" si="40"/>
        <v/>
      </c>
      <c r="AR38" s="182" t="str">
        <f t="shared" si="40"/>
        <v/>
      </c>
      <c r="AS38" s="182" t="str">
        <f t="shared" si="40"/>
        <v/>
      </c>
      <c r="AT38" s="182" t="str">
        <f t="shared" si="40"/>
        <v/>
      </c>
      <c r="AU38" s="182" t="str">
        <f t="shared" si="40"/>
        <v/>
      </c>
      <c r="AV38" s="182" t="str">
        <f t="shared" si="40"/>
        <v/>
      </c>
      <c r="AW38" s="182" t="str">
        <f t="shared" si="40"/>
        <v/>
      </c>
      <c r="AX38" s="182" t="str">
        <f t="shared" si="40"/>
        <v/>
      </c>
      <c r="AY38" s="182" t="str">
        <f t="shared" si="40"/>
        <v/>
      </c>
      <c r="AZ38" s="182" t="str">
        <f t="shared" si="40"/>
        <v/>
      </c>
      <c r="BA38" s="182" t="str">
        <f t="shared" si="40"/>
        <v/>
      </c>
      <c r="BB38" s="182" t="str">
        <f t="shared" si="40"/>
        <v/>
      </c>
      <c r="BC38" s="182" t="str">
        <f t="shared" si="40"/>
        <v/>
      </c>
      <c r="BD38" s="182" t="str">
        <f t="shared" si="40"/>
        <v/>
      </c>
      <c r="BE38" s="182" t="str">
        <f t="shared" si="40"/>
        <v/>
      </c>
      <c r="BF38" s="182" t="str">
        <f t="shared" si="40"/>
        <v/>
      </c>
      <c r="BG38" s="182" t="str">
        <f t="shared" si="36"/>
        <v/>
      </c>
      <c r="BH38" s="182" t="str">
        <f t="shared" si="36"/>
        <v/>
      </c>
      <c r="BI38" s="182" t="str">
        <f t="shared" si="36"/>
        <v/>
      </c>
      <c r="BJ38" s="182" t="str">
        <f t="shared" si="36"/>
        <v/>
      </c>
      <c r="BK38" s="182" t="str">
        <f t="shared" si="36"/>
        <v/>
      </c>
      <c r="BL38" s="182" t="str">
        <f t="shared" si="36"/>
        <v/>
      </c>
      <c r="BM38" s="182" t="str">
        <f t="shared" si="36"/>
        <v/>
      </c>
      <c r="BN38" s="182" t="str">
        <f t="shared" si="32"/>
        <v/>
      </c>
      <c r="BO38" s="182" t="str">
        <f t="shared" si="32"/>
        <v/>
      </c>
      <c r="BP38" s="182" t="str">
        <f t="shared" si="32"/>
        <v/>
      </c>
      <c r="BQ38" s="182" t="str">
        <f t="shared" si="32"/>
        <v/>
      </c>
      <c r="BR38" s="182" t="str">
        <f t="shared" si="32"/>
        <v/>
      </c>
      <c r="BS38" s="182" t="str">
        <f t="shared" si="32"/>
        <v/>
      </c>
      <c r="BT38" s="182" t="str">
        <f t="shared" si="32"/>
        <v/>
      </c>
      <c r="BU38" s="182" t="str">
        <f t="shared" si="32"/>
        <v/>
      </c>
      <c r="BV38" s="182" t="str">
        <f t="shared" si="32"/>
        <v/>
      </c>
      <c r="BW38" s="182" t="str">
        <f t="shared" si="32"/>
        <v/>
      </c>
      <c r="BX38" s="182" t="str">
        <f t="shared" si="32"/>
        <v/>
      </c>
      <c r="BY38" s="182" t="str">
        <f t="shared" si="32"/>
        <v/>
      </c>
      <c r="BZ38" s="182" t="str">
        <f t="shared" si="32"/>
        <v/>
      </c>
      <c r="CA38" s="182" t="str">
        <f t="shared" si="32"/>
        <v/>
      </c>
      <c r="CB38" s="182" t="str">
        <f t="shared" si="32"/>
        <v/>
      </c>
      <c r="CC38" s="182" t="str">
        <f t="shared" si="32"/>
        <v/>
      </c>
      <c r="CD38" s="182" t="str">
        <f t="shared" si="23"/>
        <v/>
      </c>
      <c r="CE38" s="182" t="str">
        <f t="shared" si="41"/>
        <v/>
      </c>
      <c r="CF38" s="182" t="str">
        <f t="shared" si="41"/>
        <v/>
      </c>
      <c r="CG38" s="182" t="str">
        <f t="shared" si="41"/>
        <v/>
      </c>
      <c r="CH38" s="182" t="str">
        <f t="shared" si="41"/>
        <v/>
      </c>
      <c r="CI38" s="182" t="str">
        <f t="shared" si="41"/>
        <v/>
      </c>
      <c r="CJ38" s="182" t="str">
        <f t="shared" si="41"/>
        <v/>
      </c>
      <c r="CK38" s="182" t="str">
        <f t="shared" si="41"/>
        <v/>
      </c>
      <c r="CL38" s="182" t="str">
        <f t="shared" si="41"/>
        <v/>
      </c>
      <c r="CM38" s="182" t="str">
        <f t="shared" si="41"/>
        <v/>
      </c>
      <c r="CN38" s="182" t="str">
        <f t="shared" si="41"/>
        <v/>
      </c>
      <c r="CO38" s="182" t="str">
        <f t="shared" si="41"/>
        <v/>
      </c>
      <c r="CP38" s="182" t="str">
        <f t="shared" si="41"/>
        <v/>
      </c>
      <c r="CQ38" s="182" t="str">
        <f t="shared" si="41"/>
        <v/>
      </c>
      <c r="CR38" s="182" t="str">
        <f t="shared" si="41"/>
        <v/>
      </c>
      <c r="CS38" s="182" t="str">
        <f t="shared" si="41"/>
        <v/>
      </c>
      <c r="CT38" s="182" t="str">
        <f t="shared" si="41"/>
        <v/>
      </c>
      <c r="CU38" s="182" t="str">
        <f t="shared" si="37"/>
        <v/>
      </c>
      <c r="CV38" s="182" t="str">
        <f t="shared" si="37"/>
        <v/>
      </c>
      <c r="CW38" s="182" t="str">
        <f t="shared" si="37"/>
        <v/>
      </c>
      <c r="CX38" s="182" t="str">
        <f t="shared" si="37"/>
        <v/>
      </c>
      <c r="CY38" s="182" t="str">
        <f t="shared" si="37"/>
        <v/>
      </c>
      <c r="CZ38" s="182" t="str">
        <f t="shared" si="37"/>
        <v/>
      </c>
      <c r="DA38" s="182" t="str">
        <f t="shared" si="37"/>
        <v/>
      </c>
      <c r="DB38" s="182" t="str">
        <f t="shared" si="37"/>
        <v/>
      </c>
      <c r="DC38" s="182" t="str">
        <f t="shared" si="37"/>
        <v/>
      </c>
      <c r="DD38" s="182" t="str">
        <f t="shared" si="37"/>
        <v/>
      </c>
      <c r="DE38" s="182" t="str">
        <f t="shared" si="37"/>
        <v/>
      </c>
      <c r="DF38" s="182" t="str">
        <f t="shared" si="37"/>
        <v/>
      </c>
      <c r="DG38" s="182" t="str">
        <f t="shared" si="37"/>
        <v/>
      </c>
      <c r="DH38" s="182" t="str">
        <f t="shared" si="38"/>
        <v/>
      </c>
      <c r="DI38" s="182" t="str">
        <f t="shared" si="38"/>
        <v/>
      </c>
      <c r="DJ38" s="182" t="str">
        <f t="shared" si="38"/>
        <v/>
      </c>
      <c r="DK38" s="182" t="str">
        <f t="shared" si="38"/>
        <v/>
      </c>
      <c r="DL38" s="182" t="str">
        <f t="shared" si="38"/>
        <v/>
      </c>
      <c r="DM38" s="182" t="str">
        <f t="shared" si="38"/>
        <v/>
      </c>
      <c r="DN38" s="182" t="str">
        <f t="shared" si="38"/>
        <v/>
      </c>
      <c r="DO38" s="182" t="str">
        <f t="shared" si="38"/>
        <v/>
      </c>
      <c r="DP38" s="182" t="str">
        <f t="shared" si="38"/>
        <v/>
      </c>
      <c r="DQ38" s="182" t="str">
        <f t="shared" si="38"/>
        <v/>
      </c>
      <c r="DR38" s="182" t="str">
        <f t="shared" si="38"/>
        <v/>
      </c>
      <c r="DS38" s="182" t="str">
        <f t="shared" si="38"/>
        <v/>
      </c>
      <c r="DT38" s="182" t="str">
        <f t="shared" si="38"/>
        <v/>
      </c>
      <c r="DU38" s="182" t="str">
        <f t="shared" si="38"/>
        <v/>
      </c>
      <c r="DV38" s="182" t="str">
        <f t="shared" si="38"/>
        <v/>
      </c>
      <c r="DW38" s="182" t="str">
        <f t="shared" si="38"/>
        <v/>
      </c>
      <c r="DX38" s="182" t="str">
        <f t="shared" si="33"/>
        <v/>
      </c>
      <c r="DY38" s="182" t="str">
        <f t="shared" si="25"/>
        <v/>
      </c>
      <c r="DZ38" s="182" t="str">
        <f t="shared" si="39"/>
        <v/>
      </c>
      <c r="EA38" s="182" t="str">
        <f t="shared" si="39"/>
        <v/>
      </c>
      <c r="EB38" s="182" t="str">
        <f t="shared" si="39"/>
        <v/>
      </c>
      <c r="EC38" s="182" t="str">
        <f t="shared" si="39"/>
        <v/>
      </c>
      <c r="ED38" s="182" t="str">
        <f t="shared" si="39"/>
        <v/>
      </c>
      <c r="EE38" s="182" t="str">
        <f t="shared" si="39"/>
        <v/>
      </c>
      <c r="EF38" s="182" t="str">
        <f t="shared" si="39"/>
        <v/>
      </c>
      <c r="EG38" s="182" t="str">
        <f t="shared" si="39"/>
        <v/>
      </c>
      <c r="EH38" s="182" t="str">
        <f t="shared" si="39"/>
        <v/>
      </c>
      <c r="EI38" s="182" t="str">
        <f t="shared" si="39"/>
        <v/>
      </c>
      <c r="EJ38" s="182" t="str">
        <f t="shared" si="39"/>
        <v/>
      </c>
      <c r="EK38" s="182" t="str">
        <f t="shared" si="39"/>
        <v/>
      </c>
      <c r="EL38" s="182" t="str">
        <f t="shared" si="39"/>
        <v/>
      </c>
      <c r="EM38" s="182" t="str">
        <f t="shared" si="39"/>
        <v/>
      </c>
      <c r="EN38" s="182" t="str">
        <f t="shared" si="39"/>
        <v/>
      </c>
      <c r="EO38" s="182" t="str">
        <f t="shared" si="39"/>
        <v/>
      </c>
      <c r="EP38" s="182" t="str">
        <f t="shared" si="34"/>
        <v/>
      </c>
      <c r="EQ38" s="182" t="str">
        <f t="shared" si="34"/>
        <v/>
      </c>
      <c r="ER38" s="182" t="str">
        <f t="shared" si="20"/>
        <v/>
      </c>
      <c r="ES38" s="182" t="str">
        <f t="shared" si="20"/>
        <v/>
      </c>
      <c r="ET38" s="182" t="str">
        <f t="shared" si="20"/>
        <v/>
      </c>
      <c r="EU38" s="182" t="str">
        <f t="shared" si="20"/>
        <v/>
      </c>
      <c r="EV38" s="182" t="str">
        <f t="shared" si="20"/>
        <v/>
      </c>
      <c r="EW38" s="182" t="str">
        <f t="shared" si="20"/>
        <v/>
      </c>
      <c r="EX38" s="182" t="str">
        <f t="shared" si="20"/>
        <v/>
      </c>
      <c r="EY38" s="182" t="str">
        <f t="shared" si="20"/>
        <v/>
      </c>
      <c r="EZ38" s="182" t="str">
        <f t="shared" si="20"/>
        <v/>
      </c>
      <c r="FA38" s="182" t="str">
        <f t="shared" si="20"/>
        <v/>
      </c>
      <c r="FB38" s="182" t="str">
        <f t="shared" si="20"/>
        <v/>
      </c>
      <c r="FC38" s="182" t="str">
        <f t="shared" si="20"/>
        <v/>
      </c>
      <c r="FD38" s="182" t="str">
        <f t="shared" si="20"/>
        <v/>
      </c>
      <c r="FE38" s="182" t="str">
        <f t="shared" si="20"/>
        <v/>
      </c>
      <c r="FF38" s="182" t="str">
        <f t="shared" si="29"/>
        <v/>
      </c>
      <c r="FG38" s="182" t="str">
        <f t="shared" si="29"/>
        <v/>
      </c>
      <c r="FH38" s="182" t="str">
        <f t="shared" si="29"/>
        <v/>
      </c>
      <c r="FI38" s="182" t="str">
        <f t="shared" si="29"/>
        <v/>
      </c>
      <c r="FJ38" s="182" t="str">
        <f t="shared" si="29"/>
        <v/>
      </c>
      <c r="FK38" s="182" t="str">
        <f t="shared" si="29"/>
        <v/>
      </c>
      <c r="FL38" s="182" t="str">
        <f t="shared" si="29"/>
        <v/>
      </c>
      <c r="FM38" s="182" t="str">
        <f t="shared" si="29"/>
        <v/>
      </c>
      <c r="FN38" s="182" t="str">
        <f t="shared" si="29"/>
        <v/>
      </c>
      <c r="FO38" s="182" t="str">
        <f t="shared" si="29"/>
        <v/>
      </c>
      <c r="FP38" s="182" t="str">
        <f t="shared" si="29"/>
        <v/>
      </c>
      <c r="FQ38" s="182" t="str">
        <f t="shared" si="29"/>
        <v/>
      </c>
      <c r="FR38" s="182" t="str">
        <f t="shared" si="29"/>
        <v/>
      </c>
      <c r="FS38" s="182" t="str">
        <f t="shared" si="29"/>
        <v/>
      </c>
      <c r="FT38" s="182" t="str">
        <f t="shared" si="29"/>
        <v/>
      </c>
      <c r="FU38" s="182" t="str">
        <f t="shared" si="29"/>
        <v/>
      </c>
      <c r="FV38" s="182" t="str">
        <f t="shared" si="27"/>
        <v/>
      </c>
      <c r="FW38" s="182" t="str">
        <f t="shared" si="16"/>
        <v/>
      </c>
      <c r="FX38" s="182" t="str">
        <f t="shared" si="30"/>
        <v/>
      </c>
      <c r="FY38" s="182" t="str">
        <f t="shared" si="30"/>
        <v/>
      </c>
      <c r="FZ38" s="182" t="str">
        <f t="shared" si="30"/>
        <v/>
      </c>
      <c r="GA38" s="182" t="str">
        <f t="shared" si="30"/>
        <v/>
      </c>
      <c r="GB38" s="182" t="str">
        <f t="shared" si="30"/>
        <v/>
      </c>
      <c r="GC38" s="182" t="str">
        <f t="shared" si="30"/>
        <v/>
      </c>
      <c r="GD38" s="182" t="str">
        <f t="shared" si="30"/>
        <v/>
      </c>
      <c r="GE38" s="182" t="str">
        <f t="shared" si="30"/>
        <v/>
      </c>
      <c r="GF38" s="182" t="str">
        <f t="shared" si="30"/>
        <v/>
      </c>
      <c r="GG38" s="182" t="str">
        <f t="shared" si="30"/>
        <v/>
      </c>
      <c r="GH38" s="182" t="str">
        <f t="shared" si="30"/>
        <v/>
      </c>
      <c r="GI38" s="182" t="str">
        <f t="shared" si="30"/>
        <v/>
      </c>
      <c r="GJ38" s="182" t="str">
        <f t="shared" si="30"/>
        <v/>
      </c>
      <c r="GK38" s="182" t="str">
        <f t="shared" si="30"/>
        <v/>
      </c>
      <c r="GL38" s="182" t="str">
        <f t="shared" si="30"/>
        <v/>
      </c>
      <c r="GM38" s="182" t="str">
        <f t="shared" si="30"/>
        <v/>
      </c>
      <c r="GN38" s="182" t="str">
        <f t="shared" si="28"/>
        <v/>
      </c>
      <c r="GO38" s="182" t="str">
        <f t="shared" si="28"/>
        <v/>
      </c>
      <c r="GP38" s="182" t="str">
        <f t="shared" si="28"/>
        <v/>
      </c>
    </row>
    <row r="39" spans="2:198" x14ac:dyDescent="0.3">
      <c r="B39" s="184">
        <f>'MF Rent Roll'!B38</f>
        <v>0</v>
      </c>
      <c r="C39" s="171">
        <f>'MF Rent Roll'!C38</f>
        <v>0</v>
      </c>
      <c r="D39" s="172">
        <f>'MF Rent Roll'!D38</f>
        <v>0</v>
      </c>
      <c r="E39" s="172">
        <f>'MF Rent Roll'!E38</f>
        <v>0</v>
      </c>
      <c r="F39" s="173">
        <f>'MF Rent Roll'!F38</f>
        <v>0</v>
      </c>
      <c r="G39" s="174">
        <f>'MF Rent Roll'!G38</f>
        <v>0</v>
      </c>
      <c r="H39" s="176">
        <f>'MF Rent Roll'!J38</f>
        <v>0</v>
      </c>
      <c r="I39" s="174">
        <f>'MF Rent Roll'!K38</f>
        <v>0</v>
      </c>
      <c r="J39" s="177">
        <f>'MF Rent Roll'!L38</f>
        <v>0</v>
      </c>
      <c r="K39" s="178">
        <f>'MF Rent Roll'!M38</f>
        <v>0</v>
      </c>
      <c r="L39" s="174">
        <f>'MF Rent Roll'!N38</f>
        <v>0</v>
      </c>
      <c r="M39" s="179">
        <f>'MF Rent Roll'!O38</f>
        <v>0</v>
      </c>
      <c r="N39" s="180" t="str">
        <f>'MF Rent Roll'!P38</f>
        <v/>
      </c>
      <c r="O39" s="181" t="str">
        <f>'MF Rent Roll'!Q38</f>
        <v/>
      </c>
      <c r="P39" s="104" t="str">
        <f>'MF Rent Roll'!R38</f>
        <v/>
      </c>
      <c r="S39" s="182" t="str">
        <f t="shared" si="35"/>
        <v/>
      </c>
      <c r="T39" s="182" t="str">
        <f t="shared" si="35"/>
        <v/>
      </c>
      <c r="U39" s="182" t="str">
        <f t="shared" si="35"/>
        <v/>
      </c>
      <c r="V39" s="182" t="str">
        <f t="shared" si="35"/>
        <v/>
      </c>
      <c r="W39" s="182" t="str">
        <f t="shared" si="35"/>
        <v/>
      </c>
      <c r="X39" s="182" t="str">
        <f t="shared" si="35"/>
        <v/>
      </c>
      <c r="Y39" s="182" t="str">
        <f t="shared" si="35"/>
        <v/>
      </c>
      <c r="Z39" s="182" t="str">
        <f t="shared" si="35"/>
        <v/>
      </c>
      <c r="AA39" s="182" t="str">
        <f t="shared" si="35"/>
        <v/>
      </c>
      <c r="AB39" s="182" t="str">
        <f t="shared" si="35"/>
        <v/>
      </c>
      <c r="AC39" s="182" t="str">
        <f t="shared" si="35"/>
        <v/>
      </c>
      <c r="AD39" s="182" t="str">
        <f t="shared" si="35"/>
        <v/>
      </c>
      <c r="AE39" s="182" t="str">
        <f t="shared" si="35"/>
        <v/>
      </c>
      <c r="AF39" s="182" t="str">
        <f t="shared" si="35"/>
        <v/>
      </c>
      <c r="AG39" s="182" t="str">
        <f t="shared" si="35"/>
        <v/>
      </c>
      <c r="AH39" s="182" t="str">
        <f t="shared" si="35"/>
        <v/>
      </c>
      <c r="AI39" s="182" t="str">
        <f t="shared" si="31"/>
        <v/>
      </c>
      <c r="AJ39" s="182" t="str">
        <f t="shared" si="31"/>
        <v/>
      </c>
      <c r="AK39" s="182" t="str">
        <f t="shared" si="31"/>
        <v/>
      </c>
      <c r="AL39" s="182" t="str">
        <f t="shared" si="31"/>
        <v/>
      </c>
      <c r="AM39" s="182" t="str">
        <f t="shared" si="31"/>
        <v/>
      </c>
      <c r="AN39" s="182" t="str">
        <f t="shared" si="31"/>
        <v/>
      </c>
      <c r="AO39" s="182" t="str">
        <f t="shared" si="31"/>
        <v/>
      </c>
      <c r="AP39" s="182" t="str">
        <f t="shared" si="31"/>
        <v/>
      </c>
      <c r="AQ39" s="182" t="str">
        <f t="shared" si="40"/>
        <v/>
      </c>
      <c r="AR39" s="182" t="str">
        <f t="shared" si="40"/>
        <v/>
      </c>
      <c r="AS39" s="182" t="str">
        <f t="shared" si="40"/>
        <v/>
      </c>
      <c r="AT39" s="182" t="str">
        <f t="shared" si="40"/>
        <v/>
      </c>
      <c r="AU39" s="182" t="str">
        <f t="shared" si="40"/>
        <v/>
      </c>
      <c r="AV39" s="182" t="str">
        <f t="shared" si="40"/>
        <v/>
      </c>
      <c r="AW39" s="182" t="str">
        <f t="shared" si="40"/>
        <v/>
      </c>
      <c r="AX39" s="182" t="str">
        <f t="shared" si="40"/>
        <v/>
      </c>
      <c r="AY39" s="182" t="str">
        <f t="shared" si="40"/>
        <v/>
      </c>
      <c r="AZ39" s="182" t="str">
        <f t="shared" si="40"/>
        <v/>
      </c>
      <c r="BA39" s="182" t="str">
        <f t="shared" si="40"/>
        <v/>
      </c>
      <c r="BB39" s="182" t="str">
        <f t="shared" si="40"/>
        <v/>
      </c>
      <c r="BC39" s="182" t="str">
        <f t="shared" si="40"/>
        <v/>
      </c>
      <c r="BD39" s="182" t="str">
        <f t="shared" si="40"/>
        <v/>
      </c>
      <c r="BE39" s="182" t="str">
        <f t="shared" si="40"/>
        <v/>
      </c>
      <c r="BF39" s="182" t="str">
        <f t="shared" si="40"/>
        <v/>
      </c>
      <c r="BG39" s="182" t="str">
        <f t="shared" si="36"/>
        <v/>
      </c>
      <c r="BH39" s="182" t="str">
        <f t="shared" si="36"/>
        <v/>
      </c>
      <c r="BI39" s="182" t="str">
        <f t="shared" si="36"/>
        <v/>
      </c>
      <c r="BJ39" s="182" t="str">
        <f t="shared" si="36"/>
        <v/>
      </c>
      <c r="BK39" s="182" t="str">
        <f t="shared" si="36"/>
        <v/>
      </c>
      <c r="BL39" s="182" t="str">
        <f t="shared" si="36"/>
        <v/>
      </c>
      <c r="BM39" s="182" t="str">
        <f t="shared" si="36"/>
        <v/>
      </c>
      <c r="BN39" s="182" t="str">
        <f t="shared" si="32"/>
        <v/>
      </c>
      <c r="BO39" s="182" t="str">
        <f t="shared" si="32"/>
        <v/>
      </c>
      <c r="BP39" s="182" t="str">
        <f t="shared" si="32"/>
        <v/>
      </c>
      <c r="BQ39" s="182" t="str">
        <f t="shared" si="32"/>
        <v/>
      </c>
      <c r="BR39" s="182" t="str">
        <f t="shared" si="32"/>
        <v/>
      </c>
      <c r="BS39" s="182" t="str">
        <f t="shared" si="32"/>
        <v/>
      </c>
      <c r="BT39" s="182" t="str">
        <f t="shared" si="32"/>
        <v/>
      </c>
      <c r="BU39" s="182" t="str">
        <f t="shared" si="32"/>
        <v/>
      </c>
      <c r="BV39" s="182" t="str">
        <f t="shared" si="32"/>
        <v/>
      </c>
      <c r="BW39" s="182" t="str">
        <f t="shared" si="32"/>
        <v/>
      </c>
      <c r="BX39" s="182" t="str">
        <f t="shared" si="32"/>
        <v/>
      </c>
      <c r="BY39" s="182" t="str">
        <f t="shared" si="32"/>
        <v/>
      </c>
      <c r="BZ39" s="182" t="str">
        <f t="shared" si="32"/>
        <v/>
      </c>
      <c r="CA39" s="182" t="str">
        <f t="shared" si="32"/>
        <v/>
      </c>
      <c r="CB39" s="182" t="str">
        <f t="shared" si="32"/>
        <v/>
      </c>
      <c r="CC39" s="182" t="str">
        <f t="shared" si="32"/>
        <v/>
      </c>
      <c r="CD39" s="182" t="str">
        <f t="shared" si="23"/>
        <v/>
      </c>
      <c r="CE39" s="182" t="str">
        <f t="shared" si="41"/>
        <v/>
      </c>
      <c r="CF39" s="182" t="str">
        <f t="shared" si="41"/>
        <v/>
      </c>
      <c r="CG39" s="182" t="str">
        <f t="shared" si="41"/>
        <v/>
      </c>
      <c r="CH39" s="182" t="str">
        <f t="shared" si="41"/>
        <v/>
      </c>
      <c r="CI39" s="182" t="str">
        <f t="shared" si="41"/>
        <v/>
      </c>
      <c r="CJ39" s="182" t="str">
        <f t="shared" si="41"/>
        <v/>
      </c>
      <c r="CK39" s="182" t="str">
        <f t="shared" si="41"/>
        <v/>
      </c>
      <c r="CL39" s="182" t="str">
        <f t="shared" si="41"/>
        <v/>
      </c>
      <c r="CM39" s="182" t="str">
        <f t="shared" si="41"/>
        <v/>
      </c>
      <c r="CN39" s="182" t="str">
        <f t="shared" si="41"/>
        <v/>
      </c>
      <c r="CO39" s="182" t="str">
        <f t="shared" si="41"/>
        <v/>
      </c>
      <c r="CP39" s="182" t="str">
        <f t="shared" si="41"/>
        <v/>
      </c>
      <c r="CQ39" s="182" t="str">
        <f t="shared" si="41"/>
        <v/>
      </c>
      <c r="CR39" s="182" t="str">
        <f t="shared" si="41"/>
        <v/>
      </c>
      <c r="CS39" s="182" t="str">
        <f t="shared" si="41"/>
        <v/>
      </c>
      <c r="CT39" s="182" t="str">
        <f t="shared" si="41"/>
        <v/>
      </c>
      <c r="CU39" s="182" t="str">
        <f t="shared" si="37"/>
        <v/>
      </c>
      <c r="CV39" s="182" t="str">
        <f t="shared" si="37"/>
        <v/>
      </c>
      <c r="CW39" s="182" t="str">
        <f t="shared" si="37"/>
        <v/>
      </c>
      <c r="CX39" s="182" t="str">
        <f t="shared" si="37"/>
        <v/>
      </c>
      <c r="CY39" s="182" t="str">
        <f t="shared" si="37"/>
        <v/>
      </c>
      <c r="CZ39" s="182" t="str">
        <f t="shared" si="37"/>
        <v/>
      </c>
      <c r="DA39" s="182" t="str">
        <f t="shared" si="37"/>
        <v/>
      </c>
      <c r="DB39" s="182" t="str">
        <f t="shared" si="37"/>
        <v/>
      </c>
      <c r="DC39" s="182" t="str">
        <f t="shared" si="37"/>
        <v/>
      </c>
      <c r="DD39" s="182" t="str">
        <f t="shared" si="37"/>
        <v/>
      </c>
      <c r="DE39" s="182" t="str">
        <f t="shared" si="37"/>
        <v/>
      </c>
      <c r="DF39" s="182" t="str">
        <f t="shared" si="37"/>
        <v/>
      </c>
      <c r="DG39" s="182" t="str">
        <f t="shared" si="37"/>
        <v/>
      </c>
      <c r="DH39" s="182" t="str">
        <f t="shared" si="38"/>
        <v/>
      </c>
      <c r="DI39" s="182" t="str">
        <f t="shared" si="38"/>
        <v/>
      </c>
      <c r="DJ39" s="182" t="str">
        <f t="shared" si="38"/>
        <v/>
      </c>
      <c r="DK39" s="182" t="str">
        <f t="shared" si="38"/>
        <v/>
      </c>
      <c r="DL39" s="182" t="str">
        <f t="shared" si="38"/>
        <v/>
      </c>
      <c r="DM39" s="182" t="str">
        <f t="shared" si="38"/>
        <v/>
      </c>
      <c r="DN39" s="182" t="str">
        <f t="shared" si="38"/>
        <v/>
      </c>
      <c r="DO39" s="182" t="str">
        <f t="shared" si="38"/>
        <v/>
      </c>
      <c r="DP39" s="182" t="str">
        <f t="shared" si="38"/>
        <v/>
      </c>
      <c r="DQ39" s="182" t="str">
        <f t="shared" si="38"/>
        <v/>
      </c>
      <c r="DR39" s="182" t="str">
        <f t="shared" si="38"/>
        <v/>
      </c>
      <c r="DS39" s="182" t="str">
        <f t="shared" si="38"/>
        <v/>
      </c>
      <c r="DT39" s="182" t="str">
        <f t="shared" si="38"/>
        <v/>
      </c>
      <c r="DU39" s="182" t="str">
        <f t="shared" si="38"/>
        <v/>
      </c>
      <c r="DV39" s="182" t="str">
        <f t="shared" si="38"/>
        <v/>
      </c>
      <c r="DW39" s="182" t="str">
        <f t="shared" si="38"/>
        <v/>
      </c>
      <c r="DX39" s="182" t="str">
        <f t="shared" si="33"/>
        <v/>
      </c>
      <c r="DY39" s="182" t="str">
        <f t="shared" si="25"/>
        <v/>
      </c>
      <c r="DZ39" s="182" t="str">
        <f t="shared" si="39"/>
        <v/>
      </c>
      <c r="EA39" s="182" t="str">
        <f t="shared" si="39"/>
        <v/>
      </c>
      <c r="EB39" s="182" t="str">
        <f t="shared" si="39"/>
        <v/>
      </c>
      <c r="EC39" s="182" t="str">
        <f t="shared" si="39"/>
        <v/>
      </c>
      <c r="ED39" s="182" t="str">
        <f t="shared" si="39"/>
        <v/>
      </c>
      <c r="EE39" s="182" t="str">
        <f t="shared" si="39"/>
        <v/>
      </c>
      <c r="EF39" s="182" t="str">
        <f t="shared" si="39"/>
        <v/>
      </c>
      <c r="EG39" s="182" t="str">
        <f t="shared" si="39"/>
        <v/>
      </c>
      <c r="EH39" s="182" t="str">
        <f t="shared" si="39"/>
        <v/>
      </c>
      <c r="EI39" s="182" t="str">
        <f t="shared" si="39"/>
        <v/>
      </c>
      <c r="EJ39" s="182" t="str">
        <f t="shared" si="39"/>
        <v/>
      </c>
      <c r="EK39" s="182" t="str">
        <f t="shared" si="39"/>
        <v/>
      </c>
      <c r="EL39" s="182" t="str">
        <f t="shared" si="39"/>
        <v/>
      </c>
      <c r="EM39" s="182" t="str">
        <f t="shared" si="39"/>
        <v/>
      </c>
      <c r="EN39" s="182" t="str">
        <f t="shared" si="39"/>
        <v/>
      </c>
      <c r="EO39" s="182" t="str">
        <f t="shared" si="39"/>
        <v/>
      </c>
      <c r="EP39" s="182" t="str">
        <f t="shared" si="34"/>
        <v/>
      </c>
      <c r="EQ39" s="182" t="str">
        <f t="shared" si="34"/>
        <v/>
      </c>
      <c r="ER39" s="182" t="str">
        <f t="shared" si="20"/>
        <v/>
      </c>
      <c r="ES39" s="182" t="str">
        <f t="shared" si="20"/>
        <v/>
      </c>
      <c r="ET39" s="182" t="str">
        <f t="shared" si="20"/>
        <v/>
      </c>
      <c r="EU39" s="182" t="str">
        <f t="shared" si="20"/>
        <v/>
      </c>
      <c r="EV39" s="182" t="str">
        <f t="shared" si="20"/>
        <v/>
      </c>
      <c r="EW39" s="182" t="str">
        <f t="shared" si="20"/>
        <v/>
      </c>
      <c r="EX39" s="182" t="str">
        <f t="shared" si="20"/>
        <v/>
      </c>
      <c r="EY39" s="182" t="str">
        <f t="shared" si="20"/>
        <v/>
      </c>
      <c r="EZ39" s="182" t="str">
        <f t="shared" si="20"/>
        <v/>
      </c>
      <c r="FA39" s="182" t="str">
        <f t="shared" si="20"/>
        <v/>
      </c>
      <c r="FB39" s="182" t="str">
        <f t="shared" si="20"/>
        <v/>
      </c>
      <c r="FC39" s="182" t="str">
        <f t="shared" si="20"/>
        <v/>
      </c>
      <c r="FD39" s="182" t="str">
        <f t="shared" si="20"/>
        <v/>
      </c>
      <c r="FE39" s="182" t="str">
        <f t="shared" si="20"/>
        <v/>
      </c>
      <c r="FF39" s="182" t="str">
        <f t="shared" si="29"/>
        <v/>
      </c>
      <c r="FG39" s="182" t="str">
        <f t="shared" si="29"/>
        <v/>
      </c>
      <c r="FH39" s="182" t="str">
        <f t="shared" si="29"/>
        <v/>
      </c>
      <c r="FI39" s="182" t="str">
        <f t="shared" si="29"/>
        <v/>
      </c>
      <c r="FJ39" s="182" t="str">
        <f t="shared" si="29"/>
        <v/>
      </c>
      <c r="FK39" s="182" t="str">
        <f t="shared" si="29"/>
        <v/>
      </c>
      <c r="FL39" s="182" t="str">
        <f t="shared" si="29"/>
        <v/>
      </c>
      <c r="FM39" s="182" t="str">
        <f t="shared" si="29"/>
        <v/>
      </c>
      <c r="FN39" s="182" t="str">
        <f t="shared" si="29"/>
        <v/>
      </c>
      <c r="FO39" s="182" t="str">
        <f t="shared" si="29"/>
        <v/>
      </c>
      <c r="FP39" s="182" t="str">
        <f t="shared" si="29"/>
        <v/>
      </c>
      <c r="FQ39" s="182" t="str">
        <f t="shared" si="29"/>
        <v/>
      </c>
      <c r="FR39" s="182" t="str">
        <f t="shared" si="29"/>
        <v/>
      </c>
      <c r="FS39" s="182" t="str">
        <f t="shared" si="29"/>
        <v/>
      </c>
      <c r="FT39" s="182" t="str">
        <f t="shared" si="29"/>
        <v/>
      </c>
      <c r="FU39" s="182" t="str">
        <f t="shared" si="29"/>
        <v/>
      </c>
      <c r="FV39" s="182" t="str">
        <f t="shared" si="27"/>
        <v/>
      </c>
      <c r="FW39" s="182" t="str">
        <f t="shared" si="16"/>
        <v/>
      </c>
      <c r="FX39" s="182" t="str">
        <f t="shared" si="30"/>
        <v/>
      </c>
      <c r="FY39" s="182" t="str">
        <f t="shared" si="30"/>
        <v/>
      </c>
      <c r="FZ39" s="182" t="str">
        <f t="shared" si="30"/>
        <v/>
      </c>
      <c r="GA39" s="182" t="str">
        <f t="shared" si="30"/>
        <v/>
      </c>
      <c r="GB39" s="182" t="str">
        <f t="shared" si="30"/>
        <v/>
      </c>
      <c r="GC39" s="182" t="str">
        <f t="shared" si="30"/>
        <v/>
      </c>
      <c r="GD39" s="182" t="str">
        <f t="shared" si="30"/>
        <v/>
      </c>
      <c r="GE39" s="182" t="str">
        <f t="shared" si="30"/>
        <v/>
      </c>
      <c r="GF39" s="182" t="str">
        <f t="shared" si="30"/>
        <v/>
      </c>
      <c r="GG39" s="182" t="str">
        <f t="shared" si="30"/>
        <v/>
      </c>
      <c r="GH39" s="182" t="str">
        <f t="shared" si="30"/>
        <v/>
      </c>
      <c r="GI39" s="182" t="str">
        <f t="shared" si="30"/>
        <v/>
      </c>
      <c r="GJ39" s="182" t="str">
        <f t="shared" si="30"/>
        <v/>
      </c>
      <c r="GK39" s="182" t="str">
        <f t="shared" si="30"/>
        <v/>
      </c>
      <c r="GL39" s="182" t="str">
        <f t="shared" si="30"/>
        <v/>
      </c>
      <c r="GM39" s="182" t="str">
        <f t="shared" si="30"/>
        <v/>
      </c>
      <c r="GN39" s="182" t="str">
        <f t="shared" si="28"/>
        <v/>
      </c>
      <c r="GO39" s="182" t="str">
        <f t="shared" si="28"/>
        <v/>
      </c>
      <c r="GP39" s="182" t="str">
        <f t="shared" si="28"/>
        <v/>
      </c>
    </row>
    <row r="40" spans="2:198" x14ac:dyDescent="0.3">
      <c r="R40" s="89" t="s">
        <v>174</v>
      </c>
      <c r="S40" s="149">
        <f>SUM(S6:S39)</f>
        <v>0</v>
      </c>
      <c r="T40" s="149">
        <f t="shared" ref="T40:CE40" si="42">SUM(T6:T39)</f>
        <v>0</v>
      </c>
      <c r="U40" s="149">
        <f t="shared" si="42"/>
        <v>0</v>
      </c>
      <c r="V40" s="149">
        <f t="shared" si="42"/>
        <v>0</v>
      </c>
      <c r="W40" s="149">
        <f t="shared" si="42"/>
        <v>0</v>
      </c>
      <c r="X40" s="149">
        <f t="shared" si="42"/>
        <v>0</v>
      </c>
      <c r="Y40" s="149">
        <f t="shared" si="42"/>
        <v>0</v>
      </c>
      <c r="Z40" s="149">
        <f t="shared" si="42"/>
        <v>0</v>
      </c>
      <c r="AA40" s="149">
        <f t="shared" si="42"/>
        <v>0</v>
      </c>
      <c r="AB40" s="149">
        <f t="shared" si="42"/>
        <v>0</v>
      </c>
      <c r="AC40" s="149">
        <f t="shared" si="42"/>
        <v>0</v>
      </c>
      <c r="AD40" s="149">
        <f t="shared" si="42"/>
        <v>0</v>
      </c>
      <c r="AE40" s="149">
        <f t="shared" si="42"/>
        <v>0</v>
      </c>
      <c r="AF40" s="149">
        <f t="shared" si="42"/>
        <v>0</v>
      </c>
      <c r="AG40" s="149">
        <f t="shared" si="42"/>
        <v>0</v>
      </c>
      <c r="AH40" s="149">
        <f t="shared" si="42"/>
        <v>0</v>
      </c>
      <c r="AI40" s="149">
        <f t="shared" si="42"/>
        <v>0</v>
      </c>
      <c r="AJ40" s="149">
        <f t="shared" si="42"/>
        <v>0</v>
      </c>
      <c r="AK40" s="149">
        <f t="shared" si="42"/>
        <v>0</v>
      </c>
      <c r="AL40" s="149">
        <f t="shared" si="42"/>
        <v>0</v>
      </c>
      <c r="AM40" s="149">
        <f t="shared" si="42"/>
        <v>0</v>
      </c>
      <c r="AN40" s="149">
        <f t="shared" si="42"/>
        <v>0</v>
      </c>
      <c r="AO40" s="149">
        <f t="shared" si="42"/>
        <v>0</v>
      </c>
      <c r="AP40" s="149">
        <f t="shared" si="42"/>
        <v>0</v>
      </c>
      <c r="AQ40" s="149">
        <f t="shared" si="42"/>
        <v>0</v>
      </c>
      <c r="AR40" s="149">
        <f t="shared" si="42"/>
        <v>0</v>
      </c>
      <c r="AS40" s="149">
        <f t="shared" si="42"/>
        <v>0</v>
      </c>
      <c r="AT40" s="149">
        <f t="shared" si="42"/>
        <v>0</v>
      </c>
      <c r="AU40" s="149">
        <f t="shared" si="42"/>
        <v>0</v>
      </c>
      <c r="AV40" s="149">
        <f t="shared" si="42"/>
        <v>0</v>
      </c>
      <c r="AW40" s="149">
        <f t="shared" si="42"/>
        <v>0</v>
      </c>
      <c r="AX40" s="149">
        <f t="shared" si="42"/>
        <v>0</v>
      </c>
      <c r="AY40" s="149">
        <f t="shared" si="42"/>
        <v>0</v>
      </c>
      <c r="AZ40" s="149">
        <f t="shared" si="42"/>
        <v>0</v>
      </c>
      <c r="BA40" s="149">
        <f t="shared" si="42"/>
        <v>0</v>
      </c>
      <c r="BB40" s="149">
        <f t="shared" si="42"/>
        <v>0</v>
      </c>
      <c r="BC40" s="149">
        <f t="shared" si="42"/>
        <v>0</v>
      </c>
      <c r="BD40" s="149">
        <f t="shared" si="42"/>
        <v>0</v>
      </c>
      <c r="BE40" s="149">
        <f t="shared" si="42"/>
        <v>0</v>
      </c>
      <c r="BF40" s="149">
        <f t="shared" si="42"/>
        <v>0</v>
      </c>
      <c r="BG40" s="149">
        <f t="shared" si="42"/>
        <v>0</v>
      </c>
      <c r="BH40" s="149">
        <f t="shared" si="42"/>
        <v>0</v>
      </c>
      <c r="BI40" s="149">
        <f t="shared" si="42"/>
        <v>0</v>
      </c>
      <c r="BJ40" s="149">
        <f t="shared" si="42"/>
        <v>0</v>
      </c>
      <c r="BK40" s="149">
        <f t="shared" si="42"/>
        <v>0</v>
      </c>
      <c r="BL40" s="149">
        <f t="shared" si="42"/>
        <v>0</v>
      </c>
      <c r="BM40" s="149">
        <f t="shared" si="42"/>
        <v>0</v>
      </c>
      <c r="BN40" s="149">
        <f t="shared" si="42"/>
        <v>0</v>
      </c>
      <c r="BO40" s="149">
        <f t="shared" si="42"/>
        <v>0</v>
      </c>
      <c r="BP40" s="149">
        <f t="shared" si="42"/>
        <v>0</v>
      </c>
      <c r="BQ40" s="149">
        <f t="shared" si="42"/>
        <v>0</v>
      </c>
      <c r="BR40" s="149">
        <f t="shared" si="42"/>
        <v>0</v>
      </c>
      <c r="BS40" s="149">
        <f t="shared" si="42"/>
        <v>0</v>
      </c>
      <c r="BT40" s="149">
        <f t="shared" si="42"/>
        <v>0</v>
      </c>
      <c r="BU40" s="149">
        <f t="shared" si="42"/>
        <v>0</v>
      </c>
      <c r="BV40" s="149">
        <f t="shared" si="42"/>
        <v>0</v>
      </c>
      <c r="BW40" s="149">
        <f t="shared" si="42"/>
        <v>0</v>
      </c>
      <c r="BX40" s="149">
        <f t="shared" si="42"/>
        <v>0</v>
      </c>
      <c r="BY40" s="149">
        <f t="shared" si="42"/>
        <v>0</v>
      </c>
      <c r="BZ40" s="149">
        <f t="shared" si="42"/>
        <v>0</v>
      </c>
      <c r="CA40" s="149">
        <f t="shared" si="42"/>
        <v>0</v>
      </c>
      <c r="CB40" s="149">
        <f t="shared" si="42"/>
        <v>0</v>
      </c>
      <c r="CC40" s="149">
        <f t="shared" si="42"/>
        <v>0</v>
      </c>
      <c r="CD40" s="149">
        <f t="shared" si="42"/>
        <v>0</v>
      </c>
      <c r="CE40" s="149">
        <f t="shared" si="42"/>
        <v>0</v>
      </c>
      <c r="CF40" s="149">
        <f t="shared" ref="CF40:EQ40" si="43">SUM(CF6:CF39)</f>
        <v>0</v>
      </c>
      <c r="CG40" s="149">
        <f t="shared" si="43"/>
        <v>0</v>
      </c>
      <c r="CH40" s="149">
        <f t="shared" si="43"/>
        <v>0</v>
      </c>
      <c r="CI40" s="149">
        <f t="shared" si="43"/>
        <v>0</v>
      </c>
      <c r="CJ40" s="149">
        <f t="shared" si="43"/>
        <v>0</v>
      </c>
      <c r="CK40" s="149">
        <f t="shared" si="43"/>
        <v>0</v>
      </c>
      <c r="CL40" s="149">
        <f t="shared" si="43"/>
        <v>0</v>
      </c>
      <c r="CM40" s="149">
        <f t="shared" si="43"/>
        <v>0</v>
      </c>
      <c r="CN40" s="149">
        <f t="shared" si="43"/>
        <v>0</v>
      </c>
      <c r="CO40" s="149">
        <f t="shared" si="43"/>
        <v>0</v>
      </c>
      <c r="CP40" s="149">
        <f t="shared" si="43"/>
        <v>0</v>
      </c>
      <c r="CQ40" s="149">
        <f t="shared" si="43"/>
        <v>0</v>
      </c>
      <c r="CR40" s="149">
        <f t="shared" si="43"/>
        <v>0</v>
      </c>
      <c r="CS40" s="149">
        <f t="shared" si="43"/>
        <v>0</v>
      </c>
      <c r="CT40" s="149">
        <f t="shared" si="43"/>
        <v>0</v>
      </c>
      <c r="CU40" s="149">
        <f t="shared" si="43"/>
        <v>0</v>
      </c>
      <c r="CV40" s="149">
        <f t="shared" si="43"/>
        <v>0</v>
      </c>
      <c r="CW40" s="149">
        <f t="shared" si="43"/>
        <v>0</v>
      </c>
      <c r="CX40" s="149">
        <f t="shared" si="43"/>
        <v>0</v>
      </c>
      <c r="CY40" s="149">
        <f t="shared" si="43"/>
        <v>0</v>
      </c>
      <c r="CZ40" s="149">
        <f t="shared" si="43"/>
        <v>0</v>
      </c>
      <c r="DA40" s="149">
        <f t="shared" si="43"/>
        <v>0</v>
      </c>
      <c r="DB40" s="149">
        <f t="shared" si="43"/>
        <v>0</v>
      </c>
      <c r="DC40" s="149">
        <f t="shared" si="43"/>
        <v>0</v>
      </c>
      <c r="DD40" s="149">
        <f t="shared" si="43"/>
        <v>0</v>
      </c>
      <c r="DE40" s="149">
        <f t="shared" si="43"/>
        <v>0</v>
      </c>
      <c r="DF40" s="149">
        <f t="shared" si="43"/>
        <v>0</v>
      </c>
      <c r="DG40" s="149">
        <f t="shared" si="43"/>
        <v>0</v>
      </c>
      <c r="DH40" s="149">
        <f t="shared" si="43"/>
        <v>0</v>
      </c>
      <c r="DI40" s="149">
        <f t="shared" si="43"/>
        <v>0</v>
      </c>
      <c r="DJ40" s="149">
        <f t="shared" si="43"/>
        <v>0</v>
      </c>
      <c r="DK40" s="149">
        <f t="shared" si="43"/>
        <v>0</v>
      </c>
      <c r="DL40" s="149">
        <f t="shared" si="43"/>
        <v>0</v>
      </c>
      <c r="DM40" s="149">
        <f t="shared" si="43"/>
        <v>0</v>
      </c>
      <c r="DN40" s="149">
        <f t="shared" si="43"/>
        <v>0</v>
      </c>
      <c r="DO40" s="149">
        <f t="shared" si="43"/>
        <v>0</v>
      </c>
      <c r="DP40" s="149">
        <f t="shared" si="43"/>
        <v>0</v>
      </c>
      <c r="DQ40" s="149">
        <f t="shared" si="43"/>
        <v>0</v>
      </c>
      <c r="DR40" s="149">
        <f t="shared" si="43"/>
        <v>0</v>
      </c>
      <c r="DS40" s="149">
        <f t="shared" si="43"/>
        <v>0</v>
      </c>
      <c r="DT40" s="149">
        <f t="shared" si="43"/>
        <v>0</v>
      </c>
      <c r="DU40" s="149">
        <f t="shared" si="43"/>
        <v>0</v>
      </c>
      <c r="DV40" s="149">
        <f t="shared" si="43"/>
        <v>0</v>
      </c>
      <c r="DW40" s="149">
        <f t="shared" si="43"/>
        <v>0</v>
      </c>
      <c r="DX40" s="149">
        <f t="shared" si="43"/>
        <v>0</v>
      </c>
      <c r="DY40" s="149">
        <f t="shared" si="43"/>
        <v>0</v>
      </c>
      <c r="DZ40" s="149">
        <f t="shared" si="43"/>
        <v>0</v>
      </c>
      <c r="EA40" s="149">
        <f t="shared" si="43"/>
        <v>0</v>
      </c>
      <c r="EB40" s="149">
        <f t="shared" si="43"/>
        <v>0</v>
      </c>
      <c r="EC40" s="149">
        <f t="shared" si="43"/>
        <v>0</v>
      </c>
      <c r="ED40" s="149">
        <f t="shared" si="43"/>
        <v>0</v>
      </c>
      <c r="EE40" s="149">
        <f t="shared" si="43"/>
        <v>0</v>
      </c>
      <c r="EF40" s="149">
        <f t="shared" si="43"/>
        <v>0</v>
      </c>
      <c r="EG40" s="149">
        <f t="shared" si="43"/>
        <v>0</v>
      </c>
      <c r="EH40" s="149">
        <f t="shared" si="43"/>
        <v>0</v>
      </c>
      <c r="EI40" s="149">
        <f t="shared" si="43"/>
        <v>0</v>
      </c>
      <c r="EJ40" s="149">
        <f t="shared" si="43"/>
        <v>0</v>
      </c>
      <c r="EK40" s="149">
        <f t="shared" si="43"/>
        <v>0</v>
      </c>
      <c r="EL40" s="149">
        <f t="shared" si="43"/>
        <v>0</v>
      </c>
      <c r="EM40" s="149">
        <f t="shared" si="43"/>
        <v>0</v>
      </c>
      <c r="EN40" s="149">
        <f t="shared" si="43"/>
        <v>0</v>
      </c>
      <c r="EO40" s="149">
        <f t="shared" si="43"/>
        <v>0</v>
      </c>
      <c r="EP40" s="149">
        <f t="shared" si="43"/>
        <v>0</v>
      </c>
      <c r="EQ40" s="149">
        <f t="shared" si="43"/>
        <v>0</v>
      </c>
      <c r="ER40" s="149">
        <f t="shared" ref="ER40:GP40" si="44">SUM(ER6:ER39)</f>
        <v>0</v>
      </c>
      <c r="ES40" s="149">
        <f t="shared" si="44"/>
        <v>0</v>
      </c>
      <c r="ET40" s="149">
        <f t="shared" si="44"/>
        <v>0</v>
      </c>
      <c r="EU40" s="149">
        <f t="shared" si="44"/>
        <v>0</v>
      </c>
      <c r="EV40" s="149">
        <f t="shared" si="44"/>
        <v>0</v>
      </c>
      <c r="EW40" s="149">
        <f t="shared" si="44"/>
        <v>0</v>
      </c>
      <c r="EX40" s="149">
        <f t="shared" si="44"/>
        <v>0</v>
      </c>
      <c r="EY40" s="149">
        <f t="shared" si="44"/>
        <v>0</v>
      </c>
      <c r="EZ40" s="149">
        <f t="shared" si="44"/>
        <v>0</v>
      </c>
      <c r="FA40" s="149">
        <f t="shared" si="44"/>
        <v>0</v>
      </c>
      <c r="FB40" s="149">
        <f t="shared" si="44"/>
        <v>0</v>
      </c>
      <c r="FC40" s="149">
        <f t="shared" si="44"/>
        <v>0</v>
      </c>
      <c r="FD40" s="149">
        <f t="shared" si="44"/>
        <v>0</v>
      </c>
      <c r="FE40" s="149">
        <f t="shared" si="44"/>
        <v>0</v>
      </c>
      <c r="FF40" s="149">
        <f t="shared" si="44"/>
        <v>0</v>
      </c>
      <c r="FG40" s="149">
        <f t="shared" si="44"/>
        <v>0</v>
      </c>
      <c r="FH40" s="149">
        <f t="shared" si="44"/>
        <v>0</v>
      </c>
      <c r="FI40" s="149">
        <f t="shared" si="44"/>
        <v>0</v>
      </c>
      <c r="FJ40" s="149">
        <f t="shared" si="44"/>
        <v>0</v>
      </c>
      <c r="FK40" s="149">
        <f t="shared" si="44"/>
        <v>0</v>
      </c>
      <c r="FL40" s="149">
        <f t="shared" si="44"/>
        <v>0</v>
      </c>
      <c r="FM40" s="149">
        <f t="shared" si="44"/>
        <v>0</v>
      </c>
      <c r="FN40" s="149">
        <f t="shared" si="44"/>
        <v>0</v>
      </c>
      <c r="FO40" s="149">
        <f t="shared" si="44"/>
        <v>0</v>
      </c>
      <c r="FP40" s="149">
        <f t="shared" si="44"/>
        <v>0</v>
      </c>
      <c r="FQ40" s="149">
        <f t="shared" si="44"/>
        <v>0</v>
      </c>
      <c r="FR40" s="149">
        <f t="shared" si="44"/>
        <v>0</v>
      </c>
      <c r="FS40" s="149">
        <f t="shared" si="44"/>
        <v>0</v>
      </c>
      <c r="FT40" s="149">
        <f t="shared" si="44"/>
        <v>0</v>
      </c>
      <c r="FU40" s="149">
        <f t="shared" si="44"/>
        <v>0</v>
      </c>
      <c r="FV40" s="149">
        <f t="shared" si="44"/>
        <v>0</v>
      </c>
      <c r="FW40" s="149">
        <f t="shared" si="44"/>
        <v>0</v>
      </c>
      <c r="FX40" s="149">
        <f t="shared" si="44"/>
        <v>0</v>
      </c>
      <c r="FY40" s="149">
        <f t="shared" si="44"/>
        <v>0</v>
      </c>
      <c r="FZ40" s="149">
        <f t="shared" si="44"/>
        <v>0</v>
      </c>
      <c r="GA40" s="149">
        <f t="shared" si="44"/>
        <v>0</v>
      </c>
      <c r="GB40" s="149">
        <f t="shared" si="44"/>
        <v>0</v>
      </c>
      <c r="GC40" s="149">
        <f t="shared" si="44"/>
        <v>0</v>
      </c>
      <c r="GD40" s="149">
        <f t="shared" si="44"/>
        <v>0</v>
      </c>
      <c r="GE40" s="149">
        <f t="shared" si="44"/>
        <v>0</v>
      </c>
      <c r="GF40" s="149">
        <f t="shared" si="44"/>
        <v>0</v>
      </c>
      <c r="GG40" s="149">
        <f t="shared" si="44"/>
        <v>0</v>
      </c>
      <c r="GH40" s="149">
        <f t="shared" si="44"/>
        <v>0</v>
      </c>
      <c r="GI40" s="149">
        <f t="shared" si="44"/>
        <v>0</v>
      </c>
      <c r="GJ40" s="149">
        <f t="shared" si="44"/>
        <v>0</v>
      </c>
      <c r="GK40" s="149">
        <f t="shared" si="44"/>
        <v>0</v>
      </c>
      <c r="GL40" s="149">
        <f t="shared" si="44"/>
        <v>0</v>
      </c>
      <c r="GM40" s="149">
        <f t="shared" si="44"/>
        <v>0</v>
      </c>
      <c r="GN40" s="149">
        <f t="shared" si="44"/>
        <v>0</v>
      </c>
      <c r="GO40" s="149">
        <f t="shared" si="44"/>
        <v>0</v>
      </c>
      <c r="GP40" s="149">
        <f t="shared" si="44"/>
        <v>0</v>
      </c>
    </row>
  </sheetData>
  <mergeCells count="1">
    <mergeCell ref="N4:P4"/>
  </mergeCells>
  <conditionalFormatting sqref="S6:GP39">
    <cfRule type="expression" dxfId="3" priority="1">
      <formula>S6=TRUE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GP40"/>
  <sheetViews>
    <sheetView workbookViewId="0"/>
  </sheetViews>
  <sheetFormatPr defaultColWidth="9.109375" defaultRowHeight="14.4" x14ac:dyDescent="0.3"/>
  <cols>
    <col min="2" max="2" width="12.88671875" style="185" customWidth="1"/>
    <col min="3" max="3" width="12.88671875" style="89" customWidth="1"/>
    <col min="4" max="4" width="5.6640625" style="89" bestFit="1" customWidth="1"/>
    <col min="5" max="5" width="6.44140625" style="89" bestFit="1" customWidth="1"/>
    <col min="6" max="6" width="8.109375" style="89" bestFit="1" customWidth="1"/>
    <col min="7" max="7" width="9.5546875" style="89" bestFit="1" customWidth="1"/>
    <col min="8" max="8" width="10.88671875" style="89" bestFit="1" customWidth="1"/>
    <col min="9" max="9" width="10.88671875" style="89" customWidth="1"/>
    <col min="10" max="10" width="11.44140625" style="89" customWidth="1"/>
    <col min="11" max="11" width="17" style="89" customWidth="1"/>
    <col min="12" max="12" width="13.5546875" style="89" customWidth="1"/>
    <col min="13" max="13" width="10.88671875" style="89" bestFit="1" customWidth="1"/>
    <col min="14" max="14" width="13.5546875" style="89" bestFit="1" customWidth="1"/>
    <col min="15" max="16" width="10.88671875" style="89" bestFit="1" customWidth="1"/>
    <col min="17" max="18" width="9.109375" style="89"/>
    <col min="19" max="19" width="9.33203125" style="89" bestFit="1" customWidth="1"/>
    <col min="20" max="20" width="9.6640625" style="89" bestFit="1" customWidth="1"/>
    <col min="21" max="21" width="9.88671875" style="89" bestFit="1" customWidth="1"/>
    <col min="22" max="22" width="9.5546875" style="89" bestFit="1" customWidth="1"/>
    <col min="23" max="23" width="10.109375" style="89" bestFit="1" customWidth="1"/>
    <col min="24" max="24" width="9.44140625" style="89" bestFit="1" customWidth="1"/>
    <col min="25" max="25" width="8.88671875" style="89" bestFit="1" customWidth="1"/>
    <col min="26" max="26" width="9.88671875" style="89" bestFit="1" customWidth="1"/>
    <col min="27" max="27" width="9.6640625" style="89" bestFit="1" customWidth="1"/>
    <col min="28" max="28" width="9.44140625" style="89" bestFit="1" customWidth="1"/>
    <col min="29" max="29" width="10" style="89" bestFit="1" customWidth="1"/>
    <col min="30" max="30" width="9.6640625" style="89" bestFit="1" customWidth="1"/>
    <col min="31" max="31" width="9.33203125" style="89" bestFit="1" customWidth="1"/>
    <col min="32" max="32" width="9.6640625" style="89" bestFit="1" customWidth="1"/>
    <col min="33" max="33" width="9.88671875" style="89" bestFit="1" customWidth="1"/>
    <col min="34" max="34" width="9.5546875" style="89" bestFit="1" customWidth="1"/>
    <col min="35" max="35" width="10.109375" style="89" bestFit="1" customWidth="1"/>
    <col min="36" max="36" width="9.44140625" style="89" bestFit="1" customWidth="1"/>
    <col min="37" max="37" width="8.88671875" style="89" bestFit="1" customWidth="1"/>
    <col min="38" max="38" width="9.88671875" style="89" bestFit="1" customWidth="1"/>
    <col min="39" max="39" width="9.6640625" style="89" bestFit="1" customWidth="1"/>
    <col min="40" max="40" width="9.44140625" style="89" bestFit="1" customWidth="1"/>
    <col min="41" max="41" width="10" style="89" bestFit="1" customWidth="1"/>
    <col min="42" max="42" width="9.6640625" style="89" bestFit="1" customWidth="1"/>
    <col min="43" max="43" width="9.33203125" style="89" bestFit="1" customWidth="1"/>
    <col min="44" max="44" width="9.6640625" style="89" bestFit="1" customWidth="1"/>
    <col min="45" max="45" width="9.88671875" style="89" bestFit="1" customWidth="1"/>
    <col min="46" max="46" width="9.5546875" style="89" bestFit="1" customWidth="1"/>
    <col min="47" max="47" width="10.109375" style="89" bestFit="1" customWidth="1"/>
    <col min="48" max="48" width="9.44140625" style="89" bestFit="1" customWidth="1"/>
    <col min="49" max="49" width="8.88671875" style="89" bestFit="1" customWidth="1"/>
    <col min="50" max="50" width="9.88671875" style="89" bestFit="1" customWidth="1"/>
    <col min="51" max="51" width="9.6640625" style="89" bestFit="1" customWidth="1"/>
    <col min="52" max="52" width="9.44140625" style="89" bestFit="1" customWidth="1"/>
    <col min="53" max="53" width="10" style="89" bestFit="1" customWidth="1"/>
    <col min="54" max="54" width="9.6640625" style="89" bestFit="1" customWidth="1"/>
    <col min="55" max="55" width="9.33203125" style="89" bestFit="1" customWidth="1"/>
    <col min="56" max="56" width="9.6640625" style="89" bestFit="1" customWidth="1"/>
    <col min="57" max="57" width="9.88671875" style="89" bestFit="1" customWidth="1"/>
    <col min="58" max="58" width="9.5546875" style="89" bestFit="1" customWidth="1"/>
    <col min="59" max="59" width="10.109375" style="89" bestFit="1" customWidth="1"/>
    <col min="60" max="60" width="9.44140625" style="89" bestFit="1" customWidth="1"/>
    <col min="61" max="61" width="8.88671875" style="89" bestFit="1" customWidth="1"/>
    <col min="62" max="62" width="9.88671875" style="89" bestFit="1" customWidth="1"/>
    <col min="63" max="63" width="9.6640625" style="89" bestFit="1" customWidth="1"/>
    <col min="64" max="64" width="9.44140625" style="89" bestFit="1" customWidth="1"/>
    <col min="65" max="65" width="10" style="89" bestFit="1" customWidth="1"/>
    <col min="66" max="66" width="9.6640625" style="89" bestFit="1" customWidth="1"/>
    <col min="67" max="67" width="9.33203125" style="89" bestFit="1" customWidth="1"/>
    <col min="68" max="68" width="9.6640625" style="89" bestFit="1" customWidth="1"/>
    <col min="69" max="69" width="9.88671875" style="89" bestFit="1" customWidth="1"/>
    <col min="70" max="70" width="9.5546875" style="89" bestFit="1" customWidth="1"/>
    <col min="71" max="71" width="10.109375" style="89" bestFit="1" customWidth="1"/>
    <col min="72" max="72" width="9.44140625" style="89" bestFit="1" customWidth="1"/>
    <col min="73" max="73" width="8.88671875" style="89" bestFit="1" customWidth="1"/>
    <col min="74" max="74" width="9.88671875" style="89" bestFit="1" customWidth="1"/>
    <col min="75" max="75" width="9.6640625" style="89" bestFit="1" customWidth="1"/>
    <col min="76" max="76" width="9.44140625" style="89" bestFit="1" customWidth="1"/>
    <col min="77" max="77" width="10" style="89" bestFit="1" customWidth="1"/>
    <col min="78" max="78" width="9.6640625" style="89" bestFit="1" customWidth="1"/>
    <col min="79" max="79" width="9.33203125" style="89" bestFit="1" customWidth="1"/>
    <col min="80" max="80" width="9.6640625" style="89" bestFit="1" customWidth="1"/>
    <col min="81" max="81" width="9.88671875" style="89" bestFit="1" customWidth="1"/>
    <col min="82" max="82" width="9.5546875" style="89" bestFit="1" customWidth="1"/>
    <col min="83" max="83" width="10.109375" style="89" bestFit="1" customWidth="1"/>
    <col min="84" max="84" width="9.44140625" style="89" bestFit="1" customWidth="1"/>
    <col min="85" max="85" width="8.88671875" style="89" bestFit="1" customWidth="1"/>
    <col min="86" max="86" width="9.88671875" style="89" bestFit="1" customWidth="1"/>
    <col min="87" max="87" width="9.6640625" style="89" bestFit="1" customWidth="1"/>
    <col min="88" max="88" width="9.44140625" style="89" bestFit="1" customWidth="1"/>
    <col min="89" max="89" width="10" style="89" bestFit="1" customWidth="1"/>
    <col min="90" max="90" width="9.6640625" style="89" bestFit="1" customWidth="1"/>
    <col min="91" max="91" width="9.33203125" style="89" bestFit="1" customWidth="1"/>
    <col min="92" max="92" width="9.6640625" style="89" bestFit="1" customWidth="1"/>
    <col min="93" max="93" width="9.88671875" style="89" bestFit="1" customWidth="1"/>
    <col min="94" max="94" width="9.5546875" style="89" bestFit="1" customWidth="1"/>
    <col min="95" max="95" width="10.109375" style="89" bestFit="1" customWidth="1"/>
    <col min="96" max="96" width="9.44140625" style="89" bestFit="1" customWidth="1"/>
    <col min="97" max="97" width="8.88671875" style="89" bestFit="1" customWidth="1"/>
    <col min="98" max="98" width="9.88671875" style="89" bestFit="1" customWidth="1"/>
    <col min="99" max="99" width="9.6640625" style="89" bestFit="1" customWidth="1"/>
    <col min="100" max="100" width="9.44140625" style="89" bestFit="1" customWidth="1"/>
    <col min="101" max="101" width="10" style="89" bestFit="1" customWidth="1"/>
    <col min="102" max="102" width="9.6640625" style="89" bestFit="1" customWidth="1"/>
    <col min="103" max="103" width="9.33203125" style="89" bestFit="1" customWidth="1"/>
    <col min="104" max="104" width="9.6640625" style="89" bestFit="1" customWidth="1"/>
    <col min="105" max="105" width="9.88671875" style="89" bestFit="1" customWidth="1"/>
    <col min="106" max="106" width="9.5546875" style="89" bestFit="1" customWidth="1"/>
    <col min="107" max="107" width="10.109375" style="89" bestFit="1" customWidth="1"/>
    <col min="108" max="108" width="9.44140625" style="89" bestFit="1" customWidth="1"/>
    <col min="109" max="109" width="8.88671875" style="89" bestFit="1" customWidth="1"/>
    <col min="110" max="110" width="9.88671875" style="89" bestFit="1" customWidth="1"/>
    <col min="111" max="111" width="9.6640625" style="89" bestFit="1" customWidth="1"/>
    <col min="112" max="112" width="9.44140625" style="89" bestFit="1" customWidth="1"/>
    <col min="113" max="113" width="10" style="89" bestFit="1" customWidth="1"/>
    <col min="114" max="114" width="9.6640625" style="89" bestFit="1" customWidth="1"/>
    <col min="115" max="115" width="9.33203125" style="89" bestFit="1" customWidth="1"/>
    <col min="116" max="116" width="9.6640625" style="89" bestFit="1" customWidth="1"/>
    <col min="117" max="117" width="9.88671875" style="89" bestFit="1" customWidth="1"/>
    <col min="118" max="118" width="9.5546875" style="89" bestFit="1" customWidth="1"/>
    <col min="119" max="119" width="10.109375" style="89" bestFit="1" customWidth="1"/>
    <col min="120" max="120" width="9.44140625" style="89" bestFit="1" customWidth="1"/>
    <col min="121" max="121" width="8.88671875" style="89" bestFit="1" customWidth="1"/>
    <col min="122" max="122" width="9.88671875" style="89" bestFit="1" customWidth="1"/>
    <col min="123" max="123" width="9.6640625" style="89" bestFit="1" customWidth="1"/>
    <col min="124" max="124" width="9.44140625" style="89" bestFit="1" customWidth="1"/>
    <col min="125" max="125" width="10" style="89" bestFit="1" customWidth="1"/>
    <col min="126" max="126" width="9.6640625" style="89" bestFit="1" customWidth="1"/>
    <col min="127" max="127" width="9.33203125" style="89" bestFit="1" customWidth="1"/>
    <col min="128" max="128" width="9.6640625" style="89" bestFit="1" customWidth="1"/>
    <col min="129" max="129" width="9.88671875" style="89" bestFit="1" customWidth="1"/>
    <col min="130" max="130" width="9.5546875" style="89" bestFit="1" customWidth="1"/>
    <col min="131" max="131" width="10.109375" style="89" bestFit="1" customWidth="1"/>
    <col min="132" max="132" width="9.44140625" style="89" bestFit="1" customWidth="1"/>
    <col min="133" max="133" width="8.88671875" style="89" bestFit="1" customWidth="1"/>
    <col min="134" max="134" width="9.88671875" style="89" bestFit="1" customWidth="1"/>
    <col min="135" max="135" width="9.6640625" style="89" bestFit="1" customWidth="1"/>
    <col min="136" max="136" width="9.44140625" style="89" bestFit="1" customWidth="1"/>
    <col min="137" max="137" width="10" style="89" bestFit="1" customWidth="1"/>
    <col min="138" max="138" width="9.6640625" style="89" bestFit="1" customWidth="1"/>
    <col min="139" max="139" width="9.33203125" style="89" bestFit="1" customWidth="1"/>
    <col min="140" max="140" width="9.6640625" style="89" bestFit="1" customWidth="1"/>
    <col min="141" max="141" width="9.88671875" style="89" bestFit="1" customWidth="1"/>
    <col min="142" max="142" width="9.5546875" style="89" bestFit="1" customWidth="1"/>
    <col min="143" max="143" width="10.109375" style="89" bestFit="1" customWidth="1"/>
    <col min="144" max="144" width="9.44140625" style="89" bestFit="1" customWidth="1"/>
    <col min="145" max="145" width="8.88671875" style="89" bestFit="1" customWidth="1"/>
    <col min="146" max="146" width="9.88671875" style="89" bestFit="1" customWidth="1"/>
    <col min="147" max="147" width="9.6640625" style="89" bestFit="1" customWidth="1"/>
    <col min="148" max="148" width="9.44140625" style="89" bestFit="1" customWidth="1"/>
    <col min="149" max="149" width="10" style="89" bestFit="1" customWidth="1"/>
    <col min="150" max="150" width="9.6640625" style="89" bestFit="1" customWidth="1"/>
    <col min="151" max="151" width="9.33203125" style="89" bestFit="1" customWidth="1"/>
    <col min="152" max="152" width="9.6640625" style="89" bestFit="1" customWidth="1"/>
    <col min="153" max="153" width="9.88671875" style="89" bestFit="1" customWidth="1"/>
    <col min="154" max="154" width="9.5546875" style="89" bestFit="1" customWidth="1"/>
    <col min="155" max="155" width="10.109375" style="89" bestFit="1" customWidth="1"/>
    <col min="156" max="156" width="9.44140625" style="89" bestFit="1" customWidth="1"/>
    <col min="157" max="157" width="8.88671875" style="89" bestFit="1" customWidth="1"/>
    <col min="158" max="158" width="9.88671875" style="89" bestFit="1" customWidth="1"/>
    <col min="159" max="159" width="9.6640625" style="89" bestFit="1" customWidth="1"/>
    <col min="160" max="160" width="9.44140625" style="89" bestFit="1" customWidth="1"/>
    <col min="161" max="161" width="10" style="89" bestFit="1" customWidth="1"/>
    <col min="162" max="162" width="9.6640625" style="89" bestFit="1" customWidth="1"/>
    <col min="163" max="163" width="9.33203125" style="89" bestFit="1" customWidth="1"/>
    <col min="164" max="164" width="9.6640625" style="89" bestFit="1" customWidth="1"/>
    <col min="165" max="165" width="9.88671875" style="89" bestFit="1" customWidth="1"/>
    <col min="166" max="166" width="9.5546875" style="89" bestFit="1" customWidth="1"/>
    <col min="167" max="167" width="10.109375" style="89" bestFit="1" customWidth="1"/>
    <col min="168" max="168" width="9.44140625" style="89" bestFit="1" customWidth="1"/>
    <col min="169" max="169" width="8.88671875" style="89" bestFit="1" customWidth="1"/>
    <col min="170" max="170" width="9.88671875" style="89" bestFit="1" customWidth="1"/>
    <col min="171" max="171" width="9.6640625" style="89" bestFit="1" customWidth="1"/>
    <col min="172" max="172" width="9.44140625" style="89" bestFit="1" customWidth="1"/>
    <col min="173" max="173" width="10" style="89" bestFit="1" customWidth="1"/>
    <col min="174" max="174" width="9.6640625" style="89" bestFit="1" customWidth="1"/>
    <col min="175" max="175" width="9.33203125" style="89" bestFit="1" customWidth="1"/>
    <col min="176" max="176" width="9.6640625" style="89" bestFit="1" customWidth="1"/>
    <col min="177" max="177" width="9.88671875" style="89" bestFit="1" customWidth="1"/>
    <col min="178" max="178" width="9.5546875" style="89" bestFit="1" customWidth="1"/>
    <col min="179" max="179" width="10.109375" style="89" bestFit="1" customWidth="1"/>
    <col min="180" max="180" width="9.44140625" style="89" bestFit="1" customWidth="1"/>
    <col min="181" max="181" width="8.88671875" style="89" bestFit="1" customWidth="1"/>
    <col min="182" max="182" width="9.88671875" style="89" bestFit="1" customWidth="1"/>
    <col min="183" max="183" width="9.6640625" style="89" bestFit="1" customWidth="1"/>
    <col min="184" max="184" width="9.44140625" style="89" bestFit="1" customWidth="1"/>
    <col min="185" max="185" width="10" style="89" bestFit="1" customWidth="1"/>
    <col min="186" max="186" width="9.6640625" style="89" bestFit="1" customWidth="1"/>
    <col min="187" max="187" width="9.33203125" style="89" bestFit="1" customWidth="1"/>
    <col min="188" max="188" width="9.6640625" style="89" bestFit="1" customWidth="1"/>
    <col min="189" max="189" width="9.88671875" style="89" bestFit="1" customWidth="1"/>
    <col min="190" max="190" width="9.5546875" style="89" bestFit="1" customWidth="1"/>
    <col min="191" max="191" width="10.109375" style="89" bestFit="1" customWidth="1"/>
    <col min="192" max="192" width="9.44140625" style="89" bestFit="1" customWidth="1"/>
    <col min="193" max="193" width="8.88671875" style="89" bestFit="1" customWidth="1"/>
    <col min="194" max="194" width="9.88671875" style="89" bestFit="1" customWidth="1"/>
    <col min="195" max="195" width="9.6640625" style="89" bestFit="1" customWidth="1"/>
    <col min="196" max="196" width="9.44140625" style="89" bestFit="1" customWidth="1"/>
    <col min="197" max="197" width="10" style="89" bestFit="1" customWidth="1"/>
    <col min="198" max="198" width="9.6640625" style="89" bestFit="1" customWidth="1"/>
  </cols>
  <sheetData>
    <row r="3" spans="2:198" ht="15.6" x14ac:dyDescent="0.3">
      <c r="B3" s="74" t="s">
        <v>179</v>
      </c>
      <c r="C3" s="109"/>
      <c r="D3" s="88"/>
      <c r="E3" s="88"/>
      <c r="F3" s="88"/>
      <c r="G3" s="88"/>
      <c r="H3" s="88"/>
      <c r="I3" s="169"/>
      <c r="J3" s="88"/>
      <c r="K3" s="88"/>
      <c r="L3" s="88"/>
      <c r="M3" s="88"/>
      <c r="N3" s="88"/>
      <c r="O3" s="88"/>
      <c r="P3" s="88"/>
      <c r="R3" s="89" t="s">
        <v>46</v>
      </c>
      <c r="S3" s="89">
        <f>ROUNDUP(S4/12,0)</f>
        <v>1</v>
      </c>
      <c r="T3" s="89">
        <f t="shared" ref="T3:CE3" si="0">ROUNDUP(T4/12,0)</f>
        <v>1</v>
      </c>
      <c r="U3" s="89">
        <f t="shared" si="0"/>
        <v>1</v>
      </c>
      <c r="V3" s="89">
        <f t="shared" si="0"/>
        <v>1</v>
      </c>
      <c r="W3" s="89">
        <f t="shared" si="0"/>
        <v>1</v>
      </c>
      <c r="X3" s="89">
        <f t="shared" si="0"/>
        <v>1</v>
      </c>
      <c r="Y3" s="89">
        <f t="shared" si="0"/>
        <v>1</v>
      </c>
      <c r="Z3" s="89">
        <f t="shared" si="0"/>
        <v>1</v>
      </c>
      <c r="AA3" s="89">
        <f t="shared" si="0"/>
        <v>1</v>
      </c>
      <c r="AB3" s="89">
        <f t="shared" si="0"/>
        <v>1</v>
      </c>
      <c r="AC3" s="89">
        <f t="shared" si="0"/>
        <v>1</v>
      </c>
      <c r="AD3" s="89">
        <f t="shared" si="0"/>
        <v>1</v>
      </c>
      <c r="AE3" s="89">
        <f t="shared" si="0"/>
        <v>2</v>
      </c>
      <c r="AF3" s="89">
        <f t="shared" si="0"/>
        <v>2</v>
      </c>
      <c r="AG3" s="89">
        <f t="shared" si="0"/>
        <v>2</v>
      </c>
      <c r="AH3" s="89">
        <f t="shared" si="0"/>
        <v>2</v>
      </c>
      <c r="AI3" s="89">
        <f t="shared" si="0"/>
        <v>2</v>
      </c>
      <c r="AJ3" s="89">
        <f t="shared" si="0"/>
        <v>2</v>
      </c>
      <c r="AK3" s="89">
        <f t="shared" si="0"/>
        <v>2</v>
      </c>
      <c r="AL3" s="89">
        <f t="shared" si="0"/>
        <v>2</v>
      </c>
      <c r="AM3" s="89">
        <f t="shared" si="0"/>
        <v>2</v>
      </c>
      <c r="AN3" s="89">
        <f t="shared" si="0"/>
        <v>2</v>
      </c>
      <c r="AO3" s="89">
        <f t="shared" si="0"/>
        <v>2</v>
      </c>
      <c r="AP3" s="89">
        <f t="shared" si="0"/>
        <v>2</v>
      </c>
      <c r="AQ3" s="89">
        <f t="shared" si="0"/>
        <v>3</v>
      </c>
      <c r="AR3" s="89">
        <f t="shared" si="0"/>
        <v>3</v>
      </c>
      <c r="AS3" s="89">
        <f t="shared" si="0"/>
        <v>3</v>
      </c>
      <c r="AT3" s="89">
        <f t="shared" si="0"/>
        <v>3</v>
      </c>
      <c r="AU3" s="89">
        <f t="shared" si="0"/>
        <v>3</v>
      </c>
      <c r="AV3" s="89">
        <f t="shared" si="0"/>
        <v>3</v>
      </c>
      <c r="AW3" s="89">
        <f t="shared" si="0"/>
        <v>3</v>
      </c>
      <c r="AX3" s="89">
        <f t="shared" si="0"/>
        <v>3</v>
      </c>
      <c r="AY3" s="89">
        <f t="shared" si="0"/>
        <v>3</v>
      </c>
      <c r="AZ3" s="89">
        <f t="shared" si="0"/>
        <v>3</v>
      </c>
      <c r="BA3" s="89">
        <f t="shared" si="0"/>
        <v>3</v>
      </c>
      <c r="BB3" s="89">
        <f t="shared" si="0"/>
        <v>3</v>
      </c>
      <c r="BC3" s="89">
        <f t="shared" si="0"/>
        <v>4</v>
      </c>
      <c r="BD3" s="89">
        <f t="shared" si="0"/>
        <v>4</v>
      </c>
      <c r="BE3" s="89">
        <f t="shared" si="0"/>
        <v>4</v>
      </c>
      <c r="BF3" s="89">
        <f t="shared" si="0"/>
        <v>4</v>
      </c>
      <c r="BG3" s="89">
        <f t="shared" si="0"/>
        <v>4</v>
      </c>
      <c r="BH3" s="89">
        <f t="shared" si="0"/>
        <v>4</v>
      </c>
      <c r="BI3" s="89">
        <f t="shared" si="0"/>
        <v>4</v>
      </c>
      <c r="BJ3" s="89">
        <f t="shared" si="0"/>
        <v>4</v>
      </c>
      <c r="BK3" s="89">
        <f t="shared" si="0"/>
        <v>4</v>
      </c>
      <c r="BL3" s="89">
        <f t="shared" si="0"/>
        <v>4</v>
      </c>
      <c r="BM3" s="89">
        <f t="shared" si="0"/>
        <v>4</v>
      </c>
      <c r="BN3" s="89">
        <f t="shared" si="0"/>
        <v>4</v>
      </c>
      <c r="BO3" s="89">
        <f t="shared" si="0"/>
        <v>5</v>
      </c>
      <c r="BP3" s="89">
        <f t="shared" si="0"/>
        <v>5</v>
      </c>
      <c r="BQ3" s="89">
        <f t="shared" si="0"/>
        <v>5</v>
      </c>
      <c r="BR3" s="89">
        <f t="shared" si="0"/>
        <v>5</v>
      </c>
      <c r="BS3" s="89">
        <f t="shared" si="0"/>
        <v>5</v>
      </c>
      <c r="BT3" s="89">
        <f t="shared" si="0"/>
        <v>5</v>
      </c>
      <c r="BU3" s="89">
        <f t="shared" si="0"/>
        <v>5</v>
      </c>
      <c r="BV3" s="89">
        <f t="shared" si="0"/>
        <v>5</v>
      </c>
      <c r="BW3" s="89">
        <f t="shared" si="0"/>
        <v>5</v>
      </c>
      <c r="BX3" s="89">
        <f t="shared" si="0"/>
        <v>5</v>
      </c>
      <c r="BY3" s="89">
        <f t="shared" si="0"/>
        <v>5</v>
      </c>
      <c r="BZ3" s="89">
        <f t="shared" si="0"/>
        <v>5</v>
      </c>
      <c r="CA3" s="89">
        <f t="shared" si="0"/>
        <v>6</v>
      </c>
      <c r="CB3" s="89">
        <f t="shared" si="0"/>
        <v>6</v>
      </c>
      <c r="CC3" s="89">
        <f t="shared" si="0"/>
        <v>6</v>
      </c>
      <c r="CD3" s="89">
        <f t="shared" si="0"/>
        <v>6</v>
      </c>
      <c r="CE3" s="89">
        <f t="shared" si="0"/>
        <v>6</v>
      </c>
      <c r="CF3" s="89">
        <f t="shared" ref="CF3:EQ3" si="1">ROUNDUP(CF4/12,0)</f>
        <v>6</v>
      </c>
      <c r="CG3" s="89">
        <f t="shared" si="1"/>
        <v>6</v>
      </c>
      <c r="CH3" s="89">
        <f t="shared" si="1"/>
        <v>6</v>
      </c>
      <c r="CI3" s="89">
        <f t="shared" si="1"/>
        <v>6</v>
      </c>
      <c r="CJ3" s="89">
        <f t="shared" si="1"/>
        <v>6</v>
      </c>
      <c r="CK3" s="89">
        <f t="shared" si="1"/>
        <v>6</v>
      </c>
      <c r="CL3" s="89">
        <f t="shared" si="1"/>
        <v>6</v>
      </c>
      <c r="CM3" s="89">
        <f t="shared" si="1"/>
        <v>7</v>
      </c>
      <c r="CN3" s="89">
        <f t="shared" si="1"/>
        <v>7</v>
      </c>
      <c r="CO3" s="89">
        <f t="shared" si="1"/>
        <v>7</v>
      </c>
      <c r="CP3" s="89">
        <f t="shared" si="1"/>
        <v>7</v>
      </c>
      <c r="CQ3" s="89">
        <f t="shared" si="1"/>
        <v>7</v>
      </c>
      <c r="CR3" s="89">
        <f t="shared" si="1"/>
        <v>7</v>
      </c>
      <c r="CS3" s="89">
        <f t="shared" si="1"/>
        <v>7</v>
      </c>
      <c r="CT3" s="89">
        <f t="shared" si="1"/>
        <v>7</v>
      </c>
      <c r="CU3" s="89">
        <f t="shared" si="1"/>
        <v>7</v>
      </c>
      <c r="CV3" s="89">
        <f t="shared" si="1"/>
        <v>7</v>
      </c>
      <c r="CW3" s="89">
        <f t="shared" si="1"/>
        <v>7</v>
      </c>
      <c r="CX3" s="89">
        <f t="shared" si="1"/>
        <v>7</v>
      </c>
      <c r="CY3" s="89">
        <f t="shared" si="1"/>
        <v>8</v>
      </c>
      <c r="CZ3" s="89">
        <f t="shared" si="1"/>
        <v>8</v>
      </c>
      <c r="DA3" s="89">
        <f t="shared" si="1"/>
        <v>8</v>
      </c>
      <c r="DB3" s="89">
        <f t="shared" si="1"/>
        <v>8</v>
      </c>
      <c r="DC3" s="89">
        <f t="shared" si="1"/>
        <v>8</v>
      </c>
      <c r="DD3" s="89">
        <f t="shared" si="1"/>
        <v>8</v>
      </c>
      <c r="DE3" s="89">
        <f t="shared" si="1"/>
        <v>8</v>
      </c>
      <c r="DF3" s="89">
        <f t="shared" si="1"/>
        <v>8</v>
      </c>
      <c r="DG3" s="89">
        <f t="shared" si="1"/>
        <v>8</v>
      </c>
      <c r="DH3" s="89">
        <f t="shared" si="1"/>
        <v>8</v>
      </c>
      <c r="DI3" s="89">
        <f t="shared" si="1"/>
        <v>8</v>
      </c>
      <c r="DJ3" s="89">
        <f t="shared" si="1"/>
        <v>8</v>
      </c>
      <c r="DK3" s="89">
        <f t="shared" si="1"/>
        <v>9</v>
      </c>
      <c r="DL3" s="89">
        <f t="shared" si="1"/>
        <v>9</v>
      </c>
      <c r="DM3" s="89">
        <f t="shared" si="1"/>
        <v>9</v>
      </c>
      <c r="DN3" s="89">
        <f t="shared" si="1"/>
        <v>9</v>
      </c>
      <c r="DO3" s="89">
        <f t="shared" si="1"/>
        <v>9</v>
      </c>
      <c r="DP3" s="89">
        <f t="shared" si="1"/>
        <v>9</v>
      </c>
      <c r="DQ3" s="89">
        <f t="shared" si="1"/>
        <v>9</v>
      </c>
      <c r="DR3" s="89">
        <f t="shared" si="1"/>
        <v>9</v>
      </c>
      <c r="DS3" s="89">
        <f t="shared" si="1"/>
        <v>9</v>
      </c>
      <c r="DT3" s="89">
        <f t="shared" si="1"/>
        <v>9</v>
      </c>
      <c r="DU3" s="89">
        <f t="shared" si="1"/>
        <v>9</v>
      </c>
      <c r="DV3" s="89">
        <f t="shared" si="1"/>
        <v>9</v>
      </c>
      <c r="DW3" s="89">
        <f t="shared" si="1"/>
        <v>10</v>
      </c>
      <c r="DX3" s="89">
        <f t="shared" si="1"/>
        <v>10</v>
      </c>
      <c r="DY3" s="89">
        <f t="shared" si="1"/>
        <v>10</v>
      </c>
      <c r="DZ3" s="89">
        <f t="shared" si="1"/>
        <v>10</v>
      </c>
      <c r="EA3" s="89">
        <f t="shared" si="1"/>
        <v>10</v>
      </c>
      <c r="EB3" s="89">
        <f t="shared" si="1"/>
        <v>10</v>
      </c>
      <c r="EC3" s="89">
        <f t="shared" si="1"/>
        <v>10</v>
      </c>
      <c r="ED3" s="89">
        <f t="shared" si="1"/>
        <v>10</v>
      </c>
      <c r="EE3" s="89">
        <f t="shared" si="1"/>
        <v>10</v>
      </c>
      <c r="EF3" s="89">
        <f t="shared" si="1"/>
        <v>10</v>
      </c>
      <c r="EG3" s="89">
        <f t="shared" si="1"/>
        <v>10</v>
      </c>
      <c r="EH3" s="89">
        <f t="shared" si="1"/>
        <v>10</v>
      </c>
      <c r="EI3" s="89">
        <f t="shared" si="1"/>
        <v>11</v>
      </c>
      <c r="EJ3" s="89">
        <f t="shared" si="1"/>
        <v>11</v>
      </c>
      <c r="EK3" s="89">
        <f t="shared" si="1"/>
        <v>11</v>
      </c>
      <c r="EL3" s="89">
        <f t="shared" si="1"/>
        <v>11</v>
      </c>
      <c r="EM3" s="89">
        <f t="shared" si="1"/>
        <v>11</v>
      </c>
      <c r="EN3" s="89">
        <f t="shared" si="1"/>
        <v>11</v>
      </c>
      <c r="EO3" s="89">
        <f t="shared" si="1"/>
        <v>11</v>
      </c>
      <c r="EP3" s="89">
        <f t="shared" si="1"/>
        <v>11</v>
      </c>
      <c r="EQ3" s="89">
        <f t="shared" si="1"/>
        <v>11</v>
      </c>
      <c r="ER3" s="89">
        <f t="shared" ref="ER3:GP3" si="2">ROUNDUP(ER4/12,0)</f>
        <v>11</v>
      </c>
      <c r="ES3" s="89">
        <f t="shared" si="2"/>
        <v>11</v>
      </c>
      <c r="ET3" s="89">
        <f t="shared" si="2"/>
        <v>11</v>
      </c>
      <c r="EU3" s="89">
        <f t="shared" si="2"/>
        <v>12</v>
      </c>
      <c r="EV3" s="89">
        <f t="shared" si="2"/>
        <v>12</v>
      </c>
      <c r="EW3" s="89">
        <f t="shared" si="2"/>
        <v>12</v>
      </c>
      <c r="EX3" s="89">
        <f t="shared" si="2"/>
        <v>12</v>
      </c>
      <c r="EY3" s="89">
        <f t="shared" si="2"/>
        <v>12</v>
      </c>
      <c r="EZ3" s="89">
        <f t="shared" si="2"/>
        <v>12</v>
      </c>
      <c r="FA3" s="89">
        <f t="shared" si="2"/>
        <v>12</v>
      </c>
      <c r="FB3" s="89">
        <f t="shared" si="2"/>
        <v>12</v>
      </c>
      <c r="FC3" s="89">
        <f t="shared" si="2"/>
        <v>12</v>
      </c>
      <c r="FD3" s="89">
        <f t="shared" si="2"/>
        <v>12</v>
      </c>
      <c r="FE3" s="89">
        <f t="shared" si="2"/>
        <v>12</v>
      </c>
      <c r="FF3" s="89">
        <f t="shared" si="2"/>
        <v>12</v>
      </c>
      <c r="FG3" s="89">
        <f t="shared" si="2"/>
        <v>13</v>
      </c>
      <c r="FH3" s="89">
        <f t="shared" si="2"/>
        <v>13</v>
      </c>
      <c r="FI3" s="89">
        <f t="shared" si="2"/>
        <v>13</v>
      </c>
      <c r="FJ3" s="89">
        <f t="shared" si="2"/>
        <v>13</v>
      </c>
      <c r="FK3" s="89">
        <f t="shared" si="2"/>
        <v>13</v>
      </c>
      <c r="FL3" s="89">
        <f t="shared" si="2"/>
        <v>13</v>
      </c>
      <c r="FM3" s="89">
        <f t="shared" si="2"/>
        <v>13</v>
      </c>
      <c r="FN3" s="89">
        <f t="shared" si="2"/>
        <v>13</v>
      </c>
      <c r="FO3" s="89">
        <f t="shared" si="2"/>
        <v>13</v>
      </c>
      <c r="FP3" s="89">
        <f t="shared" si="2"/>
        <v>13</v>
      </c>
      <c r="FQ3" s="89">
        <f t="shared" si="2"/>
        <v>13</v>
      </c>
      <c r="FR3" s="89">
        <f t="shared" si="2"/>
        <v>13</v>
      </c>
      <c r="FS3" s="89">
        <f t="shared" si="2"/>
        <v>14</v>
      </c>
      <c r="FT3" s="89">
        <f t="shared" si="2"/>
        <v>14</v>
      </c>
      <c r="FU3" s="89">
        <f t="shared" si="2"/>
        <v>14</v>
      </c>
      <c r="FV3" s="89">
        <f t="shared" si="2"/>
        <v>14</v>
      </c>
      <c r="FW3" s="89">
        <f t="shared" si="2"/>
        <v>14</v>
      </c>
      <c r="FX3" s="89">
        <f t="shared" si="2"/>
        <v>14</v>
      </c>
      <c r="FY3" s="89">
        <f t="shared" si="2"/>
        <v>14</v>
      </c>
      <c r="FZ3" s="89">
        <f t="shared" si="2"/>
        <v>14</v>
      </c>
      <c r="GA3" s="89">
        <f t="shared" si="2"/>
        <v>14</v>
      </c>
      <c r="GB3" s="89">
        <f t="shared" si="2"/>
        <v>14</v>
      </c>
      <c r="GC3" s="89">
        <f t="shared" si="2"/>
        <v>14</v>
      </c>
      <c r="GD3" s="89">
        <f t="shared" si="2"/>
        <v>14</v>
      </c>
      <c r="GE3" s="89">
        <f t="shared" si="2"/>
        <v>15</v>
      </c>
      <c r="GF3" s="89">
        <f t="shared" si="2"/>
        <v>15</v>
      </c>
      <c r="GG3" s="89">
        <f t="shared" si="2"/>
        <v>15</v>
      </c>
      <c r="GH3" s="89">
        <f t="shared" si="2"/>
        <v>15</v>
      </c>
      <c r="GI3" s="89">
        <f t="shared" si="2"/>
        <v>15</v>
      </c>
      <c r="GJ3" s="89">
        <f t="shared" si="2"/>
        <v>15</v>
      </c>
      <c r="GK3" s="89">
        <f t="shared" si="2"/>
        <v>15</v>
      </c>
      <c r="GL3" s="89">
        <f t="shared" si="2"/>
        <v>15</v>
      </c>
      <c r="GM3" s="89">
        <f t="shared" si="2"/>
        <v>15</v>
      </c>
      <c r="GN3" s="89">
        <f t="shared" si="2"/>
        <v>15</v>
      </c>
      <c r="GO3" s="89">
        <f t="shared" si="2"/>
        <v>15</v>
      </c>
      <c r="GP3" s="89">
        <f t="shared" si="2"/>
        <v>15</v>
      </c>
    </row>
    <row r="4" spans="2:198" x14ac:dyDescent="0.3">
      <c r="B4" s="68"/>
      <c r="C4" s="122"/>
      <c r="D4" s="88"/>
      <c r="E4" s="88"/>
      <c r="F4" s="88"/>
      <c r="G4" s="88"/>
      <c r="H4" s="88"/>
      <c r="I4" s="88"/>
      <c r="J4" s="88"/>
      <c r="K4" s="88"/>
      <c r="L4" s="88"/>
      <c r="M4" s="88"/>
      <c r="N4" s="295" t="s">
        <v>162</v>
      </c>
      <c r="O4" s="296"/>
      <c r="P4" s="296"/>
      <c r="R4" s="89" t="s">
        <v>167</v>
      </c>
      <c r="S4" s="89">
        <v>1</v>
      </c>
      <c r="T4" s="89">
        <f>S4+1</f>
        <v>2</v>
      </c>
      <c r="U4" s="89">
        <f t="shared" ref="U4:CF4" si="3">T4+1</f>
        <v>3</v>
      </c>
      <c r="V4" s="89">
        <f t="shared" si="3"/>
        <v>4</v>
      </c>
      <c r="W4" s="89">
        <f t="shared" si="3"/>
        <v>5</v>
      </c>
      <c r="X4" s="89">
        <f t="shared" si="3"/>
        <v>6</v>
      </c>
      <c r="Y4" s="89">
        <f t="shared" si="3"/>
        <v>7</v>
      </c>
      <c r="Z4" s="89">
        <f t="shared" si="3"/>
        <v>8</v>
      </c>
      <c r="AA4" s="89">
        <f t="shared" si="3"/>
        <v>9</v>
      </c>
      <c r="AB4" s="89">
        <f t="shared" si="3"/>
        <v>10</v>
      </c>
      <c r="AC4" s="89">
        <f t="shared" si="3"/>
        <v>11</v>
      </c>
      <c r="AD4" s="89">
        <f t="shared" si="3"/>
        <v>12</v>
      </c>
      <c r="AE4" s="89">
        <f t="shared" si="3"/>
        <v>13</v>
      </c>
      <c r="AF4" s="89">
        <f t="shared" si="3"/>
        <v>14</v>
      </c>
      <c r="AG4" s="89">
        <f t="shared" si="3"/>
        <v>15</v>
      </c>
      <c r="AH4" s="89">
        <f t="shared" si="3"/>
        <v>16</v>
      </c>
      <c r="AI4" s="89">
        <f t="shared" si="3"/>
        <v>17</v>
      </c>
      <c r="AJ4" s="89">
        <f t="shared" si="3"/>
        <v>18</v>
      </c>
      <c r="AK4" s="89">
        <f t="shared" si="3"/>
        <v>19</v>
      </c>
      <c r="AL4" s="89">
        <f t="shared" si="3"/>
        <v>20</v>
      </c>
      <c r="AM4" s="89">
        <f t="shared" si="3"/>
        <v>21</v>
      </c>
      <c r="AN4" s="89">
        <f t="shared" si="3"/>
        <v>22</v>
      </c>
      <c r="AO4" s="89">
        <f t="shared" si="3"/>
        <v>23</v>
      </c>
      <c r="AP4" s="89">
        <f t="shared" si="3"/>
        <v>24</v>
      </c>
      <c r="AQ4" s="89">
        <f t="shared" si="3"/>
        <v>25</v>
      </c>
      <c r="AR4" s="89">
        <f t="shared" si="3"/>
        <v>26</v>
      </c>
      <c r="AS4" s="89">
        <f t="shared" si="3"/>
        <v>27</v>
      </c>
      <c r="AT4" s="89">
        <f t="shared" si="3"/>
        <v>28</v>
      </c>
      <c r="AU4" s="89">
        <f t="shared" si="3"/>
        <v>29</v>
      </c>
      <c r="AV4" s="89">
        <f t="shared" si="3"/>
        <v>30</v>
      </c>
      <c r="AW4" s="89">
        <f t="shared" si="3"/>
        <v>31</v>
      </c>
      <c r="AX4" s="89">
        <f t="shared" si="3"/>
        <v>32</v>
      </c>
      <c r="AY4" s="89">
        <f t="shared" si="3"/>
        <v>33</v>
      </c>
      <c r="AZ4" s="89">
        <f t="shared" si="3"/>
        <v>34</v>
      </c>
      <c r="BA4" s="89">
        <f t="shared" si="3"/>
        <v>35</v>
      </c>
      <c r="BB4" s="89">
        <f t="shared" si="3"/>
        <v>36</v>
      </c>
      <c r="BC4" s="89">
        <f t="shared" si="3"/>
        <v>37</v>
      </c>
      <c r="BD4" s="89">
        <f t="shared" si="3"/>
        <v>38</v>
      </c>
      <c r="BE4" s="89">
        <f t="shared" si="3"/>
        <v>39</v>
      </c>
      <c r="BF4" s="89">
        <f t="shared" si="3"/>
        <v>40</v>
      </c>
      <c r="BG4" s="89">
        <f t="shared" si="3"/>
        <v>41</v>
      </c>
      <c r="BH4" s="89">
        <f t="shared" si="3"/>
        <v>42</v>
      </c>
      <c r="BI4" s="89">
        <f t="shared" si="3"/>
        <v>43</v>
      </c>
      <c r="BJ4" s="89">
        <f t="shared" si="3"/>
        <v>44</v>
      </c>
      <c r="BK4" s="89">
        <f t="shared" si="3"/>
        <v>45</v>
      </c>
      <c r="BL4" s="89">
        <f t="shared" si="3"/>
        <v>46</v>
      </c>
      <c r="BM4" s="89">
        <f t="shared" si="3"/>
        <v>47</v>
      </c>
      <c r="BN4" s="89">
        <f t="shared" si="3"/>
        <v>48</v>
      </c>
      <c r="BO4" s="89">
        <f t="shared" si="3"/>
        <v>49</v>
      </c>
      <c r="BP4" s="89">
        <f t="shared" si="3"/>
        <v>50</v>
      </c>
      <c r="BQ4" s="89">
        <f t="shared" si="3"/>
        <v>51</v>
      </c>
      <c r="BR4" s="89">
        <f t="shared" si="3"/>
        <v>52</v>
      </c>
      <c r="BS4" s="89">
        <f t="shared" si="3"/>
        <v>53</v>
      </c>
      <c r="BT4" s="89">
        <f t="shared" si="3"/>
        <v>54</v>
      </c>
      <c r="BU4" s="89">
        <f t="shared" si="3"/>
        <v>55</v>
      </c>
      <c r="BV4" s="89">
        <f t="shared" si="3"/>
        <v>56</v>
      </c>
      <c r="BW4" s="89">
        <f t="shared" si="3"/>
        <v>57</v>
      </c>
      <c r="BX4" s="89">
        <f t="shared" si="3"/>
        <v>58</v>
      </c>
      <c r="BY4" s="89">
        <f t="shared" si="3"/>
        <v>59</v>
      </c>
      <c r="BZ4" s="89">
        <f t="shared" si="3"/>
        <v>60</v>
      </c>
      <c r="CA4" s="89">
        <f t="shared" si="3"/>
        <v>61</v>
      </c>
      <c r="CB4" s="89">
        <f t="shared" si="3"/>
        <v>62</v>
      </c>
      <c r="CC4" s="89">
        <f t="shared" si="3"/>
        <v>63</v>
      </c>
      <c r="CD4" s="89">
        <f t="shared" si="3"/>
        <v>64</v>
      </c>
      <c r="CE4" s="89">
        <f t="shared" si="3"/>
        <v>65</v>
      </c>
      <c r="CF4" s="89">
        <f t="shared" si="3"/>
        <v>66</v>
      </c>
      <c r="CG4" s="89">
        <f t="shared" ref="CG4:ER4" si="4">CF4+1</f>
        <v>67</v>
      </c>
      <c r="CH4" s="89">
        <f t="shared" si="4"/>
        <v>68</v>
      </c>
      <c r="CI4" s="89">
        <f t="shared" si="4"/>
        <v>69</v>
      </c>
      <c r="CJ4" s="89">
        <f t="shared" si="4"/>
        <v>70</v>
      </c>
      <c r="CK4" s="89">
        <f t="shared" si="4"/>
        <v>71</v>
      </c>
      <c r="CL4" s="89">
        <f t="shared" si="4"/>
        <v>72</v>
      </c>
      <c r="CM4" s="89">
        <f t="shared" si="4"/>
        <v>73</v>
      </c>
      <c r="CN4" s="89">
        <f t="shared" si="4"/>
        <v>74</v>
      </c>
      <c r="CO4" s="89">
        <f t="shared" si="4"/>
        <v>75</v>
      </c>
      <c r="CP4" s="89">
        <f t="shared" si="4"/>
        <v>76</v>
      </c>
      <c r="CQ4" s="89">
        <f t="shared" si="4"/>
        <v>77</v>
      </c>
      <c r="CR4" s="89">
        <f t="shared" si="4"/>
        <v>78</v>
      </c>
      <c r="CS4" s="89">
        <f t="shared" si="4"/>
        <v>79</v>
      </c>
      <c r="CT4" s="89">
        <f t="shared" si="4"/>
        <v>80</v>
      </c>
      <c r="CU4" s="89">
        <f t="shared" si="4"/>
        <v>81</v>
      </c>
      <c r="CV4" s="89">
        <f t="shared" si="4"/>
        <v>82</v>
      </c>
      <c r="CW4" s="89">
        <f t="shared" si="4"/>
        <v>83</v>
      </c>
      <c r="CX4" s="89">
        <f t="shared" si="4"/>
        <v>84</v>
      </c>
      <c r="CY4" s="89">
        <f t="shared" si="4"/>
        <v>85</v>
      </c>
      <c r="CZ4" s="89">
        <f t="shared" si="4"/>
        <v>86</v>
      </c>
      <c r="DA4" s="89">
        <f t="shared" si="4"/>
        <v>87</v>
      </c>
      <c r="DB4" s="89">
        <f t="shared" si="4"/>
        <v>88</v>
      </c>
      <c r="DC4" s="89">
        <f t="shared" si="4"/>
        <v>89</v>
      </c>
      <c r="DD4" s="89">
        <f t="shared" si="4"/>
        <v>90</v>
      </c>
      <c r="DE4" s="89">
        <f t="shared" si="4"/>
        <v>91</v>
      </c>
      <c r="DF4" s="89">
        <f t="shared" si="4"/>
        <v>92</v>
      </c>
      <c r="DG4" s="89">
        <f t="shared" si="4"/>
        <v>93</v>
      </c>
      <c r="DH4" s="89">
        <f t="shared" si="4"/>
        <v>94</v>
      </c>
      <c r="DI4" s="89">
        <f t="shared" si="4"/>
        <v>95</v>
      </c>
      <c r="DJ4" s="89">
        <f t="shared" si="4"/>
        <v>96</v>
      </c>
      <c r="DK4" s="89">
        <f t="shared" si="4"/>
        <v>97</v>
      </c>
      <c r="DL4" s="89">
        <f t="shared" si="4"/>
        <v>98</v>
      </c>
      <c r="DM4" s="89">
        <f t="shared" si="4"/>
        <v>99</v>
      </c>
      <c r="DN4" s="89">
        <f t="shared" si="4"/>
        <v>100</v>
      </c>
      <c r="DO4" s="89">
        <f t="shared" si="4"/>
        <v>101</v>
      </c>
      <c r="DP4" s="89">
        <f t="shared" si="4"/>
        <v>102</v>
      </c>
      <c r="DQ4" s="89">
        <f t="shared" si="4"/>
        <v>103</v>
      </c>
      <c r="DR4" s="89">
        <f t="shared" si="4"/>
        <v>104</v>
      </c>
      <c r="DS4" s="89">
        <f t="shared" si="4"/>
        <v>105</v>
      </c>
      <c r="DT4" s="89">
        <f t="shared" si="4"/>
        <v>106</v>
      </c>
      <c r="DU4" s="89">
        <f t="shared" si="4"/>
        <v>107</v>
      </c>
      <c r="DV4" s="89">
        <f t="shared" si="4"/>
        <v>108</v>
      </c>
      <c r="DW4" s="89">
        <f t="shared" si="4"/>
        <v>109</v>
      </c>
      <c r="DX4" s="89">
        <f t="shared" si="4"/>
        <v>110</v>
      </c>
      <c r="DY4" s="89">
        <f t="shared" si="4"/>
        <v>111</v>
      </c>
      <c r="DZ4" s="89">
        <f t="shared" si="4"/>
        <v>112</v>
      </c>
      <c r="EA4" s="89">
        <f t="shared" si="4"/>
        <v>113</v>
      </c>
      <c r="EB4" s="89">
        <f t="shared" si="4"/>
        <v>114</v>
      </c>
      <c r="EC4" s="89">
        <f t="shared" si="4"/>
        <v>115</v>
      </c>
      <c r="ED4" s="89">
        <f t="shared" si="4"/>
        <v>116</v>
      </c>
      <c r="EE4" s="89">
        <f t="shared" si="4"/>
        <v>117</v>
      </c>
      <c r="EF4" s="89">
        <f t="shared" si="4"/>
        <v>118</v>
      </c>
      <c r="EG4" s="89">
        <f t="shared" si="4"/>
        <v>119</v>
      </c>
      <c r="EH4" s="89">
        <f t="shared" si="4"/>
        <v>120</v>
      </c>
      <c r="EI4" s="89">
        <f t="shared" si="4"/>
        <v>121</v>
      </c>
      <c r="EJ4" s="89">
        <f t="shared" si="4"/>
        <v>122</v>
      </c>
      <c r="EK4" s="89">
        <f t="shared" si="4"/>
        <v>123</v>
      </c>
      <c r="EL4" s="89">
        <f t="shared" si="4"/>
        <v>124</v>
      </c>
      <c r="EM4" s="89">
        <f t="shared" si="4"/>
        <v>125</v>
      </c>
      <c r="EN4" s="89">
        <f t="shared" si="4"/>
        <v>126</v>
      </c>
      <c r="EO4" s="89">
        <f t="shared" si="4"/>
        <v>127</v>
      </c>
      <c r="EP4" s="89">
        <f t="shared" si="4"/>
        <v>128</v>
      </c>
      <c r="EQ4" s="89">
        <f t="shared" si="4"/>
        <v>129</v>
      </c>
      <c r="ER4" s="89">
        <f t="shared" si="4"/>
        <v>130</v>
      </c>
      <c r="ES4" s="89">
        <f t="shared" ref="ES4:GP4" si="5">ER4+1</f>
        <v>131</v>
      </c>
      <c r="ET4" s="89">
        <f t="shared" si="5"/>
        <v>132</v>
      </c>
      <c r="EU4" s="89">
        <f t="shared" si="5"/>
        <v>133</v>
      </c>
      <c r="EV4" s="89">
        <f t="shared" si="5"/>
        <v>134</v>
      </c>
      <c r="EW4" s="89">
        <f t="shared" si="5"/>
        <v>135</v>
      </c>
      <c r="EX4" s="89">
        <f t="shared" si="5"/>
        <v>136</v>
      </c>
      <c r="EY4" s="89">
        <f t="shared" si="5"/>
        <v>137</v>
      </c>
      <c r="EZ4" s="89">
        <f t="shared" si="5"/>
        <v>138</v>
      </c>
      <c r="FA4" s="89">
        <f t="shared" si="5"/>
        <v>139</v>
      </c>
      <c r="FB4" s="89">
        <f t="shared" si="5"/>
        <v>140</v>
      </c>
      <c r="FC4" s="89">
        <f t="shared" si="5"/>
        <v>141</v>
      </c>
      <c r="FD4" s="89">
        <f t="shared" si="5"/>
        <v>142</v>
      </c>
      <c r="FE4" s="89">
        <f t="shared" si="5"/>
        <v>143</v>
      </c>
      <c r="FF4" s="89">
        <f t="shared" si="5"/>
        <v>144</v>
      </c>
      <c r="FG4" s="89">
        <f t="shared" si="5"/>
        <v>145</v>
      </c>
      <c r="FH4" s="89">
        <f t="shared" si="5"/>
        <v>146</v>
      </c>
      <c r="FI4" s="89">
        <f t="shared" si="5"/>
        <v>147</v>
      </c>
      <c r="FJ4" s="89">
        <f t="shared" si="5"/>
        <v>148</v>
      </c>
      <c r="FK4" s="89">
        <f t="shared" si="5"/>
        <v>149</v>
      </c>
      <c r="FL4" s="89">
        <f t="shared" si="5"/>
        <v>150</v>
      </c>
      <c r="FM4" s="89">
        <f t="shared" si="5"/>
        <v>151</v>
      </c>
      <c r="FN4" s="89">
        <f t="shared" si="5"/>
        <v>152</v>
      </c>
      <c r="FO4" s="89">
        <f t="shared" si="5"/>
        <v>153</v>
      </c>
      <c r="FP4" s="89">
        <f t="shared" si="5"/>
        <v>154</v>
      </c>
      <c r="FQ4" s="89">
        <f t="shared" si="5"/>
        <v>155</v>
      </c>
      <c r="FR4" s="89">
        <f t="shared" si="5"/>
        <v>156</v>
      </c>
      <c r="FS4" s="89">
        <f t="shared" si="5"/>
        <v>157</v>
      </c>
      <c r="FT4" s="89">
        <f t="shared" si="5"/>
        <v>158</v>
      </c>
      <c r="FU4" s="89">
        <f t="shared" si="5"/>
        <v>159</v>
      </c>
      <c r="FV4" s="89">
        <f t="shared" si="5"/>
        <v>160</v>
      </c>
      <c r="FW4" s="89">
        <f t="shared" si="5"/>
        <v>161</v>
      </c>
      <c r="FX4" s="89">
        <f t="shared" si="5"/>
        <v>162</v>
      </c>
      <c r="FY4" s="89">
        <f t="shared" si="5"/>
        <v>163</v>
      </c>
      <c r="FZ4" s="89">
        <f t="shared" si="5"/>
        <v>164</v>
      </c>
      <c r="GA4" s="89">
        <f t="shared" si="5"/>
        <v>165</v>
      </c>
      <c r="GB4" s="89">
        <f t="shared" si="5"/>
        <v>166</v>
      </c>
      <c r="GC4" s="89">
        <f t="shared" si="5"/>
        <v>167</v>
      </c>
      <c r="GD4" s="89">
        <f t="shared" si="5"/>
        <v>168</v>
      </c>
      <c r="GE4" s="89">
        <f t="shared" si="5"/>
        <v>169</v>
      </c>
      <c r="GF4" s="89">
        <f t="shared" si="5"/>
        <v>170</v>
      </c>
      <c r="GG4" s="89">
        <f t="shared" si="5"/>
        <v>171</v>
      </c>
      <c r="GH4" s="89">
        <f t="shared" si="5"/>
        <v>172</v>
      </c>
      <c r="GI4" s="89">
        <f t="shared" si="5"/>
        <v>173</v>
      </c>
      <c r="GJ4" s="89">
        <f t="shared" si="5"/>
        <v>174</v>
      </c>
      <c r="GK4" s="89">
        <f t="shared" si="5"/>
        <v>175</v>
      </c>
      <c r="GL4" s="89">
        <f t="shared" si="5"/>
        <v>176</v>
      </c>
      <c r="GM4" s="89">
        <f t="shared" si="5"/>
        <v>177</v>
      </c>
      <c r="GN4" s="89">
        <f t="shared" si="5"/>
        <v>178</v>
      </c>
      <c r="GO4" s="89">
        <f t="shared" si="5"/>
        <v>179</v>
      </c>
      <c r="GP4" s="89">
        <f t="shared" si="5"/>
        <v>180</v>
      </c>
    </row>
    <row r="5" spans="2:198" ht="28.8" x14ac:dyDescent="0.3">
      <c r="B5" s="183" t="s">
        <v>148</v>
      </c>
      <c r="C5" s="123" t="s">
        <v>153</v>
      </c>
      <c r="D5" s="123" t="s">
        <v>149</v>
      </c>
      <c r="E5" s="123" t="s">
        <v>150</v>
      </c>
      <c r="F5" s="123" t="s">
        <v>151</v>
      </c>
      <c r="G5" s="123" t="s">
        <v>152</v>
      </c>
      <c r="H5" s="123" t="s">
        <v>154</v>
      </c>
      <c r="I5" s="123" t="s">
        <v>163</v>
      </c>
      <c r="J5" s="123" t="s">
        <v>157</v>
      </c>
      <c r="K5" s="123" t="s">
        <v>158</v>
      </c>
      <c r="L5" s="123" t="s">
        <v>156</v>
      </c>
      <c r="M5" s="123" t="s">
        <v>155</v>
      </c>
      <c r="N5" s="124" t="s">
        <v>159</v>
      </c>
      <c r="O5" s="125" t="s">
        <v>160</v>
      </c>
      <c r="P5" s="125" t="s">
        <v>161</v>
      </c>
      <c r="Q5" s="90"/>
      <c r="R5" s="90" t="s">
        <v>166</v>
      </c>
      <c r="S5" s="170">
        <f>EOMONTH(Analysis_Start,0)</f>
        <v>42400</v>
      </c>
      <c r="T5" s="170">
        <f>EOMONTH(S5,1)</f>
        <v>42429</v>
      </c>
      <c r="U5" s="170">
        <f t="shared" ref="U5:CF5" si="6">EOMONTH(T5,1)</f>
        <v>42460</v>
      </c>
      <c r="V5" s="170">
        <f t="shared" si="6"/>
        <v>42490</v>
      </c>
      <c r="W5" s="170">
        <f t="shared" si="6"/>
        <v>42521</v>
      </c>
      <c r="X5" s="170">
        <f t="shared" si="6"/>
        <v>42551</v>
      </c>
      <c r="Y5" s="170">
        <f t="shared" si="6"/>
        <v>42582</v>
      </c>
      <c r="Z5" s="170">
        <f t="shared" si="6"/>
        <v>42613</v>
      </c>
      <c r="AA5" s="170">
        <f t="shared" si="6"/>
        <v>42643</v>
      </c>
      <c r="AB5" s="170">
        <f t="shared" si="6"/>
        <v>42674</v>
      </c>
      <c r="AC5" s="170">
        <f t="shared" si="6"/>
        <v>42704</v>
      </c>
      <c r="AD5" s="170">
        <f t="shared" si="6"/>
        <v>42735</v>
      </c>
      <c r="AE5" s="170">
        <f t="shared" si="6"/>
        <v>42766</v>
      </c>
      <c r="AF5" s="170">
        <f t="shared" si="6"/>
        <v>42794</v>
      </c>
      <c r="AG5" s="170">
        <f t="shared" si="6"/>
        <v>42825</v>
      </c>
      <c r="AH5" s="170">
        <f t="shared" si="6"/>
        <v>42855</v>
      </c>
      <c r="AI5" s="170">
        <f t="shared" si="6"/>
        <v>42886</v>
      </c>
      <c r="AJ5" s="170">
        <f t="shared" si="6"/>
        <v>42916</v>
      </c>
      <c r="AK5" s="170">
        <f t="shared" si="6"/>
        <v>42947</v>
      </c>
      <c r="AL5" s="170">
        <f t="shared" si="6"/>
        <v>42978</v>
      </c>
      <c r="AM5" s="170">
        <f t="shared" si="6"/>
        <v>43008</v>
      </c>
      <c r="AN5" s="170">
        <f t="shared" si="6"/>
        <v>43039</v>
      </c>
      <c r="AO5" s="170">
        <f t="shared" si="6"/>
        <v>43069</v>
      </c>
      <c r="AP5" s="170">
        <f t="shared" si="6"/>
        <v>43100</v>
      </c>
      <c r="AQ5" s="170">
        <f t="shared" si="6"/>
        <v>43131</v>
      </c>
      <c r="AR5" s="170">
        <f t="shared" si="6"/>
        <v>43159</v>
      </c>
      <c r="AS5" s="170">
        <f t="shared" si="6"/>
        <v>43190</v>
      </c>
      <c r="AT5" s="170">
        <f t="shared" si="6"/>
        <v>43220</v>
      </c>
      <c r="AU5" s="170">
        <f t="shared" si="6"/>
        <v>43251</v>
      </c>
      <c r="AV5" s="170">
        <f t="shared" si="6"/>
        <v>43281</v>
      </c>
      <c r="AW5" s="170">
        <f t="shared" si="6"/>
        <v>43312</v>
      </c>
      <c r="AX5" s="170">
        <f t="shared" si="6"/>
        <v>43343</v>
      </c>
      <c r="AY5" s="170">
        <f t="shared" si="6"/>
        <v>43373</v>
      </c>
      <c r="AZ5" s="170">
        <f t="shared" si="6"/>
        <v>43404</v>
      </c>
      <c r="BA5" s="170">
        <f t="shared" si="6"/>
        <v>43434</v>
      </c>
      <c r="BB5" s="170">
        <f t="shared" si="6"/>
        <v>43465</v>
      </c>
      <c r="BC5" s="170">
        <f t="shared" si="6"/>
        <v>43496</v>
      </c>
      <c r="BD5" s="170">
        <f t="shared" si="6"/>
        <v>43524</v>
      </c>
      <c r="BE5" s="170">
        <f t="shared" si="6"/>
        <v>43555</v>
      </c>
      <c r="BF5" s="170">
        <f t="shared" si="6"/>
        <v>43585</v>
      </c>
      <c r="BG5" s="170">
        <f t="shared" si="6"/>
        <v>43616</v>
      </c>
      <c r="BH5" s="170">
        <f t="shared" si="6"/>
        <v>43646</v>
      </c>
      <c r="BI5" s="170">
        <f t="shared" si="6"/>
        <v>43677</v>
      </c>
      <c r="BJ5" s="170">
        <f t="shared" si="6"/>
        <v>43708</v>
      </c>
      <c r="BK5" s="170">
        <f t="shared" si="6"/>
        <v>43738</v>
      </c>
      <c r="BL5" s="170">
        <f t="shared" si="6"/>
        <v>43769</v>
      </c>
      <c r="BM5" s="170">
        <f t="shared" si="6"/>
        <v>43799</v>
      </c>
      <c r="BN5" s="170">
        <f t="shared" si="6"/>
        <v>43830</v>
      </c>
      <c r="BO5" s="170">
        <f t="shared" si="6"/>
        <v>43861</v>
      </c>
      <c r="BP5" s="170">
        <f t="shared" si="6"/>
        <v>43890</v>
      </c>
      <c r="BQ5" s="170">
        <f t="shared" si="6"/>
        <v>43921</v>
      </c>
      <c r="BR5" s="170">
        <f t="shared" si="6"/>
        <v>43951</v>
      </c>
      <c r="BS5" s="170">
        <f t="shared" si="6"/>
        <v>43982</v>
      </c>
      <c r="BT5" s="170">
        <f t="shared" si="6"/>
        <v>44012</v>
      </c>
      <c r="BU5" s="170">
        <f t="shared" si="6"/>
        <v>44043</v>
      </c>
      <c r="BV5" s="170">
        <f t="shared" si="6"/>
        <v>44074</v>
      </c>
      <c r="BW5" s="170">
        <f t="shared" si="6"/>
        <v>44104</v>
      </c>
      <c r="BX5" s="170">
        <f t="shared" si="6"/>
        <v>44135</v>
      </c>
      <c r="BY5" s="170">
        <f t="shared" si="6"/>
        <v>44165</v>
      </c>
      <c r="BZ5" s="170">
        <f t="shared" si="6"/>
        <v>44196</v>
      </c>
      <c r="CA5" s="170">
        <f t="shared" si="6"/>
        <v>44227</v>
      </c>
      <c r="CB5" s="170">
        <f t="shared" si="6"/>
        <v>44255</v>
      </c>
      <c r="CC5" s="170">
        <f t="shared" si="6"/>
        <v>44286</v>
      </c>
      <c r="CD5" s="170">
        <f t="shared" si="6"/>
        <v>44316</v>
      </c>
      <c r="CE5" s="170">
        <f t="shared" si="6"/>
        <v>44347</v>
      </c>
      <c r="CF5" s="170">
        <f t="shared" si="6"/>
        <v>44377</v>
      </c>
      <c r="CG5" s="170">
        <f t="shared" ref="CG5:ER5" si="7">EOMONTH(CF5,1)</f>
        <v>44408</v>
      </c>
      <c r="CH5" s="170">
        <f t="shared" si="7"/>
        <v>44439</v>
      </c>
      <c r="CI5" s="170">
        <f t="shared" si="7"/>
        <v>44469</v>
      </c>
      <c r="CJ5" s="170">
        <f t="shared" si="7"/>
        <v>44500</v>
      </c>
      <c r="CK5" s="170">
        <f t="shared" si="7"/>
        <v>44530</v>
      </c>
      <c r="CL5" s="170">
        <f t="shared" si="7"/>
        <v>44561</v>
      </c>
      <c r="CM5" s="170">
        <f t="shared" si="7"/>
        <v>44592</v>
      </c>
      <c r="CN5" s="170">
        <f t="shared" si="7"/>
        <v>44620</v>
      </c>
      <c r="CO5" s="170">
        <f t="shared" si="7"/>
        <v>44651</v>
      </c>
      <c r="CP5" s="170">
        <f t="shared" si="7"/>
        <v>44681</v>
      </c>
      <c r="CQ5" s="170">
        <f t="shared" si="7"/>
        <v>44712</v>
      </c>
      <c r="CR5" s="170">
        <f t="shared" si="7"/>
        <v>44742</v>
      </c>
      <c r="CS5" s="170">
        <f t="shared" si="7"/>
        <v>44773</v>
      </c>
      <c r="CT5" s="170">
        <f t="shared" si="7"/>
        <v>44804</v>
      </c>
      <c r="CU5" s="170">
        <f t="shared" si="7"/>
        <v>44834</v>
      </c>
      <c r="CV5" s="170">
        <f t="shared" si="7"/>
        <v>44865</v>
      </c>
      <c r="CW5" s="170">
        <f t="shared" si="7"/>
        <v>44895</v>
      </c>
      <c r="CX5" s="170">
        <f t="shared" si="7"/>
        <v>44926</v>
      </c>
      <c r="CY5" s="170">
        <f t="shared" si="7"/>
        <v>44957</v>
      </c>
      <c r="CZ5" s="170">
        <f t="shared" si="7"/>
        <v>44985</v>
      </c>
      <c r="DA5" s="170">
        <f t="shared" si="7"/>
        <v>45016</v>
      </c>
      <c r="DB5" s="170">
        <f t="shared" si="7"/>
        <v>45046</v>
      </c>
      <c r="DC5" s="170">
        <f t="shared" si="7"/>
        <v>45077</v>
      </c>
      <c r="DD5" s="170">
        <f t="shared" si="7"/>
        <v>45107</v>
      </c>
      <c r="DE5" s="170">
        <f t="shared" si="7"/>
        <v>45138</v>
      </c>
      <c r="DF5" s="170">
        <f t="shared" si="7"/>
        <v>45169</v>
      </c>
      <c r="DG5" s="170">
        <f t="shared" si="7"/>
        <v>45199</v>
      </c>
      <c r="DH5" s="170">
        <f t="shared" si="7"/>
        <v>45230</v>
      </c>
      <c r="DI5" s="170">
        <f t="shared" si="7"/>
        <v>45260</v>
      </c>
      <c r="DJ5" s="170">
        <f t="shared" si="7"/>
        <v>45291</v>
      </c>
      <c r="DK5" s="170">
        <f t="shared" si="7"/>
        <v>45322</v>
      </c>
      <c r="DL5" s="170">
        <f t="shared" si="7"/>
        <v>45351</v>
      </c>
      <c r="DM5" s="170">
        <f t="shared" si="7"/>
        <v>45382</v>
      </c>
      <c r="DN5" s="170">
        <f t="shared" si="7"/>
        <v>45412</v>
      </c>
      <c r="DO5" s="170">
        <f t="shared" si="7"/>
        <v>45443</v>
      </c>
      <c r="DP5" s="170">
        <f t="shared" si="7"/>
        <v>45473</v>
      </c>
      <c r="DQ5" s="170">
        <f t="shared" si="7"/>
        <v>45504</v>
      </c>
      <c r="DR5" s="170">
        <f t="shared" si="7"/>
        <v>45535</v>
      </c>
      <c r="DS5" s="170">
        <f t="shared" si="7"/>
        <v>45565</v>
      </c>
      <c r="DT5" s="170">
        <f t="shared" si="7"/>
        <v>45596</v>
      </c>
      <c r="DU5" s="170">
        <f t="shared" si="7"/>
        <v>45626</v>
      </c>
      <c r="DV5" s="170">
        <f t="shared" si="7"/>
        <v>45657</v>
      </c>
      <c r="DW5" s="170">
        <f t="shared" si="7"/>
        <v>45688</v>
      </c>
      <c r="DX5" s="170">
        <f t="shared" si="7"/>
        <v>45716</v>
      </c>
      <c r="DY5" s="170">
        <f t="shared" si="7"/>
        <v>45747</v>
      </c>
      <c r="DZ5" s="170">
        <f t="shared" si="7"/>
        <v>45777</v>
      </c>
      <c r="EA5" s="170">
        <f t="shared" si="7"/>
        <v>45808</v>
      </c>
      <c r="EB5" s="170">
        <f t="shared" si="7"/>
        <v>45838</v>
      </c>
      <c r="EC5" s="170">
        <f t="shared" si="7"/>
        <v>45869</v>
      </c>
      <c r="ED5" s="170">
        <f t="shared" si="7"/>
        <v>45900</v>
      </c>
      <c r="EE5" s="170">
        <f t="shared" si="7"/>
        <v>45930</v>
      </c>
      <c r="EF5" s="170">
        <f t="shared" si="7"/>
        <v>45961</v>
      </c>
      <c r="EG5" s="170">
        <f t="shared" si="7"/>
        <v>45991</v>
      </c>
      <c r="EH5" s="170">
        <f t="shared" si="7"/>
        <v>46022</v>
      </c>
      <c r="EI5" s="170">
        <f t="shared" si="7"/>
        <v>46053</v>
      </c>
      <c r="EJ5" s="170">
        <f t="shared" si="7"/>
        <v>46081</v>
      </c>
      <c r="EK5" s="170">
        <f t="shared" si="7"/>
        <v>46112</v>
      </c>
      <c r="EL5" s="170">
        <f t="shared" si="7"/>
        <v>46142</v>
      </c>
      <c r="EM5" s="170">
        <f t="shared" si="7"/>
        <v>46173</v>
      </c>
      <c r="EN5" s="170">
        <f t="shared" si="7"/>
        <v>46203</v>
      </c>
      <c r="EO5" s="170">
        <f t="shared" si="7"/>
        <v>46234</v>
      </c>
      <c r="EP5" s="170">
        <f t="shared" si="7"/>
        <v>46265</v>
      </c>
      <c r="EQ5" s="170">
        <f t="shared" si="7"/>
        <v>46295</v>
      </c>
      <c r="ER5" s="170">
        <f t="shared" si="7"/>
        <v>46326</v>
      </c>
      <c r="ES5" s="170">
        <f t="shared" ref="ES5:GP5" si="8">EOMONTH(ER5,1)</f>
        <v>46356</v>
      </c>
      <c r="ET5" s="170">
        <f t="shared" si="8"/>
        <v>46387</v>
      </c>
      <c r="EU5" s="170">
        <f t="shared" si="8"/>
        <v>46418</v>
      </c>
      <c r="EV5" s="170">
        <f t="shared" si="8"/>
        <v>46446</v>
      </c>
      <c r="EW5" s="170">
        <f t="shared" si="8"/>
        <v>46477</v>
      </c>
      <c r="EX5" s="170">
        <f t="shared" si="8"/>
        <v>46507</v>
      </c>
      <c r="EY5" s="170">
        <f t="shared" si="8"/>
        <v>46538</v>
      </c>
      <c r="EZ5" s="170">
        <f t="shared" si="8"/>
        <v>46568</v>
      </c>
      <c r="FA5" s="170">
        <f t="shared" si="8"/>
        <v>46599</v>
      </c>
      <c r="FB5" s="170">
        <f t="shared" si="8"/>
        <v>46630</v>
      </c>
      <c r="FC5" s="170">
        <f t="shared" si="8"/>
        <v>46660</v>
      </c>
      <c r="FD5" s="170">
        <f t="shared" si="8"/>
        <v>46691</v>
      </c>
      <c r="FE5" s="170">
        <f t="shared" si="8"/>
        <v>46721</v>
      </c>
      <c r="FF5" s="170">
        <f t="shared" si="8"/>
        <v>46752</v>
      </c>
      <c r="FG5" s="170">
        <f t="shared" si="8"/>
        <v>46783</v>
      </c>
      <c r="FH5" s="170">
        <f t="shared" si="8"/>
        <v>46812</v>
      </c>
      <c r="FI5" s="170">
        <f t="shared" si="8"/>
        <v>46843</v>
      </c>
      <c r="FJ5" s="170">
        <f t="shared" si="8"/>
        <v>46873</v>
      </c>
      <c r="FK5" s="170">
        <f t="shared" si="8"/>
        <v>46904</v>
      </c>
      <c r="FL5" s="170">
        <f t="shared" si="8"/>
        <v>46934</v>
      </c>
      <c r="FM5" s="170">
        <f t="shared" si="8"/>
        <v>46965</v>
      </c>
      <c r="FN5" s="170">
        <f t="shared" si="8"/>
        <v>46996</v>
      </c>
      <c r="FO5" s="170">
        <f t="shared" si="8"/>
        <v>47026</v>
      </c>
      <c r="FP5" s="170">
        <f t="shared" si="8"/>
        <v>47057</v>
      </c>
      <c r="FQ5" s="170">
        <f t="shared" si="8"/>
        <v>47087</v>
      </c>
      <c r="FR5" s="170">
        <f t="shared" si="8"/>
        <v>47118</v>
      </c>
      <c r="FS5" s="170">
        <f t="shared" si="8"/>
        <v>47149</v>
      </c>
      <c r="FT5" s="170">
        <f t="shared" si="8"/>
        <v>47177</v>
      </c>
      <c r="FU5" s="170">
        <f t="shared" si="8"/>
        <v>47208</v>
      </c>
      <c r="FV5" s="170">
        <f t="shared" si="8"/>
        <v>47238</v>
      </c>
      <c r="FW5" s="170">
        <f t="shared" si="8"/>
        <v>47269</v>
      </c>
      <c r="FX5" s="170">
        <f t="shared" si="8"/>
        <v>47299</v>
      </c>
      <c r="FY5" s="170">
        <f t="shared" si="8"/>
        <v>47330</v>
      </c>
      <c r="FZ5" s="170">
        <f t="shared" si="8"/>
        <v>47361</v>
      </c>
      <c r="GA5" s="170">
        <f t="shared" si="8"/>
        <v>47391</v>
      </c>
      <c r="GB5" s="170">
        <f t="shared" si="8"/>
        <v>47422</v>
      </c>
      <c r="GC5" s="170">
        <f t="shared" si="8"/>
        <v>47452</v>
      </c>
      <c r="GD5" s="170">
        <f t="shared" si="8"/>
        <v>47483</v>
      </c>
      <c r="GE5" s="170">
        <f t="shared" si="8"/>
        <v>47514</v>
      </c>
      <c r="GF5" s="170">
        <f t="shared" si="8"/>
        <v>47542</v>
      </c>
      <c r="GG5" s="170">
        <f t="shared" si="8"/>
        <v>47573</v>
      </c>
      <c r="GH5" s="170">
        <f t="shared" si="8"/>
        <v>47603</v>
      </c>
      <c r="GI5" s="170">
        <f t="shared" si="8"/>
        <v>47634</v>
      </c>
      <c r="GJ5" s="170">
        <f t="shared" si="8"/>
        <v>47664</v>
      </c>
      <c r="GK5" s="170">
        <f t="shared" si="8"/>
        <v>47695</v>
      </c>
      <c r="GL5" s="170">
        <f t="shared" si="8"/>
        <v>47726</v>
      </c>
      <c r="GM5" s="170">
        <f t="shared" si="8"/>
        <v>47756</v>
      </c>
      <c r="GN5" s="170">
        <f t="shared" si="8"/>
        <v>47787</v>
      </c>
      <c r="GO5" s="170">
        <f t="shared" si="8"/>
        <v>47817</v>
      </c>
      <c r="GP5" s="170">
        <f t="shared" si="8"/>
        <v>47848</v>
      </c>
    </row>
    <row r="6" spans="2:198" x14ac:dyDescent="0.3">
      <c r="B6" s="184" t="str">
        <f>'MF Rent Roll'!B5</f>
        <v>Studio</v>
      </c>
      <c r="C6" s="171">
        <f>'MF Rent Roll'!C5</f>
        <v>40</v>
      </c>
      <c r="D6" s="172">
        <f>'MF Rent Roll'!D5</f>
        <v>0</v>
      </c>
      <c r="E6" s="172">
        <f>'MF Rent Roll'!E5</f>
        <v>1</v>
      </c>
      <c r="F6" s="173">
        <f>'MF Rent Roll'!F5</f>
        <v>430</v>
      </c>
      <c r="G6" s="174">
        <f>'MF Rent Roll'!G5</f>
        <v>510</v>
      </c>
      <c r="H6" s="176">
        <f>'MF Rent Roll'!J5</f>
        <v>12</v>
      </c>
      <c r="I6" s="174">
        <f>'MF Rent Roll'!K5</f>
        <v>50</v>
      </c>
      <c r="J6" s="177">
        <f>'MF Rent Roll'!L5</f>
        <v>0</v>
      </c>
      <c r="K6" s="178">
        <f>'MF Rent Roll'!M5</f>
        <v>20</v>
      </c>
      <c r="L6" s="174">
        <f>'MF Rent Roll'!N5</f>
        <v>300</v>
      </c>
      <c r="M6" s="179">
        <f>'MF Rent Roll'!O5</f>
        <v>0.6</v>
      </c>
      <c r="N6" s="180">
        <f>'MF Rent Roll'!P5</f>
        <v>0</v>
      </c>
      <c r="O6" s="181">
        <f>'MF Rent Roll'!Q5</f>
        <v>8</v>
      </c>
      <c r="P6" s="104">
        <f>'MF Rent Roll'!R5</f>
        <v>120</v>
      </c>
      <c r="S6" s="149">
        <f>IF($B6=0,"",$N6*'MF Rents'!U6*'MF Rollover'!R6)</f>
        <v>0</v>
      </c>
      <c r="T6" s="149">
        <f>IF($B6=0,"",$N6*'MF Rents'!V6*'MF Rollover'!S6)</f>
        <v>0</v>
      </c>
      <c r="U6" s="149">
        <f>IF($B6=0,"",$N6*'MF Rents'!W6*'MF Rollover'!T6)</f>
        <v>0</v>
      </c>
      <c r="V6" s="149">
        <f>IF($B6=0,"",$N6*'MF Rents'!X6*'MF Rollover'!U6)</f>
        <v>0</v>
      </c>
      <c r="W6" s="149">
        <f>IF($B6=0,"",$N6*'MF Rents'!Y6*'MF Rollover'!V6)</f>
        <v>0</v>
      </c>
      <c r="X6" s="149">
        <f>IF($B6=0,"",$N6*'MF Rents'!Z6*'MF Rollover'!W6)</f>
        <v>0</v>
      </c>
      <c r="Y6" s="149">
        <f>IF($B6=0,"",$N6*'MF Rents'!AA6*'MF Rollover'!X6)</f>
        <v>0</v>
      </c>
      <c r="Z6" s="149">
        <f>IF($B6=0,"",$N6*'MF Rents'!AB6*'MF Rollover'!Y6)</f>
        <v>0</v>
      </c>
      <c r="AA6" s="149">
        <f>IF($B6=0,"",$N6*'MF Rents'!AC6*'MF Rollover'!Z6)</f>
        <v>0</v>
      </c>
      <c r="AB6" s="149">
        <f>IF($B6=0,"",$N6*'MF Rents'!AD6*'MF Rollover'!AA6)</f>
        <v>0</v>
      </c>
      <c r="AC6" s="149">
        <f>IF($B6=0,"",$N6*'MF Rents'!AE6*'MF Rollover'!AB6)</f>
        <v>0</v>
      </c>
      <c r="AD6" s="149">
        <f>IF($B6=0,"",$N6*'MF Rents'!AF6*'MF Rollover'!AC6)</f>
        <v>0</v>
      </c>
      <c r="AE6" s="149">
        <f>IF($B6=0,"",$N6*'MF Rents'!AG6*'MF Rollover'!AD6)</f>
        <v>0</v>
      </c>
      <c r="AF6" s="149">
        <f>IF($B6=0,"",$N6*'MF Rents'!AH6*'MF Rollover'!AE6)</f>
        <v>0</v>
      </c>
      <c r="AG6" s="149">
        <f>IF($B6=0,"",$N6*'MF Rents'!AI6*'MF Rollover'!AF6)</f>
        <v>0</v>
      </c>
      <c r="AH6" s="149">
        <f>IF($B6=0,"",$N6*'MF Rents'!AJ6*'MF Rollover'!AG6)</f>
        <v>0</v>
      </c>
      <c r="AI6" s="149">
        <f>IF($B6=0,"",$N6*'MF Rents'!AK6*'MF Rollover'!AH6)</f>
        <v>0</v>
      </c>
      <c r="AJ6" s="149">
        <f>IF($B6=0,"",$N6*'MF Rents'!AL6*'MF Rollover'!AI6)</f>
        <v>0</v>
      </c>
      <c r="AK6" s="149">
        <f>IF($B6=0,"",$N6*'MF Rents'!AM6*'MF Rollover'!AJ6)</f>
        <v>0</v>
      </c>
      <c r="AL6" s="149">
        <f>IF($B6=0,"",$N6*'MF Rents'!AN6*'MF Rollover'!AK6)</f>
        <v>0</v>
      </c>
      <c r="AM6" s="149">
        <f>IF($B6=0,"",$N6*'MF Rents'!AO6*'MF Rollover'!AL6)</f>
        <v>0</v>
      </c>
      <c r="AN6" s="149">
        <f>IF($B6=0,"",$N6*'MF Rents'!AP6*'MF Rollover'!AM6)</f>
        <v>0</v>
      </c>
      <c r="AO6" s="149">
        <f>IF($B6=0,"",$N6*'MF Rents'!AQ6*'MF Rollover'!AN6)</f>
        <v>0</v>
      </c>
      <c r="AP6" s="149">
        <f>IF($B6=0,"",$N6*'MF Rents'!AR6*'MF Rollover'!AO6)</f>
        <v>0</v>
      </c>
      <c r="AQ6" s="149">
        <f>IF($B6=0,"",$N6*'MF Rents'!AS6*'MF Rollover'!AP6)</f>
        <v>0</v>
      </c>
      <c r="AR6" s="149">
        <f>IF($B6=0,"",$N6*'MF Rents'!AT6*'MF Rollover'!AQ6)</f>
        <v>0</v>
      </c>
      <c r="AS6" s="149">
        <f>IF($B6=0,"",$N6*'MF Rents'!AU6*'MF Rollover'!AR6)</f>
        <v>0</v>
      </c>
      <c r="AT6" s="149">
        <f>IF($B6=0,"",$N6*'MF Rents'!AV6*'MF Rollover'!AS6)</f>
        <v>0</v>
      </c>
      <c r="AU6" s="149">
        <f>IF($B6=0,"",$N6*'MF Rents'!AW6*'MF Rollover'!AT6)</f>
        <v>0</v>
      </c>
      <c r="AV6" s="149">
        <f>IF($B6=0,"",$N6*'MF Rents'!AX6*'MF Rollover'!AU6)</f>
        <v>0</v>
      </c>
      <c r="AW6" s="149">
        <f>IF($B6=0,"",$N6*'MF Rents'!AY6*'MF Rollover'!AV6)</f>
        <v>0</v>
      </c>
      <c r="AX6" s="149">
        <f>IF($B6=0,"",$N6*'MF Rents'!AZ6*'MF Rollover'!AW6)</f>
        <v>0</v>
      </c>
      <c r="AY6" s="149">
        <f>IF($B6=0,"",$N6*'MF Rents'!BA6*'MF Rollover'!AX6)</f>
        <v>0</v>
      </c>
      <c r="AZ6" s="149">
        <f>IF($B6=0,"",$N6*'MF Rents'!BB6*'MF Rollover'!AY6)</f>
        <v>0</v>
      </c>
      <c r="BA6" s="149">
        <f>IF($B6=0,"",$N6*'MF Rents'!BC6*'MF Rollover'!AZ6)</f>
        <v>0</v>
      </c>
      <c r="BB6" s="149">
        <f>IF($B6=0,"",$N6*'MF Rents'!BD6*'MF Rollover'!BA6)</f>
        <v>0</v>
      </c>
      <c r="BC6" s="149">
        <f>IF($B6=0,"",$N6*'MF Rents'!BE6*'MF Rollover'!BB6)</f>
        <v>0</v>
      </c>
      <c r="BD6" s="149">
        <f>IF($B6=0,"",$N6*'MF Rents'!BF6*'MF Rollover'!BC6)</f>
        <v>0</v>
      </c>
      <c r="BE6" s="149">
        <f>IF($B6=0,"",$N6*'MF Rents'!BG6*'MF Rollover'!BD6)</f>
        <v>0</v>
      </c>
      <c r="BF6" s="149">
        <f>IF($B6=0,"",$N6*'MF Rents'!BH6*'MF Rollover'!BE6)</f>
        <v>0</v>
      </c>
      <c r="BG6" s="149">
        <f>IF($B6=0,"",$N6*'MF Rents'!BI6*'MF Rollover'!BF6)</f>
        <v>0</v>
      </c>
      <c r="BH6" s="149">
        <f>IF($B6=0,"",$N6*'MF Rents'!BJ6*'MF Rollover'!BG6)</f>
        <v>0</v>
      </c>
      <c r="BI6" s="149">
        <f>IF($B6=0,"",$N6*'MF Rents'!BK6*'MF Rollover'!BH6)</f>
        <v>0</v>
      </c>
      <c r="BJ6" s="149">
        <f>IF($B6=0,"",$N6*'MF Rents'!BL6*'MF Rollover'!BI6)</f>
        <v>0</v>
      </c>
      <c r="BK6" s="149">
        <f>IF($B6=0,"",$N6*'MF Rents'!BM6*'MF Rollover'!BJ6)</f>
        <v>0</v>
      </c>
      <c r="BL6" s="149">
        <f>IF($B6=0,"",$N6*'MF Rents'!BN6*'MF Rollover'!BK6)</f>
        <v>0</v>
      </c>
      <c r="BM6" s="149">
        <f>IF($B6=0,"",$N6*'MF Rents'!BO6*'MF Rollover'!BL6)</f>
        <v>0</v>
      </c>
      <c r="BN6" s="149">
        <f>IF($B6=0,"",$N6*'MF Rents'!BP6*'MF Rollover'!BM6)</f>
        <v>0</v>
      </c>
      <c r="BO6" s="149">
        <f>IF($B6=0,"",$N6*'MF Rents'!BQ6*'MF Rollover'!BN6)</f>
        <v>0</v>
      </c>
      <c r="BP6" s="149">
        <f>IF($B6=0,"",$N6*'MF Rents'!BR6*'MF Rollover'!BO6)</f>
        <v>0</v>
      </c>
      <c r="BQ6" s="149">
        <f>IF($B6=0,"",$N6*'MF Rents'!BS6*'MF Rollover'!BP6)</f>
        <v>0</v>
      </c>
      <c r="BR6" s="149">
        <f>IF($B6=0,"",$N6*'MF Rents'!BT6*'MF Rollover'!BQ6)</f>
        <v>0</v>
      </c>
      <c r="BS6" s="149">
        <f>IF($B6=0,"",$N6*'MF Rents'!BU6*'MF Rollover'!BR6)</f>
        <v>0</v>
      </c>
      <c r="BT6" s="149">
        <f>IF($B6=0,"",$N6*'MF Rents'!BV6*'MF Rollover'!BS6)</f>
        <v>0</v>
      </c>
      <c r="BU6" s="149">
        <f>IF($B6=0,"",$N6*'MF Rents'!BW6*'MF Rollover'!BT6)</f>
        <v>0</v>
      </c>
      <c r="BV6" s="149">
        <f>IF($B6=0,"",$N6*'MF Rents'!BX6*'MF Rollover'!BU6)</f>
        <v>0</v>
      </c>
      <c r="BW6" s="149">
        <f>IF($B6=0,"",$N6*'MF Rents'!BY6*'MF Rollover'!BV6)</f>
        <v>0</v>
      </c>
      <c r="BX6" s="149">
        <f>IF($B6=0,"",$N6*'MF Rents'!BZ6*'MF Rollover'!BW6)</f>
        <v>0</v>
      </c>
      <c r="BY6" s="149">
        <f>IF($B6=0,"",$N6*'MF Rents'!CA6*'MF Rollover'!BX6)</f>
        <v>0</v>
      </c>
      <c r="BZ6" s="149">
        <f>IF($B6=0,"",$N6*'MF Rents'!CB6*'MF Rollover'!BY6)</f>
        <v>0</v>
      </c>
      <c r="CA6" s="149">
        <f>IF($B6=0,"",$N6*'MF Rents'!CC6*'MF Rollover'!BZ6)</f>
        <v>0</v>
      </c>
      <c r="CB6" s="149">
        <f>IF($B6=0,"",$N6*'MF Rents'!CD6*'MF Rollover'!CA6)</f>
        <v>0</v>
      </c>
      <c r="CC6" s="149">
        <f>IF($B6=0,"",$N6*'MF Rents'!CE6*'MF Rollover'!CB6)</f>
        <v>0</v>
      </c>
      <c r="CD6" s="149">
        <f>IF($B6=0,"",$N6*'MF Rents'!CF6*'MF Rollover'!CC6)</f>
        <v>0</v>
      </c>
      <c r="CE6" s="149">
        <f>IF($B6=0,"",$N6*'MF Rents'!CG6*'MF Rollover'!CD6)</f>
        <v>0</v>
      </c>
      <c r="CF6" s="149">
        <f>IF($B6=0,"",$N6*'MF Rents'!CH6*'MF Rollover'!CE6)</f>
        <v>0</v>
      </c>
      <c r="CG6" s="149">
        <f>IF($B6=0,"",$N6*'MF Rents'!CI6*'MF Rollover'!CF6)</f>
        <v>0</v>
      </c>
      <c r="CH6" s="149">
        <f>IF($B6=0,"",$N6*'MF Rents'!CJ6*'MF Rollover'!CG6)</f>
        <v>0</v>
      </c>
      <c r="CI6" s="149">
        <f>IF($B6=0,"",$N6*'MF Rents'!CK6*'MF Rollover'!CH6)</f>
        <v>0</v>
      </c>
      <c r="CJ6" s="149">
        <f>IF($B6=0,"",$N6*'MF Rents'!CL6*'MF Rollover'!CI6)</f>
        <v>0</v>
      </c>
      <c r="CK6" s="149">
        <f>IF($B6=0,"",$N6*'MF Rents'!CM6*'MF Rollover'!CJ6)</f>
        <v>0</v>
      </c>
      <c r="CL6" s="149">
        <f>IF($B6=0,"",$N6*'MF Rents'!CN6*'MF Rollover'!CK6)</f>
        <v>0</v>
      </c>
      <c r="CM6" s="149">
        <f>IF($B6=0,"",$N6*'MF Rents'!CO6*'MF Rollover'!CL6)</f>
        <v>0</v>
      </c>
      <c r="CN6" s="149">
        <f>IF($B6=0,"",$N6*'MF Rents'!CP6*'MF Rollover'!CM6)</f>
        <v>0</v>
      </c>
      <c r="CO6" s="149">
        <f>IF($B6=0,"",$N6*'MF Rents'!CQ6*'MF Rollover'!CN6)</f>
        <v>0</v>
      </c>
      <c r="CP6" s="149">
        <f>IF($B6=0,"",$N6*'MF Rents'!CR6*'MF Rollover'!CO6)</f>
        <v>0</v>
      </c>
      <c r="CQ6" s="149">
        <f>IF($B6=0,"",$N6*'MF Rents'!CS6*'MF Rollover'!CP6)</f>
        <v>0</v>
      </c>
      <c r="CR6" s="149">
        <f>IF($B6=0,"",$N6*'MF Rents'!CT6*'MF Rollover'!CQ6)</f>
        <v>0</v>
      </c>
      <c r="CS6" s="149">
        <f>IF($B6=0,"",$N6*'MF Rents'!CU6*'MF Rollover'!CR6)</f>
        <v>0</v>
      </c>
      <c r="CT6" s="149">
        <f>IF($B6=0,"",$N6*'MF Rents'!CV6*'MF Rollover'!CS6)</f>
        <v>0</v>
      </c>
      <c r="CU6" s="149">
        <f>IF($B6=0,"",$N6*'MF Rents'!CW6*'MF Rollover'!CT6)</f>
        <v>0</v>
      </c>
      <c r="CV6" s="149">
        <f>IF($B6=0,"",$N6*'MF Rents'!CX6*'MF Rollover'!CU6)</f>
        <v>0</v>
      </c>
      <c r="CW6" s="149">
        <f>IF($B6=0,"",$N6*'MF Rents'!CY6*'MF Rollover'!CV6)</f>
        <v>0</v>
      </c>
      <c r="CX6" s="149">
        <f>IF($B6=0,"",$N6*'MF Rents'!CZ6*'MF Rollover'!CW6)</f>
        <v>0</v>
      </c>
      <c r="CY6" s="149">
        <f>IF($B6=0,"",$N6*'MF Rents'!DA6*'MF Rollover'!CX6)</f>
        <v>0</v>
      </c>
      <c r="CZ6" s="149">
        <f>IF($B6=0,"",$N6*'MF Rents'!DB6*'MF Rollover'!CY6)</f>
        <v>0</v>
      </c>
      <c r="DA6" s="149">
        <f>IF($B6=0,"",$N6*'MF Rents'!DC6*'MF Rollover'!CZ6)</f>
        <v>0</v>
      </c>
      <c r="DB6" s="149">
        <f>IF($B6=0,"",$N6*'MF Rents'!DD6*'MF Rollover'!DA6)</f>
        <v>0</v>
      </c>
      <c r="DC6" s="149">
        <f>IF($B6=0,"",$N6*'MF Rents'!DE6*'MF Rollover'!DB6)</f>
        <v>0</v>
      </c>
      <c r="DD6" s="149">
        <f>IF($B6=0,"",$N6*'MF Rents'!DF6*'MF Rollover'!DC6)</f>
        <v>0</v>
      </c>
      <c r="DE6" s="149">
        <f>IF($B6=0,"",$N6*'MF Rents'!DG6*'MF Rollover'!DD6)</f>
        <v>0</v>
      </c>
      <c r="DF6" s="149">
        <f>IF($B6=0,"",$N6*'MF Rents'!DH6*'MF Rollover'!DE6)</f>
        <v>0</v>
      </c>
      <c r="DG6" s="149">
        <f>IF($B6=0,"",$N6*'MF Rents'!DI6*'MF Rollover'!DF6)</f>
        <v>0</v>
      </c>
      <c r="DH6" s="149">
        <f>IF($B6=0,"",$N6*'MF Rents'!DJ6*'MF Rollover'!DG6)</f>
        <v>0</v>
      </c>
      <c r="DI6" s="149">
        <f>IF($B6=0,"",$N6*'MF Rents'!DK6*'MF Rollover'!DH6)</f>
        <v>0</v>
      </c>
      <c r="DJ6" s="149">
        <f>IF($B6=0,"",$N6*'MF Rents'!DL6*'MF Rollover'!DI6)</f>
        <v>0</v>
      </c>
      <c r="DK6" s="149">
        <f>IF($B6=0,"",$N6*'MF Rents'!DM6*'MF Rollover'!DJ6)</f>
        <v>0</v>
      </c>
      <c r="DL6" s="149">
        <f>IF($B6=0,"",$N6*'MF Rents'!DN6*'MF Rollover'!DK6)</f>
        <v>0</v>
      </c>
      <c r="DM6" s="149">
        <f>IF($B6=0,"",$N6*'MF Rents'!DO6*'MF Rollover'!DL6)</f>
        <v>0</v>
      </c>
      <c r="DN6" s="149">
        <f>IF($B6=0,"",$N6*'MF Rents'!DP6*'MF Rollover'!DM6)</f>
        <v>0</v>
      </c>
      <c r="DO6" s="149">
        <f>IF($B6=0,"",$N6*'MF Rents'!DQ6*'MF Rollover'!DN6)</f>
        <v>0</v>
      </c>
      <c r="DP6" s="149">
        <f>IF($B6=0,"",$N6*'MF Rents'!DR6*'MF Rollover'!DO6)</f>
        <v>0</v>
      </c>
      <c r="DQ6" s="149">
        <f>IF($B6=0,"",$N6*'MF Rents'!DS6*'MF Rollover'!DP6)</f>
        <v>0</v>
      </c>
      <c r="DR6" s="149">
        <f>IF($B6=0,"",$N6*'MF Rents'!DT6*'MF Rollover'!DQ6)</f>
        <v>0</v>
      </c>
      <c r="DS6" s="149">
        <f>IF($B6=0,"",$N6*'MF Rents'!DU6*'MF Rollover'!DR6)</f>
        <v>0</v>
      </c>
      <c r="DT6" s="149">
        <f>IF($B6=0,"",$N6*'MF Rents'!DV6*'MF Rollover'!DS6)</f>
        <v>0</v>
      </c>
      <c r="DU6" s="149">
        <f>IF($B6=0,"",$N6*'MF Rents'!DW6*'MF Rollover'!DT6)</f>
        <v>0</v>
      </c>
      <c r="DV6" s="149">
        <f>IF($B6=0,"",$N6*'MF Rents'!DX6*'MF Rollover'!DU6)</f>
        <v>0</v>
      </c>
      <c r="DW6" s="149">
        <f>IF($B6=0,"",$N6*'MF Rents'!DY6*'MF Rollover'!DV6)</f>
        <v>0</v>
      </c>
      <c r="DX6" s="149">
        <f>IF($B6=0,"",$N6*'MF Rents'!DZ6*'MF Rollover'!DW6)</f>
        <v>0</v>
      </c>
      <c r="DY6" s="149">
        <f>IF($B6=0,"",$N6*'MF Rents'!EA6*'MF Rollover'!DX6)</f>
        <v>0</v>
      </c>
      <c r="DZ6" s="149">
        <f>IF($B6=0,"",$N6*'MF Rents'!EB6*'MF Rollover'!DY6)</f>
        <v>0</v>
      </c>
      <c r="EA6" s="149">
        <f>IF($B6=0,"",$N6*'MF Rents'!EC6*'MF Rollover'!DZ6)</f>
        <v>0</v>
      </c>
      <c r="EB6" s="149">
        <f>IF($B6=0,"",$N6*'MF Rents'!ED6*'MF Rollover'!EA6)</f>
        <v>0</v>
      </c>
      <c r="EC6" s="149">
        <f>IF($B6=0,"",$N6*'MF Rents'!EE6*'MF Rollover'!EB6)</f>
        <v>0</v>
      </c>
      <c r="ED6" s="149">
        <f>IF($B6=0,"",$N6*'MF Rents'!EF6*'MF Rollover'!EC6)</f>
        <v>0</v>
      </c>
      <c r="EE6" s="149">
        <f>IF($B6=0,"",$N6*'MF Rents'!EG6*'MF Rollover'!ED6)</f>
        <v>0</v>
      </c>
      <c r="EF6" s="149">
        <f>IF($B6=0,"",$N6*'MF Rents'!EH6*'MF Rollover'!EE6)</f>
        <v>0</v>
      </c>
      <c r="EG6" s="149">
        <f>IF($B6=0,"",$N6*'MF Rents'!EI6*'MF Rollover'!EF6)</f>
        <v>0</v>
      </c>
      <c r="EH6" s="149">
        <f>IF($B6=0,"",$N6*'MF Rents'!EJ6*'MF Rollover'!EG6)</f>
        <v>0</v>
      </c>
      <c r="EI6" s="149">
        <f>IF($B6=0,"",$N6*'MF Rents'!EK6*'MF Rollover'!EH6)</f>
        <v>0</v>
      </c>
      <c r="EJ6" s="149">
        <f>IF($B6=0,"",$N6*'MF Rents'!EL6*'MF Rollover'!EI6)</f>
        <v>0</v>
      </c>
      <c r="EK6" s="149">
        <f>IF($B6=0,"",$N6*'MF Rents'!EM6*'MF Rollover'!EJ6)</f>
        <v>0</v>
      </c>
      <c r="EL6" s="149">
        <f>IF($B6=0,"",$N6*'MF Rents'!EN6*'MF Rollover'!EK6)</f>
        <v>0</v>
      </c>
      <c r="EM6" s="149">
        <f>IF($B6=0,"",$N6*'MF Rents'!EO6*'MF Rollover'!EL6)</f>
        <v>0</v>
      </c>
      <c r="EN6" s="149">
        <f>IF($B6=0,"",$N6*'MF Rents'!EP6*'MF Rollover'!EM6)</f>
        <v>0</v>
      </c>
      <c r="EO6" s="149">
        <f>IF($B6=0,"",$N6*'MF Rents'!EQ6*'MF Rollover'!EN6)</f>
        <v>0</v>
      </c>
      <c r="EP6" s="149">
        <f>IF($B6=0,"",$N6*'MF Rents'!ER6*'MF Rollover'!EO6)</f>
        <v>0</v>
      </c>
      <c r="EQ6" s="149">
        <f>IF($B6=0,"",$N6*'MF Rents'!ES6*'MF Rollover'!EP6)</f>
        <v>0</v>
      </c>
      <c r="ER6" s="149">
        <f>IF($B6=0,"",$N6*'MF Rents'!ET6*'MF Rollover'!EQ6)</f>
        <v>0</v>
      </c>
      <c r="ES6" s="149">
        <f>IF($B6=0,"",$N6*'MF Rents'!EU6*'MF Rollover'!ER6)</f>
        <v>0</v>
      </c>
      <c r="ET6" s="149">
        <f>IF($B6=0,"",$N6*'MF Rents'!EV6*'MF Rollover'!ES6)</f>
        <v>0</v>
      </c>
      <c r="EU6" s="149">
        <f>IF($B6=0,"",$N6*'MF Rents'!EW6*'MF Rollover'!ET6)</f>
        <v>0</v>
      </c>
      <c r="EV6" s="149">
        <f>IF($B6=0,"",$N6*'MF Rents'!EX6*'MF Rollover'!EU6)</f>
        <v>0</v>
      </c>
      <c r="EW6" s="149">
        <f>IF($B6=0,"",$N6*'MF Rents'!EY6*'MF Rollover'!EV6)</f>
        <v>0</v>
      </c>
      <c r="EX6" s="149">
        <f>IF($B6=0,"",$N6*'MF Rents'!EZ6*'MF Rollover'!EW6)</f>
        <v>0</v>
      </c>
      <c r="EY6" s="149">
        <f>IF($B6=0,"",$N6*'MF Rents'!FA6*'MF Rollover'!EX6)</f>
        <v>0</v>
      </c>
      <c r="EZ6" s="149">
        <f>IF($B6=0,"",$N6*'MF Rents'!FB6*'MF Rollover'!EY6)</f>
        <v>0</v>
      </c>
      <c r="FA6" s="149">
        <f>IF($B6=0,"",$N6*'MF Rents'!FC6*'MF Rollover'!EZ6)</f>
        <v>0</v>
      </c>
      <c r="FB6" s="149">
        <f>IF($B6=0,"",$N6*'MF Rents'!FD6*'MF Rollover'!FA6)</f>
        <v>0</v>
      </c>
      <c r="FC6" s="149">
        <f>IF($B6=0,"",$N6*'MF Rents'!FE6*'MF Rollover'!FB6)</f>
        <v>0</v>
      </c>
      <c r="FD6" s="149">
        <f>IF($B6=0,"",$N6*'MF Rents'!FF6*'MF Rollover'!FC6)</f>
        <v>0</v>
      </c>
      <c r="FE6" s="149">
        <f>IF($B6=0,"",$N6*'MF Rents'!FG6*'MF Rollover'!FD6)</f>
        <v>0</v>
      </c>
      <c r="FF6" s="149">
        <f>IF($B6=0,"",$N6*'MF Rents'!FH6*'MF Rollover'!FE6)</f>
        <v>0</v>
      </c>
      <c r="FG6" s="149">
        <f>IF($B6=0,"",$N6*'MF Rents'!FI6*'MF Rollover'!FF6)</f>
        <v>0</v>
      </c>
      <c r="FH6" s="149">
        <f>IF($B6=0,"",$N6*'MF Rents'!FJ6*'MF Rollover'!FG6)</f>
        <v>0</v>
      </c>
      <c r="FI6" s="149">
        <f>IF($B6=0,"",$N6*'MF Rents'!FK6*'MF Rollover'!FH6)</f>
        <v>0</v>
      </c>
      <c r="FJ6" s="149">
        <f>IF($B6=0,"",$N6*'MF Rents'!FL6*'MF Rollover'!FI6)</f>
        <v>0</v>
      </c>
      <c r="FK6" s="149">
        <f>IF($B6=0,"",$N6*'MF Rents'!FM6*'MF Rollover'!FJ6)</f>
        <v>0</v>
      </c>
      <c r="FL6" s="149">
        <f>IF($B6=0,"",$N6*'MF Rents'!FN6*'MF Rollover'!FK6)</f>
        <v>0</v>
      </c>
      <c r="FM6" s="149">
        <f>IF($B6=0,"",$N6*'MF Rents'!FO6*'MF Rollover'!FL6)</f>
        <v>0</v>
      </c>
      <c r="FN6" s="149">
        <f>IF($B6=0,"",$N6*'MF Rents'!FP6*'MF Rollover'!FM6)</f>
        <v>0</v>
      </c>
      <c r="FO6" s="149">
        <f>IF($B6=0,"",$N6*'MF Rents'!FQ6*'MF Rollover'!FN6)</f>
        <v>0</v>
      </c>
      <c r="FP6" s="149">
        <f>IF($B6=0,"",$N6*'MF Rents'!FR6*'MF Rollover'!FO6)</f>
        <v>0</v>
      </c>
      <c r="FQ6" s="149">
        <f>IF($B6=0,"",$N6*'MF Rents'!FS6*'MF Rollover'!FP6)</f>
        <v>0</v>
      </c>
      <c r="FR6" s="149">
        <f>IF($B6=0,"",$N6*'MF Rents'!FT6*'MF Rollover'!FQ6)</f>
        <v>0</v>
      </c>
      <c r="FS6" s="149">
        <f>IF($B6=0,"",$N6*'MF Rents'!FU6*'MF Rollover'!FR6)</f>
        <v>0</v>
      </c>
      <c r="FT6" s="149">
        <f>IF($B6=0,"",$N6*'MF Rents'!FV6*'MF Rollover'!FS6)</f>
        <v>0</v>
      </c>
      <c r="FU6" s="149">
        <f>IF($B6=0,"",$N6*'MF Rents'!FW6*'MF Rollover'!FT6)</f>
        <v>0</v>
      </c>
      <c r="FV6" s="149">
        <f>IF($B6=0,"",$N6*'MF Rents'!FX6*'MF Rollover'!FU6)</f>
        <v>0</v>
      </c>
      <c r="FW6" s="149">
        <f>IF($B6=0,"",$N6*'MF Rents'!FY6*'MF Rollover'!FV6)</f>
        <v>0</v>
      </c>
      <c r="FX6" s="149">
        <f>IF($B6=0,"",$N6*'MF Rents'!FZ6*'MF Rollover'!FW6)</f>
        <v>0</v>
      </c>
      <c r="FY6" s="149">
        <f>IF($B6=0,"",$N6*'MF Rents'!GA6*'MF Rollover'!FX6)</f>
        <v>0</v>
      </c>
      <c r="FZ6" s="149">
        <f>IF($B6=0,"",$N6*'MF Rents'!GB6*'MF Rollover'!FY6)</f>
        <v>0</v>
      </c>
      <c r="GA6" s="149">
        <f>IF($B6=0,"",$N6*'MF Rents'!GC6*'MF Rollover'!FZ6)</f>
        <v>0</v>
      </c>
      <c r="GB6" s="149">
        <f>IF($B6=0,"",$N6*'MF Rents'!GD6*'MF Rollover'!GA6)</f>
        <v>0</v>
      </c>
      <c r="GC6" s="149">
        <f>IF($B6=0,"",$N6*'MF Rents'!GE6*'MF Rollover'!GB6)</f>
        <v>0</v>
      </c>
      <c r="GD6" s="149">
        <f>IF($B6=0,"",$N6*'MF Rents'!GF6*'MF Rollover'!GC6)</f>
        <v>0</v>
      </c>
      <c r="GE6" s="149">
        <f>IF($B6=0,"",$N6*'MF Rents'!GG6*'MF Rollover'!GD6)</f>
        <v>0</v>
      </c>
      <c r="GF6" s="149">
        <f>IF($B6=0,"",$N6*'MF Rents'!GH6*'MF Rollover'!GE6)</f>
        <v>0</v>
      </c>
      <c r="GG6" s="149">
        <f>IF($B6=0,"",$N6*'MF Rents'!GI6*'MF Rollover'!GF6)</f>
        <v>0</v>
      </c>
      <c r="GH6" s="149">
        <f>IF($B6=0,"",$N6*'MF Rents'!GJ6*'MF Rollover'!GG6)</f>
        <v>0</v>
      </c>
      <c r="GI6" s="149">
        <f>IF($B6=0,"",$N6*'MF Rents'!GK6*'MF Rollover'!GH6)</f>
        <v>0</v>
      </c>
      <c r="GJ6" s="149">
        <f>IF($B6=0,"",$N6*'MF Rents'!GL6*'MF Rollover'!GI6)</f>
        <v>0</v>
      </c>
      <c r="GK6" s="149">
        <f>IF($B6=0,"",$N6*'MF Rents'!GM6*'MF Rollover'!GJ6)</f>
        <v>0</v>
      </c>
      <c r="GL6" s="149">
        <f>IF($B6=0,"",$N6*'MF Rents'!GN6*'MF Rollover'!GK6)</f>
        <v>0</v>
      </c>
      <c r="GM6" s="149">
        <f>IF($B6=0,"",$N6*'MF Rents'!GO6*'MF Rollover'!GL6)</f>
        <v>0</v>
      </c>
      <c r="GN6" s="149">
        <f>IF($B6=0,"",$N6*'MF Rents'!GP6*'MF Rollover'!GM6)</f>
        <v>0</v>
      </c>
      <c r="GO6" s="149">
        <f>IF($B6=0,"",$N6*'MF Rents'!GQ6*'MF Rollover'!GN6)</f>
        <v>0</v>
      </c>
      <c r="GP6" s="149">
        <f>IF($B6=0,"",$N6*'MF Rents'!GR6*'MF Rollover'!GO6)</f>
        <v>0</v>
      </c>
    </row>
    <row r="7" spans="2:198" x14ac:dyDescent="0.3">
      <c r="B7" s="184" t="str">
        <f>'MF Rent Roll'!B6</f>
        <v>1bd/1ba</v>
      </c>
      <c r="C7" s="171">
        <f>'MF Rent Roll'!C6</f>
        <v>24</v>
      </c>
      <c r="D7" s="172">
        <f>'MF Rent Roll'!D6</f>
        <v>1</v>
      </c>
      <c r="E7" s="172">
        <f>'MF Rent Roll'!E6</f>
        <v>1</v>
      </c>
      <c r="F7" s="173">
        <f>'MF Rent Roll'!F6</f>
        <v>671</v>
      </c>
      <c r="G7" s="174">
        <f>'MF Rent Roll'!G6</f>
        <v>660</v>
      </c>
      <c r="H7" s="176">
        <f>'MF Rent Roll'!J6</f>
        <v>12</v>
      </c>
      <c r="I7" s="174">
        <f>'MF Rent Roll'!K6</f>
        <v>50</v>
      </c>
      <c r="J7" s="177">
        <f>'MF Rent Roll'!L6</f>
        <v>0</v>
      </c>
      <c r="K7" s="178">
        <f>'MF Rent Roll'!M6</f>
        <v>20</v>
      </c>
      <c r="L7" s="174">
        <f>'MF Rent Roll'!N6</f>
        <v>300</v>
      </c>
      <c r="M7" s="179">
        <f>'MF Rent Roll'!O6</f>
        <v>0.6</v>
      </c>
      <c r="N7" s="180">
        <f>'MF Rent Roll'!P6</f>
        <v>0</v>
      </c>
      <c r="O7" s="181">
        <f>'MF Rent Roll'!Q6</f>
        <v>8</v>
      </c>
      <c r="P7" s="104">
        <f>'MF Rent Roll'!R6</f>
        <v>120</v>
      </c>
      <c r="S7" s="149">
        <f>IF($B7=0,"",$N7*'MF Rents'!U7*'MF Rollover'!R7)</f>
        <v>0</v>
      </c>
      <c r="T7" s="149">
        <f>IF($B7=0,"",$N7*'MF Rents'!V7*'MF Rollover'!S7)</f>
        <v>0</v>
      </c>
      <c r="U7" s="149">
        <f>IF($B7=0,"",$N7*'MF Rents'!W7*'MF Rollover'!T7)</f>
        <v>0</v>
      </c>
      <c r="V7" s="149">
        <f>IF($B7=0,"",$N7*'MF Rents'!X7*'MF Rollover'!U7)</f>
        <v>0</v>
      </c>
      <c r="W7" s="149">
        <f>IF($B7=0,"",$N7*'MF Rents'!Y7*'MF Rollover'!V7)</f>
        <v>0</v>
      </c>
      <c r="X7" s="149">
        <f>IF($B7=0,"",$N7*'MF Rents'!Z7*'MF Rollover'!W7)</f>
        <v>0</v>
      </c>
      <c r="Y7" s="149">
        <f>IF($B7=0,"",$N7*'MF Rents'!AA7*'MF Rollover'!X7)</f>
        <v>0</v>
      </c>
      <c r="Z7" s="149">
        <f>IF($B7=0,"",$N7*'MF Rents'!AB7*'MF Rollover'!Y7)</f>
        <v>0</v>
      </c>
      <c r="AA7" s="149">
        <f>IF($B7=0,"",$N7*'MF Rents'!AC7*'MF Rollover'!Z7)</f>
        <v>0</v>
      </c>
      <c r="AB7" s="149">
        <f>IF($B7=0,"",$N7*'MF Rents'!AD7*'MF Rollover'!AA7)</f>
        <v>0</v>
      </c>
      <c r="AC7" s="149">
        <f>IF($B7=0,"",$N7*'MF Rents'!AE7*'MF Rollover'!AB7)</f>
        <v>0</v>
      </c>
      <c r="AD7" s="149">
        <f>IF($B7=0,"",$N7*'MF Rents'!AF7*'MF Rollover'!AC7)</f>
        <v>0</v>
      </c>
      <c r="AE7" s="149">
        <f>IF($B7=0,"",$N7*'MF Rents'!AG7*'MF Rollover'!AD7)</f>
        <v>0</v>
      </c>
      <c r="AF7" s="149">
        <f>IF($B7=0,"",$N7*'MF Rents'!AH7*'MF Rollover'!AE7)</f>
        <v>0</v>
      </c>
      <c r="AG7" s="149">
        <f>IF($B7=0,"",$N7*'MF Rents'!AI7*'MF Rollover'!AF7)</f>
        <v>0</v>
      </c>
      <c r="AH7" s="149">
        <f>IF($B7=0,"",$N7*'MF Rents'!AJ7*'MF Rollover'!AG7)</f>
        <v>0</v>
      </c>
      <c r="AI7" s="149">
        <f>IF($B7=0,"",$N7*'MF Rents'!AK7*'MF Rollover'!AH7)</f>
        <v>0</v>
      </c>
      <c r="AJ7" s="149">
        <f>IF($B7=0,"",$N7*'MF Rents'!AL7*'MF Rollover'!AI7)</f>
        <v>0</v>
      </c>
      <c r="AK7" s="149">
        <f>IF($B7=0,"",$N7*'MF Rents'!AM7*'MF Rollover'!AJ7)</f>
        <v>0</v>
      </c>
      <c r="AL7" s="149">
        <f>IF($B7=0,"",$N7*'MF Rents'!AN7*'MF Rollover'!AK7)</f>
        <v>0</v>
      </c>
      <c r="AM7" s="149">
        <f>IF($B7=0,"",$N7*'MF Rents'!AO7*'MF Rollover'!AL7)</f>
        <v>0</v>
      </c>
      <c r="AN7" s="149">
        <f>IF($B7=0,"",$N7*'MF Rents'!AP7*'MF Rollover'!AM7)</f>
        <v>0</v>
      </c>
      <c r="AO7" s="149">
        <f>IF($B7=0,"",$N7*'MF Rents'!AQ7*'MF Rollover'!AN7)</f>
        <v>0</v>
      </c>
      <c r="AP7" s="149">
        <f>IF($B7=0,"",$N7*'MF Rents'!AR7*'MF Rollover'!AO7)</f>
        <v>0</v>
      </c>
      <c r="AQ7" s="149">
        <f>IF($B7=0,"",$N7*'MF Rents'!AS7*'MF Rollover'!AP7)</f>
        <v>0</v>
      </c>
      <c r="AR7" s="149">
        <f>IF($B7=0,"",$N7*'MF Rents'!AT7*'MF Rollover'!AQ7)</f>
        <v>0</v>
      </c>
      <c r="AS7" s="149">
        <f>IF($B7=0,"",$N7*'MF Rents'!AU7*'MF Rollover'!AR7)</f>
        <v>0</v>
      </c>
      <c r="AT7" s="149">
        <f>IF($B7=0,"",$N7*'MF Rents'!AV7*'MF Rollover'!AS7)</f>
        <v>0</v>
      </c>
      <c r="AU7" s="149">
        <f>IF($B7=0,"",$N7*'MF Rents'!AW7*'MF Rollover'!AT7)</f>
        <v>0</v>
      </c>
      <c r="AV7" s="149">
        <f>IF($B7=0,"",$N7*'MF Rents'!AX7*'MF Rollover'!AU7)</f>
        <v>0</v>
      </c>
      <c r="AW7" s="149">
        <f>IF($B7=0,"",$N7*'MF Rents'!AY7*'MF Rollover'!AV7)</f>
        <v>0</v>
      </c>
      <c r="AX7" s="149">
        <f>IF($B7=0,"",$N7*'MF Rents'!AZ7*'MF Rollover'!AW7)</f>
        <v>0</v>
      </c>
      <c r="AY7" s="149">
        <f>IF($B7=0,"",$N7*'MF Rents'!BA7*'MF Rollover'!AX7)</f>
        <v>0</v>
      </c>
      <c r="AZ7" s="149">
        <f>IF($B7=0,"",$N7*'MF Rents'!BB7*'MF Rollover'!AY7)</f>
        <v>0</v>
      </c>
      <c r="BA7" s="149">
        <f>IF($B7=0,"",$N7*'MF Rents'!BC7*'MF Rollover'!AZ7)</f>
        <v>0</v>
      </c>
      <c r="BB7" s="149">
        <f>IF($B7=0,"",$N7*'MF Rents'!BD7*'MF Rollover'!BA7)</f>
        <v>0</v>
      </c>
      <c r="BC7" s="149">
        <f>IF($B7=0,"",$N7*'MF Rents'!BE7*'MF Rollover'!BB7)</f>
        <v>0</v>
      </c>
      <c r="BD7" s="149">
        <f>IF($B7=0,"",$N7*'MF Rents'!BF7*'MF Rollover'!BC7)</f>
        <v>0</v>
      </c>
      <c r="BE7" s="149">
        <f>IF($B7=0,"",$N7*'MF Rents'!BG7*'MF Rollover'!BD7)</f>
        <v>0</v>
      </c>
      <c r="BF7" s="149">
        <f>IF($B7=0,"",$N7*'MF Rents'!BH7*'MF Rollover'!BE7)</f>
        <v>0</v>
      </c>
      <c r="BG7" s="149">
        <f>IF($B7=0,"",$N7*'MF Rents'!BI7*'MF Rollover'!BF7)</f>
        <v>0</v>
      </c>
      <c r="BH7" s="149">
        <f>IF($B7=0,"",$N7*'MF Rents'!BJ7*'MF Rollover'!BG7)</f>
        <v>0</v>
      </c>
      <c r="BI7" s="149">
        <f>IF($B7=0,"",$N7*'MF Rents'!BK7*'MF Rollover'!BH7)</f>
        <v>0</v>
      </c>
      <c r="BJ7" s="149">
        <f>IF($B7=0,"",$N7*'MF Rents'!BL7*'MF Rollover'!BI7)</f>
        <v>0</v>
      </c>
      <c r="BK7" s="149">
        <f>IF($B7=0,"",$N7*'MF Rents'!BM7*'MF Rollover'!BJ7)</f>
        <v>0</v>
      </c>
      <c r="BL7" s="149">
        <f>IF($B7=0,"",$N7*'MF Rents'!BN7*'MF Rollover'!BK7)</f>
        <v>0</v>
      </c>
      <c r="BM7" s="149">
        <f>IF($B7=0,"",$N7*'MF Rents'!BO7*'MF Rollover'!BL7)</f>
        <v>0</v>
      </c>
      <c r="BN7" s="149">
        <f>IF($B7=0,"",$N7*'MF Rents'!BP7*'MF Rollover'!BM7)</f>
        <v>0</v>
      </c>
      <c r="BO7" s="149">
        <f>IF($B7=0,"",$N7*'MF Rents'!BQ7*'MF Rollover'!BN7)</f>
        <v>0</v>
      </c>
      <c r="BP7" s="149">
        <f>IF($B7=0,"",$N7*'MF Rents'!BR7*'MF Rollover'!BO7)</f>
        <v>0</v>
      </c>
      <c r="BQ7" s="149">
        <f>IF($B7=0,"",$N7*'MF Rents'!BS7*'MF Rollover'!BP7)</f>
        <v>0</v>
      </c>
      <c r="BR7" s="149">
        <f>IF($B7=0,"",$N7*'MF Rents'!BT7*'MF Rollover'!BQ7)</f>
        <v>0</v>
      </c>
      <c r="BS7" s="149">
        <f>IF($B7=0,"",$N7*'MF Rents'!BU7*'MF Rollover'!BR7)</f>
        <v>0</v>
      </c>
      <c r="BT7" s="149">
        <f>IF($B7=0,"",$N7*'MF Rents'!BV7*'MF Rollover'!BS7)</f>
        <v>0</v>
      </c>
      <c r="BU7" s="149">
        <f>IF($B7=0,"",$N7*'MF Rents'!BW7*'MF Rollover'!BT7)</f>
        <v>0</v>
      </c>
      <c r="BV7" s="149">
        <f>IF($B7=0,"",$N7*'MF Rents'!BX7*'MF Rollover'!BU7)</f>
        <v>0</v>
      </c>
      <c r="BW7" s="149">
        <f>IF($B7=0,"",$N7*'MF Rents'!BY7*'MF Rollover'!BV7)</f>
        <v>0</v>
      </c>
      <c r="BX7" s="149">
        <f>IF($B7=0,"",$N7*'MF Rents'!BZ7*'MF Rollover'!BW7)</f>
        <v>0</v>
      </c>
      <c r="BY7" s="149">
        <f>IF($B7=0,"",$N7*'MF Rents'!CA7*'MF Rollover'!BX7)</f>
        <v>0</v>
      </c>
      <c r="BZ7" s="149">
        <f>IF($B7=0,"",$N7*'MF Rents'!CB7*'MF Rollover'!BY7)</f>
        <v>0</v>
      </c>
      <c r="CA7" s="149">
        <f>IF($B7=0,"",$N7*'MF Rents'!CC7*'MF Rollover'!BZ7)</f>
        <v>0</v>
      </c>
      <c r="CB7" s="149">
        <f>IF($B7=0,"",$N7*'MF Rents'!CD7*'MF Rollover'!CA7)</f>
        <v>0</v>
      </c>
      <c r="CC7" s="149">
        <f>IF($B7=0,"",$N7*'MF Rents'!CE7*'MF Rollover'!CB7)</f>
        <v>0</v>
      </c>
      <c r="CD7" s="149">
        <f>IF($B7=0,"",$N7*'MF Rents'!CF7*'MF Rollover'!CC7)</f>
        <v>0</v>
      </c>
      <c r="CE7" s="149">
        <f>IF($B7=0,"",$N7*'MF Rents'!CG7*'MF Rollover'!CD7)</f>
        <v>0</v>
      </c>
      <c r="CF7" s="149">
        <f>IF($B7=0,"",$N7*'MF Rents'!CH7*'MF Rollover'!CE7)</f>
        <v>0</v>
      </c>
      <c r="CG7" s="149">
        <f>IF($B7=0,"",$N7*'MF Rents'!CI7*'MF Rollover'!CF7)</f>
        <v>0</v>
      </c>
      <c r="CH7" s="149">
        <f>IF($B7=0,"",$N7*'MF Rents'!CJ7*'MF Rollover'!CG7)</f>
        <v>0</v>
      </c>
      <c r="CI7" s="149">
        <f>IF($B7=0,"",$N7*'MF Rents'!CK7*'MF Rollover'!CH7)</f>
        <v>0</v>
      </c>
      <c r="CJ7" s="149">
        <f>IF($B7=0,"",$N7*'MF Rents'!CL7*'MF Rollover'!CI7)</f>
        <v>0</v>
      </c>
      <c r="CK7" s="149">
        <f>IF($B7=0,"",$N7*'MF Rents'!CM7*'MF Rollover'!CJ7)</f>
        <v>0</v>
      </c>
      <c r="CL7" s="149">
        <f>IF($B7=0,"",$N7*'MF Rents'!CN7*'MF Rollover'!CK7)</f>
        <v>0</v>
      </c>
      <c r="CM7" s="149">
        <f>IF($B7=0,"",$N7*'MF Rents'!CO7*'MF Rollover'!CL7)</f>
        <v>0</v>
      </c>
      <c r="CN7" s="149">
        <f>IF($B7=0,"",$N7*'MF Rents'!CP7*'MF Rollover'!CM7)</f>
        <v>0</v>
      </c>
      <c r="CO7" s="149">
        <f>IF($B7=0,"",$N7*'MF Rents'!CQ7*'MF Rollover'!CN7)</f>
        <v>0</v>
      </c>
      <c r="CP7" s="149">
        <f>IF($B7=0,"",$N7*'MF Rents'!CR7*'MF Rollover'!CO7)</f>
        <v>0</v>
      </c>
      <c r="CQ7" s="149">
        <f>IF($B7=0,"",$N7*'MF Rents'!CS7*'MF Rollover'!CP7)</f>
        <v>0</v>
      </c>
      <c r="CR7" s="149">
        <f>IF($B7=0,"",$N7*'MF Rents'!CT7*'MF Rollover'!CQ7)</f>
        <v>0</v>
      </c>
      <c r="CS7" s="149">
        <f>IF($B7=0,"",$N7*'MF Rents'!CU7*'MF Rollover'!CR7)</f>
        <v>0</v>
      </c>
      <c r="CT7" s="149">
        <f>IF($B7=0,"",$N7*'MF Rents'!CV7*'MF Rollover'!CS7)</f>
        <v>0</v>
      </c>
      <c r="CU7" s="149">
        <f>IF($B7=0,"",$N7*'MF Rents'!CW7*'MF Rollover'!CT7)</f>
        <v>0</v>
      </c>
      <c r="CV7" s="149">
        <f>IF($B7=0,"",$N7*'MF Rents'!CX7*'MF Rollover'!CU7)</f>
        <v>0</v>
      </c>
      <c r="CW7" s="149">
        <f>IF($B7=0,"",$N7*'MF Rents'!CY7*'MF Rollover'!CV7)</f>
        <v>0</v>
      </c>
      <c r="CX7" s="149">
        <f>IF($B7=0,"",$N7*'MF Rents'!CZ7*'MF Rollover'!CW7)</f>
        <v>0</v>
      </c>
      <c r="CY7" s="149">
        <f>IF($B7=0,"",$N7*'MF Rents'!DA7*'MF Rollover'!CX7)</f>
        <v>0</v>
      </c>
      <c r="CZ7" s="149">
        <f>IF($B7=0,"",$N7*'MF Rents'!DB7*'MF Rollover'!CY7)</f>
        <v>0</v>
      </c>
      <c r="DA7" s="149">
        <f>IF($B7=0,"",$N7*'MF Rents'!DC7*'MF Rollover'!CZ7)</f>
        <v>0</v>
      </c>
      <c r="DB7" s="149">
        <f>IF($B7=0,"",$N7*'MF Rents'!DD7*'MF Rollover'!DA7)</f>
        <v>0</v>
      </c>
      <c r="DC7" s="149">
        <f>IF($B7=0,"",$N7*'MF Rents'!DE7*'MF Rollover'!DB7)</f>
        <v>0</v>
      </c>
      <c r="DD7" s="149">
        <f>IF($B7=0,"",$N7*'MF Rents'!DF7*'MF Rollover'!DC7)</f>
        <v>0</v>
      </c>
      <c r="DE7" s="149">
        <f>IF($B7=0,"",$N7*'MF Rents'!DG7*'MF Rollover'!DD7)</f>
        <v>0</v>
      </c>
      <c r="DF7" s="149">
        <f>IF($B7=0,"",$N7*'MF Rents'!DH7*'MF Rollover'!DE7)</f>
        <v>0</v>
      </c>
      <c r="DG7" s="149">
        <f>IF($B7=0,"",$N7*'MF Rents'!DI7*'MF Rollover'!DF7)</f>
        <v>0</v>
      </c>
      <c r="DH7" s="149">
        <f>IF($B7=0,"",$N7*'MF Rents'!DJ7*'MF Rollover'!DG7)</f>
        <v>0</v>
      </c>
      <c r="DI7" s="149">
        <f>IF($B7=0,"",$N7*'MF Rents'!DK7*'MF Rollover'!DH7)</f>
        <v>0</v>
      </c>
      <c r="DJ7" s="149">
        <f>IF($B7=0,"",$N7*'MF Rents'!DL7*'MF Rollover'!DI7)</f>
        <v>0</v>
      </c>
      <c r="DK7" s="149">
        <f>IF($B7=0,"",$N7*'MF Rents'!DM7*'MF Rollover'!DJ7)</f>
        <v>0</v>
      </c>
      <c r="DL7" s="149">
        <f>IF($B7=0,"",$N7*'MF Rents'!DN7*'MF Rollover'!DK7)</f>
        <v>0</v>
      </c>
      <c r="DM7" s="149">
        <f>IF($B7=0,"",$N7*'MF Rents'!DO7*'MF Rollover'!DL7)</f>
        <v>0</v>
      </c>
      <c r="DN7" s="149">
        <f>IF($B7=0,"",$N7*'MF Rents'!DP7*'MF Rollover'!DM7)</f>
        <v>0</v>
      </c>
      <c r="DO7" s="149">
        <f>IF($B7=0,"",$N7*'MF Rents'!DQ7*'MF Rollover'!DN7)</f>
        <v>0</v>
      </c>
      <c r="DP7" s="149">
        <f>IF($B7=0,"",$N7*'MF Rents'!DR7*'MF Rollover'!DO7)</f>
        <v>0</v>
      </c>
      <c r="DQ7" s="149">
        <f>IF($B7=0,"",$N7*'MF Rents'!DS7*'MF Rollover'!DP7)</f>
        <v>0</v>
      </c>
      <c r="DR7" s="149">
        <f>IF($B7=0,"",$N7*'MF Rents'!DT7*'MF Rollover'!DQ7)</f>
        <v>0</v>
      </c>
      <c r="DS7" s="149">
        <f>IF($B7=0,"",$N7*'MF Rents'!DU7*'MF Rollover'!DR7)</f>
        <v>0</v>
      </c>
      <c r="DT7" s="149">
        <f>IF($B7=0,"",$N7*'MF Rents'!DV7*'MF Rollover'!DS7)</f>
        <v>0</v>
      </c>
      <c r="DU7" s="149">
        <f>IF($B7=0,"",$N7*'MF Rents'!DW7*'MF Rollover'!DT7)</f>
        <v>0</v>
      </c>
      <c r="DV7" s="149">
        <f>IF($B7=0,"",$N7*'MF Rents'!DX7*'MF Rollover'!DU7)</f>
        <v>0</v>
      </c>
      <c r="DW7" s="149">
        <f>IF($B7=0,"",$N7*'MF Rents'!DY7*'MF Rollover'!DV7)</f>
        <v>0</v>
      </c>
      <c r="DX7" s="149">
        <f>IF($B7=0,"",$N7*'MF Rents'!DZ7*'MF Rollover'!DW7)</f>
        <v>0</v>
      </c>
      <c r="DY7" s="149">
        <f>IF($B7=0,"",$N7*'MF Rents'!EA7*'MF Rollover'!DX7)</f>
        <v>0</v>
      </c>
      <c r="DZ7" s="149">
        <f>IF($B7=0,"",$N7*'MF Rents'!EB7*'MF Rollover'!DY7)</f>
        <v>0</v>
      </c>
      <c r="EA7" s="149">
        <f>IF($B7=0,"",$N7*'MF Rents'!EC7*'MF Rollover'!DZ7)</f>
        <v>0</v>
      </c>
      <c r="EB7" s="149">
        <f>IF($B7=0,"",$N7*'MF Rents'!ED7*'MF Rollover'!EA7)</f>
        <v>0</v>
      </c>
      <c r="EC7" s="149">
        <f>IF($B7=0,"",$N7*'MF Rents'!EE7*'MF Rollover'!EB7)</f>
        <v>0</v>
      </c>
      <c r="ED7" s="149">
        <f>IF($B7=0,"",$N7*'MF Rents'!EF7*'MF Rollover'!EC7)</f>
        <v>0</v>
      </c>
      <c r="EE7" s="149">
        <f>IF($B7=0,"",$N7*'MF Rents'!EG7*'MF Rollover'!ED7)</f>
        <v>0</v>
      </c>
      <c r="EF7" s="149">
        <f>IF($B7=0,"",$N7*'MF Rents'!EH7*'MF Rollover'!EE7)</f>
        <v>0</v>
      </c>
      <c r="EG7" s="149">
        <f>IF($B7=0,"",$N7*'MF Rents'!EI7*'MF Rollover'!EF7)</f>
        <v>0</v>
      </c>
      <c r="EH7" s="149">
        <f>IF($B7=0,"",$N7*'MF Rents'!EJ7*'MF Rollover'!EG7)</f>
        <v>0</v>
      </c>
      <c r="EI7" s="149">
        <f>IF($B7=0,"",$N7*'MF Rents'!EK7*'MF Rollover'!EH7)</f>
        <v>0</v>
      </c>
      <c r="EJ7" s="149">
        <f>IF($B7=0,"",$N7*'MF Rents'!EL7*'MF Rollover'!EI7)</f>
        <v>0</v>
      </c>
      <c r="EK7" s="149">
        <f>IF($B7=0,"",$N7*'MF Rents'!EM7*'MF Rollover'!EJ7)</f>
        <v>0</v>
      </c>
      <c r="EL7" s="149">
        <f>IF($B7=0,"",$N7*'MF Rents'!EN7*'MF Rollover'!EK7)</f>
        <v>0</v>
      </c>
      <c r="EM7" s="149">
        <f>IF($B7=0,"",$N7*'MF Rents'!EO7*'MF Rollover'!EL7)</f>
        <v>0</v>
      </c>
      <c r="EN7" s="149">
        <f>IF($B7=0,"",$N7*'MF Rents'!EP7*'MF Rollover'!EM7)</f>
        <v>0</v>
      </c>
      <c r="EO7" s="149">
        <f>IF($B7=0,"",$N7*'MF Rents'!EQ7*'MF Rollover'!EN7)</f>
        <v>0</v>
      </c>
      <c r="EP7" s="149">
        <f>IF($B7=0,"",$N7*'MF Rents'!ER7*'MF Rollover'!EO7)</f>
        <v>0</v>
      </c>
      <c r="EQ7" s="149">
        <f>IF($B7=0,"",$N7*'MF Rents'!ES7*'MF Rollover'!EP7)</f>
        <v>0</v>
      </c>
      <c r="ER7" s="149">
        <f>IF($B7=0,"",$N7*'MF Rents'!ET7*'MF Rollover'!EQ7)</f>
        <v>0</v>
      </c>
      <c r="ES7" s="149">
        <f>IF($B7=0,"",$N7*'MF Rents'!EU7*'MF Rollover'!ER7)</f>
        <v>0</v>
      </c>
      <c r="ET7" s="149">
        <f>IF($B7=0,"",$N7*'MF Rents'!EV7*'MF Rollover'!ES7)</f>
        <v>0</v>
      </c>
      <c r="EU7" s="149">
        <f>IF($B7=0,"",$N7*'MF Rents'!EW7*'MF Rollover'!ET7)</f>
        <v>0</v>
      </c>
      <c r="EV7" s="149">
        <f>IF($B7=0,"",$N7*'MF Rents'!EX7*'MF Rollover'!EU7)</f>
        <v>0</v>
      </c>
      <c r="EW7" s="149">
        <f>IF($B7=0,"",$N7*'MF Rents'!EY7*'MF Rollover'!EV7)</f>
        <v>0</v>
      </c>
      <c r="EX7" s="149">
        <f>IF($B7=0,"",$N7*'MF Rents'!EZ7*'MF Rollover'!EW7)</f>
        <v>0</v>
      </c>
      <c r="EY7" s="149">
        <f>IF($B7=0,"",$N7*'MF Rents'!FA7*'MF Rollover'!EX7)</f>
        <v>0</v>
      </c>
      <c r="EZ7" s="149">
        <f>IF($B7=0,"",$N7*'MF Rents'!FB7*'MF Rollover'!EY7)</f>
        <v>0</v>
      </c>
      <c r="FA7" s="149">
        <f>IF($B7=0,"",$N7*'MF Rents'!FC7*'MF Rollover'!EZ7)</f>
        <v>0</v>
      </c>
      <c r="FB7" s="149">
        <f>IF($B7=0,"",$N7*'MF Rents'!FD7*'MF Rollover'!FA7)</f>
        <v>0</v>
      </c>
      <c r="FC7" s="149">
        <f>IF($B7=0,"",$N7*'MF Rents'!FE7*'MF Rollover'!FB7)</f>
        <v>0</v>
      </c>
      <c r="FD7" s="149">
        <f>IF($B7=0,"",$N7*'MF Rents'!FF7*'MF Rollover'!FC7)</f>
        <v>0</v>
      </c>
      <c r="FE7" s="149">
        <f>IF($B7=0,"",$N7*'MF Rents'!FG7*'MF Rollover'!FD7)</f>
        <v>0</v>
      </c>
      <c r="FF7" s="149">
        <f>IF($B7=0,"",$N7*'MF Rents'!FH7*'MF Rollover'!FE7)</f>
        <v>0</v>
      </c>
      <c r="FG7" s="149">
        <f>IF($B7=0,"",$N7*'MF Rents'!FI7*'MF Rollover'!FF7)</f>
        <v>0</v>
      </c>
      <c r="FH7" s="149">
        <f>IF($B7=0,"",$N7*'MF Rents'!FJ7*'MF Rollover'!FG7)</f>
        <v>0</v>
      </c>
      <c r="FI7" s="149">
        <f>IF($B7=0,"",$N7*'MF Rents'!FK7*'MF Rollover'!FH7)</f>
        <v>0</v>
      </c>
      <c r="FJ7" s="149">
        <f>IF($B7=0,"",$N7*'MF Rents'!FL7*'MF Rollover'!FI7)</f>
        <v>0</v>
      </c>
      <c r="FK7" s="149">
        <f>IF($B7=0,"",$N7*'MF Rents'!FM7*'MF Rollover'!FJ7)</f>
        <v>0</v>
      </c>
      <c r="FL7" s="149">
        <f>IF($B7=0,"",$N7*'MF Rents'!FN7*'MF Rollover'!FK7)</f>
        <v>0</v>
      </c>
      <c r="FM7" s="149">
        <f>IF($B7=0,"",$N7*'MF Rents'!FO7*'MF Rollover'!FL7)</f>
        <v>0</v>
      </c>
      <c r="FN7" s="149">
        <f>IF($B7=0,"",$N7*'MF Rents'!FP7*'MF Rollover'!FM7)</f>
        <v>0</v>
      </c>
      <c r="FO7" s="149">
        <f>IF($B7=0,"",$N7*'MF Rents'!FQ7*'MF Rollover'!FN7)</f>
        <v>0</v>
      </c>
      <c r="FP7" s="149">
        <f>IF($B7=0,"",$N7*'MF Rents'!FR7*'MF Rollover'!FO7)</f>
        <v>0</v>
      </c>
      <c r="FQ7" s="149">
        <f>IF($B7=0,"",$N7*'MF Rents'!FS7*'MF Rollover'!FP7)</f>
        <v>0</v>
      </c>
      <c r="FR7" s="149">
        <f>IF($B7=0,"",$N7*'MF Rents'!FT7*'MF Rollover'!FQ7)</f>
        <v>0</v>
      </c>
      <c r="FS7" s="149">
        <f>IF($B7=0,"",$N7*'MF Rents'!FU7*'MF Rollover'!FR7)</f>
        <v>0</v>
      </c>
      <c r="FT7" s="149">
        <f>IF($B7=0,"",$N7*'MF Rents'!FV7*'MF Rollover'!FS7)</f>
        <v>0</v>
      </c>
      <c r="FU7" s="149">
        <f>IF($B7=0,"",$N7*'MF Rents'!FW7*'MF Rollover'!FT7)</f>
        <v>0</v>
      </c>
      <c r="FV7" s="149">
        <f>IF($B7=0,"",$N7*'MF Rents'!FX7*'MF Rollover'!FU7)</f>
        <v>0</v>
      </c>
      <c r="FW7" s="149">
        <f>IF($B7=0,"",$N7*'MF Rents'!FY7*'MF Rollover'!FV7)</f>
        <v>0</v>
      </c>
      <c r="FX7" s="149">
        <f>IF($B7=0,"",$N7*'MF Rents'!FZ7*'MF Rollover'!FW7)</f>
        <v>0</v>
      </c>
      <c r="FY7" s="149">
        <f>IF($B7=0,"",$N7*'MF Rents'!GA7*'MF Rollover'!FX7)</f>
        <v>0</v>
      </c>
      <c r="FZ7" s="149">
        <f>IF($B7=0,"",$N7*'MF Rents'!GB7*'MF Rollover'!FY7)</f>
        <v>0</v>
      </c>
      <c r="GA7" s="149">
        <f>IF($B7=0,"",$N7*'MF Rents'!GC7*'MF Rollover'!FZ7)</f>
        <v>0</v>
      </c>
      <c r="GB7" s="149">
        <f>IF($B7=0,"",$N7*'MF Rents'!GD7*'MF Rollover'!GA7)</f>
        <v>0</v>
      </c>
      <c r="GC7" s="149">
        <f>IF($B7=0,"",$N7*'MF Rents'!GE7*'MF Rollover'!GB7)</f>
        <v>0</v>
      </c>
      <c r="GD7" s="149">
        <f>IF($B7=0,"",$N7*'MF Rents'!GF7*'MF Rollover'!GC7)</f>
        <v>0</v>
      </c>
      <c r="GE7" s="149">
        <f>IF($B7=0,"",$N7*'MF Rents'!GG7*'MF Rollover'!GD7)</f>
        <v>0</v>
      </c>
      <c r="GF7" s="149">
        <f>IF($B7=0,"",$N7*'MF Rents'!GH7*'MF Rollover'!GE7)</f>
        <v>0</v>
      </c>
      <c r="GG7" s="149">
        <f>IF($B7=0,"",$N7*'MF Rents'!GI7*'MF Rollover'!GF7)</f>
        <v>0</v>
      </c>
      <c r="GH7" s="149">
        <f>IF($B7=0,"",$N7*'MF Rents'!GJ7*'MF Rollover'!GG7)</f>
        <v>0</v>
      </c>
      <c r="GI7" s="149">
        <f>IF($B7=0,"",$N7*'MF Rents'!GK7*'MF Rollover'!GH7)</f>
        <v>0</v>
      </c>
      <c r="GJ7" s="149">
        <f>IF($B7=0,"",$N7*'MF Rents'!GL7*'MF Rollover'!GI7)</f>
        <v>0</v>
      </c>
      <c r="GK7" s="149">
        <f>IF($B7=0,"",$N7*'MF Rents'!GM7*'MF Rollover'!GJ7)</f>
        <v>0</v>
      </c>
      <c r="GL7" s="149">
        <f>IF($B7=0,"",$N7*'MF Rents'!GN7*'MF Rollover'!GK7)</f>
        <v>0</v>
      </c>
      <c r="GM7" s="149">
        <f>IF($B7=0,"",$N7*'MF Rents'!GO7*'MF Rollover'!GL7)</f>
        <v>0</v>
      </c>
      <c r="GN7" s="149">
        <f>IF($B7=0,"",$N7*'MF Rents'!GP7*'MF Rollover'!GM7)</f>
        <v>0</v>
      </c>
      <c r="GO7" s="149">
        <f>IF($B7=0,"",$N7*'MF Rents'!GQ7*'MF Rollover'!GN7)</f>
        <v>0</v>
      </c>
      <c r="GP7" s="149">
        <f>IF($B7=0,"",$N7*'MF Rents'!GR7*'MF Rollover'!GO7)</f>
        <v>0</v>
      </c>
    </row>
    <row r="8" spans="2:198" x14ac:dyDescent="0.3">
      <c r="B8" s="184" t="str">
        <f>'MF Rent Roll'!B7</f>
        <v>2bd/2ba</v>
      </c>
      <c r="C8" s="171">
        <f>'MF Rent Roll'!C7</f>
        <v>24</v>
      </c>
      <c r="D8" s="172">
        <f>'MF Rent Roll'!D7</f>
        <v>2</v>
      </c>
      <c r="E8" s="172">
        <f>'MF Rent Roll'!E7</f>
        <v>2</v>
      </c>
      <c r="F8" s="173">
        <f>'MF Rent Roll'!F7</f>
        <v>945</v>
      </c>
      <c r="G8" s="174">
        <f>'MF Rent Roll'!G7</f>
        <v>850</v>
      </c>
      <c r="H8" s="176">
        <f>'MF Rent Roll'!J7</f>
        <v>12</v>
      </c>
      <c r="I8" s="174">
        <f>'MF Rent Roll'!K7</f>
        <v>60</v>
      </c>
      <c r="J8" s="177">
        <f>'MF Rent Roll'!L7</f>
        <v>0</v>
      </c>
      <c r="K8" s="178">
        <f>'MF Rent Roll'!M7</f>
        <v>25</v>
      </c>
      <c r="L8" s="174">
        <f>'MF Rent Roll'!N7</f>
        <v>350</v>
      </c>
      <c r="M8" s="179">
        <f>'MF Rent Roll'!O7</f>
        <v>0.6</v>
      </c>
      <c r="N8" s="180">
        <f>'MF Rent Roll'!P7</f>
        <v>0</v>
      </c>
      <c r="O8" s="181">
        <f>'MF Rent Roll'!Q7</f>
        <v>10</v>
      </c>
      <c r="P8" s="104">
        <f>'MF Rent Roll'!R7</f>
        <v>140</v>
      </c>
      <c r="S8" s="149">
        <f>IF($B8=0,"",$N8*'MF Rents'!U8*'MF Rollover'!R8)</f>
        <v>0</v>
      </c>
      <c r="T8" s="149">
        <f>IF($B8=0,"",$N8*'MF Rents'!V8*'MF Rollover'!S8)</f>
        <v>0</v>
      </c>
      <c r="U8" s="149">
        <f>IF($B8=0,"",$N8*'MF Rents'!W8*'MF Rollover'!T8)</f>
        <v>0</v>
      </c>
      <c r="V8" s="149">
        <f>IF($B8=0,"",$N8*'MF Rents'!X8*'MF Rollover'!U8)</f>
        <v>0</v>
      </c>
      <c r="W8" s="149">
        <f>IF($B8=0,"",$N8*'MF Rents'!Y8*'MF Rollover'!V8)</f>
        <v>0</v>
      </c>
      <c r="X8" s="149">
        <f>IF($B8=0,"",$N8*'MF Rents'!Z8*'MF Rollover'!W8)</f>
        <v>0</v>
      </c>
      <c r="Y8" s="149">
        <f>IF($B8=0,"",$N8*'MF Rents'!AA8*'MF Rollover'!X8)</f>
        <v>0</v>
      </c>
      <c r="Z8" s="149">
        <f>IF($B8=0,"",$N8*'MF Rents'!AB8*'MF Rollover'!Y8)</f>
        <v>0</v>
      </c>
      <c r="AA8" s="149">
        <f>IF($B8=0,"",$N8*'MF Rents'!AC8*'MF Rollover'!Z8)</f>
        <v>0</v>
      </c>
      <c r="AB8" s="149">
        <f>IF($B8=0,"",$N8*'MF Rents'!AD8*'MF Rollover'!AA8)</f>
        <v>0</v>
      </c>
      <c r="AC8" s="149">
        <f>IF($B8=0,"",$N8*'MF Rents'!AE8*'MF Rollover'!AB8)</f>
        <v>0</v>
      </c>
      <c r="AD8" s="149">
        <f>IF($B8=0,"",$N8*'MF Rents'!AF8*'MF Rollover'!AC8)</f>
        <v>0</v>
      </c>
      <c r="AE8" s="149">
        <f>IF($B8=0,"",$N8*'MF Rents'!AG8*'MF Rollover'!AD8)</f>
        <v>0</v>
      </c>
      <c r="AF8" s="149">
        <f>IF($B8=0,"",$N8*'MF Rents'!AH8*'MF Rollover'!AE8)</f>
        <v>0</v>
      </c>
      <c r="AG8" s="149">
        <f>IF($B8=0,"",$N8*'MF Rents'!AI8*'MF Rollover'!AF8)</f>
        <v>0</v>
      </c>
      <c r="AH8" s="149">
        <f>IF($B8=0,"",$N8*'MF Rents'!AJ8*'MF Rollover'!AG8)</f>
        <v>0</v>
      </c>
      <c r="AI8" s="149">
        <f>IF($B8=0,"",$N8*'MF Rents'!AK8*'MF Rollover'!AH8)</f>
        <v>0</v>
      </c>
      <c r="AJ8" s="149">
        <f>IF($B8=0,"",$N8*'MF Rents'!AL8*'MF Rollover'!AI8)</f>
        <v>0</v>
      </c>
      <c r="AK8" s="149">
        <f>IF($B8=0,"",$N8*'MF Rents'!AM8*'MF Rollover'!AJ8)</f>
        <v>0</v>
      </c>
      <c r="AL8" s="149">
        <f>IF($B8=0,"",$N8*'MF Rents'!AN8*'MF Rollover'!AK8)</f>
        <v>0</v>
      </c>
      <c r="AM8" s="149">
        <f>IF($B8=0,"",$N8*'MF Rents'!AO8*'MF Rollover'!AL8)</f>
        <v>0</v>
      </c>
      <c r="AN8" s="149">
        <f>IF($B8=0,"",$N8*'MF Rents'!AP8*'MF Rollover'!AM8)</f>
        <v>0</v>
      </c>
      <c r="AO8" s="149">
        <f>IF($B8=0,"",$N8*'MF Rents'!AQ8*'MF Rollover'!AN8)</f>
        <v>0</v>
      </c>
      <c r="AP8" s="149">
        <f>IF($B8=0,"",$N8*'MF Rents'!AR8*'MF Rollover'!AO8)</f>
        <v>0</v>
      </c>
      <c r="AQ8" s="149">
        <f>IF($B8=0,"",$N8*'MF Rents'!AS8*'MF Rollover'!AP8)</f>
        <v>0</v>
      </c>
      <c r="AR8" s="149">
        <f>IF($B8=0,"",$N8*'MF Rents'!AT8*'MF Rollover'!AQ8)</f>
        <v>0</v>
      </c>
      <c r="AS8" s="149">
        <f>IF($B8=0,"",$N8*'MF Rents'!AU8*'MF Rollover'!AR8)</f>
        <v>0</v>
      </c>
      <c r="AT8" s="149">
        <f>IF($B8=0,"",$N8*'MF Rents'!AV8*'MF Rollover'!AS8)</f>
        <v>0</v>
      </c>
      <c r="AU8" s="149">
        <f>IF($B8=0,"",$N8*'MF Rents'!AW8*'MF Rollover'!AT8)</f>
        <v>0</v>
      </c>
      <c r="AV8" s="149">
        <f>IF($B8=0,"",$N8*'MF Rents'!AX8*'MF Rollover'!AU8)</f>
        <v>0</v>
      </c>
      <c r="AW8" s="149">
        <f>IF($B8=0,"",$N8*'MF Rents'!AY8*'MF Rollover'!AV8)</f>
        <v>0</v>
      </c>
      <c r="AX8" s="149">
        <f>IF($B8=0,"",$N8*'MF Rents'!AZ8*'MF Rollover'!AW8)</f>
        <v>0</v>
      </c>
      <c r="AY8" s="149">
        <f>IF($B8=0,"",$N8*'MF Rents'!BA8*'MF Rollover'!AX8)</f>
        <v>0</v>
      </c>
      <c r="AZ8" s="149">
        <f>IF($B8=0,"",$N8*'MF Rents'!BB8*'MF Rollover'!AY8)</f>
        <v>0</v>
      </c>
      <c r="BA8" s="149">
        <f>IF($B8=0,"",$N8*'MF Rents'!BC8*'MF Rollover'!AZ8)</f>
        <v>0</v>
      </c>
      <c r="BB8" s="149">
        <f>IF($B8=0,"",$N8*'MF Rents'!BD8*'MF Rollover'!BA8)</f>
        <v>0</v>
      </c>
      <c r="BC8" s="149">
        <f>IF($B8=0,"",$N8*'MF Rents'!BE8*'MF Rollover'!BB8)</f>
        <v>0</v>
      </c>
      <c r="BD8" s="149">
        <f>IF($B8=0,"",$N8*'MF Rents'!BF8*'MF Rollover'!BC8)</f>
        <v>0</v>
      </c>
      <c r="BE8" s="149">
        <f>IF($B8=0,"",$N8*'MF Rents'!BG8*'MF Rollover'!BD8)</f>
        <v>0</v>
      </c>
      <c r="BF8" s="149">
        <f>IF($B8=0,"",$N8*'MF Rents'!BH8*'MF Rollover'!BE8)</f>
        <v>0</v>
      </c>
      <c r="BG8" s="149">
        <f>IF($B8=0,"",$N8*'MF Rents'!BI8*'MF Rollover'!BF8)</f>
        <v>0</v>
      </c>
      <c r="BH8" s="149">
        <f>IF($B8=0,"",$N8*'MF Rents'!BJ8*'MF Rollover'!BG8)</f>
        <v>0</v>
      </c>
      <c r="BI8" s="149">
        <f>IF($B8=0,"",$N8*'MF Rents'!BK8*'MF Rollover'!BH8)</f>
        <v>0</v>
      </c>
      <c r="BJ8" s="149">
        <f>IF($B8=0,"",$N8*'MF Rents'!BL8*'MF Rollover'!BI8)</f>
        <v>0</v>
      </c>
      <c r="BK8" s="149">
        <f>IF($B8=0,"",$N8*'MF Rents'!BM8*'MF Rollover'!BJ8)</f>
        <v>0</v>
      </c>
      <c r="BL8" s="149">
        <f>IF($B8=0,"",$N8*'MF Rents'!BN8*'MF Rollover'!BK8)</f>
        <v>0</v>
      </c>
      <c r="BM8" s="149">
        <f>IF($B8=0,"",$N8*'MF Rents'!BO8*'MF Rollover'!BL8)</f>
        <v>0</v>
      </c>
      <c r="BN8" s="149">
        <f>IF($B8=0,"",$N8*'MF Rents'!BP8*'MF Rollover'!BM8)</f>
        <v>0</v>
      </c>
      <c r="BO8" s="149">
        <f>IF($B8=0,"",$N8*'MF Rents'!BQ8*'MF Rollover'!BN8)</f>
        <v>0</v>
      </c>
      <c r="BP8" s="149">
        <f>IF($B8=0,"",$N8*'MF Rents'!BR8*'MF Rollover'!BO8)</f>
        <v>0</v>
      </c>
      <c r="BQ8" s="149">
        <f>IF($B8=0,"",$N8*'MF Rents'!BS8*'MF Rollover'!BP8)</f>
        <v>0</v>
      </c>
      <c r="BR8" s="149">
        <f>IF($B8=0,"",$N8*'MF Rents'!BT8*'MF Rollover'!BQ8)</f>
        <v>0</v>
      </c>
      <c r="BS8" s="149">
        <f>IF($B8=0,"",$N8*'MF Rents'!BU8*'MF Rollover'!BR8)</f>
        <v>0</v>
      </c>
      <c r="BT8" s="149">
        <f>IF($B8=0,"",$N8*'MF Rents'!BV8*'MF Rollover'!BS8)</f>
        <v>0</v>
      </c>
      <c r="BU8" s="149">
        <f>IF($B8=0,"",$N8*'MF Rents'!BW8*'MF Rollover'!BT8)</f>
        <v>0</v>
      </c>
      <c r="BV8" s="149">
        <f>IF($B8=0,"",$N8*'MF Rents'!BX8*'MF Rollover'!BU8)</f>
        <v>0</v>
      </c>
      <c r="BW8" s="149">
        <f>IF($B8=0,"",$N8*'MF Rents'!BY8*'MF Rollover'!BV8)</f>
        <v>0</v>
      </c>
      <c r="BX8" s="149">
        <f>IF($B8=0,"",$N8*'MF Rents'!BZ8*'MF Rollover'!BW8)</f>
        <v>0</v>
      </c>
      <c r="BY8" s="149">
        <f>IF($B8=0,"",$N8*'MF Rents'!CA8*'MF Rollover'!BX8)</f>
        <v>0</v>
      </c>
      <c r="BZ8" s="149">
        <f>IF($B8=0,"",$N8*'MF Rents'!CB8*'MF Rollover'!BY8)</f>
        <v>0</v>
      </c>
      <c r="CA8" s="149">
        <f>IF($B8=0,"",$N8*'MF Rents'!CC8*'MF Rollover'!BZ8)</f>
        <v>0</v>
      </c>
      <c r="CB8" s="149">
        <f>IF($B8=0,"",$N8*'MF Rents'!CD8*'MF Rollover'!CA8)</f>
        <v>0</v>
      </c>
      <c r="CC8" s="149">
        <f>IF($B8=0,"",$N8*'MF Rents'!CE8*'MF Rollover'!CB8)</f>
        <v>0</v>
      </c>
      <c r="CD8" s="149">
        <f>IF($B8=0,"",$N8*'MF Rents'!CF8*'MF Rollover'!CC8)</f>
        <v>0</v>
      </c>
      <c r="CE8" s="149">
        <f>IF($B8=0,"",$N8*'MF Rents'!CG8*'MF Rollover'!CD8)</f>
        <v>0</v>
      </c>
      <c r="CF8" s="149">
        <f>IF($B8=0,"",$N8*'MF Rents'!CH8*'MF Rollover'!CE8)</f>
        <v>0</v>
      </c>
      <c r="CG8" s="149">
        <f>IF($B8=0,"",$N8*'MF Rents'!CI8*'MF Rollover'!CF8)</f>
        <v>0</v>
      </c>
      <c r="CH8" s="149">
        <f>IF($B8=0,"",$N8*'MF Rents'!CJ8*'MF Rollover'!CG8)</f>
        <v>0</v>
      </c>
      <c r="CI8" s="149">
        <f>IF($B8=0,"",$N8*'MF Rents'!CK8*'MF Rollover'!CH8)</f>
        <v>0</v>
      </c>
      <c r="CJ8" s="149">
        <f>IF($B8=0,"",$N8*'MF Rents'!CL8*'MF Rollover'!CI8)</f>
        <v>0</v>
      </c>
      <c r="CK8" s="149">
        <f>IF($B8=0,"",$N8*'MF Rents'!CM8*'MF Rollover'!CJ8)</f>
        <v>0</v>
      </c>
      <c r="CL8" s="149">
        <f>IF($B8=0,"",$N8*'MF Rents'!CN8*'MF Rollover'!CK8)</f>
        <v>0</v>
      </c>
      <c r="CM8" s="149">
        <f>IF($B8=0,"",$N8*'MF Rents'!CO8*'MF Rollover'!CL8)</f>
        <v>0</v>
      </c>
      <c r="CN8" s="149">
        <f>IF($B8=0,"",$N8*'MF Rents'!CP8*'MF Rollover'!CM8)</f>
        <v>0</v>
      </c>
      <c r="CO8" s="149">
        <f>IF($B8=0,"",$N8*'MF Rents'!CQ8*'MF Rollover'!CN8)</f>
        <v>0</v>
      </c>
      <c r="CP8" s="149">
        <f>IF($B8=0,"",$N8*'MF Rents'!CR8*'MF Rollover'!CO8)</f>
        <v>0</v>
      </c>
      <c r="CQ8" s="149">
        <f>IF($B8=0,"",$N8*'MF Rents'!CS8*'MF Rollover'!CP8)</f>
        <v>0</v>
      </c>
      <c r="CR8" s="149">
        <f>IF($B8=0,"",$N8*'MF Rents'!CT8*'MF Rollover'!CQ8)</f>
        <v>0</v>
      </c>
      <c r="CS8" s="149">
        <f>IF($B8=0,"",$N8*'MF Rents'!CU8*'MF Rollover'!CR8)</f>
        <v>0</v>
      </c>
      <c r="CT8" s="149">
        <f>IF($B8=0,"",$N8*'MF Rents'!CV8*'MF Rollover'!CS8)</f>
        <v>0</v>
      </c>
      <c r="CU8" s="149">
        <f>IF($B8=0,"",$N8*'MF Rents'!CW8*'MF Rollover'!CT8)</f>
        <v>0</v>
      </c>
      <c r="CV8" s="149">
        <f>IF($B8=0,"",$N8*'MF Rents'!CX8*'MF Rollover'!CU8)</f>
        <v>0</v>
      </c>
      <c r="CW8" s="149">
        <f>IF($B8=0,"",$N8*'MF Rents'!CY8*'MF Rollover'!CV8)</f>
        <v>0</v>
      </c>
      <c r="CX8" s="149">
        <f>IF($B8=0,"",$N8*'MF Rents'!CZ8*'MF Rollover'!CW8)</f>
        <v>0</v>
      </c>
      <c r="CY8" s="149">
        <f>IF($B8=0,"",$N8*'MF Rents'!DA8*'MF Rollover'!CX8)</f>
        <v>0</v>
      </c>
      <c r="CZ8" s="149">
        <f>IF($B8=0,"",$N8*'MF Rents'!DB8*'MF Rollover'!CY8)</f>
        <v>0</v>
      </c>
      <c r="DA8" s="149">
        <f>IF($B8=0,"",$N8*'MF Rents'!DC8*'MF Rollover'!CZ8)</f>
        <v>0</v>
      </c>
      <c r="DB8" s="149">
        <f>IF($B8=0,"",$N8*'MF Rents'!DD8*'MF Rollover'!DA8)</f>
        <v>0</v>
      </c>
      <c r="DC8" s="149">
        <f>IF($B8=0,"",$N8*'MF Rents'!DE8*'MF Rollover'!DB8)</f>
        <v>0</v>
      </c>
      <c r="DD8" s="149">
        <f>IF($B8=0,"",$N8*'MF Rents'!DF8*'MF Rollover'!DC8)</f>
        <v>0</v>
      </c>
      <c r="DE8" s="149">
        <f>IF($B8=0,"",$N8*'MF Rents'!DG8*'MF Rollover'!DD8)</f>
        <v>0</v>
      </c>
      <c r="DF8" s="149">
        <f>IF($B8=0,"",$N8*'MF Rents'!DH8*'MF Rollover'!DE8)</f>
        <v>0</v>
      </c>
      <c r="DG8" s="149">
        <f>IF($B8=0,"",$N8*'MF Rents'!DI8*'MF Rollover'!DF8)</f>
        <v>0</v>
      </c>
      <c r="DH8" s="149">
        <f>IF($B8=0,"",$N8*'MF Rents'!DJ8*'MF Rollover'!DG8)</f>
        <v>0</v>
      </c>
      <c r="DI8" s="149">
        <f>IF($B8=0,"",$N8*'MF Rents'!DK8*'MF Rollover'!DH8)</f>
        <v>0</v>
      </c>
      <c r="DJ8" s="149">
        <f>IF($B8=0,"",$N8*'MF Rents'!DL8*'MF Rollover'!DI8)</f>
        <v>0</v>
      </c>
      <c r="DK8" s="149">
        <f>IF($B8=0,"",$N8*'MF Rents'!DM8*'MF Rollover'!DJ8)</f>
        <v>0</v>
      </c>
      <c r="DL8" s="149">
        <f>IF($B8=0,"",$N8*'MF Rents'!DN8*'MF Rollover'!DK8)</f>
        <v>0</v>
      </c>
      <c r="DM8" s="149">
        <f>IF($B8=0,"",$N8*'MF Rents'!DO8*'MF Rollover'!DL8)</f>
        <v>0</v>
      </c>
      <c r="DN8" s="149">
        <f>IF($B8=0,"",$N8*'MF Rents'!DP8*'MF Rollover'!DM8)</f>
        <v>0</v>
      </c>
      <c r="DO8" s="149">
        <f>IF($B8=0,"",$N8*'MF Rents'!DQ8*'MF Rollover'!DN8)</f>
        <v>0</v>
      </c>
      <c r="DP8" s="149">
        <f>IF($B8=0,"",$N8*'MF Rents'!DR8*'MF Rollover'!DO8)</f>
        <v>0</v>
      </c>
      <c r="DQ8" s="149">
        <f>IF($B8=0,"",$N8*'MF Rents'!DS8*'MF Rollover'!DP8)</f>
        <v>0</v>
      </c>
      <c r="DR8" s="149">
        <f>IF($B8=0,"",$N8*'MF Rents'!DT8*'MF Rollover'!DQ8)</f>
        <v>0</v>
      </c>
      <c r="DS8" s="149">
        <f>IF($B8=0,"",$N8*'MF Rents'!DU8*'MF Rollover'!DR8)</f>
        <v>0</v>
      </c>
      <c r="DT8" s="149">
        <f>IF($B8=0,"",$N8*'MF Rents'!DV8*'MF Rollover'!DS8)</f>
        <v>0</v>
      </c>
      <c r="DU8" s="149">
        <f>IF($B8=0,"",$N8*'MF Rents'!DW8*'MF Rollover'!DT8)</f>
        <v>0</v>
      </c>
      <c r="DV8" s="149">
        <f>IF($B8=0,"",$N8*'MF Rents'!DX8*'MF Rollover'!DU8)</f>
        <v>0</v>
      </c>
      <c r="DW8" s="149">
        <f>IF($B8=0,"",$N8*'MF Rents'!DY8*'MF Rollover'!DV8)</f>
        <v>0</v>
      </c>
      <c r="DX8" s="149">
        <f>IF($B8=0,"",$N8*'MF Rents'!DZ8*'MF Rollover'!DW8)</f>
        <v>0</v>
      </c>
      <c r="DY8" s="149">
        <f>IF($B8=0,"",$N8*'MF Rents'!EA8*'MF Rollover'!DX8)</f>
        <v>0</v>
      </c>
      <c r="DZ8" s="149">
        <f>IF($B8=0,"",$N8*'MF Rents'!EB8*'MF Rollover'!DY8)</f>
        <v>0</v>
      </c>
      <c r="EA8" s="149">
        <f>IF($B8=0,"",$N8*'MF Rents'!EC8*'MF Rollover'!DZ8)</f>
        <v>0</v>
      </c>
      <c r="EB8" s="149">
        <f>IF($B8=0,"",$N8*'MF Rents'!ED8*'MF Rollover'!EA8)</f>
        <v>0</v>
      </c>
      <c r="EC8" s="149">
        <f>IF($B8=0,"",$N8*'MF Rents'!EE8*'MF Rollover'!EB8)</f>
        <v>0</v>
      </c>
      <c r="ED8" s="149">
        <f>IF($B8=0,"",$N8*'MF Rents'!EF8*'MF Rollover'!EC8)</f>
        <v>0</v>
      </c>
      <c r="EE8" s="149">
        <f>IF($B8=0,"",$N8*'MF Rents'!EG8*'MF Rollover'!ED8)</f>
        <v>0</v>
      </c>
      <c r="EF8" s="149">
        <f>IF($B8=0,"",$N8*'MF Rents'!EH8*'MF Rollover'!EE8)</f>
        <v>0</v>
      </c>
      <c r="EG8" s="149">
        <f>IF($B8=0,"",$N8*'MF Rents'!EI8*'MF Rollover'!EF8)</f>
        <v>0</v>
      </c>
      <c r="EH8" s="149">
        <f>IF($B8=0,"",$N8*'MF Rents'!EJ8*'MF Rollover'!EG8)</f>
        <v>0</v>
      </c>
      <c r="EI8" s="149">
        <f>IF($B8=0,"",$N8*'MF Rents'!EK8*'MF Rollover'!EH8)</f>
        <v>0</v>
      </c>
      <c r="EJ8" s="149">
        <f>IF($B8=0,"",$N8*'MF Rents'!EL8*'MF Rollover'!EI8)</f>
        <v>0</v>
      </c>
      <c r="EK8" s="149">
        <f>IF($B8=0,"",$N8*'MF Rents'!EM8*'MF Rollover'!EJ8)</f>
        <v>0</v>
      </c>
      <c r="EL8" s="149">
        <f>IF($B8=0,"",$N8*'MF Rents'!EN8*'MF Rollover'!EK8)</f>
        <v>0</v>
      </c>
      <c r="EM8" s="149">
        <f>IF($B8=0,"",$N8*'MF Rents'!EO8*'MF Rollover'!EL8)</f>
        <v>0</v>
      </c>
      <c r="EN8" s="149">
        <f>IF($B8=0,"",$N8*'MF Rents'!EP8*'MF Rollover'!EM8)</f>
        <v>0</v>
      </c>
      <c r="EO8" s="149">
        <f>IF($B8=0,"",$N8*'MF Rents'!EQ8*'MF Rollover'!EN8)</f>
        <v>0</v>
      </c>
      <c r="EP8" s="149">
        <f>IF($B8=0,"",$N8*'MF Rents'!ER8*'MF Rollover'!EO8)</f>
        <v>0</v>
      </c>
      <c r="EQ8" s="149">
        <f>IF($B8=0,"",$N8*'MF Rents'!ES8*'MF Rollover'!EP8)</f>
        <v>0</v>
      </c>
      <c r="ER8" s="149">
        <f>IF($B8=0,"",$N8*'MF Rents'!ET8*'MF Rollover'!EQ8)</f>
        <v>0</v>
      </c>
      <c r="ES8" s="149">
        <f>IF($B8=0,"",$N8*'MF Rents'!EU8*'MF Rollover'!ER8)</f>
        <v>0</v>
      </c>
      <c r="ET8" s="149">
        <f>IF($B8=0,"",$N8*'MF Rents'!EV8*'MF Rollover'!ES8)</f>
        <v>0</v>
      </c>
      <c r="EU8" s="149">
        <f>IF($B8=0,"",$N8*'MF Rents'!EW8*'MF Rollover'!ET8)</f>
        <v>0</v>
      </c>
      <c r="EV8" s="149">
        <f>IF($B8=0,"",$N8*'MF Rents'!EX8*'MF Rollover'!EU8)</f>
        <v>0</v>
      </c>
      <c r="EW8" s="149">
        <f>IF($B8=0,"",$N8*'MF Rents'!EY8*'MF Rollover'!EV8)</f>
        <v>0</v>
      </c>
      <c r="EX8" s="149">
        <f>IF($B8=0,"",$N8*'MF Rents'!EZ8*'MF Rollover'!EW8)</f>
        <v>0</v>
      </c>
      <c r="EY8" s="149">
        <f>IF($B8=0,"",$N8*'MF Rents'!FA8*'MF Rollover'!EX8)</f>
        <v>0</v>
      </c>
      <c r="EZ8" s="149">
        <f>IF($B8=0,"",$N8*'MF Rents'!FB8*'MF Rollover'!EY8)</f>
        <v>0</v>
      </c>
      <c r="FA8" s="149">
        <f>IF($B8=0,"",$N8*'MF Rents'!FC8*'MF Rollover'!EZ8)</f>
        <v>0</v>
      </c>
      <c r="FB8" s="149">
        <f>IF($B8=0,"",$N8*'MF Rents'!FD8*'MF Rollover'!FA8)</f>
        <v>0</v>
      </c>
      <c r="FC8" s="149">
        <f>IF($B8=0,"",$N8*'MF Rents'!FE8*'MF Rollover'!FB8)</f>
        <v>0</v>
      </c>
      <c r="FD8" s="149">
        <f>IF($B8=0,"",$N8*'MF Rents'!FF8*'MF Rollover'!FC8)</f>
        <v>0</v>
      </c>
      <c r="FE8" s="149">
        <f>IF($B8=0,"",$N8*'MF Rents'!FG8*'MF Rollover'!FD8)</f>
        <v>0</v>
      </c>
      <c r="FF8" s="149">
        <f>IF($B8=0,"",$N8*'MF Rents'!FH8*'MF Rollover'!FE8)</f>
        <v>0</v>
      </c>
      <c r="FG8" s="149">
        <f>IF($B8=0,"",$N8*'MF Rents'!FI8*'MF Rollover'!FF8)</f>
        <v>0</v>
      </c>
      <c r="FH8" s="149">
        <f>IF($B8=0,"",$N8*'MF Rents'!FJ8*'MF Rollover'!FG8)</f>
        <v>0</v>
      </c>
      <c r="FI8" s="149">
        <f>IF($B8=0,"",$N8*'MF Rents'!FK8*'MF Rollover'!FH8)</f>
        <v>0</v>
      </c>
      <c r="FJ8" s="149">
        <f>IF($B8=0,"",$N8*'MF Rents'!FL8*'MF Rollover'!FI8)</f>
        <v>0</v>
      </c>
      <c r="FK8" s="149">
        <f>IF($B8=0,"",$N8*'MF Rents'!FM8*'MF Rollover'!FJ8)</f>
        <v>0</v>
      </c>
      <c r="FL8" s="149">
        <f>IF($B8=0,"",$N8*'MF Rents'!FN8*'MF Rollover'!FK8)</f>
        <v>0</v>
      </c>
      <c r="FM8" s="149">
        <f>IF($B8=0,"",$N8*'MF Rents'!FO8*'MF Rollover'!FL8)</f>
        <v>0</v>
      </c>
      <c r="FN8" s="149">
        <f>IF($B8=0,"",$N8*'MF Rents'!FP8*'MF Rollover'!FM8)</f>
        <v>0</v>
      </c>
      <c r="FO8" s="149">
        <f>IF($B8=0,"",$N8*'MF Rents'!FQ8*'MF Rollover'!FN8)</f>
        <v>0</v>
      </c>
      <c r="FP8" s="149">
        <f>IF($B8=0,"",$N8*'MF Rents'!FR8*'MF Rollover'!FO8)</f>
        <v>0</v>
      </c>
      <c r="FQ8" s="149">
        <f>IF($B8=0,"",$N8*'MF Rents'!FS8*'MF Rollover'!FP8)</f>
        <v>0</v>
      </c>
      <c r="FR8" s="149">
        <f>IF($B8=0,"",$N8*'MF Rents'!FT8*'MF Rollover'!FQ8)</f>
        <v>0</v>
      </c>
      <c r="FS8" s="149">
        <f>IF($B8=0,"",$N8*'MF Rents'!FU8*'MF Rollover'!FR8)</f>
        <v>0</v>
      </c>
      <c r="FT8" s="149">
        <f>IF($B8=0,"",$N8*'MF Rents'!FV8*'MF Rollover'!FS8)</f>
        <v>0</v>
      </c>
      <c r="FU8" s="149">
        <f>IF($B8=0,"",$N8*'MF Rents'!FW8*'MF Rollover'!FT8)</f>
        <v>0</v>
      </c>
      <c r="FV8" s="149">
        <f>IF($B8=0,"",$N8*'MF Rents'!FX8*'MF Rollover'!FU8)</f>
        <v>0</v>
      </c>
      <c r="FW8" s="149">
        <f>IF($B8=0,"",$N8*'MF Rents'!FY8*'MF Rollover'!FV8)</f>
        <v>0</v>
      </c>
      <c r="FX8" s="149">
        <f>IF($B8=0,"",$N8*'MF Rents'!FZ8*'MF Rollover'!FW8)</f>
        <v>0</v>
      </c>
      <c r="FY8" s="149">
        <f>IF($B8=0,"",$N8*'MF Rents'!GA8*'MF Rollover'!FX8)</f>
        <v>0</v>
      </c>
      <c r="FZ8" s="149">
        <f>IF($B8=0,"",$N8*'MF Rents'!GB8*'MF Rollover'!FY8)</f>
        <v>0</v>
      </c>
      <c r="GA8" s="149">
        <f>IF($B8=0,"",$N8*'MF Rents'!GC8*'MF Rollover'!FZ8)</f>
        <v>0</v>
      </c>
      <c r="GB8" s="149">
        <f>IF($B8=0,"",$N8*'MF Rents'!GD8*'MF Rollover'!GA8)</f>
        <v>0</v>
      </c>
      <c r="GC8" s="149">
        <f>IF($B8=0,"",$N8*'MF Rents'!GE8*'MF Rollover'!GB8)</f>
        <v>0</v>
      </c>
      <c r="GD8" s="149">
        <f>IF($B8=0,"",$N8*'MF Rents'!GF8*'MF Rollover'!GC8)</f>
        <v>0</v>
      </c>
      <c r="GE8" s="149">
        <f>IF($B8=0,"",$N8*'MF Rents'!GG8*'MF Rollover'!GD8)</f>
        <v>0</v>
      </c>
      <c r="GF8" s="149">
        <f>IF($B8=0,"",$N8*'MF Rents'!GH8*'MF Rollover'!GE8)</f>
        <v>0</v>
      </c>
      <c r="GG8" s="149">
        <f>IF($B8=0,"",$N8*'MF Rents'!GI8*'MF Rollover'!GF8)</f>
        <v>0</v>
      </c>
      <c r="GH8" s="149">
        <f>IF($B8=0,"",$N8*'MF Rents'!GJ8*'MF Rollover'!GG8)</f>
        <v>0</v>
      </c>
      <c r="GI8" s="149">
        <f>IF($B8=0,"",$N8*'MF Rents'!GK8*'MF Rollover'!GH8)</f>
        <v>0</v>
      </c>
      <c r="GJ8" s="149">
        <f>IF($B8=0,"",$N8*'MF Rents'!GL8*'MF Rollover'!GI8)</f>
        <v>0</v>
      </c>
      <c r="GK8" s="149">
        <f>IF($B8=0,"",$N8*'MF Rents'!GM8*'MF Rollover'!GJ8)</f>
        <v>0</v>
      </c>
      <c r="GL8" s="149">
        <f>IF($B8=0,"",$N8*'MF Rents'!GN8*'MF Rollover'!GK8)</f>
        <v>0</v>
      </c>
      <c r="GM8" s="149">
        <f>IF($B8=0,"",$N8*'MF Rents'!GO8*'MF Rollover'!GL8)</f>
        <v>0</v>
      </c>
      <c r="GN8" s="149">
        <f>IF($B8=0,"",$N8*'MF Rents'!GP8*'MF Rollover'!GM8)</f>
        <v>0</v>
      </c>
      <c r="GO8" s="149">
        <f>IF($B8=0,"",$N8*'MF Rents'!GQ8*'MF Rollover'!GN8)</f>
        <v>0</v>
      </c>
      <c r="GP8" s="149">
        <f>IF($B8=0,"",$N8*'MF Rents'!GR8*'MF Rollover'!GO8)</f>
        <v>0</v>
      </c>
    </row>
    <row r="9" spans="2:198" x14ac:dyDescent="0.3">
      <c r="B9" s="184" t="str">
        <f>'MF Rent Roll'!B8</f>
        <v>2bd/1.5ba</v>
      </c>
      <c r="C9" s="171">
        <f>'MF Rent Roll'!C8</f>
        <v>12</v>
      </c>
      <c r="D9" s="172">
        <f>'MF Rent Roll'!D8</f>
        <v>2</v>
      </c>
      <c r="E9" s="172">
        <f>'MF Rent Roll'!E8</f>
        <v>1.5</v>
      </c>
      <c r="F9" s="173">
        <f>'MF Rent Roll'!F8</f>
        <v>1025</v>
      </c>
      <c r="G9" s="174">
        <f>'MF Rent Roll'!G8</f>
        <v>850</v>
      </c>
      <c r="H9" s="176">
        <f>'MF Rent Roll'!J8</f>
        <v>12</v>
      </c>
      <c r="I9" s="174">
        <f>'MF Rent Roll'!K8</f>
        <v>65</v>
      </c>
      <c r="J9" s="177">
        <f>'MF Rent Roll'!L8</f>
        <v>0</v>
      </c>
      <c r="K9" s="178">
        <f>'MF Rent Roll'!M8</f>
        <v>25</v>
      </c>
      <c r="L9" s="174">
        <f>'MF Rent Roll'!N8</f>
        <v>350</v>
      </c>
      <c r="M9" s="179">
        <f>'MF Rent Roll'!O8</f>
        <v>0.6</v>
      </c>
      <c r="N9" s="180">
        <f>'MF Rent Roll'!P8</f>
        <v>0</v>
      </c>
      <c r="O9" s="181">
        <f>'MF Rent Roll'!Q8</f>
        <v>10</v>
      </c>
      <c r="P9" s="104">
        <f>'MF Rent Roll'!R8</f>
        <v>140</v>
      </c>
      <c r="S9" s="149">
        <f>IF($B9=0,"",$N9*'MF Rents'!U9*'MF Rollover'!R9)</f>
        <v>0</v>
      </c>
      <c r="T9" s="149">
        <f>IF($B9=0,"",$N9*'MF Rents'!V9*'MF Rollover'!S9)</f>
        <v>0</v>
      </c>
      <c r="U9" s="149">
        <f>IF($B9=0,"",$N9*'MF Rents'!W9*'MF Rollover'!T9)</f>
        <v>0</v>
      </c>
      <c r="V9" s="149">
        <f>IF($B9=0,"",$N9*'MF Rents'!X9*'MF Rollover'!U9)</f>
        <v>0</v>
      </c>
      <c r="W9" s="149">
        <f>IF($B9=0,"",$N9*'MF Rents'!Y9*'MF Rollover'!V9)</f>
        <v>0</v>
      </c>
      <c r="X9" s="149">
        <f>IF($B9=0,"",$N9*'MF Rents'!Z9*'MF Rollover'!W9)</f>
        <v>0</v>
      </c>
      <c r="Y9" s="149">
        <f>IF($B9=0,"",$N9*'MF Rents'!AA9*'MF Rollover'!X9)</f>
        <v>0</v>
      </c>
      <c r="Z9" s="149">
        <f>IF($B9=0,"",$N9*'MF Rents'!AB9*'MF Rollover'!Y9)</f>
        <v>0</v>
      </c>
      <c r="AA9" s="149">
        <f>IF($B9=0,"",$N9*'MF Rents'!AC9*'MF Rollover'!Z9)</f>
        <v>0</v>
      </c>
      <c r="AB9" s="149">
        <f>IF($B9=0,"",$N9*'MF Rents'!AD9*'MF Rollover'!AA9)</f>
        <v>0</v>
      </c>
      <c r="AC9" s="149">
        <f>IF($B9=0,"",$N9*'MF Rents'!AE9*'MF Rollover'!AB9)</f>
        <v>0</v>
      </c>
      <c r="AD9" s="149">
        <f>IF($B9=0,"",$N9*'MF Rents'!AF9*'MF Rollover'!AC9)</f>
        <v>0</v>
      </c>
      <c r="AE9" s="149">
        <f>IF($B9=0,"",$N9*'MF Rents'!AG9*'MF Rollover'!AD9)</f>
        <v>0</v>
      </c>
      <c r="AF9" s="149">
        <f>IF($B9=0,"",$N9*'MF Rents'!AH9*'MF Rollover'!AE9)</f>
        <v>0</v>
      </c>
      <c r="AG9" s="149">
        <f>IF($B9=0,"",$N9*'MF Rents'!AI9*'MF Rollover'!AF9)</f>
        <v>0</v>
      </c>
      <c r="AH9" s="149">
        <f>IF($B9=0,"",$N9*'MF Rents'!AJ9*'MF Rollover'!AG9)</f>
        <v>0</v>
      </c>
      <c r="AI9" s="149">
        <f>IF($B9=0,"",$N9*'MF Rents'!AK9*'MF Rollover'!AH9)</f>
        <v>0</v>
      </c>
      <c r="AJ9" s="149">
        <f>IF($B9=0,"",$N9*'MF Rents'!AL9*'MF Rollover'!AI9)</f>
        <v>0</v>
      </c>
      <c r="AK9" s="149">
        <f>IF($B9=0,"",$N9*'MF Rents'!AM9*'MF Rollover'!AJ9)</f>
        <v>0</v>
      </c>
      <c r="AL9" s="149">
        <f>IF($B9=0,"",$N9*'MF Rents'!AN9*'MF Rollover'!AK9)</f>
        <v>0</v>
      </c>
      <c r="AM9" s="149">
        <f>IF($B9=0,"",$N9*'MF Rents'!AO9*'MF Rollover'!AL9)</f>
        <v>0</v>
      </c>
      <c r="AN9" s="149">
        <f>IF($B9=0,"",$N9*'MF Rents'!AP9*'MF Rollover'!AM9)</f>
        <v>0</v>
      </c>
      <c r="AO9" s="149">
        <f>IF($B9=0,"",$N9*'MF Rents'!AQ9*'MF Rollover'!AN9)</f>
        <v>0</v>
      </c>
      <c r="AP9" s="149">
        <f>IF($B9=0,"",$N9*'MF Rents'!AR9*'MF Rollover'!AO9)</f>
        <v>0</v>
      </c>
      <c r="AQ9" s="149">
        <f>IF($B9=0,"",$N9*'MF Rents'!AS9*'MF Rollover'!AP9)</f>
        <v>0</v>
      </c>
      <c r="AR9" s="149">
        <f>IF($B9=0,"",$N9*'MF Rents'!AT9*'MF Rollover'!AQ9)</f>
        <v>0</v>
      </c>
      <c r="AS9" s="149">
        <f>IF($B9=0,"",$N9*'MF Rents'!AU9*'MF Rollover'!AR9)</f>
        <v>0</v>
      </c>
      <c r="AT9" s="149">
        <f>IF($B9=0,"",$N9*'MF Rents'!AV9*'MF Rollover'!AS9)</f>
        <v>0</v>
      </c>
      <c r="AU9" s="149">
        <f>IF($B9=0,"",$N9*'MF Rents'!AW9*'MF Rollover'!AT9)</f>
        <v>0</v>
      </c>
      <c r="AV9" s="149">
        <f>IF($B9=0,"",$N9*'MF Rents'!AX9*'MF Rollover'!AU9)</f>
        <v>0</v>
      </c>
      <c r="AW9" s="149">
        <f>IF($B9=0,"",$N9*'MF Rents'!AY9*'MF Rollover'!AV9)</f>
        <v>0</v>
      </c>
      <c r="AX9" s="149">
        <f>IF($B9=0,"",$N9*'MF Rents'!AZ9*'MF Rollover'!AW9)</f>
        <v>0</v>
      </c>
      <c r="AY9" s="149">
        <f>IF($B9=0,"",$N9*'MF Rents'!BA9*'MF Rollover'!AX9)</f>
        <v>0</v>
      </c>
      <c r="AZ9" s="149">
        <f>IF($B9=0,"",$N9*'MF Rents'!BB9*'MF Rollover'!AY9)</f>
        <v>0</v>
      </c>
      <c r="BA9" s="149">
        <f>IF($B9=0,"",$N9*'MF Rents'!BC9*'MF Rollover'!AZ9)</f>
        <v>0</v>
      </c>
      <c r="BB9" s="149">
        <f>IF($B9=0,"",$N9*'MF Rents'!BD9*'MF Rollover'!BA9)</f>
        <v>0</v>
      </c>
      <c r="BC9" s="149">
        <f>IF($B9=0,"",$N9*'MF Rents'!BE9*'MF Rollover'!BB9)</f>
        <v>0</v>
      </c>
      <c r="BD9" s="149">
        <f>IF($B9=0,"",$N9*'MF Rents'!BF9*'MF Rollover'!BC9)</f>
        <v>0</v>
      </c>
      <c r="BE9" s="149">
        <f>IF($B9=0,"",$N9*'MF Rents'!BG9*'MF Rollover'!BD9)</f>
        <v>0</v>
      </c>
      <c r="BF9" s="149">
        <f>IF($B9=0,"",$N9*'MF Rents'!BH9*'MF Rollover'!BE9)</f>
        <v>0</v>
      </c>
      <c r="BG9" s="149">
        <f>IF($B9=0,"",$N9*'MF Rents'!BI9*'MF Rollover'!BF9)</f>
        <v>0</v>
      </c>
      <c r="BH9" s="149">
        <f>IF($B9=0,"",$N9*'MF Rents'!BJ9*'MF Rollover'!BG9)</f>
        <v>0</v>
      </c>
      <c r="BI9" s="149">
        <f>IF($B9=0,"",$N9*'MF Rents'!BK9*'MF Rollover'!BH9)</f>
        <v>0</v>
      </c>
      <c r="BJ9" s="149">
        <f>IF($B9=0,"",$N9*'MF Rents'!BL9*'MF Rollover'!BI9)</f>
        <v>0</v>
      </c>
      <c r="BK9" s="149">
        <f>IF($B9=0,"",$N9*'MF Rents'!BM9*'MF Rollover'!BJ9)</f>
        <v>0</v>
      </c>
      <c r="BL9" s="149">
        <f>IF($B9=0,"",$N9*'MF Rents'!BN9*'MF Rollover'!BK9)</f>
        <v>0</v>
      </c>
      <c r="BM9" s="149">
        <f>IF($B9=0,"",$N9*'MF Rents'!BO9*'MF Rollover'!BL9)</f>
        <v>0</v>
      </c>
      <c r="BN9" s="149">
        <f>IF($B9=0,"",$N9*'MF Rents'!BP9*'MF Rollover'!BM9)</f>
        <v>0</v>
      </c>
      <c r="BO9" s="149">
        <f>IF($B9=0,"",$N9*'MF Rents'!BQ9*'MF Rollover'!BN9)</f>
        <v>0</v>
      </c>
      <c r="BP9" s="149">
        <f>IF($B9=0,"",$N9*'MF Rents'!BR9*'MF Rollover'!BO9)</f>
        <v>0</v>
      </c>
      <c r="BQ9" s="149">
        <f>IF($B9=0,"",$N9*'MF Rents'!BS9*'MF Rollover'!BP9)</f>
        <v>0</v>
      </c>
      <c r="BR9" s="149">
        <f>IF($B9=0,"",$N9*'MF Rents'!BT9*'MF Rollover'!BQ9)</f>
        <v>0</v>
      </c>
      <c r="BS9" s="149">
        <f>IF($B9=0,"",$N9*'MF Rents'!BU9*'MF Rollover'!BR9)</f>
        <v>0</v>
      </c>
      <c r="BT9" s="149">
        <f>IF($B9=0,"",$N9*'MF Rents'!BV9*'MF Rollover'!BS9)</f>
        <v>0</v>
      </c>
      <c r="BU9" s="149">
        <f>IF($B9=0,"",$N9*'MF Rents'!BW9*'MF Rollover'!BT9)</f>
        <v>0</v>
      </c>
      <c r="BV9" s="149">
        <f>IF($B9=0,"",$N9*'MF Rents'!BX9*'MF Rollover'!BU9)</f>
        <v>0</v>
      </c>
      <c r="BW9" s="149">
        <f>IF($B9=0,"",$N9*'MF Rents'!BY9*'MF Rollover'!BV9)</f>
        <v>0</v>
      </c>
      <c r="BX9" s="149">
        <f>IF($B9=0,"",$N9*'MF Rents'!BZ9*'MF Rollover'!BW9)</f>
        <v>0</v>
      </c>
      <c r="BY9" s="149">
        <f>IF($B9=0,"",$N9*'MF Rents'!CA9*'MF Rollover'!BX9)</f>
        <v>0</v>
      </c>
      <c r="BZ9" s="149">
        <f>IF($B9=0,"",$N9*'MF Rents'!CB9*'MF Rollover'!BY9)</f>
        <v>0</v>
      </c>
      <c r="CA9" s="149">
        <f>IF($B9=0,"",$N9*'MF Rents'!CC9*'MF Rollover'!BZ9)</f>
        <v>0</v>
      </c>
      <c r="CB9" s="149">
        <f>IF($B9=0,"",$N9*'MF Rents'!CD9*'MF Rollover'!CA9)</f>
        <v>0</v>
      </c>
      <c r="CC9" s="149">
        <f>IF($B9=0,"",$N9*'MF Rents'!CE9*'MF Rollover'!CB9)</f>
        <v>0</v>
      </c>
      <c r="CD9" s="149">
        <f>IF($B9=0,"",$N9*'MF Rents'!CF9*'MF Rollover'!CC9)</f>
        <v>0</v>
      </c>
      <c r="CE9" s="149">
        <f>IF($B9=0,"",$N9*'MF Rents'!CG9*'MF Rollover'!CD9)</f>
        <v>0</v>
      </c>
      <c r="CF9" s="149">
        <f>IF($B9=0,"",$N9*'MF Rents'!CH9*'MF Rollover'!CE9)</f>
        <v>0</v>
      </c>
      <c r="CG9" s="149">
        <f>IF($B9=0,"",$N9*'MF Rents'!CI9*'MF Rollover'!CF9)</f>
        <v>0</v>
      </c>
      <c r="CH9" s="149">
        <f>IF($B9=0,"",$N9*'MF Rents'!CJ9*'MF Rollover'!CG9)</f>
        <v>0</v>
      </c>
      <c r="CI9" s="149">
        <f>IF($B9=0,"",$N9*'MF Rents'!CK9*'MF Rollover'!CH9)</f>
        <v>0</v>
      </c>
      <c r="CJ9" s="149">
        <f>IF($B9=0,"",$N9*'MF Rents'!CL9*'MF Rollover'!CI9)</f>
        <v>0</v>
      </c>
      <c r="CK9" s="149">
        <f>IF($B9=0,"",$N9*'MF Rents'!CM9*'MF Rollover'!CJ9)</f>
        <v>0</v>
      </c>
      <c r="CL9" s="149">
        <f>IF($B9=0,"",$N9*'MF Rents'!CN9*'MF Rollover'!CK9)</f>
        <v>0</v>
      </c>
      <c r="CM9" s="149">
        <f>IF($B9=0,"",$N9*'MF Rents'!CO9*'MF Rollover'!CL9)</f>
        <v>0</v>
      </c>
      <c r="CN9" s="149">
        <f>IF($B9=0,"",$N9*'MF Rents'!CP9*'MF Rollover'!CM9)</f>
        <v>0</v>
      </c>
      <c r="CO9" s="149">
        <f>IF($B9=0,"",$N9*'MF Rents'!CQ9*'MF Rollover'!CN9)</f>
        <v>0</v>
      </c>
      <c r="CP9" s="149">
        <f>IF($B9=0,"",$N9*'MF Rents'!CR9*'MF Rollover'!CO9)</f>
        <v>0</v>
      </c>
      <c r="CQ9" s="149">
        <f>IF($B9=0,"",$N9*'MF Rents'!CS9*'MF Rollover'!CP9)</f>
        <v>0</v>
      </c>
      <c r="CR9" s="149">
        <f>IF($B9=0,"",$N9*'MF Rents'!CT9*'MF Rollover'!CQ9)</f>
        <v>0</v>
      </c>
      <c r="CS9" s="149">
        <f>IF($B9=0,"",$N9*'MF Rents'!CU9*'MF Rollover'!CR9)</f>
        <v>0</v>
      </c>
      <c r="CT9" s="149">
        <f>IF($B9=0,"",$N9*'MF Rents'!CV9*'MF Rollover'!CS9)</f>
        <v>0</v>
      </c>
      <c r="CU9" s="149">
        <f>IF($B9=0,"",$N9*'MF Rents'!CW9*'MF Rollover'!CT9)</f>
        <v>0</v>
      </c>
      <c r="CV9" s="149">
        <f>IF($B9=0,"",$N9*'MF Rents'!CX9*'MF Rollover'!CU9)</f>
        <v>0</v>
      </c>
      <c r="CW9" s="149">
        <f>IF($B9=0,"",$N9*'MF Rents'!CY9*'MF Rollover'!CV9)</f>
        <v>0</v>
      </c>
      <c r="CX9" s="149">
        <f>IF($B9=0,"",$N9*'MF Rents'!CZ9*'MF Rollover'!CW9)</f>
        <v>0</v>
      </c>
      <c r="CY9" s="149">
        <f>IF($B9=0,"",$N9*'MF Rents'!DA9*'MF Rollover'!CX9)</f>
        <v>0</v>
      </c>
      <c r="CZ9" s="149">
        <f>IF($B9=0,"",$N9*'MF Rents'!DB9*'MF Rollover'!CY9)</f>
        <v>0</v>
      </c>
      <c r="DA9" s="149">
        <f>IF($B9=0,"",$N9*'MF Rents'!DC9*'MF Rollover'!CZ9)</f>
        <v>0</v>
      </c>
      <c r="DB9" s="149">
        <f>IF($B9=0,"",$N9*'MF Rents'!DD9*'MF Rollover'!DA9)</f>
        <v>0</v>
      </c>
      <c r="DC9" s="149">
        <f>IF($B9=0,"",$N9*'MF Rents'!DE9*'MF Rollover'!DB9)</f>
        <v>0</v>
      </c>
      <c r="DD9" s="149">
        <f>IF($B9=0,"",$N9*'MF Rents'!DF9*'MF Rollover'!DC9)</f>
        <v>0</v>
      </c>
      <c r="DE9" s="149">
        <f>IF($B9=0,"",$N9*'MF Rents'!DG9*'MF Rollover'!DD9)</f>
        <v>0</v>
      </c>
      <c r="DF9" s="149">
        <f>IF($B9=0,"",$N9*'MF Rents'!DH9*'MF Rollover'!DE9)</f>
        <v>0</v>
      </c>
      <c r="DG9" s="149">
        <f>IF($B9=0,"",$N9*'MF Rents'!DI9*'MF Rollover'!DF9)</f>
        <v>0</v>
      </c>
      <c r="DH9" s="149">
        <f>IF($B9=0,"",$N9*'MF Rents'!DJ9*'MF Rollover'!DG9)</f>
        <v>0</v>
      </c>
      <c r="DI9" s="149">
        <f>IF($B9=0,"",$N9*'MF Rents'!DK9*'MF Rollover'!DH9)</f>
        <v>0</v>
      </c>
      <c r="DJ9" s="149">
        <f>IF($B9=0,"",$N9*'MF Rents'!DL9*'MF Rollover'!DI9)</f>
        <v>0</v>
      </c>
      <c r="DK9" s="149">
        <f>IF($B9=0,"",$N9*'MF Rents'!DM9*'MF Rollover'!DJ9)</f>
        <v>0</v>
      </c>
      <c r="DL9" s="149">
        <f>IF($B9=0,"",$N9*'MF Rents'!DN9*'MF Rollover'!DK9)</f>
        <v>0</v>
      </c>
      <c r="DM9" s="149">
        <f>IF($B9=0,"",$N9*'MF Rents'!DO9*'MF Rollover'!DL9)</f>
        <v>0</v>
      </c>
      <c r="DN9" s="149">
        <f>IF($B9=0,"",$N9*'MF Rents'!DP9*'MF Rollover'!DM9)</f>
        <v>0</v>
      </c>
      <c r="DO9" s="149">
        <f>IF($B9=0,"",$N9*'MF Rents'!DQ9*'MF Rollover'!DN9)</f>
        <v>0</v>
      </c>
      <c r="DP9" s="149">
        <f>IF($B9=0,"",$N9*'MF Rents'!DR9*'MF Rollover'!DO9)</f>
        <v>0</v>
      </c>
      <c r="DQ9" s="149">
        <f>IF($B9=0,"",$N9*'MF Rents'!DS9*'MF Rollover'!DP9)</f>
        <v>0</v>
      </c>
      <c r="DR9" s="149">
        <f>IF($B9=0,"",$N9*'MF Rents'!DT9*'MF Rollover'!DQ9)</f>
        <v>0</v>
      </c>
      <c r="DS9" s="149">
        <f>IF($B9=0,"",$N9*'MF Rents'!DU9*'MF Rollover'!DR9)</f>
        <v>0</v>
      </c>
      <c r="DT9" s="149">
        <f>IF($B9=0,"",$N9*'MF Rents'!DV9*'MF Rollover'!DS9)</f>
        <v>0</v>
      </c>
      <c r="DU9" s="149">
        <f>IF($B9=0,"",$N9*'MF Rents'!DW9*'MF Rollover'!DT9)</f>
        <v>0</v>
      </c>
      <c r="DV9" s="149">
        <f>IF($B9=0,"",$N9*'MF Rents'!DX9*'MF Rollover'!DU9)</f>
        <v>0</v>
      </c>
      <c r="DW9" s="149">
        <f>IF($B9=0,"",$N9*'MF Rents'!DY9*'MF Rollover'!DV9)</f>
        <v>0</v>
      </c>
      <c r="DX9" s="149">
        <f>IF($B9=0,"",$N9*'MF Rents'!DZ9*'MF Rollover'!DW9)</f>
        <v>0</v>
      </c>
      <c r="DY9" s="149">
        <f>IF($B9=0,"",$N9*'MF Rents'!EA9*'MF Rollover'!DX9)</f>
        <v>0</v>
      </c>
      <c r="DZ9" s="149">
        <f>IF($B9=0,"",$N9*'MF Rents'!EB9*'MF Rollover'!DY9)</f>
        <v>0</v>
      </c>
      <c r="EA9" s="149">
        <f>IF($B9=0,"",$N9*'MF Rents'!EC9*'MF Rollover'!DZ9)</f>
        <v>0</v>
      </c>
      <c r="EB9" s="149">
        <f>IF($B9=0,"",$N9*'MF Rents'!ED9*'MF Rollover'!EA9)</f>
        <v>0</v>
      </c>
      <c r="EC9" s="149">
        <f>IF($B9=0,"",$N9*'MF Rents'!EE9*'MF Rollover'!EB9)</f>
        <v>0</v>
      </c>
      <c r="ED9" s="149">
        <f>IF($B9=0,"",$N9*'MF Rents'!EF9*'MF Rollover'!EC9)</f>
        <v>0</v>
      </c>
      <c r="EE9" s="149">
        <f>IF($B9=0,"",$N9*'MF Rents'!EG9*'MF Rollover'!ED9)</f>
        <v>0</v>
      </c>
      <c r="EF9" s="149">
        <f>IF($B9=0,"",$N9*'MF Rents'!EH9*'MF Rollover'!EE9)</f>
        <v>0</v>
      </c>
      <c r="EG9" s="149">
        <f>IF($B9=0,"",$N9*'MF Rents'!EI9*'MF Rollover'!EF9)</f>
        <v>0</v>
      </c>
      <c r="EH9" s="149">
        <f>IF($B9=0,"",$N9*'MF Rents'!EJ9*'MF Rollover'!EG9)</f>
        <v>0</v>
      </c>
      <c r="EI9" s="149">
        <f>IF($B9=0,"",$N9*'MF Rents'!EK9*'MF Rollover'!EH9)</f>
        <v>0</v>
      </c>
      <c r="EJ9" s="149">
        <f>IF($B9=0,"",$N9*'MF Rents'!EL9*'MF Rollover'!EI9)</f>
        <v>0</v>
      </c>
      <c r="EK9" s="149">
        <f>IF($B9=0,"",$N9*'MF Rents'!EM9*'MF Rollover'!EJ9)</f>
        <v>0</v>
      </c>
      <c r="EL9" s="149">
        <f>IF($B9=0,"",$N9*'MF Rents'!EN9*'MF Rollover'!EK9)</f>
        <v>0</v>
      </c>
      <c r="EM9" s="149">
        <f>IF($B9=0,"",$N9*'MF Rents'!EO9*'MF Rollover'!EL9)</f>
        <v>0</v>
      </c>
      <c r="EN9" s="149">
        <f>IF($B9=0,"",$N9*'MF Rents'!EP9*'MF Rollover'!EM9)</f>
        <v>0</v>
      </c>
      <c r="EO9" s="149">
        <f>IF($B9=0,"",$N9*'MF Rents'!EQ9*'MF Rollover'!EN9)</f>
        <v>0</v>
      </c>
      <c r="EP9" s="149">
        <f>IF($B9=0,"",$N9*'MF Rents'!ER9*'MF Rollover'!EO9)</f>
        <v>0</v>
      </c>
      <c r="EQ9" s="149">
        <f>IF($B9=0,"",$N9*'MF Rents'!ES9*'MF Rollover'!EP9)</f>
        <v>0</v>
      </c>
      <c r="ER9" s="149">
        <f>IF($B9=0,"",$N9*'MF Rents'!ET9*'MF Rollover'!EQ9)</f>
        <v>0</v>
      </c>
      <c r="ES9" s="149">
        <f>IF($B9=0,"",$N9*'MF Rents'!EU9*'MF Rollover'!ER9)</f>
        <v>0</v>
      </c>
      <c r="ET9" s="149">
        <f>IF($B9=0,"",$N9*'MF Rents'!EV9*'MF Rollover'!ES9)</f>
        <v>0</v>
      </c>
      <c r="EU9" s="149">
        <f>IF($B9=0,"",$N9*'MF Rents'!EW9*'MF Rollover'!ET9)</f>
        <v>0</v>
      </c>
      <c r="EV9" s="149">
        <f>IF($B9=0,"",$N9*'MF Rents'!EX9*'MF Rollover'!EU9)</f>
        <v>0</v>
      </c>
      <c r="EW9" s="149">
        <f>IF($B9=0,"",$N9*'MF Rents'!EY9*'MF Rollover'!EV9)</f>
        <v>0</v>
      </c>
      <c r="EX9" s="149">
        <f>IF($B9=0,"",$N9*'MF Rents'!EZ9*'MF Rollover'!EW9)</f>
        <v>0</v>
      </c>
      <c r="EY9" s="149">
        <f>IF($B9=0,"",$N9*'MF Rents'!FA9*'MF Rollover'!EX9)</f>
        <v>0</v>
      </c>
      <c r="EZ9" s="149">
        <f>IF($B9=0,"",$N9*'MF Rents'!FB9*'MF Rollover'!EY9)</f>
        <v>0</v>
      </c>
      <c r="FA9" s="149">
        <f>IF($B9=0,"",$N9*'MF Rents'!FC9*'MF Rollover'!EZ9)</f>
        <v>0</v>
      </c>
      <c r="FB9" s="149">
        <f>IF($B9=0,"",$N9*'MF Rents'!FD9*'MF Rollover'!FA9)</f>
        <v>0</v>
      </c>
      <c r="FC9" s="149">
        <f>IF($B9=0,"",$N9*'MF Rents'!FE9*'MF Rollover'!FB9)</f>
        <v>0</v>
      </c>
      <c r="FD9" s="149">
        <f>IF($B9=0,"",$N9*'MF Rents'!FF9*'MF Rollover'!FC9)</f>
        <v>0</v>
      </c>
      <c r="FE9" s="149">
        <f>IF($B9=0,"",$N9*'MF Rents'!FG9*'MF Rollover'!FD9)</f>
        <v>0</v>
      </c>
      <c r="FF9" s="149">
        <f>IF($B9=0,"",$N9*'MF Rents'!FH9*'MF Rollover'!FE9)</f>
        <v>0</v>
      </c>
      <c r="FG9" s="149">
        <f>IF($B9=0,"",$N9*'MF Rents'!FI9*'MF Rollover'!FF9)</f>
        <v>0</v>
      </c>
      <c r="FH9" s="149">
        <f>IF($B9=0,"",$N9*'MF Rents'!FJ9*'MF Rollover'!FG9)</f>
        <v>0</v>
      </c>
      <c r="FI9" s="149">
        <f>IF($B9=0,"",$N9*'MF Rents'!FK9*'MF Rollover'!FH9)</f>
        <v>0</v>
      </c>
      <c r="FJ9" s="149">
        <f>IF($B9=0,"",$N9*'MF Rents'!FL9*'MF Rollover'!FI9)</f>
        <v>0</v>
      </c>
      <c r="FK9" s="149">
        <f>IF($B9=0,"",$N9*'MF Rents'!FM9*'MF Rollover'!FJ9)</f>
        <v>0</v>
      </c>
      <c r="FL9" s="149">
        <f>IF($B9=0,"",$N9*'MF Rents'!FN9*'MF Rollover'!FK9)</f>
        <v>0</v>
      </c>
      <c r="FM9" s="149">
        <f>IF($B9=0,"",$N9*'MF Rents'!FO9*'MF Rollover'!FL9)</f>
        <v>0</v>
      </c>
      <c r="FN9" s="149">
        <f>IF($B9=0,"",$N9*'MF Rents'!FP9*'MF Rollover'!FM9)</f>
        <v>0</v>
      </c>
      <c r="FO9" s="149">
        <f>IF($B9=0,"",$N9*'MF Rents'!FQ9*'MF Rollover'!FN9)</f>
        <v>0</v>
      </c>
      <c r="FP9" s="149">
        <f>IF($B9=0,"",$N9*'MF Rents'!FR9*'MF Rollover'!FO9)</f>
        <v>0</v>
      </c>
      <c r="FQ9" s="149">
        <f>IF($B9=0,"",$N9*'MF Rents'!FS9*'MF Rollover'!FP9)</f>
        <v>0</v>
      </c>
      <c r="FR9" s="149">
        <f>IF($B9=0,"",$N9*'MF Rents'!FT9*'MF Rollover'!FQ9)</f>
        <v>0</v>
      </c>
      <c r="FS9" s="149">
        <f>IF($B9=0,"",$N9*'MF Rents'!FU9*'MF Rollover'!FR9)</f>
        <v>0</v>
      </c>
      <c r="FT9" s="149">
        <f>IF($B9=0,"",$N9*'MF Rents'!FV9*'MF Rollover'!FS9)</f>
        <v>0</v>
      </c>
      <c r="FU9" s="149">
        <f>IF($B9=0,"",$N9*'MF Rents'!FW9*'MF Rollover'!FT9)</f>
        <v>0</v>
      </c>
      <c r="FV9" s="149">
        <f>IF($B9=0,"",$N9*'MF Rents'!FX9*'MF Rollover'!FU9)</f>
        <v>0</v>
      </c>
      <c r="FW9" s="149">
        <f>IF($B9=0,"",$N9*'MF Rents'!FY9*'MF Rollover'!FV9)</f>
        <v>0</v>
      </c>
      <c r="FX9" s="149">
        <f>IF($B9=0,"",$N9*'MF Rents'!FZ9*'MF Rollover'!FW9)</f>
        <v>0</v>
      </c>
      <c r="FY9" s="149">
        <f>IF($B9=0,"",$N9*'MF Rents'!GA9*'MF Rollover'!FX9)</f>
        <v>0</v>
      </c>
      <c r="FZ9" s="149">
        <f>IF($B9=0,"",$N9*'MF Rents'!GB9*'MF Rollover'!FY9)</f>
        <v>0</v>
      </c>
      <c r="GA9" s="149">
        <f>IF($B9=0,"",$N9*'MF Rents'!GC9*'MF Rollover'!FZ9)</f>
        <v>0</v>
      </c>
      <c r="GB9" s="149">
        <f>IF($B9=0,"",$N9*'MF Rents'!GD9*'MF Rollover'!GA9)</f>
        <v>0</v>
      </c>
      <c r="GC9" s="149">
        <f>IF($B9=0,"",$N9*'MF Rents'!GE9*'MF Rollover'!GB9)</f>
        <v>0</v>
      </c>
      <c r="GD9" s="149">
        <f>IF($B9=0,"",$N9*'MF Rents'!GF9*'MF Rollover'!GC9)</f>
        <v>0</v>
      </c>
      <c r="GE9" s="149">
        <f>IF($B9=0,"",$N9*'MF Rents'!GG9*'MF Rollover'!GD9)</f>
        <v>0</v>
      </c>
      <c r="GF9" s="149">
        <f>IF($B9=0,"",$N9*'MF Rents'!GH9*'MF Rollover'!GE9)</f>
        <v>0</v>
      </c>
      <c r="GG9" s="149">
        <f>IF($B9=0,"",$N9*'MF Rents'!GI9*'MF Rollover'!GF9)</f>
        <v>0</v>
      </c>
      <c r="GH9" s="149">
        <f>IF($B9=0,"",$N9*'MF Rents'!GJ9*'MF Rollover'!GG9)</f>
        <v>0</v>
      </c>
      <c r="GI9" s="149">
        <f>IF($B9=0,"",$N9*'MF Rents'!GK9*'MF Rollover'!GH9)</f>
        <v>0</v>
      </c>
      <c r="GJ9" s="149">
        <f>IF($B9=0,"",$N9*'MF Rents'!GL9*'MF Rollover'!GI9)</f>
        <v>0</v>
      </c>
      <c r="GK9" s="149">
        <f>IF($B9=0,"",$N9*'MF Rents'!GM9*'MF Rollover'!GJ9)</f>
        <v>0</v>
      </c>
      <c r="GL9" s="149">
        <f>IF($B9=0,"",$N9*'MF Rents'!GN9*'MF Rollover'!GK9)</f>
        <v>0</v>
      </c>
      <c r="GM9" s="149">
        <f>IF($B9=0,"",$N9*'MF Rents'!GO9*'MF Rollover'!GL9)</f>
        <v>0</v>
      </c>
      <c r="GN9" s="149">
        <f>IF($B9=0,"",$N9*'MF Rents'!GP9*'MF Rollover'!GM9)</f>
        <v>0</v>
      </c>
      <c r="GO9" s="149">
        <f>IF($B9=0,"",$N9*'MF Rents'!GQ9*'MF Rollover'!GN9)</f>
        <v>0</v>
      </c>
      <c r="GP9" s="149">
        <f>IF($B9=0,"",$N9*'MF Rents'!GR9*'MF Rollover'!GO9)</f>
        <v>0</v>
      </c>
    </row>
    <row r="10" spans="2:198" x14ac:dyDescent="0.3">
      <c r="B10" s="184" t="str">
        <f>'MF Rent Roll'!B9</f>
        <v>3bd/2ba</v>
      </c>
      <c r="C10" s="171">
        <f>'MF Rent Roll'!C9</f>
        <v>24</v>
      </c>
      <c r="D10" s="172">
        <f>'MF Rent Roll'!D9</f>
        <v>3</v>
      </c>
      <c r="E10" s="172">
        <f>'MF Rent Roll'!E9</f>
        <v>2</v>
      </c>
      <c r="F10" s="173">
        <f>'MF Rent Roll'!F9</f>
        <v>1046</v>
      </c>
      <c r="G10" s="174">
        <f>'MF Rent Roll'!G9</f>
        <v>1100</v>
      </c>
      <c r="H10" s="176">
        <f>'MF Rent Roll'!J9</f>
        <v>12</v>
      </c>
      <c r="I10" s="174">
        <f>'MF Rent Roll'!K9</f>
        <v>70</v>
      </c>
      <c r="J10" s="177">
        <f>'MF Rent Roll'!L9</f>
        <v>0</v>
      </c>
      <c r="K10" s="178">
        <f>'MF Rent Roll'!M9</f>
        <v>30</v>
      </c>
      <c r="L10" s="174">
        <f>'MF Rent Roll'!N9</f>
        <v>400</v>
      </c>
      <c r="M10" s="179">
        <f>'MF Rent Roll'!O9</f>
        <v>0.6</v>
      </c>
      <c r="N10" s="180">
        <f>'MF Rent Roll'!P9</f>
        <v>0</v>
      </c>
      <c r="O10" s="181">
        <f>'MF Rent Roll'!Q9</f>
        <v>12</v>
      </c>
      <c r="P10" s="104">
        <f>'MF Rent Roll'!R9</f>
        <v>160</v>
      </c>
      <c r="S10" s="149">
        <f>IF($B10=0,"",$N10*'MF Rents'!U10*'MF Rollover'!R10)</f>
        <v>0</v>
      </c>
      <c r="T10" s="149">
        <f>IF($B10=0,"",$N10*'MF Rents'!V10*'MF Rollover'!S10)</f>
        <v>0</v>
      </c>
      <c r="U10" s="149">
        <f>IF($B10=0,"",$N10*'MF Rents'!W10*'MF Rollover'!T10)</f>
        <v>0</v>
      </c>
      <c r="V10" s="149">
        <f>IF($B10=0,"",$N10*'MF Rents'!X10*'MF Rollover'!U10)</f>
        <v>0</v>
      </c>
      <c r="W10" s="149">
        <f>IF($B10=0,"",$N10*'MF Rents'!Y10*'MF Rollover'!V10)</f>
        <v>0</v>
      </c>
      <c r="X10" s="149">
        <f>IF($B10=0,"",$N10*'MF Rents'!Z10*'MF Rollover'!W10)</f>
        <v>0</v>
      </c>
      <c r="Y10" s="149">
        <f>IF($B10=0,"",$N10*'MF Rents'!AA10*'MF Rollover'!X10)</f>
        <v>0</v>
      </c>
      <c r="Z10" s="149">
        <f>IF($B10=0,"",$N10*'MF Rents'!AB10*'MF Rollover'!Y10)</f>
        <v>0</v>
      </c>
      <c r="AA10" s="149">
        <f>IF($B10=0,"",$N10*'MF Rents'!AC10*'MF Rollover'!Z10)</f>
        <v>0</v>
      </c>
      <c r="AB10" s="149">
        <f>IF($B10=0,"",$N10*'MF Rents'!AD10*'MF Rollover'!AA10)</f>
        <v>0</v>
      </c>
      <c r="AC10" s="149">
        <f>IF($B10=0,"",$N10*'MF Rents'!AE10*'MF Rollover'!AB10)</f>
        <v>0</v>
      </c>
      <c r="AD10" s="149">
        <f>IF($B10=0,"",$N10*'MF Rents'!AF10*'MF Rollover'!AC10)</f>
        <v>0</v>
      </c>
      <c r="AE10" s="149">
        <f>IF($B10=0,"",$N10*'MF Rents'!AG10*'MF Rollover'!AD10)</f>
        <v>0</v>
      </c>
      <c r="AF10" s="149">
        <f>IF($B10=0,"",$N10*'MF Rents'!AH10*'MF Rollover'!AE10)</f>
        <v>0</v>
      </c>
      <c r="AG10" s="149">
        <f>IF($B10=0,"",$N10*'MF Rents'!AI10*'MF Rollover'!AF10)</f>
        <v>0</v>
      </c>
      <c r="AH10" s="149">
        <f>IF($B10=0,"",$N10*'MF Rents'!AJ10*'MF Rollover'!AG10)</f>
        <v>0</v>
      </c>
      <c r="AI10" s="149">
        <f>IF($B10=0,"",$N10*'MF Rents'!AK10*'MF Rollover'!AH10)</f>
        <v>0</v>
      </c>
      <c r="AJ10" s="149">
        <f>IF($B10=0,"",$N10*'MF Rents'!AL10*'MF Rollover'!AI10)</f>
        <v>0</v>
      </c>
      <c r="AK10" s="149">
        <f>IF($B10=0,"",$N10*'MF Rents'!AM10*'MF Rollover'!AJ10)</f>
        <v>0</v>
      </c>
      <c r="AL10" s="149">
        <f>IF($B10=0,"",$N10*'MF Rents'!AN10*'MF Rollover'!AK10)</f>
        <v>0</v>
      </c>
      <c r="AM10" s="149">
        <f>IF($B10=0,"",$N10*'MF Rents'!AO10*'MF Rollover'!AL10)</f>
        <v>0</v>
      </c>
      <c r="AN10" s="149">
        <f>IF($B10=0,"",$N10*'MF Rents'!AP10*'MF Rollover'!AM10)</f>
        <v>0</v>
      </c>
      <c r="AO10" s="149">
        <f>IF($B10=0,"",$N10*'MF Rents'!AQ10*'MF Rollover'!AN10)</f>
        <v>0</v>
      </c>
      <c r="AP10" s="149">
        <f>IF($B10=0,"",$N10*'MF Rents'!AR10*'MF Rollover'!AO10)</f>
        <v>0</v>
      </c>
      <c r="AQ10" s="149">
        <f>IF($B10=0,"",$N10*'MF Rents'!AS10*'MF Rollover'!AP10)</f>
        <v>0</v>
      </c>
      <c r="AR10" s="149">
        <f>IF($B10=0,"",$N10*'MF Rents'!AT10*'MF Rollover'!AQ10)</f>
        <v>0</v>
      </c>
      <c r="AS10" s="149">
        <f>IF($B10=0,"",$N10*'MF Rents'!AU10*'MF Rollover'!AR10)</f>
        <v>0</v>
      </c>
      <c r="AT10" s="149">
        <f>IF($B10=0,"",$N10*'MF Rents'!AV10*'MF Rollover'!AS10)</f>
        <v>0</v>
      </c>
      <c r="AU10" s="149">
        <f>IF($B10=0,"",$N10*'MF Rents'!AW10*'MF Rollover'!AT10)</f>
        <v>0</v>
      </c>
      <c r="AV10" s="149">
        <f>IF($B10=0,"",$N10*'MF Rents'!AX10*'MF Rollover'!AU10)</f>
        <v>0</v>
      </c>
      <c r="AW10" s="149">
        <f>IF($B10=0,"",$N10*'MF Rents'!AY10*'MF Rollover'!AV10)</f>
        <v>0</v>
      </c>
      <c r="AX10" s="149">
        <f>IF($B10=0,"",$N10*'MF Rents'!AZ10*'MF Rollover'!AW10)</f>
        <v>0</v>
      </c>
      <c r="AY10" s="149">
        <f>IF($B10=0,"",$N10*'MF Rents'!BA10*'MF Rollover'!AX10)</f>
        <v>0</v>
      </c>
      <c r="AZ10" s="149">
        <f>IF($B10=0,"",$N10*'MF Rents'!BB10*'MF Rollover'!AY10)</f>
        <v>0</v>
      </c>
      <c r="BA10" s="149">
        <f>IF($B10=0,"",$N10*'MF Rents'!BC10*'MF Rollover'!AZ10)</f>
        <v>0</v>
      </c>
      <c r="BB10" s="149">
        <f>IF($B10=0,"",$N10*'MF Rents'!BD10*'MF Rollover'!BA10)</f>
        <v>0</v>
      </c>
      <c r="BC10" s="149">
        <f>IF($B10=0,"",$N10*'MF Rents'!BE10*'MF Rollover'!BB10)</f>
        <v>0</v>
      </c>
      <c r="BD10" s="149">
        <f>IF($B10=0,"",$N10*'MF Rents'!BF10*'MF Rollover'!BC10)</f>
        <v>0</v>
      </c>
      <c r="BE10" s="149">
        <f>IF($B10=0,"",$N10*'MF Rents'!BG10*'MF Rollover'!BD10)</f>
        <v>0</v>
      </c>
      <c r="BF10" s="149">
        <f>IF($B10=0,"",$N10*'MF Rents'!BH10*'MF Rollover'!BE10)</f>
        <v>0</v>
      </c>
      <c r="BG10" s="149">
        <f>IF($B10=0,"",$N10*'MF Rents'!BI10*'MF Rollover'!BF10)</f>
        <v>0</v>
      </c>
      <c r="BH10" s="149">
        <f>IF($B10=0,"",$N10*'MF Rents'!BJ10*'MF Rollover'!BG10)</f>
        <v>0</v>
      </c>
      <c r="BI10" s="149">
        <f>IF($B10=0,"",$N10*'MF Rents'!BK10*'MF Rollover'!BH10)</f>
        <v>0</v>
      </c>
      <c r="BJ10" s="149">
        <f>IF($B10=0,"",$N10*'MF Rents'!BL10*'MF Rollover'!BI10)</f>
        <v>0</v>
      </c>
      <c r="BK10" s="149">
        <f>IF($B10=0,"",$N10*'MF Rents'!BM10*'MF Rollover'!BJ10)</f>
        <v>0</v>
      </c>
      <c r="BL10" s="149">
        <f>IF($B10=0,"",$N10*'MF Rents'!BN10*'MF Rollover'!BK10)</f>
        <v>0</v>
      </c>
      <c r="BM10" s="149">
        <f>IF($B10=0,"",$N10*'MF Rents'!BO10*'MF Rollover'!BL10)</f>
        <v>0</v>
      </c>
      <c r="BN10" s="149">
        <f>IF($B10=0,"",$N10*'MF Rents'!BP10*'MF Rollover'!BM10)</f>
        <v>0</v>
      </c>
      <c r="BO10" s="149">
        <f>IF($B10=0,"",$N10*'MF Rents'!BQ10*'MF Rollover'!BN10)</f>
        <v>0</v>
      </c>
      <c r="BP10" s="149">
        <f>IF($B10=0,"",$N10*'MF Rents'!BR10*'MF Rollover'!BO10)</f>
        <v>0</v>
      </c>
      <c r="BQ10" s="149">
        <f>IF($B10=0,"",$N10*'MF Rents'!BS10*'MF Rollover'!BP10)</f>
        <v>0</v>
      </c>
      <c r="BR10" s="149">
        <f>IF($B10=0,"",$N10*'MF Rents'!BT10*'MF Rollover'!BQ10)</f>
        <v>0</v>
      </c>
      <c r="BS10" s="149">
        <f>IF($B10=0,"",$N10*'MF Rents'!BU10*'MF Rollover'!BR10)</f>
        <v>0</v>
      </c>
      <c r="BT10" s="149">
        <f>IF($B10=0,"",$N10*'MF Rents'!BV10*'MF Rollover'!BS10)</f>
        <v>0</v>
      </c>
      <c r="BU10" s="149">
        <f>IF($B10=0,"",$N10*'MF Rents'!BW10*'MF Rollover'!BT10)</f>
        <v>0</v>
      </c>
      <c r="BV10" s="149">
        <f>IF($B10=0,"",$N10*'MF Rents'!BX10*'MF Rollover'!BU10)</f>
        <v>0</v>
      </c>
      <c r="BW10" s="149">
        <f>IF($B10=0,"",$N10*'MF Rents'!BY10*'MF Rollover'!BV10)</f>
        <v>0</v>
      </c>
      <c r="BX10" s="149">
        <f>IF($B10=0,"",$N10*'MF Rents'!BZ10*'MF Rollover'!BW10)</f>
        <v>0</v>
      </c>
      <c r="BY10" s="149">
        <f>IF($B10=0,"",$N10*'MF Rents'!CA10*'MF Rollover'!BX10)</f>
        <v>0</v>
      </c>
      <c r="BZ10" s="149">
        <f>IF($B10=0,"",$N10*'MF Rents'!CB10*'MF Rollover'!BY10)</f>
        <v>0</v>
      </c>
      <c r="CA10" s="149">
        <f>IF($B10=0,"",$N10*'MF Rents'!CC10*'MF Rollover'!BZ10)</f>
        <v>0</v>
      </c>
      <c r="CB10" s="149">
        <f>IF($B10=0,"",$N10*'MF Rents'!CD10*'MF Rollover'!CA10)</f>
        <v>0</v>
      </c>
      <c r="CC10" s="149">
        <f>IF($B10=0,"",$N10*'MF Rents'!CE10*'MF Rollover'!CB10)</f>
        <v>0</v>
      </c>
      <c r="CD10" s="149">
        <f>IF($B10=0,"",$N10*'MF Rents'!CF10*'MF Rollover'!CC10)</f>
        <v>0</v>
      </c>
      <c r="CE10" s="149">
        <f>IF($B10=0,"",$N10*'MF Rents'!CG10*'MF Rollover'!CD10)</f>
        <v>0</v>
      </c>
      <c r="CF10" s="149">
        <f>IF($B10=0,"",$N10*'MF Rents'!CH10*'MF Rollover'!CE10)</f>
        <v>0</v>
      </c>
      <c r="CG10" s="149">
        <f>IF($B10=0,"",$N10*'MF Rents'!CI10*'MF Rollover'!CF10)</f>
        <v>0</v>
      </c>
      <c r="CH10" s="149">
        <f>IF($B10=0,"",$N10*'MF Rents'!CJ10*'MF Rollover'!CG10)</f>
        <v>0</v>
      </c>
      <c r="CI10" s="149">
        <f>IF($B10=0,"",$N10*'MF Rents'!CK10*'MF Rollover'!CH10)</f>
        <v>0</v>
      </c>
      <c r="CJ10" s="149">
        <f>IF($B10=0,"",$N10*'MF Rents'!CL10*'MF Rollover'!CI10)</f>
        <v>0</v>
      </c>
      <c r="CK10" s="149">
        <f>IF($B10=0,"",$N10*'MF Rents'!CM10*'MF Rollover'!CJ10)</f>
        <v>0</v>
      </c>
      <c r="CL10" s="149">
        <f>IF($B10=0,"",$N10*'MF Rents'!CN10*'MF Rollover'!CK10)</f>
        <v>0</v>
      </c>
      <c r="CM10" s="149">
        <f>IF($B10=0,"",$N10*'MF Rents'!CO10*'MF Rollover'!CL10)</f>
        <v>0</v>
      </c>
      <c r="CN10" s="149">
        <f>IF($B10=0,"",$N10*'MF Rents'!CP10*'MF Rollover'!CM10)</f>
        <v>0</v>
      </c>
      <c r="CO10" s="149">
        <f>IF($B10=0,"",$N10*'MF Rents'!CQ10*'MF Rollover'!CN10)</f>
        <v>0</v>
      </c>
      <c r="CP10" s="149">
        <f>IF($B10=0,"",$N10*'MF Rents'!CR10*'MF Rollover'!CO10)</f>
        <v>0</v>
      </c>
      <c r="CQ10" s="149">
        <f>IF($B10=0,"",$N10*'MF Rents'!CS10*'MF Rollover'!CP10)</f>
        <v>0</v>
      </c>
      <c r="CR10" s="149">
        <f>IF($B10=0,"",$N10*'MF Rents'!CT10*'MF Rollover'!CQ10)</f>
        <v>0</v>
      </c>
      <c r="CS10" s="149">
        <f>IF($B10=0,"",$N10*'MF Rents'!CU10*'MF Rollover'!CR10)</f>
        <v>0</v>
      </c>
      <c r="CT10" s="149">
        <f>IF($B10=0,"",$N10*'MF Rents'!CV10*'MF Rollover'!CS10)</f>
        <v>0</v>
      </c>
      <c r="CU10" s="149">
        <f>IF($B10=0,"",$N10*'MF Rents'!CW10*'MF Rollover'!CT10)</f>
        <v>0</v>
      </c>
      <c r="CV10" s="149">
        <f>IF($B10=0,"",$N10*'MF Rents'!CX10*'MF Rollover'!CU10)</f>
        <v>0</v>
      </c>
      <c r="CW10" s="149">
        <f>IF($B10=0,"",$N10*'MF Rents'!CY10*'MF Rollover'!CV10)</f>
        <v>0</v>
      </c>
      <c r="CX10" s="149">
        <f>IF($B10=0,"",$N10*'MF Rents'!CZ10*'MF Rollover'!CW10)</f>
        <v>0</v>
      </c>
      <c r="CY10" s="149">
        <f>IF($B10=0,"",$N10*'MF Rents'!DA10*'MF Rollover'!CX10)</f>
        <v>0</v>
      </c>
      <c r="CZ10" s="149">
        <f>IF($B10=0,"",$N10*'MF Rents'!DB10*'MF Rollover'!CY10)</f>
        <v>0</v>
      </c>
      <c r="DA10" s="149">
        <f>IF($B10=0,"",$N10*'MF Rents'!DC10*'MF Rollover'!CZ10)</f>
        <v>0</v>
      </c>
      <c r="DB10" s="149">
        <f>IF($B10=0,"",$N10*'MF Rents'!DD10*'MF Rollover'!DA10)</f>
        <v>0</v>
      </c>
      <c r="DC10" s="149">
        <f>IF($B10=0,"",$N10*'MF Rents'!DE10*'MF Rollover'!DB10)</f>
        <v>0</v>
      </c>
      <c r="DD10" s="149">
        <f>IF($B10=0,"",$N10*'MF Rents'!DF10*'MF Rollover'!DC10)</f>
        <v>0</v>
      </c>
      <c r="DE10" s="149">
        <f>IF($B10=0,"",$N10*'MF Rents'!DG10*'MF Rollover'!DD10)</f>
        <v>0</v>
      </c>
      <c r="DF10" s="149">
        <f>IF($B10=0,"",$N10*'MF Rents'!DH10*'MF Rollover'!DE10)</f>
        <v>0</v>
      </c>
      <c r="DG10" s="149">
        <f>IF($B10=0,"",$N10*'MF Rents'!DI10*'MF Rollover'!DF10)</f>
        <v>0</v>
      </c>
      <c r="DH10" s="149">
        <f>IF($B10=0,"",$N10*'MF Rents'!DJ10*'MF Rollover'!DG10)</f>
        <v>0</v>
      </c>
      <c r="DI10" s="149">
        <f>IF($B10=0,"",$N10*'MF Rents'!DK10*'MF Rollover'!DH10)</f>
        <v>0</v>
      </c>
      <c r="DJ10" s="149">
        <f>IF($B10=0,"",$N10*'MF Rents'!DL10*'MF Rollover'!DI10)</f>
        <v>0</v>
      </c>
      <c r="DK10" s="149">
        <f>IF($B10=0,"",$N10*'MF Rents'!DM10*'MF Rollover'!DJ10)</f>
        <v>0</v>
      </c>
      <c r="DL10" s="149">
        <f>IF($B10=0,"",$N10*'MF Rents'!DN10*'MF Rollover'!DK10)</f>
        <v>0</v>
      </c>
      <c r="DM10" s="149">
        <f>IF($B10=0,"",$N10*'MF Rents'!DO10*'MF Rollover'!DL10)</f>
        <v>0</v>
      </c>
      <c r="DN10" s="149">
        <f>IF($B10=0,"",$N10*'MF Rents'!DP10*'MF Rollover'!DM10)</f>
        <v>0</v>
      </c>
      <c r="DO10" s="149">
        <f>IF($B10=0,"",$N10*'MF Rents'!DQ10*'MF Rollover'!DN10)</f>
        <v>0</v>
      </c>
      <c r="DP10" s="149">
        <f>IF($B10=0,"",$N10*'MF Rents'!DR10*'MF Rollover'!DO10)</f>
        <v>0</v>
      </c>
      <c r="DQ10" s="149">
        <f>IF($B10=0,"",$N10*'MF Rents'!DS10*'MF Rollover'!DP10)</f>
        <v>0</v>
      </c>
      <c r="DR10" s="149">
        <f>IF($B10=0,"",$N10*'MF Rents'!DT10*'MF Rollover'!DQ10)</f>
        <v>0</v>
      </c>
      <c r="DS10" s="149">
        <f>IF($B10=0,"",$N10*'MF Rents'!DU10*'MF Rollover'!DR10)</f>
        <v>0</v>
      </c>
      <c r="DT10" s="149">
        <f>IF($B10=0,"",$N10*'MF Rents'!DV10*'MF Rollover'!DS10)</f>
        <v>0</v>
      </c>
      <c r="DU10" s="149">
        <f>IF($B10=0,"",$N10*'MF Rents'!DW10*'MF Rollover'!DT10)</f>
        <v>0</v>
      </c>
      <c r="DV10" s="149">
        <f>IF($B10=0,"",$N10*'MF Rents'!DX10*'MF Rollover'!DU10)</f>
        <v>0</v>
      </c>
      <c r="DW10" s="149">
        <f>IF($B10=0,"",$N10*'MF Rents'!DY10*'MF Rollover'!DV10)</f>
        <v>0</v>
      </c>
      <c r="DX10" s="149">
        <f>IF($B10=0,"",$N10*'MF Rents'!DZ10*'MF Rollover'!DW10)</f>
        <v>0</v>
      </c>
      <c r="DY10" s="149">
        <f>IF($B10=0,"",$N10*'MF Rents'!EA10*'MF Rollover'!DX10)</f>
        <v>0</v>
      </c>
      <c r="DZ10" s="149">
        <f>IF($B10=0,"",$N10*'MF Rents'!EB10*'MF Rollover'!DY10)</f>
        <v>0</v>
      </c>
      <c r="EA10" s="149">
        <f>IF($B10=0,"",$N10*'MF Rents'!EC10*'MF Rollover'!DZ10)</f>
        <v>0</v>
      </c>
      <c r="EB10" s="149">
        <f>IF($B10=0,"",$N10*'MF Rents'!ED10*'MF Rollover'!EA10)</f>
        <v>0</v>
      </c>
      <c r="EC10" s="149">
        <f>IF($B10=0,"",$N10*'MF Rents'!EE10*'MF Rollover'!EB10)</f>
        <v>0</v>
      </c>
      <c r="ED10" s="149">
        <f>IF($B10=0,"",$N10*'MF Rents'!EF10*'MF Rollover'!EC10)</f>
        <v>0</v>
      </c>
      <c r="EE10" s="149">
        <f>IF($B10=0,"",$N10*'MF Rents'!EG10*'MF Rollover'!ED10)</f>
        <v>0</v>
      </c>
      <c r="EF10" s="149">
        <f>IF($B10=0,"",$N10*'MF Rents'!EH10*'MF Rollover'!EE10)</f>
        <v>0</v>
      </c>
      <c r="EG10" s="149">
        <f>IF($B10=0,"",$N10*'MF Rents'!EI10*'MF Rollover'!EF10)</f>
        <v>0</v>
      </c>
      <c r="EH10" s="149">
        <f>IF($B10=0,"",$N10*'MF Rents'!EJ10*'MF Rollover'!EG10)</f>
        <v>0</v>
      </c>
      <c r="EI10" s="149">
        <f>IF($B10=0,"",$N10*'MF Rents'!EK10*'MF Rollover'!EH10)</f>
        <v>0</v>
      </c>
      <c r="EJ10" s="149">
        <f>IF($B10=0,"",$N10*'MF Rents'!EL10*'MF Rollover'!EI10)</f>
        <v>0</v>
      </c>
      <c r="EK10" s="149">
        <f>IF($B10=0,"",$N10*'MF Rents'!EM10*'MF Rollover'!EJ10)</f>
        <v>0</v>
      </c>
      <c r="EL10" s="149">
        <f>IF($B10=0,"",$N10*'MF Rents'!EN10*'MF Rollover'!EK10)</f>
        <v>0</v>
      </c>
      <c r="EM10" s="149">
        <f>IF($B10=0,"",$N10*'MF Rents'!EO10*'MF Rollover'!EL10)</f>
        <v>0</v>
      </c>
      <c r="EN10" s="149">
        <f>IF($B10=0,"",$N10*'MF Rents'!EP10*'MF Rollover'!EM10)</f>
        <v>0</v>
      </c>
      <c r="EO10" s="149">
        <f>IF($B10=0,"",$N10*'MF Rents'!EQ10*'MF Rollover'!EN10)</f>
        <v>0</v>
      </c>
      <c r="EP10" s="149">
        <f>IF($B10=0,"",$N10*'MF Rents'!ER10*'MF Rollover'!EO10)</f>
        <v>0</v>
      </c>
      <c r="EQ10" s="149">
        <f>IF($B10=0,"",$N10*'MF Rents'!ES10*'MF Rollover'!EP10)</f>
        <v>0</v>
      </c>
      <c r="ER10" s="149">
        <f>IF($B10=0,"",$N10*'MF Rents'!ET10*'MF Rollover'!EQ10)</f>
        <v>0</v>
      </c>
      <c r="ES10" s="149">
        <f>IF($B10=0,"",$N10*'MF Rents'!EU10*'MF Rollover'!ER10)</f>
        <v>0</v>
      </c>
      <c r="ET10" s="149">
        <f>IF($B10=0,"",$N10*'MF Rents'!EV10*'MF Rollover'!ES10)</f>
        <v>0</v>
      </c>
      <c r="EU10" s="149">
        <f>IF($B10=0,"",$N10*'MF Rents'!EW10*'MF Rollover'!ET10)</f>
        <v>0</v>
      </c>
      <c r="EV10" s="149">
        <f>IF($B10=0,"",$N10*'MF Rents'!EX10*'MF Rollover'!EU10)</f>
        <v>0</v>
      </c>
      <c r="EW10" s="149">
        <f>IF($B10=0,"",$N10*'MF Rents'!EY10*'MF Rollover'!EV10)</f>
        <v>0</v>
      </c>
      <c r="EX10" s="149">
        <f>IF($B10=0,"",$N10*'MF Rents'!EZ10*'MF Rollover'!EW10)</f>
        <v>0</v>
      </c>
      <c r="EY10" s="149">
        <f>IF($B10=0,"",$N10*'MF Rents'!FA10*'MF Rollover'!EX10)</f>
        <v>0</v>
      </c>
      <c r="EZ10" s="149">
        <f>IF($B10=0,"",$N10*'MF Rents'!FB10*'MF Rollover'!EY10)</f>
        <v>0</v>
      </c>
      <c r="FA10" s="149">
        <f>IF($B10=0,"",$N10*'MF Rents'!FC10*'MF Rollover'!EZ10)</f>
        <v>0</v>
      </c>
      <c r="FB10" s="149">
        <f>IF($B10=0,"",$N10*'MF Rents'!FD10*'MF Rollover'!FA10)</f>
        <v>0</v>
      </c>
      <c r="FC10" s="149">
        <f>IF($B10=0,"",$N10*'MF Rents'!FE10*'MF Rollover'!FB10)</f>
        <v>0</v>
      </c>
      <c r="FD10" s="149">
        <f>IF($B10=0,"",$N10*'MF Rents'!FF10*'MF Rollover'!FC10)</f>
        <v>0</v>
      </c>
      <c r="FE10" s="149">
        <f>IF($B10=0,"",$N10*'MF Rents'!FG10*'MF Rollover'!FD10)</f>
        <v>0</v>
      </c>
      <c r="FF10" s="149">
        <f>IF($B10=0,"",$N10*'MF Rents'!FH10*'MF Rollover'!FE10)</f>
        <v>0</v>
      </c>
      <c r="FG10" s="149">
        <f>IF($B10=0,"",$N10*'MF Rents'!FI10*'MF Rollover'!FF10)</f>
        <v>0</v>
      </c>
      <c r="FH10" s="149">
        <f>IF($B10=0,"",$N10*'MF Rents'!FJ10*'MF Rollover'!FG10)</f>
        <v>0</v>
      </c>
      <c r="FI10" s="149">
        <f>IF($B10=0,"",$N10*'MF Rents'!FK10*'MF Rollover'!FH10)</f>
        <v>0</v>
      </c>
      <c r="FJ10" s="149">
        <f>IF($B10=0,"",$N10*'MF Rents'!FL10*'MF Rollover'!FI10)</f>
        <v>0</v>
      </c>
      <c r="FK10" s="149">
        <f>IF($B10=0,"",$N10*'MF Rents'!FM10*'MF Rollover'!FJ10)</f>
        <v>0</v>
      </c>
      <c r="FL10" s="149">
        <f>IF($B10=0,"",$N10*'MF Rents'!FN10*'MF Rollover'!FK10)</f>
        <v>0</v>
      </c>
      <c r="FM10" s="149">
        <f>IF($B10=0,"",$N10*'MF Rents'!FO10*'MF Rollover'!FL10)</f>
        <v>0</v>
      </c>
      <c r="FN10" s="149">
        <f>IF($B10=0,"",$N10*'MF Rents'!FP10*'MF Rollover'!FM10)</f>
        <v>0</v>
      </c>
      <c r="FO10" s="149">
        <f>IF($B10=0,"",$N10*'MF Rents'!FQ10*'MF Rollover'!FN10)</f>
        <v>0</v>
      </c>
      <c r="FP10" s="149">
        <f>IF($B10=0,"",$N10*'MF Rents'!FR10*'MF Rollover'!FO10)</f>
        <v>0</v>
      </c>
      <c r="FQ10" s="149">
        <f>IF($B10=0,"",$N10*'MF Rents'!FS10*'MF Rollover'!FP10)</f>
        <v>0</v>
      </c>
      <c r="FR10" s="149">
        <f>IF($B10=0,"",$N10*'MF Rents'!FT10*'MF Rollover'!FQ10)</f>
        <v>0</v>
      </c>
      <c r="FS10" s="149">
        <f>IF($B10=0,"",$N10*'MF Rents'!FU10*'MF Rollover'!FR10)</f>
        <v>0</v>
      </c>
      <c r="FT10" s="149">
        <f>IF($B10=0,"",$N10*'MF Rents'!FV10*'MF Rollover'!FS10)</f>
        <v>0</v>
      </c>
      <c r="FU10" s="149">
        <f>IF($B10=0,"",$N10*'MF Rents'!FW10*'MF Rollover'!FT10)</f>
        <v>0</v>
      </c>
      <c r="FV10" s="149">
        <f>IF($B10=0,"",$N10*'MF Rents'!FX10*'MF Rollover'!FU10)</f>
        <v>0</v>
      </c>
      <c r="FW10" s="149">
        <f>IF($B10=0,"",$N10*'MF Rents'!FY10*'MF Rollover'!FV10)</f>
        <v>0</v>
      </c>
      <c r="FX10" s="149">
        <f>IF($B10=0,"",$N10*'MF Rents'!FZ10*'MF Rollover'!FW10)</f>
        <v>0</v>
      </c>
      <c r="FY10" s="149">
        <f>IF($B10=0,"",$N10*'MF Rents'!GA10*'MF Rollover'!FX10)</f>
        <v>0</v>
      </c>
      <c r="FZ10" s="149">
        <f>IF($B10=0,"",$N10*'MF Rents'!GB10*'MF Rollover'!FY10)</f>
        <v>0</v>
      </c>
      <c r="GA10" s="149">
        <f>IF($B10=0,"",$N10*'MF Rents'!GC10*'MF Rollover'!FZ10)</f>
        <v>0</v>
      </c>
      <c r="GB10" s="149">
        <f>IF($B10=0,"",$N10*'MF Rents'!GD10*'MF Rollover'!GA10)</f>
        <v>0</v>
      </c>
      <c r="GC10" s="149">
        <f>IF($B10=0,"",$N10*'MF Rents'!GE10*'MF Rollover'!GB10)</f>
        <v>0</v>
      </c>
      <c r="GD10" s="149">
        <f>IF($B10=0,"",$N10*'MF Rents'!GF10*'MF Rollover'!GC10)</f>
        <v>0</v>
      </c>
      <c r="GE10" s="149">
        <f>IF($B10=0,"",$N10*'MF Rents'!GG10*'MF Rollover'!GD10)</f>
        <v>0</v>
      </c>
      <c r="GF10" s="149">
        <f>IF($B10=0,"",$N10*'MF Rents'!GH10*'MF Rollover'!GE10)</f>
        <v>0</v>
      </c>
      <c r="GG10" s="149">
        <f>IF($B10=0,"",$N10*'MF Rents'!GI10*'MF Rollover'!GF10)</f>
        <v>0</v>
      </c>
      <c r="GH10" s="149">
        <f>IF($B10=0,"",$N10*'MF Rents'!GJ10*'MF Rollover'!GG10)</f>
        <v>0</v>
      </c>
      <c r="GI10" s="149">
        <f>IF($B10=0,"",$N10*'MF Rents'!GK10*'MF Rollover'!GH10)</f>
        <v>0</v>
      </c>
      <c r="GJ10" s="149">
        <f>IF($B10=0,"",$N10*'MF Rents'!GL10*'MF Rollover'!GI10)</f>
        <v>0</v>
      </c>
      <c r="GK10" s="149">
        <f>IF($B10=0,"",$N10*'MF Rents'!GM10*'MF Rollover'!GJ10)</f>
        <v>0</v>
      </c>
      <c r="GL10" s="149">
        <f>IF($B10=0,"",$N10*'MF Rents'!GN10*'MF Rollover'!GK10)</f>
        <v>0</v>
      </c>
      <c r="GM10" s="149">
        <f>IF($B10=0,"",$N10*'MF Rents'!GO10*'MF Rollover'!GL10)</f>
        <v>0</v>
      </c>
      <c r="GN10" s="149">
        <f>IF($B10=0,"",$N10*'MF Rents'!GP10*'MF Rollover'!GM10)</f>
        <v>0</v>
      </c>
      <c r="GO10" s="149">
        <f>IF($B10=0,"",$N10*'MF Rents'!GQ10*'MF Rollover'!GN10)</f>
        <v>0</v>
      </c>
      <c r="GP10" s="149">
        <f>IF($B10=0,"",$N10*'MF Rents'!GR10*'MF Rollover'!GO10)</f>
        <v>0</v>
      </c>
    </row>
    <row r="11" spans="2:198" x14ac:dyDescent="0.3">
      <c r="B11" s="184">
        <f>'MF Rent Roll'!B10</f>
        <v>0</v>
      </c>
      <c r="C11" s="171">
        <f>'MF Rent Roll'!C10</f>
        <v>0</v>
      </c>
      <c r="D11" s="172">
        <f>'MF Rent Roll'!D10</f>
        <v>0</v>
      </c>
      <c r="E11" s="172">
        <f>'MF Rent Roll'!E10</f>
        <v>0</v>
      </c>
      <c r="F11" s="173">
        <f>'MF Rent Roll'!F10</f>
        <v>0</v>
      </c>
      <c r="G11" s="174">
        <f>'MF Rent Roll'!G10</f>
        <v>0</v>
      </c>
      <c r="H11" s="176">
        <f>'MF Rent Roll'!J10</f>
        <v>0</v>
      </c>
      <c r="I11" s="174">
        <f>'MF Rent Roll'!K10</f>
        <v>0</v>
      </c>
      <c r="J11" s="177">
        <f>'MF Rent Roll'!L10</f>
        <v>0</v>
      </c>
      <c r="K11" s="178">
        <f>'MF Rent Roll'!M10</f>
        <v>0</v>
      </c>
      <c r="L11" s="174">
        <f>'MF Rent Roll'!N10</f>
        <v>0</v>
      </c>
      <c r="M11" s="179">
        <f>'MF Rent Roll'!O10</f>
        <v>0</v>
      </c>
      <c r="N11" s="180" t="str">
        <f>'MF Rent Roll'!P10</f>
        <v/>
      </c>
      <c r="O11" s="181" t="str">
        <f>'MF Rent Roll'!Q10</f>
        <v/>
      </c>
      <c r="P11" s="104" t="str">
        <f>'MF Rent Roll'!R10</f>
        <v/>
      </c>
      <c r="S11" s="149" t="str">
        <f>IF($B11=0,"",$N11*'MF Rents'!U11*'MF Rollover'!R11)</f>
        <v/>
      </c>
      <c r="T11" s="149" t="str">
        <f>IF($B11=0,"",$N11*'MF Rents'!V11*'MF Rollover'!S11)</f>
        <v/>
      </c>
      <c r="U11" s="149" t="str">
        <f>IF($B11=0,"",$N11*'MF Rents'!W11*'MF Rollover'!T11)</f>
        <v/>
      </c>
      <c r="V11" s="149" t="str">
        <f>IF($B11=0,"",$N11*'MF Rents'!X11*'MF Rollover'!U11)</f>
        <v/>
      </c>
      <c r="W11" s="149" t="str">
        <f>IF($B11=0,"",$N11*'MF Rents'!Y11*'MF Rollover'!V11)</f>
        <v/>
      </c>
      <c r="X11" s="149" t="str">
        <f>IF($B11=0,"",$N11*'MF Rents'!Z11*'MF Rollover'!W11)</f>
        <v/>
      </c>
      <c r="Y11" s="149" t="str">
        <f>IF($B11=0,"",$N11*'MF Rents'!AA11*'MF Rollover'!X11)</f>
        <v/>
      </c>
      <c r="Z11" s="149" t="str">
        <f>IF($B11=0,"",$N11*'MF Rents'!AB11*'MF Rollover'!Y11)</f>
        <v/>
      </c>
      <c r="AA11" s="149" t="str">
        <f>IF($B11=0,"",$N11*'MF Rents'!AC11*'MF Rollover'!Z11)</f>
        <v/>
      </c>
      <c r="AB11" s="149" t="str">
        <f>IF($B11=0,"",$N11*'MF Rents'!AD11*'MF Rollover'!AA11)</f>
        <v/>
      </c>
      <c r="AC11" s="149" t="str">
        <f>IF($B11=0,"",$N11*'MF Rents'!AE11*'MF Rollover'!AB11)</f>
        <v/>
      </c>
      <c r="AD11" s="149" t="str">
        <f>IF($B11=0,"",$N11*'MF Rents'!AF11*'MF Rollover'!AC11)</f>
        <v/>
      </c>
      <c r="AE11" s="149" t="str">
        <f>IF($B11=0,"",$N11*'MF Rents'!AG11*'MF Rollover'!AD11)</f>
        <v/>
      </c>
      <c r="AF11" s="149" t="str">
        <f>IF($B11=0,"",$N11*'MF Rents'!AH11*'MF Rollover'!AE11)</f>
        <v/>
      </c>
      <c r="AG11" s="149" t="str">
        <f>IF($B11=0,"",$N11*'MF Rents'!AI11*'MF Rollover'!AF11)</f>
        <v/>
      </c>
      <c r="AH11" s="149" t="str">
        <f>IF($B11=0,"",$N11*'MF Rents'!AJ11*'MF Rollover'!AG11)</f>
        <v/>
      </c>
      <c r="AI11" s="149" t="str">
        <f>IF($B11=0,"",$N11*'MF Rents'!AK11*'MF Rollover'!AH11)</f>
        <v/>
      </c>
      <c r="AJ11" s="149" t="str">
        <f>IF($B11=0,"",$N11*'MF Rents'!AL11*'MF Rollover'!AI11)</f>
        <v/>
      </c>
      <c r="AK11" s="149" t="str">
        <f>IF($B11=0,"",$N11*'MF Rents'!AM11*'MF Rollover'!AJ11)</f>
        <v/>
      </c>
      <c r="AL11" s="149" t="str">
        <f>IF($B11=0,"",$N11*'MF Rents'!AN11*'MF Rollover'!AK11)</f>
        <v/>
      </c>
      <c r="AM11" s="149" t="str">
        <f>IF($B11=0,"",$N11*'MF Rents'!AO11*'MF Rollover'!AL11)</f>
        <v/>
      </c>
      <c r="AN11" s="149" t="str">
        <f>IF($B11=0,"",$N11*'MF Rents'!AP11*'MF Rollover'!AM11)</f>
        <v/>
      </c>
      <c r="AO11" s="149" t="str">
        <f>IF($B11=0,"",$N11*'MF Rents'!AQ11*'MF Rollover'!AN11)</f>
        <v/>
      </c>
      <c r="AP11" s="149" t="str">
        <f>IF($B11=0,"",$N11*'MF Rents'!AR11*'MF Rollover'!AO11)</f>
        <v/>
      </c>
      <c r="AQ11" s="149" t="str">
        <f>IF($B11=0,"",$N11*'MF Rents'!AS11*'MF Rollover'!AP11)</f>
        <v/>
      </c>
      <c r="AR11" s="149" t="str">
        <f>IF($B11=0,"",$N11*'MF Rents'!AT11*'MF Rollover'!AQ11)</f>
        <v/>
      </c>
      <c r="AS11" s="149" t="str">
        <f>IF($B11=0,"",$N11*'MF Rents'!AU11*'MF Rollover'!AR11)</f>
        <v/>
      </c>
      <c r="AT11" s="149" t="str">
        <f>IF($B11=0,"",$N11*'MF Rents'!AV11*'MF Rollover'!AS11)</f>
        <v/>
      </c>
      <c r="AU11" s="149" t="str">
        <f>IF($B11=0,"",$N11*'MF Rents'!AW11*'MF Rollover'!AT11)</f>
        <v/>
      </c>
      <c r="AV11" s="149" t="str">
        <f>IF($B11=0,"",$N11*'MF Rents'!AX11*'MF Rollover'!AU11)</f>
        <v/>
      </c>
      <c r="AW11" s="149" t="str">
        <f>IF($B11=0,"",$N11*'MF Rents'!AY11*'MF Rollover'!AV11)</f>
        <v/>
      </c>
      <c r="AX11" s="149" t="str">
        <f>IF($B11=0,"",$N11*'MF Rents'!AZ11*'MF Rollover'!AW11)</f>
        <v/>
      </c>
      <c r="AY11" s="149" t="str">
        <f>IF($B11=0,"",$N11*'MF Rents'!BA11*'MF Rollover'!AX11)</f>
        <v/>
      </c>
      <c r="AZ11" s="149" t="str">
        <f>IF($B11=0,"",$N11*'MF Rents'!BB11*'MF Rollover'!AY11)</f>
        <v/>
      </c>
      <c r="BA11" s="149" t="str">
        <f>IF($B11=0,"",$N11*'MF Rents'!BC11*'MF Rollover'!AZ11)</f>
        <v/>
      </c>
      <c r="BB11" s="149" t="str">
        <f>IF($B11=0,"",$N11*'MF Rents'!BD11*'MF Rollover'!BA11)</f>
        <v/>
      </c>
      <c r="BC11" s="149" t="str">
        <f>IF($B11=0,"",$N11*'MF Rents'!BE11*'MF Rollover'!BB11)</f>
        <v/>
      </c>
      <c r="BD11" s="149" t="str">
        <f>IF($B11=0,"",$N11*'MF Rents'!BF11*'MF Rollover'!BC11)</f>
        <v/>
      </c>
      <c r="BE11" s="149" t="str">
        <f>IF($B11=0,"",$N11*'MF Rents'!BG11*'MF Rollover'!BD11)</f>
        <v/>
      </c>
      <c r="BF11" s="149" t="str">
        <f>IF($B11=0,"",$N11*'MF Rents'!BH11*'MF Rollover'!BE11)</f>
        <v/>
      </c>
      <c r="BG11" s="149" t="str">
        <f>IF($B11=0,"",$N11*'MF Rents'!BI11*'MF Rollover'!BF11)</f>
        <v/>
      </c>
      <c r="BH11" s="149" t="str">
        <f>IF($B11=0,"",$N11*'MF Rents'!BJ11*'MF Rollover'!BG11)</f>
        <v/>
      </c>
      <c r="BI11" s="149" t="str">
        <f>IF($B11=0,"",$N11*'MF Rents'!BK11*'MF Rollover'!BH11)</f>
        <v/>
      </c>
      <c r="BJ11" s="149" t="str">
        <f>IF($B11=0,"",$N11*'MF Rents'!BL11*'MF Rollover'!BI11)</f>
        <v/>
      </c>
      <c r="BK11" s="149" t="str">
        <f>IF($B11=0,"",$N11*'MF Rents'!BM11*'MF Rollover'!BJ11)</f>
        <v/>
      </c>
      <c r="BL11" s="149" t="str">
        <f>IF($B11=0,"",$N11*'MF Rents'!BN11*'MF Rollover'!BK11)</f>
        <v/>
      </c>
      <c r="BM11" s="149" t="str">
        <f>IF($B11=0,"",$N11*'MF Rents'!BO11*'MF Rollover'!BL11)</f>
        <v/>
      </c>
      <c r="BN11" s="149" t="str">
        <f>IF($B11=0,"",$N11*'MF Rents'!BP11*'MF Rollover'!BM11)</f>
        <v/>
      </c>
      <c r="BO11" s="149" t="str">
        <f>IF($B11=0,"",$N11*'MF Rents'!BQ11*'MF Rollover'!BN11)</f>
        <v/>
      </c>
      <c r="BP11" s="149" t="str">
        <f>IF($B11=0,"",$N11*'MF Rents'!BR11*'MF Rollover'!BO11)</f>
        <v/>
      </c>
      <c r="BQ11" s="149" t="str">
        <f>IF($B11=0,"",$N11*'MF Rents'!BS11*'MF Rollover'!BP11)</f>
        <v/>
      </c>
      <c r="BR11" s="149" t="str">
        <f>IF($B11=0,"",$N11*'MF Rents'!BT11*'MF Rollover'!BQ11)</f>
        <v/>
      </c>
      <c r="BS11" s="149" t="str">
        <f>IF($B11=0,"",$N11*'MF Rents'!BU11*'MF Rollover'!BR11)</f>
        <v/>
      </c>
      <c r="BT11" s="149" t="str">
        <f>IF($B11=0,"",$N11*'MF Rents'!BV11*'MF Rollover'!BS11)</f>
        <v/>
      </c>
      <c r="BU11" s="149" t="str">
        <f>IF($B11=0,"",$N11*'MF Rents'!BW11*'MF Rollover'!BT11)</f>
        <v/>
      </c>
      <c r="BV11" s="149" t="str">
        <f>IF($B11=0,"",$N11*'MF Rents'!BX11*'MF Rollover'!BU11)</f>
        <v/>
      </c>
      <c r="BW11" s="149" t="str">
        <f>IF($B11=0,"",$N11*'MF Rents'!BY11*'MF Rollover'!BV11)</f>
        <v/>
      </c>
      <c r="BX11" s="149" t="str">
        <f>IF($B11=0,"",$N11*'MF Rents'!BZ11*'MF Rollover'!BW11)</f>
        <v/>
      </c>
      <c r="BY11" s="149" t="str">
        <f>IF($B11=0,"",$N11*'MF Rents'!CA11*'MF Rollover'!BX11)</f>
        <v/>
      </c>
      <c r="BZ11" s="149" t="str">
        <f>IF($B11=0,"",$N11*'MF Rents'!CB11*'MF Rollover'!BY11)</f>
        <v/>
      </c>
      <c r="CA11" s="149" t="str">
        <f>IF($B11=0,"",$N11*'MF Rents'!CC11*'MF Rollover'!BZ11)</f>
        <v/>
      </c>
      <c r="CB11" s="149" t="str">
        <f>IF($B11=0,"",$N11*'MF Rents'!CD11*'MF Rollover'!CA11)</f>
        <v/>
      </c>
      <c r="CC11" s="149" t="str">
        <f>IF($B11=0,"",$N11*'MF Rents'!CE11*'MF Rollover'!CB11)</f>
        <v/>
      </c>
      <c r="CD11" s="149" t="str">
        <f>IF($B11=0,"",$N11*'MF Rents'!CF11*'MF Rollover'!CC11)</f>
        <v/>
      </c>
      <c r="CE11" s="149" t="str">
        <f>IF($B11=0,"",$N11*'MF Rents'!CG11*'MF Rollover'!CD11)</f>
        <v/>
      </c>
      <c r="CF11" s="149" t="str">
        <f>IF($B11=0,"",$N11*'MF Rents'!CH11*'MF Rollover'!CE11)</f>
        <v/>
      </c>
      <c r="CG11" s="149" t="str">
        <f>IF($B11=0,"",$N11*'MF Rents'!CI11*'MF Rollover'!CF11)</f>
        <v/>
      </c>
      <c r="CH11" s="149" t="str">
        <f>IF($B11=0,"",$N11*'MF Rents'!CJ11*'MF Rollover'!CG11)</f>
        <v/>
      </c>
      <c r="CI11" s="149" t="str">
        <f>IF($B11=0,"",$N11*'MF Rents'!CK11*'MF Rollover'!CH11)</f>
        <v/>
      </c>
      <c r="CJ11" s="149" t="str">
        <f>IF($B11=0,"",$N11*'MF Rents'!CL11*'MF Rollover'!CI11)</f>
        <v/>
      </c>
      <c r="CK11" s="149" t="str">
        <f>IF($B11=0,"",$N11*'MF Rents'!CM11*'MF Rollover'!CJ11)</f>
        <v/>
      </c>
      <c r="CL11" s="149" t="str">
        <f>IF($B11=0,"",$N11*'MF Rents'!CN11*'MF Rollover'!CK11)</f>
        <v/>
      </c>
      <c r="CM11" s="149" t="str">
        <f>IF($B11=0,"",$N11*'MF Rents'!CO11*'MF Rollover'!CL11)</f>
        <v/>
      </c>
      <c r="CN11" s="149" t="str">
        <f>IF($B11=0,"",$N11*'MF Rents'!CP11*'MF Rollover'!CM11)</f>
        <v/>
      </c>
      <c r="CO11" s="149" t="str">
        <f>IF($B11=0,"",$N11*'MF Rents'!CQ11*'MF Rollover'!CN11)</f>
        <v/>
      </c>
      <c r="CP11" s="149" t="str">
        <f>IF($B11=0,"",$N11*'MF Rents'!CR11*'MF Rollover'!CO11)</f>
        <v/>
      </c>
      <c r="CQ11" s="149" t="str">
        <f>IF($B11=0,"",$N11*'MF Rents'!CS11*'MF Rollover'!CP11)</f>
        <v/>
      </c>
      <c r="CR11" s="149" t="str">
        <f>IF($B11=0,"",$N11*'MF Rents'!CT11*'MF Rollover'!CQ11)</f>
        <v/>
      </c>
      <c r="CS11" s="149" t="str">
        <f>IF($B11=0,"",$N11*'MF Rents'!CU11*'MF Rollover'!CR11)</f>
        <v/>
      </c>
      <c r="CT11" s="149" t="str">
        <f>IF($B11=0,"",$N11*'MF Rents'!CV11*'MF Rollover'!CS11)</f>
        <v/>
      </c>
      <c r="CU11" s="149" t="str">
        <f>IF($B11=0,"",$N11*'MF Rents'!CW11*'MF Rollover'!CT11)</f>
        <v/>
      </c>
      <c r="CV11" s="149" t="str">
        <f>IF($B11=0,"",$N11*'MF Rents'!CX11*'MF Rollover'!CU11)</f>
        <v/>
      </c>
      <c r="CW11" s="149" t="str">
        <f>IF($B11=0,"",$N11*'MF Rents'!CY11*'MF Rollover'!CV11)</f>
        <v/>
      </c>
      <c r="CX11" s="149" t="str">
        <f>IF($B11=0,"",$N11*'MF Rents'!CZ11*'MF Rollover'!CW11)</f>
        <v/>
      </c>
      <c r="CY11" s="149" t="str">
        <f>IF($B11=0,"",$N11*'MF Rents'!DA11*'MF Rollover'!CX11)</f>
        <v/>
      </c>
      <c r="CZ11" s="149" t="str">
        <f>IF($B11=0,"",$N11*'MF Rents'!DB11*'MF Rollover'!CY11)</f>
        <v/>
      </c>
      <c r="DA11" s="149" t="str">
        <f>IF($B11=0,"",$N11*'MF Rents'!DC11*'MF Rollover'!CZ11)</f>
        <v/>
      </c>
      <c r="DB11" s="149" t="str">
        <f>IF($B11=0,"",$N11*'MF Rents'!DD11*'MF Rollover'!DA11)</f>
        <v/>
      </c>
      <c r="DC11" s="149" t="str">
        <f>IF($B11=0,"",$N11*'MF Rents'!DE11*'MF Rollover'!DB11)</f>
        <v/>
      </c>
      <c r="DD11" s="149" t="str">
        <f>IF($B11=0,"",$N11*'MF Rents'!DF11*'MF Rollover'!DC11)</f>
        <v/>
      </c>
      <c r="DE11" s="149" t="str">
        <f>IF($B11=0,"",$N11*'MF Rents'!DG11*'MF Rollover'!DD11)</f>
        <v/>
      </c>
      <c r="DF11" s="149" t="str">
        <f>IF($B11=0,"",$N11*'MF Rents'!DH11*'MF Rollover'!DE11)</f>
        <v/>
      </c>
      <c r="DG11" s="149" t="str">
        <f>IF($B11=0,"",$N11*'MF Rents'!DI11*'MF Rollover'!DF11)</f>
        <v/>
      </c>
      <c r="DH11" s="149" t="str">
        <f>IF($B11=0,"",$N11*'MF Rents'!DJ11*'MF Rollover'!DG11)</f>
        <v/>
      </c>
      <c r="DI11" s="149" t="str">
        <f>IF($B11=0,"",$N11*'MF Rents'!DK11*'MF Rollover'!DH11)</f>
        <v/>
      </c>
      <c r="DJ11" s="149" t="str">
        <f>IF($B11=0,"",$N11*'MF Rents'!DL11*'MF Rollover'!DI11)</f>
        <v/>
      </c>
      <c r="DK11" s="149" t="str">
        <f>IF($B11=0,"",$N11*'MF Rents'!DM11*'MF Rollover'!DJ11)</f>
        <v/>
      </c>
      <c r="DL11" s="149" t="str">
        <f>IF($B11=0,"",$N11*'MF Rents'!DN11*'MF Rollover'!DK11)</f>
        <v/>
      </c>
      <c r="DM11" s="149" t="str">
        <f>IF($B11=0,"",$N11*'MF Rents'!DO11*'MF Rollover'!DL11)</f>
        <v/>
      </c>
      <c r="DN11" s="149" t="str">
        <f>IF($B11=0,"",$N11*'MF Rents'!DP11*'MF Rollover'!DM11)</f>
        <v/>
      </c>
      <c r="DO11" s="149" t="str">
        <f>IF($B11=0,"",$N11*'MF Rents'!DQ11*'MF Rollover'!DN11)</f>
        <v/>
      </c>
      <c r="DP11" s="149" t="str">
        <f>IF($B11=0,"",$N11*'MF Rents'!DR11*'MF Rollover'!DO11)</f>
        <v/>
      </c>
      <c r="DQ11" s="149" t="str">
        <f>IF($B11=0,"",$N11*'MF Rents'!DS11*'MF Rollover'!DP11)</f>
        <v/>
      </c>
      <c r="DR11" s="149" t="str">
        <f>IF($B11=0,"",$N11*'MF Rents'!DT11*'MF Rollover'!DQ11)</f>
        <v/>
      </c>
      <c r="DS11" s="149" t="str">
        <f>IF($B11=0,"",$N11*'MF Rents'!DU11*'MF Rollover'!DR11)</f>
        <v/>
      </c>
      <c r="DT11" s="149" t="str">
        <f>IF($B11=0,"",$N11*'MF Rents'!DV11*'MF Rollover'!DS11)</f>
        <v/>
      </c>
      <c r="DU11" s="149" t="str">
        <f>IF($B11=0,"",$N11*'MF Rents'!DW11*'MF Rollover'!DT11)</f>
        <v/>
      </c>
      <c r="DV11" s="149" t="str">
        <f>IF($B11=0,"",$N11*'MF Rents'!DX11*'MF Rollover'!DU11)</f>
        <v/>
      </c>
      <c r="DW11" s="149" t="str">
        <f>IF($B11=0,"",$N11*'MF Rents'!DY11*'MF Rollover'!DV11)</f>
        <v/>
      </c>
      <c r="DX11" s="149" t="str">
        <f>IF($B11=0,"",$N11*'MF Rents'!DZ11*'MF Rollover'!DW11)</f>
        <v/>
      </c>
      <c r="DY11" s="149" t="str">
        <f>IF($B11=0,"",$N11*'MF Rents'!EA11*'MF Rollover'!DX11)</f>
        <v/>
      </c>
      <c r="DZ11" s="149" t="str">
        <f>IF($B11=0,"",$N11*'MF Rents'!EB11*'MF Rollover'!DY11)</f>
        <v/>
      </c>
      <c r="EA11" s="149" t="str">
        <f>IF($B11=0,"",$N11*'MF Rents'!EC11*'MF Rollover'!DZ11)</f>
        <v/>
      </c>
      <c r="EB11" s="149" t="str">
        <f>IF($B11=0,"",$N11*'MF Rents'!ED11*'MF Rollover'!EA11)</f>
        <v/>
      </c>
      <c r="EC11" s="149" t="str">
        <f>IF($B11=0,"",$N11*'MF Rents'!EE11*'MF Rollover'!EB11)</f>
        <v/>
      </c>
      <c r="ED11" s="149" t="str">
        <f>IF($B11=0,"",$N11*'MF Rents'!EF11*'MF Rollover'!EC11)</f>
        <v/>
      </c>
      <c r="EE11" s="149" t="str">
        <f>IF($B11=0,"",$N11*'MF Rents'!EG11*'MF Rollover'!ED11)</f>
        <v/>
      </c>
      <c r="EF11" s="149" t="str">
        <f>IF($B11=0,"",$N11*'MF Rents'!EH11*'MF Rollover'!EE11)</f>
        <v/>
      </c>
      <c r="EG11" s="149" t="str">
        <f>IF($B11=0,"",$N11*'MF Rents'!EI11*'MF Rollover'!EF11)</f>
        <v/>
      </c>
      <c r="EH11" s="149" t="str">
        <f>IF($B11=0,"",$N11*'MF Rents'!EJ11*'MF Rollover'!EG11)</f>
        <v/>
      </c>
      <c r="EI11" s="149" t="str">
        <f>IF($B11=0,"",$N11*'MF Rents'!EK11*'MF Rollover'!EH11)</f>
        <v/>
      </c>
      <c r="EJ11" s="149" t="str">
        <f>IF($B11=0,"",$N11*'MF Rents'!EL11*'MF Rollover'!EI11)</f>
        <v/>
      </c>
      <c r="EK11" s="149" t="str">
        <f>IF($B11=0,"",$N11*'MF Rents'!EM11*'MF Rollover'!EJ11)</f>
        <v/>
      </c>
      <c r="EL11" s="149" t="str">
        <f>IF($B11=0,"",$N11*'MF Rents'!EN11*'MF Rollover'!EK11)</f>
        <v/>
      </c>
      <c r="EM11" s="149" t="str">
        <f>IF($B11=0,"",$N11*'MF Rents'!EO11*'MF Rollover'!EL11)</f>
        <v/>
      </c>
      <c r="EN11" s="149" t="str">
        <f>IF($B11=0,"",$N11*'MF Rents'!EP11*'MF Rollover'!EM11)</f>
        <v/>
      </c>
      <c r="EO11" s="149" t="str">
        <f>IF($B11=0,"",$N11*'MF Rents'!EQ11*'MF Rollover'!EN11)</f>
        <v/>
      </c>
      <c r="EP11" s="149" t="str">
        <f>IF($B11=0,"",$N11*'MF Rents'!ER11*'MF Rollover'!EO11)</f>
        <v/>
      </c>
      <c r="EQ11" s="149" t="str">
        <f>IF($B11=0,"",$N11*'MF Rents'!ES11*'MF Rollover'!EP11)</f>
        <v/>
      </c>
      <c r="ER11" s="149" t="str">
        <f>IF($B11=0,"",$N11*'MF Rents'!ET11*'MF Rollover'!EQ11)</f>
        <v/>
      </c>
      <c r="ES11" s="149" t="str">
        <f>IF($B11=0,"",$N11*'MF Rents'!EU11*'MF Rollover'!ER11)</f>
        <v/>
      </c>
      <c r="ET11" s="149" t="str">
        <f>IF($B11=0,"",$N11*'MF Rents'!EV11*'MF Rollover'!ES11)</f>
        <v/>
      </c>
      <c r="EU11" s="149" t="str">
        <f>IF($B11=0,"",$N11*'MF Rents'!EW11*'MF Rollover'!ET11)</f>
        <v/>
      </c>
      <c r="EV11" s="149" t="str">
        <f>IF($B11=0,"",$N11*'MF Rents'!EX11*'MF Rollover'!EU11)</f>
        <v/>
      </c>
      <c r="EW11" s="149" t="str">
        <f>IF($B11=0,"",$N11*'MF Rents'!EY11*'MF Rollover'!EV11)</f>
        <v/>
      </c>
      <c r="EX11" s="149" t="str">
        <f>IF($B11=0,"",$N11*'MF Rents'!EZ11*'MF Rollover'!EW11)</f>
        <v/>
      </c>
      <c r="EY11" s="149" t="str">
        <f>IF($B11=0,"",$N11*'MF Rents'!FA11*'MF Rollover'!EX11)</f>
        <v/>
      </c>
      <c r="EZ11" s="149" t="str">
        <f>IF($B11=0,"",$N11*'MF Rents'!FB11*'MF Rollover'!EY11)</f>
        <v/>
      </c>
      <c r="FA11" s="149" t="str">
        <f>IF($B11=0,"",$N11*'MF Rents'!FC11*'MF Rollover'!EZ11)</f>
        <v/>
      </c>
      <c r="FB11" s="149" t="str">
        <f>IF($B11=0,"",$N11*'MF Rents'!FD11*'MF Rollover'!FA11)</f>
        <v/>
      </c>
      <c r="FC11" s="149" t="str">
        <f>IF($B11=0,"",$N11*'MF Rents'!FE11*'MF Rollover'!FB11)</f>
        <v/>
      </c>
      <c r="FD11" s="149" t="str">
        <f>IF($B11=0,"",$N11*'MF Rents'!FF11*'MF Rollover'!FC11)</f>
        <v/>
      </c>
      <c r="FE11" s="149" t="str">
        <f>IF($B11=0,"",$N11*'MF Rents'!FG11*'MF Rollover'!FD11)</f>
        <v/>
      </c>
      <c r="FF11" s="149" t="str">
        <f>IF($B11=0,"",$N11*'MF Rents'!FH11*'MF Rollover'!FE11)</f>
        <v/>
      </c>
      <c r="FG11" s="149" t="str">
        <f>IF($B11=0,"",$N11*'MF Rents'!FI11*'MF Rollover'!FF11)</f>
        <v/>
      </c>
      <c r="FH11" s="149" t="str">
        <f>IF($B11=0,"",$N11*'MF Rents'!FJ11*'MF Rollover'!FG11)</f>
        <v/>
      </c>
      <c r="FI11" s="149" t="str">
        <f>IF($B11=0,"",$N11*'MF Rents'!FK11*'MF Rollover'!FH11)</f>
        <v/>
      </c>
      <c r="FJ11" s="149" t="str">
        <f>IF($B11=0,"",$N11*'MF Rents'!FL11*'MF Rollover'!FI11)</f>
        <v/>
      </c>
      <c r="FK11" s="149" t="str">
        <f>IF($B11=0,"",$N11*'MF Rents'!FM11*'MF Rollover'!FJ11)</f>
        <v/>
      </c>
      <c r="FL11" s="149" t="str">
        <f>IF($B11=0,"",$N11*'MF Rents'!FN11*'MF Rollover'!FK11)</f>
        <v/>
      </c>
      <c r="FM11" s="149" t="str">
        <f>IF($B11=0,"",$N11*'MF Rents'!FO11*'MF Rollover'!FL11)</f>
        <v/>
      </c>
      <c r="FN11" s="149" t="str">
        <f>IF($B11=0,"",$N11*'MF Rents'!FP11*'MF Rollover'!FM11)</f>
        <v/>
      </c>
      <c r="FO11" s="149" t="str">
        <f>IF($B11=0,"",$N11*'MF Rents'!FQ11*'MF Rollover'!FN11)</f>
        <v/>
      </c>
      <c r="FP11" s="149" t="str">
        <f>IF($B11=0,"",$N11*'MF Rents'!FR11*'MF Rollover'!FO11)</f>
        <v/>
      </c>
      <c r="FQ11" s="149" t="str">
        <f>IF($B11=0,"",$N11*'MF Rents'!FS11*'MF Rollover'!FP11)</f>
        <v/>
      </c>
      <c r="FR11" s="149" t="str">
        <f>IF($B11=0,"",$N11*'MF Rents'!FT11*'MF Rollover'!FQ11)</f>
        <v/>
      </c>
      <c r="FS11" s="149" t="str">
        <f>IF($B11=0,"",$N11*'MF Rents'!FU11*'MF Rollover'!FR11)</f>
        <v/>
      </c>
      <c r="FT11" s="149" t="str">
        <f>IF($B11=0,"",$N11*'MF Rents'!FV11*'MF Rollover'!FS11)</f>
        <v/>
      </c>
      <c r="FU11" s="149" t="str">
        <f>IF($B11=0,"",$N11*'MF Rents'!FW11*'MF Rollover'!FT11)</f>
        <v/>
      </c>
      <c r="FV11" s="149" t="str">
        <f>IF($B11=0,"",$N11*'MF Rents'!FX11*'MF Rollover'!FU11)</f>
        <v/>
      </c>
      <c r="FW11" s="149" t="str">
        <f>IF($B11=0,"",$N11*'MF Rents'!FY11*'MF Rollover'!FV11)</f>
        <v/>
      </c>
      <c r="FX11" s="149" t="str">
        <f>IF($B11=0,"",$N11*'MF Rents'!FZ11*'MF Rollover'!FW11)</f>
        <v/>
      </c>
      <c r="FY11" s="149" t="str">
        <f>IF($B11=0,"",$N11*'MF Rents'!GA11*'MF Rollover'!FX11)</f>
        <v/>
      </c>
      <c r="FZ11" s="149" t="str">
        <f>IF($B11=0,"",$N11*'MF Rents'!GB11*'MF Rollover'!FY11)</f>
        <v/>
      </c>
      <c r="GA11" s="149" t="str">
        <f>IF($B11=0,"",$N11*'MF Rents'!GC11*'MF Rollover'!FZ11)</f>
        <v/>
      </c>
      <c r="GB11" s="149" t="str">
        <f>IF($B11=0,"",$N11*'MF Rents'!GD11*'MF Rollover'!GA11)</f>
        <v/>
      </c>
      <c r="GC11" s="149" t="str">
        <f>IF($B11=0,"",$N11*'MF Rents'!GE11*'MF Rollover'!GB11)</f>
        <v/>
      </c>
      <c r="GD11" s="149" t="str">
        <f>IF($B11=0,"",$N11*'MF Rents'!GF11*'MF Rollover'!GC11)</f>
        <v/>
      </c>
      <c r="GE11" s="149" t="str">
        <f>IF($B11=0,"",$N11*'MF Rents'!GG11*'MF Rollover'!GD11)</f>
        <v/>
      </c>
      <c r="GF11" s="149" t="str">
        <f>IF($B11=0,"",$N11*'MF Rents'!GH11*'MF Rollover'!GE11)</f>
        <v/>
      </c>
      <c r="GG11" s="149" t="str">
        <f>IF($B11=0,"",$N11*'MF Rents'!GI11*'MF Rollover'!GF11)</f>
        <v/>
      </c>
      <c r="GH11" s="149" t="str">
        <f>IF($B11=0,"",$N11*'MF Rents'!GJ11*'MF Rollover'!GG11)</f>
        <v/>
      </c>
      <c r="GI11" s="149" t="str">
        <f>IF($B11=0,"",$N11*'MF Rents'!GK11*'MF Rollover'!GH11)</f>
        <v/>
      </c>
      <c r="GJ11" s="149" t="str">
        <f>IF($B11=0,"",$N11*'MF Rents'!GL11*'MF Rollover'!GI11)</f>
        <v/>
      </c>
      <c r="GK11" s="149" t="str">
        <f>IF($B11=0,"",$N11*'MF Rents'!GM11*'MF Rollover'!GJ11)</f>
        <v/>
      </c>
      <c r="GL11" s="149" t="str">
        <f>IF($B11=0,"",$N11*'MF Rents'!GN11*'MF Rollover'!GK11)</f>
        <v/>
      </c>
      <c r="GM11" s="149" t="str">
        <f>IF($B11=0,"",$N11*'MF Rents'!GO11*'MF Rollover'!GL11)</f>
        <v/>
      </c>
      <c r="GN11" s="149" t="str">
        <f>IF($B11=0,"",$N11*'MF Rents'!GP11*'MF Rollover'!GM11)</f>
        <v/>
      </c>
      <c r="GO11" s="149" t="str">
        <f>IF($B11=0,"",$N11*'MF Rents'!GQ11*'MF Rollover'!GN11)</f>
        <v/>
      </c>
      <c r="GP11" s="149" t="str">
        <f>IF($B11=0,"",$N11*'MF Rents'!GR11*'MF Rollover'!GO11)</f>
        <v/>
      </c>
    </row>
    <row r="12" spans="2:198" x14ac:dyDescent="0.3">
      <c r="B12" s="184">
        <f>'MF Rent Roll'!B11</f>
        <v>0</v>
      </c>
      <c r="C12" s="171">
        <f>'MF Rent Roll'!C11</f>
        <v>0</v>
      </c>
      <c r="D12" s="172">
        <f>'MF Rent Roll'!D11</f>
        <v>0</v>
      </c>
      <c r="E12" s="172">
        <f>'MF Rent Roll'!E11</f>
        <v>0</v>
      </c>
      <c r="F12" s="173">
        <f>'MF Rent Roll'!F11</f>
        <v>0</v>
      </c>
      <c r="G12" s="174">
        <f>'MF Rent Roll'!G11</f>
        <v>0</v>
      </c>
      <c r="H12" s="176">
        <f>'MF Rent Roll'!J11</f>
        <v>0</v>
      </c>
      <c r="I12" s="174">
        <f>'MF Rent Roll'!K11</f>
        <v>0</v>
      </c>
      <c r="J12" s="177">
        <f>'MF Rent Roll'!L11</f>
        <v>0</v>
      </c>
      <c r="K12" s="178">
        <f>'MF Rent Roll'!M11</f>
        <v>0</v>
      </c>
      <c r="L12" s="174">
        <f>'MF Rent Roll'!N11</f>
        <v>0</v>
      </c>
      <c r="M12" s="179">
        <f>'MF Rent Roll'!O11</f>
        <v>0</v>
      </c>
      <c r="N12" s="180" t="str">
        <f>'MF Rent Roll'!P11</f>
        <v/>
      </c>
      <c r="O12" s="181" t="str">
        <f>'MF Rent Roll'!Q11</f>
        <v/>
      </c>
      <c r="P12" s="104" t="str">
        <f>'MF Rent Roll'!R11</f>
        <v/>
      </c>
      <c r="S12" s="149" t="str">
        <f>IF($B12=0,"",$N12*'MF Rents'!U12*'MF Rollover'!R12)</f>
        <v/>
      </c>
      <c r="T12" s="149" t="str">
        <f>IF($B12=0,"",$N12*'MF Rents'!V12*'MF Rollover'!S12)</f>
        <v/>
      </c>
      <c r="U12" s="149" t="str">
        <f>IF($B12=0,"",$N12*'MF Rents'!W12*'MF Rollover'!T12)</f>
        <v/>
      </c>
      <c r="V12" s="149" t="str">
        <f>IF($B12=0,"",$N12*'MF Rents'!X12*'MF Rollover'!U12)</f>
        <v/>
      </c>
      <c r="W12" s="149" t="str">
        <f>IF($B12=0,"",$N12*'MF Rents'!Y12*'MF Rollover'!V12)</f>
        <v/>
      </c>
      <c r="X12" s="149" t="str">
        <f>IF($B12=0,"",$N12*'MF Rents'!Z12*'MF Rollover'!W12)</f>
        <v/>
      </c>
      <c r="Y12" s="149" t="str">
        <f>IF($B12=0,"",$N12*'MF Rents'!AA12*'MF Rollover'!X12)</f>
        <v/>
      </c>
      <c r="Z12" s="149" t="str">
        <f>IF($B12=0,"",$N12*'MF Rents'!AB12*'MF Rollover'!Y12)</f>
        <v/>
      </c>
      <c r="AA12" s="149" t="str">
        <f>IF($B12=0,"",$N12*'MF Rents'!AC12*'MF Rollover'!Z12)</f>
        <v/>
      </c>
      <c r="AB12" s="149" t="str">
        <f>IF($B12=0,"",$N12*'MF Rents'!AD12*'MF Rollover'!AA12)</f>
        <v/>
      </c>
      <c r="AC12" s="149" t="str">
        <f>IF($B12=0,"",$N12*'MF Rents'!AE12*'MF Rollover'!AB12)</f>
        <v/>
      </c>
      <c r="AD12" s="149" t="str">
        <f>IF($B12=0,"",$N12*'MF Rents'!AF12*'MF Rollover'!AC12)</f>
        <v/>
      </c>
      <c r="AE12" s="149" t="str">
        <f>IF($B12=0,"",$N12*'MF Rents'!AG12*'MF Rollover'!AD12)</f>
        <v/>
      </c>
      <c r="AF12" s="149" t="str">
        <f>IF($B12=0,"",$N12*'MF Rents'!AH12*'MF Rollover'!AE12)</f>
        <v/>
      </c>
      <c r="AG12" s="149" t="str">
        <f>IF($B12=0,"",$N12*'MF Rents'!AI12*'MF Rollover'!AF12)</f>
        <v/>
      </c>
      <c r="AH12" s="149" t="str">
        <f>IF($B12=0,"",$N12*'MF Rents'!AJ12*'MF Rollover'!AG12)</f>
        <v/>
      </c>
      <c r="AI12" s="149" t="str">
        <f>IF($B12=0,"",$N12*'MF Rents'!AK12*'MF Rollover'!AH12)</f>
        <v/>
      </c>
      <c r="AJ12" s="149" t="str">
        <f>IF($B12=0,"",$N12*'MF Rents'!AL12*'MF Rollover'!AI12)</f>
        <v/>
      </c>
      <c r="AK12" s="149" t="str">
        <f>IF($B12=0,"",$N12*'MF Rents'!AM12*'MF Rollover'!AJ12)</f>
        <v/>
      </c>
      <c r="AL12" s="149" t="str">
        <f>IF($B12=0,"",$N12*'MF Rents'!AN12*'MF Rollover'!AK12)</f>
        <v/>
      </c>
      <c r="AM12" s="149" t="str">
        <f>IF($B12=0,"",$N12*'MF Rents'!AO12*'MF Rollover'!AL12)</f>
        <v/>
      </c>
      <c r="AN12" s="149" t="str">
        <f>IF($B12=0,"",$N12*'MF Rents'!AP12*'MF Rollover'!AM12)</f>
        <v/>
      </c>
      <c r="AO12" s="149" t="str">
        <f>IF($B12=0,"",$N12*'MF Rents'!AQ12*'MF Rollover'!AN12)</f>
        <v/>
      </c>
      <c r="AP12" s="149" t="str">
        <f>IF($B12=0,"",$N12*'MF Rents'!AR12*'MF Rollover'!AO12)</f>
        <v/>
      </c>
      <c r="AQ12" s="149" t="str">
        <f>IF($B12=0,"",$N12*'MF Rents'!AS12*'MF Rollover'!AP12)</f>
        <v/>
      </c>
      <c r="AR12" s="149" t="str">
        <f>IF($B12=0,"",$N12*'MF Rents'!AT12*'MF Rollover'!AQ12)</f>
        <v/>
      </c>
      <c r="AS12" s="149" t="str">
        <f>IF($B12=0,"",$N12*'MF Rents'!AU12*'MF Rollover'!AR12)</f>
        <v/>
      </c>
      <c r="AT12" s="149" t="str">
        <f>IF($B12=0,"",$N12*'MF Rents'!AV12*'MF Rollover'!AS12)</f>
        <v/>
      </c>
      <c r="AU12" s="149" t="str">
        <f>IF($B12=0,"",$N12*'MF Rents'!AW12*'MF Rollover'!AT12)</f>
        <v/>
      </c>
      <c r="AV12" s="149" t="str">
        <f>IF($B12=0,"",$N12*'MF Rents'!AX12*'MF Rollover'!AU12)</f>
        <v/>
      </c>
      <c r="AW12" s="149" t="str">
        <f>IF($B12=0,"",$N12*'MF Rents'!AY12*'MF Rollover'!AV12)</f>
        <v/>
      </c>
      <c r="AX12" s="149" t="str">
        <f>IF($B12=0,"",$N12*'MF Rents'!AZ12*'MF Rollover'!AW12)</f>
        <v/>
      </c>
      <c r="AY12" s="149" t="str">
        <f>IF($B12=0,"",$N12*'MF Rents'!BA12*'MF Rollover'!AX12)</f>
        <v/>
      </c>
      <c r="AZ12" s="149" t="str">
        <f>IF($B12=0,"",$N12*'MF Rents'!BB12*'MF Rollover'!AY12)</f>
        <v/>
      </c>
      <c r="BA12" s="149" t="str">
        <f>IF($B12=0,"",$N12*'MF Rents'!BC12*'MF Rollover'!AZ12)</f>
        <v/>
      </c>
      <c r="BB12" s="149" t="str">
        <f>IF($B12=0,"",$N12*'MF Rents'!BD12*'MF Rollover'!BA12)</f>
        <v/>
      </c>
      <c r="BC12" s="149" t="str">
        <f>IF($B12=0,"",$N12*'MF Rents'!BE12*'MF Rollover'!BB12)</f>
        <v/>
      </c>
      <c r="BD12" s="149" t="str">
        <f>IF($B12=0,"",$N12*'MF Rents'!BF12*'MF Rollover'!BC12)</f>
        <v/>
      </c>
      <c r="BE12" s="149" t="str">
        <f>IF($B12=0,"",$N12*'MF Rents'!BG12*'MF Rollover'!BD12)</f>
        <v/>
      </c>
      <c r="BF12" s="149" t="str">
        <f>IF($B12=0,"",$N12*'MF Rents'!BH12*'MF Rollover'!BE12)</f>
        <v/>
      </c>
      <c r="BG12" s="149" t="str">
        <f>IF($B12=0,"",$N12*'MF Rents'!BI12*'MF Rollover'!BF12)</f>
        <v/>
      </c>
      <c r="BH12" s="149" t="str">
        <f>IF($B12=0,"",$N12*'MF Rents'!BJ12*'MF Rollover'!BG12)</f>
        <v/>
      </c>
      <c r="BI12" s="149" t="str">
        <f>IF($B12=0,"",$N12*'MF Rents'!BK12*'MF Rollover'!BH12)</f>
        <v/>
      </c>
      <c r="BJ12" s="149" t="str">
        <f>IF($B12=0,"",$N12*'MF Rents'!BL12*'MF Rollover'!BI12)</f>
        <v/>
      </c>
      <c r="BK12" s="149" t="str">
        <f>IF($B12=0,"",$N12*'MF Rents'!BM12*'MF Rollover'!BJ12)</f>
        <v/>
      </c>
      <c r="BL12" s="149" t="str">
        <f>IF($B12=0,"",$N12*'MF Rents'!BN12*'MF Rollover'!BK12)</f>
        <v/>
      </c>
      <c r="BM12" s="149" t="str">
        <f>IF($B12=0,"",$N12*'MF Rents'!BO12*'MF Rollover'!BL12)</f>
        <v/>
      </c>
      <c r="BN12" s="149" t="str">
        <f>IF($B12=0,"",$N12*'MF Rents'!BP12*'MF Rollover'!BM12)</f>
        <v/>
      </c>
      <c r="BO12" s="149" t="str">
        <f>IF($B12=0,"",$N12*'MF Rents'!BQ12*'MF Rollover'!BN12)</f>
        <v/>
      </c>
      <c r="BP12" s="149" t="str">
        <f>IF($B12=0,"",$N12*'MF Rents'!BR12*'MF Rollover'!BO12)</f>
        <v/>
      </c>
      <c r="BQ12" s="149" t="str">
        <f>IF($B12=0,"",$N12*'MF Rents'!BS12*'MF Rollover'!BP12)</f>
        <v/>
      </c>
      <c r="BR12" s="149" t="str">
        <f>IF($B12=0,"",$N12*'MF Rents'!BT12*'MF Rollover'!BQ12)</f>
        <v/>
      </c>
      <c r="BS12" s="149" t="str">
        <f>IF($B12=0,"",$N12*'MF Rents'!BU12*'MF Rollover'!BR12)</f>
        <v/>
      </c>
      <c r="BT12" s="149" t="str">
        <f>IF($B12=0,"",$N12*'MF Rents'!BV12*'MF Rollover'!BS12)</f>
        <v/>
      </c>
      <c r="BU12" s="149" t="str">
        <f>IF($B12=0,"",$N12*'MF Rents'!BW12*'MF Rollover'!BT12)</f>
        <v/>
      </c>
      <c r="BV12" s="149" t="str">
        <f>IF($B12=0,"",$N12*'MF Rents'!BX12*'MF Rollover'!BU12)</f>
        <v/>
      </c>
      <c r="BW12" s="149" t="str">
        <f>IF($B12=0,"",$N12*'MF Rents'!BY12*'MF Rollover'!BV12)</f>
        <v/>
      </c>
      <c r="BX12" s="149" t="str">
        <f>IF($B12=0,"",$N12*'MF Rents'!BZ12*'MF Rollover'!BW12)</f>
        <v/>
      </c>
      <c r="BY12" s="149" t="str">
        <f>IF($B12=0,"",$N12*'MF Rents'!CA12*'MF Rollover'!BX12)</f>
        <v/>
      </c>
      <c r="BZ12" s="149" t="str">
        <f>IF($B12=0,"",$N12*'MF Rents'!CB12*'MF Rollover'!BY12)</f>
        <v/>
      </c>
      <c r="CA12" s="149" t="str">
        <f>IF($B12=0,"",$N12*'MF Rents'!CC12*'MF Rollover'!BZ12)</f>
        <v/>
      </c>
      <c r="CB12" s="149" t="str">
        <f>IF($B12=0,"",$N12*'MF Rents'!CD12*'MF Rollover'!CA12)</f>
        <v/>
      </c>
      <c r="CC12" s="149" t="str">
        <f>IF($B12=0,"",$N12*'MF Rents'!CE12*'MF Rollover'!CB12)</f>
        <v/>
      </c>
      <c r="CD12" s="149" t="str">
        <f>IF($B12=0,"",$N12*'MF Rents'!CF12*'MF Rollover'!CC12)</f>
        <v/>
      </c>
      <c r="CE12" s="149" t="str">
        <f>IF($B12=0,"",$N12*'MF Rents'!CG12*'MF Rollover'!CD12)</f>
        <v/>
      </c>
      <c r="CF12" s="149" t="str">
        <f>IF($B12=0,"",$N12*'MF Rents'!CH12*'MF Rollover'!CE12)</f>
        <v/>
      </c>
      <c r="CG12" s="149" t="str">
        <f>IF($B12=0,"",$N12*'MF Rents'!CI12*'MF Rollover'!CF12)</f>
        <v/>
      </c>
      <c r="CH12" s="149" t="str">
        <f>IF($B12=0,"",$N12*'MF Rents'!CJ12*'MF Rollover'!CG12)</f>
        <v/>
      </c>
      <c r="CI12" s="149" t="str">
        <f>IF($B12=0,"",$N12*'MF Rents'!CK12*'MF Rollover'!CH12)</f>
        <v/>
      </c>
      <c r="CJ12" s="149" t="str">
        <f>IF($B12=0,"",$N12*'MF Rents'!CL12*'MF Rollover'!CI12)</f>
        <v/>
      </c>
      <c r="CK12" s="149" t="str">
        <f>IF($B12=0,"",$N12*'MF Rents'!CM12*'MF Rollover'!CJ12)</f>
        <v/>
      </c>
      <c r="CL12" s="149" t="str">
        <f>IF($B12=0,"",$N12*'MF Rents'!CN12*'MF Rollover'!CK12)</f>
        <v/>
      </c>
      <c r="CM12" s="149" t="str">
        <f>IF($B12=0,"",$N12*'MF Rents'!CO12*'MF Rollover'!CL12)</f>
        <v/>
      </c>
      <c r="CN12" s="149" t="str">
        <f>IF($B12=0,"",$N12*'MF Rents'!CP12*'MF Rollover'!CM12)</f>
        <v/>
      </c>
      <c r="CO12" s="149" t="str">
        <f>IF($B12=0,"",$N12*'MF Rents'!CQ12*'MF Rollover'!CN12)</f>
        <v/>
      </c>
      <c r="CP12" s="149" t="str">
        <f>IF($B12=0,"",$N12*'MF Rents'!CR12*'MF Rollover'!CO12)</f>
        <v/>
      </c>
      <c r="CQ12" s="149" t="str">
        <f>IF($B12=0,"",$N12*'MF Rents'!CS12*'MF Rollover'!CP12)</f>
        <v/>
      </c>
      <c r="CR12" s="149" t="str">
        <f>IF($B12=0,"",$N12*'MF Rents'!CT12*'MF Rollover'!CQ12)</f>
        <v/>
      </c>
      <c r="CS12" s="149" t="str">
        <f>IF($B12=0,"",$N12*'MF Rents'!CU12*'MF Rollover'!CR12)</f>
        <v/>
      </c>
      <c r="CT12" s="149" t="str">
        <f>IF($B12=0,"",$N12*'MF Rents'!CV12*'MF Rollover'!CS12)</f>
        <v/>
      </c>
      <c r="CU12" s="149" t="str">
        <f>IF($B12=0,"",$N12*'MF Rents'!CW12*'MF Rollover'!CT12)</f>
        <v/>
      </c>
      <c r="CV12" s="149" t="str">
        <f>IF($B12=0,"",$N12*'MF Rents'!CX12*'MF Rollover'!CU12)</f>
        <v/>
      </c>
      <c r="CW12" s="149" t="str">
        <f>IF($B12=0,"",$N12*'MF Rents'!CY12*'MF Rollover'!CV12)</f>
        <v/>
      </c>
      <c r="CX12" s="149" t="str">
        <f>IF($B12=0,"",$N12*'MF Rents'!CZ12*'MF Rollover'!CW12)</f>
        <v/>
      </c>
      <c r="CY12" s="149" t="str">
        <f>IF($B12=0,"",$N12*'MF Rents'!DA12*'MF Rollover'!CX12)</f>
        <v/>
      </c>
      <c r="CZ12" s="149" t="str">
        <f>IF($B12=0,"",$N12*'MF Rents'!DB12*'MF Rollover'!CY12)</f>
        <v/>
      </c>
      <c r="DA12" s="149" t="str">
        <f>IF($B12=0,"",$N12*'MF Rents'!DC12*'MF Rollover'!CZ12)</f>
        <v/>
      </c>
      <c r="DB12" s="149" t="str">
        <f>IF($B12=0,"",$N12*'MF Rents'!DD12*'MF Rollover'!DA12)</f>
        <v/>
      </c>
      <c r="DC12" s="149" t="str">
        <f>IF($B12=0,"",$N12*'MF Rents'!DE12*'MF Rollover'!DB12)</f>
        <v/>
      </c>
      <c r="DD12" s="149" t="str">
        <f>IF($B12=0,"",$N12*'MF Rents'!DF12*'MF Rollover'!DC12)</f>
        <v/>
      </c>
      <c r="DE12" s="149" t="str">
        <f>IF($B12=0,"",$N12*'MF Rents'!DG12*'MF Rollover'!DD12)</f>
        <v/>
      </c>
      <c r="DF12" s="149" t="str">
        <f>IF($B12=0,"",$N12*'MF Rents'!DH12*'MF Rollover'!DE12)</f>
        <v/>
      </c>
      <c r="DG12" s="149" t="str">
        <f>IF($B12=0,"",$N12*'MF Rents'!DI12*'MF Rollover'!DF12)</f>
        <v/>
      </c>
      <c r="DH12" s="149" t="str">
        <f>IF($B12=0,"",$N12*'MF Rents'!DJ12*'MF Rollover'!DG12)</f>
        <v/>
      </c>
      <c r="DI12" s="149" t="str">
        <f>IF($B12=0,"",$N12*'MF Rents'!DK12*'MF Rollover'!DH12)</f>
        <v/>
      </c>
      <c r="DJ12" s="149" t="str">
        <f>IF($B12=0,"",$N12*'MF Rents'!DL12*'MF Rollover'!DI12)</f>
        <v/>
      </c>
      <c r="DK12" s="149" t="str">
        <f>IF($B12=0,"",$N12*'MF Rents'!DM12*'MF Rollover'!DJ12)</f>
        <v/>
      </c>
      <c r="DL12" s="149" t="str">
        <f>IF($B12=0,"",$N12*'MF Rents'!DN12*'MF Rollover'!DK12)</f>
        <v/>
      </c>
      <c r="DM12" s="149" t="str">
        <f>IF($B12=0,"",$N12*'MF Rents'!DO12*'MF Rollover'!DL12)</f>
        <v/>
      </c>
      <c r="DN12" s="149" t="str">
        <f>IF($B12=0,"",$N12*'MF Rents'!DP12*'MF Rollover'!DM12)</f>
        <v/>
      </c>
      <c r="DO12" s="149" t="str">
        <f>IF($B12=0,"",$N12*'MF Rents'!DQ12*'MF Rollover'!DN12)</f>
        <v/>
      </c>
      <c r="DP12" s="149" t="str">
        <f>IF($B12=0,"",$N12*'MF Rents'!DR12*'MF Rollover'!DO12)</f>
        <v/>
      </c>
      <c r="DQ12" s="149" t="str">
        <f>IF($B12=0,"",$N12*'MF Rents'!DS12*'MF Rollover'!DP12)</f>
        <v/>
      </c>
      <c r="DR12" s="149" t="str">
        <f>IF($B12=0,"",$N12*'MF Rents'!DT12*'MF Rollover'!DQ12)</f>
        <v/>
      </c>
      <c r="DS12" s="149" t="str">
        <f>IF($B12=0,"",$N12*'MF Rents'!DU12*'MF Rollover'!DR12)</f>
        <v/>
      </c>
      <c r="DT12" s="149" t="str">
        <f>IF($B12=0,"",$N12*'MF Rents'!DV12*'MF Rollover'!DS12)</f>
        <v/>
      </c>
      <c r="DU12" s="149" t="str">
        <f>IF($B12=0,"",$N12*'MF Rents'!DW12*'MF Rollover'!DT12)</f>
        <v/>
      </c>
      <c r="DV12" s="149" t="str">
        <f>IF($B12=0,"",$N12*'MF Rents'!DX12*'MF Rollover'!DU12)</f>
        <v/>
      </c>
      <c r="DW12" s="149" t="str">
        <f>IF($B12=0,"",$N12*'MF Rents'!DY12*'MF Rollover'!DV12)</f>
        <v/>
      </c>
      <c r="DX12" s="149" t="str">
        <f>IF($B12=0,"",$N12*'MF Rents'!DZ12*'MF Rollover'!DW12)</f>
        <v/>
      </c>
      <c r="DY12" s="149" t="str">
        <f>IF($B12=0,"",$N12*'MF Rents'!EA12*'MF Rollover'!DX12)</f>
        <v/>
      </c>
      <c r="DZ12" s="149" t="str">
        <f>IF($B12=0,"",$N12*'MF Rents'!EB12*'MF Rollover'!DY12)</f>
        <v/>
      </c>
      <c r="EA12" s="149" t="str">
        <f>IF($B12=0,"",$N12*'MF Rents'!EC12*'MF Rollover'!DZ12)</f>
        <v/>
      </c>
      <c r="EB12" s="149" t="str">
        <f>IF($B12=0,"",$N12*'MF Rents'!ED12*'MF Rollover'!EA12)</f>
        <v/>
      </c>
      <c r="EC12" s="149" t="str">
        <f>IF($B12=0,"",$N12*'MF Rents'!EE12*'MF Rollover'!EB12)</f>
        <v/>
      </c>
      <c r="ED12" s="149" t="str">
        <f>IF($B12=0,"",$N12*'MF Rents'!EF12*'MF Rollover'!EC12)</f>
        <v/>
      </c>
      <c r="EE12" s="149" t="str">
        <f>IF($B12=0,"",$N12*'MF Rents'!EG12*'MF Rollover'!ED12)</f>
        <v/>
      </c>
      <c r="EF12" s="149" t="str">
        <f>IF($B12=0,"",$N12*'MF Rents'!EH12*'MF Rollover'!EE12)</f>
        <v/>
      </c>
      <c r="EG12" s="149" t="str">
        <f>IF($B12=0,"",$N12*'MF Rents'!EI12*'MF Rollover'!EF12)</f>
        <v/>
      </c>
      <c r="EH12" s="149" t="str">
        <f>IF($B12=0,"",$N12*'MF Rents'!EJ12*'MF Rollover'!EG12)</f>
        <v/>
      </c>
      <c r="EI12" s="149" t="str">
        <f>IF($B12=0,"",$N12*'MF Rents'!EK12*'MF Rollover'!EH12)</f>
        <v/>
      </c>
      <c r="EJ12" s="149" t="str">
        <f>IF($B12=0,"",$N12*'MF Rents'!EL12*'MF Rollover'!EI12)</f>
        <v/>
      </c>
      <c r="EK12" s="149" t="str">
        <f>IF($B12=0,"",$N12*'MF Rents'!EM12*'MF Rollover'!EJ12)</f>
        <v/>
      </c>
      <c r="EL12" s="149" t="str">
        <f>IF($B12=0,"",$N12*'MF Rents'!EN12*'MF Rollover'!EK12)</f>
        <v/>
      </c>
      <c r="EM12" s="149" t="str">
        <f>IF($B12=0,"",$N12*'MF Rents'!EO12*'MF Rollover'!EL12)</f>
        <v/>
      </c>
      <c r="EN12" s="149" t="str">
        <f>IF($B12=0,"",$N12*'MF Rents'!EP12*'MF Rollover'!EM12)</f>
        <v/>
      </c>
      <c r="EO12" s="149" t="str">
        <f>IF($B12=0,"",$N12*'MF Rents'!EQ12*'MF Rollover'!EN12)</f>
        <v/>
      </c>
      <c r="EP12" s="149" t="str">
        <f>IF($B12=0,"",$N12*'MF Rents'!ER12*'MF Rollover'!EO12)</f>
        <v/>
      </c>
      <c r="EQ12" s="149" t="str">
        <f>IF($B12=0,"",$N12*'MF Rents'!ES12*'MF Rollover'!EP12)</f>
        <v/>
      </c>
      <c r="ER12" s="149" t="str">
        <f>IF($B12=0,"",$N12*'MF Rents'!ET12*'MF Rollover'!EQ12)</f>
        <v/>
      </c>
      <c r="ES12" s="149" t="str">
        <f>IF($B12=0,"",$N12*'MF Rents'!EU12*'MF Rollover'!ER12)</f>
        <v/>
      </c>
      <c r="ET12" s="149" t="str">
        <f>IF($B12=0,"",$N12*'MF Rents'!EV12*'MF Rollover'!ES12)</f>
        <v/>
      </c>
      <c r="EU12" s="149" t="str">
        <f>IF($B12=0,"",$N12*'MF Rents'!EW12*'MF Rollover'!ET12)</f>
        <v/>
      </c>
      <c r="EV12" s="149" t="str">
        <f>IF($B12=0,"",$N12*'MF Rents'!EX12*'MF Rollover'!EU12)</f>
        <v/>
      </c>
      <c r="EW12" s="149" t="str">
        <f>IF($B12=0,"",$N12*'MF Rents'!EY12*'MF Rollover'!EV12)</f>
        <v/>
      </c>
      <c r="EX12" s="149" t="str">
        <f>IF($B12=0,"",$N12*'MF Rents'!EZ12*'MF Rollover'!EW12)</f>
        <v/>
      </c>
      <c r="EY12" s="149" t="str">
        <f>IF($B12=0,"",$N12*'MF Rents'!FA12*'MF Rollover'!EX12)</f>
        <v/>
      </c>
      <c r="EZ12" s="149" t="str">
        <f>IF($B12=0,"",$N12*'MF Rents'!FB12*'MF Rollover'!EY12)</f>
        <v/>
      </c>
      <c r="FA12" s="149" t="str">
        <f>IF($B12=0,"",$N12*'MF Rents'!FC12*'MF Rollover'!EZ12)</f>
        <v/>
      </c>
      <c r="FB12" s="149" t="str">
        <f>IF($B12=0,"",$N12*'MF Rents'!FD12*'MF Rollover'!FA12)</f>
        <v/>
      </c>
      <c r="FC12" s="149" t="str">
        <f>IF($B12=0,"",$N12*'MF Rents'!FE12*'MF Rollover'!FB12)</f>
        <v/>
      </c>
      <c r="FD12" s="149" t="str">
        <f>IF($B12=0,"",$N12*'MF Rents'!FF12*'MF Rollover'!FC12)</f>
        <v/>
      </c>
      <c r="FE12" s="149" t="str">
        <f>IF($B12=0,"",$N12*'MF Rents'!FG12*'MF Rollover'!FD12)</f>
        <v/>
      </c>
      <c r="FF12" s="149" t="str">
        <f>IF($B12=0,"",$N12*'MF Rents'!FH12*'MF Rollover'!FE12)</f>
        <v/>
      </c>
      <c r="FG12" s="149" t="str">
        <f>IF($B12=0,"",$N12*'MF Rents'!FI12*'MF Rollover'!FF12)</f>
        <v/>
      </c>
      <c r="FH12" s="149" t="str">
        <f>IF($B12=0,"",$N12*'MF Rents'!FJ12*'MF Rollover'!FG12)</f>
        <v/>
      </c>
      <c r="FI12" s="149" t="str">
        <f>IF($B12=0,"",$N12*'MF Rents'!FK12*'MF Rollover'!FH12)</f>
        <v/>
      </c>
      <c r="FJ12" s="149" t="str">
        <f>IF($B12=0,"",$N12*'MF Rents'!FL12*'MF Rollover'!FI12)</f>
        <v/>
      </c>
      <c r="FK12" s="149" t="str">
        <f>IF($B12=0,"",$N12*'MF Rents'!FM12*'MF Rollover'!FJ12)</f>
        <v/>
      </c>
      <c r="FL12" s="149" t="str">
        <f>IF($B12=0,"",$N12*'MF Rents'!FN12*'MF Rollover'!FK12)</f>
        <v/>
      </c>
      <c r="FM12" s="149" t="str">
        <f>IF($B12=0,"",$N12*'MF Rents'!FO12*'MF Rollover'!FL12)</f>
        <v/>
      </c>
      <c r="FN12" s="149" t="str">
        <f>IF($B12=0,"",$N12*'MF Rents'!FP12*'MF Rollover'!FM12)</f>
        <v/>
      </c>
      <c r="FO12" s="149" t="str">
        <f>IF($B12=0,"",$N12*'MF Rents'!FQ12*'MF Rollover'!FN12)</f>
        <v/>
      </c>
      <c r="FP12" s="149" t="str">
        <f>IF($B12=0,"",$N12*'MF Rents'!FR12*'MF Rollover'!FO12)</f>
        <v/>
      </c>
      <c r="FQ12" s="149" t="str">
        <f>IF($B12=0,"",$N12*'MF Rents'!FS12*'MF Rollover'!FP12)</f>
        <v/>
      </c>
      <c r="FR12" s="149" t="str">
        <f>IF($B12=0,"",$N12*'MF Rents'!FT12*'MF Rollover'!FQ12)</f>
        <v/>
      </c>
      <c r="FS12" s="149" t="str">
        <f>IF($B12=0,"",$N12*'MF Rents'!FU12*'MF Rollover'!FR12)</f>
        <v/>
      </c>
      <c r="FT12" s="149" t="str">
        <f>IF($B12=0,"",$N12*'MF Rents'!FV12*'MF Rollover'!FS12)</f>
        <v/>
      </c>
      <c r="FU12" s="149" t="str">
        <f>IF($B12=0,"",$N12*'MF Rents'!FW12*'MF Rollover'!FT12)</f>
        <v/>
      </c>
      <c r="FV12" s="149" t="str">
        <f>IF($B12=0,"",$N12*'MF Rents'!FX12*'MF Rollover'!FU12)</f>
        <v/>
      </c>
      <c r="FW12" s="149" t="str">
        <f>IF($B12=0,"",$N12*'MF Rents'!FY12*'MF Rollover'!FV12)</f>
        <v/>
      </c>
      <c r="FX12" s="149" t="str">
        <f>IF($B12=0,"",$N12*'MF Rents'!FZ12*'MF Rollover'!FW12)</f>
        <v/>
      </c>
      <c r="FY12" s="149" t="str">
        <f>IF($B12=0,"",$N12*'MF Rents'!GA12*'MF Rollover'!FX12)</f>
        <v/>
      </c>
      <c r="FZ12" s="149" t="str">
        <f>IF($B12=0,"",$N12*'MF Rents'!GB12*'MF Rollover'!FY12)</f>
        <v/>
      </c>
      <c r="GA12" s="149" t="str">
        <f>IF($B12=0,"",$N12*'MF Rents'!GC12*'MF Rollover'!FZ12)</f>
        <v/>
      </c>
      <c r="GB12" s="149" t="str">
        <f>IF($B12=0,"",$N12*'MF Rents'!GD12*'MF Rollover'!GA12)</f>
        <v/>
      </c>
      <c r="GC12" s="149" t="str">
        <f>IF($B12=0,"",$N12*'MF Rents'!GE12*'MF Rollover'!GB12)</f>
        <v/>
      </c>
      <c r="GD12" s="149" t="str">
        <f>IF($B12=0,"",$N12*'MF Rents'!GF12*'MF Rollover'!GC12)</f>
        <v/>
      </c>
      <c r="GE12" s="149" t="str">
        <f>IF($B12=0,"",$N12*'MF Rents'!GG12*'MF Rollover'!GD12)</f>
        <v/>
      </c>
      <c r="GF12" s="149" t="str">
        <f>IF($B12=0,"",$N12*'MF Rents'!GH12*'MF Rollover'!GE12)</f>
        <v/>
      </c>
      <c r="GG12" s="149" t="str">
        <f>IF($B12=0,"",$N12*'MF Rents'!GI12*'MF Rollover'!GF12)</f>
        <v/>
      </c>
      <c r="GH12" s="149" t="str">
        <f>IF($B12=0,"",$N12*'MF Rents'!GJ12*'MF Rollover'!GG12)</f>
        <v/>
      </c>
      <c r="GI12" s="149" t="str">
        <f>IF($B12=0,"",$N12*'MF Rents'!GK12*'MF Rollover'!GH12)</f>
        <v/>
      </c>
      <c r="GJ12" s="149" t="str">
        <f>IF($B12=0,"",$N12*'MF Rents'!GL12*'MF Rollover'!GI12)</f>
        <v/>
      </c>
      <c r="GK12" s="149" t="str">
        <f>IF($B12=0,"",$N12*'MF Rents'!GM12*'MF Rollover'!GJ12)</f>
        <v/>
      </c>
      <c r="GL12" s="149" t="str">
        <f>IF($B12=0,"",$N12*'MF Rents'!GN12*'MF Rollover'!GK12)</f>
        <v/>
      </c>
      <c r="GM12" s="149" t="str">
        <f>IF($B12=0,"",$N12*'MF Rents'!GO12*'MF Rollover'!GL12)</f>
        <v/>
      </c>
      <c r="GN12" s="149" t="str">
        <f>IF($B12=0,"",$N12*'MF Rents'!GP12*'MF Rollover'!GM12)</f>
        <v/>
      </c>
      <c r="GO12" s="149" t="str">
        <f>IF($B12=0,"",$N12*'MF Rents'!GQ12*'MF Rollover'!GN12)</f>
        <v/>
      </c>
      <c r="GP12" s="149" t="str">
        <f>IF($B12=0,"",$N12*'MF Rents'!GR12*'MF Rollover'!GO12)</f>
        <v/>
      </c>
    </row>
    <row r="13" spans="2:198" x14ac:dyDescent="0.3">
      <c r="B13" s="184">
        <f>'MF Rent Roll'!B12</f>
        <v>0</v>
      </c>
      <c r="C13" s="171">
        <f>'MF Rent Roll'!C12</f>
        <v>0</v>
      </c>
      <c r="D13" s="172">
        <f>'MF Rent Roll'!D12</f>
        <v>0</v>
      </c>
      <c r="E13" s="172">
        <f>'MF Rent Roll'!E12</f>
        <v>0</v>
      </c>
      <c r="F13" s="173">
        <f>'MF Rent Roll'!F12</f>
        <v>0</v>
      </c>
      <c r="G13" s="174">
        <f>'MF Rent Roll'!G12</f>
        <v>0</v>
      </c>
      <c r="H13" s="176">
        <f>'MF Rent Roll'!J12</f>
        <v>0</v>
      </c>
      <c r="I13" s="174">
        <f>'MF Rent Roll'!K12</f>
        <v>0</v>
      </c>
      <c r="J13" s="177">
        <f>'MF Rent Roll'!L12</f>
        <v>0</v>
      </c>
      <c r="K13" s="178">
        <f>'MF Rent Roll'!M12</f>
        <v>0</v>
      </c>
      <c r="L13" s="174">
        <f>'MF Rent Roll'!N12</f>
        <v>0</v>
      </c>
      <c r="M13" s="179">
        <f>'MF Rent Roll'!O12</f>
        <v>0</v>
      </c>
      <c r="N13" s="180" t="str">
        <f>'MF Rent Roll'!P12</f>
        <v/>
      </c>
      <c r="O13" s="181" t="str">
        <f>'MF Rent Roll'!Q12</f>
        <v/>
      </c>
      <c r="P13" s="104" t="str">
        <f>'MF Rent Roll'!R12</f>
        <v/>
      </c>
      <c r="S13" s="149" t="str">
        <f>IF($B13=0,"",$N13*'MF Rents'!U13*'MF Rollover'!R13)</f>
        <v/>
      </c>
      <c r="T13" s="149" t="str">
        <f>IF($B13=0,"",$N13*'MF Rents'!V13*'MF Rollover'!S13)</f>
        <v/>
      </c>
      <c r="U13" s="149" t="str">
        <f>IF($B13=0,"",$N13*'MF Rents'!W13*'MF Rollover'!T13)</f>
        <v/>
      </c>
      <c r="V13" s="149" t="str">
        <f>IF($B13=0,"",$N13*'MF Rents'!X13*'MF Rollover'!U13)</f>
        <v/>
      </c>
      <c r="W13" s="149" t="str">
        <f>IF($B13=0,"",$N13*'MF Rents'!Y13*'MF Rollover'!V13)</f>
        <v/>
      </c>
      <c r="X13" s="149" t="str">
        <f>IF($B13=0,"",$N13*'MF Rents'!Z13*'MF Rollover'!W13)</f>
        <v/>
      </c>
      <c r="Y13" s="149" t="str">
        <f>IF($B13=0,"",$N13*'MF Rents'!AA13*'MF Rollover'!X13)</f>
        <v/>
      </c>
      <c r="Z13" s="149" t="str">
        <f>IF($B13=0,"",$N13*'MF Rents'!AB13*'MF Rollover'!Y13)</f>
        <v/>
      </c>
      <c r="AA13" s="149" t="str">
        <f>IF($B13=0,"",$N13*'MF Rents'!AC13*'MF Rollover'!Z13)</f>
        <v/>
      </c>
      <c r="AB13" s="149" t="str">
        <f>IF($B13=0,"",$N13*'MF Rents'!AD13*'MF Rollover'!AA13)</f>
        <v/>
      </c>
      <c r="AC13" s="149" t="str">
        <f>IF($B13=0,"",$N13*'MF Rents'!AE13*'MF Rollover'!AB13)</f>
        <v/>
      </c>
      <c r="AD13" s="149" t="str">
        <f>IF($B13=0,"",$N13*'MF Rents'!AF13*'MF Rollover'!AC13)</f>
        <v/>
      </c>
      <c r="AE13" s="149" t="str">
        <f>IF($B13=0,"",$N13*'MF Rents'!AG13*'MF Rollover'!AD13)</f>
        <v/>
      </c>
      <c r="AF13" s="149" t="str">
        <f>IF($B13=0,"",$N13*'MF Rents'!AH13*'MF Rollover'!AE13)</f>
        <v/>
      </c>
      <c r="AG13" s="149" t="str">
        <f>IF($B13=0,"",$N13*'MF Rents'!AI13*'MF Rollover'!AF13)</f>
        <v/>
      </c>
      <c r="AH13" s="149" t="str">
        <f>IF($B13=0,"",$N13*'MF Rents'!AJ13*'MF Rollover'!AG13)</f>
        <v/>
      </c>
      <c r="AI13" s="149" t="str">
        <f>IF($B13=0,"",$N13*'MF Rents'!AK13*'MF Rollover'!AH13)</f>
        <v/>
      </c>
      <c r="AJ13" s="149" t="str">
        <f>IF($B13=0,"",$N13*'MF Rents'!AL13*'MF Rollover'!AI13)</f>
        <v/>
      </c>
      <c r="AK13" s="149" t="str">
        <f>IF($B13=0,"",$N13*'MF Rents'!AM13*'MF Rollover'!AJ13)</f>
        <v/>
      </c>
      <c r="AL13" s="149" t="str">
        <f>IF($B13=0,"",$N13*'MF Rents'!AN13*'MF Rollover'!AK13)</f>
        <v/>
      </c>
      <c r="AM13" s="149" t="str">
        <f>IF($B13=0,"",$N13*'MF Rents'!AO13*'MF Rollover'!AL13)</f>
        <v/>
      </c>
      <c r="AN13" s="149" t="str">
        <f>IF($B13=0,"",$N13*'MF Rents'!AP13*'MF Rollover'!AM13)</f>
        <v/>
      </c>
      <c r="AO13" s="149" t="str">
        <f>IF($B13=0,"",$N13*'MF Rents'!AQ13*'MF Rollover'!AN13)</f>
        <v/>
      </c>
      <c r="AP13" s="149" t="str">
        <f>IF($B13=0,"",$N13*'MF Rents'!AR13*'MF Rollover'!AO13)</f>
        <v/>
      </c>
      <c r="AQ13" s="149" t="str">
        <f>IF($B13=0,"",$N13*'MF Rents'!AS13*'MF Rollover'!AP13)</f>
        <v/>
      </c>
      <c r="AR13" s="149" t="str">
        <f>IF($B13=0,"",$N13*'MF Rents'!AT13*'MF Rollover'!AQ13)</f>
        <v/>
      </c>
      <c r="AS13" s="149" t="str">
        <f>IF($B13=0,"",$N13*'MF Rents'!AU13*'MF Rollover'!AR13)</f>
        <v/>
      </c>
      <c r="AT13" s="149" t="str">
        <f>IF($B13=0,"",$N13*'MF Rents'!AV13*'MF Rollover'!AS13)</f>
        <v/>
      </c>
      <c r="AU13" s="149" t="str">
        <f>IF($B13=0,"",$N13*'MF Rents'!AW13*'MF Rollover'!AT13)</f>
        <v/>
      </c>
      <c r="AV13" s="149" t="str">
        <f>IF($B13=0,"",$N13*'MF Rents'!AX13*'MF Rollover'!AU13)</f>
        <v/>
      </c>
      <c r="AW13" s="149" t="str">
        <f>IF($B13=0,"",$N13*'MF Rents'!AY13*'MF Rollover'!AV13)</f>
        <v/>
      </c>
      <c r="AX13" s="149" t="str">
        <f>IF($B13=0,"",$N13*'MF Rents'!AZ13*'MF Rollover'!AW13)</f>
        <v/>
      </c>
      <c r="AY13" s="149" t="str">
        <f>IF($B13=0,"",$N13*'MF Rents'!BA13*'MF Rollover'!AX13)</f>
        <v/>
      </c>
      <c r="AZ13" s="149" t="str">
        <f>IF($B13=0,"",$N13*'MF Rents'!BB13*'MF Rollover'!AY13)</f>
        <v/>
      </c>
      <c r="BA13" s="149" t="str">
        <f>IF($B13=0,"",$N13*'MF Rents'!BC13*'MF Rollover'!AZ13)</f>
        <v/>
      </c>
      <c r="BB13" s="149" t="str">
        <f>IF($B13=0,"",$N13*'MF Rents'!BD13*'MF Rollover'!BA13)</f>
        <v/>
      </c>
      <c r="BC13" s="149" t="str">
        <f>IF($B13=0,"",$N13*'MF Rents'!BE13*'MF Rollover'!BB13)</f>
        <v/>
      </c>
      <c r="BD13" s="149" t="str">
        <f>IF($B13=0,"",$N13*'MF Rents'!BF13*'MF Rollover'!BC13)</f>
        <v/>
      </c>
      <c r="BE13" s="149" t="str">
        <f>IF($B13=0,"",$N13*'MF Rents'!BG13*'MF Rollover'!BD13)</f>
        <v/>
      </c>
      <c r="BF13" s="149" t="str">
        <f>IF($B13=0,"",$N13*'MF Rents'!BH13*'MF Rollover'!BE13)</f>
        <v/>
      </c>
      <c r="BG13" s="149" t="str">
        <f>IF($B13=0,"",$N13*'MF Rents'!BI13*'MF Rollover'!BF13)</f>
        <v/>
      </c>
      <c r="BH13" s="149" t="str">
        <f>IF($B13=0,"",$N13*'MF Rents'!BJ13*'MF Rollover'!BG13)</f>
        <v/>
      </c>
      <c r="BI13" s="149" t="str">
        <f>IF($B13=0,"",$N13*'MF Rents'!BK13*'MF Rollover'!BH13)</f>
        <v/>
      </c>
      <c r="BJ13" s="149" t="str">
        <f>IF($B13=0,"",$N13*'MF Rents'!BL13*'MF Rollover'!BI13)</f>
        <v/>
      </c>
      <c r="BK13" s="149" t="str">
        <f>IF($B13=0,"",$N13*'MF Rents'!BM13*'MF Rollover'!BJ13)</f>
        <v/>
      </c>
      <c r="BL13" s="149" t="str">
        <f>IF($B13=0,"",$N13*'MF Rents'!BN13*'MF Rollover'!BK13)</f>
        <v/>
      </c>
      <c r="BM13" s="149" t="str">
        <f>IF($B13=0,"",$N13*'MF Rents'!BO13*'MF Rollover'!BL13)</f>
        <v/>
      </c>
      <c r="BN13" s="149" t="str">
        <f>IF($B13=0,"",$N13*'MF Rents'!BP13*'MF Rollover'!BM13)</f>
        <v/>
      </c>
      <c r="BO13" s="149" t="str">
        <f>IF($B13=0,"",$N13*'MF Rents'!BQ13*'MF Rollover'!BN13)</f>
        <v/>
      </c>
      <c r="BP13" s="149" t="str">
        <f>IF($B13=0,"",$N13*'MF Rents'!BR13*'MF Rollover'!BO13)</f>
        <v/>
      </c>
      <c r="BQ13" s="149" t="str">
        <f>IF($B13=0,"",$N13*'MF Rents'!BS13*'MF Rollover'!BP13)</f>
        <v/>
      </c>
      <c r="BR13" s="149" t="str">
        <f>IF($B13=0,"",$N13*'MF Rents'!BT13*'MF Rollover'!BQ13)</f>
        <v/>
      </c>
      <c r="BS13" s="149" t="str">
        <f>IF($B13=0,"",$N13*'MF Rents'!BU13*'MF Rollover'!BR13)</f>
        <v/>
      </c>
      <c r="BT13" s="149" t="str">
        <f>IF($B13=0,"",$N13*'MF Rents'!BV13*'MF Rollover'!BS13)</f>
        <v/>
      </c>
      <c r="BU13" s="149" t="str">
        <f>IF($B13=0,"",$N13*'MF Rents'!BW13*'MF Rollover'!BT13)</f>
        <v/>
      </c>
      <c r="BV13" s="149" t="str">
        <f>IF($B13=0,"",$N13*'MF Rents'!BX13*'MF Rollover'!BU13)</f>
        <v/>
      </c>
      <c r="BW13" s="149" t="str">
        <f>IF($B13=0,"",$N13*'MF Rents'!BY13*'MF Rollover'!BV13)</f>
        <v/>
      </c>
      <c r="BX13" s="149" t="str">
        <f>IF($B13=0,"",$N13*'MF Rents'!BZ13*'MF Rollover'!BW13)</f>
        <v/>
      </c>
      <c r="BY13" s="149" t="str">
        <f>IF($B13=0,"",$N13*'MF Rents'!CA13*'MF Rollover'!BX13)</f>
        <v/>
      </c>
      <c r="BZ13" s="149" t="str">
        <f>IF($B13=0,"",$N13*'MF Rents'!CB13*'MF Rollover'!BY13)</f>
        <v/>
      </c>
      <c r="CA13" s="149" t="str">
        <f>IF($B13=0,"",$N13*'MF Rents'!CC13*'MF Rollover'!BZ13)</f>
        <v/>
      </c>
      <c r="CB13" s="149" t="str">
        <f>IF($B13=0,"",$N13*'MF Rents'!CD13*'MF Rollover'!CA13)</f>
        <v/>
      </c>
      <c r="CC13" s="149" t="str">
        <f>IF($B13=0,"",$N13*'MF Rents'!CE13*'MF Rollover'!CB13)</f>
        <v/>
      </c>
      <c r="CD13" s="149" t="str">
        <f>IF($B13=0,"",$N13*'MF Rents'!CF13*'MF Rollover'!CC13)</f>
        <v/>
      </c>
      <c r="CE13" s="149" t="str">
        <f>IF($B13=0,"",$N13*'MF Rents'!CG13*'MF Rollover'!CD13)</f>
        <v/>
      </c>
      <c r="CF13" s="149" t="str">
        <f>IF($B13=0,"",$N13*'MF Rents'!CH13*'MF Rollover'!CE13)</f>
        <v/>
      </c>
      <c r="CG13" s="149" t="str">
        <f>IF($B13=0,"",$N13*'MF Rents'!CI13*'MF Rollover'!CF13)</f>
        <v/>
      </c>
      <c r="CH13" s="149" t="str">
        <f>IF($B13=0,"",$N13*'MF Rents'!CJ13*'MF Rollover'!CG13)</f>
        <v/>
      </c>
      <c r="CI13" s="149" t="str">
        <f>IF($B13=0,"",$N13*'MF Rents'!CK13*'MF Rollover'!CH13)</f>
        <v/>
      </c>
      <c r="CJ13" s="149" t="str">
        <f>IF($B13=0,"",$N13*'MF Rents'!CL13*'MF Rollover'!CI13)</f>
        <v/>
      </c>
      <c r="CK13" s="149" t="str">
        <f>IF($B13=0,"",$N13*'MF Rents'!CM13*'MF Rollover'!CJ13)</f>
        <v/>
      </c>
      <c r="CL13" s="149" t="str">
        <f>IF($B13=0,"",$N13*'MF Rents'!CN13*'MF Rollover'!CK13)</f>
        <v/>
      </c>
      <c r="CM13" s="149" t="str">
        <f>IF($B13=0,"",$N13*'MF Rents'!CO13*'MF Rollover'!CL13)</f>
        <v/>
      </c>
      <c r="CN13" s="149" t="str">
        <f>IF($B13=0,"",$N13*'MF Rents'!CP13*'MF Rollover'!CM13)</f>
        <v/>
      </c>
      <c r="CO13" s="149" t="str">
        <f>IF($B13=0,"",$N13*'MF Rents'!CQ13*'MF Rollover'!CN13)</f>
        <v/>
      </c>
      <c r="CP13" s="149" t="str">
        <f>IF($B13=0,"",$N13*'MF Rents'!CR13*'MF Rollover'!CO13)</f>
        <v/>
      </c>
      <c r="CQ13" s="149" t="str">
        <f>IF($B13=0,"",$N13*'MF Rents'!CS13*'MF Rollover'!CP13)</f>
        <v/>
      </c>
      <c r="CR13" s="149" t="str">
        <f>IF($B13=0,"",$N13*'MF Rents'!CT13*'MF Rollover'!CQ13)</f>
        <v/>
      </c>
      <c r="CS13" s="149" t="str">
        <f>IF($B13=0,"",$N13*'MF Rents'!CU13*'MF Rollover'!CR13)</f>
        <v/>
      </c>
      <c r="CT13" s="149" t="str">
        <f>IF($B13=0,"",$N13*'MF Rents'!CV13*'MF Rollover'!CS13)</f>
        <v/>
      </c>
      <c r="CU13" s="149" t="str">
        <f>IF($B13=0,"",$N13*'MF Rents'!CW13*'MF Rollover'!CT13)</f>
        <v/>
      </c>
      <c r="CV13" s="149" t="str">
        <f>IF($B13=0,"",$N13*'MF Rents'!CX13*'MF Rollover'!CU13)</f>
        <v/>
      </c>
      <c r="CW13" s="149" t="str">
        <f>IF($B13=0,"",$N13*'MF Rents'!CY13*'MF Rollover'!CV13)</f>
        <v/>
      </c>
      <c r="CX13" s="149" t="str">
        <f>IF($B13=0,"",$N13*'MF Rents'!CZ13*'MF Rollover'!CW13)</f>
        <v/>
      </c>
      <c r="CY13" s="149" t="str">
        <f>IF($B13=0,"",$N13*'MF Rents'!DA13*'MF Rollover'!CX13)</f>
        <v/>
      </c>
      <c r="CZ13" s="149" t="str">
        <f>IF($B13=0,"",$N13*'MF Rents'!DB13*'MF Rollover'!CY13)</f>
        <v/>
      </c>
      <c r="DA13" s="149" t="str">
        <f>IF($B13=0,"",$N13*'MF Rents'!DC13*'MF Rollover'!CZ13)</f>
        <v/>
      </c>
      <c r="DB13" s="149" t="str">
        <f>IF($B13=0,"",$N13*'MF Rents'!DD13*'MF Rollover'!DA13)</f>
        <v/>
      </c>
      <c r="DC13" s="149" t="str">
        <f>IF($B13=0,"",$N13*'MF Rents'!DE13*'MF Rollover'!DB13)</f>
        <v/>
      </c>
      <c r="DD13" s="149" t="str">
        <f>IF($B13=0,"",$N13*'MF Rents'!DF13*'MF Rollover'!DC13)</f>
        <v/>
      </c>
      <c r="DE13" s="149" t="str">
        <f>IF($B13=0,"",$N13*'MF Rents'!DG13*'MF Rollover'!DD13)</f>
        <v/>
      </c>
      <c r="DF13" s="149" t="str">
        <f>IF($B13=0,"",$N13*'MF Rents'!DH13*'MF Rollover'!DE13)</f>
        <v/>
      </c>
      <c r="DG13" s="149" t="str">
        <f>IF($B13=0,"",$N13*'MF Rents'!DI13*'MF Rollover'!DF13)</f>
        <v/>
      </c>
      <c r="DH13" s="149" t="str">
        <f>IF($B13=0,"",$N13*'MF Rents'!DJ13*'MF Rollover'!DG13)</f>
        <v/>
      </c>
      <c r="DI13" s="149" t="str">
        <f>IF($B13=0,"",$N13*'MF Rents'!DK13*'MF Rollover'!DH13)</f>
        <v/>
      </c>
      <c r="DJ13" s="149" t="str">
        <f>IF($B13=0,"",$N13*'MF Rents'!DL13*'MF Rollover'!DI13)</f>
        <v/>
      </c>
      <c r="DK13" s="149" t="str">
        <f>IF($B13=0,"",$N13*'MF Rents'!DM13*'MF Rollover'!DJ13)</f>
        <v/>
      </c>
      <c r="DL13" s="149" t="str">
        <f>IF($B13=0,"",$N13*'MF Rents'!DN13*'MF Rollover'!DK13)</f>
        <v/>
      </c>
      <c r="DM13" s="149" t="str">
        <f>IF($B13=0,"",$N13*'MF Rents'!DO13*'MF Rollover'!DL13)</f>
        <v/>
      </c>
      <c r="DN13" s="149" t="str">
        <f>IF($B13=0,"",$N13*'MF Rents'!DP13*'MF Rollover'!DM13)</f>
        <v/>
      </c>
      <c r="DO13" s="149" t="str">
        <f>IF($B13=0,"",$N13*'MF Rents'!DQ13*'MF Rollover'!DN13)</f>
        <v/>
      </c>
      <c r="DP13" s="149" t="str">
        <f>IF($B13=0,"",$N13*'MF Rents'!DR13*'MF Rollover'!DO13)</f>
        <v/>
      </c>
      <c r="DQ13" s="149" t="str">
        <f>IF($B13=0,"",$N13*'MF Rents'!DS13*'MF Rollover'!DP13)</f>
        <v/>
      </c>
      <c r="DR13" s="149" t="str">
        <f>IF($B13=0,"",$N13*'MF Rents'!DT13*'MF Rollover'!DQ13)</f>
        <v/>
      </c>
      <c r="DS13" s="149" t="str">
        <f>IF($B13=0,"",$N13*'MF Rents'!DU13*'MF Rollover'!DR13)</f>
        <v/>
      </c>
      <c r="DT13" s="149" t="str">
        <f>IF($B13=0,"",$N13*'MF Rents'!DV13*'MF Rollover'!DS13)</f>
        <v/>
      </c>
      <c r="DU13" s="149" t="str">
        <f>IF($B13=0,"",$N13*'MF Rents'!DW13*'MF Rollover'!DT13)</f>
        <v/>
      </c>
      <c r="DV13" s="149" t="str">
        <f>IF($B13=0,"",$N13*'MF Rents'!DX13*'MF Rollover'!DU13)</f>
        <v/>
      </c>
      <c r="DW13" s="149" t="str">
        <f>IF($B13=0,"",$N13*'MF Rents'!DY13*'MF Rollover'!DV13)</f>
        <v/>
      </c>
      <c r="DX13" s="149" t="str">
        <f>IF($B13=0,"",$N13*'MF Rents'!DZ13*'MF Rollover'!DW13)</f>
        <v/>
      </c>
      <c r="DY13" s="149" t="str">
        <f>IF($B13=0,"",$N13*'MF Rents'!EA13*'MF Rollover'!DX13)</f>
        <v/>
      </c>
      <c r="DZ13" s="149" t="str">
        <f>IF($B13=0,"",$N13*'MF Rents'!EB13*'MF Rollover'!DY13)</f>
        <v/>
      </c>
      <c r="EA13" s="149" t="str">
        <f>IF($B13=0,"",$N13*'MF Rents'!EC13*'MF Rollover'!DZ13)</f>
        <v/>
      </c>
      <c r="EB13" s="149" t="str">
        <f>IF($B13=0,"",$N13*'MF Rents'!ED13*'MF Rollover'!EA13)</f>
        <v/>
      </c>
      <c r="EC13" s="149" t="str">
        <f>IF($B13=0,"",$N13*'MF Rents'!EE13*'MF Rollover'!EB13)</f>
        <v/>
      </c>
      <c r="ED13" s="149" t="str">
        <f>IF($B13=0,"",$N13*'MF Rents'!EF13*'MF Rollover'!EC13)</f>
        <v/>
      </c>
      <c r="EE13" s="149" t="str">
        <f>IF($B13=0,"",$N13*'MF Rents'!EG13*'MF Rollover'!ED13)</f>
        <v/>
      </c>
      <c r="EF13" s="149" t="str">
        <f>IF($B13=0,"",$N13*'MF Rents'!EH13*'MF Rollover'!EE13)</f>
        <v/>
      </c>
      <c r="EG13" s="149" t="str">
        <f>IF($B13=0,"",$N13*'MF Rents'!EI13*'MF Rollover'!EF13)</f>
        <v/>
      </c>
      <c r="EH13" s="149" t="str">
        <f>IF($B13=0,"",$N13*'MF Rents'!EJ13*'MF Rollover'!EG13)</f>
        <v/>
      </c>
      <c r="EI13" s="149" t="str">
        <f>IF($B13=0,"",$N13*'MF Rents'!EK13*'MF Rollover'!EH13)</f>
        <v/>
      </c>
      <c r="EJ13" s="149" t="str">
        <f>IF($B13=0,"",$N13*'MF Rents'!EL13*'MF Rollover'!EI13)</f>
        <v/>
      </c>
      <c r="EK13" s="149" t="str">
        <f>IF($B13=0,"",$N13*'MF Rents'!EM13*'MF Rollover'!EJ13)</f>
        <v/>
      </c>
      <c r="EL13" s="149" t="str">
        <f>IF($B13=0,"",$N13*'MF Rents'!EN13*'MF Rollover'!EK13)</f>
        <v/>
      </c>
      <c r="EM13" s="149" t="str">
        <f>IF($B13=0,"",$N13*'MF Rents'!EO13*'MF Rollover'!EL13)</f>
        <v/>
      </c>
      <c r="EN13" s="149" t="str">
        <f>IF($B13=0,"",$N13*'MF Rents'!EP13*'MF Rollover'!EM13)</f>
        <v/>
      </c>
      <c r="EO13" s="149" t="str">
        <f>IF($B13=0,"",$N13*'MF Rents'!EQ13*'MF Rollover'!EN13)</f>
        <v/>
      </c>
      <c r="EP13" s="149" t="str">
        <f>IF($B13=0,"",$N13*'MF Rents'!ER13*'MF Rollover'!EO13)</f>
        <v/>
      </c>
      <c r="EQ13" s="149" t="str">
        <f>IF($B13=0,"",$N13*'MF Rents'!ES13*'MF Rollover'!EP13)</f>
        <v/>
      </c>
      <c r="ER13" s="149" t="str">
        <f>IF($B13=0,"",$N13*'MF Rents'!ET13*'MF Rollover'!EQ13)</f>
        <v/>
      </c>
      <c r="ES13" s="149" t="str">
        <f>IF($B13=0,"",$N13*'MF Rents'!EU13*'MF Rollover'!ER13)</f>
        <v/>
      </c>
      <c r="ET13" s="149" t="str">
        <f>IF($B13=0,"",$N13*'MF Rents'!EV13*'MF Rollover'!ES13)</f>
        <v/>
      </c>
      <c r="EU13" s="149" t="str">
        <f>IF($B13=0,"",$N13*'MF Rents'!EW13*'MF Rollover'!ET13)</f>
        <v/>
      </c>
      <c r="EV13" s="149" t="str">
        <f>IF($B13=0,"",$N13*'MF Rents'!EX13*'MF Rollover'!EU13)</f>
        <v/>
      </c>
      <c r="EW13" s="149" t="str">
        <f>IF($B13=0,"",$N13*'MF Rents'!EY13*'MF Rollover'!EV13)</f>
        <v/>
      </c>
      <c r="EX13" s="149" t="str">
        <f>IF($B13=0,"",$N13*'MF Rents'!EZ13*'MF Rollover'!EW13)</f>
        <v/>
      </c>
      <c r="EY13" s="149" t="str">
        <f>IF($B13=0,"",$N13*'MF Rents'!FA13*'MF Rollover'!EX13)</f>
        <v/>
      </c>
      <c r="EZ13" s="149" t="str">
        <f>IF($B13=0,"",$N13*'MF Rents'!FB13*'MF Rollover'!EY13)</f>
        <v/>
      </c>
      <c r="FA13" s="149" t="str">
        <f>IF($B13=0,"",$N13*'MF Rents'!FC13*'MF Rollover'!EZ13)</f>
        <v/>
      </c>
      <c r="FB13" s="149" t="str">
        <f>IF($B13=0,"",$N13*'MF Rents'!FD13*'MF Rollover'!FA13)</f>
        <v/>
      </c>
      <c r="FC13" s="149" t="str">
        <f>IF($B13=0,"",$N13*'MF Rents'!FE13*'MF Rollover'!FB13)</f>
        <v/>
      </c>
      <c r="FD13" s="149" t="str">
        <f>IF($B13=0,"",$N13*'MF Rents'!FF13*'MF Rollover'!FC13)</f>
        <v/>
      </c>
      <c r="FE13" s="149" t="str">
        <f>IF($B13=0,"",$N13*'MF Rents'!FG13*'MF Rollover'!FD13)</f>
        <v/>
      </c>
      <c r="FF13" s="149" t="str">
        <f>IF($B13=0,"",$N13*'MF Rents'!FH13*'MF Rollover'!FE13)</f>
        <v/>
      </c>
      <c r="FG13" s="149" t="str">
        <f>IF($B13=0,"",$N13*'MF Rents'!FI13*'MF Rollover'!FF13)</f>
        <v/>
      </c>
      <c r="FH13" s="149" t="str">
        <f>IF($B13=0,"",$N13*'MF Rents'!FJ13*'MF Rollover'!FG13)</f>
        <v/>
      </c>
      <c r="FI13" s="149" t="str">
        <f>IF($B13=0,"",$N13*'MF Rents'!FK13*'MF Rollover'!FH13)</f>
        <v/>
      </c>
      <c r="FJ13" s="149" t="str">
        <f>IF($B13=0,"",$N13*'MF Rents'!FL13*'MF Rollover'!FI13)</f>
        <v/>
      </c>
      <c r="FK13" s="149" t="str">
        <f>IF($B13=0,"",$N13*'MF Rents'!FM13*'MF Rollover'!FJ13)</f>
        <v/>
      </c>
      <c r="FL13" s="149" t="str">
        <f>IF($B13=0,"",$N13*'MF Rents'!FN13*'MF Rollover'!FK13)</f>
        <v/>
      </c>
      <c r="FM13" s="149" t="str">
        <f>IF($B13=0,"",$N13*'MF Rents'!FO13*'MF Rollover'!FL13)</f>
        <v/>
      </c>
      <c r="FN13" s="149" t="str">
        <f>IF($B13=0,"",$N13*'MF Rents'!FP13*'MF Rollover'!FM13)</f>
        <v/>
      </c>
      <c r="FO13" s="149" t="str">
        <f>IF($B13=0,"",$N13*'MF Rents'!FQ13*'MF Rollover'!FN13)</f>
        <v/>
      </c>
      <c r="FP13" s="149" t="str">
        <f>IF($B13=0,"",$N13*'MF Rents'!FR13*'MF Rollover'!FO13)</f>
        <v/>
      </c>
      <c r="FQ13" s="149" t="str">
        <f>IF($B13=0,"",$N13*'MF Rents'!FS13*'MF Rollover'!FP13)</f>
        <v/>
      </c>
      <c r="FR13" s="149" t="str">
        <f>IF($B13=0,"",$N13*'MF Rents'!FT13*'MF Rollover'!FQ13)</f>
        <v/>
      </c>
      <c r="FS13" s="149" t="str">
        <f>IF($B13=0,"",$N13*'MF Rents'!FU13*'MF Rollover'!FR13)</f>
        <v/>
      </c>
      <c r="FT13" s="149" t="str">
        <f>IF($B13=0,"",$N13*'MF Rents'!FV13*'MF Rollover'!FS13)</f>
        <v/>
      </c>
      <c r="FU13" s="149" t="str">
        <f>IF($B13=0,"",$N13*'MF Rents'!FW13*'MF Rollover'!FT13)</f>
        <v/>
      </c>
      <c r="FV13" s="149" t="str">
        <f>IF($B13=0,"",$N13*'MF Rents'!FX13*'MF Rollover'!FU13)</f>
        <v/>
      </c>
      <c r="FW13" s="149" t="str">
        <f>IF($B13=0,"",$N13*'MF Rents'!FY13*'MF Rollover'!FV13)</f>
        <v/>
      </c>
      <c r="FX13" s="149" t="str">
        <f>IF($B13=0,"",$N13*'MF Rents'!FZ13*'MF Rollover'!FW13)</f>
        <v/>
      </c>
      <c r="FY13" s="149" t="str">
        <f>IF($B13=0,"",$N13*'MF Rents'!GA13*'MF Rollover'!FX13)</f>
        <v/>
      </c>
      <c r="FZ13" s="149" t="str">
        <f>IF($B13=0,"",$N13*'MF Rents'!GB13*'MF Rollover'!FY13)</f>
        <v/>
      </c>
      <c r="GA13" s="149" t="str">
        <f>IF($B13=0,"",$N13*'MF Rents'!GC13*'MF Rollover'!FZ13)</f>
        <v/>
      </c>
      <c r="GB13" s="149" t="str">
        <f>IF($B13=0,"",$N13*'MF Rents'!GD13*'MF Rollover'!GA13)</f>
        <v/>
      </c>
      <c r="GC13" s="149" t="str">
        <f>IF($B13=0,"",$N13*'MF Rents'!GE13*'MF Rollover'!GB13)</f>
        <v/>
      </c>
      <c r="GD13" s="149" t="str">
        <f>IF($B13=0,"",$N13*'MF Rents'!GF13*'MF Rollover'!GC13)</f>
        <v/>
      </c>
      <c r="GE13" s="149" t="str">
        <f>IF($B13=0,"",$N13*'MF Rents'!GG13*'MF Rollover'!GD13)</f>
        <v/>
      </c>
      <c r="GF13" s="149" t="str">
        <f>IF($B13=0,"",$N13*'MF Rents'!GH13*'MF Rollover'!GE13)</f>
        <v/>
      </c>
      <c r="GG13" s="149" t="str">
        <f>IF($B13=0,"",$N13*'MF Rents'!GI13*'MF Rollover'!GF13)</f>
        <v/>
      </c>
      <c r="GH13" s="149" t="str">
        <f>IF($B13=0,"",$N13*'MF Rents'!GJ13*'MF Rollover'!GG13)</f>
        <v/>
      </c>
      <c r="GI13" s="149" t="str">
        <f>IF($B13=0,"",$N13*'MF Rents'!GK13*'MF Rollover'!GH13)</f>
        <v/>
      </c>
      <c r="GJ13" s="149" t="str">
        <f>IF($B13=0,"",$N13*'MF Rents'!GL13*'MF Rollover'!GI13)</f>
        <v/>
      </c>
      <c r="GK13" s="149" t="str">
        <f>IF($B13=0,"",$N13*'MF Rents'!GM13*'MF Rollover'!GJ13)</f>
        <v/>
      </c>
      <c r="GL13" s="149" t="str">
        <f>IF($B13=0,"",$N13*'MF Rents'!GN13*'MF Rollover'!GK13)</f>
        <v/>
      </c>
      <c r="GM13" s="149" t="str">
        <f>IF($B13=0,"",$N13*'MF Rents'!GO13*'MF Rollover'!GL13)</f>
        <v/>
      </c>
      <c r="GN13" s="149" t="str">
        <f>IF($B13=0,"",$N13*'MF Rents'!GP13*'MF Rollover'!GM13)</f>
        <v/>
      </c>
      <c r="GO13" s="149" t="str">
        <f>IF($B13=0,"",$N13*'MF Rents'!GQ13*'MF Rollover'!GN13)</f>
        <v/>
      </c>
      <c r="GP13" s="149" t="str">
        <f>IF($B13=0,"",$N13*'MF Rents'!GR13*'MF Rollover'!GO13)</f>
        <v/>
      </c>
    </row>
    <row r="14" spans="2:198" x14ac:dyDescent="0.3">
      <c r="B14" s="184">
        <f>'MF Rent Roll'!B13</f>
        <v>0</v>
      </c>
      <c r="C14" s="171">
        <f>'MF Rent Roll'!C13</f>
        <v>0</v>
      </c>
      <c r="D14" s="172">
        <f>'MF Rent Roll'!D13</f>
        <v>0</v>
      </c>
      <c r="E14" s="172">
        <f>'MF Rent Roll'!E13</f>
        <v>0</v>
      </c>
      <c r="F14" s="173">
        <f>'MF Rent Roll'!F13</f>
        <v>0</v>
      </c>
      <c r="G14" s="174">
        <f>'MF Rent Roll'!G13</f>
        <v>0</v>
      </c>
      <c r="H14" s="176">
        <f>'MF Rent Roll'!J13</f>
        <v>0</v>
      </c>
      <c r="I14" s="174">
        <f>'MF Rent Roll'!K13</f>
        <v>0</v>
      </c>
      <c r="J14" s="177">
        <f>'MF Rent Roll'!L13</f>
        <v>0</v>
      </c>
      <c r="K14" s="178">
        <f>'MF Rent Roll'!M13</f>
        <v>0</v>
      </c>
      <c r="L14" s="174">
        <f>'MF Rent Roll'!N13</f>
        <v>0</v>
      </c>
      <c r="M14" s="179">
        <f>'MF Rent Roll'!O13</f>
        <v>0</v>
      </c>
      <c r="N14" s="180" t="str">
        <f>'MF Rent Roll'!P13</f>
        <v/>
      </c>
      <c r="O14" s="181" t="str">
        <f>'MF Rent Roll'!Q13</f>
        <v/>
      </c>
      <c r="P14" s="104" t="str">
        <f>'MF Rent Roll'!R13</f>
        <v/>
      </c>
      <c r="S14" s="149" t="str">
        <f>IF($B14=0,"",$N14*'MF Rents'!U14*'MF Rollover'!R14)</f>
        <v/>
      </c>
      <c r="T14" s="149" t="str">
        <f>IF($B14=0,"",$N14*'MF Rents'!V14*'MF Rollover'!S14)</f>
        <v/>
      </c>
      <c r="U14" s="149" t="str">
        <f>IF($B14=0,"",$N14*'MF Rents'!W14*'MF Rollover'!T14)</f>
        <v/>
      </c>
      <c r="V14" s="149" t="str">
        <f>IF($B14=0,"",$N14*'MF Rents'!X14*'MF Rollover'!U14)</f>
        <v/>
      </c>
      <c r="W14" s="149" t="str">
        <f>IF($B14=0,"",$N14*'MF Rents'!Y14*'MF Rollover'!V14)</f>
        <v/>
      </c>
      <c r="X14" s="149" t="str">
        <f>IF($B14=0,"",$N14*'MF Rents'!Z14*'MF Rollover'!W14)</f>
        <v/>
      </c>
      <c r="Y14" s="149" t="str">
        <f>IF($B14=0,"",$N14*'MF Rents'!AA14*'MF Rollover'!X14)</f>
        <v/>
      </c>
      <c r="Z14" s="149" t="str">
        <f>IF($B14=0,"",$N14*'MF Rents'!AB14*'MF Rollover'!Y14)</f>
        <v/>
      </c>
      <c r="AA14" s="149" t="str">
        <f>IF($B14=0,"",$N14*'MF Rents'!AC14*'MF Rollover'!Z14)</f>
        <v/>
      </c>
      <c r="AB14" s="149" t="str">
        <f>IF($B14=0,"",$N14*'MF Rents'!AD14*'MF Rollover'!AA14)</f>
        <v/>
      </c>
      <c r="AC14" s="149" t="str">
        <f>IF($B14=0,"",$N14*'MF Rents'!AE14*'MF Rollover'!AB14)</f>
        <v/>
      </c>
      <c r="AD14" s="149" t="str">
        <f>IF($B14=0,"",$N14*'MF Rents'!AF14*'MF Rollover'!AC14)</f>
        <v/>
      </c>
      <c r="AE14" s="149" t="str">
        <f>IF($B14=0,"",$N14*'MF Rents'!AG14*'MF Rollover'!AD14)</f>
        <v/>
      </c>
      <c r="AF14" s="149" t="str">
        <f>IF($B14=0,"",$N14*'MF Rents'!AH14*'MF Rollover'!AE14)</f>
        <v/>
      </c>
      <c r="AG14" s="149" t="str">
        <f>IF($B14=0,"",$N14*'MF Rents'!AI14*'MF Rollover'!AF14)</f>
        <v/>
      </c>
      <c r="AH14" s="149" t="str">
        <f>IF($B14=0,"",$N14*'MF Rents'!AJ14*'MF Rollover'!AG14)</f>
        <v/>
      </c>
      <c r="AI14" s="149" t="str">
        <f>IF($B14=0,"",$N14*'MF Rents'!AK14*'MF Rollover'!AH14)</f>
        <v/>
      </c>
      <c r="AJ14" s="149" t="str">
        <f>IF($B14=0,"",$N14*'MF Rents'!AL14*'MF Rollover'!AI14)</f>
        <v/>
      </c>
      <c r="AK14" s="149" t="str">
        <f>IF($B14=0,"",$N14*'MF Rents'!AM14*'MF Rollover'!AJ14)</f>
        <v/>
      </c>
      <c r="AL14" s="149" t="str">
        <f>IF($B14=0,"",$N14*'MF Rents'!AN14*'MF Rollover'!AK14)</f>
        <v/>
      </c>
      <c r="AM14" s="149" t="str">
        <f>IF($B14=0,"",$N14*'MF Rents'!AO14*'MF Rollover'!AL14)</f>
        <v/>
      </c>
      <c r="AN14" s="149" t="str">
        <f>IF($B14=0,"",$N14*'MF Rents'!AP14*'MF Rollover'!AM14)</f>
        <v/>
      </c>
      <c r="AO14" s="149" t="str">
        <f>IF($B14=0,"",$N14*'MF Rents'!AQ14*'MF Rollover'!AN14)</f>
        <v/>
      </c>
      <c r="AP14" s="149" t="str">
        <f>IF($B14=0,"",$N14*'MF Rents'!AR14*'MF Rollover'!AO14)</f>
        <v/>
      </c>
      <c r="AQ14" s="149" t="str">
        <f>IF($B14=0,"",$N14*'MF Rents'!AS14*'MF Rollover'!AP14)</f>
        <v/>
      </c>
      <c r="AR14" s="149" t="str">
        <f>IF($B14=0,"",$N14*'MF Rents'!AT14*'MF Rollover'!AQ14)</f>
        <v/>
      </c>
      <c r="AS14" s="149" t="str">
        <f>IF($B14=0,"",$N14*'MF Rents'!AU14*'MF Rollover'!AR14)</f>
        <v/>
      </c>
      <c r="AT14" s="149" t="str">
        <f>IF($B14=0,"",$N14*'MF Rents'!AV14*'MF Rollover'!AS14)</f>
        <v/>
      </c>
      <c r="AU14" s="149" t="str">
        <f>IF($B14=0,"",$N14*'MF Rents'!AW14*'MF Rollover'!AT14)</f>
        <v/>
      </c>
      <c r="AV14" s="149" t="str">
        <f>IF($B14=0,"",$N14*'MF Rents'!AX14*'MF Rollover'!AU14)</f>
        <v/>
      </c>
      <c r="AW14" s="149" t="str">
        <f>IF($B14=0,"",$N14*'MF Rents'!AY14*'MF Rollover'!AV14)</f>
        <v/>
      </c>
      <c r="AX14" s="149" t="str">
        <f>IF($B14=0,"",$N14*'MF Rents'!AZ14*'MF Rollover'!AW14)</f>
        <v/>
      </c>
      <c r="AY14" s="149" t="str">
        <f>IF($B14=0,"",$N14*'MF Rents'!BA14*'MF Rollover'!AX14)</f>
        <v/>
      </c>
      <c r="AZ14" s="149" t="str">
        <f>IF($B14=0,"",$N14*'MF Rents'!BB14*'MF Rollover'!AY14)</f>
        <v/>
      </c>
      <c r="BA14" s="149" t="str">
        <f>IF($B14=0,"",$N14*'MF Rents'!BC14*'MF Rollover'!AZ14)</f>
        <v/>
      </c>
      <c r="BB14" s="149" t="str">
        <f>IF($B14=0,"",$N14*'MF Rents'!BD14*'MF Rollover'!BA14)</f>
        <v/>
      </c>
      <c r="BC14" s="149" t="str">
        <f>IF($B14=0,"",$N14*'MF Rents'!BE14*'MF Rollover'!BB14)</f>
        <v/>
      </c>
      <c r="BD14" s="149" t="str">
        <f>IF($B14=0,"",$N14*'MF Rents'!BF14*'MF Rollover'!BC14)</f>
        <v/>
      </c>
      <c r="BE14" s="149" t="str">
        <f>IF($B14=0,"",$N14*'MF Rents'!BG14*'MF Rollover'!BD14)</f>
        <v/>
      </c>
      <c r="BF14" s="149" t="str">
        <f>IF($B14=0,"",$N14*'MF Rents'!BH14*'MF Rollover'!BE14)</f>
        <v/>
      </c>
      <c r="BG14" s="149" t="str">
        <f>IF($B14=0,"",$N14*'MF Rents'!BI14*'MF Rollover'!BF14)</f>
        <v/>
      </c>
      <c r="BH14" s="149" t="str">
        <f>IF($B14=0,"",$N14*'MF Rents'!BJ14*'MF Rollover'!BG14)</f>
        <v/>
      </c>
      <c r="BI14" s="149" t="str">
        <f>IF($B14=0,"",$N14*'MF Rents'!BK14*'MF Rollover'!BH14)</f>
        <v/>
      </c>
      <c r="BJ14" s="149" t="str">
        <f>IF($B14=0,"",$N14*'MF Rents'!BL14*'MF Rollover'!BI14)</f>
        <v/>
      </c>
      <c r="BK14" s="149" t="str">
        <f>IF($B14=0,"",$N14*'MF Rents'!BM14*'MF Rollover'!BJ14)</f>
        <v/>
      </c>
      <c r="BL14" s="149" t="str">
        <f>IF($B14=0,"",$N14*'MF Rents'!BN14*'MF Rollover'!BK14)</f>
        <v/>
      </c>
      <c r="BM14" s="149" t="str">
        <f>IF($B14=0,"",$N14*'MF Rents'!BO14*'MF Rollover'!BL14)</f>
        <v/>
      </c>
      <c r="BN14" s="149" t="str">
        <f>IF($B14=0,"",$N14*'MF Rents'!BP14*'MF Rollover'!BM14)</f>
        <v/>
      </c>
      <c r="BO14" s="149" t="str">
        <f>IF($B14=0,"",$N14*'MF Rents'!BQ14*'MF Rollover'!BN14)</f>
        <v/>
      </c>
      <c r="BP14" s="149" t="str">
        <f>IF($B14=0,"",$N14*'MF Rents'!BR14*'MF Rollover'!BO14)</f>
        <v/>
      </c>
      <c r="BQ14" s="149" t="str">
        <f>IF($B14=0,"",$N14*'MF Rents'!BS14*'MF Rollover'!BP14)</f>
        <v/>
      </c>
      <c r="BR14" s="149" t="str">
        <f>IF($B14=0,"",$N14*'MF Rents'!BT14*'MF Rollover'!BQ14)</f>
        <v/>
      </c>
      <c r="BS14" s="149" t="str">
        <f>IF($B14=0,"",$N14*'MF Rents'!BU14*'MF Rollover'!BR14)</f>
        <v/>
      </c>
      <c r="BT14" s="149" t="str">
        <f>IF($B14=0,"",$N14*'MF Rents'!BV14*'MF Rollover'!BS14)</f>
        <v/>
      </c>
      <c r="BU14" s="149" t="str">
        <f>IF($B14=0,"",$N14*'MF Rents'!BW14*'MF Rollover'!BT14)</f>
        <v/>
      </c>
      <c r="BV14" s="149" t="str">
        <f>IF($B14=0,"",$N14*'MF Rents'!BX14*'MF Rollover'!BU14)</f>
        <v/>
      </c>
      <c r="BW14" s="149" t="str">
        <f>IF($B14=0,"",$N14*'MF Rents'!BY14*'MF Rollover'!BV14)</f>
        <v/>
      </c>
      <c r="BX14" s="149" t="str">
        <f>IF($B14=0,"",$N14*'MF Rents'!BZ14*'MF Rollover'!BW14)</f>
        <v/>
      </c>
      <c r="BY14" s="149" t="str">
        <f>IF($B14=0,"",$N14*'MF Rents'!CA14*'MF Rollover'!BX14)</f>
        <v/>
      </c>
      <c r="BZ14" s="149" t="str">
        <f>IF($B14=0,"",$N14*'MF Rents'!CB14*'MF Rollover'!BY14)</f>
        <v/>
      </c>
      <c r="CA14" s="149" t="str">
        <f>IF($B14=0,"",$N14*'MF Rents'!CC14*'MF Rollover'!BZ14)</f>
        <v/>
      </c>
      <c r="CB14" s="149" t="str">
        <f>IF($B14=0,"",$N14*'MF Rents'!CD14*'MF Rollover'!CA14)</f>
        <v/>
      </c>
      <c r="CC14" s="149" t="str">
        <f>IF($B14=0,"",$N14*'MF Rents'!CE14*'MF Rollover'!CB14)</f>
        <v/>
      </c>
      <c r="CD14" s="149" t="str">
        <f>IF($B14=0,"",$N14*'MF Rents'!CF14*'MF Rollover'!CC14)</f>
        <v/>
      </c>
      <c r="CE14" s="149" t="str">
        <f>IF($B14=0,"",$N14*'MF Rents'!CG14*'MF Rollover'!CD14)</f>
        <v/>
      </c>
      <c r="CF14" s="149" t="str">
        <f>IF($B14=0,"",$N14*'MF Rents'!CH14*'MF Rollover'!CE14)</f>
        <v/>
      </c>
      <c r="CG14" s="149" t="str">
        <f>IF($B14=0,"",$N14*'MF Rents'!CI14*'MF Rollover'!CF14)</f>
        <v/>
      </c>
      <c r="CH14" s="149" t="str">
        <f>IF($B14=0,"",$N14*'MF Rents'!CJ14*'MF Rollover'!CG14)</f>
        <v/>
      </c>
      <c r="CI14" s="149" t="str">
        <f>IF($B14=0,"",$N14*'MF Rents'!CK14*'MF Rollover'!CH14)</f>
        <v/>
      </c>
      <c r="CJ14" s="149" t="str">
        <f>IF($B14=0,"",$N14*'MF Rents'!CL14*'MF Rollover'!CI14)</f>
        <v/>
      </c>
      <c r="CK14" s="149" t="str">
        <f>IF($B14=0,"",$N14*'MF Rents'!CM14*'MF Rollover'!CJ14)</f>
        <v/>
      </c>
      <c r="CL14" s="149" t="str">
        <f>IF($B14=0,"",$N14*'MF Rents'!CN14*'MF Rollover'!CK14)</f>
        <v/>
      </c>
      <c r="CM14" s="149" t="str">
        <f>IF($B14=0,"",$N14*'MF Rents'!CO14*'MF Rollover'!CL14)</f>
        <v/>
      </c>
      <c r="CN14" s="149" t="str">
        <f>IF($B14=0,"",$N14*'MF Rents'!CP14*'MF Rollover'!CM14)</f>
        <v/>
      </c>
      <c r="CO14" s="149" t="str">
        <f>IF($B14=0,"",$N14*'MF Rents'!CQ14*'MF Rollover'!CN14)</f>
        <v/>
      </c>
      <c r="CP14" s="149" t="str">
        <f>IF($B14=0,"",$N14*'MF Rents'!CR14*'MF Rollover'!CO14)</f>
        <v/>
      </c>
      <c r="CQ14" s="149" t="str">
        <f>IF($B14=0,"",$N14*'MF Rents'!CS14*'MF Rollover'!CP14)</f>
        <v/>
      </c>
      <c r="CR14" s="149" t="str">
        <f>IF($B14=0,"",$N14*'MF Rents'!CT14*'MF Rollover'!CQ14)</f>
        <v/>
      </c>
      <c r="CS14" s="149" t="str">
        <f>IF($B14=0,"",$N14*'MF Rents'!CU14*'MF Rollover'!CR14)</f>
        <v/>
      </c>
      <c r="CT14" s="149" t="str">
        <f>IF($B14=0,"",$N14*'MF Rents'!CV14*'MF Rollover'!CS14)</f>
        <v/>
      </c>
      <c r="CU14" s="149" t="str">
        <f>IF($B14=0,"",$N14*'MF Rents'!CW14*'MF Rollover'!CT14)</f>
        <v/>
      </c>
      <c r="CV14" s="149" t="str">
        <f>IF($B14=0,"",$N14*'MF Rents'!CX14*'MF Rollover'!CU14)</f>
        <v/>
      </c>
      <c r="CW14" s="149" t="str">
        <f>IF($B14=0,"",$N14*'MF Rents'!CY14*'MF Rollover'!CV14)</f>
        <v/>
      </c>
      <c r="CX14" s="149" t="str">
        <f>IF($B14=0,"",$N14*'MF Rents'!CZ14*'MF Rollover'!CW14)</f>
        <v/>
      </c>
      <c r="CY14" s="149" t="str">
        <f>IF($B14=0,"",$N14*'MF Rents'!DA14*'MF Rollover'!CX14)</f>
        <v/>
      </c>
      <c r="CZ14" s="149" t="str">
        <f>IF($B14=0,"",$N14*'MF Rents'!DB14*'MF Rollover'!CY14)</f>
        <v/>
      </c>
      <c r="DA14" s="149" t="str">
        <f>IF($B14=0,"",$N14*'MF Rents'!DC14*'MF Rollover'!CZ14)</f>
        <v/>
      </c>
      <c r="DB14" s="149" t="str">
        <f>IF($B14=0,"",$N14*'MF Rents'!DD14*'MF Rollover'!DA14)</f>
        <v/>
      </c>
      <c r="DC14" s="149" t="str">
        <f>IF($B14=0,"",$N14*'MF Rents'!DE14*'MF Rollover'!DB14)</f>
        <v/>
      </c>
      <c r="DD14" s="149" t="str">
        <f>IF($B14=0,"",$N14*'MF Rents'!DF14*'MF Rollover'!DC14)</f>
        <v/>
      </c>
      <c r="DE14" s="149" t="str">
        <f>IF($B14=0,"",$N14*'MF Rents'!DG14*'MF Rollover'!DD14)</f>
        <v/>
      </c>
      <c r="DF14" s="149" t="str">
        <f>IF($B14=0,"",$N14*'MF Rents'!DH14*'MF Rollover'!DE14)</f>
        <v/>
      </c>
      <c r="DG14" s="149" t="str">
        <f>IF($B14=0,"",$N14*'MF Rents'!DI14*'MF Rollover'!DF14)</f>
        <v/>
      </c>
      <c r="DH14" s="149" t="str">
        <f>IF($B14=0,"",$N14*'MF Rents'!DJ14*'MF Rollover'!DG14)</f>
        <v/>
      </c>
      <c r="DI14" s="149" t="str">
        <f>IF($B14=0,"",$N14*'MF Rents'!DK14*'MF Rollover'!DH14)</f>
        <v/>
      </c>
      <c r="DJ14" s="149" t="str">
        <f>IF($B14=0,"",$N14*'MF Rents'!DL14*'MF Rollover'!DI14)</f>
        <v/>
      </c>
      <c r="DK14" s="149" t="str">
        <f>IF($B14=0,"",$N14*'MF Rents'!DM14*'MF Rollover'!DJ14)</f>
        <v/>
      </c>
      <c r="DL14" s="149" t="str">
        <f>IF($B14=0,"",$N14*'MF Rents'!DN14*'MF Rollover'!DK14)</f>
        <v/>
      </c>
      <c r="DM14" s="149" t="str">
        <f>IF($B14=0,"",$N14*'MF Rents'!DO14*'MF Rollover'!DL14)</f>
        <v/>
      </c>
      <c r="DN14" s="149" t="str">
        <f>IF($B14=0,"",$N14*'MF Rents'!DP14*'MF Rollover'!DM14)</f>
        <v/>
      </c>
      <c r="DO14" s="149" t="str">
        <f>IF($B14=0,"",$N14*'MF Rents'!DQ14*'MF Rollover'!DN14)</f>
        <v/>
      </c>
      <c r="DP14" s="149" t="str">
        <f>IF($B14=0,"",$N14*'MF Rents'!DR14*'MF Rollover'!DO14)</f>
        <v/>
      </c>
      <c r="DQ14" s="149" t="str">
        <f>IF($B14=0,"",$N14*'MF Rents'!DS14*'MF Rollover'!DP14)</f>
        <v/>
      </c>
      <c r="DR14" s="149" t="str">
        <f>IF($B14=0,"",$N14*'MF Rents'!DT14*'MF Rollover'!DQ14)</f>
        <v/>
      </c>
      <c r="DS14" s="149" t="str">
        <f>IF($B14=0,"",$N14*'MF Rents'!DU14*'MF Rollover'!DR14)</f>
        <v/>
      </c>
      <c r="DT14" s="149" t="str">
        <f>IF($B14=0,"",$N14*'MF Rents'!DV14*'MF Rollover'!DS14)</f>
        <v/>
      </c>
      <c r="DU14" s="149" t="str">
        <f>IF($B14=0,"",$N14*'MF Rents'!DW14*'MF Rollover'!DT14)</f>
        <v/>
      </c>
      <c r="DV14" s="149" t="str">
        <f>IF($B14=0,"",$N14*'MF Rents'!DX14*'MF Rollover'!DU14)</f>
        <v/>
      </c>
      <c r="DW14" s="149" t="str">
        <f>IF($B14=0,"",$N14*'MF Rents'!DY14*'MF Rollover'!DV14)</f>
        <v/>
      </c>
      <c r="DX14" s="149" t="str">
        <f>IF($B14=0,"",$N14*'MF Rents'!DZ14*'MF Rollover'!DW14)</f>
        <v/>
      </c>
      <c r="DY14" s="149" t="str">
        <f>IF($B14=0,"",$N14*'MF Rents'!EA14*'MF Rollover'!DX14)</f>
        <v/>
      </c>
      <c r="DZ14" s="149" t="str">
        <f>IF($B14=0,"",$N14*'MF Rents'!EB14*'MF Rollover'!DY14)</f>
        <v/>
      </c>
      <c r="EA14" s="149" t="str">
        <f>IF($B14=0,"",$N14*'MF Rents'!EC14*'MF Rollover'!DZ14)</f>
        <v/>
      </c>
      <c r="EB14" s="149" t="str">
        <f>IF($B14=0,"",$N14*'MF Rents'!ED14*'MF Rollover'!EA14)</f>
        <v/>
      </c>
      <c r="EC14" s="149" t="str">
        <f>IF($B14=0,"",$N14*'MF Rents'!EE14*'MF Rollover'!EB14)</f>
        <v/>
      </c>
      <c r="ED14" s="149" t="str">
        <f>IF($B14=0,"",$N14*'MF Rents'!EF14*'MF Rollover'!EC14)</f>
        <v/>
      </c>
      <c r="EE14" s="149" t="str">
        <f>IF($B14=0,"",$N14*'MF Rents'!EG14*'MF Rollover'!ED14)</f>
        <v/>
      </c>
      <c r="EF14" s="149" t="str">
        <f>IF($B14=0,"",$N14*'MF Rents'!EH14*'MF Rollover'!EE14)</f>
        <v/>
      </c>
      <c r="EG14" s="149" t="str">
        <f>IF($B14=0,"",$N14*'MF Rents'!EI14*'MF Rollover'!EF14)</f>
        <v/>
      </c>
      <c r="EH14" s="149" t="str">
        <f>IF($B14=0,"",$N14*'MF Rents'!EJ14*'MF Rollover'!EG14)</f>
        <v/>
      </c>
      <c r="EI14" s="149" t="str">
        <f>IF($B14=0,"",$N14*'MF Rents'!EK14*'MF Rollover'!EH14)</f>
        <v/>
      </c>
      <c r="EJ14" s="149" t="str">
        <f>IF($B14=0,"",$N14*'MF Rents'!EL14*'MF Rollover'!EI14)</f>
        <v/>
      </c>
      <c r="EK14" s="149" t="str">
        <f>IF($B14=0,"",$N14*'MF Rents'!EM14*'MF Rollover'!EJ14)</f>
        <v/>
      </c>
      <c r="EL14" s="149" t="str">
        <f>IF($B14=0,"",$N14*'MF Rents'!EN14*'MF Rollover'!EK14)</f>
        <v/>
      </c>
      <c r="EM14" s="149" t="str">
        <f>IF($B14=0,"",$N14*'MF Rents'!EO14*'MF Rollover'!EL14)</f>
        <v/>
      </c>
      <c r="EN14" s="149" t="str">
        <f>IF($B14=0,"",$N14*'MF Rents'!EP14*'MF Rollover'!EM14)</f>
        <v/>
      </c>
      <c r="EO14" s="149" t="str">
        <f>IF($B14=0,"",$N14*'MF Rents'!EQ14*'MF Rollover'!EN14)</f>
        <v/>
      </c>
      <c r="EP14" s="149" t="str">
        <f>IF($B14=0,"",$N14*'MF Rents'!ER14*'MF Rollover'!EO14)</f>
        <v/>
      </c>
      <c r="EQ14" s="149" t="str">
        <f>IF($B14=0,"",$N14*'MF Rents'!ES14*'MF Rollover'!EP14)</f>
        <v/>
      </c>
      <c r="ER14" s="149" t="str">
        <f>IF($B14=0,"",$N14*'MF Rents'!ET14*'MF Rollover'!EQ14)</f>
        <v/>
      </c>
      <c r="ES14" s="149" t="str">
        <f>IF($B14=0,"",$N14*'MF Rents'!EU14*'MF Rollover'!ER14)</f>
        <v/>
      </c>
      <c r="ET14" s="149" t="str">
        <f>IF($B14=0,"",$N14*'MF Rents'!EV14*'MF Rollover'!ES14)</f>
        <v/>
      </c>
      <c r="EU14" s="149" t="str">
        <f>IF($B14=0,"",$N14*'MF Rents'!EW14*'MF Rollover'!ET14)</f>
        <v/>
      </c>
      <c r="EV14" s="149" t="str">
        <f>IF($B14=0,"",$N14*'MF Rents'!EX14*'MF Rollover'!EU14)</f>
        <v/>
      </c>
      <c r="EW14" s="149" t="str">
        <f>IF($B14=0,"",$N14*'MF Rents'!EY14*'MF Rollover'!EV14)</f>
        <v/>
      </c>
      <c r="EX14" s="149" t="str">
        <f>IF($B14=0,"",$N14*'MF Rents'!EZ14*'MF Rollover'!EW14)</f>
        <v/>
      </c>
      <c r="EY14" s="149" t="str">
        <f>IF($B14=0,"",$N14*'MF Rents'!FA14*'MF Rollover'!EX14)</f>
        <v/>
      </c>
      <c r="EZ14" s="149" t="str">
        <f>IF($B14=0,"",$N14*'MF Rents'!FB14*'MF Rollover'!EY14)</f>
        <v/>
      </c>
      <c r="FA14" s="149" t="str">
        <f>IF($B14=0,"",$N14*'MF Rents'!FC14*'MF Rollover'!EZ14)</f>
        <v/>
      </c>
      <c r="FB14" s="149" t="str">
        <f>IF($B14=0,"",$N14*'MF Rents'!FD14*'MF Rollover'!FA14)</f>
        <v/>
      </c>
      <c r="FC14" s="149" t="str">
        <f>IF($B14=0,"",$N14*'MF Rents'!FE14*'MF Rollover'!FB14)</f>
        <v/>
      </c>
      <c r="FD14" s="149" t="str">
        <f>IF($B14=0,"",$N14*'MF Rents'!FF14*'MF Rollover'!FC14)</f>
        <v/>
      </c>
      <c r="FE14" s="149" t="str">
        <f>IF($B14=0,"",$N14*'MF Rents'!FG14*'MF Rollover'!FD14)</f>
        <v/>
      </c>
      <c r="FF14" s="149" t="str">
        <f>IF($B14=0,"",$N14*'MF Rents'!FH14*'MF Rollover'!FE14)</f>
        <v/>
      </c>
      <c r="FG14" s="149" t="str">
        <f>IF($B14=0,"",$N14*'MF Rents'!FI14*'MF Rollover'!FF14)</f>
        <v/>
      </c>
      <c r="FH14" s="149" t="str">
        <f>IF($B14=0,"",$N14*'MF Rents'!FJ14*'MF Rollover'!FG14)</f>
        <v/>
      </c>
      <c r="FI14" s="149" t="str">
        <f>IF($B14=0,"",$N14*'MF Rents'!FK14*'MF Rollover'!FH14)</f>
        <v/>
      </c>
      <c r="FJ14" s="149" t="str">
        <f>IF($B14=0,"",$N14*'MF Rents'!FL14*'MF Rollover'!FI14)</f>
        <v/>
      </c>
      <c r="FK14" s="149" t="str">
        <f>IF($B14=0,"",$N14*'MF Rents'!FM14*'MF Rollover'!FJ14)</f>
        <v/>
      </c>
      <c r="FL14" s="149" t="str">
        <f>IF($B14=0,"",$N14*'MF Rents'!FN14*'MF Rollover'!FK14)</f>
        <v/>
      </c>
      <c r="FM14" s="149" t="str">
        <f>IF($B14=0,"",$N14*'MF Rents'!FO14*'MF Rollover'!FL14)</f>
        <v/>
      </c>
      <c r="FN14" s="149" t="str">
        <f>IF($B14=0,"",$N14*'MF Rents'!FP14*'MF Rollover'!FM14)</f>
        <v/>
      </c>
      <c r="FO14" s="149" t="str">
        <f>IF($B14=0,"",$N14*'MF Rents'!FQ14*'MF Rollover'!FN14)</f>
        <v/>
      </c>
      <c r="FP14" s="149" t="str">
        <f>IF($B14=0,"",$N14*'MF Rents'!FR14*'MF Rollover'!FO14)</f>
        <v/>
      </c>
      <c r="FQ14" s="149" t="str">
        <f>IF($B14=0,"",$N14*'MF Rents'!FS14*'MF Rollover'!FP14)</f>
        <v/>
      </c>
      <c r="FR14" s="149" t="str">
        <f>IF($B14=0,"",$N14*'MF Rents'!FT14*'MF Rollover'!FQ14)</f>
        <v/>
      </c>
      <c r="FS14" s="149" t="str">
        <f>IF($B14=0,"",$N14*'MF Rents'!FU14*'MF Rollover'!FR14)</f>
        <v/>
      </c>
      <c r="FT14" s="149" t="str">
        <f>IF($B14=0,"",$N14*'MF Rents'!FV14*'MF Rollover'!FS14)</f>
        <v/>
      </c>
      <c r="FU14" s="149" t="str">
        <f>IF($B14=0,"",$N14*'MF Rents'!FW14*'MF Rollover'!FT14)</f>
        <v/>
      </c>
      <c r="FV14" s="149" t="str">
        <f>IF($B14=0,"",$N14*'MF Rents'!FX14*'MF Rollover'!FU14)</f>
        <v/>
      </c>
      <c r="FW14" s="149" t="str">
        <f>IF($B14=0,"",$N14*'MF Rents'!FY14*'MF Rollover'!FV14)</f>
        <v/>
      </c>
      <c r="FX14" s="149" t="str">
        <f>IF($B14=0,"",$N14*'MF Rents'!FZ14*'MF Rollover'!FW14)</f>
        <v/>
      </c>
      <c r="FY14" s="149" t="str">
        <f>IF($B14=0,"",$N14*'MF Rents'!GA14*'MF Rollover'!FX14)</f>
        <v/>
      </c>
      <c r="FZ14" s="149" t="str">
        <f>IF($B14=0,"",$N14*'MF Rents'!GB14*'MF Rollover'!FY14)</f>
        <v/>
      </c>
      <c r="GA14" s="149" t="str">
        <f>IF($B14=0,"",$N14*'MF Rents'!GC14*'MF Rollover'!FZ14)</f>
        <v/>
      </c>
      <c r="GB14" s="149" t="str">
        <f>IF($B14=0,"",$N14*'MF Rents'!GD14*'MF Rollover'!GA14)</f>
        <v/>
      </c>
      <c r="GC14" s="149" t="str">
        <f>IF($B14=0,"",$N14*'MF Rents'!GE14*'MF Rollover'!GB14)</f>
        <v/>
      </c>
      <c r="GD14" s="149" t="str">
        <f>IF($B14=0,"",$N14*'MF Rents'!GF14*'MF Rollover'!GC14)</f>
        <v/>
      </c>
      <c r="GE14" s="149" t="str">
        <f>IF($B14=0,"",$N14*'MF Rents'!GG14*'MF Rollover'!GD14)</f>
        <v/>
      </c>
      <c r="GF14" s="149" t="str">
        <f>IF($B14=0,"",$N14*'MF Rents'!GH14*'MF Rollover'!GE14)</f>
        <v/>
      </c>
      <c r="GG14" s="149" t="str">
        <f>IF($B14=0,"",$N14*'MF Rents'!GI14*'MF Rollover'!GF14)</f>
        <v/>
      </c>
      <c r="GH14" s="149" t="str">
        <f>IF($B14=0,"",$N14*'MF Rents'!GJ14*'MF Rollover'!GG14)</f>
        <v/>
      </c>
      <c r="GI14" s="149" t="str">
        <f>IF($B14=0,"",$N14*'MF Rents'!GK14*'MF Rollover'!GH14)</f>
        <v/>
      </c>
      <c r="GJ14" s="149" t="str">
        <f>IF($B14=0,"",$N14*'MF Rents'!GL14*'MF Rollover'!GI14)</f>
        <v/>
      </c>
      <c r="GK14" s="149" t="str">
        <f>IF($B14=0,"",$N14*'MF Rents'!GM14*'MF Rollover'!GJ14)</f>
        <v/>
      </c>
      <c r="GL14" s="149" t="str">
        <f>IF($B14=0,"",$N14*'MF Rents'!GN14*'MF Rollover'!GK14)</f>
        <v/>
      </c>
      <c r="GM14" s="149" t="str">
        <f>IF($B14=0,"",$N14*'MF Rents'!GO14*'MF Rollover'!GL14)</f>
        <v/>
      </c>
      <c r="GN14" s="149" t="str">
        <f>IF($B14=0,"",$N14*'MF Rents'!GP14*'MF Rollover'!GM14)</f>
        <v/>
      </c>
      <c r="GO14" s="149" t="str">
        <f>IF($B14=0,"",$N14*'MF Rents'!GQ14*'MF Rollover'!GN14)</f>
        <v/>
      </c>
      <c r="GP14" s="149" t="str">
        <f>IF($B14=0,"",$N14*'MF Rents'!GR14*'MF Rollover'!GO14)</f>
        <v/>
      </c>
    </row>
    <row r="15" spans="2:198" x14ac:dyDescent="0.3">
      <c r="B15" s="184">
        <f>'MF Rent Roll'!B14</f>
        <v>0</v>
      </c>
      <c r="C15" s="171">
        <f>'MF Rent Roll'!C14</f>
        <v>0</v>
      </c>
      <c r="D15" s="172">
        <f>'MF Rent Roll'!D14</f>
        <v>0</v>
      </c>
      <c r="E15" s="172">
        <f>'MF Rent Roll'!E14</f>
        <v>0</v>
      </c>
      <c r="F15" s="173">
        <f>'MF Rent Roll'!F14</f>
        <v>0</v>
      </c>
      <c r="G15" s="174">
        <f>'MF Rent Roll'!G14</f>
        <v>0</v>
      </c>
      <c r="H15" s="176">
        <f>'MF Rent Roll'!J14</f>
        <v>0</v>
      </c>
      <c r="I15" s="174">
        <f>'MF Rent Roll'!K14</f>
        <v>0</v>
      </c>
      <c r="J15" s="177">
        <f>'MF Rent Roll'!L14</f>
        <v>0</v>
      </c>
      <c r="K15" s="178">
        <f>'MF Rent Roll'!M14</f>
        <v>0</v>
      </c>
      <c r="L15" s="174">
        <f>'MF Rent Roll'!N14</f>
        <v>0</v>
      </c>
      <c r="M15" s="179">
        <f>'MF Rent Roll'!O14</f>
        <v>0</v>
      </c>
      <c r="N15" s="180" t="str">
        <f>'MF Rent Roll'!P14</f>
        <v/>
      </c>
      <c r="O15" s="181" t="str">
        <f>'MF Rent Roll'!Q14</f>
        <v/>
      </c>
      <c r="P15" s="104" t="str">
        <f>'MF Rent Roll'!R14</f>
        <v/>
      </c>
      <c r="S15" s="149" t="str">
        <f>IF($B15=0,"",$N15*'MF Rents'!U15*'MF Rollover'!R15)</f>
        <v/>
      </c>
      <c r="T15" s="149" t="str">
        <f>IF($B15=0,"",$N15*'MF Rents'!V15*'MF Rollover'!S15)</f>
        <v/>
      </c>
      <c r="U15" s="149" t="str">
        <f>IF($B15=0,"",$N15*'MF Rents'!W15*'MF Rollover'!T15)</f>
        <v/>
      </c>
      <c r="V15" s="149" t="str">
        <f>IF($B15=0,"",$N15*'MF Rents'!X15*'MF Rollover'!U15)</f>
        <v/>
      </c>
      <c r="W15" s="149" t="str">
        <f>IF($B15=0,"",$N15*'MF Rents'!Y15*'MF Rollover'!V15)</f>
        <v/>
      </c>
      <c r="X15" s="149" t="str">
        <f>IF($B15=0,"",$N15*'MF Rents'!Z15*'MF Rollover'!W15)</f>
        <v/>
      </c>
      <c r="Y15" s="149" t="str">
        <f>IF($B15=0,"",$N15*'MF Rents'!AA15*'MF Rollover'!X15)</f>
        <v/>
      </c>
      <c r="Z15" s="149" t="str">
        <f>IF($B15=0,"",$N15*'MF Rents'!AB15*'MF Rollover'!Y15)</f>
        <v/>
      </c>
      <c r="AA15" s="149" t="str">
        <f>IF($B15=0,"",$N15*'MF Rents'!AC15*'MF Rollover'!Z15)</f>
        <v/>
      </c>
      <c r="AB15" s="149" t="str">
        <f>IF($B15=0,"",$N15*'MF Rents'!AD15*'MF Rollover'!AA15)</f>
        <v/>
      </c>
      <c r="AC15" s="149" t="str">
        <f>IF($B15=0,"",$N15*'MF Rents'!AE15*'MF Rollover'!AB15)</f>
        <v/>
      </c>
      <c r="AD15" s="149" t="str">
        <f>IF($B15=0,"",$N15*'MF Rents'!AF15*'MF Rollover'!AC15)</f>
        <v/>
      </c>
      <c r="AE15" s="149" t="str">
        <f>IF($B15=0,"",$N15*'MF Rents'!AG15*'MF Rollover'!AD15)</f>
        <v/>
      </c>
      <c r="AF15" s="149" t="str">
        <f>IF($B15=0,"",$N15*'MF Rents'!AH15*'MF Rollover'!AE15)</f>
        <v/>
      </c>
      <c r="AG15" s="149" t="str">
        <f>IF($B15=0,"",$N15*'MF Rents'!AI15*'MF Rollover'!AF15)</f>
        <v/>
      </c>
      <c r="AH15" s="149" t="str">
        <f>IF($B15=0,"",$N15*'MF Rents'!AJ15*'MF Rollover'!AG15)</f>
        <v/>
      </c>
      <c r="AI15" s="149" t="str">
        <f>IF($B15=0,"",$N15*'MF Rents'!AK15*'MF Rollover'!AH15)</f>
        <v/>
      </c>
      <c r="AJ15" s="149" t="str">
        <f>IF($B15=0,"",$N15*'MF Rents'!AL15*'MF Rollover'!AI15)</f>
        <v/>
      </c>
      <c r="AK15" s="149" t="str">
        <f>IF($B15=0,"",$N15*'MF Rents'!AM15*'MF Rollover'!AJ15)</f>
        <v/>
      </c>
      <c r="AL15" s="149" t="str">
        <f>IF($B15=0,"",$N15*'MF Rents'!AN15*'MF Rollover'!AK15)</f>
        <v/>
      </c>
      <c r="AM15" s="149" t="str">
        <f>IF($B15=0,"",$N15*'MF Rents'!AO15*'MF Rollover'!AL15)</f>
        <v/>
      </c>
      <c r="AN15" s="149" t="str">
        <f>IF($B15=0,"",$N15*'MF Rents'!AP15*'MF Rollover'!AM15)</f>
        <v/>
      </c>
      <c r="AO15" s="149" t="str">
        <f>IF($B15=0,"",$N15*'MF Rents'!AQ15*'MF Rollover'!AN15)</f>
        <v/>
      </c>
      <c r="AP15" s="149" t="str">
        <f>IF($B15=0,"",$N15*'MF Rents'!AR15*'MF Rollover'!AO15)</f>
        <v/>
      </c>
      <c r="AQ15" s="149" t="str">
        <f>IF($B15=0,"",$N15*'MF Rents'!AS15*'MF Rollover'!AP15)</f>
        <v/>
      </c>
      <c r="AR15" s="149" t="str">
        <f>IF($B15=0,"",$N15*'MF Rents'!AT15*'MF Rollover'!AQ15)</f>
        <v/>
      </c>
      <c r="AS15" s="149" t="str">
        <f>IF($B15=0,"",$N15*'MF Rents'!AU15*'MF Rollover'!AR15)</f>
        <v/>
      </c>
      <c r="AT15" s="149" t="str">
        <f>IF($B15=0,"",$N15*'MF Rents'!AV15*'MF Rollover'!AS15)</f>
        <v/>
      </c>
      <c r="AU15" s="149" t="str">
        <f>IF($B15=0,"",$N15*'MF Rents'!AW15*'MF Rollover'!AT15)</f>
        <v/>
      </c>
      <c r="AV15" s="149" t="str">
        <f>IF($B15=0,"",$N15*'MF Rents'!AX15*'MF Rollover'!AU15)</f>
        <v/>
      </c>
      <c r="AW15" s="149" t="str">
        <f>IF($B15=0,"",$N15*'MF Rents'!AY15*'MF Rollover'!AV15)</f>
        <v/>
      </c>
      <c r="AX15" s="149" t="str">
        <f>IF($B15=0,"",$N15*'MF Rents'!AZ15*'MF Rollover'!AW15)</f>
        <v/>
      </c>
      <c r="AY15" s="149" t="str">
        <f>IF($B15=0,"",$N15*'MF Rents'!BA15*'MF Rollover'!AX15)</f>
        <v/>
      </c>
      <c r="AZ15" s="149" t="str">
        <f>IF($B15=0,"",$N15*'MF Rents'!BB15*'MF Rollover'!AY15)</f>
        <v/>
      </c>
      <c r="BA15" s="149" t="str">
        <f>IF($B15=0,"",$N15*'MF Rents'!BC15*'MF Rollover'!AZ15)</f>
        <v/>
      </c>
      <c r="BB15" s="149" t="str">
        <f>IF($B15=0,"",$N15*'MF Rents'!BD15*'MF Rollover'!BA15)</f>
        <v/>
      </c>
      <c r="BC15" s="149" t="str">
        <f>IF($B15=0,"",$N15*'MF Rents'!BE15*'MF Rollover'!BB15)</f>
        <v/>
      </c>
      <c r="BD15" s="149" t="str">
        <f>IF($B15=0,"",$N15*'MF Rents'!BF15*'MF Rollover'!BC15)</f>
        <v/>
      </c>
      <c r="BE15" s="149" t="str">
        <f>IF($B15=0,"",$N15*'MF Rents'!BG15*'MF Rollover'!BD15)</f>
        <v/>
      </c>
      <c r="BF15" s="149" t="str">
        <f>IF($B15=0,"",$N15*'MF Rents'!BH15*'MF Rollover'!BE15)</f>
        <v/>
      </c>
      <c r="BG15" s="149" t="str">
        <f>IF($B15=0,"",$N15*'MF Rents'!BI15*'MF Rollover'!BF15)</f>
        <v/>
      </c>
      <c r="BH15" s="149" t="str">
        <f>IF($B15=0,"",$N15*'MF Rents'!BJ15*'MF Rollover'!BG15)</f>
        <v/>
      </c>
      <c r="BI15" s="149" t="str">
        <f>IF($B15=0,"",$N15*'MF Rents'!BK15*'MF Rollover'!BH15)</f>
        <v/>
      </c>
      <c r="BJ15" s="149" t="str">
        <f>IF($B15=0,"",$N15*'MF Rents'!BL15*'MF Rollover'!BI15)</f>
        <v/>
      </c>
      <c r="BK15" s="149" t="str">
        <f>IF($B15=0,"",$N15*'MF Rents'!BM15*'MF Rollover'!BJ15)</f>
        <v/>
      </c>
      <c r="BL15" s="149" t="str">
        <f>IF($B15=0,"",$N15*'MF Rents'!BN15*'MF Rollover'!BK15)</f>
        <v/>
      </c>
      <c r="BM15" s="149" t="str">
        <f>IF($B15=0,"",$N15*'MF Rents'!BO15*'MF Rollover'!BL15)</f>
        <v/>
      </c>
      <c r="BN15" s="149" t="str">
        <f>IF($B15=0,"",$N15*'MF Rents'!BP15*'MF Rollover'!BM15)</f>
        <v/>
      </c>
      <c r="BO15" s="149" t="str">
        <f>IF($B15=0,"",$N15*'MF Rents'!BQ15*'MF Rollover'!BN15)</f>
        <v/>
      </c>
      <c r="BP15" s="149" t="str">
        <f>IF($B15=0,"",$N15*'MF Rents'!BR15*'MF Rollover'!BO15)</f>
        <v/>
      </c>
      <c r="BQ15" s="149" t="str">
        <f>IF($B15=0,"",$N15*'MF Rents'!BS15*'MF Rollover'!BP15)</f>
        <v/>
      </c>
      <c r="BR15" s="149" t="str">
        <f>IF($B15=0,"",$N15*'MF Rents'!BT15*'MF Rollover'!BQ15)</f>
        <v/>
      </c>
      <c r="BS15" s="149" t="str">
        <f>IF($B15=0,"",$N15*'MF Rents'!BU15*'MF Rollover'!BR15)</f>
        <v/>
      </c>
      <c r="BT15" s="149" t="str">
        <f>IF($B15=0,"",$N15*'MF Rents'!BV15*'MF Rollover'!BS15)</f>
        <v/>
      </c>
      <c r="BU15" s="149" t="str">
        <f>IF($B15=0,"",$N15*'MF Rents'!BW15*'MF Rollover'!BT15)</f>
        <v/>
      </c>
      <c r="BV15" s="149" t="str">
        <f>IF($B15=0,"",$N15*'MF Rents'!BX15*'MF Rollover'!BU15)</f>
        <v/>
      </c>
      <c r="BW15" s="149" t="str">
        <f>IF($B15=0,"",$N15*'MF Rents'!BY15*'MF Rollover'!BV15)</f>
        <v/>
      </c>
      <c r="BX15" s="149" t="str">
        <f>IF($B15=0,"",$N15*'MF Rents'!BZ15*'MF Rollover'!BW15)</f>
        <v/>
      </c>
      <c r="BY15" s="149" t="str">
        <f>IF($B15=0,"",$N15*'MF Rents'!CA15*'MF Rollover'!BX15)</f>
        <v/>
      </c>
      <c r="BZ15" s="149" t="str">
        <f>IF($B15=0,"",$N15*'MF Rents'!CB15*'MF Rollover'!BY15)</f>
        <v/>
      </c>
      <c r="CA15" s="149" t="str">
        <f>IF($B15=0,"",$N15*'MF Rents'!CC15*'MF Rollover'!BZ15)</f>
        <v/>
      </c>
      <c r="CB15" s="149" t="str">
        <f>IF($B15=0,"",$N15*'MF Rents'!CD15*'MF Rollover'!CA15)</f>
        <v/>
      </c>
      <c r="CC15" s="149" t="str">
        <f>IF($B15=0,"",$N15*'MF Rents'!CE15*'MF Rollover'!CB15)</f>
        <v/>
      </c>
      <c r="CD15" s="149" t="str">
        <f>IF($B15=0,"",$N15*'MF Rents'!CF15*'MF Rollover'!CC15)</f>
        <v/>
      </c>
      <c r="CE15" s="149" t="str">
        <f>IF($B15=0,"",$N15*'MF Rents'!CG15*'MF Rollover'!CD15)</f>
        <v/>
      </c>
      <c r="CF15" s="149" t="str">
        <f>IF($B15=0,"",$N15*'MF Rents'!CH15*'MF Rollover'!CE15)</f>
        <v/>
      </c>
      <c r="CG15" s="149" t="str">
        <f>IF($B15=0,"",$N15*'MF Rents'!CI15*'MF Rollover'!CF15)</f>
        <v/>
      </c>
      <c r="CH15" s="149" t="str">
        <f>IF($B15=0,"",$N15*'MF Rents'!CJ15*'MF Rollover'!CG15)</f>
        <v/>
      </c>
      <c r="CI15" s="149" t="str">
        <f>IF($B15=0,"",$N15*'MF Rents'!CK15*'MF Rollover'!CH15)</f>
        <v/>
      </c>
      <c r="CJ15" s="149" t="str">
        <f>IF($B15=0,"",$N15*'MF Rents'!CL15*'MF Rollover'!CI15)</f>
        <v/>
      </c>
      <c r="CK15" s="149" t="str">
        <f>IF($B15=0,"",$N15*'MF Rents'!CM15*'MF Rollover'!CJ15)</f>
        <v/>
      </c>
      <c r="CL15" s="149" t="str">
        <f>IF($B15=0,"",$N15*'MF Rents'!CN15*'MF Rollover'!CK15)</f>
        <v/>
      </c>
      <c r="CM15" s="149" t="str">
        <f>IF($B15=0,"",$N15*'MF Rents'!CO15*'MF Rollover'!CL15)</f>
        <v/>
      </c>
      <c r="CN15" s="149" t="str">
        <f>IF($B15=0,"",$N15*'MF Rents'!CP15*'MF Rollover'!CM15)</f>
        <v/>
      </c>
      <c r="CO15" s="149" t="str">
        <f>IF($B15=0,"",$N15*'MF Rents'!CQ15*'MF Rollover'!CN15)</f>
        <v/>
      </c>
      <c r="CP15" s="149" t="str">
        <f>IF($B15=0,"",$N15*'MF Rents'!CR15*'MF Rollover'!CO15)</f>
        <v/>
      </c>
      <c r="CQ15" s="149" t="str">
        <f>IF($B15=0,"",$N15*'MF Rents'!CS15*'MF Rollover'!CP15)</f>
        <v/>
      </c>
      <c r="CR15" s="149" t="str">
        <f>IF($B15=0,"",$N15*'MF Rents'!CT15*'MF Rollover'!CQ15)</f>
        <v/>
      </c>
      <c r="CS15" s="149" t="str">
        <f>IF($B15=0,"",$N15*'MF Rents'!CU15*'MF Rollover'!CR15)</f>
        <v/>
      </c>
      <c r="CT15" s="149" t="str">
        <f>IF($B15=0,"",$N15*'MF Rents'!CV15*'MF Rollover'!CS15)</f>
        <v/>
      </c>
      <c r="CU15" s="149" t="str">
        <f>IF($B15=0,"",$N15*'MF Rents'!CW15*'MF Rollover'!CT15)</f>
        <v/>
      </c>
      <c r="CV15" s="149" t="str">
        <f>IF($B15=0,"",$N15*'MF Rents'!CX15*'MF Rollover'!CU15)</f>
        <v/>
      </c>
      <c r="CW15" s="149" t="str">
        <f>IF($B15=0,"",$N15*'MF Rents'!CY15*'MF Rollover'!CV15)</f>
        <v/>
      </c>
      <c r="CX15" s="149" t="str">
        <f>IF($B15=0,"",$N15*'MF Rents'!CZ15*'MF Rollover'!CW15)</f>
        <v/>
      </c>
      <c r="CY15" s="149" t="str">
        <f>IF($B15=0,"",$N15*'MF Rents'!DA15*'MF Rollover'!CX15)</f>
        <v/>
      </c>
      <c r="CZ15" s="149" t="str">
        <f>IF($B15=0,"",$N15*'MF Rents'!DB15*'MF Rollover'!CY15)</f>
        <v/>
      </c>
      <c r="DA15" s="149" t="str">
        <f>IF($B15=0,"",$N15*'MF Rents'!DC15*'MF Rollover'!CZ15)</f>
        <v/>
      </c>
      <c r="DB15" s="149" t="str">
        <f>IF($B15=0,"",$N15*'MF Rents'!DD15*'MF Rollover'!DA15)</f>
        <v/>
      </c>
      <c r="DC15" s="149" t="str">
        <f>IF($B15=0,"",$N15*'MF Rents'!DE15*'MF Rollover'!DB15)</f>
        <v/>
      </c>
      <c r="DD15" s="149" t="str">
        <f>IF($B15=0,"",$N15*'MF Rents'!DF15*'MF Rollover'!DC15)</f>
        <v/>
      </c>
      <c r="DE15" s="149" t="str">
        <f>IF($B15=0,"",$N15*'MF Rents'!DG15*'MF Rollover'!DD15)</f>
        <v/>
      </c>
      <c r="DF15" s="149" t="str">
        <f>IF($B15=0,"",$N15*'MF Rents'!DH15*'MF Rollover'!DE15)</f>
        <v/>
      </c>
      <c r="DG15" s="149" t="str">
        <f>IF($B15=0,"",$N15*'MF Rents'!DI15*'MF Rollover'!DF15)</f>
        <v/>
      </c>
      <c r="DH15" s="149" t="str">
        <f>IF($B15=0,"",$N15*'MF Rents'!DJ15*'MF Rollover'!DG15)</f>
        <v/>
      </c>
      <c r="DI15" s="149" t="str">
        <f>IF($B15=0,"",$N15*'MF Rents'!DK15*'MF Rollover'!DH15)</f>
        <v/>
      </c>
      <c r="DJ15" s="149" t="str">
        <f>IF($B15=0,"",$N15*'MF Rents'!DL15*'MF Rollover'!DI15)</f>
        <v/>
      </c>
      <c r="DK15" s="149" t="str">
        <f>IF($B15=0,"",$N15*'MF Rents'!DM15*'MF Rollover'!DJ15)</f>
        <v/>
      </c>
      <c r="DL15" s="149" t="str">
        <f>IF($B15=0,"",$N15*'MF Rents'!DN15*'MF Rollover'!DK15)</f>
        <v/>
      </c>
      <c r="DM15" s="149" t="str">
        <f>IF($B15=0,"",$N15*'MF Rents'!DO15*'MF Rollover'!DL15)</f>
        <v/>
      </c>
      <c r="DN15" s="149" t="str">
        <f>IF($B15=0,"",$N15*'MF Rents'!DP15*'MF Rollover'!DM15)</f>
        <v/>
      </c>
      <c r="DO15" s="149" t="str">
        <f>IF($B15=0,"",$N15*'MF Rents'!DQ15*'MF Rollover'!DN15)</f>
        <v/>
      </c>
      <c r="DP15" s="149" t="str">
        <f>IF($B15=0,"",$N15*'MF Rents'!DR15*'MF Rollover'!DO15)</f>
        <v/>
      </c>
      <c r="DQ15" s="149" t="str">
        <f>IF($B15=0,"",$N15*'MF Rents'!DS15*'MF Rollover'!DP15)</f>
        <v/>
      </c>
      <c r="DR15" s="149" t="str">
        <f>IF($B15=0,"",$N15*'MF Rents'!DT15*'MF Rollover'!DQ15)</f>
        <v/>
      </c>
      <c r="DS15" s="149" t="str">
        <f>IF($B15=0,"",$N15*'MF Rents'!DU15*'MF Rollover'!DR15)</f>
        <v/>
      </c>
      <c r="DT15" s="149" t="str">
        <f>IF($B15=0,"",$N15*'MF Rents'!DV15*'MF Rollover'!DS15)</f>
        <v/>
      </c>
      <c r="DU15" s="149" t="str">
        <f>IF($B15=0,"",$N15*'MF Rents'!DW15*'MF Rollover'!DT15)</f>
        <v/>
      </c>
      <c r="DV15" s="149" t="str">
        <f>IF($B15=0,"",$N15*'MF Rents'!DX15*'MF Rollover'!DU15)</f>
        <v/>
      </c>
      <c r="DW15" s="149" t="str">
        <f>IF($B15=0,"",$N15*'MF Rents'!DY15*'MF Rollover'!DV15)</f>
        <v/>
      </c>
      <c r="DX15" s="149" t="str">
        <f>IF($B15=0,"",$N15*'MF Rents'!DZ15*'MF Rollover'!DW15)</f>
        <v/>
      </c>
      <c r="DY15" s="149" t="str">
        <f>IF($B15=0,"",$N15*'MF Rents'!EA15*'MF Rollover'!DX15)</f>
        <v/>
      </c>
      <c r="DZ15" s="149" t="str">
        <f>IF($B15=0,"",$N15*'MF Rents'!EB15*'MF Rollover'!DY15)</f>
        <v/>
      </c>
      <c r="EA15" s="149" t="str">
        <f>IF($B15=0,"",$N15*'MF Rents'!EC15*'MF Rollover'!DZ15)</f>
        <v/>
      </c>
      <c r="EB15" s="149" t="str">
        <f>IF($B15=0,"",$N15*'MF Rents'!ED15*'MF Rollover'!EA15)</f>
        <v/>
      </c>
      <c r="EC15" s="149" t="str">
        <f>IF($B15=0,"",$N15*'MF Rents'!EE15*'MF Rollover'!EB15)</f>
        <v/>
      </c>
      <c r="ED15" s="149" t="str">
        <f>IF($B15=0,"",$N15*'MF Rents'!EF15*'MF Rollover'!EC15)</f>
        <v/>
      </c>
      <c r="EE15" s="149" t="str">
        <f>IF($B15=0,"",$N15*'MF Rents'!EG15*'MF Rollover'!ED15)</f>
        <v/>
      </c>
      <c r="EF15" s="149" t="str">
        <f>IF($B15=0,"",$N15*'MF Rents'!EH15*'MF Rollover'!EE15)</f>
        <v/>
      </c>
      <c r="EG15" s="149" t="str">
        <f>IF($B15=0,"",$N15*'MF Rents'!EI15*'MF Rollover'!EF15)</f>
        <v/>
      </c>
      <c r="EH15" s="149" t="str">
        <f>IF($B15=0,"",$N15*'MF Rents'!EJ15*'MF Rollover'!EG15)</f>
        <v/>
      </c>
      <c r="EI15" s="149" t="str">
        <f>IF($B15=0,"",$N15*'MF Rents'!EK15*'MF Rollover'!EH15)</f>
        <v/>
      </c>
      <c r="EJ15" s="149" t="str">
        <f>IF($B15=0,"",$N15*'MF Rents'!EL15*'MF Rollover'!EI15)</f>
        <v/>
      </c>
      <c r="EK15" s="149" t="str">
        <f>IF($B15=0,"",$N15*'MF Rents'!EM15*'MF Rollover'!EJ15)</f>
        <v/>
      </c>
      <c r="EL15" s="149" t="str">
        <f>IF($B15=0,"",$N15*'MF Rents'!EN15*'MF Rollover'!EK15)</f>
        <v/>
      </c>
      <c r="EM15" s="149" t="str">
        <f>IF($B15=0,"",$N15*'MF Rents'!EO15*'MF Rollover'!EL15)</f>
        <v/>
      </c>
      <c r="EN15" s="149" t="str">
        <f>IF($B15=0,"",$N15*'MF Rents'!EP15*'MF Rollover'!EM15)</f>
        <v/>
      </c>
      <c r="EO15" s="149" t="str">
        <f>IF($B15=0,"",$N15*'MF Rents'!EQ15*'MF Rollover'!EN15)</f>
        <v/>
      </c>
      <c r="EP15" s="149" t="str">
        <f>IF($B15=0,"",$N15*'MF Rents'!ER15*'MF Rollover'!EO15)</f>
        <v/>
      </c>
      <c r="EQ15" s="149" t="str">
        <f>IF($B15=0,"",$N15*'MF Rents'!ES15*'MF Rollover'!EP15)</f>
        <v/>
      </c>
      <c r="ER15" s="149" t="str">
        <f>IF($B15=0,"",$N15*'MF Rents'!ET15*'MF Rollover'!EQ15)</f>
        <v/>
      </c>
      <c r="ES15" s="149" t="str">
        <f>IF($B15=0,"",$N15*'MF Rents'!EU15*'MF Rollover'!ER15)</f>
        <v/>
      </c>
      <c r="ET15" s="149" t="str">
        <f>IF($B15=0,"",$N15*'MF Rents'!EV15*'MF Rollover'!ES15)</f>
        <v/>
      </c>
      <c r="EU15" s="149" t="str">
        <f>IF($B15=0,"",$N15*'MF Rents'!EW15*'MF Rollover'!ET15)</f>
        <v/>
      </c>
      <c r="EV15" s="149" t="str">
        <f>IF($B15=0,"",$N15*'MF Rents'!EX15*'MF Rollover'!EU15)</f>
        <v/>
      </c>
      <c r="EW15" s="149" t="str">
        <f>IF($B15=0,"",$N15*'MF Rents'!EY15*'MF Rollover'!EV15)</f>
        <v/>
      </c>
      <c r="EX15" s="149" t="str">
        <f>IF($B15=0,"",$N15*'MF Rents'!EZ15*'MF Rollover'!EW15)</f>
        <v/>
      </c>
      <c r="EY15" s="149" t="str">
        <f>IF($B15=0,"",$N15*'MF Rents'!FA15*'MF Rollover'!EX15)</f>
        <v/>
      </c>
      <c r="EZ15" s="149" t="str">
        <f>IF($B15=0,"",$N15*'MF Rents'!FB15*'MF Rollover'!EY15)</f>
        <v/>
      </c>
      <c r="FA15" s="149" t="str">
        <f>IF($B15=0,"",$N15*'MF Rents'!FC15*'MF Rollover'!EZ15)</f>
        <v/>
      </c>
      <c r="FB15" s="149" t="str">
        <f>IF($B15=0,"",$N15*'MF Rents'!FD15*'MF Rollover'!FA15)</f>
        <v/>
      </c>
      <c r="FC15" s="149" t="str">
        <f>IF($B15=0,"",$N15*'MF Rents'!FE15*'MF Rollover'!FB15)</f>
        <v/>
      </c>
      <c r="FD15" s="149" t="str">
        <f>IF($B15=0,"",$N15*'MF Rents'!FF15*'MF Rollover'!FC15)</f>
        <v/>
      </c>
      <c r="FE15" s="149" t="str">
        <f>IF($B15=0,"",$N15*'MF Rents'!FG15*'MF Rollover'!FD15)</f>
        <v/>
      </c>
      <c r="FF15" s="149" t="str">
        <f>IF($B15=0,"",$N15*'MF Rents'!FH15*'MF Rollover'!FE15)</f>
        <v/>
      </c>
      <c r="FG15" s="149" t="str">
        <f>IF($B15=0,"",$N15*'MF Rents'!FI15*'MF Rollover'!FF15)</f>
        <v/>
      </c>
      <c r="FH15" s="149" t="str">
        <f>IF($B15=0,"",$N15*'MF Rents'!FJ15*'MF Rollover'!FG15)</f>
        <v/>
      </c>
      <c r="FI15" s="149" t="str">
        <f>IF($B15=0,"",$N15*'MF Rents'!FK15*'MF Rollover'!FH15)</f>
        <v/>
      </c>
      <c r="FJ15" s="149" t="str">
        <f>IF($B15=0,"",$N15*'MF Rents'!FL15*'MF Rollover'!FI15)</f>
        <v/>
      </c>
      <c r="FK15" s="149" t="str">
        <f>IF($B15=0,"",$N15*'MF Rents'!FM15*'MF Rollover'!FJ15)</f>
        <v/>
      </c>
      <c r="FL15" s="149" t="str">
        <f>IF($B15=0,"",$N15*'MF Rents'!FN15*'MF Rollover'!FK15)</f>
        <v/>
      </c>
      <c r="FM15" s="149" t="str">
        <f>IF($B15=0,"",$N15*'MF Rents'!FO15*'MF Rollover'!FL15)</f>
        <v/>
      </c>
      <c r="FN15" s="149" t="str">
        <f>IF($B15=0,"",$N15*'MF Rents'!FP15*'MF Rollover'!FM15)</f>
        <v/>
      </c>
      <c r="FO15" s="149" t="str">
        <f>IF($B15=0,"",$N15*'MF Rents'!FQ15*'MF Rollover'!FN15)</f>
        <v/>
      </c>
      <c r="FP15" s="149" t="str">
        <f>IF($B15=0,"",$N15*'MF Rents'!FR15*'MF Rollover'!FO15)</f>
        <v/>
      </c>
      <c r="FQ15" s="149" t="str">
        <f>IF($B15=0,"",$N15*'MF Rents'!FS15*'MF Rollover'!FP15)</f>
        <v/>
      </c>
      <c r="FR15" s="149" t="str">
        <f>IF($B15=0,"",$N15*'MF Rents'!FT15*'MF Rollover'!FQ15)</f>
        <v/>
      </c>
      <c r="FS15" s="149" t="str">
        <f>IF($B15=0,"",$N15*'MF Rents'!FU15*'MF Rollover'!FR15)</f>
        <v/>
      </c>
      <c r="FT15" s="149" t="str">
        <f>IF($B15=0,"",$N15*'MF Rents'!FV15*'MF Rollover'!FS15)</f>
        <v/>
      </c>
      <c r="FU15" s="149" t="str">
        <f>IF($B15=0,"",$N15*'MF Rents'!FW15*'MF Rollover'!FT15)</f>
        <v/>
      </c>
      <c r="FV15" s="149" t="str">
        <f>IF($B15=0,"",$N15*'MF Rents'!FX15*'MF Rollover'!FU15)</f>
        <v/>
      </c>
      <c r="FW15" s="149" t="str">
        <f>IF($B15=0,"",$N15*'MF Rents'!FY15*'MF Rollover'!FV15)</f>
        <v/>
      </c>
      <c r="FX15" s="149" t="str">
        <f>IF($B15=0,"",$N15*'MF Rents'!FZ15*'MF Rollover'!FW15)</f>
        <v/>
      </c>
      <c r="FY15" s="149" t="str">
        <f>IF($B15=0,"",$N15*'MF Rents'!GA15*'MF Rollover'!FX15)</f>
        <v/>
      </c>
      <c r="FZ15" s="149" t="str">
        <f>IF($B15=0,"",$N15*'MF Rents'!GB15*'MF Rollover'!FY15)</f>
        <v/>
      </c>
      <c r="GA15" s="149" t="str">
        <f>IF($B15=0,"",$N15*'MF Rents'!GC15*'MF Rollover'!FZ15)</f>
        <v/>
      </c>
      <c r="GB15" s="149" t="str">
        <f>IF($B15=0,"",$N15*'MF Rents'!GD15*'MF Rollover'!GA15)</f>
        <v/>
      </c>
      <c r="GC15" s="149" t="str">
        <f>IF($B15=0,"",$N15*'MF Rents'!GE15*'MF Rollover'!GB15)</f>
        <v/>
      </c>
      <c r="GD15" s="149" t="str">
        <f>IF($B15=0,"",$N15*'MF Rents'!GF15*'MF Rollover'!GC15)</f>
        <v/>
      </c>
      <c r="GE15" s="149" t="str">
        <f>IF($B15=0,"",$N15*'MF Rents'!GG15*'MF Rollover'!GD15)</f>
        <v/>
      </c>
      <c r="GF15" s="149" t="str">
        <f>IF($B15=0,"",$N15*'MF Rents'!GH15*'MF Rollover'!GE15)</f>
        <v/>
      </c>
      <c r="GG15" s="149" t="str">
        <f>IF($B15=0,"",$N15*'MF Rents'!GI15*'MF Rollover'!GF15)</f>
        <v/>
      </c>
      <c r="GH15" s="149" t="str">
        <f>IF($B15=0,"",$N15*'MF Rents'!GJ15*'MF Rollover'!GG15)</f>
        <v/>
      </c>
      <c r="GI15" s="149" t="str">
        <f>IF($B15=0,"",$N15*'MF Rents'!GK15*'MF Rollover'!GH15)</f>
        <v/>
      </c>
      <c r="GJ15" s="149" t="str">
        <f>IF($B15=0,"",$N15*'MF Rents'!GL15*'MF Rollover'!GI15)</f>
        <v/>
      </c>
      <c r="GK15" s="149" t="str">
        <f>IF($B15=0,"",$N15*'MF Rents'!GM15*'MF Rollover'!GJ15)</f>
        <v/>
      </c>
      <c r="GL15" s="149" t="str">
        <f>IF($B15=0,"",$N15*'MF Rents'!GN15*'MF Rollover'!GK15)</f>
        <v/>
      </c>
      <c r="GM15" s="149" t="str">
        <f>IF($B15=0,"",$N15*'MF Rents'!GO15*'MF Rollover'!GL15)</f>
        <v/>
      </c>
      <c r="GN15" s="149" t="str">
        <f>IF($B15=0,"",$N15*'MF Rents'!GP15*'MF Rollover'!GM15)</f>
        <v/>
      </c>
      <c r="GO15" s="149" t="str">
        <f>IF($B15=0,"",$N15*'MF Rents'!GQ15*'MF Rollover'!GN15)</f>
        <v/>
      </c>
      <c r="GP15" s="149" t="str">
        <f>IF($B15=0,"",$N15*'MF Rents'!GR15*'MF Rollover'!GO15)</f>
        <v/>
      </c>
    </row>
    <row r="16" spans="2:198" x14ac:dyDescent="0.3">
      <c r="B16" s="184">
        <f>'MF Rent Roll'!B15</f>
        <v>0</v>
      </c>
      <c r="C16" s="171">
        <f>'MF Rent Roll'!C15</f>
        <v>0</v>
      </c>
      <c r="D16" s="172">
        <f>'MF Rent Roll'!D15</f>
        <v>0</v>
      </c>
      <c r="E16" s="172">
        <f>'MF Rent Roll'!E15</f>
        <v>0</v>
      </c>
      <c r="F16" s="173">
        <f>'MF Rent Roll'!F15</f>
        <v>0</v>
      </c>
      <c r="G16" s="174">
        <f>'MF Rent Roll'!G15</f>
        <v>0</v>
      </c>
      <c r="H16" s="176">
        <f>'MF Rent Roll'!J15</f>
        <v>0</v>
      </c>
      <c r="I16" s="174">
        <f>'MF Rent Roll'!K15</f>
        <v>0</v>
      </c>
      <c r="J16" s="177">
        <f>'MF Rent Roll'!L15</f>
        <v>0</v>
      </c>
      <c r="K16" s="178">
        <f>'MF Rent Roll'!M15</f>
        <v>0</v>
      </c>
      <c r="L16" s="174">
        <f>'MF Rent Roll'!N15</f>
        <v>0</v>
      </c>
      <c r="M16" s="179">
        <f>'MF Rent Roll'!O15</f>
        <v>0</v>
      </c>
      <c r="N16" s="180" t="str">
        <f>'MF Rent Roll'!P15</f>
        <v/>
      </c>
      <c r="O16" s="181" t="str">
        <f>'MF Rent Roll'!Q15</f>
        <v/>
      </c>
      <c r="P16" s="104" t="str">
        <f>'MF Rent Roll'!R15</f>
        <v/>
      </c>
      <c r="S16" s="149" t="str">
        <f>IF($B16=0,"",$N16*'MF Rents'!U16*'MF Rollover'!R16)</f>
        <v/>
      </c>
      <c r="T16" s="149" t="str">
        <f>IF($B16=0,"",$N16*'MF Rents'!V16*'MF Rollover'!S16)</f>
        <v/>
      </c>
      <c r="U16" s="149" t="str">
        <f>IF($B16=0,"",$N16*'MF Rents'!W16*'MF Rollover'!T16)</f>
        <v/>
      </c>
      <c r="V16" s="149" t="str">
        <f>IF($B16=0,"",$N16*'MF Rents'!X16*'MF Rollover'!U16)</f>
        <v/>
      </c>
      <c r="W16" s="149" t="str">
        <f>IF($B16=0,"",$N16*'MF Rents'!Y16*'MF Rollover'!V16)</f>
        <v/>
      </c>
      <c r="X16" s="149" t="str">
        <f>IF($B16=0,"",$N16*'MF Rents'!Z16*'MF Rollover'!W16)</f>
        <v/>
      </c>
      <c r="Y16" s="149" t="str">
        <f>IF($B16=0,"",$N16*'MF Rents'!AA16*'MF Rollover'!X16)</f>
        <v/>
      </c>
      <c r="Z16" s="149" t="str">
        <f>IF($B16=0,"",$N16*'MF Rents'!AB16*'MF Rollover'!Y16)</f>
        <v/>
      </c>
      <c r="AA16" s="149" t="str">
        <f>IF($B16=0,"",$N16*'MF Rents'!AC16*'MF Rollover'!Z16)</f>
        <v/>
      </c>
      <c r="AB16" s="149" t="str">
        <f>IF($B16=0,"",$N16*'MF Rents'!AD16*'MF Rollover'!AA16)</f>
        <v/>
      </c>
      <c r="AC16" s="149" t="str">
        <f>IF($B16=0,"",$N16*'MF Rents'!AE16*'MF Rollover'!AB16)</f>
        <v/>
      </c>
      <c r="AD16" s="149" t="str">
        <f>IF($B16=0,"",$N16*'MF Rents'!AF16*'MF Rollover'!AC16)</f>
        <v/>
      </c>
      <c r="AE16" s="149" t="str">
        <f>IF($B16=0,"",$N16*'MF Rents'!AG16*'MF Rollover'!AD16)</f>
        <v/>
      </c>
      <c r="AF16" s="149" t="str">
        <f>IF($B16=0,"",$N16*'MF Rents'!AH16*'MF Rollover'!AE16)</f>
        <v/>
      </c>
      <c r="AG16" s="149" t="str">
        <f>IF($B16=0,"",$N16*'MF Rents'!AI16*'MF Rollover'!AF16)</f>
        <v/>
      </c>
      <c r="AH16" s="149" t="str">
        <f>IF($B16=0,"",$N16*'MF Rents'!AJ16*'MF Rollover'!AG16)</f>
        <v/>
      </c>
      <c r="AI16" s="149" t="str">
        <f>IF($B16=0,"",$N16*'MF Rents'!AK16*'MF Rollover'!AH16)</f>
        <v/>
      </c>
      <c r="AJ16" s="149" t="str">
        <f>IF($B16=0,"",$N16*'MF Rents'!AL16*'MF Rollover'!AI16)</f>
        <v/>
      </c>
      <c r="AK16" s="149" t="str">
        <f>IF($B16=0,"",$N16*'MF Rents'!AM16*'MF Rollover'!AJ16)</f>
        <v/>
      </c>
      <c r="AL16" s="149" t="str">
        <f>IF($B16=0,"",$N16*'MF Rents'!AN16*'MF Rollover'!AK16)</f>
        <v/>
      </c>
      <c r="AM16" s="149" t="str">
        <f>IF($B16=0,"",$N16*'MF Rents'!AO16*'MF Rollover'!AL16)</f>
        <v/>
      </c>
      <c r="AN16" s="149" t="str">
        <f>IF($B16=0,"",$N16*'MF Rents'!AP16*'MF Rollover'!AM16)</f>
        <v/>
      </c>
      <c r="AO16" s="149" t="str">
        <f>IF($B16=0,"",$N16*'MF Rents'!AQ16*'MF Rollover'!AN16)</f>
        <v/>
      </c>
      <c r="AP16" s="149" t="str">
        <f>IF($B16=0,"",$N16*'MF Rents'!AR16*'MF Rollover'!AO16)</f>
        <v/>
      </c>
      <c r="AQ16" s="149" t="str">
        <f>IF($B16=0,"",$N16*'MF Rents'!AS16*'MF Rollover'!AP16)</f>
        <v/>
      </c>
      <c r="AR16" s="149" t="str">
        <f>IF($B16=0,"",$N16*'MF Rents'!AT16*'MF Rollover'!AQ16)</f>
        <v/>
      </c>
      <c r="AS16" s="149" t="str">
        <f>IF($B16=0,"",$N16*'MF Rents'!AU16*'MF Rollover'!AR16)</f>
        <v/>
      </c>
      <c r="AT16" s="149" t="str">
        <f>IF($B16=0,"",$N16*'MF Rents'!AV16*'MF Rollover'!AS16)</f>
        <v/>
      </c>
      <c r="AU16" s="149" t="str">
        <f>IF($B16=0,"",$N16*'MF Rents'!AW16*'MF Rollover'!AT16)</f>
        <v/>
      </c>
      <c r="AV16" s="149" t="str">
        <f>IF($B16=0,"",$N16*'MF Rents'!AX16*'MF Rollover'!AU16)</f>
        <v/>
      </c>
      <c r="AW16" s="149" t="str">
        <f>IF($B16=0,"",$N16*'MF Rents'!AY16*'MF Rollover'!AV16)</f>
        <v/>
      </c>
      <c r="AX16" s="149" t="str">
        <f>IF($B16=0,"",$N16*'MF Rents'!AZ16*'MF Rollover'!AW16)</f>
        <v/>
      </c>
      <c r="AY16" s="149" t="str">
        <f>IF($B16=0,"",$N16*'MF Rents'!BA16*'MF Rollover'!AX16)</f>
        <v/>
      </c>
      <c r="AZ16" s="149" t="str">
        <f>IF($B16=0,"",$N16*'MF Rents'!BB16*'MF Rollover'!AY16)</f>
        <v/>
      </c>
      <c r="BA16" s="149" t="str">
        <f>IF($B16=0,"",$N16*'MF Rents'!BC16*'MF Rollover'!AZ16)</f>
        <v/>
      </c>
      <c r="BB16" s="149" t="str">
        <f>IF($B16=0,"",$N16*'MF Rents'!BD16*'MF Rollover'!BA16)</f>
        <v/>
      </c>
      <c r="BC16" s="149" t="str">
        <f>IF($B16=0,"",$N16*'MF Rents'!BE16*'MF Rollover'!BB16)</f>
        <v/>
      </c>
      <c r="BD16" s="149" t="str">
        <f>IF($B16=0,"",$N16*'MF Rents'!BF16*'MF Rollover'!BC16)</f>
        <v/>
      </c>
      <c r="BE16" s="149" t="str">
        <f>IF($B16=0,"",$N16*'MF Rents'!BG16*'MF Rollover'!BD16)</f>
        <v/>
      </c>
      <c r="BF16" s="149" t="str">
        <f>IF($B16=0,"",$N16*'MF Rents'!BH16*'MF Rollover'!BE16)</f>
        <v/>
      </c>
      <c r="BG16" s="149" t="str">
        <f>IF($B16=0,"",$N16*'MF Rents'!BI16*'MF Rollover'!BF16)</f>
        <v/>
      </c>
      <c r="BH16" s="149" t="str">
        <f>IF($B16=0,"",$N16*'MF Rents'!BJ16*'MF Rollover'!BG16)</f>
        <v/>
      </c>
      <c r="BI16" s="149" t="str">
        <f>IF($B16=0,"",$N16*'MF Rents'!BK16*'MF Rollover'!BH16)</f>
        <v/>
      </c>
      <c r="BJ16" s="149" t="str">
        <f>IF($B16=0,"",$N16*'MF Rents'!BL16*'MF Rollover'!BI16)</f>
        <v/>
      </c>
      <c r="BK16" s="149" t="str">
        <f>IF($B16=0,"",$N16*'MF Rents'!BM16*'MF Rollover'!BJ16)</f>
        <v/>
      </c>
      <c r="BL16" s="149" t="str">
        <f>IF($B16=0,"",$N16*'MF Rents'!BN16*'MF Rollover'!BK16)</f>
        <v/>
      </c>
      <c r="BM16" s="149" t="str">
        <f>IF($B16=0,"",$N16*'MF Rents'!BO16*'MF Rollover'!BL16)</f>
        <v/>
      </c>
      <c r="BN16" s="149" t="str">
        <f>IF($B16=0,"",$N16*'MF Rents'!BP16*'MF Rollover'!BM16)</f>
        <v/>
      </c>
      <c r="BO16" s="149" t="str">
        <f>IF($B16=0,"",$N16*'MF Rents'!BQ16*'MF Rollover'!BN16)</f>
        <v/>
      </c>
      <c r="BP16" s="149" t="str">
        <f>IF($B16=0,"",$N16*'MF Rents'!BR16*'MF Rollover'!BO16)</f>
        <v/>
      </c>
      <c r="BQ16" s="149" t="str">
        <f>IF($B16=0,"",$N16*'MF Rents'!BS16*'MF Rollover'!BP16)</f>
        <v/>
      </c>
      <c r="BR16" s="149" t="str">
        <f>IF($B16=0,"",$N16*'MF Rents'!BT16*'MF Rollover'!BQ16)</f>
        <v/>
      </c>
      <c r="BS16" s="149" t="str">
        <f>IF($B16=0,"",$N16*'MF Rents'!BU16*'MF Rollover'!BR16)</f>
        <v/>
      </c>
      <c r="BT16" s="149" t="str">
        <f>IF($B16=0,"",$N16*'MF Rents'!BV16*'MF Rollover'!BS16)</f>
        <v/>
      </c>
      <c r="BU16" s="149" t="str">
        <f>IF($B16=0,"",$N16*'MF Rents'!BW16*'MF Rollover'!BT16)</f>
        <v/>
      </c>
      <c r="BV16" s="149" t="str">
        <f>IF($B16=0,"",$N16*'MF Rents'!BX16*'MF Rollover'!BU16)</f>
        <v/>
      </c>
      <c r="BW16" s="149" t="str">
        <f>IF($B16=0,"",$N16*'MF Rents'!BY16*'MF Rollover'!BV16)</f>
        <v/>
      </c>
      <c r="BX16" s="149" t="str">
        <f>IF($B16=0,"",$N16*'MF Rents'!BZ16*'MF Rollover'!BW16)</f>
        <v/>
      </c>
      <c r="BY16" s="149" t="str">
        <f>IF($B16=0,"",$N16*'MF Rents'!CA16*'MF Rollover'!BX16)</f>
        <v/>
      </c>
      <c r="BZ16" s="149" t="str">
        <f>IF($B16=0,"",$N16*'MF Rents'!CB16*'MF Rollover'!BY16)</f>
        <v/>
      </c>
      <c r="CA16" s="149" t="str">
        <f>IF($B16=0,"",$N16*'MF Rents'!CC16*'MF Rollover'!BZ16)</f>
        <v/>
      </c>
      <c r="CB16" s="149" t="str">
        <f>IF($B16=0,"",$N16*'MF Rents'!CD16*'MF Rollover'!CA16)</f>
        <v/>
      </c>
      <c r="CC16" s="149" t="str">
        <f>IF($B16=0,"",$N16*'MF Rents'!CE16*'MF Rollover'!CB16)</f>
        <v/>
      </c>
      <c r="CD16" s="149" t="str">
        <f>IF($B16=0,"",$N16*'MF Rents'!CF16*'MF Rollover'!CC16)</f>
        <v/>
      </c>
      <c r="CE16" s="149" t="str">
        <f>IF($B16=0,"",$N16*'MF Rents'!CG16*'MF Rollover'!CD16)</f>
        <v/>
      </c>
      <c r="CF16" s="149" t="str">
        <f>IF($B16=0,"",$N16*'MF Rents'!CH16*'MF Rollover'!CE16)</f>
        <v/>
      </c>
      <c r="CG16" s="149" t="str">
        <f>IF($B16=0,"",$N16*'MF Rents'!CI16*'MF Rollover'!CF16)</f>
        <v/>
      </c>
      <c r="CH16" s="149" t="str">
        <f>IF($B16=0,"",$N16*'MF Rents'!CJ16*'MF Rollover'!CG16)</f>
        <v/>
      </c>
      <c r="CI16" s="149" t="str">
        <f>IF($B16=0,"",$N16*'MF Rents'!CK16*'MF Rollover'!CH16)</f>
        <v/>
      </c>
      <c r="CJ16" s="149" t="str">
        <f>IF($B16=0,"",$N16*'MF Rents'!CL16*'MF Rollover'!CI16)</f>
        <v/>
      </c>
      <c r="CK16" s="149" t="str">
        <f>IF($B16=0,"",$N16*'MF Rents'!CM16*'MF Rollover'!CJ16)</f>
        <v/>
      </c>
      <c r="CL16" s="149" t="str">
        <f>IF($B16=0,"",$N16*'MF Rents'!CN16*'MF Rollover'!CK16)</f>
        <v/>
      </c>
      <c r="CM16" s="149" t="str">
        <f>IF($B16=0,"",$N16*'MF Rents'!CO16*'MF Rollover'!CL16)</f>
        <v/>
      </c>
      <c r="CN16" s="149" t="str">
        <f>IF($B16=0,"",$N16*'MF Rents'!CP16*'MF Rollover'!CM16)</f>
        <v/>
      </c>
      <c r="CO16" s="149" t="str">
        <f>IF($B16=0,"",$N16*'MF Rents'!CQ16*'MF Rollover'!CN16)</f>
        <v/>
      </c>
      <c r="CP16" s="149" t="str">
        <f>IF($B16=0,"",$N16*'MF Rents'!CR16*'MF Rollover'!CO16)</f>
        <v/>
      </c>
      <c r="CQ16" s="149" t="str">
        <f>IF($B16=0,"",$N16*'MF Rents'!CS16*'MF Rollover'!CP16)</f>
        <v/>
      </c>
      <c r="CR16" s="149" t="str">
        <f>IF($B16=0,"",$N16*'MF Rents'!CT16*'MF Rollover'!CQ16)</f>
        <v/>
      </c>
      <c r="CS16" s="149" t="str">
        <f>IF($B16=0,"",$N16*'MF Rents'!CU16*'MF Rollover'!CR16)</f>
        <v/>
      </c>
      <c r="CT16" s="149" t="str">
        <f>IF($B16=0,"",$N16*'MF Rents'!CV16*'MF Rollover'!CS16)</f>
        <v/>
      </c>
      <c r="CU16" s="149" t="str">
        <f>IF($B16=0,"",$N16*'MF Rents'!CW16*'MF Rollover'!CT16)</f>
        <v/>
      </c>
      <c r="CV16" s="149" t="str">
        <f>IF($B16=0,"",$N16*'MF Rents'!CX16*'MF Rollover'!CU16)</f>
        <v/>
      </c>
      <c r="CW16" s="149" t="str">
        <f>IF($B16=0,"",$N16*'MF Rents'!CY16*'MF Rollover'!CV16)</f>
        <v/>
      </c>
      <c r="CX16" s="149" t="str">
        <f>IF($B16=0,"",$N16*'MF Rents'!CZ16*'MF Rollover'!CW16)</f>
        <v/>
      </c>
      <c r="CY16" s="149" t="str">
        <f>IF($B16=0,"",$N16*'MF Rents'!DA16*'MF Rollover'!CX16)</f>
        <v/>
      </c>
      <c r="CZ16" s="149" t="str">
        <f>IF($B16=0,"",$N16*'MF Rents'!DB16*'MF Rollover'!CY16)</f>
        <v/>
      </c>
      <c r="DA16" s="149" t="str">
        <f>IF($B16=0,"",$N16*'MF Rents'!DC16*'MF Rollover'!CZ16)</f>
        <v/>
      </c>
      <c r="DB16" s="149" t="str">
        <f>IF($B16=0,"",$N16*'MF Rents'!DD16*'MF Rollover'!DA16)</f>
        <v/>
      </c>
      <c r="DC16" s="149" t="str">
        <f>IF($B16=0,"",$N16*'MF Rents'!DE16*'MF Rollover'!DB16)</f>
        <v/>
      </c>
      <c r="DD16" s="149" t="str">
        <f>IF($B16=0,"",$N16*'MF Rents'!DF16*'MF Rollover'!DC16)</f>
        <v/>
      </c>
      <c r="DE16" s="149" t="str">
        <f>IF($B16=0,"",$N16*'MF Rents'!DG16*'MF Rollover'!DD16)</f>
        <v/>
      </c>
      <c r="DF16" s="149" t="str">
        <f>IF($B16=0,"",$N16*'MF Rents'!DH16*'MF Rollover'!DE16)</f>
        <v/>
      </c>
      <c r="DG16" s="149" t="str">
        <f>IF($B16=0,"",$N16*'MF Rents'!DI16*'MF Rollover'!DF16)</f>
        <v/>
      </c>
      <c r="DH16" s="149" t="str">
        <f>IF($B16=0,"",$N16*'MF Rents'!DJ16*'MF Rollover'!DG16)</f>
        <v/>
      </c>
      <c r="DI16" s="149" t="str">
        <f>IF($B16=0,"",$N16*'MF Rents'!DK16*'MF Rollover'!DH16)</f>
        <v/>
      </c>
      <c r="DJ16" s="149" t="str">
        <f>IF($B16=0,"",$N16*'MF Rents'!DL16*'MF Rollover'!DI16)</f>
        <v/>
      </c>
      <c r="DK16" s="149" t="str">
        <f>IF($B16=0,"",$N16*'MF Rents'!DM16*'MF Rollover'!DJ16)</f>
        <v/>
      </c>
      <c r="DL16" s="149" t="str">
        <f>IF($B16=0,"",$N16*'MF Rents'!DN16*'MF Rollover'!DK16)</f>
        <v/>
      </c>
      <c r="DM16" s="149" t="str">
        <f>IF($B16=0,"",$N16*'MF Rents'!DO16*'MF Rollover'!DL16)</f>
        <v/>
      </c>
      <c r="DN16" s="149" t="str">
        <f>IF($B16=0,"",$N16*'MF Rents'!DP16*'MF Rollover'!DM16)</f>
        <v/>
      </c>
      <c r="DO16" s="149" t="str">
        <f>IF($B16=0,"",$N16*'MF Rents'!DQ16*'MF Rollover'!DN16)</f>
        <v/>
      </c>
      <c r="DP16" s="149" t="str">
        <f>IF($B16=0,"",$N16*'MF Rents'!DR16*'MF Rollover'!DO16)</f>
        <v/>
      </c>
      <c r="DQ16" s="149" t="str">
        <f>IF($B16=0,"",$N16*'MF Rents'!DS16*'MF Rollover'!DP16)</f>
        <v/>
      </c>
      <c r="DR16" s="149" t="str">
        <f>IF($B16=0,"",$N16*'MF Rents'!DT16*'MF Rollover'!DQ16)</f>
        <v/>
      </c>
      <c r="DS16" s="149" t="str">
        <f>IF($B16=0,"",$N16*'MF Rents'!DU16*'MF Rollover'!DR16)</f>
        <v/>
      </c>
      <c r="DT16" s="149" t="str">
        <f>IF($B16=0,"",$N16*'MF Rents'!DV16*'MF Rollover'!DS16)</f>
        <v/>
      </c>
      <c r="DU16" s="149" t="str">
        <f>IF($B16=0,"",$N16*'MF Rents'!DW16*'MF Rollover'!DT16)</f>
        <v/>
      </c>
      <c r="DV16" s="149" t="str">
        <f>IF($B16=0,"",$N16*'MF Rents'!DX16*'MF Rollover'!DU16)</f>
        <v/>
      </c>
      <c r="DW16" s="149" t="str">
        <f>IF($B16=0,"",$N16*'MF Rents'!DY16*'MF Rollover'!DV16)</f>
        <v/>
      </c>
      <c r="DX16" s="149" t="str">
        <f>IF($B16=0,"",$N16*'MF Rents'!DZ16*'MF Rollover'!DW16)</f>
        <v/>
      </c>
      <c r="DY16" s="149" t="str">
        <f>IF($B16=0,"",$N16*'MF Rents'!EA16*'MF Rollover'!DX16)</f>
        <v/>
      </c>
      <c r="DZ16" s="149" t="str">
        <f>IF($B16=0,"",$N16*'MF Rents'!EB16*'MF Rollover'!DY16)</f>
        <v/>
      </c>
      <c r="EA16" s="149" t="str">
        <f>IF($B16=0,"",$N16*'MF Rents'!EC16*'MF Rollover'!DZ16)</f>
        <v/>
      </c>
      <c r="EB16" s="149" t="str">
        <f>IF($B16=0,"",$N16*'MF Rents'!ED16*'MF Rollover'!EA16)</f>
        <v/>
      </c>
      <c r="EC16" s="149" t="str">
        <f>IF($B16=0,"",$N16*'MF Rents'!EE16*'MF Rollover'!EB16)</f>
        <v/>
      </c>
      <c r="ED16" s="149" t="str">
        <f>IF($B16=0,"",$N16*'MF Rents'!EF16*'MF Rollover'!EC16)</f>
        <v/>
      </c>
      <c r="EE16" s="149" t="str">
        <f>IF($B16=0,"",$N16*'MF Rents'!EG16*'MF Rollover'!ED16)</f>
        <v/>
      </c>
      <c r="EF16" s="149" t="str">
        <f>IF($B16=0,"",$N16*'MF Rents'!EH16*'MF Rollover'!EE16)</f>
        <v/>
      </c>
      <c r="EG16" s="149" t="str">
        <f>IF($B16=0,"",$N16*'MF Rents'!EI16*'MF Rollover'!EF16)</f>
        <v/>
      </c>
      <c r="EH16" s="149" t="str">
        <f>IF($B16=0,"",$N16*'MF Rents'!EJ16*'MF Rollover'!EG16)</f>
        <v/>
      </c>
      <c r="EI16" s="149" t="str">
        <f>IF($B16=0,"",$N16*'MF Rents'!EK16*'MF Rollover'!EH16)</f>
        <v/>
      </c>
      <c r="EJ16" s="149" t="str">
        <f>IF($B16=0,"",$N16*'MF Rents'!EL16*'MF Rollover'!EI16)</f>
        <v/>
      </c>
      <c r="EK16" s="149" t="str">
        <f>IF($B16=0,"",$N16*'MF Rents'!EM16*'MF Rollover'!EJ16)</f>
        <v/>
      </c>
      <c r="EL16" s="149" t="str">
        <f>IF($B16=0,"",$N16*'MF Rents'!EN16*'MF Rollover'!EK16)</f>
        <v/>
      </c>
      <c r="EM16" s="149" t="str">
        <f>IF($B16=0,"",$N16*'MF Rents'!EO16*'MF Rollover'!EL16)</f>
        <v/>
      </c>
      <c r="EN16" s="149" t="str">
        <f>IF($B16=0,"",$N16*'MF Rents'!EP16*'MF Rollover'!EM16)</f>
        <v/>
      </c>
      <c r="EO16" s="149" t="str">
        <f>IF($B16=0,"",$N16*'MF Rents'!EQ16*'MF Rollover'!EN16)</f>
        <v/>
      </c>
      <c r="EP16" s="149" t="str">
        <f>IF($B16=0,"",$N16*'MF Rents'!ER16*'MF Rollover'!EO16)</f>
        <v/>
      </c>
      <c r="EQ16" s="149" t="str">
        <f>IF($B16=0,"",$N16*'MF Rents'!ES16*'MF Rollover'!EP16)</f>
        <v/>
      </c>
      <c r="ER16" s="149" t="str">
        <f>IF($B16=0,"",$N16*'MF Rents'!ET16*'MF Rollover'!EQ16)</f>
        <v/>
      </c>
      <c r="ES16" s="149" t="str">
        <f>IF($B16=0,"",$N16*'MF Rents'!EU16*'MF Rollover'!ER16)</f>
        <v/>
      </c>
      <c r="ET16" s="149" t="str">
        <f>IF($B16=0,"",$N16*'MF Rents'!EV16*'MF Rollover'!ES16)</f>
        <v/>
      </c>
      <c r="EU16" s="149" t="str">
        <f>IF($B16=0,"",$N16*'MF Rents'!EW16*'MF Rollover'!ET16)</f>
        <v/>
      </c>
      <c r="EV16" s="149" t="str">
        <f>IF($B16=0,"",$N16*'MF Rents'!EX16*'MF Rollover'!EU16)</f>
        <v/>
      </c>
      <c r="EW16" s="149" t="str">
        <f>IF($B16=0,"",$N16*'MF Rents'!EY16*'MF Rollover'!EV16)</f>
        <v/>
      </c>
      <c r="EX16" s="149" t="str">
        <f>IF($B16=0,"",$N16*'MF Rents'!EZ16*'MF Rollover'!EW16)</f>
        <v/>
      </c>
      <c r="EY16" s="149" t="str">
        <f>IF($B16=0,"",$N16*'MF Rents'!FA16*'MF Rollover'!EX16)</f>
        <v/>
      </c>
      <c r="EZ16" s="149" t="str">
        <f>IF($B16=0,"",$N16*'MF Rents'!FB16*'MF Rollover'!EY16)</f>
        <v/>
      </c>
      <c r="FA16" s="149" t="str">
        <f>IF($B16=0,"",$N16*'MF Rents'!FC16*'MF Rollover'!EZ16)</f>
        <v/>
      </c>
      <c r="FB16" s="149" t="str">
        <f>IF($B16=0,"",$N16*'MF Rents'!FD16*'MF Rollover'!FA16)</f>
        <v/>
      </c>
      <c r="FC16" s="149" t="str">
        <f>IF($B16=0,"",$N16*'MF Rents'!FE16*'MF Rollover'!FB16)</f>
        <v/>
      </c>
      <c r="FD16" s="149" t="str">
        <f>IF($B16=0,"",$N16*'MF Rents'!FF16*'MF Rollover'!FC16)</f>
        <v/>
      </c>
      <c r="FE16" s="149" t="str">
        <f>IF($B16=0,"",$N16*'MF Rents'!FG16*'MF Rollover'!FD16)</f>
        <v/>
      </c>
      <c r="FF16" s="149" t="str">
        <f>IF($B16=0,"",$N16*'MF Rents'!FH16*'MF Rollover'!FE16)</f>
        <v/>
      </c>
      <c r="FG16" s="149" t="str">
        <f>IF($B16=0,"",$N16*'MF Rents'!FI16*'MF Rollover'!FF16)</f>
        <v/>
      </c>
      <c r="FH16" s="149" t="str">
        <f>IF($B16=0,"",$N16*'MF Rents'!FJ16*'MF Rollover'!FG16)</f>
        <v/>
      </c>
      <c r="FI16" s="149" t="str">
        <f>IF($B16=0,"",$N16*'MF Rents'!FK16*'MF Rollover'!FH16)</f>
        <v/>
      </c>
      <c r="FJ16" s="149" t="str">
        <f>IF($B16=0,"",$N16*'MF Rents'!FL16*'MF Rollover'!FI16)</f>
        <v/>
      </c>
      <c r="FK16" s="149" t="str">
        <f>IF($B16=0,"",$N16*'MF Rents'!FM16*'MF Rollover'!FJ16)</f>
        <v/>
      </c>
      <c r="FL16" s="149" t="str">
        <f>IF($B16=0,"",$N16*'MF Rents'!FN16*'MF Rollover'!FK16)</f>
        <v/>
      </c>
      <c r="FM16" s="149" t="str">
        <f>IF($B16=0,"",$N16*'MF Rents'!FO16*'MF Rollover'!FL16)</f>
        <v/>
      </c>
      <c r="FN16" s="149" t="str">
        <f>IF($B16=0,"",$N16*'MF Rents'!FP16*'MF Rollover'!FM16)</f>
        <v/>
      </c>
      <c r="FO16" s="149" t="str">
        <f>IF($B16=0,"",$N16*'MF Rents'!FQ16*'MF Rollover'!FN16)</f>
        <v/>
      </c>
      <c r="FP16" s="149" t="str">
        <f>IF($B16=0,"",$N16*'MF Rents'!FR16*'MF Rollover'!FO16)</f>
        <v/>
      </c>
      <c r="FQ16" s="149" t="str">
        <f>IF($B16=0,"",$N16*'MF Rents'!FS16*'MF Rollover'!FP16)</f>
        <v/>
      </c>
      <c r="FR16" s="149" t="str">
        <f>IF($B16=0,"",$N16*'MF Rents'!FT16*'MF Rollover'!FQ16)</f>
        <v/>
      </c>
      <c r="FS16" s="149" t="str">
        <f>IF($B16=0,"",$N16*'MF Rents'!FU16*'MF Rollover'!FR16)</f>
        <v/>
      </c>
      <c r="FT16" s="149" t="str">
        <f>IF($B16=0,"",$N16*'MF Rents'!FV16*'MF Rollover'!FS16)</f>
        <v/>
      </c>
      <c r="FU16" s="149" t="str">
        <f>IF($B16=0,"",$N16*'MF Rents'!FW16*'MF Rollover'!FT16)</f>
        <v/>
      </c>
      <c r="FV16" s="149" t="str">
        <f>IF($B16=0,"",$N16*'MF Rents'!FX16*'MF Rollover'!FU16)</f>
        <v/>
      </c>
      <c r="FW16" s="149" t="str">
        <f>IF($B16=0,"",$N16*'MF Rents'!FY16*'MF Rollover'!FV16)</f>
        <v/>
      </c>
      <c r="FX16" s="149" t="str">
        <f>IF($B16=0,"",$N16*'MF Rents'!FZ16*'MF Rollover'!FW16)</f>
        <v/>
      </c>
      <c r="FY16" s="149" t="str">
        <f>IF($B16=0,"",$N16*'MF Rents'!GA16*'MF Rollover'!FX16)</f>
        <v/>
      </c>
      <c r="FZ16" s="149" t="str">
        <f>IF($B16=0,"",$N16*'MF Rents'!GB16*'MF Rollover'!FY16)</f>
        <v/>
      </c>
      <c r="GA16" s="149" t="str">
        <f>IF($B16=0,"",$N16*'MF Rents'!GC16*'MF Rollover'!FZ16)</f>
        <v/>
      </c>
      <c r="GB16" s="149" t="str">
        <f>IF($B16=0,"",$N16*'MF Rents'!GD16*'MF Rollover'!GA16)</f>
        <v/>
      </c>
      <c r="GC16" s="149" t="str">
        <f>IF($B16=0,"",$N16*'MF Rents'!GE16*'MF Rollover'!GB16)</f>
        <v/>
      </c>
      <c r="GD16" s="149" t="str">
        <f>IF($B16=0,"",$N16*'MF Rents'!GF16*'MF Rollover'!GC16)</f>
        <v/>
      </c>
      <c r="GE16" s="149" t="str">
        <f>IF($B16=0,"",$N16*'MF Rents'!GG16*'MF Rollover'!GD16)</f>
        <v/>
      </c>
      <c r="GF16" s="149" t="str">
        <f>IF($B16=0,"",$N16*'MF Rents'!GH16*'MF Rollover'!GE16)</f>
        <v/>
      </c>
      <c r="GG16" s="149" t="str">
        <f>IF($B16=0,"",$N16*'MF Rents'!GI16*'MF Rollover'!GF16)</f>
        <v/>
      </c>
      <c r="GH16" s="149" t="str">
        <f>IF($B16=0,"",$N16*'MF Rents'!GJ16*'MF Rollover'!GG16)</f>
        <v/>
      </c>
      <c r="GI16" s="149" t="str">
        <f>IF($B16=0,"",$N16*'MF Rents'!GK16*'MF Rollover'!GH16)</f>
        <v/>
      </c>
      <c r="GJ16" s="149" t="str">
        <f>IF($B16=0,"",$N16*'MF Rents'!GL16*'MF Rollover'!GI16)</f>
        <v/>
      </c>
      <c r="GK16" s="149" t="str">
        <f>IF($B16=0,"",$N16*'MF Rents'!GM16*'MF Rollover'!GJ16)</f>
        <v/>
      </c>
      <c r="GL16" s="149" t="str">
        <f>IF($B16=0,"",$N16*'MF Rents'!GN16*'MF Rollover'!GK16)</f>
        <v/>
      </c>
      <c r="GM16" s="149" t="str">
        <f>IF($B16=0,"",$N16*'MF Rents'!GO16*'MF Rollover'!GL16)</f>
        <v/>
      </c>
      <c r="GN16" s="149" t="str">
        <f>IF($B16=0,"",$N16*'MF Rents'!GP16*'MF Rollover'!GM16)</f>
        <v/>
      </c>
      <c r="GO16" s="149" t="str">
        <f>IF($B16=0,"",$N16*'MF Rents'!GQ16*'MF Rollover'!GN16)</f>
        <v/>
      </c>
      <c r="GP16" s="149" t="str">
        <f>IF($B16=0,"",$N16*'MF Rents'!GR16*'MF Rollover'!GO16)</f>
        <v/>
      </c>
    </row>
    <row r="17" spans="2:198" x14ac:dyDescent="0.3">
      <c r="B17" s="184">
        <f>'MF Rent Roll'!B16</f>
        <v>0</v>
      </c>
      <c r="C17" s="171">
        <f>'MF Rent Roll'!C16</f>
        <v>0</v>
      </c>
      <c r="D17" s="172">
        <f>'MF Rent Roll'!D16</f>
        <v>0</v>
      </c>
      <c r="E17" s="172">
        <f>'MF Rent Roll'!E16</f>
        <v>0</v>
      </c>
      <c r="F17" s="173">
        <f>'MF Rent Roll'!F16</f>
        <v>0</v>
      </c>
      <c r="G17" s="174">
        <f>'MF Rent Roll'!G16</f>
        <v>0</v>
      </c>
      <c r="H17" s="176">
        <f>'MF Rent Roll'!J16</f>
        <v>0</v>
      </c>
      <c r="I17" s="174">
        <f>'MF Rent Roll'!K16</f>
        <v>0</v>
      </c>
      <c r="J17" s="177">
        <f>'MF Rent Roll'!L16</f>
        <v>0</v>
      </c>
      <c r="K17" s="178">
        <f>'MF Rent Roll'!M16</f>
        <v>0</v>
      </c>
      <c r="L17" s="174">
        <f>'MF Rent Roll'!N16</f>
        <v>0</v>
      </c>
      <c r="M17" s="179">
        <f>'MF Rent Roll'!O16</f>
        <v>0</v>
      </c>
      <c r="N17" s="180" t="str">
        <f>'MF Rent Roll'!P16</f>
        <v/>
      </c>
      <c r="O17" s="181" t="str">
        <f>'MF Rent Roll'!Q16</f>
        <v/>
      </c>
      <c r="P17" s="104" t="str">
        <f>'MF Rent Roll'!R16</f>
        <v/>
      </c>
      <c r="S17" s="149" t="str">
        <f>IF($B17=0,"",$N17*'MF Rents'!U17*'MF Rollover'!R17)</f>
        <v/>
      </c>
      <c r="T17" s="149" t="str">
        <f>IF($B17=0,"",$N17*'MF Rents'!V17*'MF Rollover'!S17)</f>
        <v/>
      </c>
      <c r="U17" s="149" t="str">
        <f>IF($B17=0,"",$N17*'MF Rents'!W17*'MF Rollover'!T17)</f>
        <v/>
      </c>
      <c r="V17" s="149" t="str">
        <f>IF($B17=0,"",$N17*'MF Rents'!X17*'MF Rollover'!U17)</f>
        <v/>
      </c>
      <c r="W17" s="149" t="str">
        <f>IF($B17=0,"",$N17*'MF Rents'!Y17*'MF Rollover'!V17)</f>
        <v/>
      </c>
      <c r="X17" s="149" t="str">
        <f>IF($B17=0,"",$N17*'MF Rents'!Z17*'MF Rollover'!W17)</f>
        <v/>
      </c>
      <c r="Y17" s="149" t="str">
        <f>IF($B17=0,"",$N17*'MF Rents'!AA17*'MF Rollover'!X17)</f>
        <v/>
      </c>
      <c r="Z17" s="149" t="str">
        <f>IF($B17=0,"",$N17*'MF Rents'!AB17*'MF Rollover'!Y17)</f>
        <v/>
      </c>
      <c r="AA17" s="149" t="str">
        <f>IF($B17=0,"",$N17*'MF Rents'!AC17*'MF Rollover'!Z17)</f>
        <v/>
      </c>
      <c r="AB17" s="149" t="str">
        <f>IF($B17=0,"",$N17*'MF Rents'!AD17*'MF Rollover'!AA17)</f>
        <v/>
      </c>
      <c r="AC17" s="149" t="str">
        <f>IF($B17=0,"",$N17*'MF Rents'!AE17*'MF Rollover'!AB17)</f>
        <v/>
      </c>
      <c r="AD17" s="149" t="str">
        <f>IF($B17=0,"",$N17*'MF Rents'!AF17*'MF Rollover'!AC17)</f>
        <v/>
      </c>
      <c r="AE17" s="149" t="str">
        <f>IF($B17=0,"",$N17*'MF Rents'!AG17*'MF Rollover'!AD17)</f>
        <v/>
      </c>
      <c r="AF17" s="149" t="str">
        <f>IF($B17=0,"",$N17*'MF Rents'!AH17*'MF Rollover'!AE17)</f>
        <v/>
      </c>
      <c r="AG17" s="149" t="str">
        <f>IF($B17=0,"",$N17*'MF Rents'!AI17*'MF Rollover'!AF17)</f>
        <v/>
      </c>
      <c r="AH17" s="149" t="str">
        <f>IF($B17=0,"",$N17*'MF Rents'!AJ17*'MF Rollover'!AG17)</f>
        <v/>
      </c>
      <c r="AI17" s="149" t="str">
        <f>IF($B17=0,"",$N17*'MF Rents'!AK17*'MF Rollover'!AH17)</f>
        <v/>
      </c>
      <c r="AJ17" s="149" t="str">
        <f>IF($B17=0,"",$N17*'MF Rents'!AL17*'MF Rollover'!AI17)</f>
        <v/>
      </c>
      <c r="AK17" s="149" t="str">
        <f>IF($B17=0,"",$N17*'MF Rents'!AM17*'MF Rollover'!AJ17)</f>
        <v/>
      </c>
      <c r="AL17" s="149" t="str">
        <f>IF($B17=0,"",$N17*'MF Rents'!AN17*'MF Rollover'!AK17)</f>
        <v/>
      </c>
      <c r="AM17" s="149" t="str">
        <f>IF($B17=0,"",$N17*'MF Rents'!AO17*'MF Rollover'!AL17)</f>
        <v/>
      </c>
      <c r="AN17" s="149" t="str">
        <f>IF($B17=0,"",$N17*'MF Rents'!AP17*'MF Rollover'!AM17)</f>
        <v/>
      </c>
      <c r="AO17" s="149" t="str">
        <f>IF($B17=0,"",$N17*'MF Rents'!AQ17*'MF Rollover'!AN17)</f>
        <v/>
      </c>
      <c r="AP17" s="149" t="str">
        <f>IF($B17=0,"",$N17*'MF Rents'!AR17*'MF Rollover'!AO17)</f>
        <v/>
      </c>
      <c r="AQ17" s="149" t="str">
        <f>IF($B17=0,"",$N17*'MF Rents'!AS17*'MF Rollover'!AP17)</f>
        <v/>
      </c>
      <c r="AR17" s="149" t="str">
        <f>IF($B17=0,"",$N17*'MF Rents'!AT17*'MF Rollover'!AQ17)</f>
        <v/>
      </c>
      <c r="AS17" s="149" t="str">
        <f>IF($B17=0,"",$N17*'MF Rents'!AU17*'MF Rollover'!AR17)</f>
        <v/>
      </c>
      <c r="AT17" s="149" t="str">
        <f>IF($B17=0,"",$N17*'MF Rents'!AV17*'MF Rollover'!AS17)</f>
        <v/>
      </c>
      <c r="AU17" s="149" t="str">
        <f>IF($B17=0,"",$N17*'MF Rents'!AW17*'MF Rollover'!AT17)</f>
        <v/>
      </c>
      <c r="AV17" s="149" t="str">
        <f>IF($B17=0,"",$N17*'MF Rents'!AX17*'MF Rollover'!AU17)</f>
        <v/>
      </c>
      <c r="AW17" s="149" t="str">
        <f>IF($B17=0,"",$N17*'MF Rents'!AY17*'MF Rollover'!AV17)</f>
        <v/>
      </c>
      <c r="AX17" s="149" t="str">
        <f>IF($B17=0,"",$N17*'MF Rents'!AZ17*'MF Rollover'!AW17)</f>
        <v/>
      </c>
      <c r="AY17" s="149" t="str">
        <f>IF($B17=0,"",$N17*'MF Rents'!BA17*'MF Rollover'!AX17)</f>
        <v/>
      </c>
      <c r="AZ17" s="149" t="str">
        <f>IF($B17=0,"",$N17*'MF Rents'!BB17*'MF Rollover'!AY17)</f>
        <v/>
      </c>
      <c r="BA17" s="149" t="str">
        <f>IF($B17=0,"",$N17*'MF Rents'!BC17*'MF Rollover'!AZ17)</f>
        <v/>
      </c>
      <c r="BB17" s="149" t="str">
        <f>IF($B17=0,"",$N17*'MF Rents'!BD17*'MF Rollover'!BA17)</f>
        <v/>
      </c>
      <c r="BC17" s="149" t="str">
        <f>IF($B17=0,"",$N17*'MF Rents'!BE17*'MF Rollover'!BB17)</f>
        <v/>
      </c>
      <c r="BD17" s="149" t="str">
        <f>IF($B17=0,"",$N17*'MF Rents'!BF17*'MF Rollover'!BC17)</f>
        <v/>
      </c>
      <c r="BE17" s="149" t="str">
        <f>IF($B17=0,"",$N17*'MF Rents'!BG17*'MF Rollover'!BD17)</f>
        <v/>
      </c>
      <c r="BF17" s="149" t="str">
        <f>IF($B17=0,"",$N17*'MF Rents'!BH17*'MF Rollover'!BE17)</f>
        <v/>
      </c>
      <c r="BG17" s="149" t="str">
        <f>IF($B17=0,"",$N17*'MF Rents'!BI17*'MF Rollover'!BF17)</f>
        <v/>
      </c>
      <c r="BH17" s="149" t="str">
        <f>IF($B17=0,"",$N17*'MF Rents'!BJ17*'MF Rollover'!BG17)</f>
        <v/>
      </c>
      <c r="BI17" s="149" t="str">
        <f>IF($B17=0,"",$N17*'MF Rents'!BK17*'MF Rollover'!BH17)</f>
        <v/>
      </c>
      <c r="BJ17" s="149" t="str">
        <f>IF($B17=0,"",$N17*'MF Rents'!BL17*'MF Rollover'!BI17)</f>
        <v/>
      </c>
      <c r="BK17" s="149" t="str">
        <f>IF($B17=0,"",$N17*'MF Rents'!BM17*'MF Rollover'!BJ17)</f>
        <v/>
      </c>
      <c r="BL17" s="149" t="str">
        <f>IF($B17=0,"",$N17*'MF Rents'!BN17*'MF Rollover'!BK17)</f>
        <v/>
      </c>
      <c r="BM17" s="149" t="str">
        <f>IF($B17=0,"",$N17*'MF Rents'!BO17*'MF Rollover'!BL17)</f>
        <v/>
      </c>
      <c r="BN17" s="149" t="str">
        <f>IF($B17=0,"",$N17*'MF Rents'!BP17*'MF Rollover'!BM17)</f>
        <v/>
      </c>
      <c r="BO17" s="149" t="str">
        <f>IF($B17=0,"",$N17*'MF Rents'!BQ17*'MF Rollover'!BN17)</f>
        <v/>
      </c>
      <c r="BP17" s="149" t="str">
        <f>IF($B17=0,"",$N17*'MF Rents'!BR17*'MF Rollover'!BO17)</f>
        <v/>
      </c>
      <c r="BQ17" s="149" t="str">
        <f>IF($B17=0,"",$N17*'MF Rents'!BS17*'MF Rollover'!BP17)</f>
        <v/>
      </c>
      <c r="BR17" s="149" t="str">
        <f>IF($B17=0,"",$N17*'MF Rents'!BT17*'MF Rollover'!BQ17)</f>
        <v/>
      </c>
      <c r="BS17" s="149" t="str">
        <f>IF($B17=0,"",$N17*'MF Rents'!BU17*'MF Rollover'!BR17)</f>
        <v/>
      </c>
      <c r="BT17" s="149" t="str">
        <f>IF($B17=0,"",$N17*'MF Rents'!BV17*'MF Rollover'!BS17)</f>
        <v/>
      </c>
      <c r="BU17" s="149" t="str">
        <f>IF($B17=0,"",$N17*'MF Rents'!BW17*'MF Rollover'!BT17)</f>
        <v/>
      </c>
      <c r="BV17" s="149" t="str">
        <f>IF($B17=0,"",$N17*'MF Rents'!BX17*'MF Rollover'!BU17)</f>
        <v/>
      </c>
      <c r="BW17" s="149" t="str">
        <f>IF($B17=0,"",$N17*'MF Rents'!BY17*'MF Rollover'!BV17)</f>
        <v/>
      </c>
      <c r="BX17" s="149" t="str">
        <f>IF($B17=0,"",$N17*'MF Rents'!BZ17*'MF Rollover'!BW17)</f>
        <v/>
      </c>
      <c r="BY17" s="149" t="str">
        <f>IF($B17=0,"",$N17*'MF Rents'!CA17*'MF Rollover'!BX17)</f>
        <v/>
      </c>
      <c r="BZ17" s="149" t="str">
        <f>IF($B17=0,"",$N17*'MF Rents'!CB17*'MF Rollover'!BY17)</f>
        <v/>
      </c>
      <c r="CA17" s="149" t="str">
        <f>IF($B17=0,"",$N17*'MF Rents'!CC17*'MF Rollover'!BZ17)</f>
        <v/>
      </c>
      <c r="CB17" s="149" t="str">
        <f>IF($B17=0,"",$N17*'MF Rents'!CD17*'MF Rollover'!CA17)</f>
        <v/>
      </c>
      <c r="CC17" s="149" t="str">
        <f>IF($B17=0,"",$N17*'MF Rents'!CE17*'MF Rollover'!CB17)</f>
        <v/>
      </c>
      <c r="CD17" s="149" t="str">
        <f>IF($B17=0,"",$N17*'MF Rents'!CF17*'MF Rollover'!CC17)</f>
        <v/>
      </c>
      <c r="CE17" s="149" t="str">
        <f>IF($B17=0,"",$N17*'MF Rents'!CG17*'MF Rollover'!CD17)</f>
        <v/>
      </c>
      <c r="CF17" s="149" t="str">
        <f>IF($B17=0,"",$N17*'MF Rents'!CH17*'MF Rollover'!CE17)</f>
        <v/>
      </c>
      <c r="CG17" s="149" t="str">
        <f>IF($B17=0,"",$N17*'MF Rents'!CI17*'MF Rollover'!CF17)</f>
        <v/>
      </c>
      <c r="CH17" s="149" t="str">
        <f>IF($B17=0,"",$N17*'MF Rents'!CJ17*'MF Rollover'!CG17)</f>
        <v/>
      </c>
      <c r="CI17" s="149" t="str">
        <f>IF($B17=0,"",$N17*'MF Rents'!CK17*'MF Rollover'!CH17)</f>
        <v/>
      </c>
      <c r="CJ17" s="149" t="str">
        <f>IF($B17=0,"",$N17*'MF Rents'!CL17*'MF Rollover'!CI17)</f>
        <v/>
      </c>
      <c r="CK17" s="149" t="str">
        <f>IF($B17=0,"",$N17*'MF Rents'!CM17*'MF Rollover'!CJ17)</f>
        <v/>
      </c>
      <c r="CL17" s="149" t="str">
        <f>IF($B17=0,"",$N17*'MF Rents'!CN17*'MF Rollover'!CK17)</f>
        <v/>
      </c>
      <c r="CM17" s="149" t="str">
        <f>IF($B17=0,"",$N17*'MF Rents'!CO17*'MF Rollover'!CL17)</f>
        <v/>
      </c>
      <c r="CN17" s="149" t="str">
        <f>IF($B17=0,"",$N17*'MF Rents'!CP17*'MF Rollover'!CM17)</f>
        <v/>
      </c>
      <c r="CO17" s="149" t="str">
        <f>IF($B17=0,"",$N17*'MF Rents'!CQ17*'MF Rollover'!CN17)</f>
        <v/>
      </c>
      <c r="CP17" s="149" t="str">
        <f>IF($B17=0,"",$N17*'MF Rents'!CR17*'MF Rollover'!CO17)</f>
        <v/>
      </c>
      <c r="CQ17" s="149" t="str">
        <f>IF($B17=0,"",$N17*'MF Rents'!CS17*'MF Rollover'!CP17)</f>
        <v/>
      </c>
      <c r="CR17" s="149" t="str">
        <f>IF($B17=0,"",$N17*'MF Rents'!CT17*'MF Rollover'!CQ17)</f>
        <v/>
      </c>
      <c r="CS17" s="149" t="str">
        <f>IF($B17=0,"",$N17*'MF Rents'!CU17*'MF Rollover'!CR17)</f>
        <v/>
      </c>
      <c r="CT17" s="149" t="str">
        <f>IF($B17=0,"",$N17*'MF Rents'!CV17*'MF Rollover'!CS17)</f>
        <v/>
      </c>
      <c r="CU17" s="149" t="str">
        <f>IF($B17=0,"",$N17*'MF Rents'!CW17*'MF Rollover'!CT17)</f>
        <v/>
      </c>
      <c r="CV17" s="149" t="str">
        <f>IF($B17=0,"",$N17*'MF Rents'!CX17*'MF Rollover'!CU17)</f>
        <v/>
      </c>
      <c r="CW17" s="149" t="str">
        <f>IF($B17=0,"",$N17*'MF Rents'!CY17*'MF Rollover'!CV17)</f>
        <v/>
      </c>
      <c r="CX17" s="149" t="str">
        <f>IF($B17=0,"",$N17*'MF Rents'!CZ17*'MF Rollover'!CW17)</f>
        <v/>
      </c>
      <c r="CY17" s="149" t="str">
        <f>IF($B17=0,"",$N17*'MF Rents'!DA17*'MF Rollover'!CX17)</f>
        <v/>
      </c>
      <c r="CZ17" s="149" t="str">
        <f>IF($B17=0,"",$N17*'MF Rents'!DB17*'MF Rollover'!CY17)</f>
        <v/>
      </c>
      <c r="DA17" s="149" t="str">
        <f>IF($B17=0,"",$N17*'MF Rents'!DC17*'MF Rollover'!CZ17)</f>
        <v/>
      </c>
      <c r="DB17" s="149" t="str">
        <f>IF($B17=0,"",$N17*'MF Rents'!DD17*'MF Rollover'!DA17)</f>
        <v/>
      </c>
      <c r="DC17" s="149" t="str">
        <f>IF($B17=0,"",$N17*'MF Rents'!DE17*'MF Rollover'!DB17)</f>
        <v/>
      </c>
      <c r="DD17" s="149" t="str">
        <f>IF($B17=0,"",$N17*'MF Rents'!DF17*'MF Rollover'!DC17)</f>
        <v/>
      </c>
      <c r="DE17" s="149" t="str">
        <f>IF($B17=0,"",$N17*'MF Rents'!DG17*'MF Rollover'!DD17)</f>
        <v/>
      </c>
      <c r="DF17" s="149" t="str">
        <f>IF($B17=0,"",$N17*'MF Rents'!DH17*'MF Rollover'!DE17)</f>
        <v/>
      </c>
      <c r="DG17" s="149" t="str">
        <f>IF($B17=0,"",$N17*'MF Rents'!DI17*'MF Rollover'!DF17)</f>
        <v/>
      </c>
      <c r="DH17" s="149" t="str">
        <f>IF($B17=0,"",$N17*'MF Rents'!DJ17*'MF Rollover'!DG17)</f>
        <v/>
      </c>
      <c r="DI17" s="149" t="str">
        <f>IF($B17=0,"",$N17*'MF Rents'!DK17*'MF Rollover'!DH17)</f>
        <v/>
      </c>
      <c r="DJ17" s="149" t="str">
        <f>IF($B17=0,"",$N17*'MF Rents'!DL17*'MF Rollover'!DI17)</f>
        <v/>
      </c>
      <c r="DK17" s="149" t="str">
        <f>IF($B17=0,"",$N17*'MF Rents'!DM17*'MF Rollover'!DJ17)</f>
        <v/>
      </c>
      <c r="DL17" s="149" t="str">
        <f>IF($B17=0,"",$N17*'MF Rents'!DN17*'MF Rollover'!DK17)</f>
        <v/>
      </c>
      <c r="DM17" s="149" t="str">
        <f>IF($B17=0,"",$N17*'MF Rents'!DO17*'MF Rollover'!DL17)</f>
        <v/>
      </c>
      <c r="DN17" s="149" t="str">
        <f>IF($B17=0,"",$N17*'MF Rents'!DP17*'MF Rollover'!DM17)</f>
        <v/>
      </c>
      <c r="DO17" s="149" t="str">
        <f>IF($B17=0,"",$N17*'MF Rents'!DQ17*'MF Rollover'!DN17)</f>
        <v/>
      </c>
      <c r="DP17" s="149" t="str">
        <f>IF($B17=0,"",$N17*'MF Rents'!DR17*'MF Rollover'!DO17)</f>
        <v/>
      </c>
      <c r="DQ17" s="149" t="str">
        <f>IF($B17=0,"",$N17*'MF Rents'!DS17*'MF Rollover'!DP17)</f>
        <v/>
      </c>
      <c r="DR17" s="149" t="str">
        <f>IF($B17=0,"",$N17*'MF Rents'!DT17*'MF Rollover'!DQ17)</f>
        <v/>
      </c>
      <c r="DS17" s="149" t="str">
        <f>IF($B17=0,"",$N17*'MF Rents'!DU17*'MF Rollover'!DR17)</f>
        <v/>
      </c>
      <c r="DT17" s="149" t="str">
        <f>IF($B17=0,"",$N17*'MF Rents'!DV17*'MF Rollover'!DS17)</f>
        <v/>
      </c>
      <c r="DU17" s="149" t="str">
        <f>IF($B17=0,"",$N17*'MF Rents'!DW17*'MF Rollover'!DT17)</f>
        <v/>
      </c>
      <c r="DV17" s="149" t="str">
        <f>IF($B17=0,"",$N17*'MF Rents'!DX17*'MF Rollover'!DU17)</f>
        <v/>
      </c>
      <c r="DW17" s="149" t="str">
        <f>IF($B17=0,"",$N17*'MF Rents'!DY17*'MF Rollover'!DV17)</f>
        <v/>
      </c>
      <c r="DX17" s="149" t="str">
        <f>IF($B17=0,"",$N17*'MF Rents'!DZ17*'MF Rollover'!DW17)</f>
        <v/>
      </c>
      <c r="DY17" s="149" t="str">
        <f>IF($B17=0,"",$N17*'MF Rents'!EA17*'MF Rollover'!DX17)</f>
        <v/>
      </c>
      <c r="DZ17" s="149" t="str">
        <f>IF($B17=0,"",$N17*'MF Rents'!EB17*'MF Rollover'!DY17)</f>
        <v/>
      </c>
      <c r="EA17" s="149" t="str">
        <f>IF($B17=0,"",$N17*'MF Rents'!EC17*'MF Rollover'!DZ17)</f>
        <v/>
      </c>
      <c r="EB17" s="149" t="str">
        <f>IF($B17=0,"",$N17*'MF Rents'!ED17*'MF Rollover'!EA17)</f>
        <v/>
      </c>
      <c r="EC17" s="149" t="str">
        <f>IF($B17=0,"",$N17*'MF Rents'!EE17*'MF Rollover'!EB17)</f>
        <v/>
      </c>
      <c r="ED17" s="149" t="str">
        <f>IF($B17=0,"",$N17*'MF Rents'!EF17*'MF Rollover'!EC17)</f>
        <v/>
      </c>
      <c r="EE17" s="149" t="str">
        <f>IF($B17=0,"",$N17*'MF Rents'!EG17*'MF Rollover'!ED17)</f>
        <v/>
      </c>
      <c r="EF17" s="149" t="str">
        <f>IF($B17=0,"",$N17*'MF Rents'!EH17*'MF Rollover'!EE17)</f>
        <v/>
      </c>
      <c r="EG17" s="149" t="str">
        <f>IF($B17=0,"",$N17*'MF Rents'!EI17*'MF Rollover'!EF17)</f>
        <v/>
      </c>
      <c r="EH17" s="149" t="str">
        <f>IF($B17=0,"",$N17*'MF Rents'!EJ17*'MF Rollover'!EG17)</f>
        <v/>
      </c>
      <c r="EI17" s="149" t="str">
        <f>IF($B17=0,"",$N17*'MF Rents'!EK17*'MF Rollover'!EH17)</f>
        <v/>
      </c>
      <c r="EJ17" s="149" t="str">
        <f>IF($B17=0,"",$N17*'MF Rents'!EL17*'MF Rollover'!EI17)</f>
        <v/>
      </c>
      <c r="EK17" s="149" t="str">
        <f>IF($B17=0,"",$N17*'MF Rents'!EM17*'MF Rollover'!EJ17)</f>
        <v/>
      </c>
      <c r="EL17" s="149" t="str">
        <f>IF($B17=0,"",$N17*'MF Rents'!EN17*'MF Rollover'!EK17)</f>
        <v/>
      </c>
      <c r="EM17" s="149" t="str">
        <f>IF($B17=0,"",$N17*'MF Rents'!EO17*'MF Rollover'!EL17)</f>
        <v/>
      </c>
      <c r="EN17" s="149" t="str">
        <f>IF($B17=0,"",$N17*'MF Rents'!EP17*'MF Rollover'!EM17)</f>
        <v/>
      </c>
      <c r="EO17" s="149" t="str">
        <f>IF($B17=0,"",$N17*'MF Rents'!EQ17*'MF Rollover'!EN17)</f>
        <v/>
      </c>
      <c r="EP17" s="149" t="str">
        <f>IF($B17=0,"",$N17*'MF Rents'!ER17*'MF Rollover'!EO17)</f>
        <v/>
      </c>
      <c r="EQ17" s="149" t="str">
        <f>IF($B17=0,"",$N17*'MF Rents'!ES17*'MF Rollover'!EP17)</f>
        <v/>
      </c>
      <c r="ER17" s="149" t="str">
        <f>IF($B17=0,"",$N17*'MF Rents'!ET17*'MF Rollover'!EQ17)</f>
        <v/>
      </c>
      <c r="ES17" s="149" t="str">
        <f>IF($B17=0,"",$N17*'MF Rents'!EU17*'MF Rollover'!ER17)</f>
        <v/>
      </c>
      <c r="ET17" s="149" t="str">
        <f>IF($B17=0,"",$N17*'MF Rents'!EV17*'MF Rollover'!ES17)</f>
        <v/>
      </c>
      <c r="EU17" s="149" t="str">
        <f>IF($B17=0,"",$N17*'MF Rents'!EW17*'MF Rollover'!ET17)</f>
        <v/>
      </c>
      <c r="EV17" s="149" t="str">
        <f>IF($B17=0,"",$N17*'MF Rents'!EX17*'MF Rollover'!EU17)</f>
        <v/>
      </c>
      <c r="EW17" s="149" t="str">
        <f>IF($B17=0,"",$N17*'MF Rents'!EY17*'MF Rollover'!EV17)</f>
        <v/>
      </c>
      <c r="EX17" s="149" t="str">
        <f>IF($B17=0,"",$N17*'MF Rents'!EZ17*'MF Rollover'!EW17)</f>
        <v/>
      </c>
      <c r="EY17" s="149" t="str">
        <f>IF($B17=0,"",$N17*'MF Rents'!FA17*'MF Rollover'!EX17)</f>
        <v/>
      </c>
      <c r="EZ17" s="149" t="str">
        <f>IF($B17=0,"",$N17*'MF Rents'!FB17*'MF Rollover'!EY17)</f>
        <v/>
      </c>
      <c r="FA17" s="149" t="str">
        <f>IF($B17=0,"",$N17*'MF Rents'!FC17*'MF Rollover'!EZ17)</f>
        <v/>
      </c>
      <c r="FB17" s="149" t="str">
        <f>IF($B17=0,"",$N17*'MF Rents'!FD17*'MF Rollover'!FA17)</f>
        <v/>
      </c>
      <c r="FC17" s="149" t="str">
        <f>IF($B17=0,"",$N17*'MF Rents'!FE17*'MF Rollover'!FB17)</f>
        <v/>
      </c>
      <c r="FD17" s="149" t="str">
        <f>IF($B17=0,"",$N17*'MF Rents'!FF17*'MF Rollover'!FC17)</f>
        <v/>
      </c>
      <c r="FE17" s="149" t="str">
        <f>IF($B17=0,"",$N17*'MF Rents'!FG17*'MF Rollover'!FD17)</f>
        <v/>
      </c>
      <c r="FF17" s="149" t="str">
        <f>IF($B17=0,"",$N17*'MF Rents'!FH17*'MF Rollover'!FE17)</f>
        <v/>
      </c>
      <c r="FG17" s="149" t="str">
        <f>IF($B17=0,"",$N17*'MF Rents'!FI17*'MF Rollover'!FF17)</f>
        <v/>
      </c>
      <c r="FH17" s="149" t="str">
        <f>IF($B17=0,"",$N17*'MF Rents'!FJ17*'MF Rollover'!FG17)</f>
        <v/>
      </c>
      <c r="FI17" s="149" t="str">
        <f>IF($B17=0,"",$N17*'MF Rents'!FK17*'MF Rollover'!FH17)</f>
        <v/>
      </c>
      <c r="FJ17" s="149" t="str">
        <f>IF($B17=0,"",$N17*'MF Rents'!FL17*'MF Rollover'!FI17)</f>
        <v/>
      </c>
      <c r="FK17" s="149" t="str">
        <f>IF($B17=0,"",$N17*'MF Rents'!FM17*'MF Rollover'!FJ17)</f>
        <v/>
      </c>
      <c r="FL17" s="149" t="str">
        <f>IF($B17=0,"",$N17*'MF Rents'!FN17*'MF Rollover'!FK17)</f>
        <v/>
      </c>
      <c r="FM17" s="149" t="str">
        <f>IF($B17=0,"",$N17*'MF Rents'!FO17*'MF Rollover'!FL17)</f>
        <v/>
      </c>
      <c r="FN17" s="149" t="str">
        <f>IF($B17=0,"",$N17*'MF Rents'!FP17*'MF Rollover'!FM17)</f>
        <v/>
      </c>
      <c r="FO17" s="149" t="str">
        <f>IF($B17=0,"",$N17*'MF Rents'!FQ17*'MF Rollover'!FN17)</f>
        <v/>
      </c>
      <c r="FP17" s="149" t="str">
        <f>IF($B17=0,"",$N17*'MF Rents'!FR17*'MF Rollover'!FO17)</f>
        <v/>
      </c>
      <c r="FQ17" s="149" t="str">
        <f>IF($B17=0,"",$N17*'MF Rents'!FS17*'MF Rollover'!FP17)</f>
        <v/>
      </c>
      <c r="FR17" s="149" t="str">
        <f>IF($B17=0,"",$N17*'MF Rents'!FT17*'MF Rollover'!FQ17)</f>
        <v/>
      </c>
      <c r="FS17" s="149" t="str">
        <f>IF($B17=0,"",$N17*'MF Rents'!FU17*'MF Rollover'!FR17)</f>
        <v/>
      </c>
      <c r="FT17" s="149" t="str">
        <f>IF($B17=0,"",$N17*'MF Rents'!FV17*'MF Rollover'!FS17)</f>
        <v/>
      </c>
      <c r="FU17" s="149" t="str">
        <f>IF($B17=0,"",$N17*'MF Rents'!FW17*'MF Rollover'!FT17)</f>
        <v/>
      </c>
      <c r="FV17" s="149" t="str">
        <f>IF($B17=0,"",$N17*'MF Rents'!FX17*'MF Rollover'!FU17)</f>
        <v/>
      </c>
      <c r="FW17" s="149" t="str">
        <f>IF($B17=0,"",$N17*'MF Rents'!FY17*'MF Rollover'!FV17)</f>
        <v/>
      </c>
      <c r="FX17" s="149" t="str">
        <f>IF($B17=0,"",$N17*'MF Rents'!FZ17*'MF Rollover'!FW17)</f>
        <v/>
      </c>
      <c r="FY17" s="149" t="str">
        <f>IF($B17=0,"",$N17*'MF Rents'!GA17*'MF Rollover'!FX17)</f>
        <v/>
      </c>
      <c r="FZ17" s="149" t="str">
        <f>IF($B17=0,"",$N17*'MF Rents'!GB17*'MF Rollover'!FY17)</f>
        <v/>
      </c>
      <c r="GA17" s="149" t="str">
        <f>IF($B17=0,"",$N17*'MF Rents'!GC17*'MF Rollover'!FZ17)</f>
        <v/>
      </c>
      <c r="GB17" s="149" t="str">
        <f>IF($B17=0,"",$N17*'MF Rents'!GD17*'MF Rollover'!GA17)</f>
        <v/>
      </c>
      <c r="GC17" s="149" t="str">
        <f>IF($B17=0,"",$N17*'MF Rents'!GE17*'MF Rollover'!GB17)</f>
        <v/>
      </c>
      <c r="GD17" s="149" t="str">
        <f>IF($B17=0,"",$N17*'MF Rents'!GF17*'MF Rollover'!GC17)</f>
        <v/>
      </c>
      <c r="GE17" s="149" t="str">
        <f>IF($B17=0,"",$N17*'MF Rents'!GG17*'MF Rollover'!GD17)</f>
        <v/>
      </c>
      <c r="GF17" s="149" t="str">
        <f>IF($B17=0,"",$N17*'MF Rents'!GH17*'MF Rollover'!GE17)</f>
        <v/>
      </c>
      <c r="GG17" s="149" t="str">
        <f>IF($B17=0,"",$N17*'MF Rents'!GI17*'MF Rollover'!GF17)</f>
        <v/>
      </c>
      <c r="GH17" s="149" t="str">
        <f>IF($B17=0,"",$N17*'MF Rents'!GJ17*'MF Rollover'!GG17)</f>
        <v/>
      </c>
      <c r="GI17" s="149" t="str">
        <f>IF($B17=0,"",$N17*'MF Rents'!GK17*'MF Rollover'!GH17)</f>
        <v/>
      </c>
      <c r="GJ17" s="149" t="str">
        <f>IF($B17=0,"",$N17*'MF Rents'!GL17*'MF Rollover'!GI17)</f>
        <v/>
      </c>
      <c r="GK17" s="149" t="str">
        <f>IF($B17=0,"",$N17*'MF Rents'!GM17*'MF Rollover'!GJ17)</f>
        <v/>
      </c>
      <c r="GL17" s="149" t="str">
        <f>IF($B17=0,"",$N17*'MF Rents'!GN17*'MF Rollover'!GK17)</f>
        <v/>
      </c>
      <c r="GM17" s="149" t="str">
        <f>IF($B17=0,"",$N17*'MF Rents'!GO17*'MF Rollover'!GL17)</f>
        <v/>
      </c>
      <c r="GN17" s="149" t="str">
        <f>IF($B17=0,"",$N17*'MF Rents'!GP17*'MF Rollover'!GM17)</f>
        <v/>
      </c>
      <c r="GO17" s="149" t="str">
        <f>IF($B17=0,"",$N17*'MF Rents'!GQ17*'MF Rollover'!GN17)</f>
        <v/>
      </c>
      <c r="GP17" s="149" t="str">
        <f>IF($B17=0,"",$N17*'MF Rents'!GR17*'MF Rollover'!GO17)</f>
        <v/>
      </c>
    </row>
    <row r="18" spans="2:198" x14ac:dyDescent="0.3">
      <c r="B18" s="184">
        <f>'MF Rent Roll'!B17</f>
        <v>0</v>
      </c>
      <c r="C18" s="171">
        <f>'MF Rent Roll'!C17</f>
        <v>0</v>
      </c>
      <c r="D18" s="172">
        <f>'MF Rent Roll'!D17</f>
        <v>0</v>
      </c>
      <c r="E18" s="172">
        <f>'MF Rent Roll'!E17</f>
        <v>0</v>
      </c>
      <c r="F18" s="173">
        <f>'MF Rent Roll'!F17</f>
        <v>0</v>
      </c>
      <c r="G18" s="174">
        <f>'MF Rent Roll'!G17</f>
        <v>0</v>
      </c>
      <c r="H18" s="176">
        <f>'MF Rent Roll'!J17</f>
        <v>0</v>
      </c>
      <c r="I18" s="174">
        <f>'MF Rent Roll'!K17</f>
        <v>0</v>
      </c>
      <c r="J18" s="177">
        <f>'MF Rent Roll'!L17</f>
        <v>0</v>
      </c>
      <c r="K18" s="178">
        <f>'MF Rent Roll'!M17</f>
        <v>0</v>
      </c>
      <c r="L18" s="174">
        <f>'MF Rent Roll'!N17</f>
        <v>0</v>
      </c>
      <c r="M18" s="179">
        <f>'MF Rent Roll'!O17</f>
        <v>0</v>
      </c>
      <c r="N18" s="180" t="str">
        <f>'MF Rent Roll'!P17</f>
        <v/>
      </c>
      <c r="O18" s="181" t="str">
        <f>'MF Rent Roll'!Q17</f>
        <v/>
      </c>
      <c r="P18" s="104" t="str">
        <f>'MF Rent Roll'!R17</f>
        <v/>
      </c>
      <c r="S18" s="149" t="str">
        <f>IF($B18=0,"",$N18*'MF Rents'!U18*'MF Rollover'!R18)</f>
        <v/>
      </c>
      <c r="T18" s="149" t="str">
        <f>IF($B18=0,"",$N18*'MF Rents'!V18*'MF Rollover'!S18)</f>
        <v/>
      </c>
      <c r="U18" s="149" t="str">
        <f>IF($B18=0,"",$N18*'MF Rents'!W18*'MF Rollover'!T18)</f>
        <v/>
      </c>
      <c r="V18" s="149" t="str">
        <f>IF($B18=0,"",$N18*'MF Rents'!X18*'MF Rollover'!U18)</f>
        <v/>
      </c>
      <c r="W18" s="149" t="str">
        <f>IF($B18=0,"",$N18*'MF Rents'!Y18*'MF Rollover'!V18)</f>
        <v/>
      </c>
      <c r="X18" s="149" t="str">
        <f>IF($B18=0,"",$N18*'MF Rents'!Z18*'MF Rollover'!W18)</f>
        <v/>
      </c>
      <c r="Y18" s="149" t="str">
        <f>IF($B18=0,"",$N18*'MF Rents'!AA18*'MF Rollover'!X18)</f>
        <v/>
      </c>
      <c r="Z18" s="149" t="str">
        <f>IF($B18=0,"",$N18*'MF Rents'!AB18*'MF Rollover'!Y18)</f>
        <v/>
      </c>
      <c r="AA18" s="149" t="str">
        <f>IF($B18=0,"",$N18*'MF Rents'!AC18*'MF Rollover'!Z18)</f>
        <v/>
      </c>
      <c r="AB18" s="149" t="str">
        <f>IF($B18=0,"",$N18*'MF Rents'!AD18*'MF Rollover'!AA18)</f>
        <v/>
      </c>
      <c r="AC18" s="149" t="str">
        <f>IF($B18=0,"",$N18*'MF Rents'!AE18*'MF Rollover'!AB18)</f>
        <v/>
      </c>
      <c r="AD18" s="149" t="str">
        <f>IF($B18=0,"",$N18*'MF Rents'!AF18*'MF Rollover'!AC18)</f>
        <v/>
      </c>
      <c r="AE18" s="149" t="str">
        <f>IF($B18=0,"",$N18*'MF Rents'!AG18*'MF Rollover'!AD18)</f>
        <v/>
      </c>
      <c r="AF18" s="149" t="str">
        <f>IF($B18=0,"",$N18*'MF Rents'!AH18*'MF Rollover'!AE18)</f>
        <v/>
      </c>
      <c r="AG18" s="149" t="str">
        <f>IF($B18=0,"",$N18*'MF Rents'!AI18*'MF Rollover'!AF18)</f>
        <v/>
      </c>
      <c r="AH18" s="149" t="str">
        <f>IF($B18=0,"",$N18*'MF Rents'!AJ18*'MF Rollover'!AG18)</f>
        <v/>
      </c>
      <c r="AI18" s="149" t="str">
        <f>IF($B18=0,"",$N18*'MF Rents'!AK18*'MF Rollover'!AH18)</f>
        <v/>
      </c>
      <c r="AJ18" s="149" t="str">
        <f>IF($B18=0,"",$N18*'MF Rents'!AL18*'MF Rollover'!AI18)</f>
        <v/>
      </c>
      <c r="AK18" s="149" t="str">
        <f>IF($B18=0,"",$N18*'MF Rents'!AM18*'MF Rollover'!AJ18)</f>
        <v/>
      </c>
      <c r="AL18" s="149" t="str">
        <f>IF($B18=0,"",$N18*'MF Rents'!AN18*'MF Rollover'!AK18)</f>
        <v/>
      </c>
      <c r="AM18" s="149" t="str">
        <f>IF($B18=0,"",$N18*'MF Rents'!AO18*'MF Rollover'!AL18)</f>
        <v/>
      </c>
      <c r="AN18" s="149" t="str">
        <f>IF($B18=0,"",$N18*'MF Rents'!AP18*'MF Rollover'!AM18)</f>
        <v/>
      </c>
      <c r="AO18" s="149" t="str">
        <f>IF($B18=0,"",$N18*'MF Rents'!AQ18*'MF Rollover'!AN18)</f>
        <v/>
      </c>
      <c r="AP18" s="149" t="str">
        <f>IF($B18=0,"",$N18*'MF Rents'!AR18*'MF Rollover'!AO18)</f>
        <v/>
      </c>
      <c r="AQ18" s="149" t="str">
        <f>IF($B18=0,"",$N18*'MF Rents'!AS18*'MF Rollover'!AP18)</f>
        <v/>
      </c>
      <c r="AR18" s="149" t="str">
        <f>IF($B18=0,"",$N18*'MF Rents'!AT18*'MF Rollover'!AQ18)</f>
        <v/>
      </c>
      <c r="AS18" s="149" t="str">
        <f>IF($B18=0,"",$N18*'MF Rents'!AU18*'MF Rollover'!AR18)</f>
        <v/>
      </c>
      <c r="AT18" s="149" t="str">
        <f>IF($B18=0,"",$N18*'MF Rents'!AV18*'MF Rollover'!AS18)</f>
        <v/>
      </c>
      <c r="AU18" s="149" t="str">
        <f>IF($B18=0,"",$N18*'MF Rents'!AW18*'MF Rollover'!AT18)</f>
        <v/>
      </c>
      <c r="AV18" s="149" t="str">
        <f>IF($B18=0,"",$N18*'MF Rents'!AX18*'MF Rollover'!AU18)</f>
        <v/>
      </c>
      <c r="AW18" s="149" t="str">
        <f>IF($B18=0,"",$N18*'MF Rents'!AY18*'MF Rollover'!AV18)</f>
        <v/>
      </c>
      <c r="AX18" s="149" t="str">
        <f>IF($B18=0,"",$N18*'MF Rents'!AZ18*'MF Rollover'!AW18)</f>
        <v/>
      </c>
      <c r="AY18" s="149" t="str">
        <f>IF($B18=0,"",$N18*'MF Rents'!BA18*'MF Rollover'!AX18)</f>
        <v/>
      </c>
      <c r="AZ18" s="149" t="str">
        <f>IF($B18=0,"",$N18*'MF Rents'!BB18*'MF Rollover'!AY18)</f>
        <v/>
      </c>
      <c r="BA18" s="149" t="str">
        <f>IF($B18=0,"",$N18*'MF Rents'!BC18*'MF Rollover'!AZ18)</f>
        <v/>
      </c>
      <c r="BB18" s="149" t="str">
        <f>IF($B18=0,"",$N18*'MF Rents'!BD18*'MF Rollover'!BA18)</f>
        <v/>
      </c>
      <c r="BC18" s="149" t="str">
        <f>IF($B18=0,"",$N18*'MF Rents'!BE18*'MF Rollover'!BB18)</f>
        <v/>
      </c>
      <c r="BD18" s="149" t="str">
        <f>IF($B18=0,"",$N18*'MF Rents'!BF18*'MF Rollover'!BC18)</f>
        <v/>
      </c>
      <c r="BE18" s="149" t="str">
        <f>IF($B18=0,"",$N18*'MF Rents'!BG18*'MF Rollover'!BD18)</f>
        <v/>
      </c>
      <c r="BF18" s="149" t="str">
        <f>IF($B18=0,"",$N18*'MF Rents'!BH18*'MF Rollover'!BE18)</f>
        <v/>
      </c>
      <c r="BG18" s="149" t="str">
        <f>IF($B18=0,"",$N18*'MF Rents'!BI18*'MF Rollover'!BF18)</f>
        <v/>
      </c>
      <c r="BH18" s="149" t="str">
        <f>IF($B18=0,"",$N18*'MF Rents'!BJ18*'MF Rollover'!BG18)</f>
        <v/>
      </c>
      <c r="BI18" s="149" t="str">
        <f>IF($B18=0,"",$N18*'MF Rents'!BK18*'MF Rollover'!BH18)</f>
        <v/>
      </c>
      <c r="BJ18" s="149" t="str">
        <f>IF($B18=0,"",$N18*'MF Rents'!BL18*'MF Rollover'!BI18)</f>
        <v/>
      </c>
      <c r="BK18" s="149" t="str">
        <f>IF($B18=0,"",$N18*'MF Rents'!BM18*'MF Rollover'!BJ18)</f>
        <v/>
      </c>
      <c r="BL18" s="149" t="str">
        <f>IF($B18=0,"",$N18*'MF Rents'!BN18*'MF Rollover'!BK18)</f>
        <v/>
      </c>
      <c r="BM18" s="149" t="str">
        <f>IF($B18=0,"",$N18*'MF Rents'!BO18*'MF Rollover'!BL18)</f>
        <v/>
      </c>
      <c r="BN18" s="149" t="str">
        <f>IF($B18=0,"",$N18*'MF Rents'!BP18*'MF Rollover'!BM18)</f>
        <v/>
      </c>
      <c r="BO18" s="149" t="str">
        <f>IF($B18=0,"",$N18*'MF Rents'!BQ18*'MF Rollover'!BN18)</f>
        <v/>
      </c>
      <c r="BP18" s="149" t="str">
        <f>IF($B18=0,"",$N18*'MF Rents'!BR18*'MF Rollover'!BO18)</f>
        <v/>
      </c>
      <c r="BQ18" s="149" t="str">
        <f>IF($B18=0,"",$N18*'MF Rents'!BS18*'MF Rollover'!BP18)</f>
        <v/>
      </c>
      <c r="BR18" s="149" t="str">
        <f>IF($B18=0,"",$N18*'MF Rents'!BT18*'MF Rollover'!BQ18)</f>
        <v/>
      </c>
      <c r="BS18" s="149" t="str">
        <f>IF($B18=0,"",$N18*'MF Rents'!BU18*'MF Rollover'!BR18)</f>
        <v/>
      </c>
      <c r="BT18" s="149" t="str">
        <f>IF($B18=0,"",$N18*'MF Rents'!BV18*'MF Rollover'!BS18)</f>
        <v/>
      </c>
      <c r="BU18" s="149" t="str">
        <f>IF($B18=0,"",$N18*'MF Rents'!BW18*'MF Rollover'!BT18)</f>
        <v/>
      </c>
      <c r="BV18" s="149" t="str">
        <f>IF($B18=0,"",$N18*'MF Rents'!BX18*'MF Rollover'!BU18)</f>
        <v/>
      </c>
      <c r="BW18" s="149" t="str">
        <f>IF($B18=0,"",$N18*'MF Rents'!BY18*'MF Rollover'!BV18)</f>
        <v/>
      </c>
      <c r="BX18" s="149" t="str">
        <f>IF($B18=0,"",$N18*'MF Rents'!BZ18*'MF Rollover'!BW18)</f>
        <v/>
      </c>
      <c r="BY18" s="149" t="str">
        <f>IF($B18=0,"",$N18*'MF Rents'!CA18*'MF Rollover'!BX18)</f>
        <v/>
      </c>
      <c r="BZ18" s="149" t="str">
        <f>IF($B18=0,"",$N18*'MF Rents'!CB18*'MF Rollover'!BY18)</f>
        <v/>
      </c>
      <c r="CA18" s="149" t="str">
        <f>IF($B18=0,"",$N18*'MF Rents'!CC18*'MF Rollover'!BZ18)</f>
        <v/>
      </c>
      <c r="CB18" s="149" t="str">
        <f>IF($B18=0,"",$N18*'MF Rents'!CD18*'MF Rollover'!CA18)</f>
        <v/>
      </c>
      <c r="CC18" s="149" t="str">
        <f>IF($B18=0,"",$N18*'MF Rents'!CE18*'MF Rollover'!CB18)</f>
        <v/>
      </c>
      <c r="CD18" s="149" t="str">
        <f>IF($B18=0,"",$N18*'MF Rents'!CF18*'MF Rollover'!CC18)</f>
        <v/>
      </c>
      <c r="CE18" s="149" t="str">
        <f>IF($B18=0,"",$N18*'MF Rents'!CG18*'MF Rollover'!CD18)</f>
        <v/>
      </c>
      <c r="CF18" s="149" t="str">
        <f>IF($B18=0,"",$N18*'MF Rents'!CH18*'MF Rollover'!CE18)</f>
        <v/>
      </c>
      <c r="CG18" s="149" t="str">
        <f>IF($B18=0,"",$N18*'MF Rents'!CI18*'MF Rollover'!CF18)</f>
        <v/>
      </c>
      <c r="CH18" s="149" t="str">
        <f>IF($B18=0,"",$N18*'MF Rents'!CJ18*'MF Rollover'!CG18)</f>
        <v/>
      </c>
      <c r="CI18" s="149" t="str">
        <f>IF($B18=0,"",$N18*'MF Rents'!CK18*'MF Rollover'!CH18)</f>
        <v/>
      </c>
      <c r="CJ18" s="149" t="str">
        <f>IF($B18=0,"",$N18*'MF Rents'!CL18*'MF Rollover'!CI18)</f>
        <v/>
      </c>
      <c r="CK18" s="149" t="str">
        <f>IF($B18=0,"",$N18*'MF Rents'!CM18*'MF Rollover'!CJ18)</f>
        <v/>
      </c>
      <c r="CL18" s="149" t="str">
        <f>IF($B18=0,"",$N18*'MF Rents'!CN18*'MF Rollover'!CK18)</f>
        <v/>
      </c>
      <c r="CM18" s="149" t="str">
        <f>IF($B18=0,"",$N18*'MF Rents'!CO18*'MF Rollover'!CL18)</f>
        <v/>
      </c>
      <c r="CN18" s="149" t="str">
        <f>IF($B18=0,"",$N18*'MF Rents'!CP18*'MF Rollover'!CM18)</f>
        <v/>
      </c>
      <c r="CO18" s="149" t="str">
        <f>IF($B18=0,"",$N18*'MF Rents'!CQ18*'MF Rollover'!CN18)</f>
        <v/>
      </c>
      <c r="CP18" s="149" t="str">
        <f>IF($B18=0,"",$N18*'MF Rents'!CR18*'MF Rollover'!CO18)</f>
        <v/>
      </c>
      <c r="CQ18" s="149" t="str">
        <f>IF($B18=0,"",$N18*'MF Rents'!CS18*'MF Rollover'!CP18)</f>
        <v/>
      </c>
      <c r="CR18" s="149" t="str">
        <f>IF($B18=0,"",$N18*'MF Rents'!CT18*'MF Rollover'!CQ18)</f>
        <v/>
      </c>
      <c r="CS18" s="149" t="str">
        <f>IF($B18=0,"",$N18*'MF Rents'!CU18*'MF Rollover'!CR18)</f>
        <v/>
      </c>
      <c r="CT18" s="149" t="str">
        <f>IF($B18=0,"",$N18*'MF Rents'!CV18*'MF Rollover'!CS18)</f>
        <v/>
      </c>
      <c r="CU18" s="149" t="str">
        <f>IF($B18=0,"",$N18*'MF Rents'!CW18*'MF Rollover'!CT18)</f>
        <v/>
      </c>
      <c r="CV18" s="149" t="str">
        <f>IF($B18=0,"",$N18*'MF Rents'!CX18*'MF Rollover'!CU18)</f>
        <v/>
      </c>
      <c r="CW18" s="149" t="str">
        <f>IF($B18=0,"",$N18*'MF Rents'!CY18*'MF Rollover'!CV18)</f>
        <v/>
      </c>
      <c r="CX18" s="149" t="str">
        <f>IF($B18=0,"",$N18*'MF Rents'!CZ18*'MF Rollover'!CW18)</f>
        <v/>
      </c>
      <c r="CY18" s="149" t="str">
        <f>IF($B18=0,"",$N18*'MF Rents'!DA18*'MF Rollover'!CX18)</f>
        <v/>
      </c>
      <c r="CZ18" s="149" t="str">
        <f>IF($B18=0,"",$N18*'MF Rents'!DB18*'MF Rollover'!CY18)</f>
        <v/>
      </c>
      <c r="DA18" s="149" t="str">
        <f>IF($B18=0,"",$N18*'MF Rents'!DC18*'MF Rollover'!CZ18)</f>
        <v/>
      </c>
      <c r="DB18" s="149" t="str">
        <f>IF($B18=0,"",$N18*'MF Rents'!DD18*'MF Rollover'!DA18)</f>
        <v/>
      </c>
      <c r="DC18" s="149" t="str">
        <f>IF($B18=0,"",$N18*'MF Rents'!DE18*'MF Rollover'!DB18)</f>
        <v/>
      </c>
      <c r="DD18" s="149" t="str">
        <f>IF($B18=0,"",$N18*'MF Rents'!DF18*'MF Rollover'!DC18)</f>
        <v/>
      </c>
      <c r="DE18" s="149" t="str">
        <f>IF($B18=0,"",$N18*'MF Rents'!DG18*'MF Rollover'!DD18)</f>
        <v/>
      </c>
      <c r="DF18" s="149" t="str">
        <f>IF($B18=0,"",$N18*'MF Rents'!DH18*'MF Rollover'!DE18)</f>
        <v/>
      </c>
      <c r="DG18" s="149" t="str">
        <f>IF($B18=0,"",$N18*'MF Rents'!DI18*'MF Rollover'!DF18)</f>
        <v/>
      </c>
      <c r="DH18" s="149" t="str">
        <f>IF($B18=0,"",$N18*'MF Rents'!DJ18*'MF Rollover'!DG18)</f>
        <v/>
      </c>
      <c r="DI18" s="149" t="str">
        <f>IF($B18=0,"",$N18*'MF Rents'!DK18*'MF Rollover'!DH18)</f>
        <v/>
      </c>
      <c r="DJ18" s="149" t="str">
        <f>IF($B18=0,"",$N18*'MF Rents'!DL18*'MF Rollover'!DI18)</f>
        <v/>
      </c>
      <c r="DK18" s="149" t="str">
        <f>IF($B18=0,"",$N18*'MF Rents'!DM18*'MF Rollover'!DJ18)</f>
        <v/>
      </c>
      <c r="DL18" s="149" t="str">
        <f>IF($B18=0,"",$N18*'MF Rents'!DN18*'MF Rollover'!DK18)</f>
        <v/>
      </c>
      <c r="DM18" s="149" t="str">
        <f>IF($B18=0,"",$N18*'MF Rents'!DO18*'MF Rollover'!DL18)</f>
        <v/>
      </c>
      <c r="DN18" s="149" t="str">
        <f>IF($B18=0,"",$N18*'MF Rents'!DP18*'MF Rollover'!DM18)</f>
        <v/>
      </c>
      <c r="DO18" s="149" t="str">
        <f>IF($B18=0,"",$N18*'MF Rents'!DQ18*'MF Rollover'!DN18)</f>
        <v/>
      </c>
      <c r="DP18" s="149" t="str">
        <f>IF($B18=0,"",$N18*'MF Rents'!DR18*'MF Rollover'!DO18)</f>
        <v/>
      </c>
      <c r="DQ18" s="149" t="str">
        <f>IF($B18=0,"",$N18*'MF Rents'!DS18*'MF Rollover'!DP18)</f>
        <v/>
      </c>
      <c r="DR18" s="149" t="str">
        <f>IF($B18=0,"",$N18*'MF Rents'!DT18*'MF Rollover'!DQ18)</f>
        <v/>
      </c>
      <c r="DS18" s="149" t="str">
        <f>IF($B18=0,"",$N18*'MF Rents'!DU18*'MF Rollover'!DR18)</f>
        <v/>
      </c>
      <c r="DT18" s="149" t="str">
        <f>IF($B18=0,"",$N18*'MF Rents'!DV18*'MF Rollover'!DS18)</f>
        <v/>
      </c>
      <c r="DU18" s="149" t="str">
        <f>IF($B18=0,"",$N18*'MF Rents'!DW18*'MF Rollover'!DT18)</f>
        <v/>
      </c>
      <c r="DV18" s="149" t="str">
        <f>IF($B18=0,"",$N18*'MF Rents'!DX18*'MF Rollover'!DU18)</f>
        <v/>
      </c>
      <c r="DW18" s="149" t="str">
        <f>IF($B18=0,"",$N18*'MF Rents'!DY18*'MF Rollover'!DV18)</f>
        <v/>
      </c>
      <c r="DX18" s="149" t="str">
        <f>IF($B18=0,"",$N18*'MF Rents'!DZ18*'MF Rollover'!DW18)</f>
        <v/>
      </c>
      <c r="DY18" s="149" t="str">
        <f>IF($B18=0,"",$N18*'MF Rents'!EA18*'MF Rollover'!DX18)</f>
        <v/>
      </c>
      <c r="DZ18" s="149" t="str">
        <f>IF($B18=0,"",$N18*'MF Rents'!EB18*'MF Rollover'!DY18)</f>
        <v/>
      </c>
      <c r="EA18" s="149" t="str">
        <f>IF($B18=0,"",$N18*'MF Rents'!EC18*'MF Rollover'!DZ18)</f>
        <v/>
      </c>
      <c r="EB18" s="149" t="str">
        <f>IF($B18=0,"",$N18*'MF Rents'!ED18*'MF Rollover'!EA18)</f>
        <v/>
      </c>
      <c r="EC18" s="149" t="str">
        <f>IF($B18=0,"",$N18*'MF Rents'!EE18*'MF Rollover'!EB18)</f>
        <v/>
      </c>
      <c r="ED18" s="149" t="str">
        <f>IF($B18=0,"",$N18*'MF Rents'!EF18*'MF Rollover'!EC18)</f>
        <v/>
      </c>
      <c r="EE18" s="149" t="str">
        <f>IF($B18=0,"",$N18*'MF Rents'!EG18*'MF Rollover'!ED18)</f>
        <v/>
      </c>
      <c r="EF18" s="149" t="str">
        <f>IF($B18=0,"",$N18*'MF Rents'!EH18*'MF Rollover'!EE18)</f>
        <v/>
      </c>
      <c r="EG18" s="149" t="str">
        <f>IF($B18=0,"",$N18*'MF Rents'!EI18*'MF Rollover'!EF18)</f>
        <v/>
      </c>
      <c r="EH18" s="149" t="str">
        <f>IF($B18=0,"",$N18*'MF Rents'!EJ18*'MF Rollover'!EG18)</f>
        <v/>
      </c>
      <c r="EI18" s="149" t="str">
        <f>IF($B18=0,"",$N18*'MF Rents'!EK18*'MF Rollover'!EH18)</f>
        <v/>
      </c>
      <c r="EJ18" s="149" t="str">
        <f>IF($B18=0,"",$N18*'MF Rents'!EL18*'MF Rollover'!EI18)</f>
        <v/>
      </c>
      <c r="EK18" s="149" t="str">
        <f>IF($B18=0,"",$N18*'MF Rents'!EM18*'MF Rollover'!EJ18)</f>
        <v/>
      </c>
      <c r="EL18" s="149" t="str">
        <f>IF($B18=0,"",$N18*'MF Rents'!EN18*'MF Rollover'!EK18)</f>
        <v/>
      </c>
      <c r="EM18" s="149" t="str">
        <f>IF($B18=0,"",$N18*'MF Rents'!EO18*'MF Rollover'!EL18)</f>
        <v/>
      </c>
      <c r="EN18" s="149" t="str">
        <f>IF($B18=0,"",$N18*'MF Rents'!EP18*'MF Rollover'!EM18)</f>
        <v/>
      </c>
      <c r="EO18" s="149" t="str">
        <f>IF($B18=0,"",$N18*'MF Rents'!EQ18*'MF Rollover'!EN18)</f>
        <v/>
      </c>
      <c r="EP18" s="149" t="str">
        <f>IF($B18=0,"",$N18*'MF Rents'!ER18*'MF Rollover'!EO18)</f>
        <v/>
      </c>
      <c r="EQ18" s="149" t="str">
        <f>IF($B18=0,"",$N18*'MF Rents'!ES18*'MF Rollover'!EP18)</f>
        <v/>
      </c>
      <c r="ER18" s="149" t="str">
        <f>IF($B18=0,"",$N18*'MF Rents'!ET18*'MF Rollover'!EQ18)</f>
        <v/>
      </c>
      <c r="ES18" s="149" t="str">
        <f>IF($B18=0,"",$N18*'MF Rents'!EU18*'MF Rollover'!ER18)</f>
        <v/>
      </c>
      <c r="ET18" s="149" t="str">
        <f>IF($B18=0,"",$N18*'MF Rents'!EV18*'MF Rollover'!ES18)</f>
        <v/>
      </c>
      <c r="EU18" s="149" t="str">
        <f>IF($B18=0,"",$N18*'MF Rents'!EW18*'MF Rollover'!ET18)</f>
        <v/>
      </c>
      <c r="EV18" s="149" t="str">
        <f>IF($B18=0,"",$N18*'MF Rents'!EX18*'MF Rollover'!EU18)</f>
        <v/>
      </c>
      <c r="EW18" s="149" t="str">
        <f>IF($B18=0,"",$N18*'MF Rents'!EY18*'MF Rollover'!EV18)</f>
        <v/>
      </c>
      <c r="EX18" s="149" t="str">
        <f>IF($B18=0,"",$N18*'MF Rents'!EZ18*'MF Rollover'!EW18)</f>
        <v/>
      </c>
      <c r="EY18" s="149" t="str">
        <f>IF($B18=0,"",$N18*'MF Rents'!FA18*'MF Rollover'!EX18)</f>
        <v/>
      </c>
      <c r="EZ18" s="149" t="str">
        <f>IF($B18=0,"",$N18*'MF Rents'!FB18*'MF Rollover'!EY18)</f>
        <v/>
      </c>
      <c r="FA18" s="149" t="str">
        <f>IF($B18=0,"",$N18*'MF Rents'!FC18*'MF Rollover'!EZ18)</f>
        <v/>
      </c>
      <c r="FB18" s="149" t="str">
        <f>IF($B18=0,"",$N18*'MF Rents'!FD18*'MF Rollover'!FA18)</f>
        <v/>
      </c>
      <c r="FC18" s="149" t="str">
        <f>IF($B18=0,"",$N18*'MF Rents'!FE18*'MF Rollover'!FB18)</f>
        <v/>
      </c>
      <c r="FD18" s="149" t="str">
        <f>IF($B18=0,"",$N18*'MF Rents'!FF18*'MF Rollover'!FC18)</f>
        <v/>
      </c>
      <c r="FE18" s="149" t="str">
        <f>IF($B18=0,"",$N18*'MF Rents'!FG18*'MF Rollover'!FD18)</f>
        <v/>
      </c>
      <c r="FF18" s="149" t="str">
        <f>IF($B18=0,"",$N18*'MF Rents'!FH18*'MF Rollover'!FE18)</f>
        <v/>
      </c>
      <c r="FG18" s="149" t="str">
        <f>IF($B18=0,"",$N18*'MF Rents'!FI18*'MF Rollover'!FF18)</f>
        <v/>
      </c>
      <c r="FH18" s="149" t="str">
        <f>IF($B18=0,"",$N18*'MF Rents'!FJ18*'MF Rollover'!FG18)</f>
        <v/>
      </c>
      <c r="FI18" s="149" t="str">
        <f>IF($B18=0,"",$N18*'MF Rents'!FK18*'MF Rollover'!FH18)</f>
        <v/>
      </c>
      <c r="FJ18" s="149" t="str">
        <f>IF($B18=0,"",$N18*'MF Rents'!FL18*'MF Rollover'!FI18)</f>
        <v/>
      </c>
      <c r="FK18" s="149" t="str">
        <f>IF($B18=0,"",$N18*'MF Rents'!FM18*'MF Rollover'!FJ18)</f>
        <v/>
      </c>
      <c r="FL18" s="149" t="str">
        <f>IF($B18=0,"",$N18*'MF Rents'!FN18*'MF Rollover'!FK18)</f>
        <v/>
      </c>
      <c r="FM18" s="149" t="str">
        <f>IF($B18=0,"",$N18*'MF Rents'!FO18*'MF Rollover'!FL18)</f>
        <v/>
      </c>
      <c r="FN18" s="149" t="str">
        <f>IF($B18=0,"",$N18*'MF Rents'!FP18*'MF Rollover'!FM18)</f>
        <v/>
      </c>
      <c r="FO18" s="149" t="str">
        <f>IF($B18=0,"",$N18*'MF Rents'!FQ18*'MF Rollover'!FN18)</f>
        <v/>
      </c>
      <c r="FP18" s="149" t="str">
        <f>IF($B18=0,"",$N18*'MF Rents'!FR18*'MF Rollover'!FO18)</f>
        <v/>
      </c>
      <c r="FQ18" s="149" t="str">
        <f>IF($B18=0,"",$N18*'MF Rents'!FS18*'MF Rollover'!FP18)</f>
        <v/>
      </c>
      <c r="FR18" s="149" t="str">
        <f>IF($B18=0,"",$N18*'MF Rents'!FT18*'MF Rollover'!FQ18)</f>
        <v/>
      </c>
      <c r="FS18" s="149" t="str">
        <f>IF($B18=0,"",$N18*'MF Rents'!FU18*'MF Rollover'!FR18)</f>
        <v/>
      </c>
      <c r="FT18" s="149" t="str">
        <f>IF($B18=0,"",$N18*'MF Rents'!FV18*'MF Rollover'!FS18)</f>
        <v/>
      </c>
      <c r="FU18" s="149" t="str">
        <f>IF($B18=0,"",$N18*'MF Rents'!FW18*'MF Rollover'!FT18)</f>
        <v/>
      </c>
      <c r="FV18" s="149" t="str">
        <f>IF($B18=0,"",$N18*'MF Rents'!FX18*'MF Rollover'!FU18)</f>
        <v/>
      </c>
      <c r="FW18" s="149" t="str">
        <f>IF($B18=0,"",$N18*'MF Rents'!FY18*'MF Rollover'!FV18)</f>
        <v/>
      </c>
      <c r="FX18" s="149" t="str">
        <f>IF($B18=0,"",$N18*'MF Rents'!FZ18*'MF Rollover'!FW18)</f>
        <v/>
      </c>
      <c r="FY18" s="149" t="str">
        <f>IF($B18=0,"",$N18*'MF Rents'!GA18*'MF Rollover'!FX18)</f>
        <v/>
      </c>
      <c r="FZ18" s="149" t="str">
        <f>IF($B18=0,"",$N18*'MF Rents'!GB18*'MF Rollover'!FY18)</f>
        <v/>
      </c>
      <c r="GA18" s="149" t="str">
        <f>IF($B18=0,"",$N18*'MF Rents'!GC18*'MF Rollover'!FZ18)</f>
        <v/>
      </c>
      <c r="GB18" s="149" t="str">
        <f>IF($B18=0,"",$N18*'MF Rents'!GD18*'MF Rollover'!GA18)</f>
        <v/>
      </c>
      <c r="GC18" s="149" t="str">
        <f>IF($B18=0,"",$N18*'MF Rents'!GE18*'MF Rollover'!GB18)</f>
        <v/>
      </c>
      <c r="GD18" s="149" t="str">
        <f>IF($B18=0,"",$N18*'MF Rents'!GF18*'MF Rollover'!GC18)</f>
        <v/>
      </c>
      <c r="GE18" s="149" t="str">
        <f>IF($B18=0,"",$N18*'MF Rents'!GG18*'MF Rollover'!GD18)</f>
        <v/>
      </c>
      <c r="GF18" s="149" t="str">
        <f>IF($B18=0,"",$N18*'MF Rents'!GH18*'MF Rollover'!GE18)</f>
        <v/>
      </c>
      <c r="GG18" s="149" t="str">
        <f>IF($B18=0,"",$N18*'MF Rents'!GI18*'MF Rollover'!GF18)</f>
        <v/>
      </c>
      <c r="GH18" s="149" t="str">
        <f>IF($B18=0,"",$N18*'MF Rents'!GJ18*'MF Rollover'!GG18)</f>
        <v/>
      </c>
      <c r="GI18" s="149" t="str">
        <f>IF($B18=0,"",$N18*'MF Rents'!GK18*'MF Rollover'!GH18)</f>
        <v/>
      </c>
      <c r="GJ18" s="149" t="str">
        <f>IF($B18=0,"",$N18*'MF Rents'!GL18*'MF Rollover'!GI18)</f>
        <v/>
      </c>
      <c r="GK18" s="149" t="str">
        <f>IF($B18=0,"",$N18*'MF Rents'!GM18*'MF Rollover'!GJ18)</f>
        <v/>
      </c>
      <c r="GL18" s="149" t="str">
        <f>IF($B18=0,"",$N18*'MF Rents'!GN18*'MF Rollover'!GK18)</f>
        <v/>
      </c>
      <c r="GM18" s="149" t="str">
        <f>IF($B18=0,"",$N18*'MF Rents'!GO18*'MF Rollover'!GL18)</f>
        <v/>
      </c>
      <c r="GN18" s="149" t="str">
        <f>IF($B18=0,"",$N18*'MF Rents'!GP18*'MF Rollover'!GM18)</f>
        <v/>
      </c>
      <c r="GO18" s="149" t="str">
        <f>IF($B18=0,"",$N18*'MF Rents'!GQ18*'MF Rollover'!GN18)</f>
        <v/>
      </c>
      <c r="GP18" s="149" t="str">
        <f>IF($B18=0,"",$N18*'MF Rents'!GR18*'MF Rollover'!GO18)</f>
        <v/>
      </c>
    </row>
    <row r="19" spans="2:198" x14ac:dyDescent="0.3">
      <c r="B19" s="184">
        <f>'MF Rent Roll'!B18</f>
        <v>0</v>
      </c>
      <c r="C19" s="171">
        <f>'MF Rent Roll'!C18</f>
        <v>0</v>
      </c>
      <c r="D19" s="172">
        <f>'MF Rent Roll'!D18</f>
        <v>0</v>
      </c>
      <c r="E19" s="172">
        <f>'MF Rent Roll'!E18</f>
        <v>0</v>
      </c>
      <c r="F19" s="173">
        <f>'MF Rent Roll'!F18</f>
        <v>0</v>
      </c>
      <c r="G19" s="174">
        <f>'MF Rent Roll'!G18</f>
        <v>0</v>
      </c>
      <c r="H19" s="176">
        <f>'MF Rent Roll'!J18</f>
        <v>0</v>
      </c>
      <c r="I19" s="174">
        <f>'MF Rent Roll'!K18</f>
        <v>0</v>
      </c>
      <c r="J19" s="177">
        <f>'MF Rent Roll'!L18</f>
        <v>0</v>
      </c>
      <c r="K19" s="178">
        <f>'MF Rent Roll'!M18</f>
        <v>0</v>
      </c>
      <c r="L19" s="174">
        <f>'MF Rent Roll'!N18</f>
        <v>0</v>
      </c>
      <c r="M19" s="179">
        <f>'MF Rent Roll'!O18</f>
        <v>0</v>
      </c>
      <c r="N19" s="180" t="str">
        <f>'MF Rent Roll'!P18</f>
        <v/>
      </c>
      <c r="O19" s="181" t="str">
        <f>'MF Rent Roll'!Q18</f>
        <v/>
      </c>
      <c r="P19" s="104" t="str">
        <f>'MF Rent Roll'!R18</f>
        <v/>
      </c>
      <c r="S19" s="149" t="str">
        <f>IF($B19=0,"",$N19*'MF Rents'!U19*'MF Rollover'!R19)</f>
        <v/>
      </c>
      <c r="T19" s="149" t="str">
        <f>IF($B19=0,"",$N19*'MF Rents'!V19*'MF Rollover'!S19)</f>
        <v/>
      </c>
      <c r="U19" s="149" t="str">
        <f>IF($B19=0,"",$N19*'MF Rents'!W19*'MF Rollover'!T19)</f>
        <v/>
      </c>
      <c r="V19" s="149" t="str">
        <f>IF($B19=0,"",$N19*'MF Rents'!X19*'MF Rollover'!U19)</f>
        <v/>
      </c>
      <c r="W19" s="149" t="str">
        <f>IF($B19=0,"",$N19*'MF Rents'!Y19*'MF Rollover'!V19)</f>
        <v/>
      </c>
      <c r="X19" s="149" t="str">
        <f>IF($B19=0,"",$N19*'MF Rents'!Z19*'MF Rollover'!W19)</f>
        <v/>
      </c>
      <c r="Y19" s="149" t="str">
        <f>IF($B19=0,"",$N19*'MF Rents'!AA19*'MF Rollover'!X19)</f>
        <v/>
      </c>
      <c r="Z19" s="149" t="str">
        <f>IF($B19=0,"",$N19*'MF Rents'!AB19*'MF Rollover'!Y19)</f>
        <v/>
      </c>
      <c r="AA19" s="149" t="str">
        <f>IF($B19=0,"",$N19*'MF Rents'!AC19*'MF Rollover'!Z19)</f>
        <v/>
      </c>
      <c r="AB19" s="149" t="str">
        <f>IF($B19=0,"",$N19*'MF Rents'!AD19*'MF Rollover'!AA19)</f>
        <v/>
      </c>
      <c r="AC19" s="149" t="str">
        <f>IF($B19=0,"",$N19*'MF Rents'!AE19*'MF Rollover'!AB19)</f>
        <v/>
      </c>
      <c r="AD19" s="149" t="str">
        <f>IF($B19=0,"",$N19*'MF Rents'!AF19*'MF Rollover'!AC19)</f>
        <v/>
      </c>
      <c r="AE19" s="149" t="str">
        <f>IF($B19=0,"",$N19*'MF Rents'!AG19*'MF Rollover'!AD19)</f>
        <v/>
      </c>
      <c r="AF19" s="149" t="str">
        <f>IF($B19=0,"",$N19*'MF Rents'!AH19*'MF Rollover'!AE19)</f>
        <v/>
      </c>
      <c r="AG19" s="149" t="str">
        <f>IF($B19=0,"",$N19*'MF Rents'!AI19*'MF Rollover'!AF19)</f>
        <v/>
      </c>
      <c r="AH19" s="149" t="str">
        <f>IF($B19=0,"",$N19*'MF Rents'!AJ19*'MF Rollover'!AG19)</f>
        <v/>
      </c>
      <c r="AI19" s="149" t="str">
        <f>IF($B19=0,"",$N19*'MF Rents'!AK19*'MF Rollover'!AH19)</f>
        <v/>
      </c>
      <c r="AJ19" s="149" t="str">
        <f>IF($B19=0,"",$N19*'MF Rents'!AL19*'MF Rollover'!AI19)</f>
        <v/>
      </c>
      <c r="AK19" s="149" t="str">
        <f>IF($B19=0,"",$N19*'MF Rents'!AM19*'MF Rollover'!AJ19)</f>
        <v/>
      </c>
      <c r="AL19" s="149" t="str">
        <f>IF($B19=0,"",$N19*'MF Rents'!AN19*'MF Rollover'!AK19)</f>
        <v/>
      </c>
      <c r="AM19" s="149" t="str">
        <f>IF($B19=0,"",$N19*'MF Rents'!AO19*'MF Rollover'!AL19)</f>
        <v/>
      </c>
      <c r="AN19" s="149" t="str">
        <f>IF($B19=0,"",$N19*'MF Rents'!AP19*'MF Rollover'!AM19)</f>
        <v/>
      </c>
      <c r="AO19" s="149" t="str">
        <f>IF($B19=0,"",$N19*'MF Rents'!AQ19*'MF Rollover'!AN19)</f>
        <v/>
      </c>
      <c r="AP19" s="149" t="str">
        <f>IF($B19=0,"",$N19*'MF Rents'!AR19*'MF Rollover'!AO19)</f>
        <v/>
      </c>
      <c r="AQ19" s="149" t="str">
        <f>IF($B19=0,"",$N19*'MF Rents'!AS19*'MF Rollover'!AP19)</f>
        <v/>
      </c>
      <c r="AR19" s="149" t="str">
        <f>IF($B19=0,"",$N19*'MF Rents'!AT19*'MF Rollover'!AQ19)</f>
        <v/>
      </c>
      <c r="AS19" s="149" t="str">
        <f>IF($B19=0,"",$N19*'MF Rents'!AU19*'MF Rollover'!AR19)</f>
        <v/>
      </c>
      <c r="AT19" s="149" t="str">
        <f>IF($B19=0,"",$N19*'MF Rents'!AV19*'MF Rollover'!AS19)</f>
        <v/>
      </c>
      <c r="AU19" s="149" t="str">
        <f>IF($B19=0,"",$N19*'MF Rents'!AW19*'MF Rollover'!AT19)</f>
        <v/>
      </c>
      <c r="AV19" s="149" t="str">
        <f>IF($B19=0,"",$N19*'MF Rents'!AX19*'MF Rollover'!AU19)</f>
        <v/>
      </c>
      <c r="AW19" s="149" t="str">
        <f>IF($B19=0,"",$N19*'MF Rents'!AY19*'MF Rollover'!AV19)</f>
        <v/>
      </c>
      <c r="AX19" s="149" t="str">
        <f>IF($B19=0,"",$N19*'MF Rents'!AZ19*'MF Rollover'!AW19)</f>
        <v/>
      </c>
      <c r="AY19" s="149" t="str">
        <f>IF($B19=0,"",$N19*'MF Rents'!BA19*'MF Rollover'!AX19)</f>
        <v/>
      </c>
      <c r="AZ19" s="149" t="str">
        <f>IF($B19=0,"",$N19*'MF Rents'!BB19*'MF Rollover'!AY19)</f>
        <v/>
      </c>
      <c r="BA19" s="149" t="str">
        <f>IF($B19=0,"",$N19*'MF Rents'!BC19*'MF Rollover'!AZ19)</f>
        <v/>
      </c>
      <c r="BB19" s="149" t="str">
        <f>IF($B19=0,"",$N19*'MF Rents'!BD19*'MF Rollover'!BA19)</f>
        <v/>
      </c>
      <c r="BC19" s="149" t="str">
        <f>IF($B19=0,"",$N19*'MF Rents'!BE19*'MF Rollover'!BB19)</f>
        <v/>
      </c>
      <c r="BD19" s="149" t="str">
        <f>IF($B19=0,"",$N19*'MF Rents'!BF19*'MF Rollover'!BC19)</f>
        <v/>
      </c>
      <c r="BE19" s="149" t="str">
        <f>IF($B19=0,"",$N19*'MF Rents'!BG19*'MF Rollover'!BD19)</f>
        <v/>
      </c>
      <c r="BF19" s="149" t="str">
        <f>IF($B19=0,"",$N19*'MF Rents'!BH19*'MF Rollover'!BE19)</f>
        <v/>
      </c>
      <c r="BG19" s="149" t="str">
        <f>IF($B19=0,"",$N19*'MF Rents'!BI19*'MF Rollover'!BF19)</f>
        <v/>
      </c>
      <c r="BH19" s="149" t="str">
        <f>IF($B19=0,"",$N19*'MF Rents'!BJ19*'MF Rollover'!BG19)</f>
        <v/>
      </c>
      <c r="BI19" s="149" t="str">
        <f>IF($B19=0,"",$N19*'MF Rents'!BK19*'MF Rollover'!BH19)</f>
        <v/>
      </c>
      <c r="BJ19" s="149" t="str">
        <f>IF($B19=0,"",$N19*'MF Rents'!BL19*'MF Rollover'!BI19)</f>
        <v/>
      </c>
      <c r="BK19" s="149" t="str">
        <f>IF($B19=0,"",$N19*'MF Rents'!BM19*'MF Rollover'!BJ19)</f>
        <v/>
      </c>
      <c r="BL19" s="149" t="str">
        <f>IF($B19=0,"",$N19*'MF Rents'!BN19*'MF Rollover'!BK19)</f>
        <v/>
      </c>
      <c r="BM19" s="149" t="str">
        <f>IF($B19=0,"",$N19*'MF Rents'!BO19*'MF Rollover'!BL19)</f>
        <v/>
      </c>
      <c r="BN19" s="149" t="str">
        <f>IF($B19=0,"",$N19*'MF Rents'!BP19*'MF Rollover'!BM19)</f>
        <v/>
      </c>
      <c r="BO19" s="149" t="str">
        <f>IF($B19=0,"",$N19*'MF Rents'!BQ19*'MF Rollover'!BN19)</f>
        <v/>
      </c>
      <c r="BP19" s="149" t="str">
        <f>IF($B19=0,"",$N19*'MF Rents'!BR19*'MF Rollover'!BO19)</f>
        <v/>
      </c>
      <c r="BQ19" s="149" t="str">
        <f>IF($B19=0,"",$N19*'MF Rents'!BS19*'MF Rollover'!BP19)</f>
        <v/>
      </c>
      <c r="BR19" s="149" t="str">
        <f>IF($B19=0,"",$N19*'MF Rents'!BT19*'MF Rollover'!BQ19)</f>
        <v/>
      </c>
      <c r="BS19" s="149" t="str">
        <f>IF($B19=0,"",$N19*'MF Rents'!BU19*'MF Rollover'!BR19)</f>
        <v/>
      </c>
      <c r="BT19" s="149" t="str">
        <f>IF($B19=0,"",$N19*'MF Rents'!BV19*'MF Rollover'!BS19)</f>
        <v/>
      </c>
      <c r="BU19" s="149" t="str">
        <f>IF($B19=0,"",$N19*'MF Rents'!BW19*'MF Rollover'!BT19)</f>
        <v/>
      </c>
      <c r="BV19" s="149" t="str">
        <f>IF($B19=0,"",$N19*'MF Rents'!BX19*'MF Rollover'!BU19)</f>
        <v/>
      </c>
      <c r="BW19" s="149" t="str">
        <f>IF($B19=0,"",$N19*'MF Rents'!BY19*'MF Rollover'!BV19)</f>
        <v/>
      </c>
      <c r="BX19" s="149" t="str">
        <f>IF($B19=0,"",$N19*'MF Rents'!BZ19*'MF Rollover'!BW19)</f>
        <v/>
      </c>
      <c r="BY19" s="149" t="str">
        <f>IF($B19=0,"",$N19*'MF Rents'!CA19*'MF Rollover'!BX19)</f>
        <v/>
      </c>
      <c r="BZ19" s="149" t="str">
        <f>IF($B19=0,"",$N19*'MF Rents'!CB19*'MF Rollover'!BY19)</f>
        <v/>
      </c>
      <c r="CA19" s="149" t="str">
        <f>IF($B19=0,"",$N19*'MF Rents'!CC19*'MF Rollover'!BZ19)</f>
        <v/>
      </c>
      <c r="CB19" s="149" t="str">
        <f>IF($B19=0,"",$N19*'MF Rents'!CD19*'MF Rollover'!CA19)</f>
        <v/>
      </c>
      <c r="CC19" s="149" t="str">
        <f>IF($B19=0,"",$N19*'MF Rents'!CE19*'MF Rollover'!CB19)</f>
        <v/>
      </c>
      <c r="CD19" s="149" t="str">
        <f>IF($B19=0,"",$N19*'MF Rents'!CF19*'MF Rollover'!CC19)</f>
        <v/>
      </c>
      <c r="CE19" s="149" t="str">
        <f>IF($B19=0,"",$N19*'MF Rents'!CG19*'MF Rollover'!CD19)</f>
        <v/>
      </c>
      <c r="CF19" s="149" t="str">
        <f>IF($B19=0,"",$N19*'MF Rents'!CH19*'MF Rollover'!CE19)</f>
        <v/>
      </c>
      <c r="CG19" s="149" t="str">
        <f>IF($B19=0,"",$N19*'MF Rents'!CI19*'MF Rollover'!CF19)</f>
        <v/>
      </c>
      <c r="CH19" s="149" t="str">
        <f>IF($B19=0,"",$N19*'MF Rents'!CJ19*'MF Rollover'!CG19)</f>
        <v/>
      </c>
      <c r="CI19" s="149" t="str">
        <f>IF($B19=0,"",$N19*'MF Rents'!CK19*'MF Rollover'!CH19)</f>
        <v/>
      </c>
      <c r="CJ19" s="149" t="str">
        <f>IF($B19=0,"",$N19*'MF Rents'!CL19*'MF Rollover'!CI19)</f>
        <v/>
      </c>
      <c r="CK19" s="149" t="str">
        <f>IF($B19=0,"",$N19*'MF Rents'!CM19*'MF Rollover'!CJ19)</f>
        <v/>
      </c>
      <c r="CL19" s="149" t="str">
        <f>IF($B19=0,"",$N19*'MF Rents'!CN19*'MF Rollover'!CK19)</f>
        <v/>
      </c>
      <c r="CM19" s="149" t="str">
        <f>IF($B19=0,"",$N19*'MF Rents'!CO19*'MF Rollover'!CL19)</f>
        <v/>
      </c>
      <c r="CN19" s="149" t="str">
        <f>IF($B19=0,"",$N19*'MF Rents'!CP19*'MF Rollover'!CM19)</f>
        <v/>
      </c>
      <c r="CO19" s="149" t="str">
        <f>IF($B19=0,"",$N19*'MF Rents'!CQ19*'MF Rollover'!CN19)</f>
        <v/>
      </c>
      <c r="CP19" s="149" t="str">
        <f>IF($B19=0,"",$N19*'MF Rents'!CR19*'MF Rollover'!CO19)</f>
        <v/>
      </c>
      <c r="CQ19" s="149" t="str">
        <f>IF($B19=0,"",$N19*'MF Rents'!CS19*'MF Rollover'!CP19)</f>
        <v/>
      </c>
      <c r="CR19" s="149" t="str">
        <f>IF($B19=0,"",$N19*'MF Rents'!CT19*'MF Rollover'!CQ19)</f>
        <v/>
      </c>
      <c r="CS19" s="149" t="str">
        <f>IF($B19=0,"",$N19*'MF Rents'!CU19*'MF Rollover'!CR19)</f>
        <v/>
      </c>
      <c r="CT19" s="149" t="str">
        <f>IF($B19=0,"",$N19*'MF Rents'!CV19*'MF Rollover'!CS19)</f>
        <v/>
      </c>
      <c r="CU19" s="149" t="str">
        <f>IF($B19=0,"",$N19*'MF Rents'!CW19*'MF Rollover'!CT19)</f>
        <v/>
      </c>
      <c r="CV19" s="149" t="str">
        <f>IF($B19=0,"",$N19*'MF Rents'!CX19*'MF Rollover'!CU19)</f>
        <v/>
      </c>
      <c r="CW19" s="149" t="str">
        <f>IF($B19=0,"",$N19*'MF Rents'!CY19*'MF Rollover'!CV19)</f>
        <v/>
      </c>
      <c r="CX19" s="149" t="str">
        <f>IF($B19=0,"",$N19*'MF Rents'!CZ19*'MF Rollover'!CW19)</f>
        <v/>
      </c>
      <c r="CY19" s="149" t="str">
        <f>IF($B19=0,"",$N19*'MF Rents'!DA19*'MF Rollover'!CX19)</f>
        <v/>
      </c>
      <c r="CZ19" s="149" t="str">
        <f>IF($B19=0,"",$N19*'MF Rents'!DB19*'MF Rollover'!CY19)</f>
        <v/>
      </c>
      <c r="DA19" s="149" t="str">
        <f>IF($B19=0,"",$N19*'MF Rents'!DC19*'MF Rollover'!CZ19)</f>
        <v/>
      </c>
      <c r="DB19" s="149" t="str">
        <f>IF($B19=0,"",$N19*'MF Rents'!DD19*'MF Rollover'!DA19)</f>
        <v/>
      </c>
      <c r="DC19" s="149" t="str">
        <f>IF($B19=0,"",$N19*'MF Rents'!DE19*'MF Rollover'!DB19)</f>
        <v/>
      </c>
      <c r="DD19" s="149" t="str">
        <f>IF($B19=0,"",$N19*'MF Rents'!DF19*'MF Rollover'!DC19)</f>
        <v/>
      </c>
      <c r="DE19" s="149" t="str">
        <f>IF($B19=0,"",$N19*'MF Rents'!DG19*'MF Rollover'!DD19)</f>
        <v/>
      </c>
      <c r="DF19" s="149" t="str">
        <f>IF($B19=0,"",$N19*'MF Rents'!DH19*'MF Rollover'!DE19)</f>
        <v/>
      </c>
      <c r="DG19" s="149" t="str">
        <f>IF($B19=0,"",$N19*'MF Rents'!DI19*'MF Rollover'!DF19)</f>
        <v/>
      </c>
      <c r="DH19" s="149" t="str">
        <f>IF($B19=0,"",$N19*'MF Rents'!DJ19*'MF Rollover'!DG19)</f>
        <v/>
      </c>
      <c r="DI19" s="149" t="str">
        <f>IF($B19=0,"",$N19*'MF Rents'!DK19*'MF Rollover'!DH19)</f>
        <v/>
      </c>
      <c r="DJ19" s="149" t="str">
        <f>IF($B19=0,"",$N19*'MF Rents'!DL19*'MF Rollover'!DI19)</f>
        <v/>
      </c>
      <c r="DK19" s="149" t="str">
        <f>IF($B19=0,"",$N19*'MF Rents'!DM19*'MF Rollover'!DJ19)</f>
        <v/>
      </c>
      <c r="DL19" s="149" t="str">
        <f>IF($B19=0,"",$N19*'MF Rents'!DN19*'MF Rollover'!DK19)</f>
        <v/>
      </c>
      <c r="DM19" s="149" t="str">
        <f>IF($B19=0,"",$N19*'MF Rents'!DO19*'MF Rollover'!DL19)</f>
        <v/>
      </c>
      <c r="DN19" s="149" t="str">
        <f>IF($B19=0,"",$N19*'MF Rents'!DP19*'MF Rollover'!DM19)</f>
        <v/>
      </c>
      <c r="DO19" s="149" t="str">
        <f>IF($B19=0,"",$N19*'MF Rents'!DQ19*'MF Rollover'!DN19)</f>
        <v/>
      </c>
      <c r="DP19" s="149" t="str">
        <f>IF($B19=0,"",$N19*'MF Rents'!DR19*'MF Rollover'!DO19)</f>
        <v/>
      </c>
      <c r="DQ19" s="149" t="str">
        <f>IF($B19=0,"",$N19*'MF Rents'!DS19*'MF Rollover'!DP19)</f>
        <v/>
      </c>
      <c r="DR19" s="149" t="str">
        <f>IF($B19=0,"",$N19*'MF Rents'!DT19*'MF Rollover'!DQ19)</f>
        <v/>
      </c>
      <c r="DS19" s="149" t="str">
        <f>IF($B19=0,"",$N19*'MF Rents'!DU19*'MF Rollover'!DR19)</f>
        <v/>
      </c>
      <c r="DT19" s="149" t="str">
        <f>IF($B19=0,"",$N19*'MF Rents'!DV19*'MF Rollover'!DS19)</f>
        <v/>
      </c>
      <c r="DU19" s="149" t="str">
        <f>IF($B19=0,"",$N19*'MF Rents'!DW19*'MF Rollover'!DT19)</f>
        <v/>
      </c>
      <c r="DV19" s="149" t="str">
        <f>IF($B19=0,"",$N19*'MF Rents'!DX19*'MF Rollover'!DU19)</f>
        <v/>
      </c>
      <c r="DW19" s="149" t="str">
        <f>IF($B19=0,"",$N19*'MF Rents'!DY19*'MF Rollover'!DV19)</f>
        <v/>
      </c>
      <c r="DX19" s="149" t="str">
        <f>IF($B19=0,"",$N19*'MF Rents'!DZ19*'MF Rollover'!DW19)</f>
        <v/>
      </c>
      <c r="DY19" s="149" t="str">
        <f>IF($B19=0,"",$N19*'MF Rents'!EA19*'MF Rollover'!DX19)</f>
        <v/>
      </c>
      <c r="DZ19" s="149" t="str">
        <f>IF($B19=0,"",$N19*'MF Rents'!EB19*'MF Rollover'!DY19)</f>
        <v/>
      </c>
      <c r="EA19" s="149" t="str">
        <f>IF($B19=0,"",$N19*'MF Rents'!EC19*'MF Rollover'!DZ19)</f>
        <v/>
      </c>
      <c r="EB19" s="149" t="str">
        <f>IF($B19=0,"",$N19*'MF Rents'!ED19*'MF Rollover'!EA19)</f>
        <v/>
      </c>
      <c r="EC19" s="149" t="str">
        <f>IF($B19=0,"",$N19*'MF Rents'!EE19*'MF Rollover'!EB19)</f>
        <v/>
      </c>
      <c r="ED19" s="149" t="str">
        <f>IF($B19=0,"",$N19*'MF Rents'!EF19*'MF Rollover'!EC19)</f>
        <v/>
      </c>
      <c r="EE19" s="149" t="str">
        <f>IF($B19=0,"",$N19*'MF Rents'!EG19*'MF Rollover'!ED19)</f>
        <v/>
      </c>
      <c r="EF19" s="149" t="str">
        <f>IF($B19=0,"",$N19*'MF Rents'!EH19*'MF Rollover'!EE19)</f>
        <v/>
      </c>
      <c r="EG19" s="149" t="str">
        <f>IF($B19=0,"",$N19*'MF Rents'!EI19*'MF Rollover'!EF19)</f>
        <v/>
      </c>
      <c r="EH19" s="149" t="str">
        <f>IF($B19=0,"",$N19*'MF Rents'!EJ19*'MF Rollover'!EG19)</f>
        <v/>
      </c>
      <c r="EI19" s="149" t="str">
        <f>IF($B19=0,"",$N19*'MF Rents'!EK19*'MF Rollover'!EH19)</f>
        <v/>
      </c>
      <c r="EJ19" s="149" t="str">
        <f>IF($B19=0,"",$N19*'MF Rents'!EL19*'MF Rollover'!EI19)</f>
        <v/>
      </c>
      <c r="EK19" s="149" t="str">
        <f>IF($B19=0,"",$N19*'MF Rents'!EM19*'MF Rollover'!EJ19)</f>
        <v/>
      </c>
      <c r="EL19" s="149" t="str">
        <f>IF($B19=0,"",$N19*'MF Rents'!EN19*'MF Rollover'!EK19)</f>
        <v/>
      </c>
      <c r="EM19" s="149" t="str">
        <f>IF($B19=0,"",$N19*'MF Rents'!EO19*'MF Rollover'!EL19)</f>
        <v/>
      </c>
      <c r="EN19" s="149" t="str">
        <f>IF($B19=0,"",$N19*'MF Rents'!EP19*'MF Rollover'!EM19)</f>
        <v/>
      </c>
      <c r="EO19" s="149" t="str">
        <f>IF($B19=0,"",$N19*'MF Rents'!EQ19*'MF Rollover'!EN19)</f>
        <v/>
      </c>
      <c r="EP19" s="149" t="str">
        <f>IF($B19=0,"",$N19*'MF Rents'!ER19*'MF Rollover'!EO19)</f>
        <v/>
      </c>
      <c r="EQ19" s="149" t="str">
        <f>IF($B19=0,"",$N19*'MF Rents'!ES19*'MF Rollover'!EP19)</f>
        <v/>
      </c>
      <c r="ER19" s="149" t="str">
        <f>IF($B19=0,"",$N19*'MF Rents'!ET19*'MF Rollover'!EQ19)</f>
        <v/>
      </c>
      <c r="ES19" s="149" t="str">
        <f>IF($B19=0,"",$N19*'MF Rents'!EU19*'MF Rollover'!ER19)</f>
        <v/>
      </c>
      <c r="ET19" s="149" t="str">
        <f>IF($B19=0,"",$N19*'MF Rents'!EV19*'MF Rollover'!ES19)</f>
        <v/>
      </c>
      <c r="EU19" s="149" t="str">
        <f>IF($B19=0,"",$N19*'MF Rents'!EW19*'MF Rollover'!ET19)</f>
        <v/>
      </c>
      <c r="EV19" s="149" t="str">
        <f>IF($B19=0,"",$N19*'MF Rents'!EX19*'MF Rollover'!EU19)</f>
        <v/>
      </c>
      <c r="EW19" s="149" t="str">
        <f>IF($B19=0,"",$N19*'MF Rents'!EY19*'MF Rollover'!EV19)</f>
        <v/>
      </c>
      <c r="EX19" s="149" t="str">
        <f>IF($B19=0,"",$N19*'MF Rents'!EZ19*'MF Rollover'!EW19)</f>
        <v/>
      </c>
      <c r="EY19" s="149" t="str">
        <f>IF($B19=0,"",$N19*'MF Rents'!FA19*'MF Rollover'!EX19)</f>
        <v/>
      </c>
      <c r="EZ19" s="149" t="str">
        <f>IF($B19=0,"",$N19*'MF Rents'!FB19*'MF Rollover'!EY19)</f>
        <v/>
      </c>
      <c r="FA19" s="149" t="str">
        <f>IF($B19=0,"",$N19*'MF Rents'!FC19*'MF Rollover'!EZ19)</f>
        <v/>
      </c>
      <c r="FB19" s="149" t="str">
        <f>IF($B19=0,"",$N19*'MF Rents'!FD19*'MF Rollover'!FA19)</f>
        <v/>
      </c>
      <c r="FC19" s="149" t="str">
        <f>IF($B19=0,"",$N19*'MF Rents'!FE19*'MF Rollover'!FB19)</f>
        <v/>
      </c>
      <c r="FD19" s="149" t="str">
        <f>IF($B19=0,"",$N19*'MF Rents'!FF19*'MF Rollover'!FC19)</f>
        <v/>
      </c>
      <c r="FE19" s="149" t="str">
        <f>IF($B19=0,"",$N19*'MF Rents'!FG19*'MF Rollover'!FD19)</f>
        <v/>
      </c>
      <c r="FF19" s="149" t="str">
        <f>IF($B19=0,"",$N19*'MF Rents'!FH19*'MF Rollover'!FE19)</f>
        <v/>
      </c>
      <c r="FG19" s="149" t="str">
        <f>IF($B19=0,"",$N19*'MF Rents'!FI19*'MF Rollover'!FF19)</f>
        <v/>
      </c>
      <c r="FH19" s="149" t="str">
        <f>IF($B19=0,"",$N19*'MF Rents'!FJ19*'MF Rollover'!FG19)</f>
        <v/>
      </c>
      <c r="FI19" s="149" t="str">
        <f>IF($B19=0,"",$N19*'MF Rents'!FK19*'MF Rollover'!FH19)</f>
        <v/>
      </c>
      <c r="FJ19" s="149" t="str">
        <f>IF($B19=0,"",$N19*'MF Rents'!FL19*'MF Rollover'!FI19)</f>
        <v/>
      </c>
      <c r="FK19" s="149" t="str">
        <f>IF($B19=0,"",$N19*'MF Rents'!FM19*'MF Rollover'!FJ19)</f>
        <v/>
      </c>
      <c r="FL19" s="149" t="str">
        <f>IF($B19=0,"",$N19*'MF Rents'!FN19*'MF Rollover'!FK19)</f>
        <v/>
      </c>
      <c r="FM19" s="149" t="str">
        <f>IF($B19=0,"",$N19*'MF Rents'!FO19*'MF Rollover'!FL19)</f>
        <v/>
      </c>
      <c r="FN19" s="149" t="str">
        <f>IF($B19=0,"",$N19*'MF Rents'!FP19*'MF Rollover'!FM19)</f>
        <v/>
      </c>
      <c r="FO19" s="149" t="str">
        <f>IF($B19=0,"",$N19*'MF Rents'!FQ19*'MF Rollover'!FN19)</f>
        <v/>
      </c>
      <c r="FP19" s="149" t="str">
        <f>IF($B19=0,"",$N19*'MF Rents'!FR19*'MF Rollover'!FO19)</f>
        <v/>
      </c>
      <c r="FQ19" s="149" t="str">
        <f>IF($B19=0,"",$N19*'MF Rents'!FS19*'MF Rollover'!FP19)</f>
        <v/>
      </c>
      <c r="FR19" s="149" t="str">
        <f>IF($B19=0,"",$N19*'MF Rents'!FT19*'MF Rollover'!FQ19)</f>
        <v/>
      </c>
      <c r="FS19" s="149" t="str">
        <f>IF($B19=0,"",$N19*'MF Rents'!FU19*'MF Rollover'!FR19)</f>
        <v/>
      </c>
      <c r="FT19" s="149" t="str">
        <f>IF($B19=0,"",$N19*'MF Rents'!FV19*'MF Rollover'!FS19)</f>
        <v/>
      </c>
      <c r="FU19" s="149" t="str">
        <f>IF($B19=0,"",$N19*'MF Rents'!FW19*'MF Rollover'!FT19)</f>
        <v/>
      </c>
      <c r="FV19" s="149" t="str">
        <f>IF($B19=0,"",$N19*'MF Rents'!FX19*'MF Rollover'!FU19)</f>
        <v/>
      </c>
      <c r="FW19" s="149" t="str">
        <f>IF($B19=0,"",$N19*'MF Rents'!FY19*'MF Rollover'!FV19)</f>
        <v/>
      </c>
      <c r="FX19" s="149" t="str">
        <f>IF($B19=0,"",$N19*'MF Rents'!FZ19*'MF Rollover'!FW19)</f>
        <v/>
      </c>
      <c r="FY19" s="149" t="str">
        <f>IF($B19=0,"",$N19*'MF Rents'!GA19*'MF Rollover'!FX19)</f>
        <v/>
      </c>
      <c r="FZ19" s="149" t="str">
        <f>IF($B19=0,"",$N19*'MF Rents'!GB19*'MF Rollover'!FY19)</f>
        <v/>
      </c>
      <c r="GA19" s="149" t="str">
        <f>IF($B19=0,"",$N19*'MF Rents'!GC19*'MF Rollover'!FZ19)</f>
        <v/>
      </c>
      <c r="GB19" s="149" t="str">
        <f>IF($B19=0,"",$N19*'MF Rents'!GD19*'MF Rollover'!GA19)</f>
        <v/>
      </c>
      <c r="GC19" s="149" t="str">
        <f>IF($B19=0,"",$N19*'MF Rents'!GE19*'MF Rollover'!GB19)</f>
        <v/>
      </c>
      <c r="GD19" s="149" t="str">
        <f>IF($B19=0,"",$N19*'MF Rents'!GF19*'MF Rollover'!GC19)</f>
        <v/>
      </c>
      <c r="GE19" s="149" t="str">
        <f>IF($B19=0,"",$N19*'MF Rents'!GG19*'MF Rollover'!GD19)</f>
        <v/>
      </c>
      <c r="GF19" s="149" t="str">
        <f>IF($B19=0,"",$N19*'MF Rents'!GH19*'MF Rollover'!GE19)</f>
        <v/>
      </c>
      <c r="GG19" s="149" t="str">
        <f>IF($B19=0,"",$N19*'MF Rents'!GI19*'MF Rollover'!GF19)</f>
        <v/>
      </c>
      <c r="GH19" s="149" t="str">
        <f>IF($B19=0,"",$N19*'MF Rents'!GJ19*'MF Rollover'!GG19)</f>
        <v/>
      </c>
      <c r="GI19" s="149" t="str">
        <f>IF($B19=0,"",$N19*'MF Rents'!GK19*'MF Rollover'!GH19)</f>
        <v/>
      </c>
      <c r="GJ19" s="149" t="str">
        <f>IF($B19=0,"",$N19*'MF Rents'!GL19*'MF Rollover'!GI19)</f>
        <v/>
      </c>
      <c r="GK19" s="149" t="str">
        <f>IF($B19=0,"",$N19*'MF Rents'!GM19*'MF Rollover'!GJ19)</f>
        <v/>
      </c>
      <c r="GL19" s="149" t="str">
        <f>IF($B19=0,"",$N19*'MF Rents'!GN19*'MF Rollover'!GK19)</f>
        <v/>
      </c>
      <c r="GM19" s="149" t="str">
        <f>IF($B19=0,"",$N19*'MF Rents'!GO19*'MF Rollover'!GL19)</f>
        <v/>
      </c>
      <c r="GN19" s="149" t="str">
        <f>IF($B19=0,"",$N19*'MF Rents'!GP19*'MF Rollover'!GM19)</f>
        <v/>
      </c>
      <c r="GO19" s="149" t="str">
        <f>IF($B19=0,"",$N19*'MF Rents'!GQ19*'MF Rollover'!GN19)</f>
        <v/>
      </c>
      <c r="GP19" s="149" t="str">
        <f>IF($B19=0,"",$N19*'MF Rents'!GR19*'MF Rollover'!GO19)</f>
        <v/>
      </c>
    </row>
    <row r="20" spans="2:198" x14ac:dyDescent="0.3">
      <c r="B20" s="184">
        <f>'MF Rent Roll'!B19</f>
        <v>0</v>
      </c>
      <c r="C20" s="171">
        <f>'MF Rent Roll'!C19</f>
        <v>0</v>
      </c>
      <c r="D20" s="172">
        <f>'MF Rent Roll'!D19</f>
        <v>0</v>
      </c>
      <c r="E20" s="172">
        <f>'MF Rent Roll'!E19</f>
        <v>0</v>
      </c>
      <c r="F20" s="173">
        <f>'MF Rent Roll'!F19</f>
        <v>0</v>
      </c>
      <c r="G20" s="174">
        <f>'MF Rent Roll'!G19</f>
        <v>0</v>
      </c>
      <c r="H20" s="176">
        <f>'MF Rent Roll'!J19</f>
        <v>0</v>
      </c>
      <c r="I20" s="174">
        <f>'MF Rent Roll'!K19</f>
        <v>0</v>
      </c>
      <c r="J20" s="177">
        <f>'MF Rent Roll'!L19</f>
        <v>0</v>
      </c>
      <c r="K20" s="178">
        <f>'MF Rent Roll'!M19</f>
        <v>0</v>
      </c>
      <c r="L20" s="174">
        <f>'MF Rent Roll'!N19</f>
        <v>0</v>
      </c>
      <c r="M20" s="179">
        <f>'MF Rent Roll'!O19</f>
        <v>0</v>
      </c>
      <c r="N20" s="180" t="str">
        <f>'MF Rent Roll'!P19</f>
        <v/>
      </c>
      <c r="O20" s="181" t="str">
        <f>'MF Rent Roll'!Q19</f>
        <v/>
      </c>
      <c r="P20" s="104" t="str">
        <f>'MF Rent Roll'!R19</f>
        <v/>
      </c>
      <c r="S20" s="149" t="str">
        <f>IF($B20=0,"",$N20*'MF Rents'!U20*'MF Rollover'!R20)</f>
        <v/>
      </c>
      <c r="T20" s="149" t="str">
        <f>IF($B20=0,"",$N20*'MF Rents'!V20*'MF Rollover'!S20)</f>
        <v/>
      </c>
      <c r="U20" s="149" t="str">
        <f>IF($B20=0,"",$N20*'MF Rents'!W20*'MF Rollover'!T20)</f>
        <v/>
      </c>
      <c r="V20" s="149" t="str">
        <f>IF($B20=0,"",$N20*'MF Rents'!X20*'MF Rollover'!U20)</f>
        <v/>
      </c>
      <c r="W20" s="149" t="str">
        <f>IF($B20=0,"",$N20*'MF Rents'!Y20*'MF Rollover'!V20)</f>
        <v/>
      </c>
      <c r="X20" s="149" t="str">
        <f>IF($B20=0,"",$N20*'MF Rents'!Z20*'MF Rollover'!W20)</f>
        <v/>
      </c>
      <c r="Y20" s="149" t="str">
        <f>IF($B20=0,"",$N20*'MF Rents'!AA20*'MF Rollover'!X20)</f>
        <v/>
      </c>
      <c r="Z20" s="149" t="str">
        <f>IF($B20=0,"",$N20*'MF Rents'!AB20*'MF Rollover'!Y20)</f>
        <v/>
      </c>
      <c r="AA20" s="149" t="str">
        <f>IF($B20=0,"",$N20*'MF Rents'!AC20*'MF Rollover'!Z20)</f>
        <v/>
      </c>
      <c r="AB20" s="149" t="str">
        <f>IF($B20=0,"",$N20*'MF Rents'!AD20*'MF Rollover'!AA20)</f>
        <v/>
      </c>
      <c r="AC20" s="149" t="str">
        <f>IF($B20=0,"",$N20*'MF Rents'!AE20*'MF Rollover'!AB20)</f>
        <v/>
      </c>
      <c r="AD20" s="149" t="str">
        <f>IF($B20=0,"",$N20*'MF Rents'!AF20*'MF Rollover'!AC20)</f>
        <v/>
      </c>
      <c r="AE20" s="149" t="str">
        <f>IF($B20=0,"",$N20*'MF Rents'!AG20*'MF Rollover'!AD20)</f>
        <v/>
      </c>
      <c r="AF20" s="149" t="str">
        <f>IF($B20=0,"",$N20*'MF Rents'!AH20*'MF Rollover'!AE20)</f>
        <v/>
      </c>
      <c r="AG20" s="149" t="str">
        <f>IF($B20=0,"",$N20*'MF Rents'!AI20*'MF Rollover'!AF20)</f>
        <v/>
      </c>
      <c r="AH20" s="149" t="str">
        <f>IF($B20=0,"",$N20*'MF Rents'!AJ20*'MF Rollover'!AG20)</f>
        <v/>
      </c>
      <c r="AI20" s="149" t="str">
        <f>IF($B20=0,"",$N20*'MF Rents'!AK20*'MF Rollover'!AH20)</f>
        <v/>
      </c>
      <c r="AJ20" s="149" t="str">
        <f>IF($B20=0,"",$N20*'MF Rents'!AL20*'MF Rollover'!AI20)</f>
        <v/>
      </c>
      <c r="AK20" s="149" t="str">
        <f>IF($B20=0,"",$N20*'MF Rents'!AM20*'MF Rollover'!AJ20)</f>
        <v/>
      </c>
      <c r="AL20" s="149" t="str">
        <f>IF($B20=0,"",$N20*'MF Rents'!AN20*'MF Rollover'!AK20)</f>
        <v/>
      </c>
      <c r="AM20" s="149" t="str">
        <f>IF($B20=0,"",$N20*'MF Rents'!AO20*'MF Rollover'!AL20)</f>
        <v/>
      </c>
      <c r="AN20" s="149" t="str">
        <f>IF($B20=0,"",$N20*'MF Rents'!AP20*'MF Rollover'!AM20)</f>
        <v/>
      </c>
      <c r="AO20" s="149" t="str">
        <f>IF($B20=0,"",$N20*'MF Rents'!AQ20*'MF Rollover'!AN20)</f>
        <v/>
      </c>
      <c r="AP20" s="149" t="str">
        <f>IF($B20=0,"",$N20*'MF Rents'!AR20*'MF Rollover'!AO20)</f>
        <v/>
      </c>
      <c r="AQ20" s="149" t="str">
        <f>IF($B20=0,"",$N20*'MF Rents'!AS20*'MF Rollover'!AP20)</f>
        <v/>
      </c>
      <c r="AR20" s="149" t="str">
        <f>IF($B20=0,"",$N20*'MF Rents'!AT20*'MF Rollover'!AQ20)</f>
        <v/>
      </c>
      <c r="AS20" s="149" t="str">
        <f>IF($B20=0,"",$N20*'MF Rents'!AU20*'MF Rollover'!AR20)</f>
        <v/>
      </c>
      <c r="AT20" s="149" t="str">
        <f>IF($B20=0,"",$N20*'MF Rents'!AV20*'MF Rollover'!AS20)</f>
        <v/>
      </c>
      <c r="AU20" s="149" t="str">
        <f>IF($B20=0,"",$N20*'MF Rents'!AW20*'MF Rollover'!AT20)</f>
        <v/>
      </c>
      <c r="AV20" s="149" t="str">
        <f>IF($B20=0,"",$N20*'MF Rents'!AX20*'MF Rollover'!AU20)</f>
        <v/>
      </c>
      <c r="AW20" s="149" t="str">
        <f>IF($B20=0,"",$N20*'MF Rents'!AY20*'MF Rollover'!AV20)</f>
        <v/>
      </c>
      <c r="AX20" s="149" t="str">
        <f>IF($B20=0,"",$N20*'MF Rents'!AZ20*'MF Rollover'!AW20)</f>
        <v/>
      </c>
      <c r="AY20" s="149" t="str">
        <f>IF($B20=0,"",$N20*'MF Rents'!BA20*'MF Rollover'!AX20)</f>
        <v/>
      </c>
      <c r="AZ20" s="149" t="str">
        <f>IF($B20=0,"",$N20*'MF Rents'!BB20*'MF Rollover'!AY20)</f>
        <v/>
      </c>
      <c r="BA20" s="149" t="str">
        <f>IF($B20=0,"",$N20*'MF Rents'!BC20*'MF Rollover'!AZ20)</f>
        <v/>
      </c>
      <c r="BB20" s="149" t="str">
        <f>IF($B20=0,"",$N20*'MF Rents'!BD20*'MF Rollover'!BA20)</f>
        <v/>
      </c>
      <c r="BC20" s="149" t="str">
        <f>IF($B20=0,"",$N20*'MF Rents'!BE20*'MF Rollover'!BB20)</f>
        <v/>
      </c>
      <c r="BD20" s="149" t="str">
        <f>IF($B20=0,"",$N20*'MF Rents'!BF20*'MF Rollover'!BC20)</f>
        <v/>
      </c>
      <c r="BE20" s="149" t="str">
        <f>IF($B20=0,"",$N20*'MF Rents'!BG20*'MF Rollover'!BD20)</f>
        <v/>
      </c>
      <c r="BF20" s="149" t="str">
        <f>IF($B20=0,"",$N20*'MF Rents'!BH20*'MF Rollover'!BE20)</f>
        <v/>
      </c>
      <c r="BG20" s="149" t="str">
        <f>IF($B20=0,"",$N20*'MF Rents'!BI20*'MF Rollover'!BF20)</f>
        <v/>
      </c>
      <c r="BH20" s="149" t="str">
        <f>IF($B20=0,"",$N20*'MF Rents'!BJ20*'MF Rollover'!BG20)</f>
        <v/>
      </c>
      <c r="BI20" s="149" t="str">
        <f>IF($B20=0,"",$N20*'MF Rents'!BK20*'MF Rollover'!BH20)</f>
        <v/>
      </c>
      <c r="BJ20" s="149" t="str">
        <f>IF($B20=0,"",$N20*'MF Rents'!BL20*'MF Rollover'!BI20)</f>
        <v/>
      </c>
      <c r="BK20" s="149" t="str">
        <f>IF($B20=0,"",$N20*'MF Rents'!BM20*'MF Rollover'!BJ20)</f>
        <v/>
      </c>
      <c r="BL20" s="149" t="str">
        <f>IF($B20=0,"",$N20*'MF Rents'!BN20*'MF Rollover'!BK20)</f>
        <v/>
      </c>
      <c r="BM20" s="149" t="str">
        <f>IF($B20=0,"",$N20*'MF Rents'!BO20*'MF Rollover'!BL20)</f>
        <v/>
      </c>
      <c r="BN20" s="149" t="str">
        <f>IF($B20=0,"",$N20*'MF Rents'!BP20*'MF Rollover'!BM20)</f>
        <v/>
      </c>
      <c r="BO20" s="149" t="str">
        <f>IF($B20=0,"",$N20*'MF Rents'!BQ20*'MF Rollover'!BN20)</f>
        <v/>
      </c>
      <c r="BP20" s="149" t="str">
        <f>IF($B20=0,"",$N20*'MF Rents'!BR20*'MF Rollover'!BO20)</f>
        <v/>
      </c>
      <c r="BQ20" s="149" t="str">
        <f>IF($B20=0,"",$N20*'MF Rents'!BS20*'MF Rollover'!BP20)</f>
        <v/>
      </c>
      <c r="BR20" s="149" t="str">
        <f>IF($B20=0,"",$N20*'MF Rents'!BT20*'MF Rollover'!BQ20)</f>
        <v/>
      </c>
      <c r="BS20" s="149" t="str">
        <f>IF($B20=0,"",$N20*'MF Rents'!BU20*'MF Rollover'!BR20)</f>
        <v/>
      </c>
      <c r="BT20" s="149" t="str">
        <f>IF($B20=0,"",$N20*'MF Rents'!BV20*'MF Rollover'!BS20)</f>
        <v/>
      </c>
      <c r="BU20" s="149" t="str">
        <f>IF($B20=0,"",$N20*'MF Rents'!BW20*'MF Rollover'!BT20)</f>
        <v/>
      </c>
      <c r="BV20" s="149" t="str">
        <f>IF($B20=0,"",$N20*'MF Rents'!BX20*'MF Rollover'!BU20)</f>
        <v/>
      </c>
      <c r="BW20" s="149" t="str">
        <f>IF($B20=0,"",$N20*'MF Rents'!BY20*'MF Rollover'!BV20)</f>
        <v/>
      </c>
      <c r="BX20" s="149" t="str">
        <f>IF($B20=0,"",$N20*'MF Rents'!BZ20*'MF Rollover'!BW20)</f>
        <v/>
      </c>
      <c r="BY20" s="149" t="str">
        <f>IF($B20=0,"",$N20*'MF Rents'!CA20*'MF Rollover'!BX20)</f>
        <v/>
      </c>
      <c r="BZ20" s="149" t="str">
        <f>IF($B20=0,"",$N20*'MF Rents'!CB20*'MF Rollover'!BY20)</f>
        <v/>
      </c>
      <c r="CA20" s="149" t="str">
        <f>IF($B20=0,"",$N20*'MF Rents'!CC20*'MF Rollover'!BZ20)</f>
        <v/>
      </c>
      <c r="CB20" s="149" t="str">
        <f>IF($B20=0,"",$N20*'MF Rents'!CD20*'MF Rollover'!CA20)</f>
        <v/>
      </c>
      <c r="CC20" s="149" t="str">
        <f>IF($B20=0,"",$N20*'MF Rents'!CE20*'MF Rollover'!CB20)</f>
        <v/>
      </c>
      <c r="CD20" s="149" t="str">
        <f>IF($B20=0,"",$N20*'MF Rents'!CF20*'MF Rollover'!CC20)</f>
        <v/>
      </c>
      <c r="CE20" s="149" t="str">
        <f>IF($B20=0,"",$N20*'MF Rents'!CG20*'MF Rollover'!CD20)</f>
        <v/>
      </c>
      <c r="CF20" s="149" t="str">
        <f>IF($B20=0,"",$N20*'MF Rents'!CH20*'MF Rollover'!CE20)</f>
        <v/>
      </c>
      <c r="CG20" s="149" t="str">
        <f>IF($B20=0,"",$N20*'MF Rents'!CI20*'MF Rollover'!CF20)</f>
        <v/>
      </c>
      <c r="CH20" s="149" t="str">
        <f>IF($B20=0,"",$N20*'MF Rents'!CJ20*'MF Rollover'!CG20)</f>
        <v/>
      </c>
      <c r="CI20" s="149" t="str">
        <f>IF($B20=0,"",$N20*'MF Rents'!CK20*'MF Rollover'!CH20)</f>
        <v/>
      </c>
      <c r="CJ20" s="149" t="str">
        <f>IF($B20=0,"",$N20*'MF Rents'!CL20*'MF Rollover'!CI20)</f>
        <v/>
      </c>
      <c r="CK20" s="149" t="str">
        <f>IF($B20=0,"",$N20*'MF Rents'!CM20*'MF Rollover'!CJ20)</f>
        <v/>
      </c>
      <c r="CL20" s="149" t="str">
        <f>IF($B20=0,"",$N20*'MF Rents'!CN20*'MF Rollover'!CK20)</f>
        <v/>
      </c>
      <c r="CM20" s="149" t="str">
        <f>IF($B20=0,"",$N20*'MF Rents'!CO20*'MF Rollover'!CL20)</f>
        <v/>
      </c>
      <c r="CN20" s="149" t="str">
        <f>IF($B20=0,"",$N20*'MF Rents'!CP20*'MF Rollover'!CM20)</f>
        <v/>
      </c>
      <c r="CO20" s="149" t="str">
        <f>IF($B20=0,"",$N20*'MF Rents'!CQ20*'MF Rollover'!CN20)</f>
        <v/>
      </c>
      <c r="CP20" s="149" t="str">
        <f>IF($B20=0,"",$N20*'MF Rents'!CR20*'MF Rollover'!CO20)</f>
        <v/>
      </c>
      <c r="CQ20" s="149" t="str">
        <f>IF($B20=0,"",$N20*'MF Rents'!CS20*'MF Rollover'!CP20)</f>
        <v/>
      </c>
      <c r="CR20" s="149" t="str">
        <f>IF($B20=0,"",$N20*'MF Rents'!CT20*'MF Rollover'!CQ20)</f>
        <v/>
      </c>
      <c r="CS20" s="149" t="str">
        <f>IF($B20=0,"",$N20*'MF Rents'!CU20*'MF Rollover'!CR20)</f>
        <v/>
      </c>
      <c r="CT20" s="149" t="str">
        <f>IF($B20=0,"",$N20*'MF Rents'!CV20*'MF Rollover'!CS20)</f>
        <v/>
      </c>
      <c r="CU20" s="149" t="str">
        <f>IF($B20=0,"",$N20*'MF Rents'!CW20*'MF Rollover'!CT20)</f>
        <v/>
      </c>
      <c r="CV20" s="149" t="str">
        <f>IF($B20=0,"",$N20*'MF Rents'!CX20*'MF Rollover'!CU20)</f>
        <v/>
      </c>
      <c r="CW20" s="149" t="str">
        <f>IF($B20=0,"",$N20*'MF Rents'!CY20*'MF Rollover'!CV20)</f>
        <v/>
      </c>
      <c r="CX20" s="149" t="str">
        <f>IF($B20=0,"",$N20*'MF Rents'!CZ20*'MF Rollover'!CW20)</f>
        <v/>
      </c>
      <c r="CY20" s="149" t="str">
        <f>IF($B20=0,"",$N20*'MF Rents'!DA20*'MF Rollover'!CX20)</f>
        <v/>
      </c>
      <c r="CZ20" s="149" t="str">
        <f>IF($B20=0,"",$N20*'MF Rents'!DB20*'MF Rollover'!CY20)</f>
        <v/>
      </c>
      <c r="DA20" s="149" t="str">
        <f>IF($B20=0,"",$N20*'MF Rents'!DC20*'MF Rollover'!CZ20)</f>
        <v/>
      </c>
      <c r="DB20" s="149" t="str">
        <f>IF($B20=0,"",$N20*'MF Rents'!DD20*'MF Rollover'!DA20)</f>
        <v/>
      </c>
      <c r="DC20" s="149" t="str">
        <f>IF($B20=0,"",$N20*'MF Rents'!DE20*'MF Rollover'!DB20)</f>
        <v/>
      </c>
      <c r="DD20" s="149" t="str">
        <f>IF($B20=0,"",$N20*'MF Rents'!DF20*'MF Rollover'!DC20)</f>
        <v/>
      </c>
      <c r="DE20" s="149" t="str">
        <f>IF($B20=0,"",$N20*'MF Rents'!DG20*'MF Rollover'!DD20)</f>
        <v/>
      </c>
      <c r="DF20" s="149" t="str">
        <f>IF($B20=0,"",$N20*'MF Rents'!DH20*'MF Rollover'!DE20)</f>
        <v/>
      </c>
      <c r="DG20" s="149" t="str">
        <f>IF($B20=0,"",$N20*'MF Rents'!DI20*'MF Rollover'!DF20)</f>
        <v/>
      </c>
      <c r="DH20" s="149" t="str">
        <f>IF($B20=0,"",$N20*'MF Rents'!DJ20*'MF Rollover'!DG20)</f>
        <v/>
      </c>
      <c r="DI20" s="149" t="str">
        <f>IF($B20=0,"",$N20*'MF Rents'!DK20*'MF Rollover'!DH20)</f>
        <v/>
      </c>
      <c r="DJ20" s="149" t="str">
        <f>IF($B20=0,"",$N20*'MF Rents'!DL20*'MF Rollover'!DI20)</f>
        <v/>
      </c>
      <c r="DK20" s="149" t="str">
        <f>IF($B20=0,"",$N20*'MF Rents'!DM20*'MF Rollover'!DJ20)</f>
        <v/>
      </c>
      <c r="DL20" s="149" t="str">
        <f>IF($B20=0,"",$N20*'MF Rents'!DN20*'MF Rollover'!DK20)</f>
        <v/>
      </c>
      <c r="DM20" s="149" t="str">
        <f>IF($B20=0,"",$N20*'MF Rents'!DO20*'MF Rollover'!DL20)</f>
        <v/>
      </c>
      <c r="DN20" s="149" t="str">
        <f>IF($B20=0,"",$N20*'MF Rents'!DP20*'MF Rollover'!DM20)</f>
        <v/>
      </c>
      <c r="DO20" s="149" t="str">
        <f>IF($B20=0,"",$N20*'MF Rents'!DQ20*'MF Rollover'!DN20)</f>
        <v/>
      </c>
      <c r="DP20" s="149" t="str">
        <f>IF($B20=0,"",$N20*'MF Rents'!DR20*'MF Rollover'!DO20)</f>
        <v/>
      </c>
      <c r="DQ20" s="149" t="str">
        <f>IF($B20=0,"",$N20*'MF Rents'!DS20*'MF Rollover'!DP20)</f>
        <v/>
      </c>
      <c r="DR20" s="149" t="str">
        <f>IF($B20=0,"",$N20*'MF Rents'!DT20*'MF Rollover'!DQ20)</f>
        <v/>
      </c>
      <c r="DS20" s="149" t="str">
        <f>IF($B20=0,"",$N20*'MF Rents'!DU20*'MF Rollover'!DR20)</f>
        <v/>
      </c>
      <c r="DT20" s="149" t="str">
        <f>IF($B20=0,"",$N20*'MF Rents'!DV20*'MF Rollover'!DS20)</f>
        <v/>
      </c>
      <c r="DU20" s="149" t="str">
        <f>IF($B20=0,"",$N20*'MF Rents'!DW20*'MF Rollover'!DT20)</f>
        <v/>
      </c>
      <c r="DV20" s="149" t="str">
        <f>IF($B20=0,"",$N20*'MF Rents'!DX20*'MF Rollover'!DU20)</f>
        <v/>
      </c>
      <c r="DW20" s="149" t="str">
        <f>IF($B20=0,"",$N20*'MF Rents'!DY20*'MF Rollover'!DV20)</f>
        <v/>
      </c>
      <c r="DX20" s="149" t="str">
        <f>IF($B20=0,"",$N20*'MF Rents'!DZ20*'MF Rollover'!DW20)</f>
        <v/>
      </c>
      <c r="DY20" s="149" t="str">
        <f>IF($B20=0,"",$N20*'MF Rents'!EA20*'MF Rollover'!DX20)</f>
        <v/>
      </c>
      <c r="DZ20" s="149" t="str">
        <f>IF($B20=0,"",$N20*'MF Rents'!EB20*'MF Rollover'!DY20)</f>
        <v/>
      </c>
      <c r="EA20" s="149" t="str">
        <f>IF($B20=0,"",$N20*'MF Rents'!EC20*'MF Rollover'!DZ20)</f>
        <v/>
      </c>
      <c r="EB20" s="149" t="str">
        <f>IF($B20=0,"",$N20*'MF Rents'!ED20*'MF Rollover'!EA20)</f>
        <v/>
      </c>
      <c r="EC20" s="149" t="str">
        <f>IF($B20=0,"",$N20*'MF Rents'!EE20*'MF Rollover'!EB20)</f>
        <v/>
      </c>
      <c r="ED20" s="149" t="str">
        <f>IF($B20=0,"",$N20*'MF Rents'!EF20*'MF Rollover'!EC20)</f>
        <v/>
      </c>
      <c r="EE20" s="149" t="str">
        <f>IF($B20=0,"",$N20*'MF Rents'!EG20*'MF Rollover'!ED20)</f>
        <v/>
      </c>
      <c r="EF20" s="149" t="str">
        <f>IF($B20=0,"",$N20*'MF Rents'!EH20*'MF Rollover'!EE20)</f>
        <v/>
      </c>
      <c r="EG20" s="149" t="str">
        <f>IF($B20=0,"",$N20*'MF Rents'!EI20*'MF Rollover'!EF20)</f>
        <v/>
      </c>
      <c r="EH20" s="149" t="str">
        <f>IF($B20=0,"",$N20*'MF Rents'!EJ20*'MF Rollover'!EG20)</f>
        <v/>
      </c>
      <c r="EI20" s="149" t="str">
        <f>IF($B20=0,"",$N20*'MF Rents'!EK20*'MF Rollover'!EH20)</f>
        <v/>
      </c>
      <c r="EJ20" s="149" t="str">
        <f>IF($B20=0,"",$N20*'MF Rents'!EL20*'MF Rollover'!EI20)</f>
        <v/>
      </c>
      <c r="EK20" s="149" t="str">
        <f>IF($B20=0,"",$N20*'MF Rents'!EM20*'MF Rollover'!EJ20)</f>
        <v/>
      </c>
      <c r="EL20" s="149" t="str">
        <f>IF($B20=0,"",$N20*'MF Rents'!EN20*'MF Rollover'!EK20)</f>
        <v/>
      </c>
      <c r="EM20" s="149" t="str">
        <f>IF($B20=0,"",$N20*'MF Rents'!EO20*'MF Rollover'!EL20)</f>
        <v/>
      </c>
      <c r="EN20" s="149" t="str">
        <f>IF($B20=0,"",$N20*'MF Rents'!EP20*'MF Rollover'!EM20)</f>
        <v/>
      </c>
      <c r="EO20" s="149" t="str">
        <f>IF($B20=0,"",$N20*'MF Rents'!EQ20*'MF Rollover'!EN20)</f>
        <v/>
      </c>
      <c r="EP20" s="149" t="str">
        <f>IF($B20=0,"",$N20*'MF Rents'!ER20*'MF Rollover'!EO20)</f>
        <v/>
      </c>
      <c r="EQ20" s="149" t="str">
        <f>IF($B20=0,"",$N20*'MF Rents'!ES20*'MF Rollover'!EP20)</f>
        <v/>
      </c>
      <c r="ER20" s="149" t="str">
        <f>IF($B20=0,"",$N20*'MF Rents'!ET20*'MF Rollover'!EQ20)</f>
        <v/>
      </c>
      <c r="ES20" s="149" t="str">
        <f>IF($B20=0,"",$N20*'MF Rents'!EU20*'MF Rollover'!ER20)</f>
        <v/>
      </c>
      <c r="ET20" s="149" t="str">
        <f>IF($B20=0,"",$N20*'MF Rents'!EV20*'MF Rollover'!ES20)</f>
        <v/>
      </c>
      <c r="EU20" s="149" t="str">
        <f>IF($B20=0,"",$N20*'MF Rents'!EW20*'MF Rollover'!ET20)</f>
        <v/>
      </c>
      <c r="EV20" s="149" t="str">
        <f>IF($B20=0,"",$N20*'MF Rents'!EX20*'MF Rollover'!EU20)</f>
        <v/>
      </c>
      <c r="EW20" s="149" t="str">
        <f>IF($B20=0,"",$N20*'MF Rents'!EY20*'MF Rollover'!EV20)</f>
        <v/>
      </c>
      <c r="EX20" s="149" t="str">
        <f>IF($B20=0,"",$N20*'MF Rents'!EZ20*'MF Rollover'!EW20)</f>
        <v/>
      </c>
      <c r="EY20" s="149" t="str">
        <f>IF($B20=0,"",$N20*'MF Rents'!FA20*'MF Rollover'!EX20)</f>
        <v/>
      </c>
      <c r="EZ20" s="149" t="str">
        <f>IF($B20=0,"",$N20*'MF Rents'!FB20*'MF Rollover'!EY20)</f>
        <v/>
      </c>
      <c r="FA20" s="149" t="str">
        <f>IF($B20=0,"",$N20*'MF Rents'!FC20*'MF Rollover'!EZ20)</f>
        <v/>
      </c>
      <c r="FB20" s="149" t="str">
        <f>IF($B20=0,"",$N20*'MF Rents'!FD20*'MF Rollover'!FA20)</f>
        <v/>
      </c>
      <c r="FC20" s="149" t="str">
        <f>IF($B20=0,"",$N20*'MF Rents'!FE20*'MF Rollover'!FB20)</f>
        <v/>
      </c>
      <c r="FD20" s="149" t="str">
        <f>IF($B20=0,"",$N20*'MF Rents'!FF20*'MF Rollover'!FC20)</f>
        <v/>
      </c>
      <c r="FE20" s="149" t="str">
        <f>IF($B20=0,"",$N20*'MF Rents'!FG20*'MF Rollover'!FD20)</f>
        <v/>
      </c>
      <c r="FF20" s="149" t="str">
        <f>IF($B20=0,"",$N20*'MF Rents'!FH20*'MF Rollover'!FE20)</f>
        <v/>
      </c>
      <c r="FG20" s="149" t="str">
        <f>IF($B20=0,"",$N20*'MF Rents'!FI20*'MF Rollover'!FF20)</f>
        <v/>
      </c>
      <c r="FH20" s="149" t="str">
        <f>IF($B20=0,"",$N20*'MF Rents'!FJ20*'MF Rollover'!FG20)</f>
        <v/>
      </c>
      <c r="FI20" s="149" t="str">
        <f>IF($B20=0,"",$N20*'MF Rents'!FK20*'MF Rollover'!FH20)</f>
        <v/>
      </c>
      <c r="FJ20" s="149" t="str">
        <f>IF($B20=0,"",$N20*'MF Rents'!FL20*'MF Rollover'!FI20)</f>
        <v/>
      </c>
      <c r="FK20" s="149" t="str">
        <f>IF($B20=0,"",$N20*'MF Rents'!FM20*'MF Rollover'!FJ20)</f>
        <v/>
      </c>
      <c r="FL20" s="149" t="str">
        <f>IF($B20=0,"",$N20*'MF Rents'!FN20*'MF Rollover'!FK20)</f>
        <v/>
      </c>
      <c r="FM20" s="149" t="str">
        <f>IF($B20=0,"",$N20*'MF Rents'!FO20*'MF Rollover'!FL20)</f>
        <v/>
      </c>
      <c r="FN20" s="149" t="str">
        <f>IF($B20=0,"",$N20*'MF Rents'!FP20*'MF Rollover'!FM20)</f>
        <v/>
      </c>
      <c r="FO20" s="149" t="str">
        <f>IF($B20=0,"",$N20*'MF Rents'!FQ20*'MF Rollover'!FN20)</f>
        <v/>
      </c>
      <c r="FP20" s="149" t="str">
        <f>IF($B20=0,"",$N20*'MF Rents'!FR20*'MF Rollover'!FO20)</f>
        <v/>
      </c>
      <c r="FQ20" s="149" t="str">
        <f>IF($B20=0,"",$N20*'MF Rents'!FS20*'MF Rollover'!FP20)</f>
        <v/>
      </c>
      <c r="FR20" s="149" t="str">
        <f>IF($B20=0,"",$N20*'MF Rents'!FT20*'MF Rollover'!FQ20)</f>
        <v/>
      </c>
      <c r="FS20" s="149" t="str">
        <f>IF($B20=0,"",$N20*'MF Rents'!FU20*'MF Rollover'!FR20)</f>
        <v/>
      </c>
      <c r="FT20" s="149" t="str">
        <f>IF($B20=0,"",$N20*'MF Rents'!FV20*'MF Rollover'!FS20)</f>
        <v/>
      </c>
      <c r="FU20" s="149" t="str">
        <f>IF($B20=0,"",$N20*'MF Rents'!FW20*'MF Rollover'!FT20)</f>
        <v/>
      </c>
      <c r="FV20" s="149" t="str">
        <f>IF($B20=0,"",$N20*'MF Rents'!FX20*'MF Rollover'!FU20)</f>
        <v/>
      </c>
      <c r="FW20" s="149" t="str">
        <f>IF($B20=0,"",$N20*'MF Rents'!FY20*'MF Rollover'!FV20)</f>
        <v/>
      </c>
      <c r="FX20" s="149" t="str">
        <f>IF($B20=0,"",$N20*'MF Rents'!FZ20*'MF Rollover'!FW20)</f>
        <v/>
      </c>
      <c r="FY20" s="149" t="str">
        <f>IF($B20=0,"",$N20*'MF Rents'!GA20*'MF Rollover'!FX20)</f>
        <v/>
      </c>
      <c r="FZ20" s="149" t="str">
        <f>IF($B20=0,"",$N20*'MF Rents'!GB20*'MF Rollover'!FY20)</f>
        <v/>
      </c>
      <c r="GA20" s="149" t="str">
        <f>IF($B20=0,"",$N20*'MF Rents'!GC20*'MF Rollover'!FZ20)</f>
        <v/>
      </c>
      <c r="GB20" s="149" t="str">
        <f>IF($B20=0,"",$N20*'MF Rents'!GD20*'MF Rollover'!GA20)</f>
        <v/>
      </c>
      <c r="GC20" s="149" t="str">
        <f>IF($B20=0,"",$N20*'MF Rents'!GE20*'MF Rollover'!GB20)</f>
        <v/>
      </c>
      <c r="GD20" s="149" t="str">
        <f>IF($B20=0,"",$N20*'MF Rents'!GF20*'MF Rollover'!GC20)</f>
        <v/>
      </c>
      <c r="GE20" s="149" t="str">
        <f>IF($B20=0,"",$N20*'MF Rents'!GG20*'MF Rollover'!GD20)</f>
        <v/>
      </c>
      <c r="GF20" s="149" t="str">
        <f>IF($B20=0,"",$N20*'MF Rents'!GH20*'MF Rollover'!GE20)</f>
        <v/>
      </c>
      <c r="GG20" s="149" t="str">
        <f>IF($B20=0,"",$N20*'MF Rents'!GI20*'MF Rollover'!GF20)</f>
        <v/>
      </c>
      <c r="GH20" s="149" t="str">
        <f>IF($B20=0,"",$N20*'MF Rents'!GJ20*'MF Rollover'!GG20)</f>
        <v/>
      </c>
      <c r="GI20" s="149" t="str">
        <f>IF($B20=0,"",$N20*'MF Rents'!GK20*'MF Rollover'!GH20)</f>
        <v/>
      </c>
      <c r="GJ20" s="149" t="str">
        <f>IF($B20=0,"",$N20*'MF Rents'!GL20*'MF Rollover'!GI20)</f>
        <v/>
      </c>
      <c r="GK20" s="149" t="str">
        <f>IF($B20=0,"",$N20*'MF Rents'!GM20*'MF Rollover'!GJ20)</f>
        <v/>
      </c>
      <c r="GL20" s="149" t="str">
        <f>IF($B20=0,"",$N20*'MF Rents'!GN20*'MF Rollover'!GK20)</f>
        <v/>
      </c>
      <c r="GM20" s="149" t="str">
        <f>IF($B20=0,"",$N20*'MF Rents'!GO20*'MF Rollover'!GL20)</f>
        <v/>
      </c>
      <c r="GN20" s="149" t="str">
        <f>IF($B20=0,"",$N20*'MF Rents'!GP20*'MF Rollover'!GM20)</f>
        <v/>
      </c>
      <c r="GO20" s="149" t="str">
        <f>IF($B20=0,"",$N20*'MF Rents'!GQ20*'MF Rollover'!GN20)</f>
        <v/>
      </c>
      <c r="GP20" s="149" t="str">
        <f>IF($B20=0,"",$N20*'MF Rents'!GR20*'MF Rollover'!GO20)</f>
        <v/>
      </c>
    </row>
    <row r="21" spans="2:198" x14ac:dyDescent="0.3">
      <c r="B21" s="184">
        <f>'MF Rent Roll'!B20</f>
        <v>0</v>
      </c>
      <c r="C21" s="171">
        <f>'MF Rent Roll'!C20</f>
        <v>0</v>
      </c>
      <c r="D21" s="172">
        <f>'MF Rent Roll'!D20</f>
        <v>0</v>
      </c>
      <c r="E21" s="172">
        <f>'MF Rent Roll'!E20</f>
        <v>0</v>
      </c>
      <c r="F21" s="173">
        <f>'MF Rent Roll'!F20</f>
        <v>0</v>
      </c>
      <c r="G21" s="174">
        <f>'MF Rent Roll'!G20</f>
        <v>0</v>
      </c>
      <c r="H21" s="176">
        <f>'MF Rent Roll'!J20</f>
        <v>0</v>
      </c>
      <c r="I21" s="174">
        <f>'MF Rent Roll'!K20</f>
        <v>0</v>
      </c>
      <c r="J21" s="177">
        <f>'MF Rent Roll'!L20</f>
        <v>0</v>
      </c>
      <c r="K21" s="178">
        <f>'MF Rent Roll'!M20</f>
        <v>0</v>
      </c>
      <c r="L21" s="174">
        <f>'MF Rent Roll'!N20</f>
        <v>0</v>
      </c>
      <c r="M21" s="179">
        <f>'MF Rent Roll'!O20</f>
        <v>0</v>
      </c>
      <c r="N21" s="180" t="str">
        <f>'MF Rent Roll'!P20</f>
        <v/>
      </c>
      <c r="O21" s="181" t="str">
        <f>'MF Rent Roll'!Q20</f>
        <v/>
      </c>
      <c r="P21" s="104" t="str">
        <f>'MF Rent Roll'!R20</f>
        <v/>
      </c>
      <c r="S21" s="149" t="str">
        <f>IF($B21=0,"",$N21*'MF Rents'!U21*'MF Rollover'!R21)</f>
        <v/>
      </c>
      <c r="T21" s="149" t="str">
        <f>IF($B21=0,"",$N21*'MF Rents'!V21*'MF Rollover'!S21)</f>
        <v/>
      </c>
      <c r="U21" s="149" t="str">
        <f>IF($B21=0,"",$N21*'MF Rents'!W21*'MF Rollover'!T21)</f>
        <v/>
      </c>
      <c r="V21" s="149" t="str">
        <f>IF($B21=0,"",$N21*'MF Rents'!X21*'MF Rollover'!U21)</f>
        <v/>
      </c>
      <c r="W21" s="149" t="str">
        <f>IF($B21=0,"",$N21*'MF Rents'!Y21*'MF Rollover'!V21)</f>
        <v/>
      </c>
      <c r="X21" s="149" t="str">
        <f>IF($B21=0,"",$N21*'MF Rents'!Z21*'MF Rollover'!W21)</f>
        <v/>
      </c>
      <c r="Y21" s="149" t="str">
        <f>IF($B21=0,"",$N21*'MF Rents'!AA21*'MF Rollover'!X21)</f>
        <v/>
      </c>
      <c r="Z21" s="149" t="str">
        <f>IF($B21=0,"",$N21*'MF Rents'!AB21*'MF Rollover'!Y21)</f>
        <v/>
      </c>
      <c r="AA21" s="149" t="str">
        <f>IF($B21=0,"",$N21*'MF Rents'!AC21*'MF Rollover'!Z21)</f>
        <v/>
      </c>
      <c r="AB21" s="149" t="str">
        <f>IF($B21=0,"",$N21*'MF Rents'!AD21*'MF Rollover'!AA21)</f>
        <v/>
      </c>
      <c r="AC21" s="149" t="str">
        <f>IF($B21=0,"",$N21*'MF Rents'!AE21*'MF Rollover'!AB21)</f>
        <v/>
      </c>
      <c r="AD21" s="149" t="str">
        <f>IF($B21=0,"",$N21*'MF Rents'!AF21*'MF Rollover'!AC21)</f>
        <v/>
      </c>
      <c r="AE21" s="149" t="str">
        <f>IF($B21=0,"",$N21*'MF Rents'!AG21*'MF Rollover'!AD21)</f>
        <v/>
      </c>
      <c r="AF21" s="149" t="str">
        <f>IF($B21=0,"",$N21*'MF Rents'!AH21*'MF Rollover'!AE21)</f>
        <v/>
      </c>
      <c r="AG21" s="149" t="str">
        <f>IF($B21=0,"",$N21*'MF Rents'!AI21*'MF Rollover'!AF21)</f>
        <v/>
      </c>
      <c r="AH21" s="149" t="str">
        <f>IF($B21=0,"",$N21*'MF Rents'!AJ21*'MF Rollover'!AG21)</f>
        <v/>
      </c>
      <c r="AI21" s="149" t="str">
        <f>IF($B21=0,"",$N21*'MF Rents'!AK21*'MF Rollover'!AH21)</f>
        <v/>
      </c>
      <c r="AJ21" s="149" t="str">
        <f>IF($B21=0,"",$N21*'MF Rents'!AL21*'MF Rollover'!AI21)</f>
        <v/>
      </c>
      <c r="AK21" s="149" t="str">
        <f>IF($B21=0,"",$N21*'MF Rents'!AM21*'MF Rollover'!AJ21)</f>
        <v/>
      </c>
      <c r="AL21" s="149" t="str">
        <f>IF($B21=0,"",$N21*'MF Rents'!AN21*'MF Rollover'!AK21)</f>
        <v/>
      </c>
      <c r="AM21" s="149" t="str">
        <f>IF($B21=0,"",$N21*'MF Rents'!AO21*'MF Rollover'!AL21)</f>
        <v/>
      </c>
      <c r="AN21" s="149" t="str">
        <f>IF($B21=0,"",$N21*'MF Rents'!AP21*'MF Rollover'!AM21)</f>
        <v/>
      </c>
      <c r="AO21" s="149" t="str">
        <f>IF($B21=0,"",$N21*'MF Rents'!AQ21*'MF Rollover'!AN21)</f>
        <v/>
      </c>
      <c r="AP21" s="149" t="str">
        <f>IF($B21=0,"",$N21*'MF Rents'!AR21*'MF Rollover'!AO21)</f>
        <v/>
      </c>
      <c r="AQ21" s="149" t="str">
        <f>IF($B21=0,"",$N21*'MF Rents'!AS21*'MF Rollover'!AP21)</f>
        <v/>
      </c>
      <c r="AR21" s="149" t="str">
        <f>IF($B21=0,"",$N21*'MF Rents'!AT21*'MF Rollover'!AQ21)</f>
        <v/>
      </c>
      <c r="AS21" s="149" t="str">
        <f>IF($B21=0,"",$N21*'MF Rents'!AU21*'MF Rollover'!AR21)</f>
        <v/>
      </c>
      <c r="AT21" s="149" t="str">
        <f>IF($B21=0,"",$N21*'MF Rents'!AV21*'MF Rollover'!AS21)</f>
        <v/>
      </c>
      <c r="AU21" s="149" t="str">
        <f>IF($B21=0,"",$N21*'MF Rents'!AW21*'MF Rollover'!AT21)</f>
        <v/>
      </c>
      <c r="AV21" s="149" t="str">
        <f>IF($B21=0,"",$N21*'MF Rents'!AX21*'MF Rollover'!AU21)</f>
        <v/>
      </c>
      <c r="AW21" s="149" t="str">
        <f>IF($B21=0,"",$N21*'MF Rents'!AY21*'MF Rollover'!AV21)</f>
        <v/>
      </c>
      <c r="AX21" s="149" t="str">
        <f>IF($B21=0,"",$N21*'MF Rents'!AZ21*'MF Rollover'!AW21)</f>
        <v/>
      </c>
      <c r="AY21" s="149" t="str">
        <f>IF($B21=0,"",$N21*'MF Rents'!BA21*'MF Rollover'!AX21)</f>
        <v/>
      </c>
      <c r="AZ21" s="149" t="str">
        <f>IF($B21=0,"",$N21*'MF Rents'!BB21*'MF Rollover'!AY21)</f>
        <v/>
      </c>
      <c r="BA21" s="149" t="str">
        <f>IF($B21=0,"",$N21*'MF Rents'!BC21*'MF Rollover'!AZ21)</f>
        <v/>
      </c>
      <c r="BB21" s="149" t="str">
        <f>IF($B21=0,"",$N21*'MF Rents'!BD21*'MF Rollover'!BA21)</f>
        <v/>
      </c>
      <c r="BC21" s="149" t="str">
        <f>IF($B21=0,"",$N21*'MF Rents'!BE21*'MF Rollover'!BB21)</f>
        <v/>
      </c>
      <c r="BD21" s="149" t="str">
        <f>IF($B21=0,"",$N21*'MF Rents'!BF21*'MF Rollover'!BC21)</f>
        <v/>
      </c>
      <c r="BE21" s="149" t="str">
        <f>IF($B21=0,"",$N21*'MF Rents'!BG21*'MF Rollover'!BD21)</f>
        <v/>
      </c>
      <c r="BF21" s="149" t="str">
        <f>IF($B21=0,"",$N21*'MF Rents'!BH21*'MF Rollover'!BE21)</f>
        <v/>
      </c>
      <c r="BG21" s="149" t="str">
        <f>IF($B21=0,"",$N21*'MF Rents'!BI21*'MF Rollover'!BF21)</f>
        <v/>
      </c>
      <c r="BH21" s="149" t="str">
        <f>IF($B21=0,"",$N21*'MF Rents'!BJ21*'MF Rollover'!BG21)</f>
        <v/>
      </c>
      <c r="BI21" s="149" t="str">
        <f>IF($B21=0,"",$N21*'MF Rents'!BK21*'MF Rollover'!BH21)</f>
        <v/>
      </c>
      <c r="BJ21" s="149" t="str">
        <f>IF($B21=0,"",$N21*'MF Rents'!BL21*'MF Rollover'!BI21)</f>
        <v/>
      </c>
      <c r="BK21" s="149" t="str">
        <f>IF($B21=0,"",$N21*'MF Rents'!BM21*'MF Rollover'!BJ21)</f>
        <v/>
      </c>
      <c r="BL21" s="149" t="str">
        <f>IF($B21=0,"",$N21*'MF Rents'!BN21*'MF Rollover'!BK21)</f>
        <v/>
      </c>
      <c r="BM21" s="149" t="str">
        <f>IF($B21=0,"",$N21*'MF Rents'!BO21*'MF Rollover'!BL21)</f>
        <v/>
      </c>
      <c r="BN21" s="149" t="str">
        <f>IF($B21=0,"",$N21*'MF Rents'!BP21*'MF Rollover'!BM21)</f>
        <v/>
      </c>
      <c r="BO21" s="149" t="str">
        <f>IF($B21=0,"",$N21*'MF Rents'!BQ21*'MF Rollover'!BN21)</f>
        <v/>
      </c>
      <c r="BP21" s="149" t="str">
        <f>IF($B21=0,"",$N21*'MF Rents'!BR21*'MF Rollover'!BO21)</f>
        <v/>
      </c>
      <c r="BQ21" s="149" t="str">
        <f>IF($B21=0,"",$N21*'MF Rents'!BS21*'MF Rollover'!BP21)</f>
        <v/>
      </c>
      <c r="BR21" s="149" t="str">
        <f>IF($B21=0,"",$N21*'MF Rents'!BT21*'MF Rollover'!BQ21)</f>
        <v/>
      </c>
      <c r="BS21" s="149" t="str">
        <f>IF($B21=0,"",$N21*'MF Rents'!BU21*'MF Rollover'!BR21)</f>
        <v/>
      </c>
      <c r="BT21" s="149" t="str">
        <f>IF($B21=0,"",$N21*'MF Rents'!BV21*'MF Rollover'!BS21)</f>
        <v/>
      </c>
      <c r="BU21" s="149" t="str">
        <f>IF($B21=0,"",$N21*'MF Rents'!BW21*'MF Rollover'!BT21)</f>
        <v/>
      </c>
      <c r="BV21" s="149" t="str">
        <f>IF($B21=0,"",$N21*'MF Rents'!BX21*'MF Rollover'!BU21)</f>
        <v/>
      </c>
      <c r="BW21" s="149" t="str">
        <f>IF($B21=0,"",$N21*'MF Rents'!BY21*'MF Rollover'!BV21)</f>
        <v/>
      </c>
      <c r="BX21" s="149" t="str">
        <f>IF($B21=0,"",$N21*'MF Rents'!BZ21*'MF Rollover'!BW21)</f>
        <v/>
      </c>
      <c r="BY21" s="149" t="str">
        <f>IF($B21=0,"",$N21*'MF Rents'!CA21*'MF Rollover'!BX21)</f>
        <v/>
      </c>
      <c r="BZ21" s="149" t="str">
        <f>IF($B21=0,"",$N21*'MF Rents'!CB21*'MF Rollover'!BY21)</f>
        <v/>
      </c>
      <c r="CA21" s="149" t="str">
        <f>IF($B21=0,"",$N21*'MF Rents'!CC21*'MF Rollover'!BZ21)</f>
        <v/>
      </c>
      <c r="CB21" s="149" t="str">
        <f>IF($B21=0,"",$N21*'MF Rents'!CD21*'MF Rollover'!CA21)</f>
        <v/>
      </c>
      <c r="CC21" s="149" t="str">
        <f>IF($B21=0,"",$N21*'MF Rents'!CE21*'MF Rollover'!CB21)</f>
        <v/>
      </c>
      <c r="CD21" s="149" t="str">
        <f>IF($B21=0,"",$N21*'MF Rents'!CF21*'MF Rollover'!CC21)</f>
        <v/>
      </c>
      <c r="CE21" s="149" t="str">
        <f>IF($B21=0,"",$N21*'MF Rents'!CG21*'MF Rollover'!CD21)</f>
        <v/>
      </c>
      <c r="CF21" s="149" t="str">
        <f>IF($B21=0,"",$N21*'MF Rents'!CH21*'MF Rollover'!CE21)</f>
        <v/>
      </c>
      <c r="CG21" s="149" t="str">
        <f>IF($B21=0,"",$N21*'MF Rents'!CI21*'MF Rollover'!CF21)</f>
        <v/>
      </c>
      <c r="CH21" s="149" t="str">
        <f>IF($B21=0,"",$N21*'MF Rents'!CJ21*'MF Rollover'!CG21)</f>
        <v/>
      </c>
      <c r="CI21" s="149" t="str">
        <f>IF($B21=0,"",$N21*'MF Rents'!CK21*'MF Rollover'!CH21)</f>
        <v/>
      </c>
      <c r="CJ21" s="149" t="str">
        <f>IF($B21=0,"",$N21*'MF Rents'!CL21*'MF Rollover'!CI21)</f>
        <v/>
      </c>
      <c r="CK21" s="149" t="str">
        <f>IF($B21=0,"",$N21*'MF Rents'!CM21*'MF Rollover'!CJ21)</f>
        <v/>
      </c>
      <c r="CL21" s="149" t="str">
        <f>IF($B21=0,"",$N21*'MF Rents'!CN21*'MF Rollover'!CK21)</f>
        <v/>
      </c>
      <c r="CM21" s="149" t="str">
        <f>IF($B21=0,"",$N21*'MF Rents'!CO21*'MF Rollover'!CL21)</f>
        <v/>
      </c>
      <c r="CN21" s="149" t="str">
        <f>IF($B21=0,"",$N21*'MF Rents'!CP21*'MF Rollover'!CM21)</f>
        <v/>
      </c>
      <c r="CO21" s="149" t="str">
        <f>IF($B21=0,"",$N21*'MF Rents'!CQ21*'MF Rollover'!CN21)</f>
        <v/>
      </c>
      <c r="CP21" s="149" t="str">
        <f>IF($B21=0,"",$N21*'MF Rents'!CR21*'MF Rollover'!CO21)</f>
        <v/>
      </c>
      <c r="CQ21" s="149" t="str">
        <f>IF($B21=0,"",$N21*'MF Rents'!CS21*'MF Rollover'!CP21)</f>
        <v/>
      </c>
      <c r="CR21" s="149" t="str">
        <f>IF($B21=0,"",$N21*'MF Rents'!CT21*'MF Rollover'!CQ21)</f>
        <v/>
      </c>
      <c r="CS21" s="149" t="str">
        <f>IF($B21=0,"",$N21*'MF Rents'!CU21*'MF Rollover'!CR21)</f>
        <v/>
      </c>
      <c r="CT21" s="149" t="str">
        <f>IF($B21=0,"",$N21*'MF Rents'!CV21*'MF Rollover'!CS21)</f>
        <v/>
      </c>
      <c r="CU21" s="149" t="str">
        <f>IF($B21=0,"",$N21*'MF Rents'!CW21*'MF Rollover'!CT21)</f>
        <v/>
      </c>
      <c r="CV21" s="149" t="str">
        <f>IF($B21=0,"",$N21*'MF Rents'!CX21*'MF Rollover'!CU21)</f>
        <v/>
      </c>
      <c r="CW21" s="149" t="str">
        <f>IF($B21=0,"",$N21*'MF Rents'!CY21*'MF Rollover'!CV21)</f>
        <v/>
      </c>
      <c r="CX21" s="149" t="str">
        <f>IF($B21=0,"",$N21*'MF Rents'!CZ21*'MF Rollover'!CW21)</f>
        <v/>
      </c>
      <c r="CY21" s="149" t="str">
        <f>IF($B21=0,"",$N21*'MF Rents'!DA21*'MF Rollover'!CX21)</f>
        <v/>
      </c>
      <c r="CZ21" s="149" t="str">
        <f>IF($B21=0,"",$N21*'MF Rents'!DB21*'MF Rollover'!CY21)</f>
        <v/>
      </c>
      <c r="DA21" s="149" t="str">
        <f>IF($B21=0,"",$N21*'MF Rents'!DC21*'MF Rollover'!CZ21)</f>
        <v/>
      </c>
      <c r="DB21" s="149" t="str">
        <f>IF($B21=0,"",$N21*'MF Rents'!DD21*'MF Rollover'!DA21)</f>
        <v/>
      </c>
      <c r="DC21" s="149" t="str">
        <f>IF($B21=0,"",$N21*'MF Rents'!DE21*'MF Rollover'!DB21)</f>
        <v/>
      </c>
      <c r="DD21" s="149" t="str">
        <f>IF($B21=0,"",$N21*'MF Rents'!DF21*'MF Rollover'!DC21)</f>
        <v/>
      </c>
      <c r="DE21" s="149" t="str">
        <f>IF($B21=0,"",$N21*'MF Rents'!DG21*'MF Rollover'!DD21)</f>
        <v/>
      </c>
      <c r="DF21" s="149" t="str">
        <f>IF($B21=0,"",$N21*'MF Rents'!DH21*'MF Rollover'!DE21)</f>
        <v/>
      </c>
      <c r="DG21" s="149" t="str">
        <f>IF($B21=0,"",$N21*'MF Rents'!DI21*'MF Rollover'!DF21)</f>
        <v/>
      </c>
      <c r="DH21" s="149" t="str">
        <f>IF($B21=0,"",$N21*'MF Rents'!DJ21*'MF Rollover'!DG21)</f>
        <v/>
      </c>
      <c r="DI21" s="149" t="str">
        <f>IF($B21=0,"",$N21*'MF Rents'!DK21*'MF Rollover'!DH21)</f>
        <v/>
      </c>
      <c r="DJ21" s="149" t="str">
        <f>IF($B21=0,"",$N21*'MF Rents'!DL21*'MF Rollover'!DI21)</f>
        <v/>
      </c>
      <c r="DK21" s="149" t="str">
        <f>IF($B21=0,"",$N21*'MF Rents'!DM21*'MF Rollover'!DJ21)</f>
        <v/>
      </c>
      <c r="DL21" s="149" t="str">
        <f>IF($B21=0,"",$N21*'MF Rents'!DN21*'MF Rollover'!DK21)</f>
        <v/>
      </c>
      <c r="DM21" s="149" t="str">
        <f>IF($B21=0,"",$N21*'MF Rents'!DO21*'MF Rollover'!DL21)</f>
        <v/>
      </c>
      <c r="DN21" s="149" t="str">
        <f>IF($B21=0,"",$N21*'MF Rents'!DP21*'MF Rollover'!DM21)</f>
        <v/>
      </c>
      <c r="DO21" s="149" t="str">
        <f>IF($B21=0,"",$N21*'MF Rents'!DQ21*'MF Rollover'!DN21)</f>
        <v/>
      </c>
      <c r="DP21" s="149" t="str">
        <f>IF($B21=0,"",$N21*'MF Rents'!DR21*'MF Rollover'!DO21)</f>
        <v/>
      </c>
      <c r="DQ21" s="149" t="str">
        <f>IF($B21=0,"",$N21*'MF Rents'!DS21*'MF Rollover'!DP21)</f>
        <v/>
      </c>
      <c r="DR21" s="149" t="str">
        <f>IF($B21=0,"",$N21*'MF Rents'!DT21*'MF Rollover'!DQ21)</f>
        <v/>
      </c>
      <c r="DS21" s="149" t="str">
        <f>IF($B21=0,"",$N21*'MF Rents'!DU21*'MF Rollover'!DR21)</f>
        <v/>
      </c>
      <c r="DT21" s="149" t="str">
        <f>IF($B21=0,"",$N21*'MF Rents'!DV21*'MF Rollover'!DS21)</f>
        <v/>
      </c>
      <c r="DU21" s="149" t="str">
        <f>IF($B21=0,"",$N21*'MF Rents'!DW21*'MF Rollover'!DT21)</f>
        <v/>
      </c>
      <c r="DV21" s="149" t="str">
        <f>IF($B21=0,"",$N21*'MF Rents'!DX21*'MF Rollover'!DU21)</f>
        <v/>
      </c>
      <c r="DW21" s="149" t="str">
        <f>IF($B21=0,"",$N21*'MF Rents'!DY21*'MF Rollover'!DV21)</f>
        <v/>
      </c>
      <c r="DX21" s="149" t="str">
        <f>IF($B21=0,"",$N21*'MF Rents'!DZ21*'MF Rollover'!DW21)</f>
        <v/>
      </c>
      <c r="DY21" s="149" t="str">
        <f>IF($B21=0,"",$N21*'MF Rents'!EA21*'MF Rollover'!DX21)</f>
        <v/>
      </c>
      <c r="DZ21" s="149" t="str">
        <f>IF($B21=0,"",$N21*'MF Rents'!EB21*'MF Rollover'!DY21)</f>
        <v/>
      </c>
      <c r="EA21" s="149" t="str">
        <f>IF($B21=0,"",$N21*'MF Rents'!EC21*'MF Rollover'!DZ21)</f>
        <v/>
      </c>
      <c r="EB21" s="149" t="str">
        <f>IF($B21=0,"",$N21*'MF Rents'!ED21*'MF Rollover'!EA21)</f>
        <v/>
      </c>
      <c r="EC21" s="149" t="str">
        <f>IF($B21=0,"",$N21*'MF Rents'!EE21*'MF Rollover'!EB21)</f>
        <v/>
      </c>
      <c r="ED21" s="149" t="str">
        <f>IF($B21=0,"",$N21*'MF Rents'!EF21*'MF Rollover'!EC21)</f>
        <v/>
      </c>
      <c r="EE21" s="149" t="str">
        <f>IF($B21=0,"",$N21*'MF Rents'!EG21*'MF Rollover'!ED21)</f>
        <v/>
      </c>
      <c r="EF21" s="149" t="str">
        <f>IF($B21=0,"",$N21*'MF Rents'!EH21*'MF Rollover'!EE21)</f>
        <v/>
      </c>
      <c r="EG21" s="149" t="str">
        <f>IF($B21=0,"",$N21*'MF Rents'!EI21*'MF Rollover'!EF21)</f>
        <v/>
      </c>
      <c r="EH21" s="149" t="str">
        <f>IF($B21=0,"",$N21*'MF Rents'!EJ21*'MF Rollover'!EG21)</f>
        <v/>
      </c>
      <c r="EI21" s="149" t="str">
        <f>IF($B21=0,"",$N21*'MF Rents'!EK21*'MF Rollover'!EH21)</f>
        <v/>
      </c>
      <c r="EJ21" s="149" t="str">
        <f>IF($B21=0,"",$N21*'MF Rents'!EL21*'MF Rollover'!EI21)</f>
        <v/>
      </c>
      <c r="EK21" s="149" t="str">
        <f>IF($B21=0,"",$N21*'MF Rents'!EM21*'MF Rollover'!EJ21)</f>
        <v/>
      </c>
      <c r="EL21" s="149" t="str">
        <f>IF($B21=0,"",$N21*'MF Rents'!EN21*'MF Rollover'!EK21)</f>
        <v/>
      </c>
      <c r="EM21" s="149" t="str">
        <f>IF($B21=0,"",$N21*'MF Rents'!EO21*'MF Rollover'!EL21)</f>
        <v/>
      </c>
      <c r="EN21" s="149" t="str">
        <f>IF($B21=0,"",$N21*'MF Rents'!EP21*'MF Rollover'!EM21)</f>
        <v/>
      </c>
      <c r="EO21" s="149" t="str">
        <f>IF($B21=0,"",$N21*'MF Rents'!EQ21*'MF Rollover'!EN21)</f>
        <v/>
      </c>
      <c r="EP21" s="149" t="str">
        <f>IF($B21=0,"",$N21*'MF Rents'!ER21*'MF Rollover'!EO21)</f>
        <v/>
      </c>
      <c r="EQ21" s="149" t="str">
        <f>IF($B21=0,"",$N21*'MF Rents'!ES21*'MF Rollover'!EP21)</f>
        <v/>
      </c>
      <c r="ER21" s="149" t="str">
        <f>IF($B21=0,"",$N21*'MF Rents'!ET21*'MF Rollover'!EQ21)</f>
        <v/>
      </c>
      <c r="ES21" s="149" t="str">
        <f>IF($B21=0,"",$N21*'MF Rents'!EU21*'MF Rollover'!ER21)</f>
        <v/>
      </c>
      <c r="ET21" s="149" t="str">
        <f>IF($B21=0,"",$N21*'MF Rents'!EV21*'MF Rollover'!ES21)</f>
        <v/>
      </c>
      <c r="EU21" s="149" t="str">
        <f>IF($B21=0,"",$N21*'MF Rents'!EW21*'MF Rollover'!ET21)</f>
        <v/>
      </c>
      <c r="EV21" s="149" t="str">
        <f>IF($B21=0,"",$N21*'MF Rents'!EX21*'MF Rollover'!EU21)</f>
        <v/>
      </c>
      <c r="EW21" s="149" t="str">
        <f>IF($B21=0,"",$N21*'MF Rents'!EY21*'MF Rollover'!EV21)</f>
        <v/>
      </c>
      <c r="EX21" s="149" t="str">
        <f>IF($B21=0,"",$N21*'MF Rents'!EZ21*'MF Rollover'!EW21)</f>
        <v/>
      </c>
      <c r="EY21" s="149" t="str">
        <f>IF($B21=0,"",$N21*'MF Rents'!FA21*'MF Rollover'!EX21)</f>
        <v/>
      </c>
      <c r="EZ21" s="149" t="str">
        <f>IF($B21=0,"",$N21*'MF Rents'!FB21*'MF Rollover'!EY21)</f>
        <v/>
      </c>
      <c r="FA21" s="149" t="str">
        <f>IF($B21=0,"",$N21*'MF Rents'!FC21*'MF Rollover'!EZ21)</f>
        <v/>
      </c>
      <c r="FB21" s="149" t="str">
        <f>IF($B21=0,"",$N21*'MF Rents'!FD21*'MF Rollover'!FA21)</f>
        <v/>
      </c>
      <c r="FC21" s="149" t="str">
        <f>IF($B21=0,"",$N21*'MF Rents'!FE21*'MF Rollover'!FB21)</f>
        <v/>
      </c>
      <c r="FD21" s="149" t="str">
        <f>IF($B21=0,"",$N21*'MF Rents'!FF21*'MF Rollover'!FC21)</f>
        <v/>
      </c>
      <c r="FE21" s="149" t="str">
        <f>IF($B21=0,"",$N21*'MF Rents'!FG21*'MF Rollover'!FD21)</f>
        <v/>
      </c>
      <c r="FF21" s="149" t="str">
        <f>IF($B21=0,"",$N21*'MF Rents'!FH21*'MF Rollover'!FE21)</f>
        <v/>
      </c>
      <c r="FG21" s="149" t="str">
        <f>IF($B21=0,"",$N21*'MF Rents'!FI21*'MF Rollover'!FF21)</f>
        <v/>
      </c>
      <c r="FH21" s="149" t="str">
        <f>IF($B21=0,"",$N21*'MF Rents'!FJ21*'MF Rollover'!FG21)</f>
        <v/>
      </c>
      <c r="FI21" s="149" t="str">
        <f>IF($B21=0,"",$N21*'MF Rents'!FK21*'MF Rollover'!FH21)</f>
        <v/>
      </c>
      <c r="FJ21" s="149" t="str">
        <f>IF($B21=0,"",$N21*'MF Rents'!FL21*'MF Rollover'!FI21)</f>
        <v/>
      </c>
      <c r="FK21" s="149" t="str">
        <f>IF($B21=0,"",$N21*'MF Rents'!FM21*'MF Rollover'!FJ21)</f>
        <v/>
      </c>
      <c r="FL21" s="149" t="str">
        <f>IF($B21=0,"",$N21*'MF Rents'!FN21*'MF Rollover'!FK21)</f>
        <v/>
      </c>
      <c r="FM21" s="149" t="str">
        <f>IF($B21=0,"",$N21*'MF Rents'!FO21*'MF Rollover'!FL21)</f>
        <v/>
      </c>
      <c r="FN21" s="149" t="str">
        <f>IF($B21=0,"",$N21*'MF Rents'!FP21*'MF Rollover'!FM21)</f>
        <v/>
      </c>
      <c r="FO21" s="149" t="str">
        <f>IF($B21=0,"",$N21*'MF Rents'!FQ21*'MF Rollover'!FN21)</f>
        <v/>
      </c>
      <c r="FP21" s="149" t="str">
        <f>IF($B21=0,"",$N21*'MF Rents'!FR21*'MF Rollover'!FO21)</f>
        <v/>
      </c>
      <c r="FQ21" s="149" t="str">
        <f>IF($B21=0,"",$N21*'MF Rents'!FS21*'MF Rollover'!FP21)</f>
        <v/>
      </c>
      <c r="FR21" s="149" t="str">
        <f>IF($B21=0,"",$N21*'MF Rents'!FT21*'MF Rollover'!FQ21)</f>
        <v/>
      </c>
      <c r="FS21" s="149" t="str">
        <f>IF($B21=0,"",$N21*'MF Rents'!FU21*'MF Rollover'!FR21)</f>
        <v/>
      </c>
      <c r="FT21" s="149" t="str">
        <f>IF($B21=0,"",$N21*'MF Rents'!FV21*'MF Rollover'!FS21)</f>
        <v/>
      </c>
      <c r="FU21" s="149" t="str">
        <f>IF($B21=0,"",$N21*'MF Rents'!FW21*'MF Rollover'!FT21)</f>
        <v/>
      </c>
      <c r="FV21" s="149" t="str">
        <f>IF($B21=0,"",$N21*'MF Rents'!FX21*'MF Rollover'!FU21)</f>
        <v/>
      </c>
      <c r="FW21" s="149" t="str">
        <f>IF($B21=0,"",$N21*'MF Rents'!FY21*'MF Rollover'!FV21)</f>
        <v/>
      </c>
      <c r="FX21" s="149" t="str">
        <f>IF($B21=0,"",$N21*'MF Rents'!FZ21*'MF Rollover'!FW21)</f>
        <v/>
      </c>
      <c r="FY21" s="149" t="str">
        <f>IF($B21=0,"",$N21*'MF Rents'!GA21*'MF Rollover'!FX21)</f>
        <v/>
      </c>
      <c r="FZ21" s="149" t="str">
        <f>IF($B21=0,"",$N21*'MF Rents'!GB21*'MF Rollover'!FY21)</f>
        <v/>
      </c>
      <c r="GA21" s="149" t="str">
        <f>IF($B21=0,"",$N21*'MF Rents'!GC21*'MF Rollover'!FZ21)</f>
        <v/>
      </c>
      <c r="GB21" s="149" t="str">
        <f>IF($B21=0,"",$N21*'MF Rents'!GD21*'MF Rollover'!GA21)</f>
        <v/>
      </c>
      <c r="GC21" s="149" t="str">
        <f>IF($B21=0,"",$N21*'MF Rents'!GE21*'MF Rollover'!GB21)</f>
        <v/>
      </c>
      <c r="GD21" s="149" t="str">
        <f>IF($B21=0,"",$N21*'MF Rents'!GF21*'MF Rollover'!GC21)</f>
        <v/>
      </c>
      <c r="GE21" s="149" t="str">
        <f>IF($B21=0,"",$N21*'MF Rents'!GG21*'MF Rollover'!GD21)</f>
        <v/>
      </c>
      <c r="GF21" s="149" t="str">
        <f>IF($B21=0,"",$N21*'MF Rents'!GH21*'MF Rollover'!GE21)</f>
        <v/>
      </c>
      <c r="GG21" s="149" t="str">
        <f>IF($B21=0,"",$N21*'MF Rents'!GI21*'MF Rollover'!GF21)</f>
        <v/>
      </c>
      <c r="GH21" s="149" t="str">
        <f>IF($B21=0,"",$N21*'MF Rents'!GJ21*'MF Rollover'!GG21)</f>
        <v/>
      </c>
      <c r="GI21" s="149" t="str">
        <f>IF($B21=0,"",$N21*'MF Rents'!GK21*'MF Rollover'!GH21)</f>
        <v/>
      </c>
      <c r="GJ21" s="149" t="str">
        <f>IF($B21=0,"",$N21*'MF Rents'!GL21*'MF Rollover'!GI21)</f>
        <v/>
      </c>
      <c r="GK21" s="149" t="str">
        <f>IF($B21=0,"",$N21*'MF Rents'!GM21*'MF Rollover'!GJ21)</f>
        <v/>
      </c>
      <c r="GL21" s="149" t="str">
        <f>IF($B21=0,"",$N21*'MF Rents'!GN21*'MF Rollover'!GK21)</f>
        <v/>
      </c>
      <c r="GM21" s="149" t="str">
        <f>IF($B21=0,"",$N21*'MF Rents'!GO21*'MF Rollover'!GL21)</f>
        <v/>
      </c>
      <c r="GN21" s="149" t="str">
        <f>IF($B21=0,"",$N21*'MF Rents'!GP21*'MF Rollover'!GM21)</f>
        <v/>
      </c>
      <c r="GO21" s="149" t="str">
        <f>IF($B21=0,"",$N21*'MF Rents'!GQ21*'MF Rollover'!GN21)</f>
        <v/>
      </c>
      <c r="GP21" s="149" t="str">
        <f>IF($B21=0,"",$N21*'MF Rents'!GR21*'MF Rollover'!GO21)</f>
        <v/>
      </c>
    </row>
    <row r="22" spans="2:198" x14ac:dyDescent="0.3">
      <c r="B22" s="184">
        <f>'MF Rent Roll'!B21</f>
        <v>0</v>
      </c>
      <c r="C22" s="171">
        <f>'MF Rent Roll'!C21</f>
        <v>0</v>
      </c>
      <c r="D22" s="172">
        <f>'MF Rent Roll'!D21</f>
        <v>0</v>
      </c>
      <c r="E22" s="172">
        <f>'MF Rent Roll'!E21</f>
        <v>0</v>
      </c>
      <c r="F22" s="173">
        <f>'MF Rent Roll'!F21</f>
        <v>0</v>
      </c>
      <c r="G22" s="174">
        <f>'MF Rent Roll'!G21</f>
        <v>0</v>
      </c>
      <c r="H22" s="176">
        <f>'MF Rent Roll'!J21</f>
        <v>0</v>
      </c>
      <c r="I22" s="174">
        <f>'MF Rent Roll'!K21</f>
        <v>0</v>
      </c>
      <c r="J22" s="177">
        <f>'MF Rent Roll'!L21</f>
        <v>0</v>
      </c>
      <c r="K22" s="178">
        <f>'MF Rent Roll'!M21</f>
        <v>0</v>
      </c>
      <c r="L22" s="174">
        <f>'MF Rent Roll'!N21</f>
        <v>0</v>
      </c>
      <c r="M22" s="179">
        <f>'MF Rent Roll'!O21</f>
        <v>0</v>
      </c>
      <c r="N22" s="180" t="str">
        <f>'MF Rent Roll'!P21</f>
        <v/>
      </c>
      <c r="O22" s="181" t="str">
        <f>'MF Rent Roll'!Q21</f>
        <v/>
      </c>
      <c r="P22" s="104" t="str">
        <f>'MF Rent Roll'!R21</f>
        <v/>
      </c>
      <c r="S22" s="149" t="str">
        <f>IF($B22=0,"",$N22*'MF Rents'!U22*'MF Rollover'!R22)</f>
        <v/>
      </c>
      <c r="T22" s="149" t="str">
        <f>IF($B22=0,"",$N22*'MF Rents'!V22*'MF Rollover'!S22)</f>
        <v/>
      </c>
      <c r="U22" s="149" t="str">
        <f>IF($B22=0,"",$N22*'MF Rents'!W22*'MF Rollover'!T22)</f>
        <v/>
      </c>
      <c r="V22" s="149" t="str">
        <f>IF($B22=0,"",$N22*'MF Rents'!X22*'MF Rollover'!U22)</f>
        <v/>
      </c>
      <c r="W22" s="149" t="str">
        <f>IF($B22=0,"",$N22*'MF Rents'!Y22*'MF Rollover'!V22)</f>
        <v/>
      </c>
      <c r="X22" s="149" t="str">
        <f>IF($B22=0,"",$N22*'MF Rents'!Z22*'MF Rollover'!W22)</f>
        <v/>
      </c>
      <c r="Y22" s="149" t="str">
        <f>IF($B22=0,"",$N22*'MF Rents'!AA22*'MF Rollover'!X22)</f>
        <v/>
      </c>
      <c r="Z22" s="149" t="str">
        <f>IF($B22=0,"",$N22*'MF Rents'!AB22*'MF Rollover'!Y22)</f>
        <v/>
      </c>
      <c r="AA22" s="149" t="str">
        <f>IF($B22=0,"",$N22*'MF Rents'!AC22*'MF Rollover'!Z22)</f>
        <v/>
      </c>
      <c r="AB22" s="149" t="str">
        <f>IF($B22=0,"",$N22*'MF Rents'!AD22*'MF Rollover'!AA22)</f>
        <v/>
      </c>
      <c r="AC22" s="149" t="str">
        <f>IF($B22=0,"",$N22*'MF Rents'!AE22*'MF Rollover'!AB22)</f>
        <v/>
      </c>
      <c r="AD22" s="149" t="str">
        <f>IF($B22=0,"",$N22*'MF Rents'!AF22*'MF Rollover'!AC22)</f>
        <v/>
      </c>
      <c r="AE22" s="149" t="str">
        <f>IF($B22=0,"",$N22*'MF Rents'!AG22*'MF Rollover'!AD22)</f>
        <v/>
      </c>
      <c r="AF22" s="149" t="str">
        <f>IF($B22=0,"",$N22*'MF Rents'!AH22*'MF Rollover'!AE22)</f>
        <v/>
      </c>
      <c r="AG22" s="149" t="str">
        <f>IF($B22=0,"",$N22*'MF Rents'!AI22*'MF Rollover'!AF22)</f>
        <v/>
      </c>
      <c r="AH22" s="149" t="str">
        <f>IF($B22=0,"",$N22*'MF Rents'!AJ22*'MF Rollover'!AG22)</f>
        <v/>
      </c>
      <c r="AI22" s="149" t="str">
        <f>IF($B22=0,"",$N22*'MF Rents'!AK22*'MF Rollover'!AH22)</f>
        <v/>
      </c>
      <c r="AJ22" s="149" t="str">
        <f>IF($B22=0,"",$N22*'MF Rents'!AL22*'MF Rollover'!AI22)</f>
        <v/>
      </c>
      <c r="AK22" s="149" t="str">
        <f>IF($B22=0,"",$N22*'MF Rents'!AM22*'MF Rollover'!AJ22)</f>
        <v/>
      </c>
      <c r="AL22" s="149" t="str">
        <f>IF($B22=0,"",$N22*'MF Rents'!AN22*'MF Rollover'!AK22)</f>
        <v/>
      </c>
      <c r="AM22" s="149" t="str">
        <f>IF($B22=0,"",$N22*'MF Rents'!AO22*'MF Rollover'!AL22)</f>
        <v/>
      </c>
      <c r="AN22" s="149" t="str">
        <f>IF($B22=0,"",$N22*'MF Rents'!AP22*'MF Rollover'!AM22)</f>
        <v/>
      </c>
      <c r="AO22" s="149" t="str">
        <f>IF($B22=0,"",$N22*'MF Rents'!AQ22*'MF Rollover'!AN22)</f>
        <v/>
      </c>
      <c r="AP22" s="149" t="str">
        <f>IF($B22=0,"",$N22*'MF Rents'!AR22*'MF Rollover'!AO22)</f>
        <v/>
      </c>
      <c r="AQ22" s="149" t="str">
        <f>IF($B22=0,"",$N22*'MF Rents'!AS22*'MF Rollover'!AP22)</f>
        <v/>
      </c>
      <c r="AR22" s="149" t="str">
        <f>IF($B22=0,"",$N22*'MF Rents'!AT22*'MF Rollover'!AQ22)</f>
        <v/>
      </c>
      <c r="AS22" s="149" t="str">
        <f>IF($B22=0,"",$N22*'MF Rents'!AU22*'MF Rollover'!AR22)</f>
        <v/>
      </c>
      <c r="AT22" s="149" t="str">
        <f>IF($B22=0,"",$N22*'MF Rents'!AV22*'MF Rollover'!AS22)</f>
        <v/>
      </c>
      <c r="AU22" s="149" t="str">
        <f>IF($B22=0,"",$N22*'MF Rents'!AW22*'MF Rollover'!AT22)</f>
        <v/>
      </c>
      <c r="AV22" s="149" t="str">
        <f>IF($B22=0,"",$N22*'MF Rents'!AX22*'MF Rollover'!AU22)</f>
        <v/>
      </c>
      <c r="AW22" s="149" t="str">
        <f>IF($B22=0,"",$N22*'MF Rents'!AY22*'MF Rollover'!AV22)</f>
        <v/>
      </c>
      <c r="AX22" s="149" t="str">
        <f>IF($B22=0,"",$N22*'MF Rents'!AZ22*'MF Rollover'!AW22)</f>
        <v/>
      </c>
      <c r="AY22" s="149" t="str">
        <f>IF($B22=0,"",$N22*'MF Rents'!BA22*'MF Rollover'!AX22)</f>
        <v/>
      </c>
      <c r="AZ22" s="149" t="str">
        <f>IF($B22=0,"",$N22*'MF Rents'!BB22*'MF Rollover'!AY22)</f>
        <v/>
      </c>
      <c r="BA22" s="149" t="str">
        <f>IF($B22=0,"",$N22*'MF Rents'!BC22*'MF Rollover'!AZ22)</f>
        <v/>
      </c>
      <c r="BB22" s="149" t="str">
        <f>IF($B22=0,"",$N22*'MF Rents'!BD22*'MF Rollover'!BA22)</f>
        <v/>
      </c>
      <c r="BC22" s="149" t="str">
        <f>IF($B22=0,"",$N22*'MF Rents'!BE22*'MF Rollover'!BB22)</f>
        <v/>
      </c>
      <c r="BD22" s="149" t="str">
        <f>IF($B22=0,"",$N22*'MF Rents'!BF22*'MF Rollover'!BC22)</f>
        <v/>
      </c>
      <c r="BE22" s="149" t="str">
        <f>IF($B22=0,"",$N22*'MF Rents'!BG22*'MF Rollover'!BD22)</f>
        <v/>
      </c>
      <c r="BF22" s="149" t="str">
        <f>IF($B22=0,"",$N22*'MF Rents'!BH22*'MF Rollover'!BE22)</f>
        <v/>
      </c>
      <c r="BG22" s="149" t="str">
        <f>IF($B22=0,"",$N22*'MF Rents'!BI22*'MF Rollover'!BF22)</f>
        <v/>
      </c>
      <c r="BH22" s="149" t="str">
        <f>IF($B22=0,"",$N22*'MF Rents'!BJ22*'MF Rollover'!BG22)</f>
        <v/>
      </c>
      <c r="BI22" s="149" t="str">
        <f>IF($B22=0,"",$N22*'MF Rents'!BK22*'MF Rollover'!BH22)</f>
        <v/>
      </c>
      <c r="BJ22" s="149" t="str">
        <f>IF($B22=0,"",$N22*'MF Rents'!BL22*'MF Rollover'!BI22)</f>
        <v/>
      </c>
      <c r="BK22" s="149" t="str">
        <f>IF($B22=0,"",$N22*'MF Rents'!BM22*'MF Rollover'!BJ22)</f>
        <v/>
      </c>
      <c r="BL22" s="149" t="str">
        <f>IF($B22=0,"",$N22*'MF Rents'!BN22*'MF Rollover'!BK22)</f>
        <v/>
      </c>
      <c r="BM22" s="149" t="str">
        <f>IF($B22=0,"",$N22*'MF Rents'!BO22*'MF Rollover'!BL22)</f>
        <v/>
      </c>
      <c r="BN22" s="149" t="str">
        <f>IF($B22=0,"",$N22*'MF Rents'!BP22*'MF Rollover'!BM22)</f>
        <v/>
      </c>
      <c r="BO22" s="149" t="str">
        <f>IF($B22=0,"",$N22*'MF Rents'!BQ22*'MF Rollover'!BN22)</f>
        <v/>
      </c>
      <c r="BP22" s="149" t="str">
        <f>IF($B22=0,"",$N22*'MF Rents'!BR22*'MF Rollover'!BO22)</f>
        <v/>
      </c>
      <c r="BQ22" s="149" t="str">
        <f>IF($B22=0,"",$N22*'MF Rents'!BS22*'MF Rollover'!BP22)</f>
        <v/>
      </c>
      <c r="BR22" s="149" t="str">
        <f>IF($B22=0,"",$N22*'MF Rents'!BT22*'MF Rollover'!BQ22)</f>
        <v/>
      </c>
      <c r="BS22" s="149" t="str">
        <f>IF($B22=0,"",$N22*'MF Rents'!BU22*'MF Rollover'!BR22)</f>
        <v/>
      </c>
      <c r="BT22" s="149" t="str">
        <f>IF($B22=0,"",$N22*'MF Rents'!BV22*'MF Rollover'!BS22)</f>
        <v/>
      </c>
      <c r="BU22" s="149" t="str">
        <f>IF($B22=0,"",$N22*'MF Rents'!BW22*'MF Rollover'!BT22)</f>
        <v/>
      </c>
      <c r="BV22" s="149" t="str">
        <f>IF($B22=0,"",$N22*'MF Rents'!BX22*'MF Rollover'!BU22)</f>
        <v/>
      </c>
      <c r="BW22" s="149" t="str">
        <f>IF($B22=0,"",$N22*'MF Rents'!BY22*'MF Rollover'!BV22)</f>
        <v/>
      </c>
      <c r="BX22" s="149" t="str">
        <f>IF($B22=0,"",$N22*'MF Rents'!BZ22*'MF Rollover'!BW22)</f>
        <v/>
      </c>
      <c r="BY22" s="149" t="str">
        <f>IF($B22=0,"",$N22*'MF Rents'!CA22*'MF Rollover'!BX22)</f>
        <v/>
      </c>
      <c r="BZ22" s="149" t="str">
        <f>IF($B22=0,"",$N22*'MF Rents'!CB22*'MF Rollover'!BY22)</f>
        <v/>
      </c>
      <c r="CA22" s="149" t="str">
        <f>IF($B22=0,"",$N22*'MF Rents'!CC22*'MF Rollover'!BZ22)</f>
        <v/>
      </c>
      <c r="CB22" s="149" t="str">
        <f>IF($B22=0,"",$N22*'MF Rents'!CD22*'MF Rollover'!CA22)</f>
        <v/>
      </c>
      <c r="CC22" s="149" t="str">
        <f>IF($B22=0,"",$N22*'MF Rents'!CE22*'MF Rollover'!CB22)</f>
        <v/>
      </c>
      <c r="CD22" s="149" t="str">
        <f>IF($B22=0,"",$N22*'MF Rents'!CF22*'MF Rollover'!CC22)</f>
        <v/>
      </c>
      <c r="CE22" s="149" t="str">
        <f>IF($B22=0,"",$N22*'MF Rents'!CG22*'MF Rollover'!CD22)</f>
        <v/>
      </c>
      <c r="CF22" s="149" t="str">
        <f>IF($B22=0,"",$N22*'MF Rents'!CH22*'MF Rollover'!CE22)</f>
        <v/>
      </c>
      <c r="CG22" s="149" t="str">
        <f>IF($B22=0,"",$N22*'MF Rents'!CI22*'MF Rollover'!CF22)</f>
        <v/>
      </c>
      <c r="CH22" s="149" t="str">
        <f>IF($B22=0,"",$N22*'MF Rents'!CJ22*'MF Rollover'!CG22)</f>
        <v/>
      </c>
      <c r="CI22" s="149" t="str">
        <f>IF($B22=0,"",$N22*'MF Rents'!CK22*'MF Rollover'!CH22)</f>
        <v/>
      </c>
      <c r="CJ22" s="149" t="str">
        <f>IF($B22=0,"",$N22*'MF Rents'!CL22*'MF Rollover'!CI22)</f>
        <v/>
      </c>
      <c r="CK22" s="149" t="str">
        <f>IF($B22=0,"",$N22*'MF Rents'!CM22*'MF Rollover'!CJ22)</f>
        <v/>
      </c>
      <c r="CL22" s="149" t="str">
        <f>IF($B22=0,"",$N22*'MF Rents'!CN22*'MF Rollover'!CK22)</f>
        <v/>
      </c>
      <c r="CM22" s="149" t="str">
        <f>IF($B22=0,"",$N22*'MF Rents'!CO22*'MF Rollover'!CL22)</f>
        <v/>
      </c>
      <c r="CN22" s="149" t="str">
        <f>IF($B22=0,"",$N22*'MF Rents'!CP22*'MF Rollover'!CM22)</f>
        <v/>
      </c>
      <c r="CO22" s="149" t="str">
        <f>IF($B22=0,"",$N22*'MF Rents'!CQ22*'MF Rollover'!CN22)</f>
        <v/>
      </c>
      <c r="CP22" s="149" t="str">
        <f>IF($B22=0,"",$N22*'MF Rents'!CR22*'MF Rollover'!CO22)</f>
        <v/>
      </c>
      <c r="CQ22" s="149" t="str">
        <f>IF($B22=0,"",$N22*'MF Rents'!CS22*'MF Rollover'!CP22)</f>
        <v/>
      </c>
      <c r="CR22" s="149" t="str">
        <f>IF($B22=0,"",$N22*'MF Rents'!CT22*'MF Rollover'!CQ22)</f>
        <v/>
      </c>
      <c r="CS22" s="149" t="str">
        <f>IF($B22=0,"",$N22*'MF Rents'!CU22*'MF Rollover'!CR22)</f>
        <v/>
      </c>
      <c r="CT22" s="149" t="str">
        <f>IF($B22=0,"",$N22*'MF Rents'!CV22*'MF Rollover'!CS22)</f>
        <v/>
      </c>
      <c r="CU22" s="149" t="str">
        <f>IF($B22=0,"",$N22*'MF Rents'!CW22*'MF Rollover'!CT22)</f>
        <v/>
      </c>
      <c r="CV22" s="149" t="str">
        <f>IF($B22=0,"",$N22*'MF Rents'!CX22*'MF Rollover'!CU22)</f>
        <v/>
      </c>
      <c r="CW22" s="149" t="str">
        <f>IF($B22=0,"",$N22*'MF Rents'!CY22*'MF Rollover'!CV22)</f>
        <v/>
      </c>
      <c r="CX22" s="149" t="str">
        <f>IF($B22=0,"",$N22*'MF Rents'!CZ22*'MF Rollover'!CW22)</f>
        <v/>
      </c>
      <c r="CY22" s="149" t="str">
        <f>IF($B22=0,"",$N22*'MF Rents'!DA22*'MF Rollover'!CX22)</f>
        <v/>
      </c>
      <c r="CZ22" s="149" t="str">
        <f>IF($B22=0,"",$N22*'MF Rents'!DB22*'MF Rollover'!CY22)</f>
        <v/>
      </c>
      <c r="DA22" s="149" t="str">
        <f>IF($B22=0,"",$N22*'MF Rents'!DC22*'MF Rollover'!CZ22)</f>
        <v/>
      </c>
      <c r="DB22" s="149" t="str">
        <f>IF($B22=0,"",$N22*'MF Rents'!DD22*'MF Rollover'!DA22)</f>
        <v/>
      </c>
      <c r="DC22" s="149" t="str">
        <f>IF($B22=0,"",$N22*'MF Rents'!DE22*'MF Rollover'!DB22)</f>
        <v/>
      </c>
      <c r="DD22" s="149" t="str">
        <f>IF($B22=0,"",$N22*'MF Rents'!DF22*'MF Rollover'!DC22)</f>
        <v/>
      </c>
      <c r="DE22" s="149" t="str">
        <f>IF($B22=0,"",$N22*'MF Rents'!DG22*'MF Rollover'!DD22)</f>
        <v/>
      </c>
      <c r="DF22" s="149" t="str">
        <f>IF($B22=0,"",$N22*'MF Rents'!DH22*'MF Rollover'!DE22)</f>
        <v/>
      </c>
      <c r="DG22" s="149" t="str">
        <f>IF($B22=0,"",$N22*'MF Rents'!DI22*'MF Rollover'!DF22)</f>
        <v/>
      </c>
      <c r="DH22" s="149" t="str">
        <f>IF($B22=0,"",$N22*'MF Rents'!DJ22*'MF Rollover'!DG22)</f>
        <v/>
      </c>
      <c r="DI22" s="149" t="str">
        <f>IF($B22=0,"",$N22*'MF Rents'!DK22*'MF Rollover'!DH22)</f>
        <v/>
      </c>
      <c r="DJ22" s="149" t="str">
        <f>IF($B22=0,"",$N22*'MF Rents'!DL22*'MF Rollover'!DI22)</f>
        <v/>
      </c>
      <c r="DK22" s="149" t="str">
        <f>IF($B22=0,"",$N22*'MF Rents'!DM22*'MF Rollover'!DJ22)</f>
        <v/>
      </c>
      <c r="DL22" s="149" t="str">
        <f>IF($B22=0,"",$N22*'MF Rents'!DN22*'MF Rollover'!DK22)</f>
        <v/>
      </c>
      <c r="DM22" s="149" t="str">
        <f>IF($B22=0,"",$N22*'MF Rents'!DO22*'MF Rollover'!DL22)</f>
        <v/>
      </c>
      <c r="DN22" s="149" t="str">
        <f>IF($B22=0,"",$N22*'MF Rents'!DP22*'MF Rollover'!DM22)</f>
        <v/>
      </c>
      <c r="DO22" s="149" t="str">
        <f>IF($B22=0,"",$N22*'MF Rents'!DQ22*'MF Rollover'!DN22)</f>
        <v/>
      </c>
      <c r="DP22" s="149" t="str">
        <f>IF($B22=0,"",$N22*'MF Rents'!DR22*'MF Rollover'!DO22)</f>
        <v/>
      </c>
      <c r="DQ22" s="149" t="str">
        <f>IF($B22=0,"",$N22*'MF Rents'!DS22*'MF Rollover'!DP22)</f>
        <v/>
      </c>
      <c r="DR22" s="149" t="str">
        <f>IF($B22=0,"",$N22*'MF Rents'!DT22*'MF Rollover'!DQ22)</f>
        <v/>
      </c>
      <c r="DS22" s="149" t="str">
        <f>IF($B22=0,"",$N22*'MF Rents'!DU22*'MF Rollover'!DR22)</f>
        <v/>
      </c>
      <c r="DT22" s="149" t="str">
        <f>IF($B22=0,"",$N22*'MF Rents'!DV22*'MF Rollover'!DS22)</f>
        <v/>
      </c>
      <c r="DU22" s="149" t="str">
        <f>IF($B22=0,"",$N22*'MF Rents'!DW22*'MF Rollover'!DT22)</f>
        <v/>
      </c>
      <c r="DV22" s="149" t="str">
        <f>IF($B22=0,"",$N22*'MF Rents'!DX22*'MF Rollover'!DU22)</f>
        <v/>
      </c>
      <c r="DW22" s="149" t="str">
        <f>IF($B22=0,"",$N22*'MF Rents'!DY22*'MF Rollover'!DV22)</f>
        <v/>
      </c>
      <c r="DX22" s="149" t="str">
        <f>IF($B22=0,"",$N22*'MF Rents'!DZ22*'MF Rollover'!DW22)</f>
        <v/>
      </c>
      <c r="DY22" s="149" t="str">
        <f>IF($B22=0,"",$N22*'MF Rents'!EA22*'MF Rollover'!DX22)</f>
        <v/>
      </c>
      <c r="DZ22" s="149" t="str">
        <f>IF($B22=0,"",$N22*'MF Rents'!EB22*'MF Rollover'!DY22)</f>
        <v/>
      </c>
      <c r="EA22" s="149" t="str">
        <f>IF($B22=0,"",$N22*'MF Rents'!EC22*'MF Rollover'!DZ22)</f>
        <v/>
      </c>
      <c r="EB22" s="149" t="str">
        <f>IF($B22=0,"",$N22*'MF Rents'!ED22*'MF Rollover'!EA22)</f>
        <v/>
      </c>
      <c r="EC22" s="149" t="str">
        <f>IF($B22=0,"",$N22*'MF Rents'!EE22*'MF Rollover'!EB22)</f>
        <v/>
      </c>
      <c r="ED22" s="149" t="str">
        <f>IF($B22=0,"",$N22*'MF Rents'!EF22*'MF Rollover'!EC22)</f>
        <v/>
      </c>
      <c r="EE22" s="149" t="str">
        <f>IF($B22=0,"",$N22*'MF Rents'!EG22*'MF Rollover'!ED22)</f>
        <v/>
      </c>
      <c r="EF22" s="149" t="str">
        <f>IF($B22=0,"",$N22*'MF Rents'!EH22*'MF Rollover'!EE22)</f>
        <v/>
      </c>
      <c r="EG22" s="149" t="str">
        <f>IF($B22=0,"",$N22*'MF Rents'!EI22*'MF Rollover'!EF22)</f>
        <v/>
      </c>
      <c r="EH22" s="149" t="str">
        <f>IF($B22=0,"",$N22*'MF Rents'!EJ22*'MF Rollover'!EG22)</f>
        <v/>
      </c>
      <c r="EI22" s="149" t="str">
        <f>IF($B22=0,"",$N22*'MF Rents'!EK22*'MF Rollover'!EH22)</f>
        <v/>
      </c>
      <c r="EJ22" s="149" t="str">
        <f>IF($B22=0,"",$N22*'MF Rents'!EL22*'MF Rollover'!EI22)</f>
        <v/>
      </c>
      <c r="EK22" s="149" t="str">
        <f>IF($B22=0,"",$N22*'MF Rents'!EM22*'MF Rollover'!EJ22)</f>
        <v/>
      </c>
      <c r="EL22" s="149" t="str">
        <f>IF($B22=0,"",$N22*'MF Rents'!EN22*'MF Rollover'!EK22)</f>
        <v/>
      </c>
      <c r="EM22" s="149" t="str">
        <f>IF($B22=0,"",$N22*'MF Rents'!EO22*'MF Rollover'!EL22)</f>
        <v/>
      </c>
      <c r="EN22" s="149" t="str">
        <f>IF($B22=0,"",$N22*'MF Rents'!EP22*'MF Rollover'!EM22)</f>
        <v/>
      </c>
      <c r="EO22" s="149" t="str">
        <f>IF($B22=0,"",$N22*'MF Rents'!EQ22*'MF Rollover'!EN22)</f>
        <v/>
      </c>
      <c r="EP22" s="149" t="str">
        <f>IF($B22=0,"",$N22*'MF Rents'!ER22*'MF Rollover'!EO22)</f>
        <v/>
      </c>
      <c r="EQ22" s="149" t="str">
        <f>IF($B22=0,"",$N22*'MF Rents'!ES22*'MF Rollover'!EP22)</f>
        <v/>
      </c>
      <c r="ER22" s="149" t="str">
        <f>IF($B22=0,"",$N22*'MF Rents'!ET22*'MF Rollover'!EQ22)</f>
        <v/>
      </c>
      <c r="ES22" s="149" t="str">
        <f>IF($B22=0,"",$N22*'MF Rents'!EU22*'MF Rollover'!ER22)</f>
        <v/>
      </c>
      <c r="ET22" s="149" t="str">
        <f>IF($B22=0,"",$N22*'MF Rents'!EV22*'MF Rollover'!ES22)</f>
        <v/>
      </c>
      <c r="EU22" s="149" t="str">
        <f>IF($B22=0,"",$N22*'MF Rents'!EW22*'MF Rollover'!ET22)</f>
        <v/>
      </c>
      <c r="EV22" s="149" t="str">
        <f>IF($B22=0,"",$N22*'MF Rents'!EX22*'MF Rollover'!EU22)</f>
        <v/>
      </c>
      <c r="EW22" s="149" t="str">
        <f>IF($B22=0,"",$N22*'MF Rents'!EY22*'MF Rollover'!EV22)</f>
        <v/>
      </c>
      <c r="EX22" s="149" t="str">
        <f>IF($B22=0,"",$N22*'MF Rents'!EZ22*'MF Rollover'!EW22)</f>
        <v/>
      </c>
      <c r="EY22" s="149" t="str">
        <f>IF($B22=0,"",$N22*'MF Rents'!FA22*'MF Rollover'!EX22)</f>
        <v/>
      </c>
      <c r="EZ22" s="149" t="str">
        <f>IF($B22=0,"",$N22*'MF Rents'!FB22*'MF Rollover'!EY22)</f>
        <v/>
      </c>
      <c r="FA22" s="149" t="str">
        <f>IF($B22=0,"",$N22*'MF Rents'!FC22*'MF Rollover'!EZ22)</f>
        <v/>
      </c>
      <c r="FB22" s="149" t="str">
        <f>IF($B22=0,"",$N22*'MF Rents'!FD22*'MF Rollover'!FA22)</f>
        <v/>
      </c>
      <c r="FC22" s="149" t="str">
        <f>IF($B22=0,"",$N22*'MF Rents'!FE22*'MF Rollover'!FB22)</f>
        <v/>
      </c>
      <c r="FD22" s="149" t="str">
        <f>IF($B22=0,"",$N22*'MF Rents'!FF22*'MF Rollover'!FC22)</f>
        <v/>
      </c>
      <c r="FE22" s="149" t="str">
        <f>IF($B22=0,"",$N22*'MF Rents'!FG22*'MF Rollover'!FD22)</f>
        <v/>
      </c>
      <c r="FF22" s="149" t="str">
        <f>IF($B22=0,"",$N22*'MF Rents'!FH22*'MF Rollover'!FE22)</f>
        <v/>
      </c>
      <c r="FG22" s="149" t="str">
        <f>IF($B22=0,"",$N22*'MF Rents'!FI22*'MF Rollover'!FF22)</f>
        <v/>
      </c>
      <c r="FH22" s="149" t="str">
        <f>IF($B22=0,"",$N22*'MF Rents'!FJ22*'MF Rollover'!FG22)</f>
        <v/>
      </c>
      <c r="FI22" s="149" t="str">
        <f>IF($B22=0,"",$N22*'MF Rents'!FK22*'MF Rollover'!FH22)</f>
        <v/>
      </c>
      <c r="FJ22" s="149" t="str">
        <f>IF($B22=0,"",$N22*'MF Rents'!FL22*'MF Rollover'!FI22)</f>
        <v/>
      </c>
      <c r="FK22" s="149" t="str">
        <f>IF($B22=0,"",$N22*'MF Rents'!FM22*'MF Rollover'!FJ22)</f>
        <v/>
      </c>
      <c r="FL22" s="149" t="str">
        <f>IF($B22=0,"",$N22*'MF Rents'!FN22*'MF Rollover'!FK22)</f>
        <v/>
      </c>
      <c r="FM22" s="149" t="str">
        <f>IF($B22=0,"",$N22*'MF Rents'!FO22*'MF Rollover'!FL22)</f>
        <v/>
      </c>
      <c r="FN22" s="149" t="str">
        <f>IF($B22=0,"",$N22*'MF Rents'!FP22*'MF Rollover'!FM22)</f>
        <v/>
      </c>
      <c r="FO22" s="149" t="str">
        <f>IF($B22=0,"",$N22*'MF Rents'!FQ22*'MF Rollover'!FN22)</f>
        <v/>
      </c>
      <c r="FP22" s="149" t="str">
        <f>IF($B22=0,"",$N22*'MF Rents'!FR22*'MF Rollover'!FO22)</f>
        <v/>
      </c>
      <c r="FQ22" s="149" t="str">
        <f>IF($B22=0,"",$N22*'MF Rents'!FS22*'MF Rollover'!FP22)</f>
        <v/>
      </c>
      <c r="FR22" s="149" t="str">
        <f>IF($B22=0,"",$N22*'MF Rents'!FT22*'MF Rollover'!FQ22)</f>
        <v/>
      </c>
      <c r="FS22" s="149" t="str">
        <f>IF($B22=0,"",$N22*'MF Rents'!FU22*'MF Rollover'!FR22)</f>
        <v/>
      </c>
      <c r="FT22" s="149" t="str">
        <f>IF($B22=0,"",$N22*'MF Rents'!FV22*'MF Rollover'!FS22)</f>
        <v/>
      </c>
      <c r="FU22" s="149" t="str">
        <f>IF($B22=0,"",$N22*'MF Rents'!FW22*'MF Rollover'!FT22)</f>
        <v/>
      </c>
      <c r="FV22" s="149" t="str">
        <f>IF($B22=0,"",$N22*'MF Rents'!FX22*'MF Rollover'!FU22)</f>
        <v/>
      </c>
      <c r="FW22" s="149" t="str">
        <f>IF($B22=0,"",$N22*'MF Rents'!FY22*'MF Rollover'!FV22)</f>
        <v/>
      </c>
      <c r="FX22" s="149" t="str">
        <f>IF($B22=0,"",$N22*'MF Rents'!FZ22*'MF Rollover'!FW22)</f>
        <v/>
      </c>
      <c r="FY22" s="149" t="str">
        <f>IF($B22=0,"",$N22*'MF Rents'!GA22*'MF Rollover'!FX22)</f>
        <v/>
      </c>
      <c r="FZ22" s="149" t="str">
        <f>IF($B22=0,"",$N22*'MF Rents'!GB22*'MF Rollover'!FY22)</f>
        <v/>
      </c>
      <c r="GA22" s="149" t="str">
        <f>IF($B22=0,"",$N22*'MF Rents'!GC22*'MF Rollover'!FZ22)</f>
        <v/>
      </c>
      <c r="GB22" s="149" t="str">
        <f>IF($B22=0,"",$N22*'MF Rents'!GD22*'MF Rollover'!GA22)</f>
        <v/>
      </c>
      <c r="GC22" s="149" t="str">
        <f>IF($B22=0,"",$N22*'MF Rents'!GE22*'MF Rollover'!GB22)</f>
        <v/>
      </c>
      <c r="GD22" s="149" t="str">
        <f>IF($B22=0,"",$N22*'MF Rents'!GF22*'MF Rollover'!GC22)</f>
        <v/>
      </c>
      <c r="GE22" s="149" t="str">
        <f>IF($B22=0,"",$N22*'MF Rents'!GG22*'MF Rollover'!GD22)</f>
        <v/>
      </c>
      <c r="GF22" s="149" t="str">
        <f>IF($B22=0,"",$N22*'MF Rents'!GH22*'MF Rollover'!GE22)</f>
        <v/>
      </c>
      <c r="GG22" s="149" t="str">
        <f>IF($B22=0,"",$N22*'MF Rents'!GI22*'MF Rollover'!GF22)</f>
        <v/>
      </c>
      <c r="GH22" s="149" t="str">
        <f>IF($B22=0,"",$N22*'MF Rents'!GJ22*'MF Rollover'!GG22)</f>
        <v/>
      </c>
      <c r="GI22" s="149" t="str">
        <f>IF($B22=0,"",$N22*'MF Rents'!GK22*'MF Rollover'!GH22)</f>
        <v/>
      </c>
      <c r="GJ22" s="149" t="str">
        <f>IF($B22=0,"",$N22*'MF Rents'!GL22*'MF Rollover'!GI22)</f>
        <v/>
      </c>
      <c r="GK22" s="149" t="str">
        <f>IF($B22=0,"",$N22*'MF Rents'!GM22*'MF Rollover'!GJ22)</f>
        <v/>
      </c>
      <c r="GL22" s="149" t="str">
        <f>IF($B22=0,"",$N22*'MF Rents'!GN22*'MF Rollover'!GK22)</f>
        <v/>
      </c>
      <c r="GM22" s="149" t="str">
        <f>IF($B22=0,"",$N22*'MF Rents'!GO22*'MF Rollover'!GL22)</f>
        <v/>
      </c>
      <c r="GN22" s="149" t="str">
        <f>IF($B22=0,"",$N22*'MF Rents'!GP22*'MF Rollover'!GM22)</f>
        <v/>
      </c>
      <c r="GO22" s="149" t="str">
        <f>IF($B22=0,"",$N22*'MF Rents'!GQ22*'MF Rollover'!GN22)</f>
        <v/>
      </c>
      <c r="GP22" s="149" t="str">
        <f>IF($B22=0,"",$N22*'MF Rents'!GR22*'MF Rollover'!GO22)</f>
        <v/>
      </c>
    </row>
    <row r="23" spans="2:198" x14ac:dyDescent="0.3">
      <c r="B23" s="184">
        <f>'MF Rent Roll'!B22</f>
        <v>0</v>
      </c>
      <c r="C23" s="171">
        <f>'MF Rent Roll'!C22</f>
        <v>0</v>
      </c>
      <c r="D23" s="172">
        <f>'MF Rent Roll'!D22</f>
        <v>0</v>
      </c>
      <c r="E23" s="172">
        <f>'MF Rent Roll'!E22</f>
        <v>0</v>
      </c>
      <c r="F23" s="173">
        <f>'MF Rent Roll'!F22</f>
        <v>0</v>
      </c>
      <c r="G23" s="174">
        <f>'MF Rent Roll'!G22</f>
        <v>0</v>
      </c>
      <c r="H23" s="176">
        <f>'MF Rent Roll'!J22</f>
        <v>0</v>
      </c>
      <c r="I23" s="174">
        <f>'MF Rent Roll'!K22</f>
        <v>0</v>
      </c>
      <c r="J23" s="177">
        <f>'MF Rent Roll'!L22</f>
        <v>0</v>
      </c>
      <c r="K23" s="178">
        <f>'MF Rent Roll'!M22</f>
        <v>0</v>
      </c>
      <c r="L23" s="174">
        <f>'MF Rent Roll'!N22</f>
        <v>0</v>
      </c>
      <c r="M23" s="179">
        <f>'MF Rent Roll'!O22</f>
        <v>0</v>
      </c>
      <c r="N23" s="180" t="str">
        <f>'MF Rent Roll'!P22</f>
        <v/>
      </c>
      <c r="O23" s="181" t="str">
        <f>'MF Rent Roll'!Q22</f>
        <v/>
      </c>
      <c r="P23" s="104" t="str">
        <f>'MF Rent Roll'!R22</f>
        <v/>
      </c>
      <c r="S23" s="149" t="str">
        <f>IF($B23=0,"",$N23*'MF Rents'!U23*'MF Rollover'!R23)</f>
        <v/>
      </c>
      <c r="T23" s="149" t="str">
        <f>IF($B23=0,"",$N23*'MF Rents'!V23*'MF Rollover'!S23)</f>
        <v/>
      </c>
      <c r="U23" s="149" t="str">
        <f>IF($B23=0,"",$N23*'MF Rents'!W23*'MF Rollover'!T23)</f>
        <v/>
      </c>
      <c r="V23" s="149" t="str">
        <f>IF($B23=0,"",$N23*'MF Rents'!X23*'MF Rollover'!U23)</f>
        <v/>
      </c>
      <c r="W23" s="149" t="str">
        <f>IF($B23=0,"",$N23*'MF Rents'!Y23*'MF Rollover'!V23)</f>
        <v/>
      </c>
      <c r="X23" s="149" t="str">
        <f>IF($B23=0,"",$N23*'MF Rents'!Z23*'MF Rollover'!W23)</f>
        <v/>
      </c>
      <c r="Y23" s="149" t="str">
        <f>IF($B23=0,"",$N23*'MF Rents'!AA23*'MF Rollover'!X23)</f>
        <v/>
      </c>
      <c r="Z23" s="149" t="str">
        <f>IF($B23=0,"",$N23*'MF Rents'!AB23*'MF Rollover'!Y23)</f>
        <v/>
      </c>
      <c r="AA23" s="149" t="str">
        <f>IF($B23=0,"",$N23*'MF Rents'!AC23*'MF Rollover'!Z23)</f>
        <v/>
      </c>
      <c r="AB23" s="149" t="str">
        <f>IF($B23=0,"",$N23*'MF Rents'!AD23*'MF Rollover'!AA23)</f>
        <v/>
      </c>
      <c r="AC23" s="149" t="str">
        <f>IF($B23=0,"",$N23*'MF Rents'!AE23*'MF Rollover'!AB23)</f>
        <v/>
      </c>
      <c r="AD23" s="149" t="str">
        <f>IF($B23=0,"",$N23*'MF Rents'!AF23*'MF Rollover'!AC23)</f>
        <v/>
      </c>
      <c r="AE23" s="149" t="str">
        <f>IF($B23=0,"",$N23*'MF Rents'!AG23*'MF Rollover'!AD23)</f>
        <v/>
      </c>
      <c r="AF23" s="149" t="str">
        <f>IF($B23=0,"",$N23*'MF Rents'!AH23*'MF Rollover'!AE23)</f>
        <v/>
      </c>
      <c r="AG23" s="149" t="str">
        <f>IF($B23=0,"",$N23*'MF Rents'!AI23*'MF Rollover'!AF23)</f>
        <v/>
      </c>
      <c r="AH23" s="149" t="str">
        <f>IF($B23=0,"",$N23*'MF Rents'!AJ23*'MF Rollover'!AG23)</f>
        <v/>
      </c>
      <c r="AI23" s="149" t="str">
        <f>IF($B23=0,"",$N23*'MF Rents'!AK23*'MF Rollover'!AH23)</f>
        <v/>
      </c>
      <c r="AJ23" s="149" t="str">
        <f>IF($B23=0,"",$N23*'MF Rents'!AL23*'MF Rollover'!AI23)</f>
        <v/>
      </c>
      <c r="AK23" s="149" t="str">
        <f>IF($B23=0,"",$N23*'MF Rents'!AM23*'MF Rollover'!AJ23)</f>
        <v/>
      </c>
      <c r="AL23" s="149" t="str">
        <f>IF($B23=0,"",$N23*'MF Rents'!AN23*'MF Rollover'!AK23)</f>
        <v/>
      </c>
      <c r="AM23" s="149" t="str">
        <f>IF($B23=0,"",$N23*'MF Rents'!AO23*'MF Rollover'!AL23)</f>
        <v/>
      </c>
      <c r="AN23" s="149" t="str">
        <f>IF($B23=0,"",$N23*'MF Rents'!AP23*'MF Rollover'!AM23)</f>
        <v/>
      </c>
      <c r="AO23" s="149" t="str">
        <f>IF($B23=0,"",$N23*'MF Rents'!AQ23*'MF Rollover'!AN23)</f>
        <v/>
      </c>
      <c r="AP23" s="149" t="str">
        <f>IF($B23=0,"",$N23*'MF Rents'!AR23*'MF Rollover'!AO23)</f>
        <v/>
      </c>
      <c r="AQ23" s="149" t="str">
        <f>IF($B23=0,"",$N23*'MF Rents'!AS23*'MF Rollover'!AP23)</f>
        <v/>
      </c>
      <c r="AR23" s="149" t="str">
        <f>IF($B23=0,"",$N23*'MF Rents'!AT23*'MF Rollover'!AQ23)</f>
        <v/>
      </c>
      <c r="AS23" s="149" t="str">
        <f>IF($B23=0,"",$N23*'MF Rents'!AU23*'MF Rollover'!AR23)</f>
        <v/>
      </c>
      <c r="AT23" s="149" t="str">
        <f>IF($B23=0,"",$N23*'MF Rents'!AV23*'MF Rollover'!AS23)</f>
        <v/>
      </c>
      <c r="AU23" s="149" t="str">
        <f>IF($B23=0,"",$N23*'MF Rents'!AW23*'MF Rollover'!AT23)</f>
        <v/>
      </c>
      <c r="AV23" s="149" t="str">
        <f>IF($B23=0,"",$N23*'MF Rents'!AX23*'MF Rollover'!AU23)</f>
        <v/>
      </c>
      <c r="AW23" s="149" t="str">
        <f>IF($B23=0,"",$N23*'MF Rents'!AY23*'MF Rollover'!AV23)</f>
        <v/>
      </c>
      <c r="AX23" s="149" t="str">
        <f>IF($B23=0,"",$N23*'MF Rents'!AZ23*'MF Rollover'!AW23)</f>
        <v/>
      </c>
      <c r="AY23" s="149" t="str">
        <f>IF($B23=0,"",$N23*'MF Rents'!BA23*'MF Rollover'!AX23)</f>
        <v/>
      </c>
      <c r="AZ23" s="149" t="str">
        <f>IF($B23=0,"",$N23*'MF Rents'!BB23*'MF Rollover'!AY23)</f>
        <v/>
      </c>
      <c r="BA23" s="149" t="str">
        <f>IF($B23=0,"",$N23*'MF Rents'!BC23*'MF Rollover'!AZ23)</f>
        <v/>
      </c>
      <c r="BB23" s="149" t="str">
        <f>IF($B23=0,"",$N23*'MF Rents'!BD23*'MF Rollover'!BA23)</f>
        <v/>
      </c>
      <c r="BC23" s="149" t="str">
        <f>IF($B23=0,"",$N23*'MF Rents'!BE23*'MF Rollover'!BB23)</f>
        <v/>
      </c>
      <c r="BD23" s="149" t="str">
        <f>IF($B23=0,"",$N23*'MF Rents'!BF23*'MF Rollover'!BC23)</f>
        <v/>
      </c>
      <c r="BE23" s="149" t="str">
        <f>IF($B23=0,"",$N23*'MF Rents'!BG23*'MF Rollover'!BD23)</f>
        <v/>
      </c>
      <c r="BF23" s="149" t="str">
        <f>IF($B23=0,"",$N23*'MF Rents'!BH23*'MF Rollover'!BE23)</f>
        <v/>
      </c>
      <c r="BG23" s="149" t="str">
        <f>IF($B23=0,"",$N23*'MF Rents'!BI23*'MF Rollover'!BF23)</f>
        <v/>
      </c>
      <c r="BH23" s="149" t="str">
        <f>IF($B23=0,"",$N23*'MF Rents'!BJ23*'MF Rollover'!BG23)</f>
        <v/>
      </c>
      <c r="BI23" s="149" t="str">
        <f>IF($B23=0,"",$N23*'MF Rents'!BK23*'MF Rollover'!BH23)</f>
        <v/>
      </c>
      <c r="BJ23" s="149" t="str">
        <f>IF($B23=0,"",$N23*'MF Rents'!BL23*'MF Rollover'!BI23)</f>
        <v/>
      </c>
      <c r="BK23" s="149" t="str">
        <f>IF($B23=0,"",$N23*'MF Rents'!BM23*'MF Rollover'!BJ23)</f>
        <v/>
      </c>
      <c r="BL23" s="149" t="str">
        <f>IF($B23=0,"",$N23*'MF Rents'!BN23*'MF Rollover'!BK23)</f>
        <v/>
      </c>
      <c r="BM23" s="149" t="str">
        <f>IF($B23=0,"",$N23*'MF Rents'!BO23*'MF Rollover'!BL23)</f>
        <v/>
      </c>
      <c r="BN23" s="149" t="str">
        <f>IF($B23=0,"",$N23*'MF Rents'!BP23*'MF Rollover'!BM23)</f>
        <v/>
      </c>
      <c r="BO23" s="149" t="str">
        <f>IF($B23=0,"",$N23*'MF Rents'!BQ23*'MF Rollover'!BN23)</f>
        <v/>
      </c>
      <c r="BP23" s="149" t="str">
        <f>IF($B23=0,"",$N23*'MF Rents'!BR23*'MF Rollover'!BO23)</f>
        <v/>
      </c>
      <c r="BQ23" s="149" t="str">
        <f>IF($B23=0,"",$N23*'MF Rents'!BS23*'MF Rollover'!BP23)</f>
        <v/>
      </c>
      <c r="BR23" s="149" t="str">
        <f>IF($B23=0,"",$N23*'MF Rents'!BT23*'MF Rollover'!BQ23)</f>
        <v/>
      </c>
      <c r="BS23" s="149" t="str">
        <f>IF($B23=0,"",$N23*'MF Rents'!BU23*'MF Rollover'!BR23)</f>
        <v/>
      </c>
      <c r="BT23" s="149" t="str">
        <f>IF($B23=0,"",$N23*'MF Rents'!BV23*'MF Rollover'!BS23)</f>
        <v/>
      </c>
      <c r="BU23" s="149" t="str">
        <f>IF($B23=0,"",$N23*'MF Rents'!BW23*'MF Rollover'!BT23)</f>
        <v/>
      </c>
      <c r="BV23" s="149" t="str">
        <f>IF($B23=0,"",$N23*'MF Rents'!BX23*'MF Rollover'!BU23)</f>
        <v/>
      </c>
      <c r="BW23" s="149" t="str">
        <f>IF($B23=0,"",$N23*'MF Rents'!BY23*'MF Rollover'!BV23)</f>
        <v/>
      </c>
      <c r="BX23" s="149" t="str">
        <f>IF($B23=0,"",$N23*'MF Rents'!BZ23*'MF Rollover'!BW23)</f>
        <v/>
      </c>
      <c r="BY23" s="149" t="str">
        <f>IF($B23=0,"",$N23*'MF Rents'!CA23*'MF Rollover'!BX23)</f>
        <v/>
      </c>
      <c r="BZ23" s="149" t="str">
        <f>IF($B23=0,"",$N23*'MF Rents'!CB23*'MF Rollover'!BY23)</f>
        <v/>
      </c>
      <c r="CA23" s="149" t="str">
        <f>IF($B23=0,"",$N23*'MF Rents'!CC23*'MF Rollover'!BZ23)</f>
        <v/>
      </c>
      <c r="CB23" s="149" t="str">
        <f>IF($B23=0,"",$N23*'MF Rents'!CD23*'MF Rollover'!CA23)</f>
        <v/>
      </c>
      <c r="CC23" s="149" t="str">
        <f>IF($B23=0,"",$N23*'MF Rents'!CE23*'MF Rollover'!CB23)</f>
        <v/>
      </c>
      <c r="CD23" s="149" t="str">
        <f>IF($B23=0,"",$N23*'MF Rents'!CF23*'MF Rollover'!CC23)</f>
        <v/>
      </c>
      <c r="CE23" s="149" t="str">
        <f>IF($B23=0,"",$N23*'MF Rents'!CG23*'MF Rollover'!CD23)</f>
        <v/>
      </c>
      <c r="CF23" s="149" t="str">
        <f>IF($B23=0,"",$N23*'MF Rents'!CH23*'MF Rollover'!CE23)</f>
        <v/>
      </c>
      <c r="CG23" s="149" t="str">
        <f>IF($B23=0,"",$N23*'MF Rents'!CI23*'MF Rollover'!CF23)</f>
        <v/>
      </c>
      <c r="CH23" s="149" t="str">
        <f>IF($B23=0,"",$N23*'MF Rents'!CJ23*'MF Rollover'!CG23)</f>
        <v/>
      </c>
      <c r="CI23" s="149" t="str">
        <f>IF($B23=0,"",$N23*'MF Rents'!CK23*'MF Rollover'!CH23)</f>
        <v/>
      </c>
      <c r="CJ23" s="149" t="str">
        <f>IF($B23=0,"",$N23*'MF Rents'!CL23*'MF Rollover'!CI23)</f>
        <v/>
      </c>
      <c r="CK23" s="149" t="str">
        <f>IF($B23=0,"",$N23*'MF Rents'!CM23*'MF Rollover'!CJ23)</f>
        <v/>
      </c>
      <c r="CL23" s="149" t="str">
        <f>IF($B23=0,"",$N23*'MF Rents'!CN23*'MF Rollover'!CK23)</f>
        <v/>
      </c>
      <c r="CM23" s="149" t="str">
        <f>IF($B23=0,"",$N23*'MF Rents'!CO23*'MF Rollover'!CL23)</f>
        <v/>
      </c>
      <c r="CN23" s="149" t="str">
        <f>IF($B23=0,"",$N23*'MF Rents'!CP23*'MF Rollover'!CM23)</f>
        <v/>
      </c>
      <c r="CO23" s="149" t="str">
        <f>IF($B23=0,"",$N23*'MF Rents'!CQ23*'MF Rollover'!CN23)</f>
        <v/>
      </c>
      <c r="CP23" s="149" t="str">
        <f>IF($B23=0,"",$N23*'MF Rents'!CR23*'MF Rollover'!CO23)</f>
        <v/>
      </c>
      <c r="CQ23" s="149" t="str">
        <f>IF($B23=0,"",$N23*'MF Rents'!CS23*'MF Rollover'!CP23)</f>
        <v/>
      </c>
      <c r="CR23" s="149" t="str">
        <f>IF($B23=0,"",$N23*'MF Rents'!CT23*'MF Rollover'!CQ23)</f>
        <v/>
      </c>
      <c r="CS23" s="149" t="str">
        <f>IF($B23=0,"",$N23*'MF Rents'!CU23*'MF Rollover'!CR23)</f>
        <v/>
      </c>
      <c r="CT23" s="149" t="str">
        <f>IF($B23=0,"",$N23*'MF Rents'!CV23*'MF Rollover'!CS23)</f>
        <v/>
      </c>
      <c r="CU23" s="149" t="str">
        <f>IF($B23=0,"",$N23*'MF Rents'!CW23*'MF Rollover'!CT23)</f>
        <v/>
      </c>
      <c r="CV23" s="149" t="str">
        <f>IF($B23=0,"",$N23*'MF Rents'!CX23*'MF Rollover'!CU23)</f>
        <v/>
      </c>
      <c r="CW23" s="149" t="str">
        <f>IF($B23=0,"",$N23*'MF Rents'!CY23*'MF Rollover'!CV23)</f>
        <v/>
      </c>
      <c r="CX23" s="149" t="str">
        <f>IF($B23=0,"",$N23*'MF Rents'!CZ23*'MF Rollover'!CW23)</f>
        <v/>
      </c>
      <c r="CY23" s="149" t="str">
        <f>IF($B23=0,"",$N23*'MF Rents'!DA23*'MF Rollover'!CX23)</f>
        <v/>
      </c>
      <c r="CZ23" s="149" t="str">
        <f>IF($B23=0,"",$N23*'MF Rents'!DB23*'MF Rollover'!CY23)</f>
        <v/>
      </c>
      <c r="DA23" s="149" t="str">
        <f>IF($B23=0,"",$N23*'MF Rents'!DC23*'MF Rollover'!CZ23)</f>
        <v/>
      </c>
      <c r="DB23" s="149" t="str">
        <f>IF($B23=0,"",$N23*'MF Rents'!DD23*'MF Rollover'!DA23)</f>
        <v/>
      </c>
      <c r="DC23" s="149" t="str">
        <f>IF($B23=0,"",$N23*'MF Rents'!DE23*'MF Rollover'!DB23)</f>
        <v/>
      </c>
      <c r="DD23" s="149" t="str">
        <f>IF($B23=0,"",$N23*'MF Rents'!DF23*'MF Rollover'!DC23)</f>
        <v/>
      </c>
      <c r="DE23" s="149" t="str">
        <f>IF($B23=0,"",$N23*'MF Rents'!DG23*'MF Rollover'!DD23)</f>
        <v/>
      </c>
      <c r="DF23" s="149" t="str">
        <f>IF($B23=0,"",$N23*'MF Rents'!DH23*'MF Rollover'!DE23)</f>
        <v/>
      </c>
      <c r="DG23" s="149" t="str">
        <f>IF($B23=0,"",$N23*'MF Rents'!DI23*'MF Rollover'!DF23)</f>
        <v/>
      </c>
      <c r="DH23" s="149" t="str">
        <f>IF($B23=0,"",$N23*'MF Rents'!DJ23*'MF Rollover'!DG23)</f>
        <v/>
      </c>
      <c r="DI23" s="149" t="str">
        <f>IF($B23=0,"",$N23*'MF Rents'!DK23*'MF Rollover'!DH23)</f>
        <v/>
      </c>
      <c r="DJ23" s="149" t="str">
        <f>IF($B23=0,"",$N23*'MF Rents'!DL23*'MF Rollover'!DI23)</f>
        <v/>
      </c>
      <c r="DK23" s="149" t="str">
        <f>IF($B23=0,"",$N23*'MF Rents'!DM23*'MF Rollover'!DJ23)</f>
        <v/>
      </c>
      <c r="DL23" s="149" t="str">
        <f>IF($B23=0,"",$N23*'MF Rents'!DN23*'MF Rollover'!DK23)</f>
        <v/>
      </c>
      <c r="DM23" s="149" t="str">
        <f>IF($B23=0,"",$N23*'MF Rents'!DO23*'MF Rollover'!DL23)</f>
        <v/>
      </c>
      <c r="DN23" s="149" t="str">
        <f>IF($B23=0,"",$N23*'MF Rents'!DP23*'MF Rollover'!DM23)</f>
        <v/>
      </c>
      <c r="DO23" s="149" t="str">
        <f>IF($B23=0,"",$N23*'MF Rents'!DQ23*'MF Rollover'!DN23)</f>
        <v/>
      </c>
      <c r="DP23" s="149" t="str">
        <f>IF($B23=0,"",$N23*'MF Rents'!DR23*'MF Rollover'!DO23)</f>
        <v/>
      </c>
      <c r="DQ23" s="149" t="str">
        <f>IF($B23=0,"",$N23*'MF Rents'!DS23*'MF Rollover'!DP23)</f>
        <v/>
      </c>
      <c r="DR23" s="149" t="str">
        <f>IF($B23=0,"",$N23*'MF Rents'!DT23*'MF Rollover'!DQ23)</f>
        <v/>
      </c>
      <c r="DS23" s="149" t="str">
        <f>IF($B23=0,"",$N23*'MF Rents'!DU23*'MF Rollover'!DR23)</f>
        <v/>
      </c>
      <c r="DT23" s="149" t="str">
        <f>IF($B23=0,"",$N23*'MF Rents'!DV23*'MF Rollover'!DS23)</f>
        <v/>
      </c>
      <c r="DU23" s="149" t="str">
        <f>IF($B23=0,"",$N23*'MF Rents'!DW23*'MF Rollover'!DT23)</f>
        <v/>
      </c>
      <c r="DV23" s="149" t="str">
        <f>IF($B23=0,"",$N23*'MF Rents'!DX23*'MF Rollover'!DU23)</f>
        <v/>
      </c>
      <c r="DW23" s="149" t="str">
        <f>IF($B23=0,"",$N23*'MF Rents'!DY23*'MF Rollover'!DV23)</f>
        <v/>
      </c>
      <c r="DX23" s="149" t="str">
        <f>IF($B23=0,"",$N23*'MF Rents'!DZ23*'MF Rollover'!DW23)</f>
        <v/>
      </c>
      <c r="DY23" s="149" t="str">
        <f>IF($B23=0,"",$N23*'MF Rents'!EA23*'MF Rollover'!DX23)</f>
        <v/>
      </c>
      <c r="DZ23" s="149" t="str">
        <f>IF($B23=0,"",$N23*'MF Rents'!EB23*'MF Rollover'!DY23)</f>
        <v/>
      </c>
      <c r="EA23" s="149" t="str">
        <f>IF($B23=0,"",$N23*'MF Rents'!EC23*'MF Rollover'!DZ23)</f>
        <v/>
      </c>
      <c r="EB23" s="149" t="str">
        <f>IF($B23=0,"",$N23*'MF Rents'!ED23*'MF Rollover'!EA23)</f>
        <v/>
      </c>
      <c r="EC23" s="149" t="str">
        <f>IF($B23=0,"",$N23*'MF Rents'!EE23*'MF Rollover'!EB23)</f>
        <v/>
      </c>
      <c r="ED23" s="149" t="str">
        <f>IF($B23=0,"",$N23*'MF Rents'!EF23*'MF Rollover'!EC23)</f>
        <v/>
      </c>
      <c r="EE23" s="149" t="str">
        <f>IF($B23=0,"",$N23*'MF Rents'!EG23*'MF Rollover'!ED23)</f>
        <v/>
      </c>
      <c r="EF23" s="149" t="str">
        <f>IF($B23=0,"",$N23*'MF Rents'!EH23*'MF Rollover'!EE23)</f>
        <v/>
      </c>
      <c r="EG23" s="149" t="str">
        <f>IF($B23=0,"",$N23*'MF Rents'!EI23*'MF Rollover'!EF23)</f>
        <v/>
      </c>
      <c r="EH23" s="149" t="str">
        <f>IF($B23=0,"",$N23*'MF Rents'!EJ23*'MF Rollover'!EG23)</f>
        <v/>
      </c>
      <c r="EI23" s="149" t="str">
        <f>IF($B23=0,"",$N23*'MF Rents'!EK23*'MF Rollover'!EH23)</f>
        <v/>
      </c>
      <c r="EJ23" s="149" t="str">
        <f>IF($B23=0,"",$N23*'MF Rents'!EL23*'MF Rollover'!EI23)</f>
        <v/>
      </c>
      <c r="EK23" s="149" t="str">
        <f>IF($B23=0,"",$N23*'MF Rents'!EM23*'MF Rollover'!EJ23)</f>
        <v/>
      </c>
      <c r="EL23" s="149" t="str">
        <f>IF($B23=0,"",$N23*'MF Rents'!EN23*'MF Rollover'!EK23)</f>
        <v/>
      </c>
      <c r="EM23" s="149" t="str">
        <f>IF($B23=0,"",$N23*'MF Rents'!EO23*'MF Rollover'!EL23)</f>
        <v/>
      </c>
      <c r="EN23" s="149" t="str">
        <f>IF($B23=0,"",$N23*'MF Rents'!EP23*'MF Rollover'!EM23)</f>
        <v/>
      </c>
      <c r="EO23" s="149" t="str">
        <f>IF($B23=0,"",$N23*'MF Rents'!EQ23*'MF Rollover'!EN23)</f>
        <v/>
      </c>
      <c r="EP23" s="149" t="str">
        <f>IF($B23=0,"",$N23*'MF Rents'!ER23*'MF Rollover'!EO23)</f>
        <v/>
      </c>
      <c r="EQ23" s="149" t="str">
        <f>IF($B23=0,"",$N23*'MF Rents'!ES23*'MF Rollover'!EP23)</f>
        <v/>
      </c>
      <c r="ER23" s="149" t="str">
        <f>IF($B23=0,"",$N23*'MF Rents'!ET23*'MF Rollover'!EQ23)</f>
        <v/>
      </c>
      <c r="ES23" s="149" t="str">
        <f>IF($B23=0,"",$N23*'MF Rents'!EU23*'MF Rollover'!ER23)</f>
        <v/>
      </c>
      <c r="ET23" s="149" t="str">
        <f>IF($B23=0,"",$N23*'MF Rents'!EV23*'MF Rollover'!ES23)</f>
        <v/>
      </c>
      <c r="EU23" s="149" t="str">
        <f>IF($B23=0,"",$N23*'MF Rents'!EW23*'MF Rollover'!ET23)</f>
        <v/>
      </c>
      <c r="EV23" s="149" t="str">
        <f>IF($B23=0,"",$N23*'MF Rents'!EX23*'MF Rollover'!EU23)</f>
        <v/>
      </c>
      <c r="EW23" s="149" t="str">
        <f>IF($B23=0,"",$N23*'MF Rents'!EY23*'MF Rollover'!EV23)</f>
        <v/>
      </c>
      <c r="EX23" s="149" t="str">
        <f>IF($B23=0,"",$N23*'MF Rents'!EZ23*'MF Rollover'!EW23)</f>
        <v/>
      </c>
      <c r="EY23" s="149" t="str">
        <f>IF($B23=0,"",$N23*'MF Rents'!FA23*'MF Rollover'!EX23)</f>
        <v/>
      </c>
      <c r="EZ23" s="149" t="str">
        <f>IF($B23=0,"",$N23*'MF Rents'!FB23*'MF Rollover'!EY23)</f>
        <v/>
      </c>
      <c r="FA23" s="149" t="str">
        <f>IF($B23=0,"",$N23*'MF Rents'!FC23*'MF Rollover'!EZ23)</f>
        <v/>
      </c>
      <c r="FB23" s="149" t="str">
        <f>IF($B23=0,"",$N23*'MF Rents'!FD23*'MF Rollover'!FA23)</f>
        <v/>
      </c>
      <c r="FC23" s="149" t="str">
        <f>IF($B23=0,"",$N23*'MF Rents'!FE23*'MF Rollover'!FB23)</f>
        <v/>
      </c>
      <c r="FD23" s="149" t="str">
        <f>IF($B23=0,"",$N23*'MF Rents'!FF23*'MF Rollover'!FC23)</f>
        <v/>
      </c>
      <c r="FE23" s="149" t="str">
        <f>IF($B23=0,"",$N23*'MF Rents'!FG23*'MF Rollover'!FD23)</f>
        <v/>
      </c>
      <c r="FF23" s="149" t="str">
        <f>IF($B23=0,"",$N23*'MF Rents'!FH23*'MF Rollover'!FE23)</f>
        <v/>
      </c>
      <c r="FG23" s="149" t="str">
        <f>IF($B23=0,"",$N23*'MF Rents'!FI23*'MF Rollover'!FF23)</f>
        <v/>
      </c>
      <c r="FH23" s="149" t="str">
        <f>IF($B23=0,"",$N23*'MF Rents'!FJ23*'MF Rollover'!FG23)</f>
        <v/>
      </c>
      <c r="FI23" s="149" t="str">
        <f>IF($B23=0,"",$N23*'MF Rents'!FK23*'MF Rollover'!FH23)</f>
        <v/>
      </c>
      <c r="FJ23" s="149" t="str">
        <f>IF($B23=0,"",$N23*'MF Rents'!FL23*'MF Rollover'!FI23)</f>
        <v/>
      </c>
      <c r="FK23" s="149" t="str">
        <f>IF($B23=0,"",$N23*'MF Rents'!FM23*'MF Rollover'!FJ23)</f>
        <v/>
      </c>
      <c r="FL23" s="149" t="str">
        <f>IF($B23=0,"",$N23*'MF Rents'!FN23*'MF Rollover'!FK23)</f>
        <v/>
      </c>
      <c r="FM23" s="149" t="str">
        <f>IF($B23=0,"",$N23*'MF Rents'!FO23*'MF Rollover'!FL23)</f>
        <v/>
      </c>
      <c r="FN23" s="149" t="str">
        <f>IF($B23=0,"",$N23*'MF Rents'!FP23*'MF Rollover'!FM23)</f>
        <v/>
      </c>
      <c r="FO23" s="149" t="str">
        <f>IF($B23=0,"",$N23*'MF Rents'!FQ23*'MF Rollover'!FN23)</f>
        <v/>
      </c>
      <c r="FP23" s="149" t="str">
        <f>IF($B23=0,"",$N23*'MF Rents'!FR23*'MF Rollover'!FO23)</f>
        <v/>
      </c>
      <c r="FQ23" s="149" t="str">
        <f>IF($B23=0,"",$N23*'MF Rents'!FS23*'MF Rollover'!FP23)</f>
        <v/>
      </c>
      <c r="FR23" s="149" t="str">
        <f>IF($B23=0,"",$N23*'MF Rents'!FT23*'MF Rollover'!FQ23)</f>
        <v/>
      </c>
      <c r="FS23" s="149" t="str">
        <f>IF($B23=0,"",$N23*'MF Rents'!FU23*'MF Rollover'!FR23)</f>
        <v/>
      </c>
      <c r="FT23" s="149" t="str">
        <f>IF($B23=0,"",$N23*'MF Rents'!FV23*'MF Rollover'!FS23)</f>
        <v/>
      </c>
      <c r="FU23" s="149" t="str">
        <f>IF($B23=0,"",$N23*'MF Rents'!FW23*'MF Rollover'!FT23)</f>
        <v/>
      </c>
      <c r="FV23" s="149" t="str">
        <f>IF($B23=0,"",$N23*'MF Rents'!FX23*'MF Rollover'!FU23)</f>
        <v/>
      </c>
      <c r="FW23" s="149" t="str">
        <f>IF($B23=0,"",$N23*'MF Rents'!FY23*'MF Rollover'!FV23)</f>
        <v/>
      </c>
      <c r="FX23" s="149" t="str">
        <f>IF($B23=0,"",$N23*'MF Rents'!FZ23*'MF Rollover'!FW23)</f>
        <v/>
      </c>
      <c r="FY23" s="149" t="str">
        <f>IF($B23=0,"",$N23*'MF Rents'!GA23*'MF Rollover'!FX23)</f>
        <v/>
      </c>
      <c r="FZ23" s="149" t="str">
        <f>IF($B23=0,"",$N23*'MF Rents'!GB23*'MF Rollover'!FY23)</f>
        <v/>
      </c>
      <c r="GA23" s="149" t="str">
        <f>IF($B23=0,"",$N23*'MF Rents'!GC23*'MF Rollover'!FZ23)</f>
        <v/>
      </c>
      <c r="GB23" s="149" t="str">
        <f>IF($B23=0,"",$N23*'MF Rents'!GD23*'MF Rollover'!GA23)</f>
        <v/>
      </c>
      <c r="GC23" s="149" t="str">
        <f>IF($B23=0,"",$N23*'MF Rents'!GE23*'MF Rollover'!GB23)</f>
        <v/>
      </c>
      <c r="GD23" s="149" t="str">
        <f>IF($B23=0,"",$N23*'MF Rents'!GF23*'MF Rollover'!GC23)</f>
        <v/>
      </c>
      <c r="GE23" s="149" t="str">
        <f>IF($B23=0,"",$N23*'MF Rents'!GG23*'MF Rollover'!GD23)</f>
        <v/>
      </c>
      <c r="GF23" s="149" t="str">
        <f>IF($B23=0,"",$N23*'MF Rents'!GH23*'MF Rollover'!GE23)</f>
        <v/>
      </c>
      <c r="GG23" s="149" t="str">
        <f>IF($B23=0,"",$N23*'MF Rents'!GI23*'MF Rollover'!GF23)</f>
        <v/>
      </c>
      <c r="GH23" s="149" t="str">
        <f>IF($B23=0,"",$N23*'MF Rents'!GJ23*'MF Rollover'!GG23)</f>
        <v/>
      </c>
      <c r="GI23" s="149" t="str">
        <f>IF($B23=0,"",$N23*'MF Rents'!GK23*'MF Rollover'!GH23)</f>
        <v/>
      </c>
      <c r="GJ23" s="149" t="str">
        <f>IF($B23=0,"",$N23*'MF Rents'!GL23*'MF Rollover'!GI23)</f>
        <v/>
      </c>
      <c r="GK23" s="149" t="str">
        <f>IF($B23=0,"",$N23*'MF Rents'!GM23*'MF Rollover'!GJ23)</f>
        <v/>
      </c>
      <c r="GL23" s="149" t="str">
        <f>IF($B23=0,"",$N23*'MF Rents'!GN23*'MF Rollover'!GK23)</f>
        <v/>
      </c>
      <c r="GM23" s="149" t="str">
        <f>IF($B23=0,"",$N23*'MF Rents'!GO23*'MF Rollover'!GL23)</f>
        <v/>
      </c>
      <c r="GN23" s="149" t="str">
        <f>IF($B23=0,"",$N23*'MF Rents'!GP23*'MF Rollover'!GM23)</f>
        <v/>
      </c>
      <c r="GO23" s="149" t="str">
        <f>IF($B23=0,"",$N23*'MF Rents'!GQ23*'MF Rollover'!GN23)</f>
        <v/>
      </c>
      <c r="GP23" s="149" t="str">
        <f>IF($B23=0,"",$N23*'MF Rents'!GR23*'MF Rollover'!GO23)</f>
        <v/>
      </c>
    </row>
    <row r="24" spans="2:198" x14ac:dyDescent="0.3">
      <c r="B24" s="184">
        <f>'MF Rent Roll'!B23</f>
        <v>0</v>
      </c>
      <c r="C24" s="171">
        <f>'MF Rent Roll'!C23</f>
        <v>0</v>
      </c>
      <c r="D24" s="172">
        <f>'MF Rent Roll'!D23</f>
        <v>0</v>
      </c>
      <c r="E24" s="172">
        <f>'MF Rent Roll'!E23</f>
        <v>0</v>
      </c>
      <c r="F24" s="173">
        <f>'MF Rent Roll'!F23</f>
        <v>0</v>
      </c>
      <c r="G24" s="174">
        <f>'MF Rent Roll'!G23</f>
        <v>0</v>
      </c>
      <c r="H24" s="176">
        <f>'MF Rent Roll'!J23</f>
        <v>0</v>
      </c>
      <c r="I24" s="174">
        <f>'MF Rent Roll'!K23</f>
        <v>0</v>
      </c>
      <c r="J24" s="177">
        <f>'MF Rent Roll'!L23</f>
        <v>0</v>
      </c>
      <c r="K24" s="178">
        <f>'MF Rent Roll'!M23</f>
        <v>0</v>
      </c>
      <c r="L24" s="174">
        <f>'MF Rent Roll'!N23</f>
        <v>0</v>
      </c>
      <c r="M24" s="179">
        <f>'MF Rent Roll'!O23</f>
        <v>0</v>
      </c>
      <c r="N24" s="180" t="str">
        <f>'MF Rent Roll'!P23</f>
        <v/>
      </c>
      <c r="O24" s="181" t="str">
        <f>'MF Rent Roll'!Q23</f>
        <v/>
      </c>
      <c r="P24" s="104" t="str">
        <f>'MF Rent Roll'!R23</f>
        <v/>
      </c>
      <c r="S24" s="149" t="str">
        <f>IF($B24=0,"",$N24*'MF Rents'!U24*'MF Rollover'!R24)</f>
        <v/>
      </c>
      <c r="T24" s="149" t="str">
        <f>IF($B24=0,"",$N24*'MF Rents'!V24*'MF Rollover'!S24)</f>
        <v/>
      </c>
      <c r="U24" s="149" t="str">
        <f>IF($B24=0,"",$N24*'MF Rents'!W24*'MF Rollover'!T24)</f>
        <v/>
      </c>
      <c r="V24" s="149" t="str">
        <f>IF($B24=0,"",$N24*'MF Rents'!X24*'MF Rollover'!U24)</f>
        <v/>
      </c>
      <c r="W24" s="149" t="str">
        <f>IF($B24=0,"",$N24*'MF Rents'!Y24*'MF Rollover'!V24)</f>
        <v/>
      </c>
      <c r="X24" s="149" t="str">
        <f>IF($B24=0,"",$N24*'MF Rents'!Z24*'MF Rollover'!W24)</f>
        <v/>
      </c>
      <c r="Y24" s="149" t="str">
        <f>IF($B24=0,"",$N24*'MF Rents'!AA24*'MF Rollover'!X24)</f>
        <v/>
      </c>
      <c r="Z24" s="149" t="str">
        <f>IF($B24=0,"",$N24*'MF Rents'!AB24*'MF Rollover'!Y24)</f>
        <v/>
      </c>
      <c r="AA24" s="149" t="str">
        <f>IF($B24=0,"",$N24*'MF Rents'!AC24*'MF Rollover'!Z24)</f>
        <v/>
      </c>
      <c r="AB24" s="149" t="str">
        <f>IF($B24=0,"",$N24*'MF Rents'!AD24*'MF Rollover'!AA24)</f>
        <v/>
      </c>
      <c r="AC24" s="149" t="str">
        <f>IF($B24=0,"",$N24*'MF Rents'!AE24*'MF Rollover'!AB24)</f>
        <v/>
      </c>
      <c r="AD24" s="149" t="str">
        <f>IF($B24=0,"",$N24*'MF Rents'!AF24*'MF Rollover'!AC24)</f>
        <v/>
      </c>
      <c r="AE24" s="149" t="str">
        <f>IF($B24=0,"",$N24*'MF Rents'!AG24*'MF Rollover'!AD24)</f>
        <v/>
      </c>
      <c r="AF24" s="149" t="str">
        <f>IF($B24=0,"",$N24*'MF Rents'!AH24*'MF Rollover'!AE24)</f>
        <v/>
      </c>
      <c r="AG24" s="149" t="str">
        <f>IF($B24=0,"",$N24*'MF Rents'!AI24*'MF Rollover'!AF24)</f>
        <v/>
      </c>
      <c r="AH24" s="149" t="str">
        <f>IF($B24=0,"",$N24*'MF Rents'!AJ24*'MF Rollover'!AG24)</f>
        <v/>
      </c>
      <c r="AI24" s="149" t="str">
        <f>IF($B24=0,"",$N24*'MF Rents'!AK24*'MF Rollover'!AH24)</f>
        <v/>
      </c>
      <c r="AJ24" s="149" t="str">
        <f>IF($B24=0,"",$N24*'MF Rents'!AL24*'MF Rollover'!AI24)</f>
        <v/>
      </c>
      <c r="AK24" s="149" t="str">
        <f>IF($B24=0,"",$N24*'MF Rents'!AM24*'MF Rollover'!AJ24)</f>
        <v/>
      </c>
      <c r="AL24" s="149" t="str">
        <f>IF($B24=0,"",$N24*'MF Rents'!AN24*'MF Rollover'!AK24)</f>
        <v/>
      </c>
      <c r="AM24" s="149" t="str">
        <f>IF($B24=0,"",$N24*'MF Rents'!AO24*'MF Rollover'!AL24)</f>
        <v/>
      </c>
      <c r="AN24" s="149" t="str">
        <f>IF($B24=0,"",$N24*'MF Rents'!AP24*'MF Rollover'!AM24)</f>
        <v/>
      </c>
      <c r="AO24" s="149" t="str">
        <f>IF($B24=0,"",$N24*'MF Rents'!AQ24*'MF Rollover'!AN24)</f>
        <v/>
      </c>
      <c r="AP24" s="149" t="str">
        <f>IF($B24=0,"",$N24*'MF Rents'!AR24*'MF Rollover'!AO24)</f>
        <v/>
      </c>
      <c r="AQ24" s="149" t="str">
        <f>IF($B24=0,"",$N24*'MF Rents'!AS24*'MF Rollover'!AP24)</f>
        <v/>
      </c>
      <c r="AR24" s="149" t="str">
        <f>IF($B24=0,"",$N24*'MF Rents'!AT24*'MF Rollover'!AQ24)</f>
        <v/>
      </c>
      <c r="AS24" s="149" t="str">
        <f>IF($B24=0,"",$N24*'MF Rents'!AU24*'MF Rollover'!AR24)</f>
        <v/>
      </c>
      <c r="AT24" s="149" t="str">
        <f>IF($B24=0,"",$N24*'MF Rents'!AV24*'MF Rollover'!AS24)</f>
        <v/>
      </c>
      <c r="AU24" s="149" t="str">
        <f>IF($B24=0,"",$N24*'MF Rents'!AW24*'MF Rollover'!AT24)</f>
        <v/>
      </c>
      <c r="AV24" s="149" t="str">
        <f>IF($B24=0,"",$N24*'MF Rents'!AX24*'MF Rollover'!AU24)</f>
        <v/>
      </c>
      <c r="AW24" s="149" t="str">
        <f>IF($B24=0,"",$N24*'MF Rents'!AY24*'MF Rollover'!AV24)</f>
        <v/>
      </c>
      <c r="AX24" s="149" t="str">
        <f>IF($B24=0,"",$N24*'MF Rents'!AZ24*'MF Rollover'!AW24)</f>
        <v/>
      </c>
      <c r="AY24" s="149" t="str">
        <f>IF($B24=0,"",$N24*'MF Rents'!BA24*'MF Rollover'!AX24)</f>
        <v/>
      </c>
      <c r="AZ24" s="149" t="str">
        <f>IF($B24=0,"",$N24*'MF Rents'!BB24*'MF Rollover'!AY24)</f>
        <v/>
      </c>
      <c r="BA24" s="149" t="str">
        <f>IF($B24=0,"",$N24*'MF Rents'!BC24*'MF Rollover'!AZ24)</f>
        <v/>
      </c>
      <c r="BB24" s="149" t="str">
        <f>IF($B24=0,"",$N24*'MF Rents'!BD24*'MF Rollover'!BA24)</f>
        <v/>
      </c>
      <c r="BC24" s="149" t="str">
        <f>IF($B24=0,"",$N24*'MF Rents'!BE24*'MF Rollover'!BB24)</f>
        <v/>
      </c>
      <c r="BD24" s="149" t="str">
        <f>IF($B24=0,"",$N24*'MF Rents'!BF24*'MF Rollover'!BC24)</f>
        <v/>
      </c>
      <c r="BE24" s="149" t="str">
        <f>IF($B24=0,"",$N24*'MF Rents'!BG24*'MF Rollover'!BD24)</f>
        <v/>
      </c>
      <c r="BF24" s="149" t="str">
        <f>IF($B24=0,"",$N24*'MF Rents'!BH24*'MF Rollover'!BE24)</f>
        <v/>
      </c>
      <c r="BG24" s="149" t="str">
        <f>IF($B24=0,"",$N24*'MF Rents'!BI24*'MF Rollover'!BF24)</f>
        <v/>
      </c>
      <c r="BH24" s="149" t="str">
        <f>IF($B24=0,"",$N24*'MF Rents'!BJ24*'MF Rollover'!BG24)</f>
        <v/>
      </c>
      <c r="BI24" s="149" t="str">
        <f>IF($B24=0,"",$N24*'MF Rents'!BK24*'MF Rollover'!BH24)</f>
        <v/>
      </c>
      <c r="BJ24" s="149" t="str">
        <f>IF($B24=0,"",$N24*'MF Rents'!BL24*'MF Rollover'!BI24)</f>
        <v/>
      </c>
      <c r="BK24" s="149" t="str">
        <f>IF($B24=0,"",$N24*'MF Rents'!BM24*'MF Rollover'!BJ24)</f>
        <v/>
      </c>
      <c r="BL24" s="149" t="str">
        <f>IF($B24=0,"",$N24*'MF Rents'!BN24*'MF Rollover'!BK24)</f>
        <v/>
      </c>
      <c r="BM24" s="149" t="str">
        <f>IF($B24=0,"",$N24*'MF Rents'!BO24*'MF Rollover'!BL24)</f>
        <v/>
      </c>
      <c r="BN24" s="149" t="str">
        <f>IF($B24=0,"",$N24*'MF Rents'!BP24*'MF Rollover'!BM24)</f>
        <v/>
      </c>
      <c r="BO24" s="149" t="str">
        <f>IF($B24=0,"",$N24*'MF Rents'!BQ24*'MF Rollover'!BN24)</f>
        <v/>
      </c>
      <c r="BP24" s="149" t="str">
        <f>IF($B24=0,"",$N24*'MF Rents'!BR24*'MF Rollover'!BO24)</f>
        <v/>
      </c>
      <c r="BQ24" s="149" t="str">
        <f>IF($B24=0,"",$N24*'MF Rents'!BS24*'MF Rollover'!BP24)</f>
        <v/>
      </c>
      <c r="BR24" s="149" t="str">
        <f>IF($B24=0,"",$N24*'MF Rents'!BT24*'MF Rollover'!BQ24)</f>
        <v/>
      </c>
      <c r="BS24" s="149" t="str">
        <f>IF($B24=0,"",$N24*'MF Rents'!BU24*'MF Rollover'!BR24)</f>
        <v/>
      </c>
      <c r="BT24" s="149" t="str">
        <f>IF($B24=0,"",$N24*'MF Rents'!BV24*'MF Rollover'!BS24)</f>
        <v/>
      </c>
      <c r="BU24" s="149" t="str">
        <f>IF($B24=0,"",$N24*'MF Rents'!BW24*'MF Rollover'!BT24)</f>
        <v/>
      </c>
      <c r="BV24" s="149" t="str">
        <f>IF($B24=0,"",$N24*'MF Rents'!BX24*'MF Rollover'!BU24)</f>
        <v/>
      </c>
      <c r="BW24" s="149" t="str">
        <f>IF($B24=0,"",$N24*'MF Rents'!BY24*'MF Rollover'!BV24)</f>
        <v/>
      </c>
      <c r="BX24" s="149" t="str">
        <f>IF($B24=0,"",$N24*'MF Rents'!BZ24*'MF Rollover'!BW24)</f>
        <v/>
      </c>
      <c r="BY24" s="149" t="str">
        <f>IF($B24=0,"",$N24*'MF Rents'!CA24*'MF Rollover'!BX24)</f>
        <v/>
      </c>
      <c r="BZ24" s="149" t="str">
        <f>IF($B24=0,"",$N24*'MF Rents'!CB24*'MF Rollover'!BY24)</f>
        <v/>
      </c>
      <c r="CA24" s="149" t="str">
        <f>IF($B24=0,"",$N24*'MF Rents'!CC24*'MF Rollover'!BZ24)</f>
        <v/>
      </c>
      <c r="CB24" s="149" t="str">
        <f>IF($B24=0,"",$N24*'MF Rents'!CD24*'MF Rollover'!CA24)</f>
        <v/>
      </c>
      <c r="CC24" s="149" t="str">
        <f>IF($B24=0,"",$N24*'MF Rents'!CE24*'MF Rollover'!CB24)</f>
        <v/>
      </c>
      <c r="CD24" s="149" t="str">
        <f>IF($B24=0,"",$N24*'MF Rents'!CF24*'MF Rollover'!CC24)</f>
        <v/>
      </c>
      <c r="CE24" s="149" t="str">
        <f>IF($B24=0,"",$N24*'MF Rents'!CG24*'MF Rollover'!CD24)</f>
        <v/>
      </c>
      <c r="CF24" s="149" t="str">
        <f>IF($B24=0,"",$N24*'MF Rents'!CH24*'MF Rollover'!CE24)</f>
        <v/>
      </c>
      <c r="CG24" s="149" t="str">
        <f>IF($B24=0,"",$N24*'MF Rents'!CI24*'MF Rollover'!CF24)</f>
        <v/>
      </c>
      <c r="CH24" s="149" t="str">
        <f>IF($B24=0,"",$N24*'MF Rents'!CJ24*'MF Rollover'!CG24)</f>
        <v/>
      </c>
      <c r="CI24" s="149" t="str">
        <f>IF($B24=0,"",$N24*'MF Rents'!CK24*'MF Rollover'!CH24)</f>
        <v/>
      </c>
      <c r="CJ24" s="149" t="str">
        <f>IF($B24=0,"",$N24*'MF Rents'!CL24*'MF Rollover'!CI24)</f>
        <v/>
      </c>
      <c r="CK24" s="149" t="str">
        <f>IF($B24=0,"",$N24*'MF Rents'!CM24*'MF Rollover'!CJ24)</f>
        <v/>
      </c>
      <c r="CL24" s="149" t="str">
        <f>IF($B24=0,"",$N24*'MF Rents'!CN24*'MF Rollover'!CK24)</f>
        <v/>
      </c>
      <c r="CM24" s="149" t="str">
        <f>IF($B24=0,"",$N24*'MF Rents'!CO24*'MF Rollover'!CL24)</f>
        <v/>
      </c>
      <c r="CN24" s="149" t="str">
        <f>IF($B24=0,"",$N24*'MF Rents'!CP24*'MF Rollover'!CM24)</f>
        <v/>
      </c>
      <c r="CO24" s="149" t="str">
        <f>IF($B24=0,"",$N24*'MF Rents'!CQ24*'MF Rollover'!CN24)</f>
        <v/>
      </c>
      <c r="CP24" s="149" t="str">
        <f>IF($B24=0,"",$N24*'MF Rents'!CR24*'MF Rollover'!CO24)</f>
        <v/>
      </c>
      <c r="CQ24" s="149" t="str">
        <f>IF($B24=0,"",$N24*'MF Rents'!CS24*'MF Rollover'!CP24)</f>
        <v/>
      </c>
      <c r="CR24" s="149" t="str">
        <f>IF($B24=0,"",$N24*'MF Rents'!CT24*'MF Rollover'!CQ24)</f>
        <v/>
      </c>
      <c r="CS24" s="149" t="str">
        <f>IF($B24=0,"",$N24*'MF Rents'!CU24*'MF Rollover'!CR24)</f>
        <v/>
      </c>
      <c r="CT24" s="149" t="str">
        <f>IF($B24=0,"",$N24*'MF Rents'!CV24*'MF Rollover'!CS24)</f>
        <v/>
      </c>
      <c r="CU24" s="149" t="str">
        <f>IF($B24=0,"",$N24*'MF Rents'!CW24*'MF Rollover'!CT24)</f>
        <v/>
      </c>
      <c r="CV24" s="149" t="str">
        <f>IF($B24=0,"",$N24*'MF Rents'!CX24*'MF Rollover'!CU24)</f>
        <v/>
      </c>
      <c r="CW24" s="149" t="str">
        <f>IF($B24=0,"",$N24*'MF Rents'!CY24*'MF Rollover'!CV24)</f>
        <v/>
      </c>
      <c r="CX24" s="149" t="str">
        <f>IF($B24=0,"",$N24*'MF Rents'!CZ24*'MF Rollover'!CW24)</f>
        <v/>
      </c>
      <c r="CY24" s="149" t="str">
        <f>IF($B24=0,"",$N24*'MF Rents'!DA24*'MF Rollover'!CX24)</f>
        <v/>
      </c>
      <c r="CZ24" s="149" t="str">
        <f>IF($B24=0,"",$N24*'MF Rents'!DB24*'MF Rollover'!CY24)</f>
        <v/>
      </c>
      <c r="DA24" s="149" t="str">
        <f>IF($B24=0,"",$N24*'MF Rents'!DC24*'MF Rollover'!CZ24)</f>
        <v/>
      </c>
      <c r="DB24" s="149" t="str">
        <f>IF($B24=0,"",$N24*'MF Rents'!DD24*'MF Rollover'!DA24)</f>
        <v/>
      </c>
      <c r="DC24" s="149" t="str">
        <f>IF($B24=0,"",$N24*'MF Rents'!DE24*'MF Rollover'!DB24)</f>
        <v/>
      </c>
      <c r="DD24" s="149" t="str">
        <f>IF($B24=0,"",$N24*'MF Rents'!DF24*'MF Rollover'!DC24)</f>
        <v/>
      </c>
      <c r="DE24" s="149" t="str">
        <f>IF($B24=0,"",$N24*'MF Rents'!DG24*'MF Rollover'!DD24)</f>
        <v/>
      </c>
      <c r="DF24" s="149" t="str">
        <f>IF($B24=0,"",$N24*'MF Rents'!DH24*'MF Rollover'!DE24)</f>
        <v/>
      </c>
      <c r="DG24" s="149" t="str">
        <f>IF($B24=0,"",$N24*'MF Rents'!DI24*'MF Rollover'!DF24)</f>
        <v/>
      </c>
      <c r="DH24" s="149" t="str">
        <f>IF($B24=0,"",$N24*'MF Rents'!DJ24*'MF Rollover'!DG24)</f>
        <v/>
      </c>
      <c r="DI24" s="149" t="str">
        <f>IF($B24=0,"",$N24*'MF Rents'!DK24*'MF Rollover'!DH24)</f>
        <v/>
      </c>
      <c r="DJ24" s="149" t="str">
        <f>IF($B24=0,"",$N24*'MF Rents'!DL24*'MF Rollover'!DI24)</f>
        <v/>
      </c>
      <c r="DK24" s="149" t="str">
        <f>IF($B24=0,"",$N24*'MF Rents'!DM24*'MF Rollover'!DJ24)</f>
        <v/>
      </c>
      <c r="DL24" s="149" t="str">
        <f>IF($B24=0,"",$N24*'MF Rents'!DN24*'MF Rollover'!DK24)</f>
        <v/>
      </c>
      <c r="DM24" s="149" t="str">
        <f>IF($B24=0,"",$N24*'MF Rents'!DO24*'MF Rollover'!DL24)</f>
        <v/>
      </c>
      <c r="DN24" s="149" t="str">
        <f>IF($B24=0,"",$N24*'MF Rents'!DP24*'MF Rollover'!DM24)</f>
        <v/>
      </c>
      <c r="DO24" s="149" t="str">
        <f>IF($B24=0,"",$N24*'MF Rents'!DQ24*'MF Rollover'!DN24)</f>
        <v/>
      </c>
      <c r="DP24" s="149" t="str">
        <f>IF($B24=0,"",$N24*'MF Rents'!DR24*'MF Rollover'!DO24)</f>
        <v/>
      </c>
      <c r="DQ24" s="149" t="str">
        <f>IF($B24=0,"",$N24*'MF Rents'!DS24*'MF Rollover'!DP24)</f>
        <v/>
      </c>
      <c r="DR24" s="149" t="str">
        <f>IF($B24=0,"",$N24*'MF Rents'!DT24*'MF Rollover'!DQ24)</f>
        <v/>
      </c>
      <c r="DS24" s="149" t="str">
        <f>IF($B24=0,"",$N24*'MF Rents'!DU24*'MF Rollover'!DR24)</f>
        <v/>
      </c>
      <c r="DT24" s="149" t="str">
        <f>IF($B24=0,"",$N24*'MF Rents'!DV24*'MF Rollover'!DS24)</f>
        <v/>
      </c>
      <c r="DU24" s="149" t="str">
        <f>IF($B24=0,"",$N24*'MF Rents'!DW24*'MF Rollover'!DT24)</f>
        <v/>
      </c>
      <c r="DV24" s="149" t="str">
        <f>IF($B24=0,"",$N24*'MF Rents'!DX24*'MF Rollover'!DU24)</f>
        <v/>
      </c>
      <c r="DW24" s="149" t="str">
        <f>IF($B24=0,"",$N24*'MF Rents'!DY24*'MF Rollover'!DV24)</f>
        <v/>
      </c>
      <c r="DX24" s="149" t="str">
        <f>IF($B24=0,"",$N24*'MF Rents'!DZ24*'MF Rollover'!DW24)</f>
        <v/>
      </c>
      <c r="DY24" s="149" t="str">
        <f>IF($B24=0,"",$N24*'MF Rents'!EA24*'MF Rollover'!DX24)</f>
        <v/>
      </c>
      <c r="DZ24" s="149" t="str">
        <f>IF($B24=0,"",$N24*'MF Rents'!EB24*'MF Rollover'!DY24)</f>
        <v/>
      </c>
      <c r="EA24" s="149" t="str">
        <f>IF($B24=0,"",$N24*'MF Rents'!EC24*'MF Rollover'!DZ24)</f>
        <v/>
      </c>
      <c r="EB24" s="149" t="str">
        <f>IF($B24=0,"",$N24*'MF Rents'!ED24*'MF Rollover'!EA24)</f>
        <v/>
      </c>
      <c r="EC24" s="149" t="str">
        <f>IF($B24=0,"",$N24*'MF Rents'!EE24*'MF Rollover'!EB24)</f>
        <v/>
      </c>
      <c r="ED24" s="149" t="str">
        <f>IF($B24=0,"",$N24*'MF Rents'!EF24*'MF Rollover'!EC24)</f>
        <v/>
      </c>
      <c r="EE24" s="149" t="str">
        <f>IF($B24=0,"",$N24*'MF Rents'!EG24*'MF Rollover'!ED24)</f>
        <v/>
      </c>
      <c r="EF24" s="149" t="str">
        <f>IF($B24=0,"",$N24*'MF Rents'!EH24*'MF Rollover'!EE24)</f>
        <v/>
      </c>
      <c r="EG24" s="149" t="str">
        <f>IF($B24=0,"",$N24*'MF Rents'!EI24*'MF Rollover'!EF24)</f>
        <v/>
      </c>
      <c r="EH24" s="149" t="str">
        <f>IF($B24=0,"",$N24*'MF Rents'!EJ24*'MF Rollover'!EG24)</f>
        <v/>
      </c>
      <c r="EI24" s="149" t="str">
        <f>IF($B24=0,"",$N24*'MF Rents'!EK24*'MF Rollover'!EH24)</f>
        <v/>
      </c>
      <c r="EJ24" s="149" t="str">
        <f>IF($B24=0,"",$N24*'MF Rents'!EL24*'MF Rollover'!EI24)</f>
        <v/>
      </c>
      <c r="EK24" s="149" t="str">
        <f>IF($B24=0,"",$N24*'MF Rents'!EM24*'MF Rollover'!EJ24)</f>
        <v/>
      </c>
      <c r="EL24" s="149" t="str">
        <f>IF($B24=0,"",$N24*'MF Rents'!EN24*'MF Rollover'!EK24)</f>
        <v/>
      </c>
      <c r="EM24" s="149" t="str">
        <f>IF($B24=0,"",$N24*'MF Rents'!EO24*'MF Rollover'!EL24)</f>
        <v/>
      </c>
      <c r="EN24" s="149" t="str">
        <f>IF($B24=0,"",$N24*'MF Rents'!EP24*'MF Rollover'!EM24)</f>
        <v/>
      </c>
      <c r="EO24" s="149" t="str">
        <f>IF($B24=0,"",$N24*'MF Rents'!EQ24*'MF Rollover'!EN24)</f>
        <v/>
      </c>
      <c r="EP24" s="149" t="str">
        <f>IF($B24=0,"",$N24*'MF Rents'!ER24*'MF Rollover'!EO24)</f>
        <v/>
      </c>
      <c r="EQ24" s="149" t="str">
        <f>IF($B24=0,"",$N24*'MF Rents'!ES24*'MF Rollover'!EP24)</f>
        <v/>
      </c>
      <c r="ER24" s="149" t="str">
        <f>IF($B24=0,"",$N24*'MF Rents'!ET24*'MF Rollover'!EQ24)</f>
        <v/>
      </c>
      <c r="ES24" s="149" t="str">
        <f>IF($B24=0,"",$N24*'MF Rents'!EU24*'MF Rollover'!ER24)</f>
        <v/>
      </c>
      <c r="ET24" s="149" t="str">
        <f>IF($B24=0,"",$N24*'MF Rents'!EV24*'MF Rollover'!ES24)</f>
        <v/>
      </c>
      <c r="EU24" s="149" t="str">
        <f>IF($B24=0,"",$N24*'MF Rents'!EW24*'MF Rollover'!ET24)</f>
        <v/>
      </c>
      <c r="EV24" s="149" t="str">
        <f>IF($B24=0,"",$N24*'MF Rents'!EX24*'MF Rollover'!EU24)</f>
        <v/>
      </c>
      <c r="EW24" s="149" t="str">
        <f>IF($B24=0,"",$N24*'MF Rents'!EY24*'MF Rollover'!EV24)</f>
        <v/>
      </c>
      <c r="EX24" s="149" t="str">
        <f>IF($B24=0,"",$N24*'MF Rents'!EZ24*'MF Rollover'!EW24)</f>
        <v/>
      </c>
      <c r="EY24" s="149" t="str">
        <f>IF($B24=0,"",$N24*'MF Rents'!FA24*'MF Rollover'!EX24)</f>
        <v/>
      </c>
      <c r="EZ24" s="149" t="str">
        <f>IF($B24=0,"",$N24*'MF Rents'!FB24*'MF Rollover'!EY24)</f>
        <v/>
      </c>
      <c r="FA24" s="149" t="str">
        <f>IF($B24=0,"",$N24*'MF Rents'!FC24*'MF Rollover'!EZ24)</f>
        <v/>
      </c>
      <c r="FB24" s="149" t="str">
        <f>IF($B24=0,"",$N24*'MF Rents'!FD24*'MF Rollover'!FA24)</f>
        <v/>
      </c>
      <c r="FC24" s="149" t="str">
        <f>IF($B24=0,"",$N24*'MF Rents'!FE24*'MF Rollover'!FB24)</f>
        <v/>
      </c>
      <c r="FD24" s="149" t="str">
        <f>IF($B24=0,"",$N24*'MF Rents'!FF24*'MF Rollover'!FC24)</f>
        <v/>
      </c>
      <c r="FE24" s="149" t="str">
        <f>IF($B24=0,"",$N24*'MF Rents'!FG24*'MF Rollover'!FD24)</f>
        <v/>
      </c>
      <c r="FF24" s="149" t="str">
        <f>IF($B24=0,"",$N24*'MF Rents'!FH24*'MF Rollover'!FE24)</f>
        <v/>
      </c>
      <c r="FG24" s="149" t="str">
        <f>IF($B24=0,"",$N24*'MF Rents'!FI24*'MF Rollover'!FF24)</f>
        <v/>
      </c>
      <c r="FH24" s="149" t="str">
        <f>IF($B24=0,"",$N24*'MF Rents'!FJ24*'MF Rollover'!FG24)</f>
        <v/>
      </c>
      <c r="FI24" s="149" t="str">
        <f>IF($B24=0,"",$N24*'MF Rents'!FK24*'MF Rollover'!FH24)</f>
        <v/>
      </c>
      <c r="FJ24" s="149" t="str">
        <f>IF($B24=0,"",$N24*'MF Rents'!FL24*'MF Rollover'!FI24)</f>
        <v/>
      </c>
      <c r="FK24" s="149" t="str">
        <f>IF($B24=0,"",$N24*'MF Rents'!FM24*'MF Rollover'!FJ24)</f>
        <v/>
      </c>
      <c r="FL24" s="149" t="str">
        <f>IF($B24=0,"",$N24*'MF Rents'!FN24*'MF Rollover'!FK24)</f>
        <v/>
      </c>
      <c r="FM24" s="149" t="str">
        <f>IF($B24=0,"",$N24*'MF Rents'!FO24*'MF Rollover'!FL24)</f>
        <v/>
      </c>
      <c r="FN24" s="149" t="str">
        <f>IF($B24=0,"",$N24*'MF Rents'!FP24*'MF Rollover'!FM24)</f>
        <v/>
      </c>
      <c r="FO24" s="149" t="str">
        <f>IF($B24=0,"",$N24*'MF Rents'!FQ24*'MF Rollover'!FN24)</f>
        <v/>
      </c>
      <c r="FP24" s="149" t="str">
        <f>IF($B24=0,"",$N24*'MF Rents'!FR24*'MF Rollover'!FO24)</f>
        <v/>
      </c>
      <c r="FQ24" s="149" t="str">
        <f>IF($B24=0,"",$N24*'MF Rents'!FS24*'MF Rollover'!FP24)</f>
        <v/>
      </c>
      <c r="FR24" s="149" t="str">
        <f>IF($B24=0,"",$N24*'MF Rents'!FT24*'MF Rollover'!FQ24)</f>
        <v/>
      </c>
      <c r="FS24" s="149" t="str">
        <f>IF($B24=0,"",$N24*'MF Rents'!FU24*'MF Rollover'!FR24)</f>
        <v/>
      </c>
      <c r="FT24" s="149" t="str">
        <f>IF($B24=0,"",$N24*'MF Rents'!FV24*'MF Rollover'!FS24)</f>
        <v/>
      </c>
      <c r="FU24" s="149" t="str">
        <f>IF($B24=0,"",$N24*'MF Rents'!FW24*'MF Rollover'!FT24)</f>
        <v/>
      </c>
      <c r="FV24" s="149" t="str">
        <f>IF($B24=0,"",$N24*'MF Rents'!FX24*'MF Rollover'!FU24)</f>
        <v/>
      </c>
      <c r="FW24" s="149" t="str">
        <f>IF($B24=0,"",$N24*'MF Rents'!FY24*'MF Rollover'!FV24)</f>
        <v/>
      </c>
      <c r="FX24" s="149" t="str">
        <f>IF($B24=0,"",$N24*'MF Rents'!FZ24*'MF Rollover'!FW24)</f>
        <v/>
      </c>
      <c r="FY24" s="149" t="str">
        <f>IF($B24=0,"",$N24*'MF Rents'!GA24*'MF Rollover'!FX24)</f>
        <v/>
      </c>
      <c r="FZ24" s="149" t="str">
        <f>IF($B24=0,"",$N24*'MF Rents'!GB24*'MF Rollover'!FY24)</f>
        <v/>
      </c>
      <c r="GA24" s="149" t="str">
        <f>IF($B24=0,"",$N24*'MF Rents'!GC24*'MF Rollover'!FZ24)</f>
        <v/>
      </c>
      <c r="GB24" s="149" t="str">
        <f>IF($B24=0,"",$N24*'MF Rents'!GD24*'MF Rollover'!GA24)</f>
        <v/>
      </c>
      <c r="GC24" s="149" t="str">
        <f>IF($B24=0,"",$N24*'MF Rents'!GE24*'MF Rollover'!GB24)</f>
        <v/>
      </c>
      <c r="GD24" s="149" t="str">
        <f>IF($B24=0,"",$N24*'MF Rents'!GF24*'MF Rollover'!GC24)</f>
        <v/>
      </c>
      <c r="GE24" s="149" t="str">
        <f>IF($B24=0,"",$N24*'MF Rents'!GG24*'MF Rollover'!GD24)</f>
        <v/>
      </c>
      <c r="GF24" s="149" t="str">
        <f>IF($B24=0,"",$N24*'MF Rents'!GH24*'MF Rollover'!GE24)</f>
        <v/>
      </c>
      <c r="GG24" s="149" t="str">
        <f>IF($B24=0,"",$N24*'MF Rents'!GI24*'MF Rollover'!GF24)</f>
        <v/>
      </c>
      <c r="GH24" s="149" t="str">
        <f>IF($B24=0,"",$N24*'MF Rents'!GJ24*'MF Rollover'!GG24)</f>
        <v/>
      </c>
      <c r="GI24" s="149" t="str">
        <f>IF($B24=0,"",$N24*'MF Rents'!GK24*'MF Rollover'!GH24)</f>
        <v/>
      </c>
      <c r="GJ24" s="149" t="str">
        <f>IF($B24=0,"",$N24*'MF Rents'!GL24*'MF Rollover'!GI24)</f>
        <v/>
      </c>
      <c r="GK24" s="149" t="str">
        <f>IF($B24=0,"",$N24*'MF Rents'!GM24*'MF Rollover'!GJ24)</f>
        <v/>
      </c>
      <c r="GL24" s="149" t="str">
        <f>IF($B24=0,"",$N24*'MF Rents'!GN24*'MF Rollover'!GK24)</f>
        <v/>
      </c>
      <c r="GM24" s="149" t="str">
        <f>IF($B24=0,"",$N24*'MF Rents'!GO24*'MF Rollover'!GL24)</f>
        <v/>
      </c>
      <c r="GN24" s="149" t="str">
        <f>IF($B24=0,"",$N24*'MF Rents'!GP24*'MF Rollover'!GM24)</f>
        <v/>
      </c>
      <c r="GO24" s="149" t="str">
        <f>IF($B24=0,"",$N24*'MF Rents'!GQ24*'MF Rollover'!GN24)</f>
        <v/>
      </c>
      <c r="GP24" s="149" t="str">
        <f>IF($B24=0,"",$N24*'MF Rents'!GR24*'MF Rollover'!GO24)</f>
        <v/>
      </c>
    </row>
    <row r="25" spans="2:198" x14ac:dyDescent="0.3">
      <c r="B25" s="184">
        <f>'MF Rent Roll'!B24</f>
        <v>0</v>
      </c>
      <c r="C25" s="171">
        <f>'MF Rent Roll'!C24</f>
        <v>0</v>
      </c>
      <c r="D25" s="172">
        <f>'MF Rent Roll'!D24</f>
        <v>0</v>
      </c>
      <c r="E25" s="172">
        <f>'MF Rent Roll'!E24</f>
        <v>0</v>
      </c>
      <c r="F25" s="173">
        <f>'MF Rent Roll'!F24</f>
        <v>0</v>
      </c>
      <c r="G25" s="174">
        <f>'MF Rent Roll'!G24</f>
        <v>0</v>
      </c>
      <c r="H25" s="176">
        <f>'MF Rent Roll'!J24</f>
        <v>0</v>
      </c>
      <c r="I25" s="174">
        <f>'MF Rent Roll'!K24</f>
        <v>0</v>
      </c>
      <c r="J25" s="177">
        <f>'MF Rent Roll'!L24</f>
        <v>0</v>
      </c>
      <c r="K25" s="178">
        <f>'MF Rent Roll'!M24</f>
        <v>0</v>
      </c>
      <c r="L25" s="174">
        <f>'MF Rent Roll'!N24</f>
        <v>0</v>
      </c>
      <c r="M25" s="179">
        <f>'MF Rent Roll'!O24</f>
        <v>0</v>
      </c>
      <c r="N25" s="180" t="str">
        <f>'MF Rent Roll'!P24</f>
        <v/>
      </c>
      <c r="O25" s="181" t="str">
        <f>'MF Rent Roll'!Q24</f>
        <v/>
      </c>
      <c r="P25" s="104" t="str">
        <f>'MF Rent Roll'!R24</f>
        <v/>
      </c>
      <c r="S25" s="149" t="str">
        <f>IF($B25=0,"",$N25*'MF Rents'!U25*'MF Rollover'!R25)</f>
        <v/>
      </c>
      <c r="T25" s="149" t="str">
        <f>IF($B25=0,"",$N25*'MF Rents'!V25*'MF Rollover'!S25)</f>
        <v/>
      </c>
      <c r="U25" s="149" t="str">
        <f>IF($B25=0,"",$N25*'MF Rents'!W25*'MF Rollover'!T25)</f>
        <v/>
      </c>
      <c r="V25" s="149" t="str">
        <f>IF($B25=0,"",$N25*'MF Rents'!X25*'MF Rollover'!U25)</f>
        <v/>
      </c>
      <c r="W25" s="149" t="str">
        <f>IF($B25=0,"",$N25*'MF Rents'!Y25*'MF Rollover'!V25)</f>
        <v/>
      </c>
      <c r="X25" s="149" t="str">
        <f>IF($B25=0,"",$N25*'MF Rents'!Z25*'MF Rollover'!W25)</f>
        <v/>
      </c>
      <c r="Y25" s="149" t="str">
        <f>IF($B25=0,"",$N25*'MF Rents'!AA25*'MF Rollover'!X25)</f>
        <v/>
      </c>
      <c r="Z25" s="149" t="str">
        <f>IF($B25=0,"",$N25*'MF Rents'!AB25*'MF Rollover'!Y25)</f>
        <v/>
      </c>
      <c r="AA25" s="149" t="str">
        <f>IF($B25=0,"",$N25*'MF Rents'!AC25*'MF Rollover'!Z25)</f>
        <v/>
      </c>
      <c r="AB25" s="149" t="str">
        <f>IF($B25=0,"",$N25*'MF Rents'!AD25*'MF Rollover'!AA25)</f>
        <v/>
      </c>
      <c r="AC25" s="149" t="str">
        <f>IF($B25=0,"",$N25*'MF Rents'!AE25*'MF Rollover'!AB25)</f>
        <v/>
      </c>
      <c r="AD25" s="149" t="str">
        <f>IF($B25=0,"",$N25*'MF Rents'!AF25*'MF Rollover'!AC25)</f>
        <v/>
      </c>
      <c r="AE25" s="149" t="str">
        <f>IF($B25=0,"",$N25*'MF Rents'!AG25*'MF Rollover'!AD25)</f>
        <v/>
      </c>
      <c r="AF25" s="149" t="str">
        <f>IF($B25=0,"",$N25*'MF Rents'!AH25*'MF Rollover'!AE25)</f>
        <v/>
      </c>
      <c r="AG25" s="149" t="str">
        <f>IF($B25=0,"",$N25*'MF Rents'!AI25*'MF Rollover'!AF25)</f>
        <v/>
      </c>
      <c r="AH25" s="149" t="str">
        <f>IF($B25=0,"",$N25*'MF Rents'!AJ25*'MF Rollover'!AG25)</f>
        <v/>
      </c>
      <c r="AI25" s="149" t="str">
        <f>IF($B25=0,"",$N25*'MF Rents'!AK25*'MF Rollover'!AH25)</f>
        <v/>
      </c>
      <c r="AJ25" s="149" t="str">
        <f>IF($B25=0,"",$N25*'MF Rents'!AL25*'MF Rollover'!AI25)</f>
        <v/>
      </c>
      <c r="AK25" s="149" t="str">
        <f>IF($B25=0,"",$N25*'MF Rents'!AM25*'MF Rollover'!AJ25)</f>
        <v/>
      </c>
      <c r="AL25" s="149" t="str">
        <f>IF($B25=0,"",$N25*'MF Rents'!AN25*'MF Rollover'!AK25)</f>
        <v/>
      </c>
      <c r="AM25" s="149" t="str">
        <f>IF($B25=0,"",$N25*'MF Rents'!AO25*'MF Rollover'!AL25)</f>
        <v/>
      </c>
      <c r="AN25" s="149" t="str">
        <f>IF($B25=0,"",$N25*'MF Rents'!AP25*'MF Rollover'!AM25)</f>
        <v/>
      </c>
      <c r="AO25" s="149" t="str">
        <f>IF($B25=0,"",$N25*'MF Rents'!AQ25*'MF Rollover'!AN25)</f>
        <v/>
      </c>
      <c r="AP25" s="149" t="str">
        <f>IF($B25=0,"",$N25*'MF Rents'!AR25*'MF Rollover'!AO25)</f>
        <v/>
      </c>
      <c r="AQ25" s="149" t="str">
        <f>IF($B25=0,"",$N25*'MF Rents'!AS25*'MF Rollover'!AP25)</f>
        <v/>
      </c>
      <c r="AR25" s="149" t="str">
        <f>IF($B25=0,"",$N25*'MF Rents'!AT25*'MF Rollover'!AQ25)</f>
        <v/>
      </c>
      <c r="AS25" s="149" t="str">
        <f>IF($B25=0,"",$N25*'MF Rents'!AU25*'MF Rollover'!AR25)</f>
        <v/>
      </c>
      <c r="AT25" s="149" t="str">
        <f>IF($B25=0,"",$N25*'MF Rents'!AV25*'MF Rollover'!AS25)</f>
        <v/>
      </c>
      <c r="AU25" s="149" t="str">
        <f>IF($B25=0,"",$N25*'MF Rents'!AW25*'MF Rollover'!AT25)</f>
        <v/>
      </c>
      <c r="AV25" s="149" t="str">
        <f>IF($B25=0,"",$N25*'MF Rents'!AX25*'MF Rollover'!AU25)</f>
        <v/>
      </c>
      <c r="AW25" s="149" t="str">
        <f>IF($B25=0,"",$N25*'MF Rents'!AY25*'MF Rollover'!AV25)</f>
        <v/>
      </c>
      <c r="AX25" s="149" t="str">
        <f>IF($B25=0,"",$N25*'MF Rents'!AZ25*'MF Rollover'!AW25)</f>
        <v/>
      </c>
      <c r="AY25" s="149" t="str">
        <f>IF($B25=0,"",$N25*'MF Rents'!BA25*'MF Rollover'!AX25)</f>
        <v/>
      </c>
      <c r="AZ25" s="149" t="str">
        <f>IF($B25=0,"",$N25*'MF Rents'!BB25*'MF Rollover'!AY25)</f>
        <v/>
      </c>
      <c r="BA25" s="149" t="str">
        <f>IF($B25=0,"",$N25*'MF Rents'!BC25*'MF Rollover'!AZ25)</f>
        <v/>
      </c>
      <c r="BB25" s="149" t="str">
        <f>IF($B25=0,"",$N25*'MF Rents'!BD25*'MF Rollover'!BA25)</f>
        <v/>
      </c>
      <c r="BC25" s="149" t="str">
        <f>IF($B25=0,"",$N25*'MF Rents'!BE25*'MF Rollover'!BB25)</f>
        <v/>
      </c>
      <c r="BD25" s="149" t="str">
        <f>IF($B25=0,"",$N25*'MF Rents'!BF25*'MF Rollover'!BC25)</f>
        <v/>
      </c>
      <c r="BE25" s="149" t="str">
        <f>IF($B25=0,"",$N25*'MF Rents'!BG25*'MF Rollover'!BD25)</f>
        <v/>
      </c>
      <c r="BF25" s="149" t="str">
        <f>IF($B25=0,"",$N25*'MF Rents'!BH25*'MF Rollover'!BE25)</f>
        <v/>
      </c>
      <c r="BG25" s="149" t="str">
        <f>IF($B25=0,"",$N25*'MF Rents'!BI25*'MF Rollover'!BF25)</f>
        <v/>
      </c>
      <c r="BH25" s="149" t="str">
        <f>IF($B25=0,"",$N25*'MF Rents'!BJ25*'MF Rollover'!BG25)</f>
        <v/>
      </c>
      <c r="BI25" s="149" t="str">
        <f>IF($B25=0,"",$N25*'MF Rents'!BK25*'MF Rollover'!BH25)</f>
        <v/>
      </c>
      <c r="BJ25" s="149" t="str">
        <f>IF($B25=0,"",$N25*'MF Rents'!BL25*'MF Rollover'!BI25)</f>
        <v/>
      </c>
      <c r="BK25" s="149" t="str">
        <f>IF($B25=0,"",$N25*'MF Rents'!BM25*'MF Rollover'!BJ25)</f>
        <v/>
      </c>
      <c r="BL25" s="149" t="str">
        <f>IF($B25=0,"",$N25*'MF Rents'!BN25*'MF Rollover'!BK25)</f>
        <v/>
      </c>
      <c r="BM25" s="149" t="str">
        <f>IF($B25=0,"",$N25*'MF Rents'!BO25*'MF Rollover'!BL25)</f>
        <v/>
      </c>
      <c r="BN25" s="149" t="str">
        <f>IF($B25=0,"",$N25*'MF Rents'!BP25*'MF Rollover'!BM25)</f>
        <v/>
      </c>
      <c r="BO25" s="149" t="str">
        <f>IF($B25=0,"",$N25*'MF Rents'!BQ25*'MF Rollover'!BN25)</f>
        <v/>
      </c>
      <c r="BP25" s="149" t="str">
        <f>IF($B25=0,"",$N25*'MF Rents'!BR25*'MF Rollover'!BO25)</f>
        <v/>
      </c>
      <c r="BQ25" s="149" t="str">
        <f>IF($B25=0,"",$N25*'MF Rents'!BS25*'MF Rollover'!BP25)</f>
        <v/>
      </c>
      <c r="BR25" s="149" t="str">
        <f>IF($B25=0,"",$N25*'MF Rents'!BT25*'MF Rollover'!BQ25)</f>
        <v/>
      </c>
      <c r="BS25" s="149" t="str">
        <f>IF($B25=0,"",$N25*'MF Rents'!BU25*'MF Rollover'!BR25)</f>
        <v/>
      </c>
      <c r="BT25" s="149" t="str">
        <f>IF($B25=0,"",$N25*'MF Rents'!BV25*'MF Rollover'!BS25)</f>
        <v/>
      </c>
      <c r="BU25" s="149" t="str">
        <f>IF($B25=0,"",$N25*'MF Rents'!BW25*'MF Rollover'!BT25)</f>
        <v/>
      </c>
      <c r="BV25" s="149" t="str">
        <f>IF($B25=0,"",$N25*'MF Rents'!BX25*'MF Rollover'!BU25)</f>
        <v/>
      </c>
      <c r="BW25" s="149" t="str">
        <f>IF($B25=0,"",$N25*'MF Rents'!BY25*'MF Rollover'!BV25)</f>
        <v/>
      </c>
      <c r="BX25" s="149" t="str">
        <f>IF($B25=0,"",$N25*'MF Rents'!BZ25*'MF Rollover'!BW25)</f>
        <v/>
      </c>
      <c r="BY25" s="149" t="str">
        <f>IF($B25=0,"",$N25*'MF Rents'!CA25*'MF Rollover'!BX25)</f>
        <v/>
      </c>
      <c r="BZ25" s="149" t="str">
        <f>IF($B25=0,"",$N25*'MF Rents'!CB25*'MF Rollover'!BY25)</f>
        <v/>
      </c>
      <c r="CA25" s="149" t="str">
        <f>IF($B25=0,"",$N25*'MF Rents'!CC25*'MF Rollover'!BZ25)</f>
        <v/>
      </c>
      <c r="CB25" s="149" t="str">
        <f>IF($B25=0,"",$N25*'MF Rents'!CD25*'MF Rollover'!CA25)</f>
        <v/>
      </c>
      <c r="CC25" s="149" t="str">
        <f>IF($B25=0,"",$N25*'MF Rents'!CE25*'MF Rollover'!CB25)</f>
        <v/>
      </c>
      <c r="CD25" s="149" t="str">
        <f>IF($B25=0,"",$N25*'MF Rents'!CF25*'MF Rollover'!CC25)</f>
        <v/>
      </c>
      <c r="CE25" s="149" t="str">
        <f>IF($B25=0,"",$N25*'MF Rents'!CG25*'MF Rollover'!CD25)</f>
        <v/>
      </c>
      <c r="CF25" s="149" t="str">
        <f>IF($B25=0,"",$N25*'MF Rents'!CH25*'MF Rollover'!CE25)</f>
        <v/>
      </c>
      <c r="CG25" s="149" t="str">
        <f>IF($B25=0,"",$N25*'MF Rents'!CI25*'MF Rollover'!CF25)</f>
        <v/>
      </c>
      <c r="CH25" s="149" t="str">
        <f>IF($B25=0,"",$N25*'MF Rents'!CJ25*'MF Rollover'!CG25)</f>
        <v/>
      </c>
      <c r="CI25" s="149" t="str">
        <f>IF($B25=0,"",$N25*'MF Rents'!CK25*'MF Rollover'!CH25)</f>
        <v/>
      </c>
      <c r="CJ25" s="149" t="str">
        <f>IF($B25=0,"",$N25*'MF Rents'!CL25*'MF Rollover'!CI25)</f>
        <v/>
      </c>
      <c r="CK25" s="149" t="str">
        <f>IF($B25=0,"",$N25*'MF Rents'!CM25*'MF Rollover'!CJ25)</f>
        <v/>
      </c>
      <c r="CL25" s="149" t="str">
        <f>IF($B25=0,"",$N25*'MF Rents'!CN25*'MF Rollover'!CK25)</f>
        <v/>
      </c>
      <c r="CM25" s="149" t="str">
        <f>IF($B25=0,"",$N25*'MF Rents'!CO25*'MF Rollover'!CL25)</f>
        <v/>
      </c>
      <c r="CN25" s="149" t="str">
        <f>IF($B25=0,"",$N25*'MF Rents'!CP25*'MF Rollover'!CM25)</f>
        <v/>
      </c>
      <c r="CO25" s="149" t="str">
        <f>IF($B25=0,"",$N25*'MF Rents'!CQ25*'MF Rollover'!CN25)</f>
        <v/>
      </c>
      <c r="CP25" s="149" t="str">
        <f>IF($B25=0,"",$N25*'MF Rents'!CR25*'MF Rollover'!CO25)</f>
        <v/>
      </c>
      <c r="CQ25" s="149" t="str">
        <f>IF($B25=0,"",$N25*'MF Rents'!CS25*'MF Rollover'!CP25)</f>
        <v/>
      </c>
      <c r="CR25" s="149" t="str">
        <f>IF($B25=0,"",$N25*'MF Rents'!CT25*'MF Rollover'!CQ25)</f>
        <v/>
      </c>
      <c r="CS25" s="149" t="str">
        <f>IF($B25=0,"",$N25*'MF Rents'!CU25*'MF Rollover'!CR25)</f>
        <v/>
      </c>
      <c r="CT25" s="149" t="str">
        <f>IF($B25=0,"",$N25*'MF Rents'!CV25*'MF Rollover'!CS25)</f>
        <v/>
      </c>
      <c r="CU25" s="149" t="str">
        <f>IF($B25=0,"",$N25*'MF Rents'!CW25*'MF Rollover'!CT25)</f>
        <v/>
      </c>
      <c r="CV25" s="149" t="str">
        <f>IF($B25=0,"",$N25*'MF Rents'!CX25*'MF Rollover'!CU25)</f>
        <v/>
      </c>
      <c r="CW25" s="149" t="str">
        <f>IF($B25=0,"",$N25*'MF Rents'!CY25*'MF Rollover'!CV25)</f>
        <v/>
      </c>
      <c r="CX25" s="149" t="str">
        <f>IF($B25=0,"",$N25*'MF Rents'!CZ25*'MF Rollover'!CW25)</f>
        <v/>
      </c>
      <c r="CY25" s="149" t="str">
        <f>IF($B25=0,"",$N25*'MF Rents'!DA25*'MF Rollover'!CX25)</f>
        <v/>
      </c>
      <c r="CZ25" s="149" t="str">
        <f>IF($B25=0,"",$N25*'MF Rents'!DB25*'MF Rollover'!CY25)</f>
        <v/>
      </c>
      <c r="DA25" s="149" t="str">
        <f>IF($B25=0,"",$N25*'MF Rents'!DC25*'MF Rollover'!CZ25)</f>
        <v/>
      </c>
      <c r="DB25" s="149" t="str">
        <f>IF($B25=0,"",$N25*'MF Rents'!DD25*'MF Rollover'!DA25)</f>
        <v/>
      </c>
      <c r="DC25" s="149" t="str">
        <f>IF($B25=0,"",$N25*'MF Rents'!DE25*'MF Rollover'!DB25)</f>
        <v/>
      </c>
      <c r="DD25" s="149" t="str">
        <f>IF($B25=0,"",$N25*'MF Rents'!DF25*'MF Rollover'!DC25)</f>
        <v/>
      </c>
      <c r="DE25" s="149" t="str">
        <f>IF($B25=0,"",$N25*'MF Rents'!DG25*'MF Rollover'!DD25)</f>
        <v/>
      </c>
      <c r="DF25" s="149" t="str">
        <f>IF($B25=0,"",$N25*'MF Rents'!DH25*'MF Rollover'!DE25)</f>
        <v/>
      </c>
      <c r="DG25" s="149" t="str">
        <f>IF($B25=0,"",$N25*'MF Rents'!DI25*'MF Rollover'!DF25)</f>
        <v/>
      </c>
      <c r="DH25" s="149" t="str">
        <f>IF($B25=0,"",$N25*'MF Rents'!DJ25*'MF Rollover'!DG25)</f>
        <v/>
      </c>
      <c r="DI25" s="149" t="str">
        <f>IF($B25=0,"",$N25*'MF Rents'!DK25*'MF Rollover'!DH25)</f>
        <v/>
      </c>
      <c r="DJ25" s="149" t="str">
        <f>IF($B25=0,"",$N25*'MF Rents'!DL25*'MF Rollover'!DI25)</f>
        <v/>
      </c>
      <c r="DK25" s="149" t="str">
        <f>IF($B25=0,"",$N25*'MF Rents'!DM25*'MF Rollover'!DJ25)</f>
        <v/>
      </c>
      <c r="DL25" s="149" t="str">
        <f>IF($B25=0,"",$N25*'MF Rents'!DN25*'MF Rollover'!DK25)</f>
        <v/>
      </c>
      <c r="DM25" s="149" t="str">
        <f>IF($B25=0,"",$N25*'MF Rents'!DO25*'MF Rollover'!DL25)</f>
        <v/>
      </c>
      <c r="DN25" s="149" t="str">
        <f>IF($B25=0,"",$N25*'MF Rents'!DP25*'MF Rollover'!DM25)</f>
        <v/>
      </c>
      <c r="DO25" s="149" t="str">
        <f>IF($B25=0,"",$N25*'MF Rents'!DQ25*'MF Rollover'!DN25)</f>
        <v/>
      </c>
      <c r="DP25" s="149" t="str">
        <f>IF($B25=0,"",$N25*'MF Rents'!DR25*'MF Rollover'!DO25)</f>
        <v/>
      </c>
      <c r="DQ25" s="149" t="str">
        <f>IF($B25=0,"",$N25*'MF Rents'!DS25*'MF Rollover'!DP25)</f>
        <v/>
      </c>
      <c r="DR25" s="149" t="str">
        <f>IF($B25=0,"",$N25*'MF Rents'!DT25*'MF Rollover'!DQ25)</f>
        <v/>
      </c>
      <c r="DS25" s="149" t="str">
        <f>IF($B25=0,"",$N25*'MF Rents'!DU25*'MF Rollover'!DR25)</f>
        <v/>
      </c>
      <c r="DT25" s="149" t="str">
        <f>IF($B25=0,"",$N25*'MF Rents'!DV25*'MF Rollover'!DS25)</f>
        <v/>
      </c>
      <c r="DU25" s="149" t="str">
        <f>IF($B25=0,"",$N25*'MF Rents'!DW25*'MF Rollover'!DT25)</f>
        <v/>
      </c>
      <c r="DV25" s="149" t="str">
        <f>IF($B25=0,"",$N25*'MF Rents'!DX25*'MF Rollover'!DU25)</f>
        <v/>
      </c>
      <c r="DW25" s="149" t="str">
        <f>IF($B25=0,"",$N25*'MF Rents'!DY25*'MF Rollover'!DV25)</f>
        <v/>
      </c>
      <c r="DX25" s="149" t="str">
        <f>IF($B25=0,"",$N25*'MF Rents'!DZ25*'MF Rollover'!DW25)</f>
        <v/>
      </c>
      <c r="DY25" s="149" t="str">
        <f>IF($B25=0,"",$N25*'MF Rents'!EA25*'MF Rollover'!DX25)</f>
        <v/>
      </c>
      <c r="DZ25" s="149" t="str">
        <f>IF($B25=0,"",$N25*'MF Rents'!EB25*'MF Rollover'!DY25)</f>
        <v/>
      </c>
      <c r="EA25" s="149" t="str">
        <f>IF($B25=0,"",$N25*'MF Rents'!EC25*'MF Rollover'!DZ25)</f>
        <v/>
      </c>
      <c r="EB25" s="149" t="str">
        <f>IF($B25=0,"",$N25*'MF Rents'!ED25*'MF Rollover'!EA25)</f>
        <v/>
      </c>
      <c r="EC25" s="149" t="str">
        <f>IF($B25=0,"",$N25*'MF Rents'!EE25*'MF Rollover'!EB25)</f>
        <v/>
      </c>
      <c r="ED25" s="149" t="str">
        <f>IF($B25=0,"",$N25*'MF Rents'!EF25*'MF Rollover'!EC25)</f>
        <v/>
      </c>
      <c r="EE25" s="149" t="str">
        <f>IF($B25=0,"",$N25*'MF Rents'!EG25*'MF Rollover'!ED25)</f>
        <v/>
      </c>
      <c r="EF25" s="149" t="str">
        <f>IF($B25=0,"",$N25*'MF Rents'!EH25*'MF Rollover'!EE25)</f>
        <v/>
      </c>
      <c r="EG25" s="149" t="str">
        <f>IF($B25=0,"",$N25*'MF Rents'!EI25*'MF Rollover'!EF25)</f>
        <v/>
      </c>
      <c r="EH25" s="149" t="str">
        <f>IF($B25=0,"",$N25*'MF Rents'!EJ25*'MF Rollover'!EG25)</f>
        <v/>
      </c>
      <c r="EI25" s="149" t="str">
        <f>IF($B25=0,"",$N25*'MF Rents'!EK25*'MF Rollover'!EH25)</f>
        <v/>
      </c>
      <c r="EJ25" s="149" t="str">
        <f>IF($B25=0,"",$N25*'MF Rents'!EL25*'MF Rollover'!EI25)</f>
        <v/>
      </c>
      <c r="EK25" s="149" t="str">
        <f>IF($B25=0,"",$N25*'MF Rents'!EM25*'MF Rollover'!EJ25)</f>
        <v/>
      </c>
      <c r="EL25" s="149" t="str">
        <f>IF($B25=0,"",$N25*'MF Rents'!EN25*'MF Rollover'!EK25)</f>
        <v/>
      </c>
      <c r="EM25" s="149" t="str">
        <f>IF($B25=0,"",$N25*'MF Rents'!EO25*'MF Rollover'!EL25)</f>
        <v/>
      </c>
      <c r="EN25" s="149" t="str">
        <f>IF($B25=0,"",$N25*'MF Rents'!EP25*'MF Rollover'!EM25)</f>
        <v/>
      </c>
      <c r="EO25" s="149" t="str">
        <f>IF($B25=0,"",$N25*'MF Rents'!EQ25*'MF Rollover'!EN25)</f>
        <v/>
      </c>
      <c r="EP25" s="149" t="str">
        <f>IF($B25=0,"",$N25*'MF Rents'!ER25*'MF Rollover'!EO25)</f>
        <v/>
      </c>
      <c r="EQ25" s="149" t="str">
        <f>IF($B25=0,"",$N25*'MF Rents'!ES25*'MF Rollover'!EP25)</f>
        <v/>
      </c>
      <c r="ER25" s="149" t="str">
        <f>IF($B25=0,"",$N25*'MF Rents'!ET25*'MF Rollover'!EQ25)</f>
        <v/>
      </c>
      <c r="ES25" s="149" t="str">
        <f>IF($B25=0,"",$N25*'MF Rents'!EU25*'MF Rollover'!ER25)</f>
        <v/>
      </c>
      <c r="ET25" s="149" t="str">
        <f>IF($B25=0,"",$N25*'MF Rents'!EV25*'MF Rollover'!ES25)</f>
        <v/>
      </c>
      <c r="EU25" s="149" t="str">
        <f>IF($B25=0,"",$N25*'MF Rents'!EW25*'MF Rollover'!ET25)</f>
        <v/>
      </c>
      <c r="EV25" s="149" t="str">
        <f>IF($B25=0,"",$N25*'MF Rents'!EX25*'MF Rollover'!EU25)</f>
        <v/>
      </c>
      <c r="EW25" s="149" t="str">
        <f>IF($B25=0,"",$N25*'MF Rents'!EY25*'MF Rollover'!EV25)</f>
        <v/>
      </c>
      <c r="EX25" s="149" t="str">
        <f>IF($B25=0,"",$N25*'MF Rents'!EZ25*'MF Rollover'!EW25)</f>
        <v/>
      </c>
      <c r="EY25" s="149" t="str">
        <f>IF($B25=0,"",$N25*'MF Rents'!FA25*'MF Rollover'!EX25)</f>
        <v/>
      </c>
      <c r="EZ25" s="149" t="str">
        <f>IF($B25=0,"",$N25*'MF Rents'!FB25*'MF Rollover'!EY25)</f>
        <v/>
      </c>
      <c r="FA25" s="149" t="str">
        <f>IF($B25=0,"",$N25*'MF Rents'!FC25*'MF Rollover'!EZ25)</f>
        <v/>
      </c>
      <c r="FB25" s="149" t="str">
        <f>IF($B25=0,"",$N25*'MF Rents'!FD25*'MF Rollover'!FA25)</f>
        <v/>
      </c>
      <c r="FC25" s="149" t="str">
        <f>IF($B25=0,"",$N25*'MF Rents'!FE25*'MF Rollover'!FB25)</f>
        <v/>
      </c>
      <c r="FD25" s="149" t="str">
        <f>IF($B25=0,"",$N25*'MF Rents'!FF25*'MF Rollover'!FC25)</f>
        <v/>
      </c>
      <c r="FE25" s="149" t="str">
        <f>IF($B25=0,"",$N25*'MF Rents'!FG25*'MF Rollover'!FD25)</f>
        <v/>
      </c>
      <c r="FF25" s="149" t="str">
        <f>IF($B25=0,"",$N25*'MF Rents'!FH25*'MF Rollover'!FE25)</f>
        <v/>
      </c>
      <c r="FG25" s="149" t="str">
        <f>IF($B25=0,"",$N25*'MF Rents'!FI25*'MF Rollover'!FF25)</f>
        <v/>
      </c>
      <c r="FH25" s="149" t="str">
        <f>IF($B25=0,"",$N25*'MF Rents'!FJ25*'MF Rollover'!FG25)</f>
        <v/>
      </c>
      <c r="FI25" s="149" t="str">
        <f>IF($B25=0,"",$N25*'MF Rents'!FK25*'MF Rollover'!FH25)</f>
        <v/>
      </c>
      <c r="FJ25" s="149" t="str">
        <f>IF($B25=0,"",$N25*'MF Rents'!FL25*'MF Rollover'!FI25)</f>
        <v/>
      </c>
      <c r="FK25" s="149" t="str">
        <f>IF($B25=0,"",$N25*'MF Rents'!FM25*'MF Rollover'!FJ25)</f>
        <v/>
      </c>
      <c r="FL25" s="149" t="str">
        <f>IF($B25=0,"",$N25*'MF Rents'!FN25*'MF Rollover'!FK25)</f>
        <v/>
      </c>
      <c r="FM25" s="149" t="str">
        <f>IF($B25=0,"",$N25*'MF Rents'!FO25*'MF Rollover'!FL25)</f>
        <v/>
      </c>
      <c r="FN25" s="149" t="str">
        <f>IF($B25=0,"",$N25*'MF Rents'!FP25*'MF Rollover'!FM25)</f>
        <v/>
      </c>
      <c r="FO25" s="149" t="str">
        <f>IF($B25=0,"",$N25*'MF Rents'!FQ25*'MF Rollover'!FN25)</f>
        <v/>
      </c>
      <c r="FP25" s="149" t="str">
        <f>IF($B25=0,"",$N25*'MF Rents'!FR25*'MF Rollover'!FO25)</f>
        <v/>
      </c>
      <c r="FQ25" s="149" t="str">
        <f>IF($B25=0,"",$N25*'MF Rents'!FS25*'MF Rollover'!FP25)</f>
        <v/>
      </c>
      <c r="FR25" s="149" t="str">
        <f>IF($B25=0,"",$N25*'MF Rents'!FT25*'MF Rollover'!FQ25)</f>
        <v/>
      </c>
      <c r="FS25" s="149" t="str">
        <f>IF($B25=0,"",$N25*'MF Rents'!FU25*'MF Rollover'!FR25)</f>
        <v/>
      </c>
      <c r="FT25" s="149" t="str">
        <f>IF($B25=0,"",$N25*'MF Rents'!FV25*'MF Rollover'!FS25)</f>
        <v/>
      </c>
      <c r="FU25" s="149" t="str">
        <f>IF($B25=0,"",$N25*'MF Rents'!FW25*'MF Rollover'!FT25)</f>
        <v/>
      </c>
      <c r="FV25" s="149" t="str">
        <f>IF($B25=0,"",$N25*'MF Rents'!FX25*'MF Rollover'!FU25)</f>
        <v/>
      </c>
      <c r="FW25" s="149" t="str">
        <f>IF($B25=0,"",$N25*'MF Rents'!FY25*'MF Rollover'!FV25)</f>
        <v/>
      </c>
      <c r="FX25" s="149" t="str">
        <f>IF($B25=0,"",$N25*'MF Rents'!FZ25*'MF Rollover'!FW25)</f>
        <v/>
      </c>
      <c r="FY25" s="149" t="str">
        <f>IF($B25=0,"",$N25*'MF Rents'!GA25*'MF Rollover'!FX25)</f>
        <v/>
      </c>
      <c r="FZ25" s="149" t="str">
        <f>IF($B25=0,"",$N25*'MF Rents'!GB25*'MF Rollover'!FY25)</f>
        <v/>
      </c>
      <c r="GA25" s="149" t="str">
        <f>IF($B25=0,"",$N25*'MF Rents'!GC25*'MF Rollover'!FZ25)</f>
        <v/>
      </c>
      <c r="GB25" s="149" t="str">
        <f>IF($B25=0,"",$N25*'MF Rents'!GD25*'MF Rollover'!GA25)</f>
        <v/>
      </c>
      <c r="GC25" s="149" t="str">
        <f>IF($B25=0,"",$N25*'MF Rents'!GE25*'MF Rollover'!GB25)</f>
        <v/>
      </c>
      <c r="GD25" s="149" t="str">
        <f>IF($B25=0,"",$N25*'MF Rents'!GF25*'MF Rollover'!GC25)</f>
        <v/>
      </c>
      <c r="GE25" s="149" t="str">
        <f>IF($B25=0,"",$N25*'MF Rents'!GG25*'MF Rollover'!GD25)</f>
        <v/>
      </c>
      <c r="GF25" s="149" t="str">
        <f>IF($B25=0,"",$N25*'MF Rents'!GH25*'MF Rollover'!GE25)</f>
        <v/>
      </c>
      <c r="GG25" s="149" t="str">
        <f>IF($B25=0,"",$N25*'MF Rents'!GI25*'MF Rollover'!GF25)</f>
        <v/>
      </c>
      <c r="GH25" s="149" t="str">
        <f>IF($B25=0,"",$N25*'MF Rents'!GJ25*'MF Rollover'!GG25)</f>
        <v/>
      </c>
      <c r="GI25" s="149" t="str">
        <f>IF($B25=0,"",$N25*'MF Rents'!GK25*'MF Rollover'!GH25)</f>
        <v/>
      </c>
      <c r="GJ25" s="149" t="str">
        <f>IF($B25=0,"",$N25*'MF Rents'!GL25*'MF Rollover'!GI25)</f>
        <v/>
      </c>
      <c r="GK25" s="149" t="str">
        <f>IF($B25=0,"",$N25*'MF Rents'!GM25*'MF Rollover'!GJ25)</f>
        <v/>
      </c>
      <c r="GL25" s="149" t="str">
        <f>IF($B25=0,"",$N25*'MF Rents'!GN25*'MF Rollover'!GK25)</f>
        <v/>
      </c>
      <c r="GM25" s="149" t="str">
        <f>IF($B25=0,"",$N25*'MF Rents'!GO25*'MF Rollover'!GL25)</f>
        <v/>
      </c>
      <c r="GN25" s="149" t="str">
        <f>IF($B25=0,"",$N25*'MF Rents'!GP25*'MF Rollover'!GM25)</f>
        <v/>
      </c>
      <c r="GO25" s="149" t="str">
        <f>IF($B25=0,"",$N25*'MF Rents'!GQ25*'MF Rollover'!GN25)</f>
        <v/>
      </c>
      <c r="GP25" s="149" t="str">
        <f>IF($B25=0,"",$N25*'MF Rents'!GR25*'MF Rollover'!GO25)</f>
        <v/>
      </c>
    </row>
    <row r="26" spans="2:198" x14ac:dyDescent="0.3">
      <c r="B26" s="184">
        <f>'MF Rent Roll'!B25</f>
        <v>0</v>
      </c>
      <c r="C26" s="171">
        <f>'MF Rent Roll'!C25</f>
        <v>0</v>
      </c>
      <c r="D26" s="172">
        <f>'MF Rent Roll'!D25</f>
        <v>0</v>
      </c>
      <c r="E26" s="172">
        <f>'MF Rent Roll'!E25</f>
        <v>0</v>
      </c>
      <c r="F26" s="173">
        <f>'MF Rent Roll'!F25</f>
        <v>0</v>
      </c>
      <c r="G26" s="174">
        <f>'MF Rent Roll'!G25</f>
        <v>0</v>
      </c>
      <c r="H26" s="176">
        <f>'MF Rent Roll'!J25</f>
        <v>0</v>
      </c>
      <c r="I26" s="174">
        <f>'MF Rent Roll'!K25</f>
        <v>0</v>
      </c>
      <c r="J26" s="177">
        <f>'MF Rent Roll'!L25</f>
        <v>0</v>
      </c>
      <c r="K26" s="178">
        <f>'MF Rent Roll'!M25</f>
        <v>0</v>
      </c>
      <c r="L26" s="174">
        <f>'MF Rent Roll'!N25</f>
        <v>0</v>
      </c>
      <c r="M26" s="179">
        <f>'MF Rent Roll'!O25</f>
        <v>0</v>
      </c>
      <c r="N26" s="180" t="str">
        <f>'MF Rent Roll'!P25</f>
        <v/>
      </c>
      <c r="O26" s="181" t="str">
        <f>'MF Rent Roll'!Q25</f>
        <v/>
      </c>
      <c r="P26" s="104" t="str">
        <f>'MF Rent Roll'!R25</f>
        <v/>
      </c>
      <c r="S26" s="149" t="str">
        <f>IF($B26=0,"",$N26*'MF Rents'!U26*'MF Rollover'!R26)</f>
        <v/>
      </c>
      <c r="T26" s="149" t="str">
        <f>IF($B26=0,"",$N26*'MF Rents'!V26*'MF Rollover'!S26)</f>
        <v/>
      </c>
      <c r="U26" s="149" t="str">
        <f>IF($B26=0,"",$N26*'MF Rents'!W26*'MF Rollover'!T26)</f>
        <v/>
      </c>
      <c r="V26" s="149" t="str">
        <f>IF($B26=0,"",$N26*'MF Rents'!X26*'MF Rollover'!U26)</f>
        <v/>
      </c>
      <c r="W26" s="149" t="str">
        <f>IF($B26=0,"",$N26*'MF Rents'!Y26*'MF Rollover'!V26)</f>
        <v/>
      </c>
      <c r="X26" s="149" t="str">
        <f>IF($B26=0,"",$N26*'MF Rents'!Z26*'MF Rollover'!W26)</f>
        <v/>
      </c>
      <c r="Y26" s="149" t="str">
        <f>IF($B26=0,"",$N26*'MF Rents'!AA26*'MF Rollover'!X26)</f>
        <v/>
      </c>
      <c r="Z26" s="149" t="str">
        <f>IF($B26=0,"",$N26*'MF Rents'!AB26*'MF Rollover'!Y26)</f>
        <v/>
      </c>
      <c r="AA26" s="149" t="str">
        <f>IF($B26=0,"",$N26*'MF Rents'!AC26*'MF Rollover'!Z26)</f>
        <v/>
      </c>
      <c r="AB26" s="149" t="str">
        <f>IF($B26=0,"",$N26*'MF Rents'!AD26*'MF Rollover'!AA26)</f>
        <v/>
      </c>
      <c r="AC26" s="149" t="str">
        <f>IF($B26=0,"",$N26*'MF Rents'!AE26*'MF Rollover'!AB26)</f>
        <v/>
      </c>
      <c r="AD26" s="149" t="str">
        <f>IF($B26=0,"",$N26*'MF Rents'!AF26*'MF Rollover'!AC26)</f>
        <v/>
      </c>
      <c r="AE26" s="149" t="str">
        <f>IF($B26=0,"",$N26*'MF Rents'!AG26*'MF Rollover'!AD26)</f>
        <v/>
      </c>
      <c r="AF26" s="149" t="str">
        <f>IF($B26=0,"",$N26*'MF Rents'!AH26*'MF Rollover'!AE26)</f>
        <v/>
      </c>
      <c r="AG26" s="149" t="str">
        <f>IF($B26=0,"",$N26*'MF Rents'!AI26*'MF Rollover'!AF26)</f>
        <v/>
      </c>
      <c r="AH26" s="149" t="str">
        <f>IF($B26=0,"",$N26*'MF Rents'!AJ26*'MF Rollover'!AG26)</f>
        <v/>
      </c>
      <c r="AI26" s="149" t="str">
        <f>IF($B26=0,"",$N26*'MF Rents'!AK26*'MF Rollover'!AH26)</f>
        <v/>
      </c>
      <c r="AJ26" s="149" t="str">
        <f>IF($B26=0,"",$N26*'MF Rents'!AL26*'MF Rollover'!AI26)</f>
        <v/>
      </c>
      <c r="AK26" s="149" t="str">
        <f>IF($B26=0,"",$N26*'MF Rents'!AM26*'MF Rollover'!AJ26)</f>
        <v/>
      </c>
      <c r="AL26" s="149" t="str">
        <f>IF($B26=0,"",$N26*'MF Rents'!AN26*'MF Rollover'!AK26)</f>
        <v/>
      </c>
      <c r="AM26" s="149" t="str">
        <f>IF($B26=0,"",$N26*'MF Rents'!AO26*'MF Rollover'!AL26)</f>
        <v/>
      </c>
      <c r="AN26" s="149" t="str">
        <f>IF($B26=0,"",$N26*'MF Rents'!AP26*'MF Rollover'!AM26)</f>
        <v/>
      </c>
      <c r="AO26" s="149" t="str">
        <f>IF($B26=0,"",$N26*'MF Rents'!AQ26*'MF Rollover'!AN26)</f>
        <v/>
      </c>
      <c r="AP26" s="149" t="str">
        <f>IF($B26=0,"",$N26*'MF Rents'!AR26*'MF Rollover'!AO26)</f>
        <v/>
      </c>
      <c r="AQ26" s="149" t="str">
        <f>IF($B26=0,"",$N26*'MF Rents'!AS26*'MF Rollover'!AP26)</f>
        <v/>
      </c>
      <c r="AR26" s="149" t="str">
        <f>IF($B26=0,"",$N26*'MF Rents'!AT26*'MF Rollover'!AQ26)</f>
        <v/>
      </c>
      <c r="AS26" s="149" t="str">
        <f>IF($B26=0,"",$N26*'MF Rents'!AU26*'MF Rollover'!AR26)</f>
        <v/>
      </c>
      <c r="AT26" s="149" t="str">
        <f>IF($B26=0,"",$N26*'MF Rents'!AV26*'MF Rollover'!AS26)</f>
        <v/>
      </c>
      <c r="AU26" s="149" t="str">
        <f>IF($B26=0,"",$N26*'MF Rents'!AW26*'MF Rollover'!AT26)</f>
        <v/>
      </c>
      <c r="AV26" s="149" t="str">
        <f>IF($B26=0,"",$N26*'MF Rents'!AX26*'MF Rollover'!AU26)</f>
        <v/>
      </c>
      <c r="AW26" s="149" t="str">
        <f>IF($B26=0,"",$N26*'MF Rents'!AY26*'MF Rollover'!AV26)</f>
        <v/>
      </c>
      <c r="AX26" s="149" t="str">
        <f>IF($B26=0,"",$N26*'MF Rents'!AZ26*'MF Rollover'!AW26)</f>
        <v/>
      </c>
      <c r="AY26" s="149" t="str">
        <f>IF($B26=0,"",$N26*'MF Rents'!BA26*'MF Rollover'!AX26)</f>
        <v/>
      </c>
      <c r="AZ26" s="149" t="str">
        <f>IF($B26=0,"",$N26*'MF Rents'!BB26*'MF Rollover'!AY26)</f>
        <v/>
      </c>
      <c r="BA26" s="149" t="str">
        <f>IF($B26=0,"",$N26*'MF Rents'!BC26*'MF Rollover'!AZ26)</f>
        <v/>
      </c>
      <c r="BB26" s="149" t="str">
        <f>IF($B26=0,"",$N26*'MF Rents'!BD26*'MF Rollover'!BA26)</f>
        <v/>
      </c>
      <c r="BC26" s="149" t="str">
        <f>IF($B26=0,"",$N26*'MF Rents'!BE26*'MF Rollover'!BB26)</f>
        <v/>
      </c>
      <c r="BD26" s="149" t="str">
        <f>IF($B26=0,"",$N26*'MF Rents'!BF26*'MF Rollover'!BC26)</f>
        <v/>
      </c>
      <c r="BE26" s="149" t="str">
        <f>IF($B26=0,"",$N26*'MF Rents'!BG26*'MF Rollover'!BD26)</f>
        <v/>
      </c>
      <c r="BF26" s="149" t="str">
        <f>IF($B26=0,"",$N26*'MF Rents'!BH26*'MF Rollover'!BE26)</f>
        <v/>
      </c>
      <c r="BG26" s="149" t="str">
        <f>IF($B26=0,"",$N26*'MF Rents'!BI26*'MF Rollover'!BF26)</f>
        <v/>
      </c>
      <c r="BH26" s="149" t="str">
        <f>IF($B26=0,"",$N26*'MF Rents'!BJ26*'MF Rollover'!BG26)</f>
        <v/>
      </c>
      <c r="BI26" s="149" t="str">
        <f>IF($B26=0,"",$N26*'MF Rents'!BK26*'MF Rollover'!BH26)</f>
        <v/>
      </c>
      <c r="BJ26" s="149" t="str">
        <f>IF($B26=0,"",$N26*'MF Rents'!BL26*'MF Rollover'!BI26)</f>
        <v/>
      </c>
      <c r="BK26" s="149" t="str">
        <f>IF($B26=0,"",$N26*'MF Rents'!BM26*'MF Rollover'!BJ26)</f>
        <v/>
      </c>
      <c r="BL26" s="149" t="str">
        <f>IF($B26=0,"",$N26*'MF Rents'!BN26*'MF Rollover'!BK26)</f>
        <v/>
      </c>
      <c r="BM26" s="149" t="str">
        <f>IF($B26=0,"",$N26*'MF Rents'!BO26*'MF Rollover'!BL26)</f>
        <v/>
      </c>
      <c r="BN26" s="149" t="str">
        <f>IF($B26=0,"",$N26*'MF Rents'!BP26*'MF Rollover'!BM26)</f>
        <v/>
      </c>
      <c r="BO26" s="149" t="str">
        <f>IF($B26=0,"",$N26*'MF Rents'!BQ26*'MF Rollover'!BN26)</f>
        <v/>
      </c>
      <c r="BP26" s="149" t="str">
        <f>IF($B26=0,"",$N26*'MF Rents'!BR26*'MF Rollover'!BO26)</f>
        <v/>
      </c>
      <c r="BQ26" s="149" t="str">
        <f>IF($B26=0,"",$N26*'MF Rents'!BS26*'MF Rollover'!BP26)</f>
        <v/>
      </c>
      <c r="BR26" s="149" t="str">
        <f>IF($B26=0,"",$N26*'MF Rents'!BT26*'MF Rollover'!BQ26)</f>
        <v/>
      </c>
      <c r="BS26" s="149" t="str">
        <f>IF($B26=0,"",$N26*'MF Rents'!BU26*'MF Rollover'!BR26)</f>
        <v/>
      </c>
      <c r="BT26" s="149" t="str">
        <f>IF($B26=0,"",$N26*'MF Rents'!BV26*'MF Rollover'!BS26)</f>
        <v/>
      </c>
      <c r="BU26" s="149" t="str">
        <f>IF($B26=0,"",$N26*'MF Rents'!BW26*'MF Rollover'!BT26)</f>
        <v/>
      </c>
      <c r="BV26" s="149" t="str">
        <f>IF($B26=0,"",$N26*'MF Rents'!BX26*'MF Rollover'!BU26)</f>
        <v/>
      </c>
      <c r="BW26" s="149" t="str">
        <f>IF($B26=0,"",$N26*'MF Rents'!BY26*'MF Rollover'!BV26)</f>
        <v/>
      </c>
      <c r="BX26" s="149" t="str">
        <f>IF($B26=0,"",$N26*'MF Rents'!BZ26*'MF Rollover'!BW26)</f>
        <v/>
      </c>
      <c r="BY26" s="149" t="str">
        <f>IF($B26=0,"",$N26*'MF Rents'!CA26*'MF Rollover'!BX26)</f>
        <v/>
      </c>
      <c r="BZ26" s="149" t="str">
        <f>IF($B26=0,"",$N26*'MF Rents'!CB26*'MF Rollover'!BY26)</f>
        <v/>
      </c>
      <c r="CA26" s="149" t="str">
        <f>IF($B26=0,"",$N26*'MF Rents'!CC26*'MF Rollover'!BZ26)</f>
        <v/>
      </c>
      <c r="CB26" s="149" t="str">
        <f>IF($B26=0,"",$N26*'MF Rents'!CD26*'MF Rollover'!CA26)</f>
        <v/>
      </c>
      <c r="CC26" s="149" t="str">
        <f>IF($B26=0,"",$N26*'MF Rents'!CE26*'MF Rollover'!CB26)</f>
        <v/>
      </c>
      <c r="CD26" s="149" t="str">
        <f>IF($B26=0,"",$N26*'MF Rents'!CF26*'MF Rollover'!CC26)</f>
        <v/>
      </c>
      <c r="CE26" s="149" t="str">
        <f>IF($B26=0,"",$N26*'MF Rents'!CG26*'MF Rollover'!CD26)</f>
        <v/>
      </c>
      <c r="CF26" s="149" t="str">
        <f>IF($B26=0,"",$N26*'MF Rents'!CH26*'MF Rollover'!CE26)</f>
        <v/>
      </c>
      <c r="CG26" s="149" t="str">
        <f>IF($B26=0,"",$N26*'MF Rents'!CI26*'MF Rollover'!CF26)</f>
        <v/>
      </c>
      <c r="CH26" s="149" t="str">
        <f>IF($B26=0,"",$N26*'MF Rents'!CJ26*'MF Rollover'!CG26)</f>
        <v/>
      </c>
      <c r="CI26" s="149" t="str">
        <f>IF($B26=0,"",$N26*'MF Rents'!CK26*'MF Rollover'!CH26)</f>
        <v/>
      </c>
      <c r="CJ26" s="149" t="str">
        <f>IF($B26=0,"",$N26*'MF Rents'!CL26*'MF Rollover'!CI26)</f>
        <v/>
      </c>
      <c r="CK26" s="149" t="str">
        <f>IF($B26=0,"",$N26*'MF Rents'!CM26*'MF Rollover'!CJ26)</f>
        <v/>
      </c>
      <c r="CL26" s="149" t="str">
        <f>IF($B26=0,"",$N26*'MF Rents'!CN26*'MF Rollover'!CK26)</f>
        <v/>
      </c>
      <c r="CM26" s="149" t="str">
        <f>IF($B26=0,"",$N26*'MF Rents'!CO26*'MF Rollover'!CL26)</f>
        <v/>
      </c>
      <c r="CN26" s="149" t="str">
        <f>IF($B26=0,"",$N26*'MF Rents'!CP26*'MF Rollover'!CM26)</f>
        <v/>
      </c>
      <c r="CO26" s="149" t="str">
        <f>IF($B26=0,"",$N26*'MF Rents'!CQ26*'MF Rollover'!CN26)</f>
        <v/>
      </c>
      <c r="CP26" s="149" t="str">
        <f>IF($B26=0,"",$N26*'MF Rents'!CR26*'MF Rollover'!CO26)</f>
        <v/>
      </c>
      <c r="CQ26" s="149" t="str">
        <f>IF($B26=0,"",$N26*'MF Rents'!CS26*'MF Rollover'!CP26)</f>
        <v/>
      </c>
      <c r="CR26" s="149" t="str">
        <f>IF($B26=0,"",$N26*'MF Rents'!CT26*'MF Rollover'!CQ26)</f>
        <v/>
      </c>
      <c r="CS26" s="149" t="str">
        <f>IF($B26=0,"",$N26*'MF Rents'!CU26*'MF Rollover'!CR26)</f>
        <v/>
      </c>
      <c r="CT26" s="149" t="str">
        <f>IF($B26=0,"",$N26*'MF Rents'!CV26*'MF Rollover'!CS26)</f>
        <v/>
      </c>
      <c r="CU26" s="149" t="str">
        <f>IF($B26=0,"",$N26*'MF Rents'!CW26*'MF Rollover'!CT26)</f>
        <v/>
      </c>
      <c r="CV26" s="149" t="str">
        <f>IF($B26=0,"",$N26*'MF Rents'!CX26*'MF Rollover'!CU26)</f>
        <v/>
      </c>
      <c r="CW26" s="149" t="str">
        <f>IF($B26=0,"",$N26*'MF Rents'!CY26*'MF Rollover'!CV26)</f>
        <v/>
      </c>
      <c r="CX26" s="149" t="str">
        <f>IF($B26=0,"",$N26*'MF Rents'!CZ26*'MF Rollover'!CW26)</f>
        <v/>
      </c>
      <c r="CY26" s="149" t="str">
        <f>IF($B26=0,"",$N26*'MF Rents'!DA26*'MF Rollover'!CX26)</f>
        <v/>
      </c>
      <c r="CZ26" s="149" t="str">
        <f>IF($B26=0,"",$N26*'MF Rents'!DB26*'MF Rollover'!CY26)</f>
        <v/>
      </c>
      <c r="DA26" s="149" t="str">
        <f>IF($B26=0,"",$N26*'MF Rents'!DC26*'MF Rollover'!CZ26)</f>
        <v/>
      </c>
      <c r="DB26" s="149" t="str">
        <f>IF($B26=0,"",$N26*'MF Rents'!DD26*'MF Rollover'!DA26)</f>
        <v/>
      </c>
      <c r="DC26" s="149" t="str">
        <f>IF($B26=0,"",$N26*'MF Rents'!DE26*'MF Rollover'!DB26)</f>
        <v/>
      </c>
      <c r="DD26" s="149" t="str">
        <f>IF($B26=0,"",$N26*'MF Rents'!DF26*'MF Rollover'!DC26)</f>
        <v/>
      </c>
      <c r="DE26" s="149" t="str">
        <f>IF($B26=0,"",$N26*'MF Rents'!DG26*'MF Rollover'!DD26)</f>
        <v/>
      </c>
      <c r="DF26" s="149" t="str">
        <f>IF($B26=0,"",$N26*'MF Rents'!DH26*'MF Rollover'!DE26)</f>
        <v/>
      </c>
      <c r="DG26" s="149" t="str">
        <f>IF($B26=0,"",$N26*'MF Rents'!DI26*'MF Rollover'!DF26)</f>
        <v/>
      </c>
      <c r="DH26" s="149" t="str">
        <f>IF($B26=0,"",$N26*'MF Rents'!DJ26*'MF Rollover'!DG26)</f>
        <v/>
      </c>
      <c r="DI26" s="149" t="str">
        <f>IF($B26=0,"",$N26*'MF Rents'!DK26*'MF Rollover'!DH26)</f>
        <v/>
      </c>
      <c r="DJ26" s="149" t="str">
        <f>IF($B26=0,"",$N26*'MF Rents'!DL26*'MF Rollover'!DI26)</f>
        <v/>
      </c>
      <c r="DK26" s="149" t="str">
        <f>IF($B26=0,"",$N26*'MF Rents'!DM26*'MF Rollover'!DJ26)</f>
        <v/>
      </c>
      <c r="DL26" s="149" t="str">
        <f>IF($B26=0,"",$N26*'MF Rents'!DN26*'MF Rollover'!DK26)</f>
        <v/>
      </c>
      <c r="DM26" s="149" t="str">
        <f>IF($B26=0,"",$N26*'MF Rents'!DO26*'MF Rollover'!DL26)</f>
        <v/>
      </c>
      <c r="DN26" s="149" t="str">
        <f>IF($B26=0,"",$N26*'MF Rents'!DP26*'MF Rollover'!DM26)</f>
        <v/>
      </c>
      <c r="DO26" s="149" t="str">
        <f>IF($B26=0,"",$N26*'MF Rents'!DQ26*'MF Rollover'!DN26)</f>
        <v/>
      </c>
      <c r="DP26" s="149" t="str">
        <f>IF($B26=0,"",$N26*'MF Rents'!DR26*'MF Rollover'!DO26)</f>
        <v/>
      </c>
      <c r="DQ26" s="149" t="str">
        <f>IF($B26=0,"",$N26*'MF Rents'!DS26*'MF Rollover'!DP26)</f>
        <v/>
      </c>
      <c r="DR26" s="149" t="str">
        <f>IF($B26=0,"",$N26*'MF Rents'!DT26*'MF Rollover'!DQ26)</f>
        <v/>
      </c>
      <c r="DS26" s="149" t="str">
        <f>IF($B26=0,"",$N26*'MF Rents'!DU26*'MF Rollover'!DR26)</f>
        <v/>
      </c>
      <c r="DT26" s="149" t="str">
        <f>IF($B26=0,"",$N26*'MF Rents'!DV26*'MF Rollover'!DS26)</f>
        <v/>
      </c>
      <c r="DU26" s="149" t="str">
        <f>IF($B26=0,"",$N26*'MF Rents'!DW26*'MF Rollover'!DT26)</f>
        <v/>
      </c>
      <c r="DV26" s="149" t="str">
        <f>IF($B26=0,"",$N26*'MF Rents'!DX26*'MF Rollover'!DU26)</f>
        <v/>
      </c>
      <c r="DW26" s="149" t="str">
        <f>IF($B26=0,"",$N26*'MF Rents'!DY26*'MF Rollover'!DV26)</f>
        <v/>
      </c>
      <c r="DX26" s="149" t="str">
        <f>IF($B26=0,"",$N26*'MF Rents'!DZ26*'MF Rollover'!DW26)</f>
        <v/>
      </c>
      <c r="DY26" s="149" t="str">
        <f>IF($B26=0,"",$N26*'MF Rents'!EA26*'MF Rollover'!DX26)</f>
        <v/>
      </c>
      <c r="DZ26" s="149" t="str">
        <f>IF($B26=0,"",$N26*'MF Rents'!EB26*'MF Rollover'!DY26)</f>
        <v/>
      </c>
      <c r="EA26" s="149" t="str">
        <f>IF($B26=0,"",$N26*'MF Rents'!EC26*'MF Rollover'!DZ26)</f>
        <v/>
      </c>
      <c r="EB26" s="149" t="str">
        <f>IF($B26=0,"",$N26*'MF Rents'!ED26*'MF Rollover'!EA26)</f>
        <v/>
      </c>
      <c r="EC26" s="149" t="str">
        <f>IF($B26=0,"",$N26*'MF Rents'!EE26*'MF Rollover'!EB26)</f>
        <v/>
      </c>
      <c r="ED26" s="149" t="str">
        <f>IF($B26=0,"",$N26*'MF Rents'!EF26*'MF Rollover'!EC26)</f>
        <v/>
      </c>
      <c r="EE26" s="149" t="str">
        <f>IF($B26=0,"",$N26*'MF Rents'!EG26*'MF Rollover'!ED26)</f>
        <v/>
      </c>
      <c r="EF26" s="149" t="str">
        <f>IF($B26=0,"",$N26*'MF Rents'!EH26*'MF Rollover'!EE26)</f>
        <v/>
      </c>
      <c r="EG26" s="149" t="str">
        <f>IF($B26=0,"",$N26*'MF Rents'!EI26*'MF Rollover'!EF26)</f>
        <v/>
      </c>
      <c r="EH26" s="149" t="str">
        <f>IF($B26=0,"",$N26*'MF Rents'!EJ26*'MF Rollover'!EG26)</f>
        <v/>
      </c>
      <c r="EI26" s="149" t="str">
        <f>IF($B26=0,"",$N26*'MF Rents'!EK26*'MF Rollover'!EH26)</f>
        <v/>
      </c>
      <c r="EJ26" s="149" t="str">
        <f>IF($B26=0,"",$N26*'MF Rents'!EL26*'MF Rollover'!EI26)</f>
        <v/>
      </c>
      <c r="EK26" s="149" t="str">
        <f>IF($B26=0,"",$N26*'MF Rents'!EM26*'MF Rollover'!EJ26)</f>
        <v/>
      </c>
      <c r="EL26" s="149" t="str">
        <f>IF($B26=0,"",$N26*'MF Rents'!EN26*'MF Rollover'!EK26)</f>
        <v/>
      </c>
      <c r="EM26" s="149" t="str">
        <f>IF($B26=0,"",$N26*'MF Rents'!EO26*'MF Rollover'!EL26)</f>
        <v/>
      </c>
      <c r="EN26" s="149" t="str">
        <f>IF($B26=0,"",$N26*'MF Rents'!EP26*'MF Rollover'!EM26)</f>
        <v/>
      </c>
      <c r="EO26" s="149" t="str">
        <f>IF($B26=0,"",$N26*'MF Rents'!EQ26*'MF Rollover'!EN26)</f>
        <v/>
      </c>
      <c r="EP26" s="149" t="str">
        <f>IF($B26=0,"",$N26*'MF Rents'!ER26*'MF Rollover'!EO26)</f>
        <v/>
      </c>
      <c r="EQ26" s="149" t="str">
        <f>IF($B26=0,"",$N26*'MF Rents'!ES26*'MF Rollover'!EP26)</f>
        <v/>
      </c>
      <c r="ER26" s="149" t="str">
        <f>IF($B26=0,"",$N26*'MF Rents'!ET26*'MF Rollover'!EQ26)</f>
        <v/>
      </c>
      <c r="ES26" s="149" t="str">
        <f>IF($B26=0,"",$N26*'MF Rents'!EU26*'MF Rollover'!ER26)</f>
        <v/>
      </c>
      <c r="ET26" s="149" t="str">
        <f>IF($B26=0,"",$N26*'MF Rents'!EV26*'MF Rollover'!ES26)</f>
        <v/>
      </c>
      <c r="EU26" s="149" t="str">
        <f>IF($B26=0,"",$N26*'MF Rents'!EW26*'MF Rollover'!ET26)</f>
        <v/>
      </c>
      <c r="EV26" s="149" t="str">
        <f>IF($B26=0,"",$N26*'MF Rents'!EX26*'MF Rollover'!EU26)</f>
        <v/>
      </c>
      <c r="EW26" s="149" t="str">
        <f>IF($B26=0,"",$N26*'MF Rents'!EY26*'MF Rollover'!EV26)</f>
        <v/>
      </c>
      <c r="EX26" s="149" t="str">
        <f>IF($B26=0,"",$N26*'MF Rents'!EZ26*'MF Rollover'!EW26)</f>
        <v/>
      </c>
      <c r="EY26" s="149" t="str">
        <f>IF($B26=0,"",$N26*'MF Rents'!FA26*'MF Rollover'!EX26)</f>
        <v/>
      </c>
      <c r="EZ26" s="149" t="str">
        <f>IF($B26=0,"",$N26*'MF Rents'!FB26*'MF Rollover'!EY26)</f>
        <v/>
      </c>
      <c r="FA26" s="149" t="str">
        <f>IF($B26=0,"",$N26*'MF Rents'!FC26*'MF Rollover'!EZ26)</f>
        <v/>
      </c>
      <c r="FB26" s="149" t="str">
        <f>IF($B26=0,"",$N26*'MF Rents'!FD26*'MF Rollover'!FA26)</f>
        <v/>
      </c>
      <c r="FC26" s="149" t="str">
        <f>IF($B26=0,"",$N26*'MF Rents'!FE26*'MF Rollover'!FB26)</f>
        <v/>
      </c>
      <c r="FD26" s="149" t="str">
        <f>IF($B26=0,"",$N26*'MF Rents'!FF26*'MF Rollover'!FC26)</f>
        <v/>
      </c>
      <c r="FE26" s="149" t="str">
        <f>IF($B26=0,"",$N26*'MF Rents'!FG26*'MF Rollover'!FD26)</f>
        <v/>
      </c>
      <c r="FF26" s="149" t="str">
        <f>IF($B26=0,"",$N26*'MF Rents'!FH26*'MF Rollover'!FE26)</f>
        <v/>
      </c>
      <c r="FG26" s="149" t="str">
        <f>IF($B26=0,"",$N26*'MF Rents'!FI26*'MF Rollover'!FF26)</f>
        <v/>
      </c>
      <c r="FH26" s="149" t="str">
        <f>IF($B26=0,"",$N26*'MF Rents'!FJ26*'MF Rollover'!FG26)</f>
        <v/>
      </c>
      <c r="FI26" s="149" t="str">
        <f>IF($B26=0,"",$N26*'MF Rents'!FK26*'MF Rollover'!FH26)</f>
        <v/>
      </c>
      <c r="FJ26" s="149" t="str">
        <f>IF($B26=0,"",$N26*'MF Rents'!FL26*'MF Rollover'!FI26)</f>
        <v/>
      </c>
      <c r="FK26" s="149" t="str">
        <f>IF($B26=0,"",$N26*'MF Rents'!FM26*'MF Rollover'!FJ26)</f>
        <v/>
      </c>
      <c r="FL26" s="149" t="str">
        <f>IF($B26=0,"",$N26*'MF Rents'!FN26*'MF Rollover'!FK26)</f>
        <v/>
      </c>
      <c r="FM26" s="149" t="str">
        <f>IF($B26=0,"",$N26*'MF Rents'!FO26*'MF Rollover'!FL26)</f>
        <v/>
      </c>
      <c r="FN26" s="149" t="str">
        <f>IF($B26=0,"",$N26*'MF Rents'!FP26*'MF Rollover'!FM26)</f>
        <v/>
      </c>
      <c r="FO26" s="149" t="str">
        <f>IF($B26=0,"",$N26*'MF Rents'!FQ26*'MF Rollover'!FN26)</f>
        <v/>
      </c>
      <c r="FP26" s="149" t="str">
        <f>IF($B26=0,"",$N26*'MF Rents'!FR26*'MF Rollover'!FO26)</f>
        <v/>
      </c>
      <c r="FQ26" s="149" t="str">
        <f>IF($B26=0,"",$N26*'MF Rents'!FS26*'MF Rollover'!FP26)</f>
        <v/>
      </c>
      <c r="FR26" s="149" t="str">
        <f>IF($B26=0,"",$N26*'MF Rents'!FT26*'MF Rollover'!FQ26)</f>
        <v/>
      </c>
      <c r="FS26" s="149" t="str">
        <f>IF($B26=0,"",$N26*'MF Rents'!FU26*'MF Rollover'!FR26)</f>
        <v/>
      </c>
      <c r="FT26" s="149" t="str">
        <f>IF($B26=0,"",$N26*'MF Rents'!FV26*'MF Rollover'!FS26)</f>
        <v/>
      </c>
      <c r="FU26" s="149" t="str">
        <f>IF($B26=0,"",$N26*'MF Rents'!FW26*'MF Rollover'!FT26)</f>
        <v/>
      </c>
      <c r="FV26" s="149" t="str">
        <f>IF($B26=0,"",$N26*'MF Rents'!FX26*'MF Rollover'!FU26)</f>
        <v/>
      </c>
      <c r="FW26" s="149" t="str">
        <f>IF($B26=0,"",$N26*'MF Rents'!FY26*'MF Rollover'!FV26)</f>
        <v/>
      </c>
      <c r="FX26" s="149" t="str">
        <f>IF($B26=0,"",$N26*'MF Rents'!FZ26*'MF Rollover'!FW26)</f>
        <v/>
      </c>
      <c r="FY26" s="149" t="str">
        <f>IF($B26=0,"",$N26*'MF Rents'!GA26*'MF Rollover'!FX26)</f>
        <v/>
      </c>
      <c r="FZ26" s="149" t="str">
        <f>IF($B26=0,"",$N26*'MF Rents'!GB26*'MF Rollover'!FY26)</f>
        <v/>
      </c>
      <c r="GA26" s="149" t="str">
        <f>IF($B26=0,"",$N26*'MF Rents'!GC26*'MF Rollover'!FZ26)</f>
        <v/>
      </c>
      <c r="GB26" s="149" t="str">
        <f>IF($B26=0,"",$N26*'MF Rents'!GD26*'MF Rollover'!GA26)</f>
        <v/>
      </c>
      <c r="GC26" s="149" t="str">
        <f>IF($B26=0,"",$N26*'MF Rents'!GE26*'MF Rollover'!GB26)</f>
        <v/>
      </c>
      <c r="GD26" s="149" t="str">
        <f>IF($B26=0,"",$N26*'MF Rents'!GF26*'MF Rollover'!GC26)</f>
        <v/>
      </c>
      <c r="GE26" s="149" t="str">
        <f>IF($B26=0,"",$N26*'MF Rents'!GG26*'MF Rollover'!GD26)</f>
        <v/>
      </c>
      <c r="GF26" s="149" t="str">
        <f>IF($B26=0,"",$N26*'MF Rents'!GH26*'MF Rollover'!GE26)</f>
        <v/>
      </c>
      <c r="GG26" s="149" t="str">
        <f>IF($B26=0,"",$N26*'MF Rents'!GI26*'MF Rollover'!GF26)</f>
        <v/>
      </c>
      <c r="GH26" s="149" t="str">
        <f>IF($B26=0,"",$N26*'MF Rents'!GJ26*'MF Rollover'!GG26)</f>
        <v/>
      </c>
      <c r="GI26" s="149" t="str">
        <f>IF($B26=0,"",$N26*'MF Rents'!GK26*'MF Rollover'!GH26)</f>
        <v/>
      </c>
      <c r="GJ26" s="149" t="str">
        <f>IF($B26=0,"",$N26*'MF Rents'!GL26*'MF Rollover'!GI26)</f>
        <v/>
      </c>
      <c r="GK26" s="149" t="str">
        <f>IF($B26=0,"",$N26*'MF Rents'!GM26*'MF Rollover'!GJ26)</f>
        <v/>
      </c>
      <c r="GL26" s="149" t="str">
        <f>IF($B26=0,"",$N26*'MF Rents'!GN26*'MF Rollover'!GK26)</f>
        <v/>
      </c>
      <c r="GM26" s="149" t="str">
        <f>IF($B26=0,"",$N26*'MF Rents'!GO26*'MF Rollover'!GL26)</f>
        <v/>
      </c>
      <c r="GN26" s="149" t="str">
        <f>IF($B26=0,"",$N26*'MF Rents'!GP26*'MF Rollover'!GM26)</f>
        <v/>
      </c>
      <c r="GO26" s="149" t="str">
        <f>IF($B26=0,"",$N26*'MF Rents'!GQ26*'MF Rollover'!GN26)</f>
        <v/>
      </c>
      <c r="GP26" s="149" t="str">
        <f>IF($B26=0,"",$N26*'MF Rents'!GR26*'MF Rollover'!GO26)</f>
        <v/>
      </c>
    </row>
    <row r="27" spans="2:198" x14ac:dyDescent="0.3">
      <c r="B27" s="184">
        <f>'MF Rent Roll'!B26</f>
        <v>0</v>
      </c>
      <c r="C27" s="171">
        <f>'MF Rent Roll'!C26</f>
        <v>0</v>
      </c>
      <c r="D27" s="172">
        <f>'MF Rent Roll'!D26</f>
        <v>0</v>
      </c>
      <c r="E27" s="172">
        <f>'MF Rent Roll'!E26</f>
        <v>0</v>
      </c>
      <c r="F27" s="173">
        <f>'MF Rent Roll'!F26</f>
        <v>0</v>
      </c>
      <c r="G27" s="174">
        <f>'MF Rent Roll'!G26</f>
        <v>0</v>
      </c>
      <c r="H27" s="176">
        <f>'MF Rent Roll'!J26</f>
        <v>0</v>
      </c>
      <c r="I27" s="174">
        <f>'MF Rent Roll'!K26</f>
        <v>0</v>
      </c>
      <c r="J27" s="177">
        <f>'MF Rent Roll'!L26</f>
        <v>0</v>
      </c>
      <c r="K27" s="178">
        <f>'MF Rent Roll'!M26</f>
        <v>0</v>
      </c>
      <c r="L27" s="174">
        <f>'MF Rent Roll'!N26</f>
        <v>0</v>
      </c>
      <c r="M27" s="179">
        <f>'MF Rent Roll'!O26</f>
        <v>0</v>
      </c>
      <c r="N27" s="180" t="str">
        <f>'MF Rent Roll'!P26</f>
        <v/>
      </c>
      <c r="O27" s="181" t="str">
        <f>'MF Rent Roll'!Q26</f>
        <v/>
      </c>
      <c r="P27" s="104" t="str">
        <f>'MF Rent Roll'!R26</f>
        <v/>
      </c>
      <c r="S27" s="149" t="str">
        <f>IF($B27=0,"",$N27*'MF Rents'!U27*'MF Rollover'!R27)</f>
        <v/>
      </c>
      <c r="T27" s="149" t="str">
        <f>IF($B27=0,"",$N27*'MF Rents'!V27*'MF Rollover'!S27)</f>
        <v/>
      </c>
      <c r="U27" s="149" t="str">
        <f>IF($B27=0,"",$N27*'MF Rents'!W27*'MF Rollover'!T27)</f>
        <v/>
      </c>
      <c r="V27" s="149" t="str">
        <f>IF($B27=0,"",$N27*'MF Rents'!X27*'MF Rollover'!U27)</f>
        <v/>
      </c>
      <c r="W27" s="149" t="str">
        <f>IF($B27=0,"",$N27*'MF Rents'!Y27*'MF Rollover'!V27)</f>
        <v/>
      </c>
      <c r="X27" s="149" t="str">
        <f>IF($B27=0,"",$N27*'MF Rents'!Z27*'MF Rollover'!W27)</f>
        <v/>
      </c>
      <c r="Y27" s="149" t="str">
        <f>IF($B27=0,"",$N27*'MF Rents'!AA27*'MF Rollover'!X27)</f>
        <v/>
      </c>
      <c r="Z27" s="149" t="str">
        <f>IF($B27=0,"",$N27*'MF Rents'!AB27*'MF Rollover'!Y27)</f>
        <v/>
      </c>
      <c r="AA27" s="149" t="str">
        <f>IF($B27=0,"",$N27*'MF Rents'!AC27*'MF Rollover'!Z27)</f>
        <v/>
      </c>
      <c r="AB27" s="149" t="str">
        <f>IF($B27=0,"",$N27*'MF Rents'!AD27*'MF Rollover'!AA27)</f>
        <v/>
      </c>
      <c r="AC27" s="149" t="str">
        <f>IF($B27=0,"",$N27*'MF Rents'!AE27*'MF Rollover'!AB27)</f>
        <v/>
      </c>
      <c r="AD27" s="149" t="str">
        <f>IF($B27=0,"",$N27*'MF Rents'!AF27*'MF Rollover'!AC27)</f>
        <v/>
      </c>
      <c r="AE27" s="149" t="str">
        <f>IF($B27=0,"",$N27*'MF Rents'!AG27*'MF Rollover'!AD27)</f>
        <v/>
      </c>
      <c r="AF27" s="149" t="str">
        <f>IF($B27=0,"",$N27*'MF Rents'!AH27*'MF Rollover'!AE27)</f>
        <v/>
      </c>
      <c r="AG27" s="149" t="str">
        <f>IF($B27=0,"",$N27*'MF Rents'!AI27*'MF Rollover'!AF27)</f>
        <v/>
      </c>
      <c r="AH27" s="149" t="str">
        <f>IF($B27=0,"",$N27*'MF Rents'!AJ27*'MF Rollover'!AG27)</f>
        <v/>
      </c>
      <c r="AI27" s="149" t="str">
        <f>IF($B27=0,"",$N27*'MF Rents'!AK27*'MF Rollover'!AH27)</f>
        <v/>
      </c>
      <c r="AJ27" s="149" t="str">
        <f>IF($B27=0,"",$N27*'MF Rents'!AL27*'MF Rollover'!AI27)</f>
        <v/>
      </c>
      <c r="AK27" s="149" t="str">
        <f>IF($B27=0,"",$N27*'MF Rents'!AM27*'MF Rollover'!AJ27)</f>
        <v/>
      </c>
      <c r="AL27" s="149" t="str">
        <f>IF($B27=0,"",$N27*'MF Rents'!AN27*'MF Rollover'!AK27)</f>
        <v/>
      </c>
      <c r="AM27" s="149" t="str">
        <f>IF($B27=0,"",$N27*'MF Rents'!AO27*'MF Rollover'!AL27)</f>
        <v/>
      </c>
      <c r="AN27" s="149" t="str">
        <f>IF($B27=0,"",$N27*'MF Rents'!AP27*'MF Rollover'!AM27)</f>
        <v/>
      </c>
      <c r="AO27" s="149" t="str">
        <f>IF($B27=0,"",$N27*'MF Rents'!AQ27*'MF Rollover'!AN27)</f>
        <v/>
      </c>
      <c r="AP27" s="149" t="str">
        <f>IF($B27=0,"",$N27*'MF Rents'!AR27*'MF Rollover'!AO27)</f>
        <v/>
      </c>
      <c r="AQ27" s="149" t="str">
        <f>IF($B27=0,"",$N27*'MF Rents'!AS27*'MF Rollover'!AP27)</f>
        <v/>
      </c>
      <c r="AR27" s="149" t="str">
        <f>IF($B27=0,"",$N27*'MF Rents'!AT27*'MF Rollover'!AQ27)</f>
        <v/>
      </c>
      <c r="AS27" s="149" t="str">
        <f>IF($B27=0,"",$N27*'MF Rents'!AU27*'MF Rollover'!AR27)</f>
        <v/>
      </c>
      <c r="AT27" s="149" t="str">
        <f>IF($B27=0,"",$N27*'MF Rents'!AV27*'MF Rollover'!AS27)</f>
        <v/>
      </c>
      <c r="AU27" s="149" t="str">
        <f>IF($B27=0,"",$N27*'MF Rents'!AW27*'MF Rollover'!AT27)</f>
        <v/>
      </c>
      <c r="AV27" s="149" t="str">
        <f>IF($B27=0,"",$N27*'MF Rents'!AX27*'MF Rollover'!AU27)</f>
        <v/>
      </c>
      <c r="AW27" s="149" t="str">
        <f>IF($B27=0,"",$N27*'MF Rents'!AY27*'MF Rollover'!AV27)</f>
        <v/>
      </c>
      <c r="AX27" s="149" t="str">
        <f>IF($B27=0,"",$N27*'MF Rents'!AZ27*'MF Rollover'!AW27)</f>
        <v/>
      </c>
      <c r="AY27" s="149" t="str">
        <f>IF($B27=0,"",$N27*'MF Rents'!BA27*'MF Rollover'!AX27)</f>
        <v/>
      </c>
      <c r="AZ27" s="149" t="str">
        <f>IF($B27=0,"",$N27*'MF Rents'!BB27*'MF Rollover'!AY27)</f>
        <v/>
      </c>
      <c r="BA27" s="149" t="str">
        <f>IF($B27=0,"",$N27*'MF Rents'!BC27*'MF Rollover'!AZ27)</f>
        <v/>
      </c>
      <c r="BB27" s="149" t="str">
        <f>IF($B27=0,"",$N27*'MF Rents'!BD27*'MF Rollover'!BA27)</f>
        <v/>
      </c>
      <c r="BC27" s="149" t="str">
        <f>IF($B27=0,"",$N27*'MF Rents'!BE27*'MF Rollover'!BB27)</f>
        <v/>
      </c>
      <c r="BD27" s="149" t="str">
        <f>IF($B27=0,"",$N27*'MF Rents'!BF27*'MF Rollover'!BC27)</f>
        <v/>
      </c>
      <c r="BE27" s="149" t="str">
        <f>IF($B27=0,"",$N27*'MF Rents'!BG27*'MF Rollover'!BD27)</f>
        <v/>
      </c>
      <c r="BF27" s="149" t="str">
        <f>IF($B27=0,"",$N27*'MF Rents'!BH27*'MF Rollover'!BE27)</f>
        <v/>
      </c>
      <c r="BG27" s="149" t="str">
        <f>IF($B27=0,"",$N27*'MF Rents'!BI27*'MF Rollover'!BF27)</f>
        <v/>
      </c>
      <c r="BH27" s="149" t="str">
        <f>IF($B27=0,"",$N27*'MF Rents'!BJ27*'MF Rollover'!BG27)</f>
        <v/>
      </c>
      <c r="BI27" s="149" t="str">
        <f>IF($B27=0,"",$N27*'MF Rents'!BK27*'MF Rollover'!BH27)</f>
        <v/>
      </c>
      <c r="BJ27" s="149" t="str">
        <f>IF($B27=0,"",$N27*'MF Rents'!BL27*'MF Rollover'!BI27)</f>
        <v/>
      </c>
      <c r="BK27" s="149" t="str">
        <f>IF($B27=0,"",$N27*'MF Rents'!BM27*'MF Rollover'!BJ27)</f>
        <v/>
      </c>
      <c r="BL27" s="149" t="str">
        <f>IF($B27=0,"",$N27*'MF Rents'!BN27*'MF Rollover'!BK27)</f>
        <v/>
      </c>
      <c r="BM27" s="149" t="str">
        <f>IF($B27=0,"",$N27*'MF Rents'!BO27*'MF Rollover'!BL27)</f>
        <v/>
      </c>
      <c r="BN27" s="149" t="str">
        <f>IF($B27=0,"",$N27*'MF Rents'!BP27*'MF Rollover'!BM27)</f>
        <v/>
      </c>
      <c r="BO27" s="149" t="str">
        <f>IF($B27=0,"",$N27*'MF Rents'!BQ27*'MF Rollover'!BN27)</f>
        <v/>
      </c>
      <c r="BP27" s="149" t="str">
        <f>IF($B27=0,"",$N27*'MF Rents'!BR27*'MF Rollover'!BO27)</f>
        <v/>
      </c>
      <c r="BQ27" s="149" t="str">
        <f>IF($B27=0,"",$N27*'MF Rents'!BS27*'MF Rollover'!BP27)</f>
        <v/>
      </c>
      <c r="BR27" s="149" t="str">
        <f>IF($B27=0,"",$N27*'MF Rents'!BT27*'MF Rollover'!BQ27)</f>
        <v/>
      </c>
      <c r="BS27" s="149" t="str">
        <f>IF($B27=0,"",$N27*'MF Rents'!BU27*'MF Rollover'!BR27)</f>
        <v/>
      </c>
      <c r="BT27" s="149" t="str">
        <f>IF($B27=0,"",$N27*'MF Rents'!BV27*'MF Rollover'!BS27)</f>
        <v/>
      </c>
      <c r="BU27" s="149" t="str">
        <f>IF($B27=0,"",$N27*'MF Rents'!BW27*'MF Rollover'!BT27)</f>
        <v/>
      </c>
      <c r="BV27" s="149" t="str">
        <f>IF($B27=0,"",$N27*'MF Rents'!BX27*'MF Rollover'!BU27)</f>
        <v/>
      </c>
      <c r="BW27" s="149" t="str">
        <f>IF($B27=0,"",$N27*'MF Rents'!BY27*'MF Rollover'!BV27)</f>
        <v/>
      </c>
      <c r="BX27" s="149" t="str">
        <f>IF($B27=0,"",$N27*'MF Rents'!BZ27*'MF Rollover'!BW27)</f>
        <v/>
      </c>
      <c r="BY27" s="149" t="str">
        <f>IF($B27=0,"",$N27*'MF Rents'!CA27*'MF Rollover'!BX27)</f>
        <v/>
      </c>
      <c r="BZ27" s="149" t="str">
        <f>IF($B27=0,"",$N27*'MF Rents'!CB27*'MF Rollover'!BY27)</f>
        <v/>
      </c>
      <c r="CA27" s="149" t="str">
        <f>IF($B27=0,"",$N27*'MF Rents'!CC27*'MF Rollover'!BZ27)</f>
        <v/>
      </c>
      <c r="CB27" s="149" t="str">
        <f>IF($B27=0,"",$N27*'MF Rents'!CD27*'MF Rollover'!CA27)</f>
        <v/>
      </c>
      <c r="CC27" s="149" t="str">
        <f>IF($B27=0,"",$N27*'MF Rents'!CE27*'MF Rollover'!CB27)</f>
        <v/>
      </c>
      <c r="CD27" s="149" t="str">
        <f>IF($B27=0,"",$N27*'MF Rents'!CF27*'MF Rollover'!CC27)</f>
        <v/>
      </c>
      <c r="CE27" s="149" t="str">
        <f>IF($B27=0,"",$N27*'MF Rents'!CG27*'MF Rollover'!CD27)</f>
        <v/>
      </c>
      <c r="CF27" s="149" t="str">
        <f>IF($B27=0,"",$N27*'MF Rents'!CH27*'MF Rollover'!CE27)</f>
        <v/>
      </c>
      <c r="CG27" s="149" t="str">
        <f>IF($B27=0,"",$N27*'MF Rents'!CI27*'MF Rollover'!CF27)</f>
        <v/>
      </c>
      <c r="CH27" s="149" t="str">
        <f>IF($B27=0,"",$N27*'MF Rents'!CJ27*'MF Rollover'!CG27)</f>
        <v/>
      </c>
      <c r="CI27" s="149" t="str">
        <f>IF($B27=0,"",$N27*'MF Rents'!CK27*'MF Rollover'!CH27)</f>
        <v/>
      </c>
      <c r="CJ27" s="149" t="str">
        <f>IF($B27=0,"",$N27*'MF Rents'!CL27*'MF Rollover'!CI27)</f>
        <v/>
      </c>
      <c r="CK27" s="149" t="str">
        <f>IF($B27=0,"",$N27*'MF Rents'!CM27*'MF Rollover'!CJ27)</f>
        <v/>
      </c>
      <c r="CL27" s="149" t="str">
        <f>IF($B27=0,"",$N27*'MF Rents'!CN27*'MF Rollover'!CK27)</f>
        <v/>
      </c>
      <c r="CM27" s="149" t="str">
        <f>IF($B27=0,"",$N27*'MF Rents'!CO27*'MF Rollover'!CL27)</f>
        <v/>
      </c>
      <c r="CN27" s="149" t="str">
        <f>IF($B27=0,"",$N27*'MF Rents'!CP27*'MF Rollover'!CM27)</f>
        <v/>
      </c>
      <c r="CO27" s="149" t="str">
        <f>IF($B27=0,"",$N27*'MF Rents'!CQ27*'MF Rollover'!CN27)</f>
        <v/>
      </c>
      <c r="CP27" s="149" t="str">
        <f>IF($B27=0,"",$N27*'MF Rents'!CR27*'MF Rollover'!CO27)</f>
        <v/>
      </c>
      <c r="CQ27" s="149" t="str">
        <f>IF($B27=0,"",$N27*'MF Rents'!CS27*'MF Rollover'!CP27)</f>
        <v/>
      </c>
      <c r="CR27" s="149" t="str">
        <f>IF($B27=0,"",$N27*'MF Rents'!CT27*'MF Rollover'!CQ27)</f>
        <v/>
      </c>
      <c r="CS27" s="149" t="str">
        <f>IF($B27=0,"",$N27*'MF Rents'!CU27*'MF Rollover'!CR27)</f>
        <v/>
      </c>
      <c r="CT27" s="149" t="str">
        <f>IF($B27=0,"",$N27*'MF Rents'!CV27*'MF Rollover'!CS27)</f>
        <v/>
      </c>
      <c r="CU27" s="149" t="str">
        <f>IF($B27=0,"",$N27*'MF Rents'!CW27*'MF Rollover'!CT27)</f>
        <v/>
      </c>
      <c r="CV27" s="149" t="str">
        <f>IF($B27=0,"",$N27*'MF Rents'!CX27*'MF Rollover'!CU27)</f>
        <v/>
      </c>
      <c r="CW27" s="149" t="str">
        <f>IF($B27=0,"",$N27*'MF Rents'!CY27*'MF Rollover'!CV27)</f>
        <v/>
      </c>
      <c r="CX27" s="149" t="str">
        <f>IF($B27=0,"",$N27*'MF Rents'!CZ27*'MF Rollover'!CW27)</f>
        <v/>
      </c>
      <c r="CY27" s="149" t="str">
        <f>IF($B27=0,"",$N27*'MF Rents'!DA27*'MF Rollover'!CX27)</f>
        <v/>
      </c>
      <c r="CZ27" s="149" t="str">
        <f>IF($B27=0,"",$N27*'MF Rents'!DB27*'MF Rollover'!CY27)</f>
        <v/>
      </c>
      <c r="DA27" s="149" t="str">
        <f>IF($B27=0,"",$N27*'MF Rents'!DC27*'MF Rollover'!CZ27)</f>
        <v/>
      </c>
      <c r="DB27" s="149" t="str">
        <f>IF($B27=0,"",$N27*'MF Rents'!DD27*'MF Rollover'!DA27)</f>
        <v/>
      </c>
      <c r="DC27" s="149" t="str">
        <f>IF($B27=0,"",$N27*'MF Rents'!DE27*'MF Rollover'!DB27)</f>
        <v/>
      </c>
      <c r="DD27" s="149" t="str">
        <f>IF($B27=0,"",$N27*'MF Rents'!DF27*'MF Rollover'!DC27)</f>
        <v/>
      </c>
      <c r="DE27" s="149" t="str">
        <f>IF($B27=0,"",$N27*'MF Rents'!DG27*'MF Rollover'!DD27)</f>
        <v/>
      </c>
      <c r="DF27" s="149" t="str">
        <f>IF($B27=0,"",$N27*'MF Rents'!DH27*'MF Rollover'!DE27)</f>
        <v/>
      </c>
      <c r="DG27" s="149" t="str">
        <f>IF($B27=0,"",$N27*'MF Rents'!DI27*'MF Rollover'!DF27)</f>
        <v/>
      </c>
      <c r="DH27" s="149" t="str">
        <f>IF($B27=0,"",$N27*'MF Rents'!DJ27*'MF Rollover'!DG27)</f>
        <v/>
      </c>
      <c r="DI27" s="149" t="str">
        <f>IF($B27=0,"",$N27*'MF Rents'!DK27*'MF Rollover'!DH27)</f>
        <v/>
      </c>
      <c r="DJ27" s="149" t="str">
        <f>IF($B27=0,"",$N27*'MF Rents'!DL27*'MF Rollover'!DI27)</f>
        <v/>
      </c>
      <c r="DK27" s="149" t="str">
        <f>IF($B27=0,"",$N27*'MF Rents'!DM27*'MF Rollover'!DJ27)</f>
        <v/>
      </c>
      <c r="DL27" s="149" t="str">
        <f>IF($B27=0,"",$N27*'MF Rents'!DN27*'MF Rollover'!DK27)</f>
        <v/>
      </c>
      <c r="DM27" s="149" t="str">
        <f>IF($B27=0,"",$N27*'MF Rents'!DO27*'MF Rollover'!DL27)</f>
        <v/>
      </c>
      <c r="DN27" s="149" t="str">
        <f>IF($B27=0,"",$N27*'MF Rents'!DP27*'MF Rollover'!DM27)</f>
        <v/>
      </c>
      <c r="DO27" s="149" t="str">
        <f>IF($B27=0,"",$N27*'MF Rents'!DQ27*'MF Rollover'!DN27)</f>
        <v/>
      </c>
      <c r="DP27" s="149" t="str">
        <f>IF($B27=0,"",$N27*'MF Rents'!DR27*'MF Rollover'!DO27)</f>
        <v/>
      </c>
      <c r="DQ27" s="149" t="str">
        <f>IF($B27=0,"",$N27*'MF Rents'!DS27*'MF Rollover'!DP27)</f>
        <v/>
      </c>
      <c r="DR27" s="149" t="str">
        <f>IF($B27=0,"",$N27*'MF Rents'!DT27*'MF Rollover'!DQ27)</f>
        <v/>
      </c>
      <c r="DS27" s="149" t="str">
        <f>IF($B27=0,"",$N27*'MF Rents'!DU27*'MF Rollover'!DR27)</f>
        <v/>
      </c>
      <c r="DT27" s="149" t="str">
        <f>IF($B27=0,"",$N27*'MF Rents'!DV27*'MF Rollover'!DS27)</f>
        <v/>
      </c>
      <c r="DU27" s="149" t="str">
        <f>IF($B27=0,"",$N27*'MF Rents'!DW27*'MF Rollover'!DT27)</f>
        <v/>
      </c>
      <c r="DV27" s="149" t="str">
        <f>IF($B27=0,"",$N27*'MF Rents'!DX27*'MF Rollover'!DU27)</f>
        <v/>
      </c>
      <c r="DW27" s="149" t="str">
        <f>IF($B27=0,"",$N27*'MF Rents'!DY27*'MF Rollover'!DV27)</f>
        <v/>
      </c>
      <c r="DX27" s="149" t="str">
        <f>IF($B27=0,"",$N27*'MF Rents'!DZ27*'MF Rollover'!DW27)</f>
        <v/>
      </c>
      <c r="DY27" s="149" t="str">
        <f>IF($B27=0,"",$N27*'MF Rents'!EA27*'MF Rollover'!DX27)</f>
        <v/>
      </c>
      <c r="DZ27" s="149" t="str">
        <f>IF($B27=0,"",$N27*'MF Rents'!EB27*'MF Rollover'!DY27)</f>
        <v/>
      </c>
      <c r="EA27" s="149" t="str">
        <f>IF($B27=0,"",$N27*'MF Rents'!EC27*'MF Rollover'!DZ27)</f>
        <v/>
      </c>
      <c r="EB27" s="149" t="str">
        <f>IF($B27=0,"",$N27*'MF Rents'!ED27*'MF Rollover'!EA27)</f>
        <v/>
      </c>
      <c r="EC27" s="149" t="str">
        <f>IF($B27=0,"",$N27*'MF Rents'!EE27*'MF Rollover'!EB27)</f>
        <v/>
      </c>
      <c r="ED27" s="149" t="str">
        <f>IF($B27=0,"",$N27*'MF Rents'!EF27*'MF Rollover'!EC27)</f>
        <v/>
      </c>
      <c r="EE27" s="149" t="str">
        <f>IF($B27=0,"",$N27*'MF Rents'!EG27*'MF Rollover'!ED27)</f>
        <v/>
      </c>
      <c r="EF27" s="149" t="str">
        <f>IF($B27=0,"",$N27*'MF Rents'!EH27*'MF Rollover'!EE27)</f>
        <v/>
      </c>
      <c r="EG27" s="149" t="str">
        <f>IF($B27=0,"",$N27*'MF Rents'!EI27*'MF Rollover'!EF27)</f>
        <v/>
      </c>
      <c r="EH27" s="149" t="str">
        <f>IF($B27=0,"",$N27*'MF Rents'!EJ27*'MF Rollover'!EG27)</f>
        <v/>
      </c>
      <c r="EI27" s="149" t="str">
        <f>IF($B27=0,"",$N27*'MF Rents'!EK27*'MF Rollover'!EH27)</f>
        <v/>
      </c>
      <c r="EJ27" s="149" t="str">
        <f>IF($B27=0,"",$N27*'MF Rents'!EL27*'MF Rollover'!EI27)</f>
        <v/>
      </c>
      <c r="EK27" s="149" t="str">
        <f>IF($B27=0,"",$N27*'MF Rents'!EM27*'MF Rollover'!EJ27)</f>
        <v/>
      </c>
      <c r="EL27" s="149" t="str">
        <f>IF($B27=0,"",$N27*'MF Rents'!EN27*'MF Rollover'!EK27)</f>
        <v/>
      </c>
      <c r="EM27" s="149" t="str">
        <f>IF($B27=0,"",$N27*'MF Rents'!EO27*'MF Rollover'!EL27)</f>
        <v/>
      </c>
      <c r="EN27" s="149" t="str">
        <f>IF($B27=0,"",$N27*'MF Rents'!EP27*'MF Rollover'!EM27)</f>
        <v/>
      </c>
      <c r="EO27" s="149" t="str">
        <f>IF($B27=0,"",$N27*'MF Rents'!EQ27*'MF Rollover'!EN27)</f>
        <v/>
      </c>
      <c r="EP27" s="149" t="str">
        <f>IF($B27=0,"",$N27*'MF Rents'!ER27*'MF Rollover'!EO27)</f>
        <v/>
      </c>
      <c r="EQ27" s="149" t="str">
        <f>IF($B27=0,"",$N27*'MF Rents'!ES27*'MF Rollover'!EP27)</f>
        <v/>
      </c>
      <c r="ER27" s="149" t="str">
        <f>IF($B27=0,"",$N27*'MF Rents'!ET27*'MF Rollover'!EQ27)</f>
        <v/>
      </c>
      <c r="ES27" s="149" t="str">
        <f>IF($B27=0,"",$N27*'MF Rents'!EU27*'MF Rollover'!ER27)</f>
        <v/>
      </c>
      <c r="ET27" s="149" t="str">
        <f>IF($B27=0,"",$N27*'MF Rents'!EV27*'MF Rollover'!ES27)</f>
        <v/>
      </c>
      <c r="EU27" s="149" t="str">
        <f>IF($B27=0,"",$N27*'MF Rents'!EW27*'MF Rollover'!ET27)</f>
        <v/>
      </c>
      <c r="EV27" s="149" t="str">
        <f>IF($B27=0,"",$N27*'MF Rents'!EX27*'MF Rollover'!EU27)</f>
        <v/>
      </c>
      <c r="EW27" s="149" t="str">
        <f>IF($B27=0,"",$N27*'MF Rents'!EY27*'MF Rollover'!EV27)</f>
        <v/>
      </c>
      <c r="EX27" s="149" t="str">
        <f>IF($B27=0,"",$N27*'MF Rents'!EZ27*'MF Rollover'!EW27)</f>
        <v/>
      </c>
      <c r="EY27" s="149" t="str">
        <f>IF($B27=0,"",$N27*'MF Rents'!FA27*'MF Rollover'!EX27)</f>
        <v/>
      </c>
      <c r="EZ27" s="149" t="str">
        <f>IF($B27=0,"",$N27*'MF Rents'!FB27*'MF Rollover'!EY27)</f>
        <v/>
      </c>
      <c r="FA27" s="149" t="str">
        <f>IF($B27=0,"",$N27*'MF Rents'!FC27*'MF Rollover'!EZ27)</f>
        <v/>
      </c>
      <c r="FB27" s="149" t="str">
        <f>IF($B27=0,"",$N27*'MF Rents'!FD27*'MF Rollover'!FA27)</f>
        <v/>
      </c>
      <c r="FC27" s="149" t="str">
        <f>IF($B27=0,"",$N27*'MF Rents'!FE27*'MF Rollover'!FB27)</f>
        <v/>
      </c>
      <c r="FD27" s="149" t="str">
        <f>IF($B27=0,"",$N27*'MF Rents'!FF27*'MF Rollover'!FC27)</f>
        <v/>
      </c>
      <c r="FE27" s="149" t="str">
        <f>IF($B27=0,"",$N27*'MF Rents'!FG27*'MF Rollover'!FD27)</f>
        <v/>
      </c>
      <c r="FF27" s="149" t="str">
        <f>IF($B27=0,"",$N27*'MF Rents'!FH27*'MF Rollover'!FE27)</f>
        <v/>
      </c>
      <c r="FG27" s="149" t="str">
        <f>IF($B27=0,"",$N27*'MF Rents'!FI27*'MF Rollover'!FF27)</f>
        <v/>
      </c>
      <c r="FH27" s="149" t="str">
        <f>IF($B27=0,"",$N27*'MF Rents'!FJ27*'MF Rollover'!FG27)</f>
        <v/>
      </c>
      <c r="FI27" s="149" t="str">
        <f>IF($B27=0,"",$N27*'MF Rents'!FK27*'MF Rollover'!FH27)</f>
        <v/>
      </c>
      <c r="FJ27" s="149" t="str">
        <f>IF($B27=0,"",$N27*'MF Rents'!FL27*'MF Rollover'!FI27)</f>
        <v/>
      </c>
      <c r="FK27" s="149" t="str">
        <f>IF($B27=0,"",$N27*'MF Rents'!FM27*'MF Rollover'!FJ27)</f>
        <v/>
      </c>
      <c r="FL27" s="149" t="str">
        <f>IF($B27=0,"",$N27*'MF Rents'!FN27*'MF Rollover'!FK27)</f>
        <v/>
      </c>
      <c r="FM27" s="149" t="str">
        <f>IF($B27=0,"",$N27*'MF Rents'!FO27*'MF Rollover'!FL27)</f>
        <v/>
      </c>
      <c r="FN27" s="149" t="str">
        <f>IF($B27=0,"",$N27*'MF Rents'!FP27*'MF Rollover'!FM27)</f>
        <v/>
      </c>
      <c r="FO27" s="149" t="str">
        <f>IF($B27=0,"",$N27*'MF Rents'!FQ27*'MF Rollover'!FN27)</f>
        <v/>
      </c>
      <c r="FP27" s="149" t="str">
        <f>IF($B27=0,"",$N27*'MF Rents'!FR27*'MF Rollover'!FO27)</f>
        <v/>
      </c>
      <c r="FQ27" s="149" t="str">
        <f>IF($B27=0,"",$N27*'MF Rents'!FS27*'MF Rollover'!FP27)</f>
        <v/>
      </c>
      <c r="FR27" s="149" t="str">
        <f>IF($B27=0,"",$N27*'MF Rents'!FT27*'MF Rollover'!FQ27)</f>
        <v/>
      </c>
      <c r="FS27" s="149" t="str">
        <f>IF($B27=0,"",$N27*'MF Rents'!FU27*'MF Rollover'!FR27)</f>
        <v/>
      </c>
      <c r="FT27" s="149" t="str">
        <f>IF($B27=0,"",$N27*'MF Rents'!FV27*'MF Rollover'!FS27)</f>
        <v/>
      </c>
      <c r="FU27" s="149" t="str">
        <f>IF($B27=0,"",$N27*'MF Rents'!FW27*'MF Rollover'!FT27)</f>
        <v/>
      </c>
      <c r="FV27" s="149" t="str">
        <f>IF($B27=0,"",$N27*'MF Rents'!FX27*'MF Rollover'!FU27)</f>
        <v/>
      </c>
      <c r="FW27" s="149" t="str">
        <f>IF($B27=0,"",$N27*'MF Rents'!FY27*'MF Rollover'!FV27)</f>
        <v/>
      </c>
      <c r="FX27" s="149" t="str">
        <f>IF($B27=0,"",$N27*'MF Rents'!FZ27*'MF Rollover'!FW27)</f>
        <v/>
      </c>
      <c r="FY27" s="149" t="str">
        <f>IF($B27=0,"",$N27*'MF Rents'!GA27*'MF Rollover'!FX27)</f>
        <v/>
      </c>
      <c r="FZ27" s="149" t="str">
        <f>IF($B27=0,"",$N27*'MF Rents'!GB27*'MF Rollover'!FY27)</f>
        <v/>
      </c>
      <c r="GA27" s="149" t="str">
        <f>IF($B27=0,"",$N27*'MF Rents'!GC27*'MF Rollover'!FZ27)</f>
        <v/>
      </c>
      <c r="GB27" s="149" t="str">
        <f>IF($B27=0,"",$N27*'MF Rents'!GD27*'MF Rollover'!GA27)</f>
        <v/>
      </c>
      <c r="GC27" s="149" t="str">
        <f>IF($B27=0,"",$N27*'MF Rents'!GE27*'MF Rollover'!GB27)</f>
        <v/>
      </c>
      <c r="GD27" s="149" t="str">
        <f>IF($B27=0,"",$N27*'MF Rents'!GF27*'MF Rollover'!GC27)</f>
        <v/>
      </c>
      <c r="GE27" s="149" t="str">
        <f>IF($B27=0,"",$N27*'MF Rents'!GG27*'MF Rollover'!GD27)</f>
        <v/>
      </c>
      <c r="GF27" s="149" t="str">
        <f>IF($B27=0,"",$N27*'MF Rents'!GH27*'MF Rollover'!GE27)</f>
        <v/>
      </c>
      <c r="GG27" s="149" t="str">
        <f>IF($B27=0,"",$N27*'MF Rents'!GI27*'MF Rollover'!GF27)</f>
        <v/>
      </c>
      <c r="GH27" s="149" t="str">
        <f>IF($B27=0,"",$N27*'MF Rents'!GJ27*'MF Rollover'!GG27)</f>
        <v/>
      </c>
      <c r="GI27" s="149" t="str">
        <f>IF($B27=0,"",$N27*'MF Rents'!GK27*'MF Rollover'!GH27)</f>
        <v/>
      </c>
      <c r="GJ27" s="149" t="str">
        <f>IF($B27=0,"",$N27*'MF Rents'!GL27*'MF Rollover'!GI27)</f>
        <v/>
      </c>
      <c r="GK27" s="149" t="str">
        <f>IF($B27=0,"",$N27*'MF Rents'!GM27*'MF Rollover'!GJ27)</f>
        <v/>
      </c>
      <c r="GL27" s="149" t="str">
        <f>IF($B27=0,"",$N27*'MF Rents'!GN27*'MF Rollover'!GK27)</f>
        <v/>
      </c>
      <c r="GM27" s="149" t="str">
        <f>IF($B27=0,"",$N27*'MF Rents'!GO27*'MF Rollover'!GL27)</f>
        <v/>
      </c>
      <c r="GN27" s="149" t="str">
        <f>IF($B27=0,"",$N27*'MF Rents'!GP27*'MF Rollover'!GM27)</f>
        <v/>
      </c>
      <c r="GO27" s="149" t="str">
        <f>IF($B27=0,"",$N27*'MF Rents'!GQ27*'MF Rollover'!GN27)</f>
        <v/>
      </c>
      <c r="GP27" s="149" t="str">
        <f>IF($B27=0,"",$N27*'MF Rents'!GR27*'MF Rollover'!GO27)</f>
        <v/>
      </c>
    </row>
    <row r="28" spans="2:198" x14ac:dyDescent="0.3">
      <c r="B28" s="184">
        <f>'MF Rent Roll'!B27</f>
        <v>0</v>
      </c>
      <c r="C28" s="171">
        <f>'MF Rent Roll'!C27</f>
        <v>0</v>
      </c>
      <c r="D28" s="172">
        <f>'MF Rent Roll'!D27</f>
        <v>0</v>
      </c>
      <c r="E28" s="172">
        <f>'MF Rent Roll'!E27</f>
        <v>0</v>
      </c>
      <c r="F28" s="173">
        <f>'MF Rent Roll'!F27</f>
        <v>0</v>
      </c>
      <c r="G28" s="174">
        <f>'MF Rent Roll'!G27</f>
        <v>0</v>
      </c>
      <c r="H28" s="176">
        <f>'MF Rent Roll'!J27</f>
        <v>0</v>
      </c>
      <c r="I28" s="174">
        <f>'MF Rent Roll'!K27</f>
        <v>0</v>
      </c>
      <c r="J28" s="177">
        <f>'MF Rent Roll'!L27</f>
        <v>0</v>
      </c>
      <c r="K28" s="178">
        <f>'MF Rent Roll'!M27</f>
        <v>0</v>
      </c>
      <c r="L28" s="174">
        <f>'MF Rent Roll'!N27</f>
        <v>0</v>
      </c>
      <c r="M28" s="179">
        <f>'MF Rent Roll'!O27</f>
        <v>0</v>
      </c>
      <c r="N28" s="180" t="str">
        <f>'MF Rent Roll'!P27</f>
        <v/>
      </c>
      <c r="O28" s="181" t="str">
        <f>'MF Rent Roll'!Q27</f>
        <v/>
      </c>
      <c r="P28" s="104" t="str">
        <f>'MF Rent Roll'!R27</f>
        <v/>
      </c>
      <c r="S28" s="149" t="str">
        <f>IF($B28=0,"",$N28*'MF Rents'!U28*'MF Rollover'!R28)</f>
        <v/>
      </c>
      <c r="T28" s="149" t="str">
        <f>IF($B28=0,"",$N28*'MF Rents'!V28*'MF Rollover'!S28)</f>
        <v/>
      </c>
      <c r="U28" s="149" t="str">
        <f>IF($B28=0,"",$N28*'MF Rents'!W28*'MF Rollover'!T28)</f>
        <v/>
      </c>
      <c r="V28" s="149" t="str">
        <f>IF($B28=0,"",$N28*'MF Rents'!X28*'MF Rollover'!U28)</f>
        <v/>
      </c>
      <c r="W28" s="149" t="str">
        <f>IF($B28=0,"",$N28*'MF Rents'!Y28*'MF Rollover'!V28)</f>
        <v/>
      </c>
      <c r="X28" s="149" t="str">
        <f>IF($B28=0,"",$N28*'MF Rents'!Z28*'MF Rollover'!W28)</f>
        <v/>
      </c>
      <c r="Y28" s="149" t="str">
        <f>IF($B28=0,"",$N28*'MF Rents'!AA28*'MF Rollover'!X28)</f>
        <v/>
      </c>
      <c r="Z28" s="149" t="str">
        <f>IF($B28=0,"",$N28*'MF Rents'!AB28*'MF Rollover'!Y28)</f>
        <v/>
      </c>
      <c r="AA28" s="149" t="str">
        <f>IF($B28=0,"",$N28*'MF Rents'!AC28*'MF Rollover'!Z28)</f>
        <v/>
      </c>
      <c r="AB28" s="149" t="str">
        <f>IF($B28=0,"",$N28*'MF Rents'!AD28*'MF Rollover'!AA28)</f>
        <v/>
      </c>
      <c r="AC28" s="149" t="str">
        <f>IF($B28=0,"",$N28*'MF Rents'!AE28*'MF Rollover'!AB28)</f>
        <v/>
      </c>
      <c r="AD28" s="149" t="str">
        <f>IF($B28=0,"",$N28*'MF Rents'!AF28*'MF Rollover'!AC28)</f>
        <v/>
      </c>
      <c r="AE28" s="149" t="str">
        <f>IF($B28=0,"",$N28*'MF Rents'!AG28*'MF Rollover'!AD28)</f>
        <v/>
      </c>
      <c r="AF28" s="149" t="str">
        <f>IF($B28=0,"",$N28*'MF Rents'!AH28*'MF Rollover'!AE28)</f>
        <v/>
      </c>
      <c r="AG28" s="149" t="str">
        <f>IF($B28=0,"",$N28*'MF Rents'!AI28*'MF Rollover'!AF28)</f>
        <v/>
      </c>
      <c r="AH28" s="149" t="str">
        <f>IF($B28=0,"",$N28*'MF Rents'!AJ28*'MF Rollover'!AG28)</f>
        <v/>
      </c>
      <c r="AI28" s="149" t="str">
        <f>IF($B28=0,"",$N28*'MF Rents'!AK28*'MF Rollover'!AH28)</f>
        <v/>
      </c>
      <c r="AJ28" s="149" t="str">
        <f>IF($B28=0,"",$N28*'MF Rents'!AL28*'MF Rollover'!AI28)</f>
        <v/>
      </c>
      <c r="AK28" s="149" t="str">
        <f>IF($B28=0,"",$N28*'MF Rents'!AM28*'MF Rollover'!AJ28)</f>
        <v/>
      </c>
      <c r="AL28" s="149" t="str">
        <f>IF($B28=0,"",$N28*'MF Rents'!AN28*'MF Rollover'!AK28)</f>
        <v/>
      </c>
      <c r="AM28" s="149" t="str">
        <f>IF($B28=0,"",$N28*'MF Rents'!AO28*'MF Rollover'!AL28)</f>
        <v/>
      </c>
      <c r="AN28" s="149" t="str">
        <f>IF($B28=0,"",$N28*'MF Rents'!AP28*'MF Rollover'!AM28)</f>
        <v/>
      </c>
      <c r="AO28" s="149" t="str">
        <f>IF($B28=0,"",$N28*'MF Rents'!AQ28*'MF Rollover'!AN28)</f>
        <v/>
      </c>
      <c r="AP28" s="149" t="str">
        <f>IF($B28=0,"",$N28*'MF Rents'!AR28*'MF Rollover'!AO28)</f>
        <v/>
      </c>
      <c r="AQ28" s="149" t="str">
        <f>IF($B28=0,"",$N28*'MF Rents'!AS28*'MF Rollover'!AP28)</f>
        <v/>
      </c>
      <c r="AR28" s="149" t="str">
        <f>IF($B28=0,"",$N28*'MF Rents'!AT28*'MF Rollover'!AQ28)</f>
        <v/>
      </c>
      <c r="AS28" s="149" t="str">
        <f>IF($B28=0,"",$N28*'MF Rents'!AU28*'MF Rollover'!AR28)</f>
        <v/>
      </c>
      <c r="AT28" s="149" t="str">
        <f>IF($B28=0,"",$N28*'MF Rents'!AV28*'MF Rollover'!AS28)</f>
        <v/>
      </c>
      <c r="AU28" s="149" t="str">
        <f>IF($B28=0,"",$N28*'MF Rents'!AW28*'MF Rollover'!AT28)</f>
        <v/>
      </c>
      <c r="AV28" s="149" t="str">
        <f>IF($B28=0,"",$N28*'MF Rents'!AX28*'MF Rollover'!AU28)</f>
        <v/>
      </c>
      <c r="AW28" s="149" t="str">
        <f>IF($B28=0,"",$N28*'MF Rents'!AY28*'MF Rollover'!AV28)</f>
        <v/>
      </c>
      <c r="AX28" s="149" t="str">
        <f>IF($B28=0,"",$N28*'MF Rents'!AZ28*'MF Rollover'!AW28)</f>
        <v/>
      </c>
      <c r="AY28" s="149" t="str">
        <f>IF($B28=0,"",$N28*'MF Rents'!BA28*'MF Rollover'!AX28)</f>
        <v/>
      </c>
      <c r="AZ28" s="149" t="str">
        <f>IF($B28=0,"",$N28*'MF Rents'!BB28*'MF Rollover'!AY28)</f>
        <v/>
      </c>
      <c r="BA28" s="149" t="str">
        <f>IF($B28=0,"",$N28*'MF Rents'!BC28*'MF Rollover'!AZ28)</f>
        <v/>
      </c>
      <c r="BB28" s="149" t="str">
        <f>IF($B28=0,"",$N28*'MF Rents'!BD28*'MF Rollover'!BA28)</f>
        <v/>
      </c>
      <c r="BC28" s="149" t="str">
        <f>IF($B28=0,"",$N28*'MF Rents'!BE28*'MF Rollover'!BB28)</f>
        <v/>
      </c>
      <c r="BD28" s="149" t="str">
        <f>IF($B28=0,"",$N28*'MF Rents'!BF28*'MF Rollover'!BC28)</f>
        <v/>
      </c>
      <c r="BE28" s="149" t="str">
        <f>IF($B28=0,"",$N28*'MF Rents'!BG28*'MF Rollover'!BD28)</f>
        <v/>
      </c>
      <c r="BF28" s="149" t="str">
        <f>IF($B28=0,"",$N28*'MF Rents'!BH28*'MF Rollover'!BE28)</f>
        <v/>
      </c>
      <c r="BG28" s="149" t="str">
        <f>IF($B28=0,"",$N28*'MF Rents'!BI28*'MF Rollover'!BF28)</f>
        <v/>
      </c>
      <c r="BH28" s="149" t="str">
        <f>IF($B28=0,"",$N28*'MF Rents'!BJ28*'MF Rollover'!BG28)</f>
        <v/>
      </c>
      <c r="BI28" s="149" t="str">
        <f>IF($B28=0,"",$N28*'MF Rents'!BK28*'MF Rollover'!BH28)</f>
        <v/>
      </c>
      <c r="BJ28" s="149" t="str">
        <f>IF($B28=0,"",$N28*'MF Rents'!BL28*'MF Rollover'!BI28)</f>
        <v/>
      </c>
      <c r="BK28" s="149" t="str">
        <f>IF($B28=0,"",$N28*'MF Rents'!BM28*'MF Rollover'!BJ28)</f>
        <v/>
      </c>
      <c r="BL28" s="149" t="str">
        <f>IF($B28=0,"",$N28*'MF Rents'!BN28*'MF Rollover'!BK28)</f>
        <v/>
      </c>
      <c r="BM28" s="149" t="str">
        <f>IF($B28=0,"",$N28*'MF Rents'!BO28*'MF Rollover'!BL28)</f>
        <v/>
      </c>
      <c r="BN28" s="149" t="str">
        <f>IF($B28=0,"",$N28*'MF Rents'!BP28*'MF Rollover'!BM28)</f>
        <v/>
      </c>
      <c r="BO28" s="149" t="str">
        <f>IF($B28=0,"",$N28*'MF Rents'!BQ28*'MF Rollover'!BN28)</f>
        <v/>
      </c>
      <c r="BP28" s="149" t="str">
        <f>IF($B28=0,"",$N28*'MF Rents'!BR28*'MF Rollover'!BO28)</f>
        <v/>
      </c>
      <c r="BQ28" s="149" t="str">
        <f>IF($B28=0,"",$N28*'MF Rents'!BS28*'MF Rollover'!BP28)</f>
        <v/>
      </c>
      <c r="BR28" s="149" t="str">
        <f>IF($B28=0,"",$N28*'MF Rents'!BT28*'MF Rollover'!BQ28)</f>
        <v/>
      </c>
      <c r="BS28" s="149" t="str">
        <f>IF($B28=0,"",$N28*'MF Rents'!BU28*'MF Rollover'!BR28)</f>
        <v/>
      </c>
      <c r="BT28" s="149" t="str">
        <f>IF($B28=0,"",$N28*'MF Rents'!BV28*'MF Rollover'!BS28)</f>
        <v/>
      </c>
      <c r="BU28" s="149" t="str">
        <f>IF($B28=0,"",$N28*'MF Rents'!BW28*'MF Rollover'!BT28)</f>
        <v/>
      </c>
      <c r="BV28" s="149" t="str">
        <f>IF($B28=0,"",$N28*'MF Rents'!BX28*'MF Rollover'!BU28)</f>
        <v/>
      </c>
      <c r="BW28" s="149" t="str">
        <f>IF($B28=0,"",$N28*'MF Rents'!BY28*'MF Rollover'!BV28)</f>
        <v/>
      </c>
      <c r="BX28" s="149" t="str">
        <f>IF($B28=0,"",$N28*'MF Rents'!BZ28*'MF Rollover'!BW28)</f>
        <v/>
      </c>
      <c r="BY28" s="149" t="str">
        <f>IF($B28=0,"",$N28*'MF Rents'!CA28*'MF Rollover'!BX28)</f>
        <v/>
      </c>
      <c r="BZ28" s="149" t="str">
        <f>IF($B28=0,"",$N28*'MF Rents'!CB28*'MF Rollover'!BY28)</f>
        <v/>
      </c>
      <c r="CA28" s="149" t="str">
        <f>IF($B28=0,"",$N28*'MF Rents'!CC28*'MF Rollover'!BZ28)</f>
        <v/>
      </c>
      <c r="CB28" s="149" t="str">
        <f>IF($B28=0,"",$N28*'MF Rents'!CD28*'MF Rollover'!CA28)</f>
        <v/>
      </c>
      <c r="CC28" s="149" t="str">
        <f>IF($B28=0,"",$N28*'MF Rents'!CE28*'MF Rollover'!CB28)</f>
        <v/>
      </c>
      <c r="CD28" s="149" t="str">
        <f>IF($B28=0,"",$N28*'MF Rents'!CF28*'MF Rollover'!CC28)</f>
        <v/>
      </c>
      <c r="CE28" s="149" t="str">
        <f>IF($B28=0,"",$N28*'MF Rents'!CG28*'MF Rollover'!CD28)</f>
        <v/>
      </c>
      <c r="CF28" s="149" t="str">
        <f>IF($B28=0,"",$N28*'MF Rents'!CH28*'MF Rollover'!CE28)</f>
        <v/>
      </c>
      <c r="CG28" s="149" t="str">
        <f>IF($B28=0,"",$N28*'MF Rents'!CI28*'MF Rollover'!CF28)</f>
        <v/>
      </c>
      <c r="CH28" s="149" t="str">
        <f>IF($B28=0,"",$N28*'MF Rents'!CJ28*'MF Rollover'!CG28)</f>
        <v/>
      </c>
      <c r="CI28" s="149" t="str">
        <f>IF($B28=0,"",$N28*'MF Rents'!CK28*'MF Rollover'!CH28)</f>
        <v/>
      </c>
      <c r="CJ28" s="149" t="str">
        <f>IF($B28=0,"",$N28*'MF Rents'!CL28*'MF Rollover'!CI28)</f>
        <v/>
      </c>
      <c r="CK28" s="149" t="str">
        <f>IF($B28=0,"",$N28*'MF Rents'!CM28*'MF Rollover'!CJ28)</f>
        <v/>
      </c>
      <c r="CL28" s="149" t="str">
        <f>IF($B28=0,"",$N28*'MF Rents'!CN28*'MF Rollover'!CK28)</f>
        <v/>
      </c>
      <c r="CM28" s="149" t="str">
        <f>IF($B28=0,"",$N28*'MF Rents'!CO28*'MF Rollover'!CL28)</f>
        <v/>
      </c>
      <c r="CN28" s="149" t="str">
        <f>IF($B28=0,"",$N28*'MF Rents'!CP28*'MF Rollover'!CM28)</f>
        <v/>
      </c>
      <c r="CO28" s="149" t="str">
        <f>IF($B28=0,"",$N28*'MF Rents'!CQ28*'MF Rollover'!CN28)</f>
        <v/>
      </c>
      <c r="CP28" s="149" t="str">
        <f>IF($B28=0,"",$N28*'MF Rents'!CR28*'MF Rollover'!CO28)</f>
        <v/>
      </c>
      <c r="CQ28" s="149" t="str">
        <f>IF($B28=0,"",$N28*'MF Rents'!CS28*'MF Rollover'!CP28)</f>
        <v/>
      </c>
      <c r="CR28" s="149" t="str">
        <f>IF($B28=0,"",$N28*'MF Rents'!CT28*'MF Rollover'!CQ28)</f>
        <v/>
      </c>
      <c r="CS28" s="149" t="str">
        <f>IF($B28=0,"",$N28*'MF Rents'!CU28*'MF Rollover'!CR28)</f>
        <v/>
      </c>
      <c r="CT28" s="149" t="str">
        <f>IF($B28=0,"",$N28*'MF Rents'!CV28*'MF Rollover'!CS28)</f>
        <v/>
      </c>
      <c r="CU28" s="149" t="str">
        <f>IF($B28=0,"",$N28*'MF Rents'!CW28*'MF Rollover'!CT28)</f>
        <v/>
      </c>
      <c r="CV28" s="149" t="str">
        <f>IF($B28=0,"",$N28*'MF Rents'!CX28*'MF Rollover'!CU28)</f>
        <v/>
      </c>
      <c r="CW28" s="149" t="str">
        <f>IF($B28=0,"",$N28*'MF Rents'!CY28*'MF Rollover'!CV28)</f>
        <v/>
      </c>
      <c r="CX28" s="149" t="str">
        <f>IF($B28=0,"",$N28*'MF Rents'!CZ28*'MF Rollover'!CW28)</f>
        <v/>
      </c>
      <c r="CY28" s="149" t="str">
        <f>IF($B28=0,"",$N28*'MF Rents'!DA28*'MF Rollover'!CX28)</f>
        <v/>
      </c>
      <c r="CZ28" s="149" t="str">
        <f>IF($B28=0,"",$N28*'MF Rents'!DB28*'MF Rollover'!CY28)</f>
        <v/>
      </c>
      <c r="DA28" s="149" t="str">
        <f>IF($B28=0,"",$N28*'MF Rents'!DC28*'MF Rollover'!CZ28)</f>
        <v/>
      </c>
      <c r="DB28" s="149" t="str">
        <f>IF($B28=0,"",$N28*'MF Rents'!DD28*'MF Rollover'!DA28)</f>
        <v/>
      </c>
      <c r="DC28" s="149" t="str">
        <f>IF($B28=0,"",$N28*'MF Rents'!DE28*'MF Rollover'!DB28)</f>
        <v/>
      </c>
      <c r="DD28" s="149" t="str">
        <f>IF($B28=0,"",$N28*'MF Rents'!DF28*'MF Rollover'!DC28)</f>
        <v/>
      </c>
      <c r="DE28" s="149" t="str">
        <f>IF($B28=0,"",$N28*'MF Rents'!DG28*'MF Rollover'!DD28)</f>
        <v/>
      </c>
      <c r="DF28" s="149" t="str">
        <f>IF($B28=0,"",$N28*'MF Rents'!DH28*'MF Rollover'!DE28)</f>
        <v/>
      </c>
      <c r="DG28" s="149" t="str">
        <f>IF($B28=0,"",$N28*'MF Rents'!DI28*'MF Rollover'!DF28)</f>
        <v/>
      </c>
      <c r="DH28" s="149" t="str">
        <f>IF($B28=0,"",$N28*'MF Rents'!DJ28*'MF Rollover'!DG28)</f>
        <v/>
      </c>
      <c r="DI28" s="149" t="str">
        <f>IF($B28=0,"",$N28*'MF Rents'!DK28*'MF Rollover'!DH28)</f>
        <v/>
      </c>
      <c r="DJ28" s="149" t="str">
        <f>IF($B28=0,"",$N28*'MF Rents'!DL28*'MF Rollover'!DI28)</f>
        <v/>
      </c>
      <c r="DK28" s="149" t="str">
        <f>IF($B28=0,"",$N28*'MF Rents'!DM28*'MF Rollover'!DJ28)</f>
        <v/>
      </c>
      <c r="DL28" s="149" t="str">
        <f>IF($B28=0,"",$N28*'MF Rents'!DN28*'MF Rollover'!DK28)</f>
        <v/>
      </c>
      <c r="DM28" s="149" t="str">
        <f>IF($B28=0,"",$N28*'MF Rents'!DO28*'MF Rollover'!DL28)</f>
        <v/>
      </c>
      <c r="DN28" s="149" t="str">
        <f>IF($B28=0,"",$N28*'MF Rents'!DP28*'MF Rollover'!DM28)</f>
        <v/>
      </c>
      <c r="DO28" s="149" t="str">
        <f>IF($B28=0,"",$N28*'MF Rents'!DQ28*'MF Rollover'!DN28)</f>
        <v/>
      </c>
      <c r="DP28" s="149" t="str">
        <f>IF($B28=0,"",$N28*'MF Rents'!DR28*'MF Rollover'!DO28)</f>
        <v/>
      </c>
      <c r="DQ28" s="149" t="str">
        <f>IF($B28=0,"",$N28*'MF Rents'!DS28*'MF Rollover'!DP28)</f>
        <v/>
      </c>
      <c r="DR28" s="149" t="str">
        <f>IF($B28=0,"",$N28*'MF Rents'!DT28*'MF Rollover'!DQ28)</f>
        <v/>
      </c>
      <c r="DS28" s="149" t="str">
        <f>IF($B28=0,"",$N28*'MF Rents'!DU28*'MF Rollover'!DR28)</f>
        <v/>
      </c>
      <c r="DT28" s="149" t="str">
        <f>IF($B28=0,"",$N28*'MF Rents'!DV28*'MF Rollover'!DS28)</f>
        <v/>
      </c>
      <c r="DU28" s="149" t="str">
        <f>IF($B28=0,"",$N28*'MF Rents'!DW28*'MF Rollover'!DT28)</f>
        <v/>
      </c>
      <c r="DV28" s="149" t="str">
        <f>IF($B28=0,"",$N28*'MF Rents'!DX28*'MF Rollover'!DU28)</f>
        <v/>
      </c>
      <c r="DW28" s="149" t="str">
        <f>IF($B28=0,"",$N28*'MF Rents'!DY28*'MF Rollover'!DV28)</f>
        <v/>
      </c>
      <c r="DX28" s="149" t="str">
        <f>IF($B28=0,"",$N28*'MF Rents'!DZ28*'MF Rollover'!DW28)</f>
        <v/>
      </c>
      <c r="DY28" s="149" t="str">
        <f>IF($B28=0,"",$N28*'MF Rents'!EA28*'MF Rollover'!DX28)</f>
        <v/>
      </c>
      <c r="DZ28" s="149" t="str">
        <f>IF($B28=0,"",$N28*'MF Rents'!EB28*'MF Rollover'!DY28)</f>
        <v/>
      </c>
      <c r="EA28" s="149" t="str">
        <f>IF($B28=0,"",$N28*'MF Rents'!EC28*'MF Rollover'!DZ28)</f>
        <v/>
      </c>
      <c r="EB28" s="149" t="str">
        <f>IF($B28=0,"",$N28*'MF Rents'!ED28*'MF Rollover'!EA28)</f>
        <v/>
      </c>
      <c r="EC28" s="149" t="str">
        <f>IF($B28=0,"",$N28*'MF Rents'!EE28*'MF Rollover'!EB28)</f>
        <v/>
      </c>
      <c r="ED28" s="149" t="str">
        <f>IF($B28=0,"",$N28*'MF Rents'!EF28*'MF Rollover'!EC28)</f>
        <v/>
      </c>
      <c r="EE28" s="149" t="str">
        <f>IF($B28=0,"",$N28*'MF Rents'!EG28*'MF Rollover'!ED28)</f>
        <v/>
      </c>
      <c r="EF28" s="149" t="str">
        <f>IF($B28=0,"",$N28*'MF Rents'!EH28*'MF Rollover'!EE28)</f>
        <v/>
      </c>
      <c r="EG28" s="149" t="str">
        <f>IF($B28=0,"",$N28*'MF Rents'!EI28*'MF Rollover'!EF28)</f>
        <v/>
      </c>
      <c r="EH28" s="149" t="str">
        <f>IF($B28=0,"",$N28*'MF Rents'!EJ28*'MF Rollover'!EG28)</f>
        <v/>
      </c>
      <c r="EI28" s="149" t="str">
        <f>IF($B28=0,"",$N28*'MF Rents'!EK28*'MF Rollover'!EH28)</f>
        <v/>
      </c>
      <c r="EJ28" s="149" t="str">
        <f>IF($B28=0,"",$N28*'MF Rents'!EL28*'MF Rollover'!EI28)</f>
        <v/>
      </c>
      <c r="EK28" s="149" t="str">
        <f>IF($B28=0,"",$N28*'MF Rents'!EM28*'MF Rollover'!EJ28)</f>
        <v/>
      </c>
      <c r="EL28" s="149" t="str">
        <f>IF($B28=0,"",$N28*'MF Rents'!EN28*'MF Rollover'!EK28)</f>
        <v/>
      </c>
      <c r="EM28" s="149" t="str">
        <f>IF($B28=0,"",$N28*'MF Rents'!EO28*'MF Rollover'!EL28)</f>
        <v/>
      </c>
      <c r="EN28" s="149" t="str">
        <f>IF($B28=0,"",$N28*'MF Rents'!EP28*'MF Rollover'!EM28)</f>
        <v/>
      </c>
      <c r="EO28" s="149" t="str">
        <f>IF($B28=0,"",$N28*'MF Rents'!EQ28*'MF Rollover'!EN28)</f>
        <v/>
      </c>
      <c r="EP28" s="149" t="str">
        <f>IF($B28=0,"",$N28*'MF Rents'!ER28*'MF Rollover'!EO28)</f>
        <v/>
      </c>
      <c r="EQ28" s="149" t="str">
        <f>IF($B28=0,"",$N28*'MF Rents'!ES28*'MF Rollover'!EP28)</f>
        <v/>
      </c>
      <c r="ER28" s="149" t="str">
        <f>IF($B28=0,"",$N28*'MF Rents'!ET28*'MF Rollover'!EQ28)</f>
        <v/>
      </c>
      <c r="ES28" s="149" t="str">
        <f>IF($B28=0,"",$N28*'MF Rents'!EU28*'MF Rollover'!ER28)</f>
        <v/>
      </c>
      <c r="ET28" s="149" t="str">
        <f>IF($B28=0,"",$N28*'MF Rents'!EV28*'MF Rollover'!ES28)</f>
        <v/>
      </c>
      <c r="EU28" s="149" t="str">
        <f>IF($B28=0,"",$N28*'MF Rents'!EW28*'MF Rollover'!ET28)</f>
        <v/>
      </c>
      <c r="EV28" s="149" t="str">
        <f>IF($B28=0,"",$N28*'MF Rents'!EX28*'MF Rollover'!EU28)</f>
        <v/>
      </c>
      <c r="EW28" s="149" t="str">
        <f>IF($B28=0,"",$N28*'MF Rents'!EY28*'MF Rollover'!EV28)</f>
        <v/>
      </c>
      <c r="EX28" s="149" t="str">
        <f>IF($B28=0,"",$N28*'MF Rents'!EZ28*'MF Rollover'!EW28)</f>
        <v/>
      </c>
      <c r="EY28" s="149" t="str">
        <f>IF($B28=0,"",$N28*'MF Rents'!FA28*'MF Rollover'!EX28)</f>
        <v/>
      </c>
      <c r="EZ28" s="149" t="str">
        <f>IF($B28=0,"",$N28*'MF Rents'!FB28*'MF Rollover'!EY28)</f>
        <v/>
      </c>
      <c r="FA28" s="149" t="str">
        <f>IF($B28=0,"",$N28*'MF Rents'!FC28*'MF Rollover'!EZ28)</f>
        <v/>
      </c>
      <c r="FB28" s="149" t="str">
        <f>IF($B28=0,"",$N28*'MF Rents'!FD28*'MF Rollover'!FA28)</f>
        <v/>
      </c>
      <c r="FC28" s="149" t="str">
        <f>IF($B28=0,"",$N28*'MF Rents'!FE28*'MF Rollover'!FB28)</f>
        <v/>
      </c>
      <c r="FD28" s="149" t="str">
        <f>IF($B28=0,"",$N28*'MF Rents'!FF28*'MF Rollover'!FC28)</f>
        <v/>
      </c>
      <c r="FE28" s="149" t="str">
        <f>IF($B28=0,"",$N28*'MF Rents'!FG28*'MF Rollover'!FD28)</f>
        <v/>
      </c>
      <c r="FF28" s="149" t="str">
        <f>IF($B28=0,"",$N28*'MF Rents'!FH28*'MF Rollover'!FE28)</f>
        <v/>
      </c>
      <c r="FG28" s="149" t="str">
        <f>IF($B28=0,"",$N28*'MF Rents'!FI28*'MF Rollover'!FF28)</f>
        <v/>
      </c>
      <c r="FH28" s="149" t="str">
        <f>IF($B28=0,"",$N28*'MF Rents'!FJ28*'MF Rollover'!FG28)</f>
        <v/>
      </c>
      <c r="FI28" s="149" t="str">
        <f>IF($B28=0,"",$N28*'MF Rents'!FK28*'MF Rollover'!FH28)</f>
        <v/>
      </c>
      <c r="FJ28" s="149" t="str">
        <f>IF($B28=0,"",$N28*'MF Rents'!FL28*'MF Rollover'!FI28)</f>
        <v/>
      </c>
      <c r="FK28" s="149" t="str">
        <f>IF($B28=0,"",$N28*'MF Rents'!FM28*'MF Rollover'!FJ28)</f>
        <v/>
      </c>
      <c r="FL28" s="149" t="str">
        <f>IF($B28=0,"",$N28*'MF Rents'!FN28*'MF Rollover'!FK28)</f>
        <v/>
      </c>
      <c r="FM28" s="149" t="str">
        <f>IF($B28=0,"",$N28*'MF Rents'!FO28*'MF Rollover'!FL28)</f>
        <v/>
      </c>
      <c r="FN28" s="149" t="str">
        <f>IF($B28=0,"",$N28*'MF Rents'!FP28*'MF Rollover'!FM28)</f>
        <v/>
      </c>
      <c r="FO28" s="149" t="str">
        <f>IF($B28=0,"",$N28*'MF Rents'!FQ28*'MF Rollover'!FN28)</f>
        <v/>
      </c>
      <c r="FP28" s="149" t="str">
        <f>IF($B28=0,"",$N28*'MF Rents'!FR28*'MF Rollover'!FO28)</f>
        <v/>
      </c>
      <c r="FQ28" s="149" t="str">
        <f>IF($B28=0,"",$N28*'MF Rents'!FS28*'MF Rollover'!FP28)</f>
        <v/>
      </c>
      <c r="FR28" s="149" t="str">
        <f>IF($B28=0,"",$N28*'MF Rents'!FT28*'MF Rollover'!FQ28)</f>
        <v/>
      </c>
      <c r="FS28" s="149" t="str">
        <f>IF($B28=0,"",$N28*'MF Rents'!FU28*'MF Rollover'!FR28)</f>
        <v/>
      </c>
      <c r="FT28" s="149" t="str">
        <f>IF($B28=0,"",$N28*'MF Rents'!FV28*'MF Rollover'!FS28)</f>
        <v/>
      </c>
      <c r="FU28" s="149" t="str">
        <f>IF($B28=0,"",$N28*'MF Rents'!FW28*'MF Rollover'!FT28)</f>
        <v/>
      </c>
      <c r="FV28" s="149" t="str">
        <f>IF($B28=0,"",$N28*'MF Rents'!FX28*'MF Rollover'!FU28)</f>
        <v/>
      </c>
      <c r="FW28" s="149" t="str">
        <f>IF($B28=0,"",$N28*'MF Rents'!FY28*'MF Rollover'!FV28)</f>
        <v/>
      </c>
      <c r="FX28" s="149" t="str">
        <f>IF($B28=0,"",$N28*'MF Rents'!FZ28*'MF Rollover'!FW28)</f>
        <v/>
      </c>
      <c r="FY28" s="149" t="str">
        <f>IF($B28=0,"",$N28*'MF Rents'!GA28*'MF Rollover'!FX28)</f>
        <v/>
      </c>
      <c r="FZ28" s="149" t="str">
        <f>IF($B28=0,"",$N28*'MF Rents'!GB28*'MF Rollover'!FY28)</f>
        <v/>
      </c>
      <c r="GA28" s="149" t="str">
        <f>IF($B28=0,"",$N28*'MF Rents'!GC28*'MF Rollover'!FZ28)</f>
        <v/>
      </c>
      <c r="GB28" s="149" t="str">
        <f>IF($B28=0,"",$N28*'MF Rents'!GD28*'MF Rollover'!GA28)</f>
        <v/>
      </c>
      <c r="GC28" s="149" t="str">
        <f>IF($B28=0,"",$N28*'MF Rents'!GE28*'MF Rollover'!GB28)</f>
        <v/>
      </c>
      <c r="GD28" s="149" t="str">
        <f>IF($B28=0,"",$N28*'MF Rents'!GF28*'MF Rollover'!GC28)</f>
        <v/>
      </c>
      <c r="GE28" s="149" t="str">
        <f>IF($B28=0,"",$N28*'MF Rents'!GG28*'MF Rollover'!GD28)</f>
        <v/>
      </c>
      <c r="GF28" s="149" t="str">
        <f>IF($B28=0,"",$N28*'MF Rents'!GH28*'MF Rollover'!GE28)</f>
        <v/>
      </c>
      <c r="GG28" s="149" t="str">
        <f>IF($B28=0,"",$N28*'MF Rents'!GI28*'MF Rollover'!GF28)</f>
        <v/>
      </c>
      <c r="GH28" s="149" t="str">
        <f>IF($B28=0,"",$N28*'MF Rents'!GJ28*'MF Rollover'!GG28)</f>
        <v/>
      </c>
      <c r="GI28" s="149" t="str">
        <f>IF($B28=0,"",$N28*'MF Rents'!GK28*'MF Rollover'!GH28)</f>
        <v/>
      </c>
      <c r="GJ28" s="149" t="str">
        <f>IF($B28=0,"",$N28*'MF Rents'!GL28*'MF Rollover'!GI28)</f>
        <v/>
      </c>
      <c r="GK28" s="149" t="str">
        <f>IF($B28=0,"",$N28*'MF Rents'!GM28*'MF Rollover'!GJ28)</f>
        <v/>
      </c>
      <c r="GL28" s="149" t="str">
        <f>IF($B28=0,"",$N28*'MF Rents'!GN28*'MF Rollover'!GK28)</f>
        <v/>
      </c>
      <c r="GM28" s="149" t="str">
        <f>IF($B28=0,"",$N28*'MF Rents'!GO28*'MF Rollover'!GL28)</f>
        <v/>
      </c>
      <c r="GN28" s="149" t="str">
        <f>IF($B28=0,"",$N28*'MF Rents'!GP28*'MF Rollover'!GM28)</f>
        <v/>
      </c>
      <c r="GO28" s="149" t="str">
        <f>IF($B28=0,"",$N28*'MF Rents'!GQ28*'MF Rollover'!GN28)</f>
        <v/>
      </c>
      <c r="GP28" s="149" t="str">
        <f>IF($B28=0,"",$N28*'MF Rents'!GR28*'MF Rollover'!GO28)</f>
        <v/>
      </c>
    </row>
    <row r="29" spans="2:198" x14ac:dyDescent="0.3">
      <c r="B29" s="184">
        <f>'MF Rent Roll'!B28</f>
        <v>0</v>
      </c>
      <c r="C29" s="171">
        <f>'MF Rent Roll'!C28</f>
        <v>0</v>
      </c>
      <c r="D29" s="172">
        <f>'MF Rent Roll'!D28</f>
        <v>0</v>
      </c>
      <c r="E29" s="172">
        <f>'MF Rent Roll'!E28</f>
        <v>0</v>
      </c>
      <c r="F29" s="173">
        <f>'MF Rent Roll'!F28</f>
        <v>0</v>
      </c>
      <c r="G29" s="174">
        <f>'MF Rent Roll'!G28</f>
        <v>0</v>
      </c>
      <c r="H29" s="176">
        <f>'MF Rent Roll'!J28</f>
        <v>0</v>
      </c>
      <c r="I29" s="174">
        <f>'MF Rent Roll'!K28</f>
        <v>0</v>
      </c>
      <c r="J29" s="177">
        <f>'MF Rent Roll'!L28</f>
        <v>0</v>
      </c>
      <c r="K29" s="178">
        <f>'MF Rent Roll'!M28</f>
        <v>0</v>
      </c>
      <c r="L29" s="174">
        <f>'MF Rent Roll'!N28</f>
        <v>0</v>
      </c>
      <c r="M29" s="179">
        <f>'MF Rent Roll'!O28</f>
        <v>0</v>
      </c>
      <c r="N29" s="180" t="str">
        <f>'MF Rent Roll'!P28</f>
        <v/>
      </c>
      <c r="O29" s="181" t="str">
        <f>'MF Rent Roll'!Q28</f>
        <v/>
      </c>
      <c r="P29" s="104" t="str">
        <f>'MF Rent Roll'!R28</f>
        <v/>
      </c>
      <c r="S29" s="149" t="str">
        <f>IF($B29=0,"",$N29*'MF Rents'!U29*'MF Rollover'!R29)</f>
        <v/>
      </c>
      <c r="T29" s="149" t="str">
        <f>IF($B29=0,"",$N29*'MF Rents'!V29*'MF Rollover'!S29)</f>
        <v/>
      </c>
      <c r="U29" s="149" t="str">
        <f>IF($B29=0,"",$N29*'MF Rents'!W29*'MF Rollover'!T29)</f>
        <v/>
      </c>
      <c r="V29" s="149" t="str">
        <f>IF($B29=0,"",$N29*'MF Rents'!X29*'MF Rollover'!U29)</f>
        <v/>
      </c>
      <c r="W29" s="149" t="str">
        <f>IF($B29=0,"",$N29*'MF Rents'!Y29*'MF Rollover'!V29)</f>
        <v/>
      </c>
      <c r="X29" s="149" t="str">
        <f>IF($B29=0,"",$N29*'MF Rents'!Z29*'MF Rollover'!W29)</f>
        <v/>
      </c>
      <c r="Y29" s="149" t="str">
        <f>IF($B29=0,"",$N29*'MF Rents'!AA29*'MF Rollover'!X29)</f>
        <v/>
      </c>
      <c r="Z29" s="149" t="str">
        <f>IF($B29=0,"",$N29*'MF Rents'!AB29*'MF Rollover'!Y29)</f>
        <v/>
      </c>
      <c r="AA29" s="149" t="str">
        <f>IF($B29=0,"",$N29*'MF Rents'!AC29*'MF Rollover'!Z29)</f>
        <v/>
      </c>
      <c r="AB29" s="149" t="str">
        <f>IF($B29=0,"",$N29*'MF Rents'!AD29*'MF Rollover'!AA29)</f>
        <v/>
      </c>
      <c r="AC29" s="149" t="str">
        <f>IF($B29=0,"",$N29*'MF Rents'!AE29*'MF Rollover'!AB29)</f>
        <v/>
      </c>
      <c r="AD29" s="149" t="str">
        <f>IF($B29=0,"",$N29*'MF Rents'!AF29*'MF Rollover'!AC29)</f>
        <v/>
      </c>
      <c r="AE29" s="149" t="str">
        <f>IF($B29=0,"",$N29*'MF Rents'!AG29*'MF Rollover'!AD29)</f>
        <v/>
      </c>
      <c r="AF29" s="149" t="str">
        <f>IF($B29=0,"",$N29*'MF Rents'!AH29*'MF Rollover'!AE29)</f>
        <v/>
      </c>
      <c r="AG29" s="149" t="str">
        <f>IF($B29=0,"",$N29*'MF Rents'!AI29*'MF Rollover'!AF29)</f>
        <v/>
      </c>
      <c r="AH29" s="149" t="str">
        <f>IF($B29=0,"",$N29*'MF Rents'!AJ29*'MF Rollover'!AG29)</f>
        <v/>
      </c>
      <c r="AI29" s="149" t="str">
        <f>IF($B29=0,"",$N29*'MF Rents'!AK29*'MF Rollover'!AH29)</f>
        <v/>
      </c>
      <c r="AJ29" s="149" t="str">
        <f>IF($B29=0,"",$N29*'MF Rents'!AL29*'MF Rollover'!AI29)</f>
        <v/>
      </c>
      <c r="AK29" s="149" t="str">
        <f>IF($B29=0,"",$N29*'MF Rents'!AM29*'MF Rollover'!AJ29)</f>
        <v/>
      </c>
      <c r="AL29" s="149" t="str">
        <f>IF($B29=0,"",$N29*'MF Rents'!AN29*'MF Rollover'!AK29)</f>
        <v/>
      </c>
      <c r="AM29" s="149" t="str">
        <f>IF($B29=0,"",$N29*'MF Rents'!AO29*'MF Rollover'!AL29)</f>
        <v/>
      </c>
      <c r="AN29" s="149" t="str">
        <f>IF($B29=0,"",$N29*'MF Rents'!AP29*'MF Rollover'!AM29)</f>
        <v/>
      </c>
      <c r="AO29" s="149" t="str">
        <f>IF($B29=0,"",$N29*'MF Rents'!AQ29*'MF Rollover'!AN29)</f>
        <v/>
      </c>
      <c r="AP29" s="149" t="str">
        <f>IF($B29=0,"",$N29*'MF Rents'!AR29*'MF Rollover'!AO29)</f>
        <v/>
      </c>
      <c r="AQ29" s="149" t="str">
        <f>IF($B29=0,"",$N29*'MF Rents'!AS29*'MF Rollover'!AP29)</f>
        <v/>
      </c>
      <c r="AR29" s="149" t="str">
        <f>IF($B29=0,"",$N29*'MF Rents'!AT29*'MF Rollover'!AQ29)</f>
        <v/>
      </c>
      <c r="AS29" s="149" t="str">
        <f>IF($B29=0,"",$N29*'MF Rents'!AU29*'MF Rollover'!AR29)</f>
        <v/>
      </c>
      <c r="AT29" s="149" t="str">
        <f>IF($B29=0,"",$N29*'MF Rents'!AV29*'MF Rollover'!AS29)</f>
        <v/>
      </c>
      <c r="AU29" s="149" t="str">
        <f>IF($B29=0,"",$N29*'MF Rents'!AW29*'MF Rollover'!AT29)</f>
        <v/>
      </c>
      <c r="AV29" s="149" t="str">
        <f>IF($B29=0,"",$N29*'MF Rents'!AX29*'MF Rollover'!AU29)</f>
        <v/>
      </c>
      <c r="AW29" s="149" t="str">
        <f>IF($B29=0,"",$N29*'MF Rents'!AY29*'MF Rollover'!AV29)</f>
        <v/>
      </c>
      <c r="AX29" s="149" t="str">
        <f>IF($B29=0,"",$N29*'MF Rents'!AZ29*'MF Rollover'!AW29)</f>
        <v/>
      </c>
      <c r="AY29" s="149" t="str">
        <f>IF($B29=0,"",$N29*'MF Rents'!BA29*'MF Rollover'!AX29)</f>
        <v/>
      </c>
      <c r="AZ29" s="149" t="str">
        <f>IF($B29=0,"",$N29*'MF Rents'!BB29*'MF Rollover'!AY29)</f>
        <v/>
      </c>
      <c r="BA29" s="149" t="str">
        <f>IF($B29=0,"",$N29*'MF Rents'!BC29*'MF Rollover'!AZ29)</f>
        <v/>
      </c>
      <c r="BB29" s="149" t="str">
        <f>IF($B29=0,"",$N29*'MF Rents'!BD29*'MF Rollover'!BA29)</f>
        <v/>
      </c>
      <c r="BC29" s="149" t="str">
        <f>IF($B29=0,"",$N29*'MF Rents'!BE29*'MF Rollover'!BB29)</f>
        <v/>
      </c>
      <c r="BD29" s="149" t="str">
        <f>IF($B29=0,"",$N29*'MF Rents'!BF29*'MF Rollover'!BC29)</f>
        <v/>
      </c>
      <c r="BE29" s="149" t="str">
        <f>IF($B29=0,"",$N29*'MF Rents'!BG29*'MF Rollover'!BD29)</f>
        <v/>
      </c>
      <c r="BF29" s="149" t="str">
        <f>IF($B29=0,"",$N29*'MF Rents'!BH29*'MF Rollover'!BE29)</f>
        <v/>
      </c>
      <c r="BG29" s="149" t="str">
        <f>IF($B29=0,"",$N29*'MF Rents'!BI29*'MF Rollover'!BF29)</f>
        <v/>
      </c>
      <c r="BH29" s="149" t="str">
        <f>IF($B29=0,"",$N29*'MF Rents'!BJ29*'MF Rollover'!BG29)</f>
        <v/>
      </c>
      <c r="BI29" s="149" t="str">
        <f>IF($B29=0,"",$N29*'MF Rents'!BK29*'MF Rollover'!BH29)</f>
        <v/>
      </c>
      <c r="BJ29" s="149" t="str">
        <f>IF($B29=0,"",$N29*'MF Rents'!BL29*'MF Rollover'!BI29)</f>
        <v/>
      </c>
      <c r="BK29" s="149" t="str">
        <f>IF($B29=0,"",$N29*'MF Rents'!BM29*'MF Rollover'!BJ29)</f>
        <v/>
      </c>
      <c r="BL29" s="149" t="str">
        <f>IF($B29=0,"",$N29*'MF Rents'!BN29*'MF Rollover'!BK29)</f>
        <v/>
      </c>
      <c r="BM29" s="149" t="str">
        <f>IF($B29=0,"",$N29*'MF Rents'!BO29*'MF Rollover'!BL29)</f>
        <v/>
      </c>
      <c r="BN29" s="149" t="str">
        <f>IF($B29=0,"",$N29*'MF Rents'!BP29*'MF Rollover'!BM29)</f>
        <v/>
      </c>
      <c r="BO29" s="149" t="str">
        <f>IF($B29=0,"",$N29*'MF Rents'!BQ29*'MF Rollover'!BN29)</f>
        <v/>
      </c>
      <c r="BP29" s="149" t="str">
        <f>IF($B29=0,"",$N29*'MF Rents'!BR29*'MF Rollover'!BO29)</f>
        <v/>
      </c>
      <c r="BQ29" s="149" t="str">
        <f>IF($B29=0,"",$N29*'MF Rents'!BS29*'MF Rollover'!BP29)</f>
        <v/>
      </c>
      <c r="BR29" s="149" t="str">
        <f>IF($B29=0,"",$N29*'MF Rents'!BT29*'MF Rollover'!BQ29)</f>
        <v/>
      </c>
      <c r="BS29" s="149" t="str">
        <f>IF($B29=0,"",$N29*'MF Rents'!BU29*'MF Rollover'!BR29)</f>
        <v/>
      </c>
      <c r="BT29" s="149" t="str">
        <f>IF($B29=0,"",$N29*'MF Rents'!BV29*'MF Rollover'!BS29)</f>
        <v/>
      </c>
      <c r="BU29" s="149" t="str">
        <f>IF($B29=0,"",$N29*'MF Rents'!BW29*'MF Rollover'!BT29)</f>
        <v/>
      </c>
      <c r="BV29" s="149" t="str">
        <f>IF($B29=0,"",$N29*'MF Rents'!BX29*'MF Rollover'!BU29)</f>
        <v/>
      </c>
      <c r="BW29" s="149" t="str">
        <f>IF($B29=0,"",$N29*'MF Rents'!BY29*'MF Rollover'!BV29)</f>
        <v/>
      </c>
      <c r="BX29" s="149" t="str">
        <f>IF($B29=0,"",$N29*'MF Rents'!BZ29*'MF Rollover'!BW29)</f>
        <v/>
      </c>
      <c r="BY29" s="149" t="str">
        <f>IF($B29=0,"",$N29*'MF Rents'!CA29*'MF Rollover'!BX29)</f>
        <v/>
      </c>
      <c r="BZ29" s="149" t="str">
        <f>IF($B29=0,"",$N29*'MF Rents'!CB29*'MF Rollover'!BY29)</f>
        <v/>
      </c>
      <c r="CA29" s="149" t="str">
        <f>IF($B29=0,"",$N29*'MF Rents'!CC29*'MF Rollover'!BZ29)</f>
        <v/>
      </c>
      <c r="CB29" s="149" t="str">
        <f>IF($B29=0,"",$N29*'MF Rents'!CD29*'MF Rollover'!CA29)</f>
        <v/>
      </c>
      <c r="CC29" s="149" t="str">
        <f>IF($B29=0,"",$N29*'MF Rents'!CE29*'MF Rollover'!CB29)</f>
        <v/>
      </c>
      <c r="CD29" s="149" t="str">
        <f>IF($B29=0,"",$N29*'MF Rents'!CF29*'MF Rollover'!CC29)</f>
        <v/>
      </c>
      <c r="CE29" s="149" t="str">
        <f>IF($B29=0,"",$N29*'MF Rents'!CG29*'MF Rollover'!CD29)</f>
        <v/>
      </c>
      <c r="CF29" s="149" t="str">
        <f>IF($B29=0,"",$N29*'MF Rents'!CH29*'MF Rollover'!CE29)</f>
        <v/>
      </c>
      <c r="CG29" s="149" t="str">
        <f>IF($B29=0,"",$N29*'MF Rents'!CI29*'MF Rollover'!CF29)</f>
        <v/>
      </c>
      <c r="CH29" s="149" t="str">
        <f>IF($B29=0,"",$N29*'MF Rents'!CJ29*'MF Rollover'!CG29)</f>
        <v/>
      </c>
      <c r="CI29" s="149" t="str">
        <f>IF($B29=0,"",$N29*'MF Rents'!CK29*'MF Rollover'!CH29)</f>
        <v/>
      </c>
      <c r="CJ29" s="149" t="str">
        <f>IF($B29=0,"",$N29*'MF Rents'!CL29*'MF Rollover'!CI29)</f>
        <v/>
      </c>
      <c r="CK29" s="149" t="str">
        <f>IF($B29=0,"",$N29*'MF Rents'!CM29*'MF Rollover'!CJ29)</f>
        <v/>
      </c>
      <c r="CL29" s="149" t="str">
        <f>IF($B29=0,"",$N29*'MF Rents'!CN29*'MF Rollover'!CK29)</f>
        <v/>
      </c>
      <c r="CM29" s="149" t="str">
        <f>IF($B29=0,"",$N29*'MF Rents'!CO29*'MF Rollover'!CL29)</f>
        <v/>
      </c>
      <c r="CN29" s="149" t="str">
        <f>IF($B29=0,"",$N29*'MF Rents'!CP29*'MF Rollover'!CM29)</f>
        <v/>
      </c>
      <c r="CO29" s="149" t="str">
        <f>IF($B29=0,"",$N29*'MF Rents'!CQ29*'MF Rollover'!CN29)</f>
        <v/>
      </c>
      <c r="CP29" s="149" t="str">
        <f>IF($B29=0,"",$N29*'MF Rents'!CR29*'MF Rollover'!CO29)</f>
        <v/>
      </c>
      <c r="CQ29" s="149" t="str">
        <f>IF($B29=0,"",$N29*'MF Rents'!CS29*'MF Rollover'!CP29)</f>
        <v/>
      </c>
      <c r="CR29" s="149" t="str">
        <f>IF($B29=0,"",$N29*'MF Rents'!CT29*'MF Rollover'!CQ29)</f>
        <v/>
      </c>
      <c r="CS29" s="149" t="str">
        <f>IF($B29=0,"",$N29*'MF Rents'!CU29*'MF Rollover'!CR29)</f>
        <v/>
      </c>
      <c r="CT29" s="149" t="str">
        <f>IF($B29=0,"",$N29*'MF Rents'!CV29*'MF Rollover'!CS29)</f>
        <v/>
      </c>
      <c r="CU29" s="149" t="str">
        <f>IF($B29=0,"",$N29*'MF Rents'!CW29*'MF Rollover'!CT29)</f>
        <v/>
      </c>
      <c r="CV29" s="149" t="str">
        <f>IF($B29=0,"",$N29*'MF Rents'!CX29*'MF Rollover'!CU29)</f>
        <v/>
      </c>
      <c r="CW29" s="149" t="str">
        <f>IF($B29=0,"",$N29*'MF Rents'!CY29*'MF Rollover'!CV29)</f>
        <v/>
      </c>
      <c r="CX29" s="149" t="str">
        <f>IF($B29=0,"",$N29*'MF Rents'!CZ29*'MF Rollover'!CW29)</f>
        <v/>
      </c>
      <c r="CY29" s="149" t="str">
        <f>IF($B29=0,"",$N29*'MF Rents'!DA29*'MF Rollover'!CX29)</f>
        <v/>
      </c>
      <c r="CZ29" s="149" t="str">
        <f>IF($B29=0,"",$N29*'MF Rents'!DB29*'MF Rollover'!CY29)</f>
        <v/>
      </c>
      <c r="DA29" s="149" t="str">
        <f>IF($B29=0,"",$N29*'MF Rents'!DC29*'MF Rollover'!CZ29)</f>
        <v/>
      </c>
      <c r="DB29" s="149" t="str">
        <f>IF($B29=0,"",$N29*'MF Rents'!DD29*'MF Rollover'!DA29)</f>
        <v/>
      </c>
      <c r="DC29" s="149" t="str">
        <f>IF($B29=0,"",$N29*'MF Rents'!DE29*'MF Rollover'!DB29)</f>
        <v/>
      </c>
      <c r="DD29" s="149" t="str">
        <f>IF($B29=0,"",$N29*'MF Rents'!DF29*'MF Rollover'!DC29)</f>
        <v/>
      </c>
      <c r="DE29" s="149" t="str">
        <f>IF($B29=0,"",$N29*'MF Rents'!DG29*'MF Rollover'!DD29)</f>
        <v/>
      </c>
      <c r="DF29" s="149" t="str">
        <f>IF($B29=0,"",$N29*'MF Rents'!DH29*'MF Rollover'!DE29)</f>
        <v/>
      </c>
      <c r="DG29" s="149" t="str">
        <f>IF($B29=0,"",$N29*'MF Rents'!DI29*'MF Rollover'!DF29)</f>
        <v/>
      </c>
      <c r="DH29" s="149" t="str">
        <f>IF($B29=0,"",$N29*'MF Rents'!DJ29*'MF Rollover'!DG29)</f>
        <v/>
      </c>
      <c r="DI29" s="149" t="str">
        <f>IF($B29=0,"",$N29*'MF Rents'!DK29*'MF Rollover'!DH29)</f>
        <v/>
      </c>
      <c r="DJ29" s="149" t="str">
        <f>IF($B29=0,"",$N29*'MF Rents'!DL29*'MF Rollover'!DI29)</f>
        <v/>
      </c>
      <c r="DK29" s="149" t="str">
        <f>IF($B29=0,"",$N29*'MF Rents'!DM29*'MF Rollover'!DJ29)</f>
        <v/>
      </c>
      <c r="DL29" s="149" t="str">
        <f>IF($B29=0,"",$N29*'MF Rents'!DN29*'MF Rollover'!DK29)</f>
        <v/>
      </c>
      <c r="DM29" s="149" t="str">
        <f>IF($B29=0,"",$N29*'MF Rents'!DO29*'MF Rollover'!DL29)</f>
        <v/>
      </c>
      <c r="DN29" s="149" t="str">
        <f>IF($B29=0,"",$N29*'MF Rents'!DP29*'MF Rollover'!DM29)</f>
        <v/>
      </c>
      <c r="DO29" s="149" t="str">
        <f>IF($B29=0,"",$N29*'MF Rents'!DQ29*'MF Rollover'!DN29)</f>
        <v/>
      </c>
      <c r="DP29" s="149" t="str">
        <f>IF($B29=0,"",$N29*'MF Rents'!DR29*'MF Rollover'!DO29)</f>
        <v/>
      </c>
      <c r="DQ29" s="149" t="str">
        <f>IF($B29=0,"",$N29*'MF Rents'!DS29*'MF Rollover'!DP29)</f>
        <v/>
      </c>
      <c r="DR29" s="149" t="str">
        <f>IF($B29=0,"",$N29*'MF Rents'!DT29*'MF Rollover'!DQ29)</f>
        <v/>
      </c>
      <c r="DS29" s="149" t="str">
        <f>IF($B29=0,"",$N29*'MF Rents'!DU29*'MF Rollover'!DR29)</f>
        <v/>
      </c>
      <c r="DT29" s="149" t="str">
        <f>IF($B29=0,"",$N29*'MF Rents'!DV29*'MF Rollover'!DS29)</f>
        <v/>
      </c>
      <c r="DU29" s="149" t="str">
        <f>IF($B29=0,"",$N29*'MF Rents'!DW29*'MF Rollover'!DT29)</f>
        <v/>
      </c>
      <c r="DV29" s="149" t="str">
        <f>IF($B29=0,"",$N29*'MF Rents'!DX29*'MF Rollover'!DU29)</f>
        <v/>
      </c>
      <c r="DW29" s="149" t="str">
        <f>IF($B29=0,"",$N29*'MF Rents'!DY29*'MF Rollover'!DV29)</f>
        <v/>
      </c>
      <c r="DX29" s="149" t="str">
        <f>IF($B29=0,"",$N29*'MF Rents'!DZ29*'MF Rollover'!DW29)</f>
        <v/>
      </c>
      <c r="DY29" s="149" t="str">
        <f>IF($B29=0,"",$N29*'MF Rents'!EA29*'MF Rollover'!DX29)</f>
        <v/>
      </c>
      <c r="DZ29" s="149" t="str">
        <f>IF($B29=0,"",$N29*'MF Rents'!EB29*'MF Rollover'!DY29)</f>
        <v/>
      </c>
      <c r="EA29" s="149" t="str">
        <f>IF($B29=0,"",$N29*'MF Rents'!EC29*'MF Rollover'!DZ29)</f>
        <v/>
      </c>
      <c r="EB29" s="149" t="str">
        <f>IF($B29=0,"",$N29*'MF Rents'!ED29*'MF Rollover'!EA29)</f>
        <v/>
      </c>
      <c r="EC29" s="149" t="str">
        <f>IF($B29=0,"",$N29*'MF Rents'!EE29*'MF Rollover'!EB29)</f>
        <v/>
      </c>
      <c r="ED29" s="149" t="str">
        <f>IF($B29=0,"",$N29*'MF Rents'!EF29*'MF Rollover'!EC29)</f>
        <v/>
      </c>
      <c r="EE29" s="149" t="str">
        <f>IF($B29=0,"",$N29*'MF Rents'!EG29*'MF Rollover'!ED29)</f>
        <v/>
      </c>
      <c r="EF29" s="149" t="str">
        <f>IF($B29=0,"",$N29*'MF Rents'!EH29*'MF Rollover'!EE29)</f>
        <v/>
      </c>
      <c r="EG29" s="149" t="str">
        <f>IF($B29=0,"",$N29*'MF Rents'!EI29*'MF Rollover'!EF29)</f>
        <v/>
      </c>
      <c r="EH29" s="149" t="str">
        <f>IF($B29=0,"",$N29*'MF Rents'!EJ29*'MF Rollover'!EG29)</f>
        <v/>
      </c>
      <c r="EI29" s="149" t="str">
        <f>IF($B29=0,"",$N29*'MF Rents'!EK29*'MF Rollover'!EH29)</f>
        <v/>
      </c>
      <c r="EJ29" s="149" t="str">
        <f>IF($B29=0,"",$N29*'MF Rents'!EL29*'MF Rollover'!EI29)</f>
        <v/>
      </c>
      <c r="EK29" s="149" t="str">
        <f>IF($B29=0,"",$N29*'MF Rents'!EM29*'MF Rollover'!EJ29)</f>
        <v/>
      </c>
      <c r="EL29" s="149" t="str">
        <f>IF($B29=0,"",$N29*'MF Rents'!EN29*'MF Rollover'!EK29)</f>
        <v/>
      </c>
      <c r="EM29" s="149" t="str">
        <f>IF($B29=0,"",$N29*'MF Rents'!EO29*'MF Rollover'!EL29)</f>
        <v/>
      </c>
      <c r="EN29" s="149" t="str">
        <f>IF($B29=0,"",$N29*'MF Rents'!EP29*'MF Rollover'!EM29)</f>
        <v/>
      </c>
      <c r="EO29" s="149" t="str">
        <f>IF($B29=0,"",$N29*'MF Rents'!EQ29*'MF Rollover'!EN29)</f>
        <v/>
      </c>
      <c r="EP29" s="149" t="str">
        <f>IF($B29=0,"",$N29*'MF Rents'!ER29*'MF Rollover'!EO29)</f>
        <v/>
      </c>
      <c r="EQ29" s="149" t="str">
        <f>IF($B29=0,"",$N29*'MF Rents'!ES29*'MF Rollover'!EP29)</f>
        <v/>
      </c>
      <c r="ER29" s="149" t="str">
        <f>IF($B29=0,"",$N29*'MF Rents'!ET29*'MF Rollover'!EQ29)</f>
        <v/>
      </c>
      <c r="ES29" s="149" t="str">
        <f>IF($B29=0,"",$N29*'MF Rents'!EU29*'MF Rollover'!ER29)</f>
        <v/>
      </c>
      <c r="ET29" s="149" t="str">
        <f>IF($B29=0,"",$N29*'MF Rents'!EV29*'MF Rollover'!ES29)</f>
        <v/>
      </c>
      <c r="EU29" s="149" t="str">
        <f>IF($B29=0,"",$N29*'MF Rents'!EW29*'MF Rollover'!ET29)</f>
        <v/>
      </c>
      <c r="EV29" s="149" t="str">
        <f>IF($B29=0,"",$N29*'MF Rents'!EX29*'MF Rollover'!EU29)</f>
        <v/>
      </c>
      <c r="EW29" s="149" t="str">
        <f>IF($B29=0,"",$N29*'MF Rents'!EY29*'MF Rollover'!EV29)</f>
        <v/>
      </c>
      <c r="EX29" s="149" t="str">
        <f>IF($B29=0,"",$N29*'MF Rents'!EZ29*'MF Rollover'!EW29)</f>
        <v/>
      </c>
      <c r="EY29" s="149" t="str">
        <f>IF($B29=0,"",$N29*'MF Rents'!FA29*'MF Rollover'!EX29)</f>
        <v/>
      </c>
      <c r="EZ29" s="149" t="str">
        <f>IF($B29=0,"",$N29*'MF Rents'!FB29*'MF Rollover'!EY29)</f>
        <v/>
      </c>
      <c r="FA29" s="149" t="str">
        <f>IF($B29=0,"",$N29*'MF Rents'!FC29*'MF Rollover'!EZ29)</f>
        <v/>
      </c>
      <c r="FB29" s="149" t="str">
        <f>IF($B29=0,"",$N29*'MF Rents'!FD29*'MF Rollover'!FA29)</f>
        <v/>
      </c>
      <c r="FC29" s="149" t="str">
        <f>IF($B29=0,"",$N29*'MF Rents'!FE29*'MF Rollover'!FB29)</f>
        <v/>
      </c>
      <c r="FD29" s="149" t="str">
        <f>IF($B29=0,"",$N29*'MF Rents'!FF29*'MF Rollover'!FC29)</f>
        <v/>
      </c>
      <c r="FE29" s="149" t="str">
        <f>IF($B29=0,"",$N29*'MF Rents'!FG29*'MF Rollover'!FD29)</f>
        <v/>
      </c>
      <c r="FF29" s="149" t="str">
        <f>IF($B29=0,"",$N29*'MF Rents'!FH29*'MF Rollover'!FE29)</f>
        <v/>
      </c>
      <c r="FG29" s="149" t="str">
        <f>IF($B29=0,"",$N29*'MF Rents'!FI29*'MF Rollover'!FF29)</f>
        <v/>
      </c>
      <c r="FH29" s="149" t="str">
        <f>IF($B29=0,"",$N29*'MF Rents'!FJ29*'MF Rollover'!FG29)</f>
        <v/>
      </c>
      <c r="FI29" s="149" t="str">
        <f>IF($B29=0,"",$N29*'MF Rents'!FK29*'MF Rollover'!FH29)</f>
        <v/>
      </c>
      <c r="FJ29" s="149" t="str">
        <f>IF($B29=0,"",$N29*'MF Rents'!FL29*'MF Rollover'!FI29)</f>
        <v/>
      </c>
      <c r="FK29" s="149" t="str">
        <f>IF($B29=0,"",$N29*'MF Rents'!FM29*'MF Rollover'!FJ29)</f>
        <v/>
      </c>
      <c r="FL29" s="149" t="str">
        <f>IF($B29=0,"",$N29*'MF Rents'!FN29*'MF Rollover'!FK29)</f>
        <v/>
      </c>
      <c r="FM29" s="149" t="str">
        <f>IF($B29=0,"",$N29*'MF Rents'!FO29*'MF Rollover'!FL29)</f>
        <v/>
      </c>
      <c r="FN29" s="149" t="str">
        <f>IF($B29=0,"",$N29*'MF Rents'!FP29*'MF Rollover'!FM29)</f>
        <v/>
      </c>
      <c r="FO29" s="149" t="str">
        <f>IF($B29=0,"",$N29*'MF Rents'!FQ29*'MF Rollover'!FN29)</f>
        <v/>
      </c>
      <c r="FP29" s="149" t="str">
        <f>IF($B29=0,"",$N29*'MF Rents'!FR29*'MF Rollover'!FO29)</f>
        <v/>
      </c>
      <c r="FQ29" s="149" t="str">
        <f>IF($B29=0,"",$N29*'MF Rents'!FS29*'MF Rollover'!FP29)</f>
        <v/>
      </c>
      <c r="FR29" s="149" t="str">
        <f>IF($B29=0,"",$N29*'MF Rents'!FT29*'MF Rollover'!FQ29)</f>
        <v/>
      </c>
      <c r="FS29" s="149" t="str">
        <f>IF($B29=0,"",$N29*'MF Rents'!FU29*'MF Rollover'!FR29)</f>
        <v/>
      </c>
      <c r="FT29" s="149" t="str">
        <f>IF($B29=0,"",$N29*'MF Rents'!FV29*'MF Rollover'!FS29)</f>
        <v/>
      </c>
      <c r="FU29" s="149" t="str">
        <f>IF($B29=0,"",$N29*'MF Rents'!FW29*'MF Rollover'!FT29)</f>
        <v/>
      </c>
      <c r="FV29" s="149" t="str">
        <f>IF($B29=0,"",$N29*'MF Rents'!FX29*'MF Rollover'!FU29)</f>
        <v/>
      </c>
      <c r="FW29" s="149" t="str">
        <f>IF($B29=0,"",$N29*'MF Rents'!FY29*'MF Rollover'!FV29)</f>
        <v/>
      </c>
      <c r="FX29" s="149" t="str">
        <f>IF($B29=0,"",$N29*'MF Rents'!FZ29*'MF Rollover'!FW29)</f>
        <v/>
      </c>
      <c r="FY29" s="149" t="str">
        <f>IF($B29=0,"",$N29*'MF Rents'!GA29*'MF Rollover'!FX29)</f>
        <v/>
      </c>
      <c r="FZ29" s="149" t="str">
        <f>IF($B29=0,"",$N29*'MF Rents'!GB29*'MF Rollover'!FY29)</f>
        <v/>
      </c>
      <c r="GA29" s="149" t="str">
        <f>IF($B29=0,"",$N29*'MF Rents'!GC29*'MF Rollover'!FZ29)</f>
        <v/>
      </c>
      <c r="GB29" s="149" t="str">
        <f>IF($B29=0,"",$N29*'MF Rents'!GD29*'MF Rollover'!GA29)</f>
        <v/>
      </c>
      <c r="GC29" s="149" t="str">
        <f>IF($B29=0,"",$N29*'MF Rents'!GE29*'MF Rollover'!GB29)</f>
        <v/>
      </c>
      <c r="GD29" s="149" t="str">
        <f>IF($B29=0,"",$N29*'MF Rents'!GF29*'MF Rollover'!GC29)</f>
        <v/>
      </c>
      <c r="GE29" s="149" t="str">
        <f>IF($B29=0,"",$N29*'MF Rents'!GG29*'MF Rollover'!GD29)</f>
        <v/>
      </c>
      <c r="GF29" s="149" t="str">
        <f>IF($B29=0,"",$N29*'MF Rents'!GH29*'MF Rollover'!GE29)</f>
        <v/>
      </c>
      <c r="GG29" s="149" t="str">
        <f>IF($B29=0,"",$N29*'MF Rents'!GI29*'MF Rollover'!GF29)</f>
        <v/>
      </c>
      <c r="GH29" s="149" t="str">
        <f>IF($B29=0,"",$N29*'MF Rents'!GJ29*'MF Rollover'!GG29)</f>
        <v/>
      </c>
      <c r="GI29" s="149" t="str">
        <f>IF($B29=0,"",$N29*'MF Rents'!GK29*'MF Rollover'!GH29)</f>
        <v/>
      </c>
      <c r="GJ29" s="149" t="str">
        <f>IF($B29=0,"",$N29*'MF Rents'!GL29*'MF Rollover'!GI29)</f>
        <v/>
      </c>
      <c r="GK29" s="149" t="str">
        <f>IF($B29=0,"",$N29*'MF Rents'!GM29*'MF Rollover'!GJ29)</f>
        <v/>
      </c>
      <c r="GL29" s="149" t="str">
        <f>IF($B29=0,"",$N29*'MF Rents'!GN29*'MF Rollover'!GK29)</f>
        <v/>
      </c>
      <c r="GM29" s="149" t="str">
        <f>IF($B29=0,"",$N29*'MF Rents'!GO29*'MF Rollover'!GL29)</f>
        <v/>
      </c>
      <c r="GN29" s="149" t="str">
        <f>IF($B29=0,"",$N29*'MF Rents'!GP29*'MF Rollover'!GM29)</f>
        <v/>
      </c>
      <c r="GO29" s="149" t="str">
        <f>IF($B29=0,"",$N29*'MF Rents'!GQ29*'MF Rollover'!GN29)</f>
        <v/>
      </c>
      <c r="GP29" s="149" t="str">
        <f>IF($B29=0,"",$N29*'MF Rents'!GR29*'MF Rollover'!GO29)</f>
        <v/>
      </c>
    </row>
    <row r="30" spans="2:198" x14ac:dyDescent="0.3">
      <c r="B30" s="184">
        <f>'MF Rent Roll'!B29</f>
        <v>0</v>
      </c>
      <c r="C30" s="171">
        <f>'MF Rent Roll'!C29</f>
        <v>0</v>
      </c>
      <c r="D30" s="172">
        <f>'MF Rent Roll'!D29</f>
        <v>0</v>
      </c>
      <c r="E30" s="172">
        <f>'MF Rent Roll'!E29</f>
        <v>0</v>
      </c>
      <c r="F30" s="173">
        <f>'MF Rent Roll'!F29</f>
        <v>0</v>
      </c>
      <c r="G30" s="174">
        <f>'MF Rent Roll'!G29</f>
        <v>0</v>
      </c>
      <c r="H30" s="176">
        <f>'MF Rent Roll'!J29</f>
        <v>0</v>
      </c>
      <c r="I30" s="174">
        <f>'MF Rent Roll'!K29</f>
        <v>0</v>
      </c>
      <c r="J30" s="177">
        <f>'MF Rent Roll'!L29</f>
        <v>0</v>
      </c>
      <c r="K30" s="178">
        <f>'MF Rent Roll'!M29</f>
        <v>0</v>
      </c>
      <c r="L30" s="174">
        <f>'MF Rent Roll'!N29</f>
        <v>0</v>
      </c>
      <c r="M30" s="179">
        <f>'MF Rent Roll'!O29</f>
        <v>0</v>
      </c>
      <c r="N30" s="180" t="str">
        <f>'MF Rent Roll'!P29</f>
        <v/>
      </c>
      <c r="O30" s="181" t="str">
        <f>'MF Rent Roll'!Q29</f>
        <v/>
      </c>
      <c r="P30" s="104" t="str">
        <f>'MF Rent Roll'!R29</f>
        <v/>
      </c>
      <c r="S30" s="149" t="str">
        <f>IF($B30=0,"",$N30*'MF Rents'!U30*'MF Rollover'!R30)</f>
        <v/>
      </c>
      <c r="T30" s="149" t="str">
        <f>IF($B30=0,"",$N30*'MF Rents'!V30*'MF Rollover'!S30)</f>
        <v/>
      </c>
      <c r="U30" s="149" t="str">
        <f>IF($B30=0,"",$N30*'MF Rents'!W30*'MF Rollover'!T30)</f>
        <v/>
      </c>
      <c r="V30" s="149" t="str">
        <f>IF($B30=0,"",$N30*'MF Rents'!X30*'MF Rollover'!U30)</f>
        <v/>
      </c>
      <c r="W30" s="149" t="str">
        <f>IF($B30=0,"",$N30*'MF Rents'!Y30*'MF Rollover'!V30)</f>
        <v/>
      </c>
      <c r="X30" s="149" t="str">
        <f>IF($B30=0,"",$N30*'MF Rents'!Z30*'MF Rollover'!W30)</f>
        <v/>
      </c>
      <c r="Y30" s="149" t="str">
        <f>IF($B30=0,"",$N30*'MF Rents'!AA30*'MF Rollover'!X30)</f>
        <v/>
      </c>
      <c r="Z30" s="149" t="str">
        <f>IF($B30=0,"",$N30*'MF Rents'!AB30*'MF Rollover'!Y30)</f>
        <v/>
      </c>
      <c r="AA30" s="149" t="str">
        <f>IF($B30=0,"",$N30*'MF Rents'!AC30*'MF Rollover'!Z30)</f>
        <v/>
      </c>
      <c r="AB30" s="149" t="str">
        <f>IF($B30=0,"",$N30*'MF Rents'!AD30*'MF Rollover'!AA30)</f>
        <v/>
      </c>
      <c r="AC30" s="149" t="str">
        <f>IF($B30=0,"",$N30*'MF Rents'!AE30*'MF Rollover'!AB30)</f>
        <v/>
      </c>
      <c r="AD30" s="149" t="str">
        <f>IF($B30=0,"",$N30*'MF Rents'!AF30*'MF Rollover'!AC30)</f>
        <v/>
      </c>
      <c r="AE30" s="149" t="str">
        <f>IF($B30=0,"",$N30*'MF Rents'!AG30*'MF Rollover'!AD30)</f>
        <v/>
      </c>
      <c r="AF30" s="149" t="str">
        <f>IF($B30=0,"",$N30*'MF Rents'!AH30*'MF Rollover'!AE30)</f>
        <v/>
      </c>
      <c r="AG30" s="149" t="str">
        <f>IF($B30=0,"",$N30*'MF Rents'!AI30*'MF Rollover'!AF30)</f>
        <v/>
      </c>
      <c r="AH30" s="149" t="str">
        <f>IF($B30=0,"",$N30*'MF Rents'!AJ30*'MF Rollover'!AG30)</f>
        <v/>
      </c>
      <c r="AI30" s="149" t="str">
        <f>IF($B30=0,"",$N30*'MF Rents'!AK30*'MF Rollover'!AH30)</f>
        <v/>
      </c>
      <c r="AJ30" s="149" t="str">
        <f>IF($B30=0,"",$N30*'MF Rents'!AL30*'MF Rollover'!AI30)</f>
        <v/>
      </c>
      <c r="AK30" s="149" t="str">
        <f>IF($B30=0,"",$N30*'MF Rents'!AM30*'MF Rollover'!AJ30)</f>
        <v/>
      </c>
      <c r="AL30" s="149" t="str">
        <f>IF($B30=0,"",$N30*'MF Rents'!AN30*'MF Rollover'!AK30)</f>
        <v/>
      </c>
      <c r="AM30" s="149" t="str">
        <f>IF($B30=0,"",$N30*'MF Rents'!AO30*'MF Rollover'!AL30)</f>
        <v/>
      </c>
      <c r="AN30" s="149" t="str">
        <f>IF($B30=0,"",$N30*'MF Rents'!AP30*'MF Rollover'!AM30)</f>
        <v/>
      </c>
      <c r="AO30" s="149" t="str">
        <f>IF($B30=0,"",$N30*'MF Rents'!AQ30*'MF Rollover'!AN30)</f>
        <v/>
      </c>
      <c r="AP30" s="149" t="str">
        <f>IF($B30=0,"",$N30*'MF Rents'!AR30*'MF Rollover'!AO30)</f>
        <v/>
      </c>
      <c r="AQ30" s="149" t="str">
        <f>IF($B30=0,"",$N30*'MF Rents'!AS30*'MF Rollover'!AP30)</f>
        <v/>
      </c>
      <c r="AR30" s="149" t="str">
        <f>IF($B30=0,"",$N30*'MF Rents'!AT30*'MF Rollover'!AQ30)</f>
        <v/>
      </c>
      <c r="AS30" s="149" t="str">
        <f>IF($B30=0,"",$N30*'MF Rents'!AU30*'MF Rollover'!AR30)</f>
        <v/>
      </c>
      <c r="AT30" s="149" t="str">
        <f>IF($B30=0,"",$N30*'MF Rents'!AV30*'MF Rollover'!AS30)</f>
        <v/>
      </c>
      <c r="AU30" s="149" t="str">
        <f>IF($B30=0,"",$N30*'MF Rents'!AW30*'MF Rollover'!AT30)</f>
        <v/>
      </c>
      <c r="AV30" s="149" t="str">
        <f>IF($B30=0,"",$N30*'MF Rents'!AX30*'MF Rollover'!AU30)</f>
        <v/>
      </c>
      <c r="AW30" s="149" t="str">
        <f>IF($B30=0,"",$N30*'MF Rents'!AY30*'MF Rollover'!AV30)</f>
        <v/>
      </c>
      <c r="AX30" s="149" t="str">
        <f>IF($B30=0,"",$N30*'MF Rents'!AZ30*'MF Rollover'!AW30)</f>
        <v/>
      </c>
      <c r="AY30" s="149" t="str">
        <f>IF($B30=0,"",$N30*'MF Rents'!BA30*'MF Rollover'!AX30)</f>
        <v/>
      </c>
      <c r="AZ30" s="149" t="str">
        <f>IF($B30=0,"",$N30*'MF Rents'!BB30*'MF Rollover'!AY30)</f>
        <v/>
      </c>
      <c r="BA30" s="149" t="str">
        <f>IF($B30=0,"",$N30*'MF Rents'!BC30*'MF Rollover'!AZ30)</f>
        <v/>
      </c>
      <c r="BB30" s="149" t="str">
        <f>IF($B30=0,"",$N30*'MF Rents'!BD30*'MF Rollover'!BA30)</f>
        <v/>
      </c>
      <c r="BC30" s="149" t="str">
        <f>IF($B30=0,"",$N30*'MF Rents'!BE30*'MF Rollover'!BB30)</f>
        <v/>
      </c>
      <c r="BD30" s="149" t="str">
        <f>IF($B30=0,"",$N30*'MF Rents'!BF30*'MF Rollover'!BC30)</f>
        <v/>
      </c>
      <c r="BE30" s="149" t="str">
        <f>IF($B30=0,"",$N30*'MF Rents'!BG30*'MF Rollover'!BD30)</f>
        <v/>
      </c>
      <c r="BF30" s="149" t="str">
        <f>IF($B30=0,"",$N30*'MF Rents'!BH30*'MF Rollover'!BE30)</f>
        <v/>
      </c>
      <c r="BG30" s="149" t="str">
        <f>IF($B30=0,"",$N30*'MF Rents'!BI30*'MF Rollover'!BF30)</f>
        <v/>
      </c>
      <c r="BH30" s="149" t="str">
        <f>IF($B30=0,"",$N30*'MF Rents'!BJ30*'MF Rollover'!BG30)</f>
        <v/>
      </c>
      <c r="BI30" s="149" t="str">
        <f>IF($B30=0,"",$N30*'MF Rents'!BK30*'MF Rollover'!BH30)</f>
        <v/>
      </c>
      <c r="BJ30" s="149" t="str">
        <f>IF($B30=0,"",$N30*'MF Rents'!BL30*'MF Rollover'!BI30)</f>
        <v/>
      </c>
      <c r="BK30" s="149" t="str">
        <f>IF($B30=0,"",$N30*'MF Rents'!BM30*'MF Rollover'!BJ30)</f>
        <v/>
      </c>
      <c r="BL30" s="149" t="str">
        <f>IF($B30=0,"",$N30*'MF Rents'!BN30*'MF Rollover'!BK30)</f>
        <v/>
      </c>
      <c r="BM30" s="149" t="str">
        <f>IF($B30=0,"",$N30*'MF Rents'!BO30*'MF Rollover'!BL30)</f>
        <v/>
      </c>
      <c r="BN30" s="149" t="str">
        <f>IF($B30=0,"",$N30*'MF Rents'!BP30*'MF Rollover'!BM30)</f>
        <v/>
      </c>
      <c r="BO30" s="149" t="str">
        <f>IF($B30=0,"",$N30*'MF Rents'!BQ30*'MF Rollover'!BN30)</f>
        <v/>
      </c>
      <c r="BP30" s="149" t="str">
        <f>IF($B30=0,"",$N30*'MF Rents'!BR30*'MF Rollover'!BO30)</f>
        <v/>
      </c>
      <c r="BQ30" s="149" t="str">
        <f>IF($B30=0,"",$N30*'MF Rents'!BS30*'MF Rollover'!BP30)</f>
        <v/>
      </c>
      <c r="BR30" s="149" t="str">
        <f>IF($B30=0,"",$N30*'MF Rents'!BT30*'MF Rollover'!BQ30)</f>
        <v/>
      </c>
      <c r="BS30" s="149" t="str">
        <f>IF($B30=0,"",$N30*'MF Rents'!BU30*'MF Rollover'!BR30)</f>
        <v/>
      </c>
      <c r="BT30" s="149" t="str">
        <f>IF($B30=0,"",$N30*'MF Rents'!BV30*'MF Rollover'!BS30)</f>
        <v/>
      </c>
      <c r="BU30" s="149" t="str">
        <f>IF($B30=0,"",$N30*'MF Rents'!BW30*'MF Rollover'!BT30)</f>
        <v/>
      </c>
      <c r="BV30" s="149" t="str">
        <f>IF($B30=0,"",$N30*'MF Rents'!BX30*'MF Rollover'!BU30)</f>
        <v/>
      </c>
      <c r="BW30" s="149" t="str">
        <f>IF($B30=0,"",$N30*'MF Rents'!BY30*'MF Rollover'!BV30)</f>
        <v/>
      </c>
      <c r="BX30" s="149" t="str">
        <f>IF($B30=0,"",$N30*'MF Rents'!BZ30*'MF Rollover'!BW30)</f>
        <v/>
      </c>
      <c r="BY30" s="149" t="str">
        <f>IF($B30=0,"",$N30*'MF Rents'!CA30*'MF Rollover'!BX30)</f>
        <v/>
      </c>
      <c r="BZ30" s="149" t="str">
        <f>IF($B30=0,"",$N30*'MF Rents'!CB30*'MF Rollover'!BY30)</f>
        <v/>
      </c>
      <c r="CA30" s="149" t="str">
        <f>IF($B30=0,"",$N30*'MF Rents'!CC30*'MF Rollover'!BZ30)</f>
        <v/>
      </c>
      <c r="CB30" s="149" t="str">
        <f>IF($B30=0,"",$N30*'MF Rents'!CD30*'MF Rollover'!CA30)</f>
        <v/>
      </c>
      <c r="CC30" s="149" t="str">
        <f>IF($B30=0,"",$N30*'MF Rents'!CE30*'MF Rollover'!CB30)</f>
        <v/>
      </c>
      <c r="CD30" s="149" t="str">
        <f>IF($B30=0,"",$N30*'MF Rents'!CF30*'MF Rollover'!CC30)</f>
        <v/>
      </c>
      <c r="CE30" s="149" t="str">
        <f>IF($B30=0,"",$N30*'MF Rents'!CG30*'MF Rollover'!CD30)</f>
        <v/>
      </c>
      <c r="CF30" s="149" t="str">
        <f>IF($B30=0,"",$N30*'MF Rents'!CH30*'MF Rollover'!CE30)</f>
        <v/>
      </c>
      <c r="CG30" s="149" t="str">
        <f>IF($B30=0,"",$N30*'MF Rents'!CI30*'MF Rollover'!CF30)</f>
        <v/>
      </c>
      <c r="CH30" s="149" t="str">
        <f>IF($B30=0,"",$N30*'MF Rents'!CJ30*'MF Rollover'!CG30)</f>
        <v/>
      </c>
      <c r="CI30" s="149" t="str">
        <f>IF($B30=0,"",$N30*'MF Rents'!CK30*'MF Rollover'!CH30)</f>
        <v/>
      </c>
      <c r="CJ30" s="149" t="str">
        <f>IF($B30=0,"",$N30*'MF Rents'!CL30*'MF Rollover'!CI30)</f>
        <v/>
      </c>
      <c r="CK30" s="149" t="str">
        <f>IF($B30=0,"",$N30*'MF Rents'!CM30*'MF Rollover'!CJ30)</f>
        <v/>
      </c>
      <c r="CL30" s="149" t="str">
        <f>IF($B30=0,"",$N30*'MF Rents'!CN30*'MF Rollover'!CK30)</f>
        <v/>
      </c>
      <c r="CM30" s="149" t="str">
        <f>IF($B30=0,"",$N30*'MF Rents'!CO30*'MF Rollover'!CL30)</f>
        <v/>
      </c>
      <c r="CN30" s="149" t="str">
        <f>IF($B30=0,"",$N30*'MF Rents'!CP30*'MF Rollover'!CM30)</f>
        <v/>
      </c>
      <c r="CO30" s="149" t="str">
        <f>IF($B30=0,"",$N30*'MF Rents'!CQ30*'MF Rollover'!CN30)</f>
        <v/>
      </c>
      <c r="CP30" s="149" t="str">
        <f>IF($B30=0,"",$N30*'MF Rents'!CR30*'MF Rollover'!CO30)</f>
        <v/>
      </c>
      <c r="CQ30" s="149" t="str">
        <f>IF($B30=0,"",$N30*'MF Rents'!CS30*'MF Rollover'!CP30)</f>
        <v/>
      </c>
      <c r="CR30" s="149" t="str">
        <f>IF($B30=0,"",$N30*'MF Rents'!CT30*'MF Rollover'!CQ30)</f>
        <v/>
      </c>
      <c r="CS30" s="149" t="str">
        <f>IF($B30=0,"",$N30*'MF Rents'!CU30*'MF Rollover'!CR30)</f>
        <v/>
      </c>
      <c r="CT30" s="149" t="str">
        <f>IF($B30=0,"",$N30*'MF Rents'!CV30*'MF Rollover'!CS30)</f>
        <v/>
      </c>
      <c r="CU30" s="149" t="str">
        <f>IF($B30=0,"",$N30*'MF Rents'!CW30*'MF Rollover'!CT30)</f>
        <v/>
      </c>
      <c r="CV30" s="149" t="str">
        <f>IF($B30=0,"",$N30*'MF Rents'!CX30*'MF Rollover'!CU30)</f>
        <v/>
      </c>
      <c r="CW30" s="149" t="str">
        <f>IF($B30=0,"",$N30*'MF Rents'!CY30*'MF Rollover'!CV30)</f>
        <v/>
      </c>
      <c r="CX30" s="149" t="str">
        <f>IF($B30=0,"",$N30*'MF Rents'!CZ30*'MF Rollover'!CW30)</f>
        <v/>
      </c>
      <c r="CY30" s="149" t="str">
        <f>IF($B30=0,"",$N30*'MF Rents'!DA30*'MF Rollover'!CX30)</f>
        <v/>
      </c>
      <c r="CZ30" s="149" t="str">
        <f>IF($B30=0,"",$N30*'MF Rents'!DB30*'MF Rollover'!CY30)</f>
        <v/>
      </c>
      <c r="DA30" s="149" t="str">
        <f>IF($B30=0,"",$N30*'MF Rents'!DC30*'MF Rollover'!CZ30)</f>
        <v/>
      </c>
      <c r="DB30" s="149" t="str">
        <f>IF($B30=0,"",$N30*'MF Rents'!DD30*'MF Rollover'!DA30)</f>
        <v/>
      </c>
      <c r="DC30" s="149" t="str">
        <f>IF($B30=0,"",$N30*'MF Rents'!DE30*'MF Rollover'!DB30)</f>
        <v/>
      </c>
      <c r="DD30" s="149" t="str">
        <f>IF($B30=0,"",$N30*'MF Rents'!DF30*'MF Rollover'!DC30)</f>
        <v/>
      </c>
      <c r="DE30" s="149" t="str">
        <f>IF($B30=0,"",$N30*'MF Rents'!DG30*'MF Rollover'!DD30)</f>
        <v/>
      </c>
      <c r="DF30" s="149" t="str">
        <f>IF($B30=0,"",$N30*'MF Rents'!DH30*'MF Rollover'!DE30)</f>
        <v/>
      </c>
      <c r="DG30" s="149" t="str">
        <f>IF($B30=0,"",$N30*'MF Rents'!DI30*'MF Rollover'!DF30)</f>
        <v/>
      </c>
      <c r="DH30" s="149" t="str">
        <f>IF($B30=0,"",$N30*'MF Rents'!DJ30*'MF Rollover'!DG30)</f>
        <v/>
      </c>
      <c r="DI30" s="149" t="str">
        <f>IF($B30=0,"",$N30*'MF Rents'!DK30*'MF Rollover'!DH30)</f>
        <v/>
      </c>
      <c r="DJ30" s="149" t="str">
        <f>IF($B30=0,"",$N30*'MF Rents'!DL30*'MF Rollover'!DI30)</f>
        <v/>
      </c>
      <c r="DK30" s="149" t="str">
        <f>IF($B30=0,"",$N30*'MF Rents'!DM30*'MF Rollover'!DJ30)</f>
        <v/>
      </c>
      <c r="DL30" s="149" t="str">
        <f>IF($B30=0,"",$N30*'MF Rents'!DN30*'MF Rollover'!DK30)</f>
        <v/>
      </c>
      <c r="DM30" s="149" t="str">
        <f>IF($B30=0,"",$N30*'MF Rents'!DO30*'MF Rollover'!DL30)</f>
        <v/>
      </c>
      <c r="DN30" s="149" t="str">
        <f>IF($B30=0,"",$N30*'MF Rents'!DP30*'MF Rollover'!DM30)</f>
        <v/>
      </c>
      <c r="DO30" s="149" t="str">
        <f>IF($B30=0,"",$N30*'MF Rents'!DQ30*'MF Rollover'!DN30)</f>
        <v/>
      </c>
      <c r="DP30" s="149" t="str">
        <f>IF($B30=0,"",$N30*'MF Rents'!DR30*'MF Rollover'!DO30)</f>
        <v/>
      </c>
      <c r="DQ30" s="149" t="str">
        <f>IF($B30=0,"",$N30*'MF Rents'!DS30*'MF Rollover'!DP30)</f>
        <v/>
      </c>
      <c r="DR30" s="149" t="str">
        <f>IF($B30=0,"",$N30*'MF Rents'!DT30*'MF Rollover'!DQ30)</f>
        <v/>
      </c>
      <c r="DS30" s="149" t="str">
        <f>IF($B30=0,"",$N30*'MF Rents'!DU30*'MF Rollover'!DR30)</f>
        <v/>
      </c>
      <c r="DT30" s="149" t="str">
        <f>IF($B30=0,"",$N30*'MF Rents'!DV30*'MF Rollover'!DS30)</f>
        <v/>
      </c>
      <c r="DU30" s="149" t="str">
        <f>IF($B30=0,"",$N30*'MF Rents'!DW30*'MF Rollover'!DT30)</f>
        <v/>
      </c>
      <c r="DV30" s="149" t="str">
        <f>IF($B30=0,"",$N30*'MF Rents'!DX30*'MF Rollover'!DU30)</f>
        <v/>
      </c>
      <c r="DW30" s="149" t="str">
        <f>IF($B30=0,"",$N30*'MF Rents'!DY30*'MF Rollover'!DV30)</f>
        <v/>
      </c>
      <c r="DX30" s="149" t="str">
        <f>IF($B30=0,"",$N30*'MF Rents'!DZ30*'MF Rollover'!DW30)</f>
        <v/>
      </c>
      <c r="DY30" s="149" t="str">
        <f>IF($B30=0,"",$N30*'MF Rents'!EA30*'MF Rollover'!DX30)</f>
        <v/>
      </c>
      <c r="DZ30" s="149" t="str">
        <f>IF($B30=0,"",$N30*'MF Rents'!EB30*'MF Rollover'!DY30)</f>
        <v/>
      </c>
      <c r="EA30" s="149" t="str">
        <f>IF($B30=0,"",$N30*'MF Rents'!EC30*'MF Rollover'!DZ30)</f>
        <v/>
      </c>
      <c r="EB30" s="149" t="str">
        <f>IF($B30=0,"",$N30*'MF Rents'!ED30*'MF Rollover'!EA30)</f>
        <v/>
      </c>
      <c r="EC30" s="149" t="str">
        <f>IF($B30=0,"",$N30*'MF Rents'!EE30*'MF Rollover'!EB30)</f>
        <v/>
      </c>
      <c r="ED30" s="149" t="str">
        <f>IF($B30=0,"",$N30*'MF Rents'!EF30*'MF Rollover'!EC30)</f>
        <v/>
      </c>
      <c r="EE30" s="149" t="str">
        <f>IF($B30=0,"",$N30*'MF Rents'!EG30*'MF Rollover'!ED30)</f>
        <v/>
      </c>
      <c r="EF30" s="149" t="str">
        <f>IF($B30=0,"",$N30*'MF Rents'!EH30*'MF Rollover'!EE30)</f>
        <v/>
      </c>
      <c r="EG30" s="149" t="str">
        <f>IF($B30=0,"",$N30*'MF Rents'!EI30*'MF Rollover'!EF30)</f>
        <v/>
      </c>
      <c r="EH30" s="149" t="str">
        <f>IF($B30=0,"",$N30*'MF Rents'!EJ30*'MF Rollover'!EG30)</f>
        <v/>
      </c>
      <c r="EI30" s="149" t="str">
        <f>IF($B30=0,"",$N30*'MF Rents'!EK30*'MF Rollover'!EH30)</f>
        <v/>
      </c>
      <c r="EJ30" s="149" t="str">
        <f>IF($B30=0,"",$N30*'MF Rents'!EL30*'MF Rollover'!EI30)</f>
        <v/>
      </c>
      <c r="EK30" s="149" t="str">
        <f>IF($B30=0,"",$N30*'MF Rents'!EM30*'MF Rollover'!EJ30)</f>
        <v/>
      </c>
      <c r="EL30" s="149" t="str">
        <f>IF($B30=0,"",$N30*'MF Rents'!EN30*'MF Rollover'!EK30)</f>
        <v/>
      </c>
      <c r="EM30" s="149" t="str">
        <f>IF($B30=0,"",$N30*'MF Rents'!EO30*'MF Rollover'!EL30)</f>
        <v/>
      </c>
      <c r="EN30" s="149" t="str">
        <f>IF($B30=0,"",$N30*'MF Rents'!EP30*'MF Rollover'!EM30)</f>
        <v/>
      </c>
      <c r="EO30" s="149" t="str">
        <f>IF($B30=0,"",$N30*'MF Rents'!EQ30*'MF Rollover'!EN30)</f>
        <v/>
      </c>
      <c r="EP30" s="149" t="str">
        <f>IF($B30=0,"",$N30*'MF Rents'!ER30*'MF Rollover'!EO30)</f>
        <v/>
      </c>
      <c r="EQ30" s="149" t="str">
        <f>IF($B30=0,"",$N30*'MF Rents'!ES30*'MF Rollover'!EP30)</f>
        <v/>
      </c>
      <c r="ER30" s="149" t="str">
        <f>IF($B30=0,"",$N30*'MF Rents'!ET30*'MF Rollover'!EQ30)</f>
        <v/>
      </c>
      <c r="ES30" s="149" t="str">
        <f>IF($B30=0,"",$N30*'MF Rents'!EU30*'MF Rollover'!ER30)</f>
        <v/>
      </c>
      <c r="ET30" s="149" t="str">
        <f>IF($B30=0,"",$N30*'MF Rents'!EV30*'MF Rollover'!ES30)</f>
        <v/>
      </c>
      <c r="EU30" s="149" t="str">
        <f>IF($B30=0,"",$N30*'MF Rents'!EW30*'MF Rollover'!ET30)</f>
        <v/>
      </c>
      <c r="EV30" s="149" t="str">
        <f>IF($B30=0,"",$N30*'MF Rents'!EX30*'MF Rollover'!EU30)</f>
        <v/>
      </c>
      <c r="EW30" s="149" t="str">
        <f>IF($B30=0,"",$N30*'MF Rents'!EY30*'MF Rollover'!EV30)</f>
        <v/>
      </c>
      <c r="EX30" s="149" t="str">
        <f>IF($B30=0,"",$N30*'MF Rents'!EZ30*'MF Rollover'!EW30)</f>
        <v/>
      </c>
      <c r="EY30" s="149" t="str">
        <f>IF($B30=0,"",$N30*'MF Rents'!FA30*'MF Rollover'!EX30)</f>
        <v/>
      </c>
      <c r="EZ30" s="149" t="str">
        <f>IF($B30=0,"",$N30*'MF Rents'!FB30*'MF Rollover'!EY30)</f>
        <v/>
      </c>
      <c r="FA30" s="149" t="str">
        <f>IF($B30=0,"",$N30*'MF Rents'!FC30*'MF Rollover'!EZ30)</f>
        <v/>
      </c>
      <c r="FB30" s="149" t="str">
        <f>IF($B30=0,"",$N30*'MF Rents'!FD30*'MF Rollover'!FA30)</f>
        <v/>
      </c>
      <c r="FC30" s="149" t="str">
        <f>IF($B30=0,"",$N30*'MF Rents'!FE30*'MF Rollover'!FB30)</f>
        <v/>
      </c>
      <c r="FD30" s="149" t="str">
        <f>IF($B30=0,"",$N30*'MF Rents'!FF30*'MF Rollover'!FC30)</f>
        <v/>
      </c>
      <c r="FE30" s="149" t="str">
        <f>IF($B30=0,"",$N30*'MF Rents'!FG30*'MF Rollover'!FD30)</f>
        <v/>
      </c>
      <c r="FF30" s="149" t="str">
        <f>IF($B30=0,"",$N30*'MF Rents'!FH30*'MF Rollover'!FE30)</f>
        <v/>
      </c>
      <c r="FG30" s="149" t="str">
        <f>IF($B30=0,"",$N30*'MF Rents'!FI30*'MF Rollover'!FF30)</f>
        <v/>
      </c>
      <c r="FH30" s="149" t="str">
        <f>IF($B30=0,"",$N30*'MF Rents'!FJ30*'MF Rollover'!FG30)</f>
        <v/>
      </c>
      <c r="FI30" s="149" t="str">
        <f>IF($B30=0,"",$N30*'MF Rents'!FK30*'MF Rollover'!FH30)</f>
        <v/>
      </c>
      <c r="FJ30" s="149" t="str">
        <f>IF($B30=0,"",$N30*'MF Rents'!FL30*'MF Rollover'!FI30)</f>
        <v/>
      </c>
      <c r="FK30" s="149" t="str">
        <f>IF($B30=0,"",$N30*'MF Rents'!FM30*'MF Rollover'!FJ30)</f>
        <v/>
      </c>
      <c r="FL30" s="149" t="str">
        <f>IF($B30=0,"",$N30*'MF Rents'!FN30*'MF Rollover'!FK30)</f>
        <v/>
      </c>
      <c r="FM30" s="149" t="str">
        <f>IF($B30=0,"",$N30*'MF Rents'!FO30*'MF Rollover'!FL30)</f>
        <v/>
      </c>
      <c r="FN30" s="149" t="str">
        <f>IF($B30=0,"",$N30*'MF Rents'!FP30*'MF Rollover'!FM30)</f>
        <v/>
      </c>
      <c r="FO30" s="149" t="str">
        <f>IF($B30=0,"",$N30*'MF Rents'!FQ30*'MF Rollover'!FN30)</f>
        <v/>
      </c>
      <c r="FP30" s="149" t="str">
        <f>IF($B30=0,"",$N30*'MF Rents'!FR30*'MF Rollover'!FO30)</f>
        <v/>
      </c>
      <c r="FQ30" s="149" t="str">
        <f>IF($B30=0,"",$N30*'MF Rents'!FS30*'MF Rollover'!FP30)</f>
        <v/>
      </c>
      <c r="FR30" s="149" t="str">
        <f>IF($B30=0,"",$N30*'MF Rents'!FT30*'MF Rollover'!FQ30)</f>
        <v/>
      </c>
      <c r="FS30" s="149" t="str">
        <f>IF($B30=0,"",$N30*'MF Rents'!FU30*'MF Rollover'!FR30)</f>
        <v/>
      </c>
      <c r="FT30" s="149" t="str">
        <f>IF($B30=0,"",$N30*'MF Rents'!FV30*'MF Rollover'!FS30)</f>
        <v/>
      </c>
      <c r="FU30" s="149" t="str">
        <f>IF($B30=0,"",$N30*'MF Rents'!FW30*'MF Rollover'!FT30)</f>
        <v/>
      </c>
      <c r="FV30" s="149" t="str">
        <f>IF($B30=0,"",$N30*'MF Rents'!FX30*'MF Rollover'!FU30)</f>
        <v/>
      </c>
      <c r="FW30" s="149" t="str">
        <f>IF($B30=0,"",$N30*'MF Rents'!FY30*'MF Rollover'!FV30)</f>
        <v/>
      </c>
      <c r="FX30" s="149" t="str">
        <f>IF($B30=0,"",$N30*'MF Rents'!FZ30*'MF Rollover'!FW30)</f>
        <v/>
      </c>
      <c r="FY30" s="149" t="str">
        <f>IF($B30=0,"",$N30*'MF Rents'!GA30*'MF Rollover'!FX30)</f>
        <v/>
      </c>
      <c r="FZ30" s="149" t="str">
        <f>IF($B30=0,"",$N30*'MF Rents'!GB30*'MF Rollover'!FY30)</f>
        <v/>
      </c>
      <c r="GA30" s="149" t="str">
        <f>IF($B30=0,"",$N30*'MF Rents'!GC30*'MF Rollover'!FZ30)</f>
        <v/>
      </c>
      <c r="GB30" s="149" t="str">
        <f>IF($B30=0,"",$N30*'MF Rents'!GD30*'MF Rollover'!GA30)</f>
        <v/>
      </c>
      <c r="GC30" s="149" t="str">
        <f>IF($B30=0,"",$N30*'MF Rents'!GE30*'MF Rollover'!GB30)</f>
        <v/>
      </c>
      <c r="GD30" s="149" t="str">
        <f>IF($B30=0,"",$N30*'MF Rents'!GF30*'MF Rollover'!GC30)</f>
        <v/>
      </c>
      <c r="GE30" s="149" t="str">
        <f>IF($B30=0,"",$N30*'MF Rents'!GG30*'MF Rollover'!GD30)</f>
        <v/>
      </c>
      <c r="GF30" s="149" t="str">
        <f>IF($B30=0,"",$N30*'MF Rents'!GH30*'MF Rollover'!GE30)</f>
        <v/>
      </c>
      <c r="GG30" s="149" t="str">
        <f>IF($B30=0,"",$N30*'MF Rents'!GI30*'MF Rollover'!GF30)</f>
        <v/>
      </c>
      <c r="GH30" s="149" t="str">
        <f>IF($B30=0,"",$N30*'MF Rents'!GJ30*'MF Rollover'!GG30)</f>
        <v/>
      </c>
      <c r="GI30" s="149" t="str">
        <f>IF($B30=0,"",$N30*'MF Rents'!GK30*'MF Rollover'!GH30)</f>
        <v/>
      </c>
      <c r="GJ30" s="149" t="str">
        <f>IF($B30=0,"",$N30*'MF Rents'!GL30*'MF Rollover'!GI30)</f>
        <v/>
      </c>
      <c r="GK30" s="149" t="str">
        <f>IF($B30=0,"",$N30*'MF Rents'!GM30*'MF Rollover'!GJ30)</f>
        <v/>
      </c>
      <c r="GL30" s="149" t="str">
        <f>IF($B30=0,"",$N30*'MF Rents'!GN30*'MF Rollover'!GK30)</f>
        <v/>
      </c>
      <c r="GM30" s="149" t="str">
        <f>IF($B30=0,"",$N30*'MF Rents'!GO30*'MF Rollover'!GL30)</f>
        <v/>
      </c>
      <c r="GN30" s="149" t="str">
        <f>IF($B30=0,"",$N30*'MF Rents'!GP30*'MF Rollover'!GM30)</f>
        <v/>
      </c>
      <c r="GO30" s="149" t="str">
        <f>IF($B30=0,"",$N30*'MF Rents'!GQ30*'MF Rollover'!GN30)</f>
        <v/>
      </c>
      <c r="GP30" s="149" t="str">
        <f>IF($B30=0,"",$N30*'MF Rents'!GR30*'MF Rollover'!GO30)</f>
        <v/>
      </c>
    </row>
    <row r="31" spans="2:198" x14ac:dyDescent="0.3">
      <c r="B31" s="184">
        <f>'MF Rent Roll'!B30</f>
        <v>0</v>
      </c>
      <c r="C31" s="171">
        <f>'MF Rent Roll'!C30</f>
        <v>0</v>
      </c>
      <c r="D31" s="172">
        <f>'MF Rent Roll'!D30</f>
        <v>0</v>
      </c>
      <c r="E31" s="172">
        <f>'MF Rent Roll'!E30</f>
        <v>0</v>
      </c>
      <c r="F31" s="173">
        <f>'MF Rent Roll'!F30</f>
        <v>0</v>
      </c>
      <c r="G31" s="174">
        <f>'MF Rent Roll'!G30</f>
        <v>0</v>
      </c>
      <c r="H31" s="176">
        <f>'MF Rent Roll'!J30</f>
        <v>0</v>
      </c>
      <c r="I31" s="174">
        <f>'MF Rent Roll'!K30</f>
        <v>0</v>
      </c>
      <c r="J31" s="177">
        <f>'MF Rent Roll'!L30</f>
        <v>0</v>
      </c>
      <c r="K31" s="178">
        <f>'MF Rent Roll'!M30</f>
        <v>0</v>
      </c>
      <c r="L31" s="174">
        <f>'MF Rent Roll'!N30</f>
        <v>0</v>
      </c>
      <c r="M31" s="179">
        <f>'MF Rent Roll'!O30</f>
        <v>0</v>
      </c>
      <c r="N31" s="180" t="str">
        <f>'MF Rent Roll'!P30</f>
        <v/>
      </c>
      <c r="O31" s="181" t="str">
        <f>'MF Rent Roll'!Q30</f>
        <v/>
      </c>
      <c r="P31" s="104" t="str">
        <f>'MF Rent Roll'!R30</f>
        <v/>
      </c>
      <c r="S31" s="149" t="str">
        <f>IF($B31=0,"",$N31*'MF Rents'!U31*'MF Rollover'!R31)</f>
        <v/>
      </c>
      <c r="T31" s="149" t="str">
        <f>IF($B31=0,"",$N31*'MF Rents'!V31*'MF Rollover'!S31)</f>
        <v/>
      </c>
      <c r="U31" s="149" t="str">
        <f>IF($B31=0,"",$N31*'MF Rents'!W31*'MF Rollover'!T31)</f>
        <v/>
      </c>
      <c r="V31" s="149" t="str">
        <f>IF($B31=0,"",$N31*'MF Rents'!X31*'MF Rollover'!U31)</f>
        <v/>
      </c>
      <c r="W31" s="149" t="str">
        <f>IF($B31=0,"",$N31*'MF Rents'!Y31*'MF Rollover'!V31)</f>
        <v/>
      </c>
      <c r="X31" s="149" t="str">
        <f>IF($B31=0,"",$N31*'MF Rents'!Z31*'MF Rollover'!W31)</f>
        <v/>
      </c>
      <c r="Y31" s="149" t="str">
        <f>IF($B31=0,"",$N31*'MF Rents'!AA31*'MF Rollover'!X31)</f>
        <v/>
      </c>
      <c r="Z31" s="149" t="str">
        <f>IF($B31=0,"",$N31*'MF Rents'!AB31*'MF Rollover'!Y31)</f>
        <v/>
      </c>
      <c r="AA31" s="149" t="str">
        <f>IF($B31=0,"",$N31*'MF Rents'!AC31*'MF Rollover'!Z31)</f>
        <v/>
      </c>
      <c r="AB31" s="149" t="str">
        <f>IF($B31=0,"",$N31*'MF Rents'!AD31*'MF Rollover'!AA31)</f>
        <v/>
      </c>
      <c r="AC31" s="149" t="str">
        <f>IF($B31=0,"",$N31*'MF Rents'!AE31*'MF Rollover'!AB31)</f>
        <v/>
      </c>
      <c r="AD31" s="149" t="str">
        <f>IF($B31=0,"",$N31*'MF Rents'!AF31*'MF Rollover'!AC31)</f>
        <v/>
      </c>
      <c r="AE31" s="149" t="str">
        <f>IF($B31=0,"",$N31*'MF Rents'!AG31*'MF Rollover'!AD31)</f>
        <v/>
      </c>
      <c r="AF31" s="149" t="str">
        <f>IF($B31=0,"",$N31*'MF Rents'!AH31*'MF Rollover'!AE31)</f>
        <v/>
      </c>
      <c r="AG31" s="149" t="str">
        <f>IF($B31=0,"",$N31*'MF Rents'!AI31*'MF Rollover'!AF31)</f>
        <v/>
      </c>
      <c r="AH31" s="149" t="str">
        <f>IF($B31=0,"",$N31*'MF Rents'!AJ31*'MF Rollover'!AG31)</f>
        <v/>
      </c>
      <c r="AI31" s="149" t="str">
        <f>IF($B31=0,"",$N31*'MF Rents'!AK31*'MF Rollover'!AH31)</f>
        <v/>
      </c>
      <c r="AJ31" s="149" t="str">
        <f>IF($B31=0,"",$N31*'MF Rents'!AL31*'MF Rollover'!AI31)</f>
        <v/>
      </c>
      <c r="AK31" s="149" t="str">
        <f>IF($B31=0,"",$N31*'MF Rents'!AM31*'MF Rollover'!AJ31)</f>
        <v/>
      </c>
      <c r="AL31" s="149" t="str">
        <f>IF($B31=0,"",$N31*'MF Rents'!AN31*'MF Rollover'!AK31)</f>
        <v/>
      </c>
      <c r="AM31" s="149" t="str">
        <f>IF($B31=0,"",$N31*'MF Rents'!AO31*'MF Rollover'!AL31)</f>
        <v/>
      </c>
      <c r="AN31" s="149" t="str">
        <f>IF($B31=0,"",$N31*'MF Rents'!AP31*'MF Rollover'!AM31)</f>
        <v/>
      </c>
      <c r="AO31" s="149" t="str">
        <f>IF($B31=0,"",$N31*'MF Rents'!AQ31*'MF Rollover'!AN31)</f>
        <v/>
      </c>
      <c r="AP31" s="149" t="str">
        <f>IF($B31=0,"",$N31*'MF Rents'!AR31*'MF Rollover'!AO31)</f>
        <v/>
      </c>
      <c r="AQ31" s="149" t="str">
        <f>IF($B31=0,"",$N31*'MF Rents'!AS31*'MF Rollover'!AP31)</f>
        <v/>
      </c>
      <c r="AR31" s="149" t="str">
        <f>IF($B31=0,"",$N31*'MF Rents'!AT31*'MF Rollover'!AQ31)</f>
        <v/>
      </c>
      <c r="AS31" s="149" t="str">
        <f>IF($B31=0,"",$N31*'MF Rents'!AU31*'MF Rollover'!AR31)</f>
        <v/>
      </c>
      <c r="AT31" s="149" t="str">
        <f>IF($B31=0,"",$N31*'MF Rents'!AV31*'MF Rollover'!AS31)</f>
        <v/>
      </c>
      <c r="AU31" s="149" t="str">
        <f>IF($B31=0,"",$N31*'MF Rents'!AW31*'MF Rollover'!AT31)</f>
        <v/>
      </c>
      <c r="AV31" s="149" t="str">
        <f>IF($B31=0,"",$N31*'MF Rents'!AX31*'MF Rollover'!AU31)</f>
        <v/>
      </c>
      <c r="AW31" s="149" t="str">
        <f>IF($B31=0,"",$N31*'MF Rents'!AY31*'MF Rollover'!AV31)</f>
        <v/>
      </c>
      <c r="AX31" s="149" t="str">
        <f>IF($B31=0,"",$N31*'MF Rents'!AZ31*'MF Rollover'!AW31)</f>
        <v/>
      </c>
      <c r="AY31" s="149" t="str">
        <f>IF($B31=0,"",$N31*'MF Rents'!BA31*'MF Rollover'!AX31)</f>
        <v/>
      </c>
      <c r="AZ31" s="149" t="str">
        <f>IF($B31=0,"",$N31*'MF Rents'!BB31*'MF Rollover'!AY31)</f>
        <v/>
      </c>
      <c r="BA31" s="149" t="str">
        <f>IF($B31=0,"",$N31*'MF Rents'!BC31*'MF Rollover'!AZ31)</f>
        <v/>
      </c>
      <c r="BB31" s="149" t="str">
        <f>IF($B31=0,"",$N31*'MF Rents'!BD31*'MF Rollover'!BA31)</f>
        <v/>
      </c>
      <c r="BC31" s="149" t="str">
        <f>IF($B31=0,"",$N31*'MF Rents'!BE31*'MF Rollover'!BB31)</f>
        <v/>
      </c>
      <c r="BD31" s="149" t="str">
        <f>IF($B31=0,"",$N31*'MF Rents'!BF31*'MF Rollover'!BC31)</f>
        <v/>
      </c>
      <c r="BE31" s="149" t="str">
        <f>IF($B31=0,"",$N31*'MF Rents'!BG31*'MF Rollover'!BD31)</f>
        <v/>
      </c>
      <c r="BF31" s="149" t="str">
        <f>IF($B31=0,"",$N31*'MF Rents'!BH31*'MF Rollover'!BE31)</f>
        <v/>
      </c>
      <c r="BG31" s="149" t="str">
        <f>IF($B31=0,"",$N31*'MF Rents'!BI31*'MF Rollover'!BF31)</f>
        <v/>
      </c>
      <c r="BH31" s="149" t="str">
        <f>IF($B31=0,"",$N31*'MF Rents'!BJ31*'MF Rollover'!BG31)</f>
        <v/>
      </c>
      <c r="BI31" s="149" t="str">
        <f>IF($B31=0,"",$N31*'MF Rents'!BK31*'MF Rollover'!BH31)</f>
        <v/>
      </c>
      <c r="BJ31" s="149" t="str">
        <f>IF($B31=0,"",$N31*'MF Rents'!BL31*'MF Rollover'!BI31)</f>
        <v/>
      </c>
      <c r="BK31" s="149" t="str">
        <f>IF($B31=0,"",$N31*'MF Rents'!BM31*'MF Rollover'!BJ31)</f>
        <v/>
      </c>
      <c r="BL31" s="149" t="str">
        <f>IF($B31=0,"",$N31*'MF Rents'!BN31*'MF Rollover'!BK31)</f>
        <v/>
      </c>
      <c r="BM31" s="149" t="str">
        <f>IF($B31=0,"",$N31*'MF Rents'!BO31*'MF Rollover'!BL31)</f>
        <v/>
      </c>
      <c r="BN31" s="149" t="str">
        <f>IF($B31=0,"",$N31*'MF Rents'!BP31*'MF Rollover'!BM31)</f>
        <v/>
      </c>
      <c r="BO31" s="149" t="str">
        <f>IF($B31=0,"",$N31*'MF Rents'!BQ31*'MF Rollover'!BN31)</f>
        <v/>
      </c>
      <c r="BP31" s="149" t="str">
        <f>IF($B31=0,"",$N31*'MF Rents'!BR31*'MF Rollover'!BO31)</f>
        <v/>
      </c>
      <c r="BQ31" s="149" t="str">
        <f>IF($B31=0,"",$N31*'MF Rents'!BS31*'MF Rollover'!BP31)</f>
        <v/>
      </c>
      <c r="BR31" s="149" t="str">
        <f>IF($B31=0,"",$N31*'MF Rents'!BT31*'MF Rollover'!BQ31)</f>
        <v/>
      </c>
      <c r="BS31" s="149" t="str">
        <f>IF($B31=0,"",$N31*'MF Rents'!BU31*'MF Rollover'!BR31)</f>
        <v/>
      </c>
      <c r="BT31" s="149" t="str">
        <f>IF($B31=0,"",$N31*'MF Rents'!BV31*'MF Rollover'!BS31)</f>
        <v/>
      </c>
      <c r="BU31" s="149" t="str">
        <f>IF($B31=0,"",$N31*'MF Rents'!BW31*'MF Rollover'!BT31)</f>
        <v/>
      </c>
      <c r="BV31" s="149" t="str">
        <f>IF($B31=0,"",$N31*'MF Rents'!BX31*'MF Rollover'!BU31)</f>
        <v/>
      </c>
      <c r="BW31" s="149" t="str">
        <f>IF($B31=0,"",$N31*'MF Rents'!BY31*'MF Rollover'!BV31)</f>
        <v/>
      </c>
      <c r="BX31" s="149" t="str">
        <f>IF($B31=0,"",$N31*'MF Rents'!BZ31*'MF Rollover'!BW31)</f>
        <v/>
      </c>
      <c r="BY31" s="149" t="str">
        <f>IF($B31=0,"",$N31*'MF Rents'!CA31*'MF Rollover'!BX31)</f>
        <v/>
      </c>
      <c r="BZ31" s="149" t="str">
        <f>IF($B31=0,"",$N31*'MF Rents'!CB31*'MF Rollover'!BY31)</f>
        <v/>
      </c>
      <c r="CA31" s="149" t="str">
        <f>IF($B31=0,"",$N31*'MF Rents'!CC31*'MF Rollover'!BZ31)</f>
        <v/>
      </c>
      <c r="CB31" s="149" t="str">
        <f>IF($B31=0,"",$N31*'MF Rents'!CD31*'MF Rollover'!CA31)</f>
        <v/>
      </c>
      <c r="CC31" s="149" t="str">
        <f>IF($B31=0,"",$N31*'MF Rents'!CE31*'MF Rollover'!CB31)</f>
        <v/>
      </c>
      <c r="CD31" s="149" t="str">
        <f>IF($B31=0,"",$N31*'MF Rents'!CF31*'MF Rollover'!CC31)</f>
        <v/>
      </c>
      <c r="CE31" s="149" t="str">
        <f>IF($B31=0,"",$N31*'MF Rents'!CG31*'MF Rollover'!CD31)</f>
        <v/>
      </c>
      <c r="CF31" s="149" t="str">
        <f>IF($B31=0,"",$N31*'MF Rents'!CH31*'MF Rollover'!CE31)</f>
        <v/>
      </c>
      <c r="CG31" s="149" t="str">
        <f>IF($B31=0,"",$N31*'MF Rents'!CI31*'MF Rollover'!CF31)</f>
        <v/>
      </c>
      <c r="CH31" s="149" t="str">
        <f>IF($B31=0,"",$N31*'MF Rents'!CJ31*'MF Rollover'!CG31)</f>
        <v/>
      </c>
      <c r="CI31" s="149" t="str">
        <f>IF($B31=0,"",$N31*'MF Rents'!CK31*'MF Rollover'!CH31)</f>
        <v/>
      </c>
      <c r="CJ31" s="149" t="str">
        <f>IF($B31=0,"",$N31*'MF Rents'!CL31*'MF Rollover'!CI31)</f>
        <v/>
      </c>
      <c r="CK31" s="149" t="str">
        <f>IF($B31=0,"",$N31*'MF Rents'!CM31*'MF Rollover'!CJ31)</f>
        <v/>
      </c>
      <c r="CL31" s="149" t="str">
        <f>IF($B31=0,"",$N31*'MF Rents'!CN31*'MF Rollover'!CK31)</f>
        <v/>
      </c>
      <c r="CM31" s="149" t="str">
        <f>IF($B31=0,"",$N31*'MF Rents'!CO31*'MF Rollover'!CL31)</f>
        <v/>
      </c>
      <c r="CN31" s="149" t="str">
        <f>IF($B31=0,"",$N31*'MF Rents'!CP31*'MF Rollover'!CM31)</f>
        <v/>
      </c>
      <c r="CO31" s="149" t="str">
        <f>IF($B31=0,"",$N31*'MF Rents'!CQ31*'MF Rollover'!CN31)</f>
        <v/>
      </c>
      <c r="CP31" s="149" t="str">
        <f>IF($B31=0,"",$N31*'MF Rents'!CR31*'MF Rollover'!CO31)</f>
        <v/>
      </c>
      <c r="CQ31" s="149" t="str">
        <f>IF($B31=0,"",$N31*'MF Rents'!CS31*'MF Rollover'!CP31)</f>
        <v/>
      </c>
      <c r="CR31" s="149" t="str">
        <f>IF($B31=0,"",$N31*'MF Rents'!CT31*'MF Rollover'!CQ31)</f>
        <v/>
      </c>
      <c r="CS31" s="149" t="str">
        <f>IF($B31=0,"",$N31*'MF Rents'!CU31*'MF Rollover'!CR31)</f>
        <v/>
      </c>
      <c r="CT31" s="149" t="str">
        <f>IF($B31=0,"",$N31*'MF Rents'!CV31*'MF Rollover'!CS31)</f>
        <v/>
      </c>
      <c r="CU31" s="149" t="str">
        <f>IF($B31=0,"",$N31*'MF Rents'!CW31*'MF Rollover'!CT31)</f>
        <v/>
      </c>
      <c r="CV31" s="149" t="str">
        <f>IF($B31=0,"",$N31*'MF Rents'!CX31*'MF Rollover'!CU31)</f>
        <v/>
      </c>
      <c r="CW31" s="149" t="str">
        <f>IF($B31=0,"",$N31*'MF Rents'!CY31*'MF Rollover'!CV31)</f>
        <v/>
      </c>
      <c r="CX31" s="149" t="str">
        <f>IF($B31=0,"",$N31*'MF Rents'!CZ31*'MF Rollover'!CW31)</f>
        <v/>
      </c>
      <c r="CY31" s="149" t="str">
        <f>IF($B31=0,"",$N31*'MF Rents'!DA31*'MF Rollover'!CX31)</f>
        <v/>
      </c>
      <c r="CZ31" s="149" t="str">
        <f>IF($B31=0,"",$N31*'MF Rents'!DB31*'MF Rollover'!CY31)</f>
        <v/>
      </c>
      <c r="DA31" s="149" t="str">
        <f>IF($B31=0,"",$N31*'MF Rents'!DC31*'MF Rollover'!CZ31)</f>
        <v/>
      </c>
      <c r="DB31" s="149" t="str">
        <f>IF($B31=0,"",$N31*'MF Rents'!DD31*'MF Rollover'!DA31)</f>
        <v/>
      </c>
      <c r="DC31" s="149" t="str">
        <f>IF($B31=0,"",$N31*'MF Rents'!DE31*'MF Rollover'!DB31)</f>
        <v/>
      </c>
      <c r="DD31" s="149" t="str">
        <f>IF($B31=0,"",$N31*'MF Rents'!DF31*'MF Rollover'!DC31)</f>
        <v/>
      </c>
      <c r="DE31" s="149" t="str">
        <f>IF($B31=0,"",$N31*'MF Rents'!DG31*'MF Rollover'!DD31)</f>
        <v/>
      </c>
      <c r="DF31" s="149" t="str">
        <f>IF($B31=0,"",$N31*'MF Rents'!DH31*'MF Rollover'!DE31)</f>
        <v/>
      </c>
      <c r="DG31" s="149" t="str">
        <f>IF($B31=0,"",$N31*'MF Rents'!DI31*'MF Rollover'!DF31)</f>
        <v/>
      </c>
      <c r="DH31" s="149" t="str">
        <f>IF($B31=0,"",$N31*'MF Rents'!DJ31*'MF Rollover'!DG31)</f>
        <v/>
      </c>
      <c r="DI31" s="149" t="str">
        <f>IF($B31=0,"",$N31*'MF Rents'!DK31*'MF Rollover'!DH31)</f>
        <v/>
      </c>
      <c r="DJ31" s="149" t="str">
        <f>IF($B31=0,"",$N31*'MF Rents'!DL31*'MF Rollover'!DI31)</f>
        <v/>
      </c>
      <c r="DK31" s="149" t="str">
        <f>IF($B31=0,"",$N31*'MF Rents'!DM31*'MF Rollover'!DJ31)</f>
        <v/>
      </c>
      <c r="DL31" s="149" t="str">
        <f>IF($B31=0,"",$N31*'MF Rents'!DN31*'MF Rollover'!DK31)</f>
        <v/>
      </c>
      <c r="DM31" s="149" t="str">
        <f>IF($B31=0,"",$N31*'MF Rents'!DO31*'MF Rollover'!DL31)</f>
        <v/>
      </c>
      <c r="DN31" s="149" t="str">
        <f>IF($B31=0,"",$N31*'MF Rents'!DP31*'MF Rollover'!DM31)</f>
        <v/>
      </c>
      <c r="DO31" s="149" t="str">
        <f>IF($B31=0,"",$N31*'MF Rents'!DQ31*'MF Rollover'!DN31)</f>
        <v/>
      </c>
      <c r="DP31" s="149" t="str">
        <f>IF($B31=0,"",$N31*'MF Rents'!DR31*'MF Rollover'!DO31)</f>
        <v/>
      </c>
      <c r="DQ31" s="149" t="str">
        <f>IF($B31=0,"",$N31*'MF Rents'!DS31*'MF Rollover'!DP31)</f>
        <v/>
      </c>
      <c r="DR31" s="149" t="str">
        <f>IF($B31=0,"",$N31*'MF Rents'!DT31*'MF Rollover'!DQ31)</f>
        <v/>
      </c>
      <c r="DS31" s="149" t="str">
        <f>IF($B31=0,"",$N31*'MF Rents'!DU31*'MF Rollover'!DR31)</f>
        <v/>
      </c>
      <c r="DT31" s="149" t="str">
        <f>IF($B31=0,"",$N31*'MF Rents'!DV31*'MF Rollover'!DS31)</f>
        <v/>
      </c>
      <c r="DU31" s="149" t="str">
        <f>IF($B31=0,"",$N31*'MF Rents'!DW31*'MF Rollover'!DT31)</f>
        <v/>
      </c>
      <c r="DV31" s="149" t="str">
        <f>IF($B31=0,"",$N31*'MF Rents'!DX31*'MF Rollover'!DU31)</f>
        <v/>
      </c>
      <c r="DW31" s="149" t="str">
        <f>IF($B31=0,"",$N31*'MF Rents'!DY31*'MF Rollover'!DV31)</f>
        <v/>
      </c>
      <c r="DX31" s="149" t="str">
        <f>IF($B31=0,"",$N31*'MF Rents'!DZ31*'MF Rollover'!DW31)</f>
        <v/>
      </c>
      <c r="DY31" s="149" t="str">
        <f>IF($B31=0,"",$N31*'MF Rents'!EA31*'MF Rollover'!DX31)</f>
        <v/>
      </c>
      <c r="DZ31" s="149" t="str">
        <f>IF($B31=0,"",$N31*'MF Rents'!EB31*'MF Rollover'!DY31)</f>
        <v/>
      </c>
      <c r="EA31" s="149" t="str">
        <f>IF($B31=0,"",$N31*'MF Rents'!EC31*'MF Rollover'!DZ31)</f>
        <v/>
      </c>
      <c r="EB31" s="149" t="str">
        <f>IF($B31=0,"",$N31*'MF Rents'!ED31*'MF Rollover'!EA31)</f>
        <v/>
      </c>
      <c r="EC31" s="149" t="str">
        <f>IF($B31=0,"",$N31*'MF Rents'!EE31*'MF Rollover'!EB31)</f>
        <v/>
      </c>
      <c r="ED31" s="149" t="str">
        <f>IF($B31=0,"",$N31*'MF Rents'!EF31*'MF Rollover'!EC31)</f>
        <v/>
      </c>
      <c r="EE31" s="149" t="str">
        <f>IF($B31=0,"",$N31*'MF Rents'!EG31*'MF Rollover'!ED31)</f>
        <v/>
      </c>
      <c r="EF31" s="149" t="str">
        <f>IF($B31=0,"",$N31*'MF Rents'!EH31*'MF Rollover'!EE31)</f>
        <v/>
      </c>
      <c r="EG31" s="149" t="str">
        <f>IF($B31=0,"",$N31*'MF Rents'!EI31*'MF Rollover'!EF31)</f>
        <v/>
      </c>
      <c r="EH31" s="149" t="str">
        <f>IF($B31=0,"",$N31*'MF Rents'!EJ31*'MF Rollover'!EG31)</f>
        <v/>
      </c>
      <c r="EI31" s="149" t="str">
        <f>IF($B31=0,"",$N31*'MF Rents'!EK31*'MF Rollover'!EH31)</f>
        <v/>
      </c>
      <c r="EJ31" s="149" t="str">
        <f>IF($B31=0,"",$N31*'MF Rents'!EL31*'MF Rollover'!EI31)</f>
        <v/>
      </c>
      <c r="EK31" s="149" t="str">
        <f>IF($B31=0,"",$N31*'MF Rents'!EM31*'MF Rollover'!EJ31)</f>
        <v/>
      </c>
      <c r="EL31" s="149" t="str">
        <f>IF($B31=0,"",$N31*'MF Rents'!EN31*'MF Rollover'!EK31)</f>
        <v/>
      </c>
      <c r="EM31" s="149" t="str">
        <f>IF($B31=0,"",$N31*'MF Rents'!EO31*'MF Rollover'!EL31)</f>
        <v/>
      </c>
      <c r="EN31" s="149" t="str">
        <f>IF($B31=0,"",$N31*'MF Rents'!EP31*'MF Rollover'!EM31)</f>
        <v/>
      </c>
      <c r="EO31" s="149" t="str">
        <f>IF($B31=0,"",$N31*'MF Rents'!EQ31*'MF Rollover'!EN31)</f>
        <v/>
      </c>
      <c r="EP31" s="149" t="str">
        <f>IF($B31=0,"",$N31*'MF Rents'!ER31*'MF Rollover'!EO31)</f>
        <v/>
      </c>
      <c r="EQ31" s="149" t="str">
        <f>IF($B31=0,"",$N31*'MF Rents'!ES31*'MF Rollover'!EP31)</f>
        <v/>
      </c>
      <c r="ER31" s="149" t="str">
        <f>IF($B31=0,"",$N31*'MF Rents'!ET31*'MF Rollover'!EQ31)</f>
        <v/>
      </c>
      <c r="ES31" s="149" t="str">
        <f>IF($B31=0,"",$N31*'MF Rents'!EU31*'MF Rollover'!ER31)</f>
        <v/>
      </c>
      <c r="ET31" s="149" t="str">
        <f>IF($B31=0,"",$N31*'MF Rents'!EV31*'MF Rollover'!ES31)</f>
        <v/>
      </c>
      <c r="EU31" s="149" t="str">
        <f>IF($B31=0,"",$N31*'MF Rents'!EW31*'MF Rollover'!ET31)</f>
        <v/>
      </c>
      <c r="EV31" s="149" t="str">
        <f>IF($B31=0,"",$N31*'MF Rents'!EX31*'MF Rollover'!EU31)</f>
        <v/>
      </c>
      <c r="EW31" s="149" t="str">
        <f>IF($B31=0,"",$N31*'MF Rents'!EY31*'MF Rollover'!EV31)</f>
        <v/>
      </c>
      <c r="EX31" s="149" t="str">
        <f>IF($B31=0,"",$N31*'MF Rents'!EZ31*'MF Rollover'!EW31)</f>
        <v/>
      </c>
      <c r="EY31" s="149" t="str">
        <f>IF($B31=0,"",$N31*'MF Rents'!FA31*'MF Rollover'!EX31)</f>
        <v/>
      </c>
      <c r="EZ31" s="149" t="str">
        <f>IF($B31=0,"",$N31*'MF Rents'!FB31*'MF Rollover'!EY31)</f>
        <v/>
      </c>
      <c r="FA31" s="149" t="str">
        <f>IF($B31=0,"",$N31*'MF Rents'!FC31*'MF Rollover'!EZ31)</f>
        <v/>
      </c>
      <c r="FB31" s="149" t="str">
        <f>IF($B31=0,"",$N31*'MF Rents'!FD31*'MF Rollover'!FA31)</f>
        <v/>
      </c>
      <c r="FC31" s="149" t="str">
        <f>IF($B31=0,"",$N31*'MF Rents'!FE31*'MF Rollover'!FB31)</f>
        <v/>
      </c>
      <c r="FD31" s="149" t="str">
        <f>IF($B31=0,"",$N31*'MF Rents'!FF31*'MF Rollover'!FC31)</f>
        <v/>
      </c>
      <c r="FE31" s="149" t="str">
        <f>IF($B31=0,"",$N31*'MF Rents'!FG31*'MF Rollover'!FD31)</f>
        <v/>
      </c>
      <c r="FF31" s="149" t="str">
        <f>IF($B31=0,"",$N31*'MF Rents'!FH31*'MF Rollover'!FE31)</f>
        <v/>
      </c>
      <c r="FG31" s="149" t="str">
        <f>IF($B31=0,"",$N31*'MF Rents'!FI31*'MF Rollover'!FF31)</f>
        <v/>
      </c>
      <c r="FH31" s="149" t="str">
        <f>IF($B31=0,"",$N31*'MF Rents'!FJ31*'MF Rollover'!FG31)</f>
        <v/>
      </c>
      <c r="FI31" s="149" t="str">
        <f>IF($B31=0,"",$N31*'MF Rents'!FK31*'MF Rollover'!FH31)</f>
        <v/>
      </c>
      <c r="FJ31" s="149" t="str">
        <f>IF($B31=0,"",$N31*'MF Rents'!FL31*'MF Rollover'!FI31)</f>
        <v/>
      </c>
      <c r="FK31" s="149" t="str">
        <f>IF($B31=0,"",$N31*'MF Rents'!FM31*'MF Rollover'!FJ31)</f>
        <v/>
      </c>
      <c r="FL31" s="149" t="str">
        <f>IF($B31=0,"",$N31*'MF Rents'!FN31*'MF Rollover'!FK31)</f>
        <v/>
      </c>
      <c r="FM31" s="149" t="str">
        <f>IF($B31=0,"",$N31*'MF Rents'!FO31*'MF Rollover'!FL31)</f>
        <v/>
      </c>
      <c r="FN31" s="149" t="str">
        <f>IF($B31=0,"",$N31*'MF Rents'!FP31*'MF Rollover'!FM31)</f>
        <v/>
      </c>
      <c r="FO31" s="149" t="str">
        <f>IF($B31=0,"",$N31*'MF Rents'!FQ31*'MF Rollover'!FN31)</f>
        <v/>
      </c>
      <c r="FP31" s="149" t="str">
        <f>IF($B31=0,"",$N31*'MF Rents'!FR31*'MF Rollover'!FO31)</f>
        <v/>
      </c>
      <c r="FQ31" s="149" t="str">
        <f>IF($B31=0,"",$N31*'MF Rents'!FS31*'MF Rollover'!FP31)</f>
        <v/>
      </c>
      <c r="FR31" s="149" t="str">
        <f>IF($B31=0,"",$N31*'MF Rents'!FT31*'MF Rollover'!FQ31)</f>
        <v/>
      </c>
      <c r="FS31" s="149" t="str">
        <f>IF($B31=0,"",$N31*'MF Rents'!FU31*'MF Rollover'!FR31)</f>
        <v/>
      </c>
      <c r="FT31" s="149" t="str">
        <f>IF($B31=0,"",$N31*'MF Rents'!FV31*'MF Rollover'!FS31)</f>
        <v/>
      </c>
      <c r="FU31" s="149" t="str">
        <f>IF($B31=0,"",$N31*'MF Rents'!FW31*'MF Rollover'!FT31)</f>
        <v/>
      </c>
      <c r="FV31" s="149" t="str">
        <f>IF($B31=0,"",$N31*'MF Rents'!FX31*'MF Rollover'!FU31)</f>
        <v/>
      </c>
      <c r="FW31" s="149" t="str">
        <f>IF($B31=0,"",$N31*'MF Rents'!FY31*'MF Rollover'!FV31)</f>
        <v/>
      </c>
      <c r="FX31" s="149" t="str">
        <f>IF($B31=0,"",$N31*'MF Rents'!FZ31*'MF Rollover'!FW31)</f>
        <v/>
      </c>
      <c r="FY31" s="149" t="str">
        <f>IF($B31=0,"",$N31*'MF Rents'!GA31*'MF Rollover'!FX31)</f>
        <v/>
      </c>
      <c r="FZ31" s="149" t="str">
        <f>IF($B31=0,"",$N31*'MF Rents'!GB31*'MF Rollover'!FY31)</f>
        <v/>
      </c>
      <c r="GA31" s="149" t="str">
        <f>IF($B31=0,"",$N31*'MF Rents'!GC31*'MF Rollover'!FZ31)</f>
        <v/>
      </c>
      <c r="GB31" s="149" t="str">
        <f>IF($B31=0,"",$N31*'MF Rents'!GD31*'MF Rollover'!GA31)</f>
        <v/>
      </c>
      <c r="GC31" s="149" t="str">
        <f>IF($B31=0,"",$N31*'MF Rents'!GE31*'MF Rollover'!GB31)</f>
        <v/>
      </c>
      <c r="GD31" s="149" t="str">
        <f>IF($B31=0,"",$N31*'MF Rents'!GF31*'MF Rollover'!GC31)</f>
        <v/>
      </c>
      <c r="GE31" s="149" t="str">
        <f>IF($B31=0,"",$N31*'MF Rents'!GG31*'MF Rollover'!GD31)</f>
        <v/>
      </c>
      <c r="GF31" s="149" t="str">
        <f>IF($B31=0,"",$N31*'MF Rents'!GH31*'MF Rollover'!GE31)</f>
        <v/>
      </c>
      <c r="GG31" s="149" t="str">
        <f>IF($B31=0,"",$N31*'MF Rents'!GI31*'MF Rollover'!GF31)</f>
        <v/>
      </c>
      <c r="GH31" s="149" t="str">
        <f>IF($B31=0,"",$N31*'MF Rents'!GJ31*'MF Rollover'!GG31)</f>
        <v/>
      </c>
      <c r="GI31" s="149" t="str">
        <f>IF($B31=0,"",$N31*'MF Rents'!GK31*'MF Rollover'!GH31)</f>
        <v/>
      </c>
      <c r="GJ31" s="149" t="str">
        <f>IF($B31=0,"",$N31*'MF Rents'!GL31*'MF Rollover'!GI31)</f>
        <v/>
      </c>
      <c r="GK31" s="149" t="str">
        <f>IF($B31=0,"",$N31*'MF Rents'!GM31*'MF Rollover'!GJ31)</f>
        <v/>
      </c>
      <c r="GL31" s="149" t="str">
        <f>IF($B31=0,"",$N31*'MF Rents'!GN31*'MF Rollover'!GK31)</f>
        <v/>
      </c>
      <c r="GM31" s="149" t="str">
        <f>IF($B31=0,"",$N31*'MF Rents'!GO31*'MF Rollover'!GL31)</f>
        <v/>
      </c>
      <c r="GN31" s="149" t="str">
        <f>IF($B31=0,"",$N31*'MF Rents'!GP31*'MF Rollover'!GM31)</f>
        <v/>
      </c>
      <c r="GO31" s="149" t="str">
        <f>IF($B31=0,"",$N31*'MF Rents'!GQ31*'MF Rollover'!GN31)</f>
        <v/>
      </c>
      <c r="GP31" s="149" t="str">
        <f>IF($B31=0,"",$N31*'MF Rents'!GR31*'MF Rollover'!GO31)</f>
        <v/>
      </c>
    </row>
    <row r="32" spans="2:198" x14ac:dyDescent="0.3">
      <c r="B32" s="184">
        <f>'MF Rent Roll'!B31</f>
        <v>0</v>
      </c>
      <c r="C32" s="171">
        <f>'MF Rent Roll'!C31</f>
        <v>0</v>
      </c>
      <c r="D32" s="172">
        <f>'MF Rent Roll'!D31</f>
        <v>0</v>
      </c>
      <c r="E32" s="172">
        <f>'MF Rent Roll'!E31</f>
        <v>0</v>
      </c>
      <c r="F32" s="173">
        <f>'MF Rent Roll'!F31</f>
        <v>0</v>
      </c>
      <c r="G32" s="174">
        <f>'MF Rent Roll'!G31</f>
        <v>0</v>
      </c>
      <c r="H32" s="176">
        <f>'MF Rent Roll'!J31</f>
        <v>0</v>
      </c>
      <c r="I32" s="174">
        <f>'MF Rent Roll'!K31</f>
        <v>0</v>
      </c>
      <c r="J32" s="177">
        <f>'MF Rent Roll'!L31</f>
        <v>0</v>
      </c>
      <c r="K32" s="178">
        <f>'MF Rent Roll'!M31</f>
        <v>0</v>
      </c>
      <c r="L32" s="174">
        <f>'MF Rent Roll'!N31</f>
        <v>0</v>
      </c>
      <c r="M32" s="179">
        <f>'MF Rent Roll'!O31</f>
        <v>0</v>
      </c>
      <c r="N32" s="180" t="str">
        <f>'MF Rent Roll'!P31</f>
        <v/>
      </c>
      <c r="O32" s="181" t="str">
        <f>'MF Rent Roll'!Q31</f>
        <v/>
      </c>
      <c r="P32" s="104" t="str">
        <f>'MF Rent Roll'!R31</f>
        <v/>
      </c>
      <c r="S32" s="149" t="str">
        <f>IF($B32=0,"",$N32*'MF Rents'!U32*'MF Rollover'!R32)</f>
        <v/>
      </c>
      <c r="T32" s="149" t="str">
        <f>IF($B32=0,"",$N32*'MF Rents'!V32*'MF Rollover'!S32)</f>
        <v/>
      </c>
      <c r="U32" s="149" t="str">
        <f>IF($B32=0,"",$N32*'MF Rents'!W32*'MF Rollover'!T32)</f>
        <v/>
      </c>
      <c r="V32" s="149" t="str">
        <f>IF($B32=0,"",$N32*'MF Rents'!X32*'MF Rollover'!U32)</f>
        <v/>
      </c>
      <c r="W32" s="149" t="str">
        <f>IF($B32=0,"",$N32*'MF Rents'!Y32*'MF Rollover'!V32)</f>
        <v/>
      </c>
      <c r="X32" s="149" t="str">
        <f>IF($B32=0,"",$N32*'MF Rents'!Z32*'MF Rollover'!W32)</f>
        <v/>
      </c>
      <c r="Y32" s="149" t="str">
        <f>IF($B32=0,"",$N32*'MF Rents'!AA32*'MF Rollover'!X32)</f>
        <v/>
      </c>
      <c r="Z32" s="149" t="str">
        <f>IF($B32=0,"",$N32*'MF Rents'!AB32*'MF Rollover'!Y32)</f>
        <v/>
      </c>
      <c r="AA32" s="149" t="str">
        <f>IF($B32=0,"",$N32*'MF Rents'!AC32*'MF Rollover'!Z32)</f>
        <v/>
      </c>
      <c r="AB32" s="149" t="str">
        <f>IF($B32=0,"",$N32*'MF Rents'!AD32*'MF Rollover'!AA32)</f>
        <v/>
      </c>
      <c r="AC32" s="149" t="str">
        <f>IF($B32=0,"",$N32*'MF Rents'!AE32*'MF Rollover'!AB32)</f>
        <v/>
      </c>
      <c r="AD32" s="149" t="str">
        <f>IF($B32=0,"",$N32*'MF Rents'!AF32*'MF Rollover'!AC32)</f>
        <v/>
      </c>
      <c r="AE32" s="149" t="str">
        <f>IF($B32=0,"",$N32*'MF Rents'!AG32*'MF Rollover'!AD32)</f>
        <v/>
      </c>
      <c r="AF32" s="149" t="str">
        <f>IF($B32=0,"",$N32*'MF Rents'!AH32*'MF Rollover'!AE32)</f>
        <v/>
      </c>
      <c r="AG32" s="149" t="str">
        <f>IF($B32=0,"",$N32*'MF Rents'!AI32*'MF Rollover'!AF32)</f>
        <v/>
      </c>
      <c r="AH32" s="149" t="str">
        <f>IF($B32=0,"",$N32*'MF Rents'!AJ32*'MF Rollover'!AG32)</f>
        <v/>
      </c>
      <c r="AI32" s="149" t="str">
        <f>IF($B32=0,"",$N32*'MF Rents'!AK32*'MF Rollover'!AH32)</f>
        <v/>
      </c>
      <c r="AJ32" s="149" t="str">
        <f>IF($B32=0,"",$N32*'MF Rents'!AL32*'MF Rollover'!AI32)</f>
        <v/>
      </c>
      <c r="AK32" s="149" t="str">
        <f>IF($B32=0,"",$N32*'MF Rents'!AM32*'MF Rollover'!AJ32)</f>
        <v/>
      </c>
      <c r="AL32" s="149" t="str">
        <f>IF($B32=0,"",$N32*'MF Rents'!AN32*'MF Rollover'!AK32)</f>
        <v/>
      </c>
      <c r="AM32" s="149" t="str">
        <f>IF($B32=0,"",$N32*'MF Rents'!AO32*'MF Rollover'!AL32)</f>
        <v/>
      </c>
      <c r="AN32" s="149" t="str">
        <f>IF($B32=0,"",$N32*'MF Rents'!AP32*'MF Rollover'!AM32)</f>
        <v/>
      </c>
      <c r="AO32" s="149" t="str">
        <f>IF($B32=0,"",$N32*'MF Rents'!AQ32*'MF Rollover'!AN32)</f>
        <v/>
      </c>
      <c r="AP32" s="149" t="str">
        <f>IF($B32=0,"",$N32*'MF Rents'!AR32*'MF Rollover'!AO32)</f>
        <v/>
      </c>
      <c r="AQ32" s="149" t="str">
        <f>IF($B32=0,"",$N32*'MF Rents'!AS32*'MF Rollover'!AP32)</f>
        <v/>
      </c>
      <c r="AR32" s="149" t="str">
        <f>IF($B32=0,"",$N32*'MF Rents'!AT32*'MF Rollover'!AQ32)</f>
        <v/>
      </c>
      <c r="AS32" s="149" t="str">
        <f>IF($B32=0,"",$N32*'MF Rents'!AU32*'MF Rollover'!AR32)</f>
        <v/>
      </c>
      <c r="AT32" s="149" t="str">
        <f>IF($B32=0,"",$N32*'MF Rents'!AV32*'MF Rollover'!AS32)</f>
        <v/>
      </c>
      <c r="AU32" s="149" t="str">
        <f>IF($B32=0,"",$N32*'MF Rents'!AW32*'MF Rollover'!AT32)</f>
        <v/>
      </c>
      <c r="AV32" s="149" t="str">
        <f>IF($B32=0,"",$N32*'MF Rents'!AX32*'MF Rollover'!AU32)</f>
        <v/>
      </c>
      <c r="AW32" s="149" t="str">
        <f>IF($B32=0,"",$N32*'MF Rents'!AY32*'MF Rollover'!AV32)</f>
        <v/>
      </c>
      <c r="AX32" s="149" t="str">
        <f>IF($B32=0,"",$N32*'MF Rents'!AZ32*'MF Rollover'!AW32)</f>
        <v/>
      </c>
      <c r="AY32" s="149" t="str">
        <f>IF($B32=0,"",$N32*'MF Rents'!BA32*'MF Rollover'!AX32)</f>
        <v/>
      </c>
      <c r="AZ32" s="149" t="str">
        <f>IF($B32=0,"",$N32*'MF Rents'!BB32*'MF Rollover'!AY32)</f>
        <v/>
      </c>
      <c r="BA32" s="149" t="str">
        <f>IF($B32=0,"",$N32*'MF Rents'!BC32*'MF Rollover'!AZ32)</f>
        <v/>
      </c>
      <c r="BB32" s="149" t="str">
        <f>IF($B32=0,"",$N32*'MF Rents'!BD32*'MF Rollover'!BA32)</f>
        <v/>
      </c>
      <c r="BC32" s="149" t="str">
        <f>IF($B32=0,"",$N32*'MF Rents'!BE32*'MF Rollover'!BB32)</f>
        <v/>
      </c>
      <c r="BD32" s="149" t="str">
        <f>IF($B32=0,"",$N32*'MF Rents'!BF32*'MF Rollover'!BC32)</f>
        <v/>
      </c>
      <c r="BE32" s="149" t="str">
        <f>IF($B32=0,"",$N32*'MF Rents'!BG32*'MF Rollover'!BD32)</f>
        <v/>
      </c>
      <c r="BF32" s="149" t="str">
        <f>IF($B32=0,"",$N32*'MF Rents'!BH32*'MF Rollover'!BE32)</f>
        <v/>
      </c>
      <c r="BG32" s="149" t="str">
        <f>IF($B32=0,"",$N32*'MF Rents'!BI32*'MF Rollover'!BF32)</f>
        <v/>
      </c>
      <c r="BH32" s="149" t="str">
        <f>IF($B32=0,"",$N32*'MF Rents'!BJ32*'MF Rollover'!BG32)</f>
        <v/>
      </c>
      <c r="BI32" s="149" t="str">
        <f>IF($B32=0,"",$N32*'MF Rents'!BK32*'MF Rollover'!BH32)</f>
        <v/>
      </c>
      <c r="BJ32" s="149" t="str">
        <f>IF($B32=0,"",$N32*'MF Rents'!BL32*'MF Rollover'!BI32)</f>
        <v/>
      </c>
      <c r="BK32" s="149" t="str">
        <f>IF($B32=0,"",$N32*'MF Rents'!BM32*'MF Rollover'!BJ32)</f>
        <v/>
      </c>
      <c r="BL32" s="149" t="str">
        <f>IF($B32=0,"",$N32*'MF Rents'!BN32*'MF Rollover'!BK32)</f>
        <v/>
      </c>
      <c r="BM32" s="149" t="str">
        <f>IF($B32=0,"",$N32*'MF Rents'!BO32*'MF Rollover'!BL32)</f>
        <v/>
      </c>
      <c r="BN32" s="149" t="str">
        <f>IF($B32=0,"",$N32*'MF Rents'!BP32*'MF Rollover'!BM32)</f>
        <v/>
      </c>
      <c r="BO32" s="149" t="str">
        <f>IF($B32=0,"",$N32*'MF Rents'!BQ32*'MF Rollover'!BN32)</f>
        <v/>
      </c>
      <c r="BP32" s="149" t="str">
        <f>IF($B32=0,"",$N32*'MF Rents'!BR32*'MF Rollover'!BO32)</f>
        <v/>
      </c>
      <c r="BQ32" s="149" t="str">
        <f>IF($B32=0,"",$N32*'MF Rents'!BS32*'MF Rollover'!BP32)</f>
        <v/>
      </c>
      <c r="BR32" s="149" t="str">
        <f>IF($B32=0,"",$N32*'MF Rents'!BT32*'MF Rollover'!BQ32)</f>
        <v/>
      </c>
      <c r="BS32" s="149" t="str">
        <f>IF($B32=0,"",$N32*'MF Rents'!BU32*'MF Rollover'!BR32)</f>
        <v/>
      </c>
      <c r="BT32" s="149" t="str">
        <f>IF($B32=0,"",$N32*'MF Rents'!BV32*'MF Rollover'!BS32)</f>
        <v/>
      </c>
      <c r="BU32" s="149" t="str">
        <f>IF($B32=0,"",$N32*'MF Rents'!BW32*'MF Rollover'!BT32)</f>
        <v/>
      </c>
      <c r="BV32" s="149" t="str">
        <f>IF($B32=0,"",$N32*'MF Rents'!BX32*'MF Rollover'!BU32)</f>
        <v/>
      </c>
      <c r="BW32" s="149" t="str">
        <f>IF($B32=0,"",$N32*'MF Rents'!BY32*'MF Rollover'!BV32)</f>
        <v/>
      </c>
      <c r="BX32" s="149" t="str">
        <f>IF($B32=0,"",$N32*'MF Rents'!BZ32*'MF Rollover'!BW32)</f>
        <v/>
      </c>
      <c r="BY32" s="149" t="str">
        <f>IF($B32=0,"",$N32*'MF Rents'!CA32*'MF Rollover'!BX32)</f>
        <v/>
      </c>
      <c r="BZ32" s="149" t="str">
        <f>IF($B32=0,"",$N32*'MF Rents'!CB32*'MF Rollover'!BY32)</f>
        <v/>
      </c>
      <c r="CA32" s="149" t="str">
        <f>IF($B32=0,"",$N32*'MF Rents'!CC32*'MF Rollover'!BZ32)</f>
        <v/>
      </c>
      <c r="CB32" s="149" t="str">
        <f>IF($B32=0,"",$N32*'MF Rents'!CD32*'MF Rollover'!CA32)</f>
        <v/>
      </c>
      <c r="CC32" s="149" t="str">
        <f>IF($B32=0,"",$N32*'MF Rents'!CE32*'MF Rollover'!CB32)</f>
        <v/>
      </c>
      <c r="CD32" s="149" t="str">
        <f>IF($B32=0,"",$N32*'MF Rents'!CF32*'MF Rollover'!CC32)</f>
        <v/>
      </c>
      <c r="CE32" s="149" t="str">
        <f>IF($B32=0,"",$N32*'MF Rents'!CG32*'MF Rollover'!CD32)</f>
        <v/>
      </c>
      <c r="CF32" s="149" t="str">
        <f>IF($B32=0,"",$N32*'MF Rents'!CH32*'MF Rollover'!CE32)</f>
        <v/>
      </c>
      <c r="CG32" s="149" t="str">
        <f>IF($B32=0,"",$N32*'MF Rents'!CI32*'MF Rollover'!CF32)</f>
        <v/>
      </c>
      <c r="CH32" s="149" t="str">
        <f>IF($B32=0,"",$N32*'MF Rents'!CJ32*'MF Rollover'!CG32)</f>
        <v/>
      </c>
      <c r="CI32" s="149" t="str">
        <f>IF($B32=0,"",$N32*'MF Rents'!CK32*'MF Rollover'!CH32)</f>
        <v/>
      </c>
      <c r="CJ32" s="149" t="str">
        <f>IF($B32=0,"",$N32*'MF Rents'!CL32*'MF Rollover'!CI32)</f>
        <v/>
      </c>
      <c r="CK32" s="149" t="str">
        <f>IF($B32=0,"",$N32*'MF Rents'!CM32*'MF Rollover'!CJ32)</f>
        <v/>
      </c>
      <c r="CL32" s="149" t="str">
        <f>IF($B32=0,"",$N32*'MF Rents'!CN32*'MF Rollover'!CK32)</f>
        <v/>
      </c>
      <c r="CM32" s="149" t="str">
        <f>IF($B32=0,"",$N32*'MF Rents'!CO32*'MF Rollover'!CL32)</f>
        <v/>
      </c>
      <c r="CN32" s="149" t="str">
        <f>IF($B32=0,"",$N32*'MF Rents'!CP32*'MF Rollover'!CM32)</f>
        <v/>
      </c>
      <c r="CO32" s="149" t="str">
        <f>IF($B32=0,"",$N32*'MF Rents'!CQ32*'MF Rollover'!CN32)</f>
        <v/>
      </c>
      <c r="CP32" s="149" t="str">
        <f>IF($B32=0,"",$N32*'MF Rents'!CR32*'MF Rollover'!CO32)</f>
        <v/>
      </c>
      <c r="CQ32" s="149" t="str">
        <f>IF($B32=0,"",$N32*'MF Rents'!CS32*'MF Rollover'!CP32)</f>
        <v/>
      </c>
      <c r="CR32" s="149" t="str">
        <f>IF($B32=0,"",$N32*'MF Rents'!CT32*'MF Rollover'!CQ32)</f>
        <v/>
      </c>
      <c r="CS32" s="149" t="str">
        <f>IF($B32=0,"",$N32*'MF Rents'!CU32*'MF Rollover'!CR32)</f>
        <v/>
      </c>
      <c r="CT32" s="149" t="str">
        <f>IF($B32=0,"",$N32*'MF Rents'!CV32*'MF Rollover'!CS32)</f>
        <v/>
      </c>
      <c r="CU32" s="149" t="str">
        <f>IF($B32=0,"",$N32*'MF Rents'!CW32*'MF Rollover'!CT32)</f>
        <v/>
      </c>
      <c r="CV32" s="149" t="str">
        <f>IF($B32=0,"",$N32*'MF Rents'!CX32*'MF Rollover'!CU32)</f>
        <v/>
      </c>
      <c r="CW32" s="149" t="str">
        <f>IF($B32=0,"",$N32*'MF Rents'!CY32*'MF Rollover'!CV32)</f>
        <v/>
      </c>
      <c r="CX32" s="149" t="str">
        <f>IF($B32=0,"",$N32*'MF Rents'!CZ32*'MF Rollover'!CW32)</f>
        <v/>
      </c>
      <c r="CY32" s="149" t="str">
        <f>IF($B32=0,"",$N32*'MF Rents'!DA32*'MF Rollover'!CX32)</f>
        <v/>
      </c>
      <c r="CZ32" s="149" t="str">
        <f>IF($B32=0,"",$N32*'MF Rents'!DB32*'MF Rollover'!CY32)</f>
        <v/>
      </c>
      <c r="DA32" s="149" t="str">
        <f>IF($B32=0,"",$N32*'MF Rents'!DC32*'MF Rollover'!CZ32)</f>
        <v/>
      </c>
      <c r="DB32" s="149" t="str">
        <f>IF($B32=0,"",$N32*'MF Rents'!DD32*'MF Rollover'!DA32)</f>
        <v/>
      </c>
      <c r="DC32" s="149" t="str">
        <f>IF($B32=0,"",$N32*'MF Rents'!DE32*'MF Rollover'!DB32)</f>
        <v/>
      </c>
      <c r="DD32" s="149" t="str">
        <f>IF($B32=0,"",$N32*'MF Rents'!DF32*'MF Rollover'!DC32)</f>
        <v/>
      </c>
      <c r="DE32" s="149" t="str">
        <f>IF($B32=0,"",$N32*'MF Rents'!DG32*'MF Rollover'!DD32)</f>
        <v/>
      </c>
      <c r="DF32" s="149" t="str">
        <f>IF($B32=0,"",$N32*'MF Rents'!DH32*'MF Rollover'!DE32)</f>
        <v/>
      </c>
      <c r="DG32" s="149" t="str">
        <f>IF($B32=0,"",$N32*'MF Rents'!DI32*'MF Rollover'!DF32)</f>
        <v/>
      </c>
      <c r="DH32" s="149" t="str">
        <f>IF($B32=0,"",$N32*'MF Rents'!DJ32*'MF Rollover'!DG32)</f>
        <v/>
      </c>
      <c r="DI32" s="149" t="str">
        <f>IF($B32=0,"",$N32*'MF Rents'!DK32*'MF Rollover'!DH32)</f>
        <v/>
      </c>
      <c r="DJ32" s="149" t="str">
        <f>IF($B32=0,"",$N32*'MF Rents'!DL32*'MF Rollover'!DI32)</f>
        <v/>
      </c>
      <c r="DK32" s="149" t="str">
        <f>IF($B32=0,"",$N32*'MF Rents'!DM32*'MF Rollover'!DJ32)</f>
        <v/>
      </c>
      <c r="DL32" s="149" t="str">
        <f>IF($B32=0,"",$N32*'MF Rents'!DN32*'MF Rollover'!DK32)</f>
        <v/>
      </c>
      <c r="DM32" s="149" t="str">
        <f>IF($B32=0,"",$N32*'MF Rents'!DO32*'MF Rollover'!DL32)</f>
        <v/>
      </c>
      <c r="DN32" s="149" t="str">
        <f>IF($B32=0,"",$N32*'MF Rents'!DP32*'MF Rollover'!DM32)</f>
        <v/>
      </c>
      <c r="DO32" s="149" t="str">
        <f>IF($B32=0,"",$N32*'MF Rents'!DQ32*'MF Rollover'!DN32)</f>
        <v/>
      </c>
      <c r="DP32" s="149" t="str">
        <f>IF($B32=0,"",$N32*'MF Rents'!DR32*'MF Rollover'!DO32)</f>
        <v/>
      </c>
      <c r="DQ32" s="149" t="str">
        <f>IF($B32=0,"",$N32*'MF Rents'!DS32*'MF Rollover'!DP32)</f>
        <v/>
      </c>
      <c r="DR32" s="149" t="str">
        <f>IF($B32=0,"",$N32*'MF Rents'!DT32*'MF Rollover'!DQ32)</f>
        <v/>
      </c>
      <c r="DS32" s="149" t="str">
        <f>IF($B32=0,"",$N32*'MF Rents'!DU32*'MF Rollover'!DR32)</f>
        <v/>
      </c>
      <c r="DT32" s="149" t="str">
        <f>IF($B32=0,"",$N32*'MF Rents'!DV32*'MF Rollover'!DS32)</f>
        <v/>
      </c>
      <c r="DU32" s="149" t="str">
        <f>IF($B32=0,"",$N32*'MF Rents'!DW32*'MF Rollover'!DT32)</f>
        <v/>
      </c>
      <c r="DV32" s="149" t="str">
        <f>IF($B32=0,"",$N32*'MF Rents'!DX32*'MF Rollover'!DU32)</f>
        <v/>
      </c>
      <c r="DW32" s="149" t="str">
        <f>IF($B32=0,"",$N32*'MF Rents'!DY32*'MF Rollover'!DV32)</f>
        <v/>
      </c>
      <c r="DX32" s="149" t="str">
        <f>IF($B32=0,"",$N32*'MF Rents'!DZ32*'MF Rollover'!DW32)</f>
        <v/>
      </c>
      <c r="DY32" s="149" t="str">
        <f>IF($B32=0,"",$N32*'MF Rents'!EA32*'MF Rollover'!DX32)</f>
        <v/>
      </c>
      <c r="DZ32" s="149" t="str">
        <f>IF($B32=0,"",$N32*'MF Rents'!EB32*'MF Rollover'!DY32)</f>
        <v/>
      </c>
      <c r="EA32" s="149" t="str">
        <f>IF($B32=0,"",$N32*'MF Rents'!EC32*'MF Rollover'!DZ32)</f>
        <v/>
      </c>
      <c r="EB32" s="149" t="str">
        <f>IF($B32=0,"",$N32*'MF Rents'!ED32*'MF Rollover'!EA32)</f>
        <v/>
      </c>
      <c r="EC32" s="149" t="str">
        <f>IF($B32=0,"",$N32*'MF Rents'!EE32*'MF Rollover'!EB32)</f>
        <v/>
      </c>
      <c r="ED32" s="149" t="str">
        <f>IF($B32=0,"",$N32*'MF Rents'!EF32*'MF Rollover'!EC32)</f>
        <v/>
      </c>
      <c r="EE32" s="149" t="str">
        <f>IF($B32=0,"",$N32*'MF Rents'!EG32*'MF Rollover'!ED32)</f>
        <v/>
      </c>
      <c r="EF32" s="149" t="str">
        <f>IF($B32=0,"",$N32*'MF Rents'!EH32*'MF Rollover'!EE32)</f>
        <v/>
      </c>
      <c r="EG32" s="149" t="str">
        <f>IF($B32=0,"",$N32*'MF Rents'!EI32*'MF Rollover'!EF32)</f>
        <v/>
      </c>
      <c r="EH32" s="149" t="str">
        <f>IF($B32=0,"",$N32*'MF Rents'!EJ32*'MF Rollover'!EG32)</f>
        <v/>
      </c>
      <c r="EI32" s="149" t="str">
        <f>IF($B32=0,"",$N32*'MF Rents'!EK32*'MF Rollover'!EH32)</f>
        <v/>
      </c>
      <c r="EJ32" s="149" t="str">
        <f>IF($B32=0,"",$N32*'MF Rents'!EL32*'MF Rollover'!EI32)</f>
        <v/>
      </c>
      <c r="EK32" s="149" t="str">
        <f>IF($B32=0,"",$N32*'MF Rents'!EM32*'MF Rollover'!EJ32)</f>
        <v/>
      </c>
      <c r="EL32" s="149" t="str">
        <f>IF($B32=0,"",$N32*'MF Rents'!EN32*'MF Rollover'!EK32)</f>
        <v/>
      </c>
      <c r="EM32" s="149" t="str">
        <f>IF($B32=0,"",$N32*'MF Rents'!EO32*'MF Rollover'!EL32)</f>
        <v/>
      </c>
      <c r="EN32" s="149" t="str">
        <f>IF($B32=0,"",$N32*'MF Rents'!EP32*'MF Rollover'!EM32)</f>
        <v/>
      </c>
      <c r="EO32" s="149" t="str">
        <f>IF($B32=0,"",$N32*'MF Rents'!EQ32*'MF Rollover'!EN32)</f>
        <v/>
      </c>
      <c r="EP32" s="149" t="str">
        <f>IF($B32=0,"",$N32*'MF Rents'!ER32*'MF Rollover'!EO32)</f>
        <v/>
      </c>
      <c r="EQ32" s="149" t="str">
        <f>IF($B32=0,"",$N32*'MF Rents'!ES32*'MF Rollover'!EP32)</f>
        <v/>
      </c>
      <c r="ER32" s="149" t="str">
        <f>IF($B32=0,"",$N32*'MF Rents'!ET32*'MF Rollover'!EQ32)</f>
        <v/>
      </c>
      <c r="ES32" s="149" t="str">
        <f>IF($B32=0,"",$N32*'MF Rents'!EU32*'MF Rollover'!ER32)</f>
        <v/>
      </c>
      <c r="ET32" s="149" t="str">
        <f>IF($B32=0,"",$N32*'MF Rents'!EV32*'MF Rollover'!ES32)</f>
        <v/>
      </c>
      <c r="EU32" s="149" t="str">
        <f>IF($B32=0,"",$N32*'MF Rents'!EW32*'MF Rollover'!ET32)</f>
        <v/>
      </c>
      <c r="EV32" s="149" t="str">
        <f>IF($B32=0,"",$N32*'MF Rents'!EX32*'MF Rollover'!EU32)</f>
        <v/>
      </c>
      <c r="EW32" s="149" t="str">
        <f>IF($B32=0,"",$N32*'MF Rents'!EY32*'MF Rollover'!EV32)</f>
        <v/>
      </c>
      <c r="EX32" s="149" t="str">
        <f>IF($B32=0,"",$N32*'MF Rents'!EZ32*'MF Rollover'!EW32)</f>
        <v/>
      </c>
      <c r="EY32" s="149" t="str">
        <f>IF($B32=0,"",$N32*'MF Rents'!FA32*'MF Rollover'!EX32)</f>
        <v/>
      </c>
      <c r="EZ32" s="149" t="str">
        <f>IF($B32=0,"",$N32*'MF Rents'!FB32*'MF Rollover'!EY32)</f>
        <v/>
      </c>
      <c r="FA32" s="149" t="str">
        <f>IF($B32=0,"",$N32*'MF Rents'!FC32*'MF Rollover'!EZ32)</f>
        <v/>
      </c>
      <c r="FB32" s="149" t="str">
        <f>IF($B32=0,"",$N32*'MF Rents'!FD32*'MF Rollover'!FA32)</f>
        <v/>
      </c>
      <c r="FC32" s="149" t="str">
        <f>IF($B32=0,"",$N32*'MF Rents'!FE32*'MF Rollover'!FB32)</f>
        <v/>
      </c>
      <c r="FD32" s="149" t="str">
        <f>IF($B32=0,"",$N32*'MF Rents'!FF32*'MF Rollover'!FC32)</f>
        <v/>
      </c>
      <c r="FE32" s="149" t="str">
        <f>IF($B32=0,"",$N32*'MF Rents'!FG32*'MF Rollover'!FD32)</f>
        <v/>
      </c>
      <c r="FF32" s="149" t="str">
        <f>IF($B32=0,"",$N32*'MF Rents'!FH32*'MF Rollover'!FE32)</f>
        <v/>
      </c>
      <c r="FG32" s="149" t="str">
        <f>IF($B32=0,"",$N32*'MF Rents'!FI32*'MF Rollover'!FF32)</f>
        <v/>
      </c>
      <c r="FH32" s="149" t="str">
        <f>IF($B32=0,"",$N32*'MF Rents'!FJ32*'MF Rollover'!FG32)</f>
        <v/>
      </c>
      <c r="FI32" s="149" t="str">
        <f>IF($B32=0,"",$N32*'MF Rents'!FK32*'MF Rollover'!FH32)</f>
        <v/>
      </c>
      <c r="FJ32" s="149" t="str">
        <f>IF($B32=0,"",$N32*'MF Rents'!FL32*'MF Rollover'!FI32)</f>
        <v/>
      </c>
      <c r="FK32" s="149" t="str">
        <f>IF($B32=0,"",$N32*'MF Rents'!FM32*'MF Rollover'!FJ32)</f>
        <v/>
      </c>
      <c r="FL32" s="149" t="str">
        <f>IF($B32=0,"",$N32*'MF Rents'!FN32*'MF Rollover'!FK32)</f>
        <v/>
      </c>
      <c r="FM32" s="149" t="str">
        <f>IF($B32=0,"",$N32*'MF Rents'!FO32*'MF Rollover'!FL32)</f>
        <v/>
      </c>
      <c r="FN32" s="149" t="str">
        <f>IF($B32=0,"",$N32*'MF Rents'!FP32*'MF Rollover'!FM32)</f>
        <v/>
      </c>
      <c r="FO32" s="149" t="str">
        <f>IF($B32=0,"",$N32*'MF Rents'!FQ32*'MF Rollover'!FN32)</f>
        <v/>
      </c>
      <c r="FP32" s="149" t="str">
        <f>IF($B32=0,"",$N32*'MF Rents'!FR32*'MF Rollover'!FO32)</f>
        <v/>
      </c>
      <c r="FQ32" s="149" t="str">
        <f>IF($B32=0,"",$N32*'MF Rents'!FS32*'MF Rollover'!FP32)</f>
        <v/>
      </c>
      <c r="FR32" s="149" t="str">
        <f>IF($B32=0,"",$N32*'MF Rents'!FT32*'MF Rollover'!FQ32)</f>
        <v/>
      </c>
      <c r="FS32" s="149" t="str">
        <f>IF($B32=0,"",$N32*'MF Rents'!FU32*'MF Rollover'!FR32)</f>
        <v/>
      </c>
      <c r="FT32" s="149" t="str">
        <f>IF($B32=0,"",$N32*'MF Rents'!FV32*'MF Rollover'!FS32)</f>
        <v/>
      </c>
      <c r="FU32" s="149" t="str">
        <f>IF($B32=0,"",$N32*'MF Rents'!FW32*'MF Rollover'!FT32)</f>
        <v/>
      </c>
      <c r="FV32" s="149" t="str">
        <f>IF($B32=0,"",$N32*'MF Rents'!FX32*'MF Rollover'!FU32)</f>
        <v/>
      </c>
      <c r="FW32" s="149" t="str">
        <f>IF($B32=0,"",$N32*'MF Rents'!FY32*'MF Rollover'!FV32)</f>
        <v/>
      </c>
      <c r="FX32" s="149" t="str">
        <f>IF($B32=0,"",$N32*'MF Rents'!FZ32*'MF Rollover'!FW32)</f>
        <v/>
      </c>
      <c r="FY32" s="149" t="str">
        <f>IF($B32=0,"",$N32*'MF Rents'!GA32*'MF Rollover'!FX32)</f>
        <v/>
      </c>
      <c r="FZ32" s="149" t="str">
        <f>IF($B32=0,"",$N32*'MF Rents'!GB32*'MF Rollover'!FY32)</f>
        <v/>
      </c>
      <c r="GA32" s="149" t="str">
        <f>IF($B32=0,"",$N32*'MF Rents'!GC32*'MF Rollover'!FZ32)</f>
        <v/>
      </c>
      <c r="GB32" s="149" t="str">
        <f>IF($B32=0,"",$N32*'MF Rents'!GD32*'MF Rollover'!GA32)</f>
        <v/>
      </c>
      <c r="GC32" s="149" t="str">
        <f>IF($B32=0,"",$N32*'MF Rents'!GE32*'MF Rollover'!GB32)</f>
        <v/>
      </c>
      <c r="GD32" s="149" t="str">
        <f>IF($B32=0,"",$N32*'MF Rents'!GF32*'MF Rollover'!GC32)</f>
        <v/>
      </c>
      <c r="GE32" s="149" t="str">
        <f>IF($B32=0,"",$N32*'MF Rents'!GG32*'MF Rollover'!GD32)</f>
        <v/>
      </c>
      <c r="GF32" s="149" t="str">
        <f>IF($B32=0,"",$N32*'MF Rents'!GH32*'MF Rollover'!GE32)</f>
        <v/>
      </c>
      <c r="GG32" s="149" t="str">
        <f>IF($B32=0,"",$N32*'MF Rents'!GI32*'MF Rollover'!GF32)</f>
        <v/>
      </c>
      <c r="GH32" s="149" t="str">
        <f>IF($B32=0,"",$N32*'MF Rents'!GJ32*'MF Rollover'!GG32)</f>
        <v/>
      </c>
      <c r="GI32" s="149" t="str">
        <f>IF($B32=0,"",$N32*'MF Rents'!GK32*'MF Rollover'!GH32)</f>
        <v/>
      </c>
      <c r="GJ32" s="149" t="str">
        <f>IF($B32=0,"",$N32*'MF Rents'!GL32*'MF Rollover'!GI32)</f>
        <v/>
      </c>
      <c r="GK32" s="149" t="str">
        <f>IF($B32=0,"",$N32*'MF Rents'!GM32*'MF Rollover'!GJ32)</f>
        <v/>
      </c>
      <c r="GL32" s="149" t="str">
        <f>IF($B32=0,"",$N32*'MF Rents'!GN32*'MF Rollover'!GK32)</f>
        <v/>
      </c>
      <c r="GM32" s="149" t="str">
        <f>IF($B32=0,"",$N32*'MF Rents'!GO32*'MF Rollover'!GL32)</f>
        <v/>
      </c>
      <c r="GN32" s="149" t="str">
        <f>IF($B32=0,"",$N32*'MF Rents'!GP32*'MF Rollover'!GM32)</f>
        <v/>
      </c>
      <c r="GO32" s="149" t="str">
        <f>IF($B32=0,"",$N32*'MF Rents'!GQ32*'MF Rollover'!GN32)</f>
        <v/>
      </c>
      <c r="GP32" s="149" t="str">
        <f>IF($B32=0,"",$N32*'MF Rents'!GR32*'MF Rollover'!GO32)</f>
        <v/>
      </c>
    </row>
    <row r="33" spans="2:198" x14ac:dyDescent="0.3">
      <c r="B33" s="184">
        <f>'MF Rent Roll'!B32</f>
        <v>0</v>
      </c>
      <c r="C33" s="171">
        <f>'MF Rent Roll'!C32</f>
        <v>0</v>
      </c>
      <c r="D33" s="172">
        <f>'MF Rent Roll'!D32</f>
        <v>0</v>
      </c>
      <c r="E33" s="172">
        <f>'MF Rent Roll'!E32</f>
        <v>0</v>
      </c>
      <c r="F33" s="173">
        <f>'MF Rent Roll'!F32</f>
        <v>0</v>
      </c>
      <c r="G33" s="174">
        <f>'MF Rent Roll'!G32</f>
        <v>0</v>
      </c>
      <c r="H33" s="176">
        <f>'MF Rent Roll'!J32</f>
        <v>0</v>
      </c>
      <c r="I33" s="174">
        <f>'MF Rent Roll'!K32</f>
        <v>0</v>
      </c>
      <c r="J33" s="177">
        <f>'MF Rent Roll'!L32</f>
        <v>0</v>
      </c>
      <c r="K33" s="178">
        <f>'MF Rent Roll'!M32</f>
        <v>0</v>
      </c>
      <c r="L33" s="174">
        <f>'MF Rent Roll'!N32</f>
        <v>0</v>
      </c>
      <c r="M33" s="179">
        <f>'MF Rent Roll'!O32</f>
        <v>0</v>
      </c>
      <c r="N33" s="180" t="str">
        <f>'MF Rent Roll'!P32</f>
        <v/>
      </c>
      <c r="O33" s="181" t="str">
        <f>'MF Rent Roll'!Q32</f>
        <v/>
      </c>
      <c r="P33" s="104" t="str">
        <f>'MF Rent Roll'!R32</f>
        <v/>
      </c>
      <c r="S33" s="149" t="str">
        <f>IF($B33=0,"",$N33*'MF Rents'!U33*'MF Rollover'!R33)</f>
        <v/>
      </c>
      <c r="T33" s="149" t="str">
        <f>IF($B33=0,"",$N33*'MF Rents'!V33*'MF Rollover'!S33)</f>
        <v/>
      </c>
      <c r="U33" s="149" t="str">
        <f>IF($B33=0,"",$N33*'MF Rents'!W33*'MF Rollover'!T33)</f>
        <v/>
      </c>
      <c r="V33" s="149" t="str">
        <f>IF($B33=0,"",$N33*'MF Rents'!X33*'MF Rollover'!U33)</f>
        <v/>
      </c>
      <c r="W33" s="149" t="str">
        <f>IF($B33=0,"",$N33*'MF Rents'!Y33*'MF Rollover'!V33)</f>
        <v/>
      </c>
      <c r="X33" s="149" t="str">
        <f>IF($B33=0,"",$N33*'MF Rents'!Z33*'MF Rollover'!W33)</f>
        <v/>
      </c>
      <c r="Y33" s="149" t="str">
        <f>IF($B33=0,"",$N33*'MF Rents'!AA33*'MF Rollover'!X33)</f>
        <v/>
      </c>
      <c r="Z33" s="149" t="str">
        <f>IF($B33=0,"",$N33*'MF Rents'!AB33*'MF Rollover'!Y33)</f>
        <v/>
      </c>
      <c r="AA33" s="149" t="str">
        <f>IF($B33=0,"",$N33*'MF Rents'!AC33*'MF Rollover'!Z33)</f>
        <v/>
      </c>
      <c r="AB33" s="149" t="str">
        <f>IF($B33=0,"",$N33*'MF Rents'!AD33*'MF Rollover'!AA33)</f>
        <v/>
      </c>
      <c r="AC33" s="149" t="str">
        <f>IF($B33=0,"",$N33*'MF Rents'!AE33*'MF Rollover'!AB33)</f>
        <v/>
      </c>
      <c r="AD33" s="149" t="str">
        <f>IF($B33=0,"",$N33*'MF Rents'!AF33*'MF Rollover'!AC33)</f>
        <v/>
      </c>
      <c r="AE33" s="149" t="str">
        <f>IF($B33=0,"",$N33*'MF Rents'!AG33*'MF Rollover'!AD33)</f>
        <v/>
      </c>
      <c r="AF33" s="149" t="str">
        <f>IF($B33=0,"",$N33*'MF Rents'!AH33*'MF Rollover'!AE33)</f>
        <v/>
      </c>
      <c r="AG33" s="149" t="str">
        <f>IF($B33=0,"",$N33*'MF Rents'!AI33*'MF Rollover'!AF33)</f>
        <v/>
      </c>
      <c r="AH33" s="149" t="str">
        <f>IF($B33=0,"",$N33*'MF Rents'!AJ33*'MF Rollover'!AG33)</f>
        <v/>
      </c>
      <c r="AI33" s="149" t="str">
        <f>IF($B33=0,"",$N33*'MF Rents'!AK33*'MF Rollover'!AH33)</f>
        <v/>
      </c>
      <c r="AJ33" s="149" t="str">
        <f>IF($B33=0,"",$N33*'MF Rents'!AL33*'MF Rollover'!AI33)</f>
        <v/>
      </c>
      <c r="AK33" s="149" t="str">
        <f>IF($B33=0,"",$N33*'MF Rents'!AM33*'MF Rollover'!AJ33)</f>
        <v/>
      </c>
      <c r="AL33" s="149" t="str">
        <f>IF($B33=0,"",$N33*'MF Rents'!AN33*'MF Rollover'!AK33)</f>
        <v/>
      </c>
      <c r="AM33" s="149" t="str">
        <f>IF($B33=0,"",$N33*'MF Rents'!AO33*'MF Rollover'!AL33)</f>
        <v/>
      </c>
      <c r="AN33" s="149" t="str">
        <f>IF($B33=0,"",$N33*'MF Rents'!AP33*'MF Rollover'!AM33)</f>
        <v/>
      </c>
      <c r="AO33" s="149" t="str">
        <f>IF($B33=0,"",$N33*'MF Rents'!AQ33*'MF Rollover'!AN33)</f>
        <v/>
      </c>
      <c r="AP33" s="149" t="str">
        <f>IF($B33=0,"",$N33*'MF Rents'!AR33*'MF Rollover'!AO33)</f>
        <v/>
      </c>
      <c r="AQ33" s="149" t="str">
        <f>IF($B33=0,"",$N33*'MF Rents'!AS33*'MF Rollover'!AP33)</f>
        <v/>
      </c>
      <c r="AR33" s="149" t="str">
        <f>IF($B33=0,"",$N33*'MF Rents'!AT33*'MF Rollover'!AQ33)</f>
        <v/>
      </c>
      <c r="AS33" s="149" t="str">
        <f>IF($B33=0,"",$N33*'MF Rents'!AU33*'MF Rollover'!AR33)</f>
        <v/>
      </c>
      <c r="AT33" s="149" t="str">
        <f>IF($B33=0,"",$N33*'MF Rents'!AV33*'MF Rollover'!AS33)</f>
        <v/>
      </c>
      <c r="AU33" s="149" t="str">
        <f>IF($B33=0,"",$N33*'MF Rents'!AW33*'MF Rollover'!AT33)</f>
        <v/>
      </c>
      <c r="AV33" s="149" t="str">
        <f>IF($B33=0,"",$N33*'MF Rents'!AX33*'MF Rollover'!AU33)</f>
        <v/>
      </c>
      <c r="AW33" s="149" t="str">
        <f>IF($B33=0,"",$N33*'MF Rents'!AY33*'MF Rollover'!AV33)</f>
        <v/>
      </c>
      <c r="AX33" s="149" t="str">
        <f>IF($B33=0,"",$N33*'MF Rents'!AZ33*'MF Rollover'!AW33)</f>
        <v/>
      </c>
      <c r="AY33" s="149" t="str">
        <f>IF($B33=0,"",$N33*'MF Rents'!BA33*'MF Rollover'!AX33)</f>
        <v/>
      </c>
      <c r="AZ33" s="149" t="str">
        <f>IF($B33=0,"",$N33*'MF Rents'!BB33*'MF Rollover'!AY33)</f>
        <v/>
      </c>
      <c r="BA33" s="149" t="str">
        <f>IF($B33=0,"",$N33*'MF Rents'!BC33*'MF Rollover'!AZ33)</f>
        <v/>
      </c>
      <c r="BB33" s="149" t="str">
        <f>IF($B33=0,"",$N33*'MF Rents'!BD33*'MF Rollover'!BA33)</f>
        <v/>
      </c>
      <c r="BC33" s="149" t="str">
        <f>IF($B33=0,"",$N33*'MF Rents'!BE33*'MF Rollover'!BB33)</f>
        <v/>
      </c>
      <c r="BD33" s="149" t="str">
        <f>IF($B33=0,"",$N33*'MF Rents'!BF33*'MF Rollover'!BC33)</f>
        <v/>
      </c>
      <c r="BE33" s="149" t="str">
        <f>IF($B33=0,"",$N33*'MF Rents'!BG33*'MF Rollover'!BD33)</f>
        <v/>
      </c>
      <c r="BF33" s="149" t="str">
        <f>IF($B33=0,"",$N33*'MF Rents'!BH33*'MF Rollover'!BE33)</f>
        <v/>
      </c>
      <c r="BG33" s="149" t="str">
        <f>IF($B33=0,"",$N33*'MF Rents'!BI33*'MF Rollover'!BF33)</f>
        <v/>
      </c>
      <c r="BH33" s="149" t="str">
        <f>IF($B33=0,"",$N33*'MF Rents'!BJ33*'MF Rollover'!BG33)</f>
        <v/>
      </c>
      <c r="BI33" s="149" t="str">
        <f>IF($B33=0,"",$N33*'MF Rents'!BK33*'MF Rollover'!BH33)</f>
        <v/>
      </c>
      <c r="BJ33" s="149" t="str">
        <f>IF($B33=0,"",$N33*'MF Rents'!BL33*'MF Rollover'!BI33)</f>
        <v/>
      </c>
      <c r="BK33" s="149" t="str">
        <f>IF($B33=0,"",$N33*'MF Rents'!BM33*'MF Rollover'!BJ33)</f>
        <v/>
      </c>
      <c r="BL33" s="149" t="str">
        <f>IF($B33=0,"",$N33*'MF Rents'!BN33*'MF Rollover'!BK33)</f>
        <v/>
      </c>
      <c r="BM33" s="149" t="str">
        <f>IF($B33=0,"",$N33*'MF Rents'!BO33*'MF Rollover'!BL33)</f>
        <v/>
      </c>
      <c r="BN33" s="149" t="str">
        <f>IF($B33=0,"",$N33*'MF Rents'!BP33*'MF Rollover'!BM33)</f>
        <v/>
      </c>
      <c r="BO33" s="149" t="str">
        <f>IF($B33=0,"",$N33*'MF Rents'!BQ33*'MF Rollover'!BN33)</f>
        <v/>
      </c>
      <c r="BP33" s="149" t="str">
        <f>IF($B33=0,"",$N33*'MF Rents'!BR33*'MF Rollover'!BO33)</f>
        <v/>
      </c>
      <c r="BQ33" s="149" t="str">
        <f>IF($B33=0,"",$N33*'MF Rents'!BS33*'MF Rollover'!BP33)</f>
        <v/>
      </c>
      <c r="BR33" s="149" t="str">
        <f>IF($B33=0,"",$N33*'MF Rents'!BT33*'MF Rollover'!BQ33)</f>
        <v/>
      </c>
      <c r="BS33" s="149" t="str">
        <f>IF($B33=0,"",$N33*'MF Rents'!BU33*'MF Rollover'!BR33)</f>
        <v/>
      </c>
      <c r="BT33" s="149" t="str">
        <f>IF($B33=0,"",$N33*'MF Rents'!BV33*'MF Rollover'!BS33)</f>
        <v/>
      </c>
      <c r="BU33" s="149" t="str">
        <f>IF($B33=0,"",$N33*'MF Rents'!BW33*'MF Rollover'!BT33)</f>
        <v/>
      </c>
      <c r="BV33" s="149" t="str">
        <f>IF($B33=0,"",$N33*'MF Rents'!BX33*'MF Rollover'!BU33)</f>
        <v/>
      </c>
      <c r="BW33" s="149" t="str">
        <f>IF($B33=0,"",$N33*'MF Rents'!BY33*'MF Rollover'!BV33)</f>
        <v/>
      </c>
      <c r="BX33" s="149" t="str">
        <f>IF($B33=0,"",$N33*'MF Rents'!BZ33*'MF Rollover'!BW33)</f>
        <v/>
      </c>
      <c r="BY33" s="149" t="str">
        <f>IF($B33=0,"",$N33*'MF Rents'!CA33*'MF Rollover'!BX33)</f>
        <v/>
      </c>
      <c r="BZ33" s="149" t="str">
        <f>IF($B33=0,"",$N33*'MF Rents'!CB33*'MF Rollover'!BY33)</f>
        <v/>
      </c>
      <c r="CA33" s="149" t="str">
        <f>IF($B33=0,"",$N33*'MF Rents'!CC33*'MF Rollover'!BZ33)</f>
        <v/>
      </c>
      <c r="CB33" s="149" t="str">
        <f>IF($B33=0,"",$N33*'MF Rents'!CD33*'MF Rollover'!CA33)</f>
        <v/>
      </c>
      <c r="CC33" s="149" t="str">
        <f>IF($B33=0,"",$N33*'MF Rents'!CE33*'MF Rollover'!CB33)</f>
        <v/>
      </c>
      <c r="CD33" s="149" t="str">
        <f>IF($B33=0,"",$N33*'MF Rents'!CF33*'MF Rollover'!CC33)</f>
        <v/>
      </c>
      <c r="CE33" s="149" t="str">
        <f>IF($B33=0,"",$N33*'MF Rents'!CG33*'MF Rollover'!CD33)</f>
        <v/>
      </c>
      <c r="CF33" s="149" t="str">
        <f>IF($B33=0,"",$N33*'MF Rents'!CH33*'MF Rollover'!CE33)</f>
        <v/>
      </c>
      <c r="CG33" s="149" t="str">
        <f>IF($B33=0,"",$N33*'MF Rents'!CI33*'MF Rollover'!CF33)</f>
        <v/>
      </c>
      <c r="CH33" s="149" t="str">
        <f>IF($B33=0,"",$N33*'MF Rents'!CJ33*'MF Rollover'!CG33)</f>
        <v/>
      </c>
      <c r="CI33" s="149" t="str">
        <f>IF($B33=0,"",$N33*'MF Rents'!CK33*'MF Rollover'!CH33)</f>
        <v/>
      </c>
      <c r="CJ33" s="149" t="str">
        <f>IF($B33=0,"",$N33*'MF Rents'!CL33*'MF Rollover'!CI33)</f>
        <v/>
      </c>
      <c r="CK33" s="149" t="str">
        <f>IF($B33=0,"",$N33*'MF Rents'!CM33*'MF Rollover'!CJ33)</f>
        <v/>
      </c>
      <c r="CL33" s="149" t="str">
        <f>IF($B33=0,"",$N33*'MF Rents'!CN33*'MF Rollover'!CK33)</f>
        <v/>
      </c>
      <c r="CM33" s="149" t="str">
        <f>IF($B33=0,"",$N33*'MF Rents'!CO33*'MF Rollover'!CL33)</f>
        <v/>
      </c>
      <c r="CN33" s="149" t="str">
        <f>IF($B33=0,"",$N33*'MF Rents'!CP33*'MF Rollover'!CM33)</f>
        <v/>
      </c>
      <c r="CO33" s="149" t="str">
        <f>IF($B33=0,"",$N33*'MF Rents'!CQ33*'MF Rollover'!CN33)</f>
        <v/>
      </c>
      <c r="CP33" s="149" t="str">
        <f>IF($B33=0,"",$N33*'MF Rents'!CR33*'MF Rollover'!CO33)</f>
        <v/>
      </c>
      <c r="CQ33" s="149" t="str">
        <f>IF($B33=0,"",$N33*'MF Rents'!CS33*'MF Rollover'!CP33)</f>
        <v/>
      </c>
      <c r="CR33" s="149" t="str">
        <f>IF($B33=0,"",$N33*'MF Rents'!CT33*'MF Rollover'!CQ33)</f>
        <v/>
      </c>
      <c r="CS33" s="149" t="str">
        <f>IF($B33=0,"",$N33*'MF Rents'!CU33*'MF Rollover'!CR33)</f>
        <v/>
      </c>
      <c r="CT33" s="149" t="str">
        <f>IF($B33=0,"",$N33*'MF Rents'!CV33*'MF Rollover'!CS33)</f>
        <v/>
      </c>
      <c r="CU33" s="149" t="str">
        <f>IF($B33=0,"",$N33*'MF Rents'!CW33*'MF Rollover'!CT33)</f>
        <v/>
      </c>
      <c r="CV33" s="149" t="str">
        <f>IF($B33=0,"",$N33*'MF Rents'!CX33*'MF Rollover'!CU33)</f>
        <v/>
      </c>
      <c r="CW33" s="149" t="str">
        <f>IF($B33=0,"",$N33*'MF Rents'!CY33*'MF Rollover'!CV33)</f>
        <v/>
      </c>
      <c r="CX33" s="149" t="str">
        <f>IF($B33=0,"",$N33*'MF Rents'!CZ33*'MF Rollover'!CW33)</f>
        <v/>
      </c>
      <c r="CY33" s="149" t="str">
        <f>IF($B33=0,"",$N33*'MF Rents'!DA33*'MF Rollover'!CX33)</f>
        <v/>
      </c>
      <c r="CZ33" s="149" t="str">
        <f>IF($B33=0,"",$N33*'MF Rents'!DB33*'MF Rollover'!CY33)</f>
        <v/>
      </c>
      <c r="DA33" s="149" t="str">
        <f>IF($B33=0,"",$N33*'MF Rents'!DC33*'MF Rollover'!CZ33)</f>
        <v/>
      </c>
      <c r="DB33" s="149" t="str">
        <f>IF($B33=0,"",$N33*'MF Rents'!DD33*'MF Rollover'!DA33)</f>
        <v/>
      </c>
      <c r="DC33" s="149" t="str">
        <f>IF($B33=0,"",$N33*'MF Rents'!DE33*'MF Rollover'!DB33)</f>
        <v/>
      </c>
      <c r="DD33" s="149" t="str">
        <f>IF($B33=0,"",$N33*'MF Rents'!DF33*'MF Rollover'!DC33)</f>
        <v/>
      </c>
      <c r="DE33" s="149" t="str">
        <f>IF($B33=0,"",$N33*'MF Rents'!DG33*'MF Rollover'!DD33)</f>
        <v/>
      </c>
      <c r="DF33" s="149" t="str">
        <f>IF($B33=0,"",$N33*'MF Rents'!DH33*'MF Rollover'!DE33)</f>
        <v/>
      </c>
      <c r="DG33" s="149" t="str">
        <f>IF($B33=0,"",$N33*'MF Rents'!DI33*'MF Rollover'!DF33)</f>
        <v/>
      </c>
      <c r="DH33" s="149" t="str">
        <f>IF($B33=0,"",$N33*'MF Rents'!DJ33*'MF Rollover'!DG33)</f>
        <v/>
      </c>
      <c r="DI33" s="149" t="str">
        <f>IF($B33=0,"",$N33*'MF Rents'!DK33*'MF Rollover'!DH33)</f>
        <v/>
      </c>
      <c r="DJ33" s="149" t="str">
        <f>IF($B33=0,"",$N33*'MF Rents'!DL33*'MF Rollover'!DI33)</f>
        <v/>
      </c>
      <c r="DK33" s="149" t="str">
        <f>IF($B33=0,"",$N33*'MF Rents'!DM33*'MF Rollover'!DJ33)</f>
        <v/>
      </c>
      <c r="DL33" s="149" t="str">
        <f>IF($B33=0,"",$N33*'MF Rents'!DN33*'MF Rollover'!DK33)</f>
        <v/>
      </c>
      <c r="DM33" s="149" t="str">
        <f>IF($B33=0,"",$N33*'MF Rents'!DO33*'MF Rollover'!DL33)</f>
        <v/>
      </c>
      <c r="DN33" s="149" t="str">
        <f>IF($B33=0,"",$N33*'MF Rents'!DP33*'MF Rollover'!DM33)</f>
        <v/>
      </c>
      <c r="DO33" s="149" t="str">
        <f>IF($B33=0,"",$N33*'MF Rents'!DQ33*'MF Rollover'!DN33)</f>
        <v/>
      </c>
      <c r="DP33" s="149" t="str">
        <f>IF($B33=0,"",$N33*'MF Rents'!DR33*'MF Rollover'!DO33)</f>
        <v/>
      </c>
      <c r="DQ33" s="149" t="str">
        <f>IF($B33=0,"",$N33*'MF Rents'!DS33*'MF Rollover'!DP33)</f>
        <v/>
      </c>
      <c r="DR33" s="149" t="str">
        <f>IF($B33=0,"",$N33*'MF Rents'!DT33*'MF Rollover'!DQ33)</f>
        <v/>
      </c>
      <c r="DS33" s="149" t="str">
        <f>IF($B33=0,"",$N33*'MF Rents'!DU33*'MF Rollover'!DR33)</f>
        <v/>
      </c>
      <c r="DT33" s="149" t="str">
        <f>IF($B33=0,"",$N33*'MF Rents'!DV33*'MF Rollover'!DS33)</f>
        <v/>
      </c>
      <c r="DU33" s="149" t="str">
        <f>IF($B33=0,"",$N33*'MF Rents'!DW33*'MF Rollover'!DT33)</f>
        <v/>
      </c>
      <c r="DV33" s="149" t="str">
        <f>IF($B33=0,"",$N33*'MF Rents'!DX33*'MF Rollover'!DU33)</f>
        <v/>
      </c>
      <c r="DW33" s="149" t="str">
        <f>IF($B33=0,"",$N33*'MF Rents'!DY33*'MF Rollover'!DV33)</f>
        <v/>
      </c>
      <c r="DX33" s="149" t="str">
        <f>IF($B33=0,"",$N33*'MF Rents'!DZ33*'MF Rollover'!DW33)</f>
        <v/>
      </c>
      <c r="DY33" s="149" t="str">
        <f>IF($B33=0,"",$N33*'MF Rents'!EA33*'MF Rollover'!DX33)</f>
        <v/>
      </c>
      <c r="DZ33" s="149" t="str">
        <f>IF($B33=0,"",$N33*'MF Rents'!EB33*'MF Rollover'!DY33)</f>
        <v/>
      </c>
      <c r="EA33" s="149" t="str">
        <f>IF($B33=0,"",$N33*'MF Rents'!EC33*'MF Rollover'!DZ33)</f>
        <v/>
      </c>
      <c r="EB33" s="149" t="str">
        <f>IF($B33=0,"",$N33*'MF Rents'!ED33*'MF Rollover'!EA33)</f>
        <v/>
      </c>
      <c r="EC33" s="149" t="str">
        <f>IF($B33=0,"",$N33*'MF Rents'!EE33*'MF Rollover'!EB33)</f>
        <v/>
      </c>
      <c r="ED33" s="149" t="str">
        <f>IF($B33=0,"",$N33*'MF Rents'!EF33*'MF Rollover'!EC33)</f>
        <v/>
      </c>
      <c r="EE33" s="149" t="str">
        <f>IF($B33=0,"",$N33*'MF Rents'!EG33*'MF Rollover'!ED33)</f>
        <v/>
      </c>
      <c r="EF33" s="149" t="str">
        <f>IF($B33=0,"",$N33*'MF Rents'!EH33*'MF Rollover'!EE33)</f>
        <v/>
      </c>
      <c r="EG33" s="149" t="str">
        <f>IF($B33=0,"",$N33*'MF Rents'!EI33*'MF Rollover'!EF33)</f>
        <v/>
      </c>
      <c r="EH33" s="149" t="str">
        <f>IF($B33=0,"",$N33*'MF Rents'!EJ33*'MF Rollover'!EG33)</f>
        <v/>
      </c>
      <c r="EI33" s="149" t="str">
        <f>IF($B33=0,"",$N33*'MF Rents'!EK33*'MF Rollover'!EH33)</f>
        <v/>
      </c>
      <c r="EJ33" s="149" t="str">
        <f>IF($B33=0,"",$N33*'MF Rents'!EL33*'MF Rollover'!EI33)</f>
        <v/>
      </c>
      <c r="EK33" s="149" t="str">
        <f>IF($B33=0,"",$N33*'MF Rents'!EM33*'MF Rollover'!EJ33)</f>
        <v/>
      </c>
      <c r="EL33" s="149" t="str">
        <f>IF($B33=0,"",$N33*'MF Rents'!EN33*'MF Rollover'!EK33)</f>
        <v/>
      </c>
      <c r="EM33" s="149" t="str">
        <f>IF($B33=0,"",$N33*'MF Rents'!EO33*'MF Rollover'!EL33)</f>
        <v/>
      </c>
      <c r="EN33" s="149" t="str">
        <f>IF($B33=0,"",$N33*'MF Rents'!EP33*'MF Rollover'!EM33)</f>
        <v/>
      </c>
      <c r="EO33" s="149" t="str">
        <f>IF($B33=0,"",$N33*'MF Rents'!EQ33*'MF Rollover'!EN33)</f>
        <v/>
      </c>
      <c r="EP33" s="149" t="str">
        <f>IF($B33=0,"",$N33*'MF Rents'!ER33*'MF Rollover'!EO33)</f>
        <v/>
      </c>
      <c r="EQ33" s="149" t="str">
        <f>IF($B33=0,"",$N33*'MF Rents'!ES33*'MF Rollover'!EP33)</f>
        <v/>
      </c>
      <c r="ER33" s="149" t="str">
        <f>IF($B33=0,"",$N33*'MF Rents'!ET33*'MF Rollover'!EQ33)</f>
        <v/>
      </c>
      <c r="ES33" s="149" t="str">
        <f>IF($B33=0,"",$N33*'MF Rents'!EU33*'MF Rollover'!ER33)</f>
        <v/>
      </c>
      <c r="ET33" s="149" t="str">
        <f>IF($B33=0,"",$N33*'MF Rents'!EV33*'MF Rollover'!ES33)</f>
        <v/>
      </c>
      <c r="EU33" s="149" t="str">
        <f>IF($B33=0,"",$N33*'MF Rents'!EW33*'MF Rollover'!ET33)</f>
        <v/>
      </c>
      <c r="EV33" s="149" t="str">
        <f>IF($B33=0,"",$N33*'MF Rents'!EX33*'MF Rollover'!EU33)</f>
        <v/>
      </c>
      <c r="EW33" s="149" t="str">
        <f>IF($B33=0,"",$N33*'MF Rents'!EY33*'MF Rollover'!EV33)</f>
        <v/>
      </c>
      <c r="EX33" s="149" t="str">
        <f>IF($B33=0,"",$N33*'MF Rents'!EZ33*'MF Rollover'!EW33)</f>
        <v/>
      </c>
      <c r="EY33" s="149" t="str">
        <f>IF($B33=0,"",$N33*'MF Rents'!FA33*'MF Rollover'!EX33)</f>
        <v/>
      </c>
      <c r="EZ33" s="149" t="str">
        <f>IF($B33=0,"",$N33*'MF Rents'!FB33*'MF Rollover'!EY33)</f>
        <v/>
      </c>
      <c r="FA33" s="149" t="str">
        <f>IF($B33=0,"",$N33*'MF Rents'!FC33*'MF Rollover'!EZ33)</f>
        <v/>
      </c>
      <c r="FB33" s="149" t="str">
        <f>IF($B33=0,"",$N33*'MF Rents'!FD33*'MF Rollover'!FA33)</f>
        <v/>
      </c>
      <c r="FC33" s="149" t="str">
        <f>IF($B33=0,"",$N33*'MF Rents'!FE33*'MF Rollover'!FB33)</f>
        <v/>
      </c>
      <c r="FD33" s="149" t="str">
        <f>IF($B33=0,"",$N33*'MF Rents'!FF33*'MF Rollover'!FC33)</f>
        <v/>
      </c>
      <c r="FE33" s="149" t="str">
        <f>IF($B33=0,"",$N33*'MF Rents'!FG33*'MF Rollover'!FD33)</f>
        <v/>
      </c>
      <c r="FF33" s="149" t="str">
        <f>IF($B33=0,"",$N33*'MF Rents'!FH33*'MF Rollover'!FE33)</f>
        <v/>
      </c>
      <c r="FG33" s="149" t="str">
        <f>IF($B33=0,"",$N33*'MF Rents'!FI33*'MF Rollover'!FF33)</f>
        <v/>
      </c>
      <c r="FH33" s="149" t="str">
        <f>IF($B33=0,"",$N33*'MF Rents'!FJ33*'MF Rollover'!FG33)</f>
        <v/>
      </c>
      <c r="FI33" s="149" t="str">
        <f>IF($B33=0,"",$N33*'MF Rents'!FK33*'MF Rollover'!FH33)</f>
        <v/>
      </c>
      <c r="FJ33" s="149" t="str">
        <f>IF($B33=0,"",$N33*'MF Rents'!FL33*'MF Rollover'!FI33)</f>
        <v/>
      </c>
      <c r="FK33" s="149" t="str">
        <f>IF($B33=0,"",$N33*'MF Rents'!FM33*'MF Rollover'!FJ33)</f>
        <v/>
      </c>
      <c r="FL33" s="149" t="str">
        <f>IF($B33=0,"",$N33*'MF Rents'!FN33*'MF Rollover'!FK33)</f>
        <v/>
      </c>
      <c r="FM33" s="149" t="str">
        <f>IF($B33=0,"",$N33*'MF Rents'!FO33*'MF Rollover'!FL33)</f>
        <v/>
      </c>
      <c r="FN33" s="149" t="str">
        <f>IF($B33=0,"",$N33*'MF Rents'!FP33*'MF Rollover'!FM33)</f>
        <v/>
      </c>
      <c r="FO33" s="149" t="str">
        <f>IF($B33=0,"",$N33*'MF Rents'!FQ33*'MF Rollover'!FN33)</f>
        <v/>
      </c>
      <c r="FP33" s="149" t="str">
        <f>IF($B33=0,"",$N33*'MF Rents'!FR33*'MF Rollover'!FO33)</f>
        <v/>
      </c>
      <c r="FQ33" s="149" t="str">
        <f>IF($B33=0,"",$N33*'MF Rents'!FS33*'MF Rollover'!FP33)</f>
        <v/>
      </c>
      <c r="FR33" s="149" t="str">
        <f>IF($B33=0,"",$N33*'MF Rents'!FT33*'MF Rollover'!FQ33)</f>
        <v/>
      </c>
      <c r="FS33" s="149" t="str">
        <f>IF($B33=0,"",$N33*'MF Rents'!FU33*'MF Rollover'!FR33)</f>
        <v/>
      </c>
      <c r="FT33" s="149" t="str">
        <f>IF($B33=0,"",$N33*'MF Rents'!FV33*'MF Rollover'!FS33)</f>
        <v/>
      </c>
      <c r="FU33" s="149" t="str">
        <f>IF($B33=0,"",$N33*'MF Rents'!FW33*'MF Rollover'!FT33)</f>
        <v/>
      </c>
      <c r="FV33" s="149" t="str">
        <f>IF($B33=0,"",$N33*'MF Rents'!FX33*'MF Rollover'!FU33)</f>
        <v/>
      </c>
      <c r="FW33" s="149" t="str">
        <f>IF($B33=0,"",$N33*'MF Rents'!FY33*'MF Rollover'!FV33)</f>
        <v/>
      </c>
      <c r="FX33" s="149" t="str">
        <f>IF($B33=0,"",$N33*'MF Rents'!FZ33*'MF Rollover'!FW33)</f>
        <v/>
      </c>
      <c r="FY33" s="149" t="str">
        <f>IF($B33=0,"",$N33*'MF Rents'!GA33*'MF Rollover'!FX33)</f>
        <v/>
      </c>
      <c r="FZ33" s="149" t="str">
        <f>IF($B33=0,"",$N33*'MF Rents'!GB33*'MF Rollover'!FY33)</f>
        <v/>
      </c>
      <c r="GA33" s="149" t="str">
        <f>IF($B33=0,"",$N33*'MF Rents'!GC33*'MF Rollover'!FZ33)</f>
        <v/>
      </c>
      <c r="GB33" s="149" t="str">
        <f>IF($B33=0,"",$N33*'MF Rents'!GD33*'MF Rollover'!GA33)</f>
        <v/>
      </c>
      <c r="GC33" s="149" t="str">
        <f>IF($B33=0,"",$N33*'MF Rents'!GE33*'MF Rollover'!GB33)</f>
        <v/>
      </c>
      <c r="GD33" s="149" t="str">
        <f>IF($B33=0,"",$N33*'MF Rents'!GF33*'MF Rollover'!GC33)</f>
        <v/>
      </c>
      <c r="GE33" s="149" t="str">
        <f>IF($B33=0,"",$N33*'MF Rents'!GG33*'MF Rollover'!GD33)</f>
        <v/>
      </c>
      <c r="GF33" s="149" t="str">
        <f>IF($B33=0,"",$N33*'MF Rents'!GH33*'MF Rollover'!GE33)</f>
        <v/>
      </c>
      <c r="GG33" s="149" t="str">
        <f>IF($B33=0,"",$N33*'MF Rents'!GI33*'MF Rollover'!GF33)</f>
        <v/>
      </c>
      <c r="GH33" s="149" t="str">
        <f>IF($B33=0,"",$N33*'MF Rents'!GJ33*'MF Rollover'!GG33)</f>
        <v/>
      </c>
      <c r="GI33" s="149" t="str">
        <f>IF($B33=0,"",$N33*'MF Rents'!GK33*'MF Rollover'!GH33)</f>
        <v/>
      </c>
      <c r="GJ33" s="149" t="str">
        <f>IF($B33=0,"",$N33*'MF Rents'!GL33*'MF Rollover'!GI33)</f>
        <v/>
      </c>
      <c r="GK33" s="149" t="str">
        <f>IF($B33=0,"",$N33*'MF Rents'!GM33*'MF Rollover'!GJ33)</f>
        <v/>
      </c>
      <c r="GL33" s="149" t="str">
        <f>IF($B33=0,"",$N33*'MF Rents'!GN33*'MF Rollover'!GK33)</f>
        <v/>
      </c>
      <c r="GM33" s="149" t="str">
        <f>IF($B33=0,"",$N33*'MF Rents'!GO33*'MF Rollover'!GL33)</f>
        <v/>
      </c>
      <c r="GN33" s="149" t="str">
        <f>IF($B33=0,"",$N33*'MF Rents'!GP33*'MF Rollover'!GM33)</f>
        <v/>
      </c>
      <c r="GO33" s="149" t="str">
        <f>IF($B33=0,"",$N33*'MF Rents'!GQ33*'MF Rollover'!GN33)</f>
        <v/>
      </c>
      <c r="GP33" s="149" t="str">
        <f>IF($B33=0,"",$N33*'MF Rents'!GR33*'MF Rollover'!GO33)</f>
        <v/>
      </c>
    </row>
    <row r="34" spans="2:198" x14ac:dyDescent="0.3">
      <c r="B34" s="184">
        <f>'MF Rent Roll'!B33</f>
        <v>0</v>
      </c>
      <c r="C34" s="171">
        <f>'MF Rent Roll'!C33</f>
        <v>0</v>
      </c>
      <c r="D34" s="172">
        <f>'MF Rent Roll'!D33</f>
        <v>0</v>
      </c>
      <c r="E34" s="172">
        <f>'MF Rent Roll'!E33</f>
        <v>0</v>
      </c>
      <c r="F34" s="173">
        <f>'MF Rent Roll'!F33</f>
        <v>0</v>
      </c>
      <c r="G34" s="174">
        <f>'MF Rent Roll'!G33</f>
        <v>0</v>
      </c>
      <c r="H34" s="176">
        <f>'MF Rent Roll'!J33</f>
        <v>0</v>
      </c>
      <c r="I34" s="174">
        <f>'MF Rent Roll'!K33</f>
        <v>0</v>
      </c>
      <c r="J34" s="177">
        <f>'MF Rent Roll'!L33</f>
        <v>0</v>
      </c>
      <c r="K34" s="178">
        <f>'MF Rent Roll'!M33</f>
        <v>0</v>
      </c>
      <c r="L34" s="174">
        <f>'MF Rent Roll'!N33</f>
        <v>0</v>
      </c>
      <c r="M34" s="179">
        <f>'MF Rent Roll'!O33</f>
        <v>0</v>
      </c>
      <c r="N34" s="180" t="str">
        <f>'MF Rent Roll'!P33</f>
        <v/>
      </c>
      <c r="O34" s="181" t="str">
        <f>'MF Rent Roll'!Q33</f>
        <v/>
      </c>
      <c r="P34" s="104" t="str">
        <f>'MF Rent Roll'!R33</f>
        <v/>
      </c>
      <c r="S34" s="149" t="str">
        <f>IF($B34=0,"",$N34*'MF Rents'!U34*'MF Rollover'!R34)</f>
        <v/>
      </c>
      <c r="T34" s="149" t="str">
        <f>IF($B34=0,"",$N34*'MF Rents'!V34*'MF Rollover'!S34)</f>
        <v/>
      </c>
      <c r="U34" s="149" t="str">
        <f>IF($B34=0,"",$N34*'MF Rents'!W34*'MF Rollover'!T34)</f>
        <v/>
      </c>
      <c r="V34" s="149" t="str">
        <f>IF($B34=0,"",$N34*'MF Rents'!X34*'MF Rollover'!U34)</f>
        <v/>
      </c>
      <c r="W34" s="149" t="str">
        <f>IF($B34=0,"",$N34*'MF Rents'!Y34*'MF Rollover'!V34)</f>
        <v/>
      </c>
      <c r="X34" s="149" t="str">
        <f>IF($B34=0,"",$N34*'MF Rents'!Z34*'MF Rollover'!W34)</f>
        <v/>
      </c>
      <c r="Y34" s="149" t="str">
        <f>IF($B34=0,"",$N34*'MF Rents'!AA34*'MF Rollover'!X34)</f>
        <v/>
      </c>
      <c r="Z34" s="149" t="str">
        <f>IF($B34=0,"",$N34*'MF Rents'!AB34*'MF Rollover'!Y34)</f>
        <v/>
      </c>
      <c r="AA34" s="149" t="str">
        <f>IF($B34=0,"",$N34*'MF Rents'!AC34*'MF Rollover'!Z34)</f>
        <v/>
      </c>
      <c r="AB34" s="149" t="str">
        <f>IF($B34=0,"",$N34*'MF Rents'!AD34*'MF Rollover'!AA34)</f>
        <v/>
      </c>
      <c r="AC34" s="149" t="str">
        <f>IF($B34=0,"",$N34*'MF Rents'!AE34*'MF Rollover'!AB34)</f>
        <v/>
      </c>
      <c r="AD34" s="149" t="str">
        <f>IF($B34=0,"",$N34*'MF Rents'!AF34*'MF Rollover'!AC34)</f>
        <v/>
      </c>
      <c r="AE34" s="149" t="str">
        <f>IF($B34=0,"",$N34*'MF Rents'!AG34*'MF Rollover'!AD34)</f>
        <v/>
      </c>
      <c r="AF34" s="149" t="str">
        <f>IF($B34=0,"",$N34*'MF Rents'!AH34*'MF Rollover'!AE34)</f>
        <v/>
      </c>
      <c r="AG34" s="149" t="str">
        <f>IF($B34=0,"",$N34*'MF Rents'!AI34*'MF Rollover'!AF34)</f>
        <v/>
      </c>
      <c r="AH34" s="149" t="str">
        <f>IF($B34=0,"",$N34*'MF Rents'!AJ34*'MF Rollover'!AG34)</f>
        <v/>
      </c>
      <c r="AI34" s="149" t="str">
        <f>IF($B34=0,"",$N34*'MF Rents'!AK34*'MF Rollover'!AH34)</f>
        <v/>
      </c>
      <c r="AJ34" s="149" t="str">
        <f>IF($B34=0,"",$N34*'MF Rents'!AL34*'MF Rollover'!AI34)</f>
        <v/>
      </c>
      <c r="AK34" s="149" t="str">
        <f>IF($B34=0,"",$N34*'MF Rents'!AM34*'MF Rollover'!AJ34)</f>
        <v/>
      </c>
      <c r="AL34" s="149" t="str">
        <f>IF($B34=0,"",$N34*'MF Rents'!AN34*'MF Rollover'!AK34)</f>
        <v/>
      </c>
      <c r="AM34" s="149" t="str">
        <f>IF($B34=0,"",$N34*'MF Rents'!AO34*'MF Rollover'!AL34)</f>
        <v/>
      </c>
      <c r="AN34" s="149" t="str">
        <f>IF($B34=0,"",$N34*'MF Rents'!AP34*'MF Rollover'!AM34)</f>
        <v/>
      </c>
      <c r="AO34" s="149" t="str">
        <f>IF($B34=0,"",$N34*'MF Rents'!AQ34*'MF Rollover'!AN34)</f>
        <v/>
      </c>
      <c r="AP34" s="149" t="str">
        <f>IF($B34=0,"",$N34*'MF Rents'!AR34*'MF Rollover'!AO34)</f>
        <v/>
      </c>
      <c r="AQ34" s="149" t="str">
        <f>IF($B34=0,"",$N34*'MF Rents'!AS34*'MF Rollover'!AP34)</f>
        <v/>
      </c>
      <c r="AR34" s="149" t="str">
        <f>IF($B34=0,"",$N34*'MF Rents'!AT34*'MF Rollover'!AQ34)</f>
        <v/>
      </c>
      <c r="AS34" s="149" t="str">
        <f>IF($B34=0,"",$N34*'MF Rents'!AU34*'MF Rollover'!AR34)</f>
        <v/>
      </c>
      <c r="AT34" s="149" t="str">
        <f>IF($B34=0,"",$N34*'MF Rents'!AV34*'MF Rollover'!AS34)</f>
        <v/>
      </c>
      <c r="AU34" s="149" t="str">
        <f>IF($B34=0,"",$N34*'MF Rents'!AW34*'MF Rollover'!AT34)</f>
        <v/>
      </c>
      <c r="AV34" s="149" t="str">
        <f>IF($B34=0,"",$N34*'MF Rents'!AX34*'MF Rollover'!AU34)</f>
        <v/>
      </c>
      <c r="AW34" s="149" t="str">
        <f>IF($B34=0,"",$N34*'MF Rents'!AY34*'MF Rollover'!AV34)</f>
        <v/>
      </c>
      <c r="AX34" s="149" t="str">
        <f>IF($B34=0,"",$N34*'MF Rents'!AZ34*'MF Rollover'!AW34)</f>
        <v/>
      </c>
      <c r="AY34" s="149" t="str">
        <f>IF($B34=0,"",$N34*'MF Rents'!BA34*'MF Rollover'!AX34)</f>
        <v/>
      </c>
      <c r="AZ34" s="149" t="str">
        <f>IF($B34=0,"",$N34*'MF Rents'!BB34*'MF Rollover'!AY34)</f>
        <v/>
      </c>
      <c r="BA34" s="149" t="str">
        <f>IF($B34=0,"",$N34*'MF Rents'!BC34*'MF Rollover'!AZ34)</f>
        <v/>
      </c>
      <c r="BB34" s="149" t="str">
        <f>IF($B34=0,"",$N34*'MF Rents'!BD34*'MF Rollover'!BA34)</f>
        <v/>
      </c>
      <c r="BC34" s="149" t="str">
        <f>IF($B34=0,"",$N34*'MF Rents'!BE34*'MF Rollover'!BB34)</f>
        <v/>
      </c>
      <c r="BD34" s="149" t="str">
        <f>IF($B34=0,"",$N34*'MF Rents'!BF34*'MF Rollover'!BC34)</f>
        <v/>
      </c>
      <c r="BE34" s="149" t="str">
        <f>IF($B34=0,"",$N34*'MF Rents'!BG34*'MF Rollover'!BD34)</f>
        <v/>
      </c>
      <c r="BF34" s="149" t="str">
        <f>IF($B34=0,"",$N34*'MF Rents'!BH34*'MF Rollover'!BE34)</f>
        <v/>
      </c>
      <c r="BG34" s="149" t="str">
        <f>IF($B34=0,"",$N34*'MF Rents'!BI34*'MF Rollover'!BF34)</f>
        <v/>
      </c>
      <c r="BH34" s="149" t="str">
        <f>IF($B34=0,"",$N34*'MF Rents'!BJ34*'MF Rollover'!BG34)</f>
        <v/>
      </c>
      <c r="BI34" s="149" t="str">
        <f>IF($B34=0,"",$N34*'MF Rents'!BK34*'MF Rollover'!BH34)</f>
        <v/>
      </c>
      <c r="BJ34" s="149" t="str">
        <f>IF($B34=0,"",$N34*'MF Rents'!BL34*'MF Rollover'!BI34)</f>
        <v/>
      </c>
      <c r="BK34" s="149" t="str">
        <f>IF($B34=0,"",$N34*'MF Rents'!BM34*'MF Rollover'!BJ34)</f>
        <v/>
      </c>
      <c r="BL34" s="149" t="str">
        <f>IF($B34=0,"",$N34*'MF Rents'!BN34*'MF Rollover'!BK34)</f>
        <v/>
      </c>
      <c r="BM34" s="149" t="str">
        <f>IF($B34=0,"",$N34*'MF Rents'!BO34*'MF Rollover'!BL34)</f>
        <v/>
      </c>
      <c r="BN34" s="149" t="str">
        <f>IF($B34=0,"",$N34*'MF Rents'!BP34*'MF Rollover'!BM34)</f>
        <v/>
      </c>
      <c r="BO34" s="149" t="str">
        <f>IF($B34=0,"",$N34*'MF Rents'!BQ34*'MF Rollover'!BN34)</f>
        <v/>
      </c>
      <c r="BP34" s="149" t="str">
        <f>IF($B34=0,"",$N34*'MF Rents'!BR34*'MF Rollover'!BO34)</f>
        <v/>
      </c>
      <c r="BQ34" s="149" t="str">
        <f>IF($B34=0,"",$N34*'MF Rents'!BS34*'MF Rollover'!BP34)</f>
        <v/>
      </c>
      <c r="BR34" s="149" t="str">
        <f>IF($B34=0,"",$N34*'MF Rents'!BT34*'MF Rollover'!BQ34)</f>
        <v/>
      </c>
      <c r="BS34" s="149" t="str">
        <f>IF($B34=0,"",$N34*'MF Rents'!BU34*'MF Rollover'!BR34)</f>
        <v/>
      </c>
      <c r="BT34" s="149" t="str">
        <f>IF($B34=0,"",$N34*'MF Rents'!BV34*'MF Rollover'!BS34)</f>
        <v/>
      </c>
      <c r="BU34" s="149" t="str">
        <f>IF($B34=0,"",$N34*'MF Rents'!BW34*'MF Rollover'!BT34)</f>
        <v/>
      </c>
      <c r="BV34" s="149" t="str">
        <f>IF($B34=0,"",$N34*'MF Rents'!BX34*'MF Rollover'!BU34)</f>
        <v/>
      </c>
      <c r="BW34" s="149" t="str">
        <f>IF($B34=0,"",$N34*'MF Rents'!BY34*'MF Rollover'!BV34)</f>
        <v/>
      </c>
      <c r="BX34" s="149" t="str">
        <f>IF($B34=0,"",$N34*'MF Rents'!BZ34*'MF Rollover'!BW34)</f>
        <v/>
      </c>
      <c r="BY34" s="149" t="str">
        <f>IF($B34=0,"",$N34*'MF Rents'!CA34*'MF Rollover'!BX34)</f>
        <v/>
      </c>
      <c r="BZ34" s="149" t="str">
        <f>IF($B34=0,"",$N34*'MF Rents'!CB34*'MF Rollover'!BY34)</f>
        <v/>
      </c>
      <c r="CA34" s="149" t="str">
        <f>IF($B34=0,"",$N34*'MF Rents'!CC34*'MF Rollover'!BZ34)</f>
        <v/>
      </c>
      <c r="CB34" s="149" t="str">
        <f>IF($B34=0,"",$N34*'MF Rents'!CD34*'MF Rollover'!CA34)</f>
        <v/>
      </c>
      <c r="CC34" s="149" t="str">
        <f>IF($B34=0,"",$N34*'MF Rents'!CE34*'MF Rollover'!CB34)</f>
        <v/>
      </c>
      <c r="CD34" s="149" t="str">
        <f>IF($B34=0,"",$N34*'MF Rents'!CF34*'MF Rollover'!CC34)</f>
        <v/>
      </c>
      <c r="CE34" s="149" t="str">
        <f>IF($B34=0,"",$N34*'MF Rents'!CG34*'MF Rollover'!CD34)</f>
        <v/>
      </c>
      <c r="CF34" s="149" t="str">
        <f>IF($B34=0,"",$N34*'MF Rents'!CH34*'MF Rollover'!CE34)</f>
        <v/>
      </c>
      <c r="CG34" s="149" t="str">
        <f>IF($B34=0,"",$N34*'MF Rents'!CI34*'MF Rollover'!CF34)</f>
        <v/>
      </c>
      <c r="CH34" s="149" t="str">
        <f>IF($B34=0,"",$N34*'MF Rents'!CJ34*'MF Rollover'!CG34)</f>
        <v/>
      </c>
      <c r="CI34" s="149" t="str">
        <f>IF($B34=0,"",$N34*'MF Rents'!CK34*'MF Rollover'!CH34)</f>
        <v/>
      </c>
      <c r="CJ34" s="149" t="str">
        <f>IF($B34=0,"",$N34*'MF Rents'!CL34*'MF Rollover'!CI34)</f>
        <v/>
      </c>
      <c r="CK34" s="149" t="str">
        <f>IF($B34=0,"",$N34*'MF Rents'!CM34*'MF Rollover'!CJ34)</f>
        <v/>
      </c>
      <c r="CL34" s="149" t="str">
        <f>IF($B34=0,"",$N34*'MF Rents'!CN34*'MF Rollover'!CK34)</f>
        <v/>
      </c>
      <c r="CM34" s="149" t="str">
        <f>IF($B34=0,"",$N34*'MF Rents'!CO34*'MF Rollover'!CL34)</f>
        <v/>
      </c>
      <c r="CN34" s="149" t="str">
        <f>IF($B34=0,"",$N34*'MF Rents'!CP34*'MF Rollover'!CM34)</f>
        <v/>
      </c>
      <c r="CO34" s="149" t="str">
        <f>IF($B34=0,"",$N34*'MF Rents'!CQ34*'MF Rollover'!CN34)</f>
        <v/>
      </c>
      <c r="CP34" s="149" t="str">
        <f>IF($B34=0,"",$N34*'MF Rents'!CR34*'MF Rollover'!CO34)</f>
        <v/>
      </c>
      <c r="CQ34" s="149" t="str">
        <f>IF($B34=0,"",$N34*'MF Rents'!CS34*'MF Rollover'!CP34)</f>
        <v/>
      </c>
      <c r="CR34" s="149" t="str">
        <f>IF($B34=0,"",$N34*'MF Rents'!CT34*'MF Rollover'!CQ34)</f>
        <v/>
      </c>
      <c r="CS34" s="149" t="str">
        <f>IF($B34=0,"",$N34*'MF Rents'!CU34*'MF Rollover'!CR34)</f>
        <v/>
      </c>
      <c r="CT34" s="149" t="str">
        <f>IF($B34=0,"",$N34*'MF Rents'!CV34*'MF Rollover'!CS34)</f>
        <v/>
      </c>
      <c r="CU34" s="149" t="str">
        <f>IF($B34=0,"",$N34*'MF Rents'!CW34*'MF Rollover'!CT34)</f>
        <v/>
      </c>
      <c r="CV34" s="149" t="str">
        <f>IF($B34=0,"",$N34*'MF Rents'!CX34*'MF Rollover'!CU34)</f>
        <v/>
      </c>
      <c r="CW34" s="149" t="str">
        <f>IF($B34=0,"",$N34*'MF Rents'!CY34*'MF Rollover'!CV34)</f>
        <v/>
      </c>
      <c r="CX34" s="149" t="str">
        <f>IF($B34=0,"",$N34*'MF Rents'!CZ34*'MF Rollover'!CW34)</f>
        <v/>
      </c>
      <c r="CY34" s="149" t="str">
        <f>IF($B34=0,"",$N34*'MF Rents'!DA34*'MF Rollover'!CX34)</f>
        <v/>
      </c>
      <c r="CZ34" s="149" t="str">
        <f>IF($B34=0,"",$N34*'MF Rents'!DB34*'MF Rollover'!CY34)</f>
        <v/>
      </c>
      <c r="DA34" s="149" t="str">
        <f>IF($B34=0,"",$N34*'MF Rents'!DC34*'MF Rollover'!CZ34)</f>
        <v/>
      </c>
      <c r="DB34" s="149" t="str">
        <f>IF($B34=0,"",$N34*'MF Rents'!DD34*'MF Rollover'!DA34)</f>
        <v/>
      </c>
      <c r="DC34" s="149" t="str">
        <f>IF($B34=0,"",$N34*'MF Rents'!DE34*'MF Rollover'!DB34)</f>
        <v/>
      </c>
      <c r="DD34" s="149" t="str">
        <f>IF($B34=0,"",$N34*'MF Rents'!DF34*'MF Rollover'!DC34)</f>
        <v/>
      </c>
      <c r="DE34" s="149" t="str">
        <f>IF($B34=0,"",$N34*'MF Rents'!DG34*'MF Rollover'!DD34)</f>
        <v/>
      </c>
      <c r="DF34" s="149" t="str">
        <f>IF($B34=0,"",$N34*'MF Rents'!DH34*'MF Rollover'!DE34)</f>
        <v/>
      </c>
      <c r="DG34" s="149" t="str">
        <f>IF($B34=0,"",$N34*'MF Rents'!DI34*'MF Rollover'!DF34)</f>
        <v/>
      </c>
      <c r="DH34" s="149" t="str">
        <f>IF($B34=0,"",$N34*'MF Rents'!DJ34*'MF Rollover'!DG34)</f>
        <v/>
      </c>
      <c r="DI34" s="149" t="str">
        <f>IF($B34=0,"",$N34*'MF Rents'!DK34*'MF Rollover'!DH34)</f>
        <v/>
      </c>
      <c r="DJ34" s="149" t="str">
        <f>IF($B34=0,"",$N34*'MF Rents'!DL34*'MF Rollover'!DI34)</f>
        <v/>
      </c>
      <c r="DK34" s="149" t="str">
        <f>IF($B34=0,"",$N34*'MF Rents'!DM34*'MF Rollover'!DJ34)</f>
        <v/>
      </c>
      <c r="DL34" s="149" t="str">
        <f>IF($B34=0,"",$N34*'MF Rents'!DN34*'MF Rollover'!DK34)</f>
        <v/>
      </c>
      <c r="DM34" s="149" t="str">
        <f>IF($B34=0,"",$N34*'MF Rents'!DO34*'MF Rollover'!DL34)</f>
        <v/>
      </c>
      <c r="DN34" s="149" t="str">
        <f>IF($B34=0,"",$N34*'MF Rents'!DP34*'MF Rollover'!DM34)</f>
        <v/>
      </c>
      <c r="DO34" s="149" t="str">
        <f>IF($B34=0,"",$N34*'MF Rents'!DQ34*'MF Rollover'!DN34)</f>
        <v/>
      </c>
      <c r="DP34" s="149" t="str">
        <f>IF($B34=0,"",$N34*'MF Rents'!DR34*'MF Rollover'!DO34)</f>
        <v/>
      </c>
      <c r="DQ34" s="149" t="str">
        <f>IF($B34=0,"",$N34*'MF Rents'!DS34*'MF Rollover'!DP34)</f>
        <v/>
      </c>
      <c r="DR34" s="149" t="str">
        <f>IF($B34=0,"",$N34*'MF Rents'!DT34*'MF Rollover'!DQ34)</f>
        <v/>
      </c>
      <c r="DS34" s="149" t="str">
        <f>IF($B34=0,"",$N34*'MF Rents'!DU34*'MF Rollover'!DR34)</f>
        <v/>
      </c>
      <c r="DT34" s="149" t="str">
        <f>IF($B34=0,"",$N34*'MF Rents'!DV34*'MF Rollover'!DS34)</f>
        <v/>
      </c>
      <c r="DU34" s="149" t="str">
        <f>IF($B34=0,"",$N34*'MF Rents'!DW34*'MF Rollover'!DT34)</f>
        <v/>
      </c>
      <c r="DV34" s="149" t="str">
        <f>IF($B34=0,"",$N34*'MF Rents'!DX34*'MF Rollover'!DU34)</f>
        <v/>
      </c>
      <c r="DW34" s="149" t="str">
        <f>IF($B34=0,"",$N34*'MF Rents'!DY34*'MF Rollover'!DV34)</f>
        <v/>
      </c>
      <c r="DX34" s="149" t="str">
        <f>IF($B34=0,"",$N34*'MF Rents'!DZ34*'MF Rollover'!DW34)</f>
        <v/>
      </c>
      <c r="DY34" s="149" t="str">
        <f>IF($B34=0,"",$N34*'MF Rents'!EA34*'MF Rollover'!DX34)</f>
        <v/>
      </c>
      <c r="DZ34" s="149" t="str">
        <f>IF($B34=0,"",$N34*'MF Rents'!EB34*'MF Rollover'!DY34)</f>
        <v/>
      </c>
      <c r="EA34" s="149" t="str">
        <f>IF($B34=0,"",$N34*'MF Rents'!EC34*'MF Rollover'!DZ34)</f>
        <v/>
      </c>
      <c r="EB34" s="149" t="str">
        <f>IF($B34=0,"",$N34*'MF Rents'!ED34*'MF Rollover'!EA34)</f>
        <v/>
      </c>
      <c r="EC34" s="149" t="str">
        <f>IF($B34=0,"",$N34*'MF Rents'!EE34*'MF Rollover'!EB34)</f>
        <v/>
      </c>
      <c r="ED34" s="149" t="str">
        <f>IF($B34=0,"",$N34*'MF Rents'!EF34*'MF Rollover'!EC34)</f>
        <v/>
      </c>
      <c r="EE34" s="149" t="str">
        <f>IF($B34=0,"",$N34*'MF Rents'!EG34*'MF Rollover'!ED34)</f>
        <v/>
      </c>
      <c r="EF34" s="149" t="str">
        <f>IF($B34=0,"",$N34*'MF Rents'!EH34*'MF Rollover'!EE34)</f>
        <v/>
      </c>
      <c r="EG34" s="149" t="str">
        <f>IF($B34=0,"",$N34*'MF Rents'!EI34*'MF Rollover'!EF34)</f>
        <v/>
      </c>
      <c r="EH34" s="149" t="str">
        <f>IF($B34=0,"",$N34*'MF Rents'!EJ34*'MF Rollover'!EG34)</f>
        <v/>
      </c>
      <c r="EI34" s="149" t="str">
        <f>IF($B34=0,"",$N34*'MF Rents'!EK34*'MF Rollover'!EH34)</f>
        <v/>
      </c>
      <c r="EJ34" s="149" t="str">
        <f>IF($B34=0,"",$N34*'MF Rents'!EL34*'MF Rollover'!EI34)</f>
        <v/>
      </c>
      <c r="EK34" s="149" t="str">
        <f>IF($B34=0,"",$N34*'MF Rents'!EM34*'MF Rollover'!EJ34)</f>
        <v/>
      </c>
      <c r="EL34" s="149" t="str">
        <f>IF($B34=0,"",$N34*'MF Rents'!EN34*'MF Rollover'!EK34)</f>
        <v/>
      </c>
      <c r="EM34" s="149" t="str">
        <f>IF($B34=0,"",$N34*'MF Rents'!EO34*'MF Rollover'!EL34)</f>
        <v/>
      </c>
      <c r="EN34" s="149" t="str">
        <f>IF($B34=0,"",$N34*'MF Rents'!EP34*'MF Rollover'!EM34)</f>
        <v/>
      </c>
      <c r="EO34" s="149" t="str">
        <f>IF($B34=0,"",$N34*'MF Rents'!EQ34*'MF Rollover'!EN34)</f>
        <v/>
      </c>
      <c r="EP34" s="149" t="str">
        <f>IF($B34=0,"",$N34*'MF Rents'!ER34*'MF Rollover'!EO34)</f>
        <v/>
      </c>
      <c r="EQ34" s="149" t="str">
        <f>IF($B34=0,"",$N34*'MF Rents'!ES34*'MF Rollover'!EP34)</f>
        <v/>
      </c>
      <c r="ER34" s="149" t="str">
        <f>IF($B34=0,"",$N34*'MF Rents'!ET34*'MF Rollover'!EQ34)</f>
        <v/>
      </c>
      <c r="ES34" s="149" t="str">
        <f>IF($B34=0,"",$N34*'MF Rents'!EU34*'MF Rollover'!ER34)</f>
        <v/>
      </c>
      <c r="ET34" s="149" t="str">
        <f>IF($B34=0,"",$N34*'MF Rents'!EV34*'MF Rollover'!ES34)</f>
        <v/>
      </c>
      <c r="EU34" s="149" t="str">
        <f>IF($B34=0,"",$N34*'MF Rents'!EW34*'MF Rollover'!ET34)</f>
        <v/>
      </c>
      <c r="EV34" s="149" t="str">
        <f>IF($B34=0,"",$N34*'MF Rents'!EX34*'MF Rollover'!EU34)</f>
        <v/>
      </c>
      <c r="EW34" s="149" t="str">
        <f>IF($B34=0,"",$N34*'MF Rents'!EY34*'MF Rollover'!EV34)</f>
        <v/>
      </c>
      <c r="EX34" s="149" t="str">
        <f>IF($B34=0,"",$N34*'MF Rents'!EZ34*'MF Rollover'!EW34)</f>
        <v/>
      </c>
      <c r="EY34" s="149" t="str">
        <f>IF($B34=0,"",$N34*'MF Rents'!FA34*'MF Rollover'!EX34)</f>
        <v/>
      </c>
      <c r="EZ34" s="149" t="str">
        <f>IF($B34=0,"",$N34*'MF Rents'!FB34*'MF Rollover'!EY34)</f>
        <v/>
      </c>
      <c r="FA34" s="149" t="str">
        <f>IF($B34=0,"",$N34*'MF Rents'!FC34*'MF Rollover'!EZ34)</f>
        <v/>
      </c>
      <c r="FB34" s="149" t="str">
        <f>IF($B34=0,"",$N34*'MF Rents'!FD34*'MF Rollover'!FA34)</f>
        <v/>
      </c>
      <c r="FC34" s="149" t="str">
        <f>IF($B34=0,"",$N34*'MF Rents'!FE34*'MF Rollover'!FB34)</f>
        <v/>
      </c>
      <c r="FD34" s="149" t="str">
        <f>IF($B34=0,"",$N34*'MF Rents'!FF34*'MF Rollover'!FC34)</f>
        <v/>
      </c>
      <c r="FE34" s="149" t="str">
        <f>IF($B34=0,"",$N34*'MF Rents'!FG34*'MF Rollover'!FD34)</f>
        <v/>
      </c>
      <c r="FF34" s="149" t="str">
        <f>IF($B34=0,"",$N34*'MF Rents'!FH34*'MF Rollover'!FE34)</f>
        <v/>
      </c>
      <c r="FG34" s="149" t="str">
        <f>IF($B34=0,"",$N34*'MF Rents'!FI34*'MF Rollover'!FF34)</f>
        <v/>
      </c>
      <c r="FH34" s="149" t="str">
        <f>IF($B34=0,"",$N34*'MF Rents'!FJ34*'MF Rollover'!FG34)</f>
        <v/>
      </c>
      <c r="FI34" s="149" t="str">
        <f>IF($B34=0,"",$N34*'MF Rents'!FK34*'MF Rollover'!FH34)</f>
        <v/>
      </c>
      <c r="FJ34" s="149" t="str">
        <f>IF($B34=0,"",$N34*'MF Rents'!FL34*'MF Rollover'!FI34)</f>
        <v/>
      </c>
      <c r="FK34" s="149" t="str">
        <f>IF($B34=0,"",$N34*'MF Rents'!FM34*'MF Rollover'!FJ34)</f>
        <v/>
      </c>
      <c r="FL34" s="149" t="str">
        <f>IF($B34=0,"",$N34*'MF Rents'!FN34*'MF Rollover'!FK34)</f>
        <v/>
      </c>
      <c r="FM34" s="149" t="str">
        <f>IF($B34=0,"",$N34*'MF Rents'!FO34*'MF Rollover'!FL34)</f>
        <v/>
      </c>
      <c r="FN34" s="149" t="str">
        <f>IF($B34=0,"",$N34*'MF Rents'!FP34*'MF Rollover'!FM34)</f>
        <v/>
      </c>
      <c r="FO34" s="149" t="str">
        <f>IF($B34=0,"",$N34*'MF Rents'!FQ34*'MF Rollover'!FN34)</f>
        <v/>
      </c>
      <c r="FP34" s="149" t="str">
        <f>IF($B34=0,"",$N34*'MF Rents'!FR34*'MF Rollover'!FO34)</f>
        <v/>
      </c>
      <c r="FQ34" s="149" t="str">
        <f>IF($B34=0,"",$N34*'MF Rents'!FS34*'MF Rollover'!FP34)</f>
        <v/>
      </c>
      <c r="FR34" s="149" t="str">
        <f>IF($B34=0,"",$N34*'MF Rents'!FT34*'MF Rollover'!FQ34)</f>
        <v/>
      </c>
      <c r="FS34" s="149" t="str">
        <f>IF($B34=0,"",$N34*'MF Rents'!FU34*'MF Rollover'!FR34)</f>
        <v/>
      </c>
      <c r="FT34" s="149" t="str">
        <f>IF($B34=0,"",$N34*'MF Rents'!FV34*'MF Rollover'!FS34)</f>
        <v/>
      </c>
      <c r="FU34" s="149" t="str">
        <f>IF($B34=0,"",$N34*'MF Rents'!FW34*'MF Rollover'!FT34)</f>
        <v/>
      </c>
      <c r="FV34" s="149" t="str">
        <f>IF($B34=0,"",$N34*'MF Rents'!FX34*'MF Rollover'!FU34)</f>
        <v/>
      </c>
      <c r="FW34" s="149" t="str">
        <f>IF($B34=0,"",$N34*'MF Rents'!FY34*'MF Rollover'!FV34)</f>
        <v/>
      </c>
      <c r="FX34" s="149" t="str">
        <f>IF($B34=0,"",$N34*'MF Rents'!FZ34*'MF Rollover'!FW34)</f>
        <v/>
      </c>
      <c r="FY34" s="149" t="str">
        <f>IF($B34=0,"",$N34*'MF Rents'!GA34*'MF Rollover'!FX34)</f>
        <v/>
      </c>
      <c r="FZ34" s="149" t="str">
        <f>IF($B34=0,"",$N34*'MF Rents'!GB34*'MF Rollover'!FY34)</f>
        <v/>
      </c>
      <c r="GA34" s="149" t="str">
        <f>IF($B34=0,"",$N34*'MF Rents'!GC34*'MF Rollover'!FZ34)</f>
        <v/>
      </c>
      <c r="GB34" s="149" t="str">
        <f>IF($B34=0,"",$N34*'MF Rents'!GD34*'MF Rollover'!GA34)</f>
        <v/>
      </c>
      <c r="GC34" s="149" t="str">
        <f>IF($B34=0,"",$N34*'MF Rents'!GE34*'MF Rollover'!GB34)</f>
        <v/>
      </c>
      <c r="GD34" s="149" t="str">
        <f>IF($B34=0,"",$N34*'MF Rents'!GF34*'MF Rollover'!GC34)</f>
        <v/>
      </c>
      <c r="GE34" s="149" t="str">
        <f>IF($B34=0,"",$N34*'MF Rents'!GG34*'MF Rollover'!GD34)</f>
        <v/>
      </c>
      <c r="GF34" s="149" t="str">
        <f>IF($B34=0,"",$N34*'MF Rents'!GH34*'MF Rollover'!GE34)</f>
        <v/>
      </c>
      <c r="GG34" s="149" t="str">
        <f>IF($B34=0,"",$N34*'MF Rents'!GI34*'MF Rollover'!GF34)</f>
        <v/>
      </c>
      <c r="GH34" s="149" t="str">
        <f>IF($B34=0,"",$N34*'MF Rents'!GJ34*'MF Rollover'!GG34)</f>
        <v/>
      </c>
      <c r="GI34" s="149" t="str">
        <f>IF($B34=0,"",$N34*'MF Rents'!GK34*'MF Rollover'!GH34)</f>
        <v/>
      </c>
      <c r="GJ34" s="149" t="str">
        <f>IF($B34=0,"",$N34*'MF Rents'!GL34*'MF Rollover'!GI34)</f>
        <v/>
      </c>
      <c r="GK34" s="149" t="str">
        <f>IF($B34=0,"",$N34*'MF Rents'!GM34*'MF Rollover'!GJ34)</f>
        <v/>
      </c>
      <c r="GL34" s="149" t="str">
        <f>IF($B34=0,"",$N34*'MF Rents'!GN34*'MF Rollover'!GK34)</f>
        <v/>
      </c>
      <c r="GM34" s="149" t="str">
        <f>IF($B34=0,"",$N34*'MF Rents'!GO34*'MF Rollover'!GL34)</f>
        <v/>
      </c>
      <c r="GN34" s="149" t="str">
        <f>IF($B34=0,"",$N34*'MF Rents'!GP34*'MF Rollover'!GM34)</f>
        <v/>
      </c>
      <c r="GO34" s="149" t="str">
        <f>IF($B34=0,"",$N34*'MF Rents'!GQ34*'MF Rollover'!GN34)</f>
        <v/>
      </c>
      <c r="GP34" s="149" t="str">
        <f>IF($B34=0,"",$N34*'MF Rents'!GR34*'MF Rollover'!GO34)</f>
        <v/>
      </c>
    </row>
    <row r="35" spans="2:198" x14ac:dyDescent="0.3">
      <c r="B35" s="184">
        <f>'MF Rent Roll'!B34</f>
        <v>0</v>
      </c>
      <c r="C35" s="171">
        <f>'MF Rent Roll'!C34</f>
        <v>0</v>
      </c>
      <c r="D35" s="172">
        <f>'MF Rent Roll'!D34</f>
        <v>0</v>
      </c>
      <c r="E35" s="172">
        <f>'MF Rent Roll'!E34</f>
        <v>0</v>
      </c>
      <c r="F35" s="173">
        <f>'MF Rent Roll'!F34</f>
        <v>0</v>
      </c>
      <c r="G35" s="174">
        <f>'MF Rent Roll'!G34</f>
        <v>0</v>
      </c>
      <c r="H35" s="176">
        <f>'MF Rent Roll'!J34</f>
        <v>0</v>
      </c>
      <c r="I35" s="174">
        <f>'MF Rent Roll'!K34</f>
        <v>0</v>
      </c>
      <c r="J35" s="177">
        <f>'MF Rent Roll'!L34</f>
        <v>0</v>
      </c>
      <c r="K35" s="178">
        <f>'MF Rent Roll'!M34</f>
        <v>0</v>
      </c>
      <c r="L35" s="174">
        <f>'MF Rent Roll'!N34</f>
        <v>0</v>
      </c>
      <c r="M35" s="179">
        <f>'MF Rent Roll'!O34</f>
        <v>0</v>
      </c>
      <c r="N35" s="180" t="str">
        <f>'MF Rent Roll'!P34</f>
        <v/>
      </c>
      <c r="O35" s="181" t="str">
        <f>'MF Rent Roll'!Q34</f>
        <v/>
      </c>
      <c r="P35" s="104" t="str">
        <f>'MF Rent Roll'!R34</f>
        <v/>
      </c>
      <c r="S35" s="149" t="str">
        <f>IF($B35=0,"",$N35*'MF Rents'!U35*'MF Rollover'!R35)</f>
        <v/>
      </c>
      <c r="T35" s="149" t="str">
        <f>IF($B35=0,"",$N35*'MF Rents'!V35*'MF Rollover'!S35)</f>
        <v/>
      </c>
      <c r="U35" s="149" t="str">
        <f>IF($B35=0,"",$N35*'MF Rents'!W35*'MF Rollover'!T35)</f>
        <v/>
      </c>
      <c r="V35" s="149" t="str">
        <f>IF($B35=0,"",$N35*'MF Rents'!X35*'MF Rollover'!U35)</f>
        <v/>
      </c>
      <c r="W35" s="149" t="str">
        <f>IF($B35=0,"",$N35*'MF Rents'!Y35*'MF Rollover'!V35)</f>
        <v/>
      </c>
      <c r="X35" s="149" t="str">
        <f>IF($B35=0,"",$N35*'MF Rents'!Z35*'MF Rollover'!W35)</f>
        <v/>
      </c>
      <c r="Y35" s="149" t="str">
        <f>IF($B35=0,"",$N35*'MF Rents'!AA35*'MF Rollover'!X35)</f>
        <v/>
      </c>
      <c r="Z35" s="149" t="str">
        <f>IF($B35=0,"",$N35*'MF Rents'!AB35*'MF Rollover'!Y35)</f>
        <v/>
      </c>
      <c r="AA35" s="149" t="str">
        <f>IF($B35=0,"",$N35*'MF Rents'!AC35*'MF Rollover'!Z35)</f>
        <v/>
      </c>
      <c r="AB35" s="149" t="str">
        <f>IF($B35=0,"",$N35*'MF Rents'!AD35*'MF Rollover'!AA35)</f>
        <v/>
      </c>
      <c r="AC35" s="149" t="str">
        <f>IF($B35=0,"",$N35*'MF Rents'!AE35*'MF Rollover'!AB35)</f>
        <v/>
      </c>
      <c r="AD35" s="149" t="str">
        <f>IF($B35=0,"",$N35*'MF Rents'!AF35*'MF Rollover'!AC35)</f>
        <v/>
      </c>
      <c r="AE35" s="149" t="str">
        <f>IF($B35=0,"",$N35*'MF Rents'!AG35*'MF Rollover'!AD35)</f>
        <v/>
      </c>
      <c r="AF35" s="149" t="str">
        <f>IF($B35=0,"",$N35*'MF Rents'!AH35*'MF Rollover'!AE35)</f>
        <v/>
      </c>
      <c r="AG35" s="149" t="str">
        <f>IF($B35=0,"",$N35*'MF Rents'!AI35*'MF Rollover'!AF35)</f>
        <v/>
      </c>
      <c r="AH35" s="149" t="str">
        <f>IF($B35=0,"",$N35*'MF Rents'!AJ35*'MF Rollover'!AG35)</f>
        <v/>
      </c>
      <c r="AI35" s="149" t="str">
        <f>IF($B35=0,"",$N35*'MF Rents'!AK35*'MF Rollover'!AH35)</f>
        <v/>
      </c>
      <c r="AJ35" s="149" t="str">
        <f>IF($B35=0,"",$N35*'MF Rents'!AL35*'MF Rollover'!AI35)</f>
        <v/>
      </c>
      <c r="AK35" s="149" t="str">
        <f>IF($B35=0,"",$N35*'MF Rents'!AM35*'MF Rollover'!AJ35)</f>
        <v/>
      </c>
      <c r="AL35" s="149" t="str">
        <f>IF($B35=0,"",$N35*'MF Rents'!AN35*'MF Rollover'!AK35)</f>
        <v/>
      </c>
      <c r="AM35" s="149" t="str">
        <f>IF($B35=0,"",$N35*'MF Rents'!AO35*'MF Rollover'!AL35)</f>
        <v/>
      </c>
      <c r="AN35" s="149" t="str">
        <f>IF($B35=0,"",$N35*'MF Rents'!AP35*'MF Rollover'!AM35)</f>
        <v/>
      </c>
      <c r="AO35" s="149" t="str">
        <f>IF($B35=0,"",$N35*'MF Rents'!AQ35*'MF Rollover'!AN35)</f>
        <v/>
      </c>
      <c r="AP35" s="149" t="str">
        <f>IF($B35=0,"",$N35*'MF Rents'!AR35*'MF Rollover'!AO35)</f>
        <v/>
      </c>
      <c r="AQ35" s="149" t="str">
        <f>IF($B35=0,"",$N35*'MF Rents'!AS35*'MF Rollover'!AP35)</f>
        <v/>
      </c>
      <c r="AR35" s="149" t="str">
        <f>IF($B35=0,"",$N35*'MF Rents'!AT35*'MF Rollover'!AQ35)</f>
        <v/>
      </c>
      <c r="AS35" s="149" t="str">
        <f>IF($B35=0,"",$N35*'MF Rents'!AU35*'MF Rollover'!AR35)</f>
        <v/>
      </c>
      <c r="AT35" s="149" t="str">
        <f>IF($B35=0,"",$N35*'MF Rents'!AV35*'MF Rollover'!AS35)</f>
        <v/>
      </c>
      <c r="AU35" s="149" t="str">
        <f>IF($B35=0,"",$N35*'MF Rents'!AW35*'MF Rollover'!AT35)</f>
        <v/>
      </c>
      <c r="AV35" s="149" t="str">
        <f>IF($B35=0,"",$N35*'MF Rents'!AX35*'MF Rollover'!AU35)</f>
        <v/>
      </c>
      <c r="AW35" s="149" t="str">
        <f>IF($B35=0,"",$N35*'MF Rents'!AY35*'MF Rollover'!AV35)</f>
        <v/>
      </c>
      <c r="AX35" s="149" t="str">
        <f>IF($B35=0,"",$N35*'MF Rents'!AZ35*'MF Rollover'!AW35)</f>
        <v/>
      </c>
      <c r="AY35" s="149" t="str">
        <f>IF($B35=0,"",$N35*'MF Rents'!BA35*'MF Rollover'!AX35)</f>
        <v/>
      </c>
      <c r="AZ35" s="149" t="str">
        <f>IF($B35=0,"",$N35*'MF Rents'!BB35*'MF Rollover'!AY35)</f>
        <v/>
      </c>
      <c r="BA35" s="149" t="str">
        <f>IF($B35=0,"",$N35*'MF Rents'!BC35*'MF Rollover'!AZ35)</f>
        <v/>
      </c>
      <c r="BB35" s="149" t="str">
        <f>IF($B35=0,"",$N35*'MF Rents'!BD35*'MF Rollover'!BA35)</f>
        <v/>
      </c>
      <c r="BC35" s="149" t="str">
        <f>IF($B35=0,"",$N35*'MF Rents'!BE35*'MF Rollover'!BB35)</f>
        <v/>
      </c>
      <c r="BD35" s="149" t="str">
        <f>IF($B35=0,"",$N35*'MF Rents'!BF35*'MF Rollover'!BC35)</f>
        <v/>
      </c>
      <c r="BE35" s="149" t="str">
        <f>IF($B35=0,"",$N35*'MF Rents'!BG35*'MF Rollover'!BD35)</f>
        <v/>
      </c>
      <c r="BF35" s="149" t="str">
        <f>IF($B35=0,"",$N35*'MF Rents'!BH35*'MF Rollover'!BE35)</f>
        <v/>
      </c>
      <c r="BG35" s="149" t="str">
        <f>IF($B35=0,"",$N35*'MF Rents'!BI35*'MF Rollover'!BF35)</f>
        <v/>
      </c>
      <c r="BH35" s="149" t="str">
        <f>IF($B35=0,"",$N35*'MF Rents'!BJ35*'MF Rollover'!BG35)</f>
        <v/>
      </c>
      <c r="BI35" s="149" t="str">
        <f>IF($B35=0,"",$N35*'MF Rents'!BK35*'MF Rollover'!BH35)</f>
        <v/>
      </c>
      <c r="BJ35" s="149" t="str">
        <f>IF($B35=0,"",$N35*'MF Rents'!BL35*'MF Rollover'!BI35)</f>
        <v/>
      </c>
      <c r="BK35" s="149" t="str">
        <f>IF($B35=0,"",$N35*'MF Rents'!BM35*'MF Rollover'!BJ35)</f>
        <v/>
      </c>
      <c r="BL35" s="149" t="str">
        <f>IF($B35=0,"",$N35*'MF Rents'!BN35*'MF Rollover'!BK35)</f>
        <v/>
      </c>
      <c r="BM35" s="149" t="str">
        <f>IF($B35=0,"",$N35*'MF Rents'!BO35*'MF Rollover'!BL35)</f>
        <v/>
      </c>
      <c r="BN35" s="149" t="str">
        <f>IF($B35=0,"",$N35*'MF Rents'!BP35*'MF Rollover'!BM35)</f>
        <v/>
      </c>
      <c r="BO35" s="149" t="str">
        <f>IF($B35=0,"",$N35*'MF Rents'!BQ35*'MF Rollover'!BN35)</f>
        <v/>
      </c>
      <c r="BP35" s="149" t="str">
        <f>IF($B35=0,"",$N35*'MF Rents'!BR35*'MF Rollover'!BO35)</f>
        <v/>
      </c>
      <c r="BQ35" s="149" t="str">
        <f>IF($B35=0,"",$N35*'MF Rents'!BS35*'MF Rollover'!BP35)</f>
        <v/>
      </c>
      <c r="BR35" s="149" t="str">
        <f>IF($B35=0,"",$N35*'MF Rents'!BT35*'MF Rollover'!BQ35)</f>
        <v/>
      </c>
      <c r="BS35" s="149" t="str">
        <f>IF($B35=0,"",$N35*'MF Rents'!BU35*'MF Rollover'!BR35)</f>
        <v/>
      </c>
      <c r="BT35" s="149" t="str">
        <f>IF($B35=0,"",$N35*'MF Rents'!BV35*'MF Rollover'!BS35)</f>
        <v/>
      </c>
      <c r="BU35" s="149" t="str">
        <f>IF($B35=0,"",$N35*'MF Rents'!BW35*'MF Rollover'!BT35)</f>
        <v/>
      </c>
      <c r="BV35" s="149" t="str">
        <f>IF($B35=0,"",$N35*'MF Rents'!BX35*'MF Rollover'!BU35)</f>
        <v/>
      </c>
      <c r="BW35" s="149" t="str">
        <f>IF($B35=0,"",$N35*'MF Rents'!BY35*'MF Rollover'!BV35)</f>
        <v/>
      </c>
      <c r="BX35" s="149" t="str">
        <f>IF($B35=0,"",$N35*'MF Rents'!BZ35*'MF Rollover'!BW35)</f>
        <v/>
      </c>
      <c r="BY35" s="149" t="str">
        <f>IF($B35=0,"",$N35*'MF Rents'!CA35*'MF Rollover'!BX35)</f>
        <v/>
      </c>
      <c r="BZ35" s="149" t="str">
        <f>IF($B35=0,"",$N35*'MF Rents'!CB35*'MF Rollover'!BY35)</f>
        <v/>
      </c>
      <c r="CA35" s="149" t="str">
        <f>IF($B35=0,"",$N35*'MF Rents'!CC35*'MF Rollover'!BZ35)</f>
        <v/>
      </c>
      <c r="CB35" s="149" t="str">
        <f>IF($B35=0,"",$N35*'MF Rents'!CD35*'MF Rollover'!CA35)</f>
        <v/>
      </c>
      <c r="CC35" s="149" t="str">
        <f>IF($B35=0,"",$N35*'MF Rents'!CE35*'MF Rollover'!CB35)</f>
        <v/>
      </c>
      <c r="CD35" s="149" t="str">
        <f>IF($B35=0,"",$N35*'MF Rents'!CF35*'MF Rollover'!CC35)</f>
        <v/>
      </c>
      <c r="CE35" s="149" t="str">
        <f>IF($B35=0,"",$N35*'MF Rents'!CG35*'MF Rollover'!CD35)</f>
        <v/>
      </c>
      <c r="CF35" s="149" t="str">
        <f>IF($B35=0,"",$N35*'MF Rents'!CH35*'MF Rollover'!CE35)</f>
        <v/>
      </c>
      <c r="CG35" s="149" t="str">
        <f>IF($B35=0,"",$N35*'MF Rents'!CI35*'MF Rollover'!CF35)</f>
        <v/>
      </c>
      <c r="CH35" s="149" t="str">
        <f>IF($B35=0,"",$N35*'MF Rents'!CJ35*'MF Rollover'!CG35)</f>
        <v/>
      </c>
      <c r="CI35" s="149" t="str">
        <f>IF($B35=0,"",$N35*'MF Rents'!CK35*'MF Rollover'!CH35)</f>
        <v/>
      </c>
      <c r="CJ35" s="149" t="str">
        <f>IF($B35=0,"",$N35*'MF Rents'!CL35*'MF Rollover'!CI35)</f>
        <v/>
      </c>
      <c r="CK35" s="149" t="str">
        <f>IF($B35=0,"",$N35*'MF Rents'!CM35*'MF Rollover'!CJ35)</f>
        <v/>
      </c>
      <c r="CL35" s="149" t="str">
        <f>IF($B35=0,"",$N35*'MF Rents'!CN35*'MF Rollover'!CK35)</f>
        <v/>
      </c>
      <c r="CM35" s="149" t="str">
        <f>IF($B35=0,"",$N35*'MF Rents'!CO35*'MF Rollover'!CL35)</f>
        <v/>
      </c>
      <c r="CN35" s="149" t="str">
        <f>IF($B35=0,"",$N35*'MF Rents'!CP35*'MF Rollover'!CM35)</f>
        <v/>
      </c>
      <c r="CO35" s="149" t="str">
        <f>IF($B35=0,"",$N35*'MF Rents'!CQ35*'MF Rollover'!CN35)</f>
        <v/>
      </c>
      <c r="CP35" s="149" t="str">
        <f>IF($B35=0,"",$N35*'MF Rents'!CR35*'MF Rollover'!CO35)</f>
        <v/>
      </c>
      <c r="CQ35" s="149" t="str">
        <f>IF($B35=0,"",$N35*'MF Rents'!CS35*'MF Rollover'!CP35)</f>
        <v/>
      </c>
      <c r="CR35" s="149" t="str">
        <f>IF($B35=0,"",$N35*'MF Rents'!CT35*'MF Rollover'!CQ35)</f>
        <v/>
      </c>
      <c r="CS35" s="149" t="str">
        <f>IF($B35=0,"",$N35*'MF Rents'!CU35*'MF Rollover'!CR35)</f>
        <v/>
      </c>
      <c r="CT35" s="149" t="str">
        <f>IF($B35=0,"",$N35*'MF Rents'!CV35*'MF Rollover'!CS35)</f>
        <v/>
      </c>
      <c r="CU35" s="149" t="str">
        <f>IF($B35=0,"",$N35*'MF Rents'!CW35*'MF Rollover'!CT35)</f>
        <v/>
      </c>
      <c r="CV35" s="149" t="str">
        <f>IF($B35=0,"",$N35*'MF Rents'!CX35*'MF Rollover'!CU35)</f>
        <v/>
      </c>
      <c r="CW35" s="149" t="str">
        <f>IF($B35=0,"",$N35*'MF Rents'!CY35*'MF Rollover'!CV35)</f>
        <v/>
      </c>
      <c r="CX35" s="149" t="str">
        <f>IF($B35=0,"",$N35*'MF Rents'!CZ35*'MF Rollover'!CW35)</f>
        <v/>
      </c>
      <c r="CY35" s="149" t="str">
        <f>IF($B35=0,"",$N35*'MF Rents'!DA35*'MF Rollover'!CX35)</f>
        <v/>
      </c>
      <c r="CZ35" s="149" t="str">
        <f>IF($B35=0,"",$N35*'MF Rents'!DB35*'MF Rollover'!CY35)</f>
        <v/>
      </c>
      <c r="DA35" s="149" t="str">
        <f>IF($B35=0,"",$N35*'MF Rents'!DC35*'MF Rollover'!CZ35)</f>
        <v/>
      </c>
      <c r="DB35" s="149" t="str">
        <f>IF($B35=0,"",$N35*'MF Rents'!DD35*'MF Rollover'!DA35)</f>
        <v/>
      </c>
      <c r="DC35" s="149" t="str">
        <f>IF($B35=0,"",$N35*'MF Rents'!DE35*'MF Rollover'!DB35)</f>
        <v/>
      </c>
      <c r="DD35" s="149" t="str">
        <f>IF($B35=0,"",$N35*'MF Rents'!DF35*'MF Rollover'!DC35)</f>
        <v/>
      </c>
      <c r="DE35" s="149" t="str">
        <f>IF($B35=0,"",$N35*'MF Rents'!DG35*'MF Rollover'!DD35)</f>
        <v/>
      </c>
      <c r="DF35" s="149" t="str">
        <f>IF($B35=0,"",$N35*'MF Rents'!DH35*'MF Rollover'!DE35)</f>
        <v/>
      </c>
      <c r="DG35" s="149" t="str">
        <f>IF($B35=0,"",$N35*'MF Rents'!DI35*'MF Rollover'!DF35)</f>
        <v/>
      </c>
      <c r="DH35" s="149" t="str">
        <f>IF($B35=0,"",$N35*'MF Rents'!DJ35*'MF Rollover'!DG35)</f>
        <v/>
      </c>
      <c r="DI35" s="149" t="str">
        <f>IF($B35=0,"",$N35*'MF Rents'!DK35*'MF Rollover'!DH35)</f>
        <v/>
      </c>
      <c r="DJ35" s="149" t="str">
        <f>IF($B35=0,"",$N35*'MF Rents'!DL35*'MF Rollover'!DI35)</f>
        <v/>
      </c>
      <c r="DK35" s="149" t="str">
        <f>IF($B35=0,"",$N35*'MF Rents'!DM35*'MF Rollover'!DJ35)</f>
        <v/>
      </c>
      <c r="DL35" s="149" t="str">
        <f>IF($B35=0,"",$N35*'MF Rents'!DN35*'MF Rollover'!DK35)</f>
        <v/>
      </c>
      <c r="DM35" s="149" t="str">
        <f>IF($B35=0,"",$N35*'MF Rents'!DO35*'MF Rollover'!DL35)</f>
        <v/>
      </c>
      <c r="DN35" s="149" t="str">
        <f>IF($B35=0,"",$N35*'MF Rents'!DP35*'MF Rollover'!DM35)</f>
        <v/>
      </c>
      <c r="DO35" s="149" t="str">
        <f>IF($B35=0,"",$N35*'MF Rents'!DQ35*'MF Rollover'!DN35)</f>
        <v/>
      </c>
      <c r="DP35" s="149" t="str">
        <f>IF($B35=0,"",$N35*'MF Rents'!DR35*'MF Rollover'!DO35)</f>
        <v/>
      </c>
      <c r="DQ35" s="149" t="str">
        <f>IF($B35=0,"",$N35*'MF Rents'!DS35*'MF Rollover'!DP35)</f>
        <v/>
      </c>
      <c r="DR35" s="149" t="str">
        <f>IF($B35=0,"",$N35*'MF Rents'!DT35*'MF Rollover'!DQ35)</f>
        <v/>
      </c>
      <c r="DS35" s="149" t="str">
        <f>IF($B35=0,"",$N35*'MF Rents'!DU35*'MF Rollover'!DR35)</f>
        <v/>
      </c>
      <c r="DT35" s="149" t="str">
        <f>IF($B35=0,"",$N35*'MF Rents'!DV35*'MF Rollover'!DS35)</f>
        <v/>
      </c>
      <c r="DU35" s="149" t="str">
        <f>IF($B35=0,"",$N35*'MF Rents'!DW35*'MF Rollover'!DT35)</f>
        <v/>
      </c>
      <c r="DV35" s="149" t="str">
        <f>IF($B35=0,"",$N35*'MF Rents'!DX35*'MF Rollover'!DU35)</f>
        <v/>
      </c>
      <c r="DW35" s="149" t="str">
        <f>IF($B35=0,"",$N35*'MF Rents'!DY35*'MF Rollover'!DV35)</f>
        <v/>
      </c>
      <c r="DX35" s="149" t="str">
        <f>IF($B35=0,"",$N35*'MF Rents'!DZ35*'MF Rollover'!DW35)</f>
        <v/>
      </c>
      <c r="DY35" s="149" t="str">
        <f>IF($B35=0,"",$N35*'MF Rents'!EA35*'MF Rollover'!DX35)</f>
        <v/>
      </c>
      <c r="DZ35" s="149" t="str">
        <f>IF($B35=0,"",$N35*'MF Rents'!EB35*'MF Rollover'!DY35)</f>
        <v/>
      </c>
      <c r="EA35" s="149" t="str">
        <f>IF($B35=0,"",$N35*'MF Rents'!EC35*'MF Rollover'!DZ35)</f>
        <v/>
      </c>
      <c r="EB35" s="149" t="str">
        <f>IF($B35=0,"",$N35*'MF Rents'!ED35*'MF Rollover'!EA35)</f>
        <v/>
      </c>
      <c r="EC35" s="149" t="str">
        <f>IF($B35=0,"",$N35*'MF Rents'!EE35*'MF Rollover'!EB35)</f>
        <v/>
      </c>
      <c r="ED35" s="149" t="str">
        <f>IF($B35=0,"",$N35*'MF Rents'!EF35*'MF Rollover'!EC35)</f>
        <v/>
      </c>
      <c r="EE35" s="149" t="str">
        <f>IF($B35=0,"",$N35*'MF Rents'!EG35*'MF Rollover'!ED35)</f>
        <v/>
      </c>
      <c r="EF35" s="149" t="str">
        <f>IF($B35=0,"",$N35*'MF Rents'!EH35*'MF Rollover'!EE35)</f>
        <v/>
      </c>
      <c r="EG35" s="149" t="str">
        <f>IF($B35=0,"",$N35*'MF Rents'!EI35*'MF Rollover'!EF35)</f>
        <v/>
      </c>
      <c r="EH35" s="149" t="str">
        <f>IF($B35=0,"",$N35*'MF Rents'!EJ35*'MF Rollover'!EG35)</f>
        <v/>
      </c>
      <c r="EI35" s="149" t="str">
        <f>IF($B35=0,"",$N35*'MF Rents'!EK35*'MF Rollover'!EH35)</f>
        <v/>
      </c>
      <c r="EJ35" s="149" t="str">
        <f>IF($B35=0,"",$N35*'MF Rents'!EL35*'MF Rollover'!EI35)</f>
        <v/>
      </c>
      <c r="EK35" s="149" t="str">
        <f>IF($B35=0,"",$N35*'MF Rents'!EM35*'MF Rollover'!EJ35)</f>
        <v/>
      </c>
      <c r="EL35" s="149" t="str">
        <f>IF($B35=0,"",$N35*'MF Rents'!EN35*'MF Rollover'!EK35)</f>
        <v/>
      </c>
      <c r="EM35" s="149" t="str">
        <f>IF($B35=0,"",$N35*'MF Rents'!EO35*'MF Rollover'!EL35)</f>
        <v/>
      </c>
      <c r="EN35" s="149" t="str">
        <f>IF($B35=0,"",$N35*'MF Rents'!EP35*'MF Rollover'!EM35)</f>
        <v/>
      </c>
      <c r="EO35" s="149" t="str">
        <f>IF($B35=0,"",$N35*'MF Rents'!EQ35*'MF Rollover'!EN35)</f>
        <v/>
      </c>
      <c r="EP35" s="149" t="str">
        <f>IF($B35=0,"",$N35*'MF Rents'!ER35*'MF Rollover'!EO35)</f>
        <v/>
      </c>
      <c r="EQ35" s="149" t="str">
        <f>IF($B35=0,"",$N35*'MF Rents'!ES35*'MF Rollover'!EP35)</f>
        <v/>
      </c>
      <c r="ER35" s="149" t="str">
        <f>IF($B35=0,"",$N35*'MF Rents'!ET35*'MF Rollover'!EQ35)</f>
        <v/>
      </c>
      <c r="ES35" s="149" t="str">
        <f>IF($B35=0,"",$N35*'MF Rents'!EU35*'MF Rollover'!ER35)</f>
        <v/>
      </c>
      <c r="ET35" s="149" t="str">
        <f>IF($B35=0,"",$N35*'MF Rents'!EV35*'MF Rollover'!ES35)</f>
        <v/>
      </c>
      <c r="EU35" s="149" t="str">
        <f>IF($B35=0,"",$N35*'MF Rents'!EW35*'MF Rollover'!ET35)</f>
        <v/>
      </c>
      <c r="EV35" s="149" t="str">
        <f>IF($B35=0,"",$N35*'MF Rents'!EX35*'MF Rollover'!EU35)</f>
        <v/>
      </c>
      <c r="EW35" s="149" t="str">
        <f>IF($B35=0,"",$N35*'MF Rents'!EY35*'MF Rollover'!EV35)</f>
        <v/>
      </c>
      <c r="EX35" s="149" t="str">
        <f>IF($B35=0,"",$N35*'MF Rents'!EZ35*'MF Rollover'!EW35)</f>
        <v/>
      </c>
      <c r="EY35" s="149" t="str">
        <f>IF($B35=0,"",$N35*'MF Rents'!FA35*'MF Rollover'!EX35)</f>
        <v/>
      </c>
      <c r="EZ35" s="149" t="str">
        <f>IF($B35=0,"",$N35*'MF Rents'!FB35*'MF Rollover'!EY35)</f>
        <v/>
      </c>
      <c r="FA35" s="149" t="str">
        <f>IF($B35=0,"",$N35*'MF Rents'!FC35*'MF Rollover'!EZ35)</f>
        <v/>
      </c>
      <c r="FB35" s="149" t="str">
        <f>IF($B35=0,"",$N35*'MF Rents'!FD35*'MF Rollover'!FA35)</f>
        <v/>
      </c>
      <c r="FC35" s="149" t="str">
        <f>IF($B35=0,"",$N35*'MF Rents'!FE35*'MF Rollover'!FB35)</f>
        <v/>
      </c>
      <c r="FD35" s="149" t="str">
        <f>IF($B35=0,"",$N35*'MF Rents'!FF35*'MF Rollover'!FC35)</f>
        <v/>
      </c>
      <c r="FE35" s="149" t="str">
        <f>IF($B35=0,"",$N35*'MF Rents'!FG35*'MF Rollover'!FD35)</f>
        <v/>
      </c>
      <c r="FF35" s="149" t="str">
        <f>IF($B35=0,"",$N35*'MF Rents'!FH35*'MF Rollover'!FE35)</f>
        <v/>
      </c>
      <c r="FG35" s="149" t="str">
        <f>IF($B35=0,"",$N35*'MF Rents'!FI35*'MF Rollover'!FF35)</f>
        <v/>
      </c>
      <c r="FH35" s="149" t="str">
        <f>IF($B35=0,"",$N35*'MF Rents'!FJ35*'MF Rollover'!FG35)</f>
        <v/>
      </c>
      <c r="FI35" s="149" t="str">
        <f>IF($B35=0,"",$N35*'MF Rents'!FK35*'MF Rollover'!FH35)</f>
        <v/>
      </c>
      <c r="FJ35" s="149" t="str">
        <f>IF($B35=0,"",$N35*'MF Rents'!FL35*'MF Rollover'!FI35)</f>
        <v/>
      </c>
      <c r="FK35" s="149" t="str">
        <f>IF($B35=0,"",$N35*'MF Rents'!FM35*'MF Rollover'!FJ35)</f>
        <v/>
      </c>
      <c r="FL35" s="149" t="str">
        <f>IF($B35=0,"",$N35*'MF Rents'!FN35*'MF Rollover'!FK35)</f>
        <v/>
      </c>
      <c r="FM35" s="149" t="str">
        <f>IF($B35=0,"",$N35*'MF Rents'!FO35*'MF Rollover'!FL35)</f>
        <v/>
      </c>
      <c r="FN35" s="149" t="str">
        <f>IF($B35=0,"",$N35*'MF Rents'!FP35*'MF Rollover'!FM35)</f>
        <v/>
      </c>
      <c r="FO35" s="149" t="str">
        <f>IF($B35=0,"",$N35*'MF Rents'!FQ35*'MF Rollover'!FN35)</f>
        <v/>
      </c>
      <c r="FP35" s="149" t="str">
        <f>IF($B35=0,"",$N35*'MF Rents'!FR35*'MF Rollover'!FO35)</f>
        <v/>
      </c>
      <c r="FQ35" s="149" t="str">
        <f>IF($B35=0,"",$N35*'MF Rents'!FS35*'MF Rollover'!FP35)</f>
        <v/>
      </c>
      <c r="FR35" s="149" t="str">
        <f>IF($B35=0,"",$N35*'MF Rents'!FT35*'MF Rollover'!FQ35)</f>
        <v/>
      </c>
      <c r="FS35" s="149" t="str">
        <f>IF($B35=0,"",$N35*'MF Rents'!FU35*'MF Rollover'!FR35)</f>
        <v/>
      </c>
      <c r="FT35" s="149" t="str">
        <f>IF($B35=0,"",$N35*'MF Rents'!FV35*'MF Rollover'!FS35)</f>
        <v/>
      </c>
      <c r="FU35" s="149" t="str">
        <f>IF($B35=0,"",$N35*'MF Rents'!FW35*'MF Rollover'!FT35)</f>
        <v/>
      </c>
      <c r="FV35" s="149" t="str">
        <f>IF($B35=0,"",$N35*'MF Rents'!FX35*'MF Rollover'!FU35)</f>
        <v/>
      </c>
      <c r="FW35" s="149" t="str">
        <f>IF($B35=0,"",$N35*'MF Rents'!FY35*'MF Rollover'!FV35)</f>
        <v/>
      </c>
      <c r="FX35" s="149" t="str">
        <f>IF($B35=0,"",$N35*'MF Rents'!FZ35*'MF Rollover'!FW35)</f>
        <v/>
      </c>
      <c r="FY35" s="149" t="str">
        <f>IF($B35=0,"",$N35*'MF Rents'!GA35*'MF Rollover'!FX35)</f>
        <v/>
      </c>
      <c r="FZ35" s="149" t="str">
        <f>IF($B35=0,"",$N35*'MF Rents'!GB35*'MF Rollover'!FY35)</f>
        <v/>
      </c>
      <c r="GA35" s="149" t="str">
        <f>IF($B35=0,"",$N35*'MF Rents'!GC35*'MF Rollover'!FZ35)</f>
        <v/>
      </c>
      <c r="GB35" s="149" t="str">
        <f>IF($B35=0,"",$N35*'MF Rents'!GD35*'MF Rollover'!GA35)</f>
        <v/>
      </c>
      <c r="GC35" s="149" t="str">
        <f>IF($B35=0,"",$N35*'MF Rents'!GE35*'MF Rollover'!GB35)</f>
        <v/>
      </c>
      <c r="GD35" s="149" t="str">
        <f>IF($B35=0,"",$N35*'MF Rents'!GF35*'MF Rollover'!GC35)</f>
        <v/>
      </c>
      <c r="GE35" s="149" t="str">
        <f>IF($B35=0,"",$N35*'MF Rents'!GG35*'MF Rollover'!GD35)</f>
        <v/>
      </c>
      <c r="GF35" s="149" t="str">
        <f>IF($B35=0,"",$N35*'MF Rents'!GH35*'MF Rollover'!GE35)</f>
        <v/>
      </c>
      <c r="GG35" s="149" t="str">
        <f>IF($B35=0,"",$N35*'MF Rents'!GI35*'MF Rollover'!GF35)</f>
        <v/>
      </c>
      <c r="GH35" s="149" t="str">
        <f>IF($B35=0,"",$N35*'MF Rents'!GJ35*'MF Rollover'!GG35)</f>
        <v/>
      </c>
      <c r="GI35" s="149" t="str">
        <f>IF($B35=0,"",$N35*'MF Rents'!GK35*'MF Rollover'!GH35)</f>
        <v/>
      </c>
      <c r="GJ35" s="149" t="str">
        <f>IF($B35=0,"",$N35*'MF Rents'!GL35*'MF Rollover'!GI35)</f>
        <v/>
      </c>
      <c r="GK35" s="149" t="str">
        <f>IF($B35=0,"",$N35*'MF Rents'!GM35*'MF Rollover'!GJ35)</f>
        <v/>
      </c>
      <c r="GL35" s="149" t="str">
        <f>IF($B35=0,"",$N35*'MF Rents'!GN35*'MF Rollover'!GK35)</f>
        <v/>
      </c>
      <c r="GM35" s="149" t="str">
        <f>IF($B35=0,"",$N35*'MF Rents'!GO35*'MF Rollover'!GL35)</f>
        <v/>
      </c>
      <c r="GN35" s="149" t="str">
        <f>IF($B35=0,"",$N35*'MF Rents'!GP35*'MF Rollover'!GM35)</f>
        <v/>
      </c>
      <c r="GO35" s="149" t="str">
        <f>IF($B35=0,"",$N35*'MF Rents'!GQ35*'MF Rollover'!GN35)</f>
        <v/>
      </c>
      <c r="GP35" s="149" t="str">
        <f>IF($B35=0,"",$N35*'MF Rents'!GR35*'MF Rollover'!GO35)</f>
        <v/>
      </c>
    </row>
    <row r="36" spans="2:198" x14ac:dyDescent="0.3">
      <c r="B36" s="184">
        <f>'MF Rent Roll'!B35</f>
        <v>0</v>
      </c>
      <c r="C36" s="171">
        <f>'MF Rent Roll'!C35</f>
        <v>0</v>
      </c>
      <c r="D36" s="172">
        <f>'MF Rent Roll'!D35</f>
        <v>0</v>
      </c>
      <c r="E36" s="172">
        <f>'MF Rent Roll'!E35</f>
        <v>0</v>
      </c>
      <c r="F36" s="173">
        <f>'MF Rent Roll'!F35</f>
        <v>0</v>
      </c>
      <c r="G36" s="174">
        <f>'MF Rent Roll'!G35</f>
        <v>0</v>
      </c>
      <c r="H36" s="176">
        <f>'MF Rent Roll'!J35</f>
        <v>0</v>
      </c>
      <c r="I36" s="174">
        <f>'MF Rent Roll'!K35</f>
        <v>0</v>
      </c>
      <c r="J36" s="177">
        <f>'MF Rent Roll'!L35</f>
        <v>0</v>
      </c>
      <c r="K36" s="178">
        <f>'MF Rent Roll'!M35</f>
        <v>0</v>
      </c>
      <c r="L36" s="174">
        <f>'MF Rent Roll'!N35</f>
        <v>0</v>
      </c>
      <c r="M36" s="179">
        <f>'MF Rent Roll'!O35</f>
        <v>0</v>
      </c>
      <c r="N36" s="180" t="str">
        <f>'MF Rent Roll'!P35</f>
        <v/>
      </c>
      <c r="O36" s="181" t="str">
        <f>'MF Rent Roll'!Q35</f>
        <v/>
      </c>
      <c r="P36" s="104" t="str">
        <f>'MF Rent Roll'!R35</f>
        <v/>
      </c>
      <c r="S36" s="149" t="str">
        <f>IF($B36=0,"",$N36*'MF Rents'!U36*'MF Rollover'!R36)</f>
        <v/>
      </c>
      <c r="T36" s="149" t="str">
        <f>IF($B36=0,"",$N36*'MF Rents'!V36*'MF Rollover'!S36)</f>
        <v/>
      </c>
      <c r="U36" s="149" t="str">
        <f>IF($B36=0,"",$N36*'MF Rents'!W36*'MF Rollover'!T36)</f>
        <v/>
      </c>
      <c r="V36" s="149" t="str">
        <f>IF($B36=0,"",$N36*'MF Rents'!X36*'MF Rollover'!U36)</f>
        <v/>
      </c>
      <c r="W36" s="149" t="str">
        <f>IF($B36=0,"",$N36*'MF Rents'!Y36*'MF Rollover'!V36)</f>
        <v/>
      </c>
      <c r="X36" s="149" t="str">
        <f>IF($B36=0,"",$N36*'MF Rents'!Z36*'MF Rollover'!W36)</f>
        <v/>
      </c>
      <c r="Y36" s="149" t="str">
        <f>IF($B36=0,"",$N36*'MF Rents'!AA36*'MF Rollover'!X36)</f>
        <v/>
      </c>
      <c r="Z36" s="149" t="str">
        <f>IF($B36=0,"",$N36*'MF Rents'!AB36*'MF Rollover'!Y36)</f>
        <v/>
      </c>
      <c r="AA36" s="149" t="str">
        <f>IF($B36=0,"",$N36*'MF Rents'!AC36*'MF Rollover'!Z36)</f>
        <v/>
      </c>
      <c r="AB36" s="149" t="str">
        <f>IF($B36=0,"",$N36*'MF Rents'!AD36*'MF Rollover'!AA36)</f>
        <v/>
      </c>
      <c r="AC36" s="149" t="str">
        <f>IF($B36=0,"",$N36*'MF Rents'!AE36*'MF Rollover'!AB36)</f>
        <v/>
      </c>
      <c r="AD36" s="149" t="str">
        <f>IF($B36=0,"",$N36*'MF Rents'!AF36*'MF Rollover'!AC36)</f>
        <v/>
      </c>
      <c r="AE36" s="149" t="str">
        <f>IF($B36=0,"",$N36*'MF Rents'!AG36*'MF Rollover'!AD36)</f>
        <v/>
      </c>
      <c r="AF36" s="149" t="str">
        <f>IF($B36=0,"",$N36*'MF Rents'!AH36*'MF Rollover'!AE36)</f>
        <v/>
      </c>
      <c r="AG36" s="149" t="str">
        <f>IF($B36=0,"",$N36*'MF Rents'!AI36*'MF Rollover'!AF36)</f>
        <v/>
      </c>
      <c r="AH36" s="149" t="str">
        <f>IF($B36=0,"",$N36*'MF Rents'!AJ36*'MF Rollover'!AG36)</f>
        <v/>
      </c>
      <c r="AI36" s="149" t="str">
        <f>IF($B36=0,"",$N36*'MF Rents'!AK36*'MF Rollover'!AH36)</f>
        <v/>
      </c>
      <c r="AJ36" s="149" t="str">
        <f>IF($B36=0,"",$N36*'MF Rents'!AL36*'MF Rollover'!AI36)</f>
        <v/>
      </c>
      <c r="AK36" s="149" t="str">
        <f>IF($B36=0,"",$N36*'MF Rents'!AM36*'MF Rollover'!AJ36)</f>
        <v/>
      </c>
      <c r="AL36" s="149" t="str">
        <f>IF($B36=0,"",$N36*'MF Rents'!AN36*'MF Rollover'!AK36)</f>
        <v/>
      </c>
      <c r="AM36" s="149" t="str">
        <f>IF($B36=0,"",$N36*'MF Rents'!AO36*'MF Rollover'!AL36)</f>
        <v/>
      </c>
      <c r="AN36" s="149" t="str">
        <f>IF($B36=0,"",$N36*'MF Rents'!AP36*'MF Rollover'!AM36)</f>
        <v/>
      </c>
      <c r="AO36" s="149" t="str">
        <f>IF($B36=0,"",$N36*'MF Rents'!AQ36*'MF Rollover'!AN36)</f>
        <v/>
      </c>
      <c r="AP36" s="149" t="str">
        <f>IF($B36=0,"",$N36*'MF Rents'!AR36*'MF Rollover'!AO36)</f>
        <v/>
      </c>
      <c r="AQ36" s="149" t="str">
        <f>IF($B36=0,"",$N36*'MF Rents'!AS36*'MF Rollover'!AP36)</f>
        <v/>
      </c>
      <c r="AR36" s="149" t="str">
        <f>IF($B36=0,"",$N36*'MF Rents'!AT36*'MF Rollover'!AQ36)</f>
        <v/>
      </c>
      <c r="AS36" s="149" t="str">
        <f>IF($B36=0,"",$N36*'MF Rents'!AU36*'MF Rollover'!AR36)</f>
        <v/>
      </c>
      <c r="AT36" s="149" t="str">
        <f>IF($B36=0,"",$N36*'MF Rents'!AV36*'MF Rollover'!AS36)</f>
        <v/>
      </c>
      <c r="AU36" s="149" t="str">
        <f>IF($B36=0,"",$N36*'MF Rents'!AW36*'MF Rollover'!AT36)</f>
        <v/>
      </c>
      <c r="AV36" s="149" t="str">
        <f>IF($B36=0,"",$N36*'MF Rents'!AX36*'MF Rollover'!AU36)</f>
        <v/>
      </c>
      <c r="AW36" s="149" t="str">
        <f>IF($B36=0,"",$N36*'MF Rents'!AY36*'MF Rollover'!AV36)</f>
        <v/>
      </c>
      <c r="AX36" s="149" t="str">
        <f>IF($B36=0,"",$N36*'MF Rents'!AZ36*'MF Rollover'!AW36)</f>
        <v/>
      </c>
      <c r="AY36" s="149" t="str">
        <f>IF($B36=0,"",$N36*'MF Rents'!BA36*'MF Rollover'!AX36)</f>
        <v/>
      </c>
      <c r="AZ36" s="149" t="str">
        <f>IF($B36=0,"",$N36*'MF Rents'!BB36*'MF Rollover'!AY36)</f>
        <v/>
      </c>
      <c r="BA36" s="149" t="str">
        <f>IF($B36=0,"",$N36*'MF Rents'!BC36*'MF Rollover'!AZ36)</f>
        <v/>
      </c>
      <c r="BB36" s="149" t="str">
        <f>IF($B36=0,"",$N36*'MF Rents'!BD36*'MF Rollover'!BA36)</f>
        <v/>
      </c>
      <c r="BC36" s="149" t="str">
        <f>IF($B36=0,"",$N36*'MF Rents'!BE36*'MF Rollover'!BB36)</f>
        <v/>
      </c>
      <c r="BD36" s="149" t="str">
        <f>IF($B36=0,"",$N36*'MF Rents'!BF36*'MF Rollover'!BC36)</f>
        <v/>
      </c>
      <c r="BE36" s="149" t="str">
        <f>IF($B36=0,"",$N36*'MF Rents'!BG36*'MF Rollover'!BD36)</f>
        <v/>
      </c>
      <c r="BF36" s="149" t="str">
        <f>IF($B36=0,"",$N36*'MF Rents'!BH36*'MF Rollover'!BE36)</f>
        <v/>
      </c>
      <c r="BG36" s="149" t="str">
        <f>IF($B36=0,"",$N36*'MF Rents'!BI36*'MF Rollover'!BF36)</f>
        <v/>
      </c>
      <c r="BH36" s="149" t="str">
        <f>IF($B36=0,"",$N36*'MF Rents'!BJ36*'MF Rollover'!BG36)</f>
        <v/>
      </c>
      <c r="BI36" s="149" t="str">
        <f>IF($B36=0,"",$N36*'MF Rents'!BK36*'MF Rollover'!BH36)</f>
        <v/>
      </c>
      <c r="BJ36" s="149" t="str">
        <f>IF($B36=0,"",$N36*'MF Rents'!BL36*'MF Rollover'!BI36)</f>
        <v/>
      </c>
      <c r="BK36" s="149" t="str">
        <f>IF($B36=0,"",$N36*'MF Rents'!BM36*'MF Rollover'!BJ36)</f>
        <v/>
      </c>
      <c r="BL36" s="149" t="str">
        <f>IF($B36=0,"",$N36*'MF Rents'!BN36*'MF Rollover'!BK36)</f>
        <v/>
      </c>
      <c r="BM36" s="149" t="str">
        <f>IF($B36=0,"",$N36*'MF Rents'!BO36*'MF Rollover'!BL36)</f>
        <v/>
      </c>
      <c r="BN36" s="149" t="str">
        <f>IF($B36=0,"",$N36*'MF Rents'!BP36*'MF Rollover'!BM36)</f>
        <v/>
      </c>
      <c r="BO36" s="149" t="str">
        <f>IF($B36=0,"",$N36*'MF Rents'!BQ36*'MF Rollover'!BN36)</f>
        <v/>
      </c>
      <c r="BP36" s="149" t="str">
        <f>IF($B36=0,"",$N36*'MF Rents'!BR36*'MF Rollover'!BO36)</f>
        <v/>
      </c>
      <c r="BQ36" s="149" t="str">
        <f>IF($B36=0,"",$N36*'MF Rents'!BS36*'MF Rollover'!BP36)</f>
        <v/>
      </c>
      <c r="BR36" s="149" t="str">
        <f>IF($B36=0,"",$N36*'MF Rents'!BT36*'MF Rollover'!BQ36)</f>
        <v/>
      </c>
      <c r="BS36" s="149" t="str">
        <f>IF($B36=0,"",$N36*'MF Rents'!BU36*'MF Rollover'!BR36)</f>
        <v/>
      </c>
      <c r="BT36" s="149" t="str">
        <f>IF($B36=0,"",$N36*'MF Rents'!BV36*'MF Rollover'!BS36)</f>
        <v/>
      </c>
      <c r="BU36" s="149" t="str">
        <f>IF($B36=0,"",$N36*'MF Rents'!BW36*'MF Rollover'!BT36)</f>
        <v/>
      </c>
      <c r="BV36" s="149" t="str">
        <f>IF($B36=0,"",$N36*'MF Rents'!BX36*'MF Rollover'!BU36)</f>
        <v/>
      </c>
      <c r="BW36" s="149" t="str">
        <f>IF($B36=0,"",$N36*'MF Rents'!BY36*'MF Rollover'!BV36)</f>
        <v/>
      </c>
      <c r="BX36" s="149" t="str">
        <f>IF($B36=0,"",$N36*'MF Rents'!BZ36*'MF Rollover'!BW36)</f>
        <v/>
      </c>
      <c r="BY36" s="149" t="str">
        <f>IF($B36=0,"",$N36*'MF Rents'!CA36*'MF Rollover'!BX36)</f>
        <v/>
      </c>
      <c r="BZ36" s="149" t="str">
        <f>IF($B36=0,"",$N36*'MF Rents'!CB36*'MF Rollover'!BY36)</f>
        <v/>
      </c>
      <c r="CA36" s="149" t="str">
        <f>IF($B36=0,"",$N36*'MF Rents'!CC36*'MF Rollover'!BZ36)</f>
        <v/>
      </c>
      <c r="CB36" s="149" t="str">
        <f>IF($B36=0,"",$N36*'MF Rents'!CD36*'MF Rollover'!CA36)</f>
        <v/>
      </c>
      <c r="CC36" s="149" t="str">
        <f>IF($B36=0,"",$N36*'MF Rents'!CE36*'MF Rollover'!CB36)</f>
        <v/>
      </c>
      <c r="CD36" s="149" t="str">
        <f>IF($B36=0,"",$N36*'MF Rents'!CF36*'MF Rollover'!CC36)</f>
        <v/>
      </c>
      <c r="CE36" s="149" t="str">
        <f>IF($B36=0,"",$N36*'MF Rents'!CG36*'MF Rollover'!CD36)</f>
        <v/>
      </c>
      <c r="CF36" s="149" t="str">
        <f>IF($B36=0,"",$N36*'MF Rents'!CH36*'MF Rollover'!CE36)</f>
        <v/>
      </c>
      <c r="CG36" s="149" t="str">
        <f>IF($B36=0,"",$N36*'MF Rents'!CI36*'MF Rollover'!CF36)</f>
        <v/>
      </c>
      <c r="CH36" s="149" t="str">
        <f>IF($B36=0,"",$N36*'MF Rents'!CJ36*'MF Rollover'!CG36)</f>
        <v/>
      </c>
      <c r="CI36" s="149" t="str">
        <f>IF($B36=0,"",$N36*'MF Rents'!CK36*'MF Rollover'!CH36)</f>
        <v/>
      </c>
      <c r="CJ36" s="149" t="str">
        <f>IF($B36=0,"",$N36*'MF Rents'!CL36*'MF Rollover'!CI36)</f>
        <v/>
      </c>
      <c r="CK36" s="149" t="str">
        <f>IF($B36=0,"",$N36*'MF Rents'!CM36*'MF Rollover'!CJ36)</f>
        <v/>
      </c>
      <c r="CL36" s="149" t="str">
        <f>IF($B36=0,"",$N36*'MF Rents'!CN36*'MF Rollover'!CK36)</f>
        <v/>
      </c>
      <c r="CM36" s="149" t="str">
        <f>IF($B36=0,"",$N36*'MF Rents'!CO36*'MF Rollover'!CL36)</f>
        <v/>
      </c>
      <c r="CN36" s="149" t="str">
        <f>IF($B36=0,"",$N36*'MF Rents'!CP36*'MF Rollover'!CM36)</f>
        <v/>
      </c>
      <c r="CO36" s="149" t="str">
        <f>IF($B36=0,"",$N36*'MF Rents'!CQ36*'MF Rollover'!CN36)</f>
        <v/>
      </c>
      <c r="CP36" s="149" t="str">
        <f>IF($B36=0,"",$N36*'MF Rents'!CR36*'MF Rollover'!CO36)</f>
        <v/>
      </c>
      <c r="CQ36" s="149" t="str">
        <f>IF($B36=0,"",$N36*'MF Rents'!CS36*'MF Rollover'!CP36)</f>
        <v/>
      </c>
      <c r="CR36" s="149" t="str">
        <f>IF($B36=0,"",$N36*'MF Rents'!CT36*'MF Rollover'!CQ36)</f>
        <v/>
      </c>
      <c r="CS36" s="149" t="str">
        <f>IF($B36=0,"",$N36*'MF Rents'!CU36*'MF Rollover'!CR36)</f>
        <v/>
      </c>
      <c r="CT36" s="149" t="str">
        <f>IF($B36=0,"",$N36*'MF Rents'!CV36*'MF Rollover'!CS36)</f>
        <v/>
      </c>
      <c r="CU36" s="149" t="str">
        <f>IF($B36=0,"",$N36*'MF Rents'!CW36*'MF Rollover'!CT36)</f>
        <v/>
      </c>
      <c r="CV36" s="149" t="str">
        <f>IF($B36=0,"",$N36*'MF Rents'!CX36*'MF Rollover'!CU36)</f>
        <v/>
      </c>
      <c r="CW36" s="149" t="str">
        <f>IF($B36=0,"",$N36*'MF Rents'!CY36*'MF Rollover'!CV36)</f>
        <v/>
      </c>
      <c r="CX36" s="149" t="str">
        <f>IF($B36=0,"",$N36*'MF Rents'!CZ36*'MF Rollover'!CW36)</f>
        <v/>
      </c>
      <c r="CY36" s="149" t="str">
        <f>IF($B36=0,"",$N36*'MF Rents'!DA36*'MF Rollover'!CX36)</f>
        <v/>
      </c>
      <c r="CZ36" s="149" t="str">
        <f>IF($B36=0,"",$N36*'MF Rents'!DB36*'MF Rollover'!CY36)</f>
        <v/>
      </c>
      <c r="DA36" s="149" t="str">
        <f>IF($B36=0,"",$N36*'MF Rents'!DC36*'MF Rollover'!CZ36)</f>
        <v/>
      </c>
      <c r="DB36" s="149" t="str">
        <f>IF($B36=0,"",$N36*'MF Rents'!DD36*'MF Rollover'!DA36)</f>
        <v/>
      </c>
      <c r="DC36" s="149" t="str">
        <f>IF($B36=0,"",$N36*'MF Rents'!DE36*'MF Rollover'!DB36)</f>
        <v/>
      </c>
      <c r="DD36" s="149" t="str">
        <f>IF($B36=0,"",$N36*'MF Rents'!DF36*'MF Rollover'!DC36)</f>
        <v/>
      </c>
      <c r="DE36" s="149" t="str">
        <f>IF($B36=0,"",$N36*'MF Rents'!DG36*'MF Rollover'!DD36)</f>
        <v/>
      </c>
      <c r="DF36" s="149" t="str">
        <f>IF($B36=0,"",$N36*'MF Rents'!DH36*'MF Rollover'!DE36)</f>
        <v/>
      </c>
      <c r="DG36" s="149" t="str">
        <f>IF($B36=0,"",$N36*'MF Rents'!DI36*'MF Rollover'!DF36)</f>
        <v/>
      </c>
      <c r="DH36" s="149" t="str">
        <f>IF($B36=0,"",$N36*'MF Rents'!DJ36*'MF Rollover'!DG36)</f>
        <v/>
      </c>
      <c r="DI36" s="149" t="str">
        <f>IF($B36=0,"",$N36*'MF Rents'!DK36*'MF Rollover'!DH36)</f>
        <v/>
      </c>
      <c r="DJ36" s="149" t="str">
        <f>IF($B36=0,"",$N36*'MF Rents'!DL36*'MF Rollover'!DI36)</f>
        <v/>
      </c>
      <c r="DK36" s="149" t="str">
        <f>IF($B36=0,"",$N36*'MF Rents'!DM36*'MF Rollover'!DJ36)</f>
        <v/>
      </c>
      <c r="DL36" s="149" t="str">
        <f>IF($B36=0,"",$N36*'MF Rents'!DN36*'MF Rollover'!DK36)</f>
        <v/>
      </c>
      <c r="DM36" s="149" t="str">
        <f>IF($B36=0,"",$N36*'MF Rents'!DO36*'MF Rollover'!DL36)</f>
        <v/>
      </c>
      <c r="DN36" s="149" t="str">
        <f>IF($B36=0,"",$N36*'MF Rents'!DP36*'MF Rollover'!DM36)</f>
        <v/>
      </c>
      <c r="DO36" s="149" t="str">
        <f>IF($B36=0,"",$N36*'MF Rents'!DQ36*'MF Rollover'!DN36)</f>
        <v/>
      </c>
      <c r="DP36" s="149" t="str">
        <f>IF($B36=0,"",$N36*'MF Rents'!DR36*'MF Rollover'!DO36)</f>
        <v/>
      </c>
      <c r="DQ36" s="149" t="str">
        <f>IF($B36=0,"",$N36*'MF Rents'!DS36*'MF Rollover'!DP36)</f>
        <v/>
      </c>
      <c r="DR36" s="149" t="str">
        <f>IF($B36=0,"",$N36*'MF Rents'!DT36*'MF Rollover'!DQ36)</f>
        <v/>
      </c>
      <c r="DS36" s="149" t="str">
        <f>IF($B36=0,"",$N36*'MF Rents'!DU36*'MF Rollover'!DR36)</f>
        <v/>
      </c>
      <c r="DT36" s="149" t="str">
        <f>IF($B36=0,"",$N36*'MF Rents'!DV36*'MF Rollover'!DS36)</f>
        <v/>
      </c>
      <c r="DU36" s="149" t="str">
        <f>IF($B36=0,"",$N36*'MF Rents'!DW36*'MF Rollover'!DT36)</f>
        <v/>
      </c>
      <c r="DV36" s="149" t="str">
        <f>IF($B36=0,"",$N36*'MF Rents'!DX36*'MF Rollover'!DU36)</f>
        <v/>
      </c>
      <c r="DW36" s="149" t="str">
        <f>IF($B36=0,"",$N36*'MF Rents'!DY36*'MF Rollover'!DV36)</f>
        <v/>
      </c>
      <c r="DX36" s="149" t="str">
        <f>IF($B36=0,"",$N36*'MF Rents'!DZ36*'MF Rollover'!DW36)</f>
        <v/>
      </c>
      <c r="DY36" s="149" t="str">
        <f>IF($B36=0,"",$N36*'MF Rents'!EA36*'MF Rollover'!DX36)</f>
        <v/>
      </c>
      <c r="DZ36" s="149" t="str">
        <f>IF($B36=0,"",$N36*'MF Rents'!EB36*'MF Rollover'!DY36)</f>
        <v/>
      </c>
      <c r="EA36" s="149" t="str">
        <f>IF($B36=0,"",$N36*'MF Rents'!EC36*'MF Rollover'!DZ36)</f>
        <v/>
      </c>
      <c r="EB36" s="149" t="str">
        <f>IF($B36=0,"",$N36*'MF Rents'!ED36*'MF Rollover'!EA36)</f>
        <v/>
      </c>
      <c r="EC36" s="149" t="str">
        <f>IF($B36=0,"",$N36*'MF Rents'!EE36*'MF Rollover'!EB36)</f>
        <v/>
      </c>
      <c r="ED36" s="149" t="str">
        <f>IF($B36=0,"",$N36*'MF Rents'!EF36*'MF Rollover'!EC36)</f>
        <v/>
      </c>
      <c r="EE36" s="149" t="str">
        <f>IF($B36=0,"",$N36*'MF Rents'!EG36*'MF Rollover'!ED36)</f>
        <v/>
      </c>
      <c r="EF36" s="149" t="str">
        <f>IF($B36=0,"",$N36*'MF Rents'!EH36*'MF Rollover'!EE36)</f>
        <v/>
      </c>
      <c r="EG36" s="149" t="str">
        <f>IF($B36=0,"",$N36*'MF Rents'!EI36*'MF Rollover'!EF36)</f>
        <v/>
      </c>
      <c r="EH36" s="149" t="str">
        <f>IF($B36=0,"",$N36*'MF Rents'!EJ36*'MF Rollover'!EG36)</f>
        <v/>
      </c>
      <c r="EI36" s="149" t="str">
        <f>IF($B36=0,"",$N36*'MF Rents'!EK36*'MF Rollover'!EH36)</f>
        <v/>
      </c>
      <c r="EJ36" s="149" t="str">
        <f>IF($B36=0,"",$N36*'MF Rents'!EL36*'MF Rollover'!EI36)</f>
        <v/>
      </c>
      <c r="EK36" s="149" t="str">
        <f>IF($B36=0,"",$N36*'MF Rents'!EM36*'MF Rollover'!EJ36)</f>
        <v/>
      </c>
      <c r="EL36" s="149" t="str">
        <f>IF($B36=0,"",$N36*'MF Rents'!EN36*'MF Rollover'!EK36)</f>
        <v/>
      </c>
      <c r="EM36" s="149" t="str">
        <f>IF($B36=0,"",$N36*'MF Rents'!EO36*'MF Rollover'!EL36)</f>
        <v/>
      </c>
      <c r="EN36" s="149" t="str">
        <f>IF($B36=0,"",$N36*'MF Rents'!EP36*'MF Rollover'!EM36)</f>
        <v/>
      </c>
      <c r="EO36" s="149" t="str">
        <f>IF($B36=0,"",$N36*'MF Rents'!EQ36*'MF Rollover'!EN36)</f>
        <v/>
      </c>
      <c r="EP36" s="149" t="str">
        <f>IF($B36=0,"",$N36*'MF Rents'!ER36*'MF Rollover'!EO36)</f>
        <v/>
      </c>
      <c r="EQ36" s="149" t="str">
        <f>IF($B36=0,"",$N36*'MF Rents'!ES36*'MF Rollover'!EP36)</f>
        <v/>
      </c>
      <c r="ER36" s="149" t="str">
        <f>IF($B36=0,"",$N36*'MF Rents'!ET36*'MF Rollover'!EQ36)</f>
        <v/>
      </c>
      <c r="ES36" s="149" t="str">
        <f>IF($B36=0,"",$N36*'MF Rents'!EU36*'MF Rollover'!ER36)</f>
        <v/>
      </c>
      <c r="ET36" s="149" t="str">
        <f>IF($B36=0,"",$N36*'MF Rents'!EV36*'MF Rollover'!ES36)</f>
        <v/>
      </c>
      <c r="EU36" s="149" t="str">
        <f>IF($B36=0,"",$N36*'MF Rents'!EW36*'MF Rollover'!ET36)</f>
        <v/>
      </c>
      <c r="EV36" s="149" t="str">
        <f>IF($B36=0,"",$N36*'MF Rents'!EX36*'MF Rollover'!EU36)</f>
        <v/>
      </c>
      <c r="EW36" s="149" t="str">
        <f>IF($B36=0,"",$N36*'MF Rents'!EY36*'MF Rollover'!EV36)</f>
        <v/>
      </c>
      <c r="EX36" s="149" t="str">
        <f>IF($B36=0,"",$N36*'MF Rents'!EZ36*'MF Rollover'!EW36)</f>
        <v/>
      </c>
      <c r="EY36" s="149" t="str">
        <f>IF($B36=0,"",$N36*'MF Rents'!FA36*'MF Rollover'!EX36)</f>
        <v/>
      </c>
      <c r="EZ36" s="149" t="str">
        <f>IF($B36=0,"",$N36*'MF Rents'!FB36*'MF Rollover'!EY36)</f>
        <v/>
      </c>
      <c r="FA36" s="149" t="str">
        <f>IF($B36=0,"",$N36*'MF Rents'!FC36*'MF Rollover'!EZ36)</f>
        <v/>
      </c>
      <c r="FB36" s="149" t="str">
        <f>IF($B36=0,"",$N36*'MF Rents'!FD36*'MF Rollover'!FA36)</f>
        <v/>
      </c>
      <c r="FC36" s="149" t="str">
        <f>IF($B36=0,"",$N36*'MF Rents'!FE36*'MF Rollover'!FB36)</f>
        <v/>
      </c>
      <c r="FD36" s="149" t="str">
        <f>IF($B36=0,"",$N36*'MF Rents'!FF36*'MF Rollover'!FC36)</f>
        <v/>
      </c>
      <c r="FE36" s="149" t="str">
        <f>IF($B36=0,"",$N36*'MF Rents'!FG36*'MF Rollover'!FD36)</f>
        <v/>
      </c>
      <c r="FF36" s="149" t="str">
        <f>IF($B36=0,"",$N36*'MF Rents'!FH36*'MF Rollover'!FE36)</f>
        <v/>
      </c>
      <c r="FG36" s="149" t="str">
        <f>IF($B36=0,"",$N36*'MF Rents'!FI36*'MF Rollover'!FF36)</f>
        <v/>
      </c>
      <c r="FH36" s="149" t="str">
        <f>IF($B36=0,"",$N36*'MF Rents'!FJ36*'MF Rollover'!FG36)</f>
        <v/>
      </c>
      <c r="FI36" s="149" t="str">
        <f>IF($B36=0,"",$N36*'MF Rents'!FK36*'MF Rollover'!FH36)</f>
        <v/>
      </c>
      <c r="FJ36" s="149" t="str">
        <f>IF($B36=0,"",$N36*'MF Rents'!FL36*'MF Rollover'!FI36)</f>
        <v/>
      </c>
      <c r="FK36" s="149" t="str">
        <f>IF($B36=0,"",$N36*'MF Rents'!FM36*'MF Rollover'!FJ36)</f>
        <v/>
      </c>
      <c r="FL36" s="149" t="str">
        <f>IF($B36=0,"",$N36*'MF Rents'!FN36*'MF Rollover'!FK36)</f>
        <v/>
      </c>
      <c r="FM36" s="149" t="str">
        <f>IF($B36=0,"",$N36*'MF Rents'!FO36*'MF Rollover'!FL36)</f>
        <v/>
      </c>
      <c r="FN36" s="149" t="str">
        <f>IF($B36=0,"",$N36*'MF Rents'!FP36*'MF Rollover'!FM36)</f>
        <v/>
      </c>
      <c r="FO36" s="149" t="str">
        <f>IF($B36=0,"",$N36*'MF Rents'!FQ36*'MF Rollover'!FN36)</f>
        <v/>
      </c>
      <c r="FP36" s="149" t="str">
        <f>IF($B36=0,"",$N36*'MF Rents'!FR36*'MF Rollover'!FO36)</f>
        <v/>
      </c>
      <c r="FQ36" s="149" t="str">
        <f>IF($B36=0,"",$N36*'MF Rents'!FS36*'MF Rollover'!FP36)</f>
        <v/>
      </c>
      <c r="FR36" s="149" t="str">
        <f>IF($B36=0,"",$N36*'MF Rents'!FT36*'MF Rollover'!FQ36)</f>
        <v/>
      </c>
      <c r="FS36" s="149" t="str">
        <f>IF($B36=0,"",$N36*'MF Rents'!FU36*'MF Rollover'!FR36)</f>
        <v/>
      </c>
      <c r="FT36" s="149" t="str">
        <f>IF($B36=0,"",$N36*'MF Rents'!FV36*'MF Rollover'!FS36)</f>
        <v/>
      </c>
      <c r="FU36" s="149" t="str">
        <f>IF($B36=0,"",$N36*'MF Rents'!FW36*'MF Rollover'!FT36)</f>
        <v/>
      </c>
      <c r="FV36" s="149" t="str">
        <f>IF($B36=0,"",$N36*'MF Rents'!FX36*'MF Rollover'!FU36)</f>
        <v/>
      </c>
      <c r="FW36" s="149" t="str">
        <f>IF($B36=0,"",$N36*'MF Rents'!FY36*'MF Rollover'!FV36)</f>
        <v/>
      </c>
      <c r="FX36" s="149" t="str">
        <f>IF($B36=0,"",$N36*'MF Rents'!FZ36*'MF Rollover'!FW36)</f>
        <v/>
      </c>
      <c r="FY36" s="149" t="str">
        <f>IF($B36=0,"",$N36*'MF Rents'!GA36*'MF Rollover'!FX36)</f>
        <v/>
      </c>
      <c r="FZ36" s="149" t="str">
        <f>IF($B36=0,"",$N36*'MF Rents'!GB36*'MF Rollover'!FY36)</f>
        <v/>
      </c>
      <c r="GA36" s="149" t="str">
        <f>IF($B36=0,"",$N36*'MF Rents'!GC36*'MF Rollover'!FZ36)</f>
        <v/>
      </c>
      <c r="GB36" s="149" t="str">
        <f>IF($B36=0,"",$N36*'MF Rents'!GD36*'MF Rollover'!GA36)</f>
        <v/>
      </c>
      <c r="GC36" s="149" t="str">
        <f>IF($B36=0,"",$N36*'MF Rents'!GE36*'MF Rollover'!GB36)</f>
        <v/>
      </c>
      <c r="GD36" s="149" t="str">
        <f>IF($B36=0,"",$N36*'MF Rents'!GF36*'MF Rollover'!GC36)</f>
        <v/>
      </c>
      <c r="GE36" s="149" t="str">
        <f>IF($B36=0,"",$N36*'MF Rents'!GG36*'MF Rollover'!GD36)</f>
        <v/>
      </c>
      <c r="GF36" s="149" t="str">
        <f>IF($B36=0,"",$N36*'MF Rents'!GH36*'MF Rollover'!GE36)</f>
        <v/>
      </c>
      <c r="GG36" s="149" t="str">
        <f>IF($B36=0,"",$N36*'MF Rents'!GI36*'MF Rollover'!GF36)</f>
        <v/>
      </c>
      <c r="GH36" s="149" t="str">
        <f>IF($B36=0,"",$N36*'MF Rents'!GJ36*'MF Rollover'!GG36)</f>
        <v/>
      </c>
      <c r="GI36" s="149" t="str">
        <f>IF($B36=0,"",$N36*'MF Rents'!GK36*'MF Rollover'!GH36)</f>
        <v/>
      </c>
      <c r="GJ36" s="149" t="str">
        <f>IF($B36=0,"",$N36*'MF Rents'!GL36*'MF Rollover'!GI36)</f>
        <v/>
      </c>
      <c r="GK36" s="149" t="str">
        <f>IF($B36=0,"",$N36*'MF Rents'!GM36*'MF Rollover'!GJ36)</f>
        <v/>
      </c>
      <c r="GL36" s="149" t="str">
        <f>IF($B36=0,"",$N36*'MF Rents'!GN36*'MF Rollover'!GK36)</f>
        <v/>
      </c>
      <c r="GM36" s="149" t="str">
        <f>IF($B36=0,"",$N36*'MF Rents'!GO36*'MF Rollover'!GL36)</f>
        <v/>
      </c>
      <c r="GN36" s="149" t="str">
        <f>IF($B36=0,"",$N36*'MF Rents'!GP36*'MF Rollover'!GM36)</f>
        <v/>
      </c>
      <c r="GO36" s="149" t="str">
        <f>IF($B36=0,"",$N36*'MF Rents'!GQ36*'MF Rollover'!GN36)</f>
        <v/>
      </c>
      <c r="GP36" s="149" t="str">
        <f>IF($B36=0,"",$N36*'MF Rents'!GR36*'MF Rollover'!GO36)</f>
        <v/>
      </c>
    </row>
    <row r="37" spans="2:198" x14ac:dyDescent="0.3">
      <c r="B37" s="184">
        <f>'MF Rent Roll'!B36</f>
        <v>0</v>
      </c>
      <c r="C37" s="171">
        <f>'MF Rent Roll'!C36</f>
        <v>0</v>
      </c>
      <c r="D37" s="172">
        <f>'MF Rent Roll'!D36</f>
        <v>0</v>
      </c>
      <c r="E37" s="172">
        <f>'MF Rent Roll'!E36</f>
        <v>0</v>
      </c>
      <c r="F37" s="173">
        <f>'MF Rent Roll'!F36</f>
        <v>0</v>
      </c>
      <c r="G37" s="174">
        <f>'MF Rent Roll'!G36</f>
        <v>0</v>
      </c>
      <c r="H37" s="176">
        <f>'MF Rent Roll'!J36</f>
        <v>0</v>
      </c>
      <c r="I37" s="174">
        <f>'MF Rent Roll'!K36</f>
        <v>0</v>
      </c>
      <c r="J37" s="177">
        <f>'MF Rent Roll'!L36</f>
        <v>0</v>
      </c>
      <c r="K37" s="178">
        <f>'MF Rent Roll'!M36</f>
        <v>0</v>
      </c>
      <c r="L37" s="174">
        <f>'MF Rent Roll'!N36</f>
        <v>0</v>
      </c>
      <c r="M37" s="179">
        <f>'MF Rent Roll'!O36</f>
        <v>0</v>
      </c>
      <c r="N37" s="180" t="str">
        <f>'MF Rent Roll'!P36</f>
        <v/>
      </c>
      <c r="O37" s="181" t="str">
        <f>'MF Rent Roll'!Q36</f>
        <v/>
      </c>
      <c r="P37" s="104" t="str">
        <f>'MF Rent Roll'!R36</f>
        <v/>
      </c>
      <c r="S37" s="149" t="str">
        <f>IF($B37=0,"",$N37*'MF Rents'!U37*'MF Rollover'!R37)</f>
        <v/>
      </c>
      <c r="T37" s="149" t="str">
        <f>IF($B37=0,"",$N37*'MF Rents'!V37*'MF Rollover'!S37)</f>
        <v/>
      </c>
      <c r="U37" s="149" t="str">
        <f>IF($B37=0,"",$N37*'MF Rents'!W37*'MF Rollover'!T37)</f>
        <v/>
      </c>
      <c r="V37" s="149" t="str">
        <f>IF($B37=0,"",$N37*'MF Rents'!X37*'MF Rollover'!U37)</f>
        <v/>
      </c>
      <c r="W37" s="149" t="str">
        <f>IF($B37=0,"",$N37*'MF Rents'!Y37*'MF Rollover'!V37)</f>
        <v/>
      </c>
      <c r="X37" s="149" t="str">
        <f>IF($B37=0,"",$N37*'MF Rents'!Z37*'MF Rollover'!W37)</f>
        <v/>
      </c>
      <c r="Y37" s="149" t="str">
        <f>IF($B37=0,"",$N37*'MF Rents'!AA37*'MF Rollover'!X37)</f>
        <v/>
      </c>
      <c r="Z37" s="149" t="str">
        <f>IF($B37=0,"",$N37*'MF Rents'!AB37*'MF Rollover'!Y37)</f>
        <v/>
      </c>
      <c r="AA37" s="149" t="str">
        <f>IF($B37=0,"",$N37*'MF Rents'!AC37*'MF Rollover'!Z37)</f>
        <v/>
      </c>
      <c r="AB37" s="149" t="str">
        <f>IF($B37=0,"",$N37*'MF Rents'!AD37*'MF Rollover'!AA37)</f>
        <v/>
      </c>
      <c r="AC37" s="149" t="str">
        <f>IF($B37=0,"",$N37*'MF Rents'!AE37*'MF Rollover'!AB37)</f>
        <v/>
      </c>
      <c r="AD37" s="149" t="str">
        <f>IF($B37=0,"",$N37*'MF Rents'!AF37*'MF Rollover'!AC37)</f>
        <v/>
      </c>
      <c r="AE37" s="149" t="str">
        <f>IF($B37=0,"",$N37*'MF Rents'!AG37*'MF Rollover'!AD37)</f>
        <v/>
      </c>
      <c r="AF37" s="149" t="str">
        <f>IF($B37=0,"",$N37*'MF Rents'!AH37*'MF Rollover'!AE37)</f>
        <v/>
      </c>
      <c r="AG37" s="149" t="str">
        <f>IF($B37=0,"",$N37*'MF Rents'!AI37*'MF Rollover'!AF37)</f>
        <v/>
      </c>
      <c r="AH37" s="149" t="str">
        <f>IF($B37=0,"",$N37*'MF Rents'!AJ37*'MF Rollover'!AG37)</f>
        <v/>
      </c>
      <c r="AI37" s="149" t="str">
        <f>IF($B37=0,"",$N37*'MF Rents'!AK37*'MF Rollover'!AH37)</f>
        <v/>
      </c>
      <c r="AJ37" s="149" t="str">
        <f>IF($B37=0,"",$N37*'MF Rents'!AL37*'MF Rollover'!AI37)</f>
        <v/>
      </c>
      <c r="AK37" s="149" t="str">
        <f>IF($B37=0,"",$N37*'MF Rents'!AM37*'MF Rollover'!AJ37)</f>
        <v/>
      </c>
      <c r="AL37" s="149" t="str">
        <f>IF($B37=0,"",$N37*'MF Rents'!AN37*'MF Rollover'!AK37)</f>
        <v/>
      </c>
      <c r="AM37" s="149" t="str">
        <f>IF($B37=0,"",$N37*'MF Rents'!AO37*'MF Rollover'!AL37)</f>
        <v/>
      </c>
      <c r="AN37" s="149" t="str">
        <f>IF($B37=0,"",$N37*'MF Rents'!AP37*'MF Rollover'!AM37)</f>
        <v/>
      </c>
      <c r="AO37" s="149" t="str">
        <f>IF($B37=0,"",$N37*'MF Rents'!AQ37*'MF Rollover'!AN37)</f>
        <v/>
      </c>
      <c r="AP37" s="149" t="str">
        <f>IF($B37=0,"",$N37*'MF Rents'!AR37*'MF Rollover'!AO37)</f>
        <v/>
      </c>
      <c r="AQ37" s="149" t="str">
        <f>IF($B37=0,"",$N37*'MF Rents'!AS37*'MF Rollover'!AP37)</f>
        <v/>
      </c>
      <c r="AR37" s="149" t="str">
        <f>IF($B37=0,"",$N37*'MF Rents'!AT37*'MF Rollover'!AQ37)</f>
        <v/>
      </c>
      <c r="AS37" s="149" t="str">
        <f>IF($B37=0,"",$N37*'MF Rents'!AU37*'MF Rollover'!AR37)</f>
        <v/>
      </c>
      <c r="AT37" s="149" t="str">
        <f>IF($B37=0,"",$N37*'MF Rents'!AV37*'MF Rollover'!AS37)</f>
        <v/>
      </c>
      <c r="AU37" s="149" t="str">
        <f>IF($B37=0,"",$N37*'MF Rents'!AW37*'MF Rollover'!AT37)</f>
        <v/>
      </c>
      <c r="AV37" s="149" t="str">
        <f>IF($B37=0,"",$N37*'MF Rents'!AX37*'MF Rollover'!AU37)</f>
        <v/>
      </c>
      <c r="AW37" s="149" t="str">
        <f>IF($B37=0,"",$N37*'MF Rents'!AY37*'MF Rollover'!AV37)</f>
        <v/>
      </c>
      <c r="AX37" s="149" t="str">
        <f>IF($B37=0,"",$N37*'MF Rents'!AZ37*'MF Rollover'!AW37)</f>
        <v/>
      </c>
      <c r="AY37" s="149" t="str">
        <f>IF($B37=0,"",$N37*'MF Rents'!BA37*'MF Rollover'!AX37)</f>
        <v/>
      </c>
      <c r="AZ37" s="149" t="str">
        <f>IF($B37=0,"",$N37*'MF Rents'!BB37*'MF Rollover'!AY37)</f>
        <v/>
      </c>
      <c r="BA37" s="149" t="str">
        <f>IF($B37=0,"",$N37*'MF Rents'!BC37*'MF Rollover'!AZ37)</f>
        <v/>
      </c>
      <c r="BB37" s="149" t="str">
        <f>IF($B37=0,"",$N37*'MF Rents'!BD37*'MF Rollover'!BA37)</f>
        <v/>
      </c>
      <c r="BC37" s="149" t="str">
        <f>IF($B37=0,"",$N37*'MF Rents'!BE37*'MF Rollover'!BB37)</f>
        <v/>
      </c>
      <c r="BD37" s="149" t="str">
        <f>IF($B37=0,"",$N37*'MF Rents'!BF37*'MF Rollover'!BC37)</f>
        <v/>
      </c>
      <c r="BE37" s="149" t="str">
        <f>IF($B37=0,"",$N37*'MF Rents'!BG37*'MF Rollover'!BD37)</f>
        <v/>
      </c>
      <c r="BF37" s="149" t="str">
        <f>IF($B37=0,"",$N37*'MF Rents'!BH37*'MF Rollover'!BE37)</f>
        <v/>
      </c>
      <c r="BG37" s="149" t="str">
        <f>IF($B37=0,"",$N37*'MF Rents'!BI37*'MF Rollover'!BF37)</f>
        <v/>
      </c>
      <c r="BH37" s="149" t="str">
        <f>IF($B37=0,"",$N37*'MF Rents'!BJ37*'MF Rollover'!BG37)</f>
        <v/>
      </c>
      <c r="BI37" s="149" t="str">
        <f>IF($B37=0,"",$N37*'MF Rents'!BK37*'MF Rollover'!BH37)</f>
        <v/>
      </c>
      <c r="BJ37" s="149" t="str">
        <f>IF($B37=0,"",$N37*'MF Rents'!BL37*'MF Rollover'!BI37)</f>
        <v/>
      </c>
      <c r="BK37" s="149" t="str">
        <f>IF($B37=0,"",$N37*'MF Rents'!BM37*'MF Rollover'!BJ37)</f>
        <v/>
      </c>
      <c r="BL37" s="149" t="str">
        <f>IF($B37=0,"",$N37*'MF Rents'!BN37*'MF Rollover'!BK37)</f>
        <v/>
      </c>
      <c r="BM37" s="149" t="str">
        <f>IF($B37=0,"",$N37*'MF Rents'!BO37*'MF Rollover'!BL37)</f>
        <v/>
      </c>
      <c r="BN37" s="149" t="str">
        <f>IF($B37=0,"",$N37*'MF Rents'!BP37*'MF Rollover'!BM37)</f>
        <v/>
      </c>
      <c r="BO37" s="149" t="str">
        <f>IF($B37=0,"",$N37*'MF Rents'!BQ37*'MF Rollover'!BN37)</f>
        <v/>
      </c>
      <c r="BP37" s="149" t="str">
        <f>IF($B37=0,"",$N37*'MF Rents'!BR37*'MF Rollover'!BO37)</f>
        <v/>
      </c>
      <c r="BQ37" s="149" t="str">
        <f>IF($B37=0,"",$N37*'MF Rents'!BS37*'MF Rollover'!BP37)</f>
        <v/>
      </c>
      <c r="BR37" s="149" t="str">
        <f>IF($B37=0,"",$N37*'MF Rents'!BT37*'MF Rollover'!BQ37)</f>
        <v/>
      </c>
      <c r="BS37" s="149" t="str">
        <f>IF($B37=0,"",$N37*'MF Rents'!BU37*'MF Rollover'!BR37)</f>
        <v/>
      </c>
      <c r="BT37" s="149" t="str">
        <f>IF($B37=0,"",$N37*'MF Rents'!BV37*'MF Rollover'!BS37)</f>
        <v/>
      </c>
      <c r="BU37" s="149" t="str">
        <f>IF($B37=0,"",$N37*'MF Rents'!BW37*'MF Rollover'!BT37)</f>
        <v/>
      </c>
      <c r="BV37" s="149" t="str">
        <f>IF($B37=0,"",$N37*'MF Rents'!BX37*'MF Rollover'!BU37)</f>
        <v/>
      </c>
      <c r="BW37" s="149" t="str">
        <f>IF($B37=0,"",$N37*'MF Rents'!BY37*'MF Rollover'!BV37)</f>
        <v/>
      </c>
      <c r="BX37" s="149" t="str">
        <f>IF($B37=0,"",$N37*'MF Rents'!BZ37*'MF Rollover'!BW37)</f>
        <v/>
      </c>
      <c r="BY37" s="149" t="str">
        <f>IF($B37=0,"",$N37*'MF Rents'!CA37*'MF Rollover'!BX37)</f>
        <v/>
      </c>
      <c r="BZ37" s="149" t="str">
        <f>IF($B37=0,"",$N37*'MF Rents'!CB37*'MF Rollover'!BY37)</f>
        <v/>
      </c>
      <c r="CA37" s="149" t="str">
        <f>IF($B37=0,"",$N37*'MF Rents'!CC37*'MF Rollover'!BZ37)</f>
        <v/>
      </c>
      <c r="CB37" s="149" t="str">
        <f>IF($B37=0,"",$N37*'MF Rents'!CD37*'MF Rollover'!CA37)</f>
        <v/>
      </c>
      <c r="CC37" s="149" t="str">
        <f>IF($B37=0,"",$N37*'MF Rents'!CE37*'MF Rollover'!CB37)</f>
        <v/>
      </c>
      <c r="CD37" s="149" t="str">
        <f>IF($B37=0,"",$N37*'MF Rents'!CF37*'MF Rollover'!CC37)</f>
        <v/>
      </c>
      <c r="CE37" s="149" t="str">
        <f>IF($B37=0,"",$N37*'MF Rents'!CG37*'MF Rollover'!CD37)</f>
        <v/>
      </c>
      <c r="CF37" s="149" t="str">
        <f>IF($B37=0,"",$N37*'MF Rents'!CH37*'MF Rollover'!CE37)</f>
        <v/>
      </c>
      <c r="CG37" s="149" t="str">
        <f>IF($B37=0,"",$N37*'MF Rents'!CI37*'MF Rollover'!CF37)</f>
        <v/>
      </c>
      <c r="CH37" s="149" t="str">
        <f>IF($B37=0,"",$N37*'MF Rents'!CJ37*'MF Rollover'!CG37)</f>
        <v/>
      </c>
      <c r="CI37" s="149" t="str">
        <f>IF($B37=0,"",$N37*'MF Rents'!CK37*'MF Rollover'!CH37)</f>
        <v/>
      </c>
      <c r="CJ37" s="149" t="str">
        <f>IF($B37=0,"",$N37*'MF Rents'!CL37*'MF Rollover'!CI37)</f>
        <v/>
      </c>
      <c r="CK37" s="149" t="str">
        <f>IF($B37=0,"",$N37*'MF Rents'!CM37*'MF Rollover'!CJ37)</f>
        <v/>
      </c>
      <c r="CL37" s="149" t="str">
        <f>IF($B37=0,"",$N37*'MF Rents'!CN37*'MF Rollover'!CK37)</f>
        <v/>
      </c>
      <c r="CM37" s="149" t="str">
        <f>IF($B37=0,"",$N37*'MF Rents'!CO37*'MF Rollover'!CL37)</f>
        <v/>
      </c>
      <c r="CN37" s="149" t="str">
        <f>IF($B37=0,"",$N37*'MF Rents'!CP37*'MF Rollover'!CM37)</f>
        <v/>
      </c>
      <c r="CO37" s="149" t="str">
        <f>IF($B37=0,"",$N37*'MF Rents'!CQ37*'MF Rollover'!CN37)</f>
        <v/>
      </c>
      <c r="CP37" s="149" t="str">
        <f>IF($B37=0,"",$N37*'MF Rents'!CR37*'MF Rollover'!CO37)</f>
        <v/>
      </c>
      <c r="CQ37" s="149" t="str">
        <f>IF($B37=0,"",$N37*'MF Rents'!CS37*'MF Rollover'!CP37)</f>
        <v/>
      </c>
      <c r="CR37" s="149" t="str">
        <f>IF($B37=0,"",$N37*'MF Rents'!CT37*'MF Rollover'!CQ37)</f>
        <v/>
      </c>
      <c r="CS37" s="149" t="str">
        <f>IF($B37=0,"",$N37*'MF Rents'!CU37*'MF Rollover'!CR37)</f>
        <v/>
      </c>
      <c r="CT37" s="149" t="str">
        <f>IF($B37=0,"",$N37*'MF Rents'!CV37*'MF Rollover'!CS37)</f>
        <v/>
      </c>
      <c r="CU37" s="149" t="str">
        <f>IF($B37=0,"",$N37*'MF Rents'!CW37*'MF Rollover'!CT37)</f>
        <v/>
      </c>
      <c r="CV37" s="149" t="str">
        <f>IF($B37=0,"",$N37*'MF Rents'!CX37*'MF Rollover'!CU37)</f>
        <v/>
      </c>
      <c r="CW37" s="149" t="str">
        <f>IF($B37=0,"",$N37*'MF Rents'!CY37*'MF Rollover'!CV37)</f>
        <v/>
      </c>
      <c r="CX37" s="149" t="str">
        <f>IF($B37=0,"",$N37*'MF Rents'!CZ37*'MF Rollover'!CW37)</f>
        <v/>
      </c>
      <c r="CY37" s="149" t="str">
        <f>IF($B37=0,"",$N37*'MF Rents'!DA37*'MF Rollover'!CX37)</f>
        <v/>
      </c>
      <c r="CZ37" s="149" t="str">
        <f>IF($B37=0,"",$N37*'MF Rents'!DB37*'MF Rollover'!CY37)</f>
        <v/>
      </c>
      <c r="DA37" s="149" t="str">
        <f>IF($B37=0,"",$N37*'MF Rents'!DC37*'MF Rollover'!CZ37)</f>
        <v/>
      </c>
      <c r="DB37" s="149" t="str">
        <f>IF($B37=0,"",$N37*'MF Rents'!DD37*'MF Rollover'!DA37)</f>
        <v/>
      </c>
      <c r="DC37" s="149" t="str">
        <f>IF($B37=0,"",$N37*'MF Rents'!DE37*'MF Rollover'!DB37)</f>
        <v/>
      </c>
      <c r="DD37" s="149" t="str">
        <f>IF($B37=0,"",$N37*'MF Rents'!DF37*'MF Rollover'!DC37)</f>
        <v/>
      </c>
      <c r="DE37" s="149" t="str">
        <f>IF($B37=0,"",$N37*'MF Rents'!DG37*'MF Rollover'!DD37)</f>
        <v/>
      </c>
      <c r="DF37" s="149" t="str">
        <f>IF($B37=0,"",$N37*'MF Rents'!DH37*'MF Rollover'!DE37)</f>
        <v/>
      </c>
      <c r="DG37" s="149" t="str">
        <f>IF($B37=0,"",$N37*'MF Rents'!DI37*'MF Rollover'!DF37)</f>
        <v/>
      </c>
      <c r="DH37" s="149" t="str">
        <f>IF($B37=0,"",$N37*'MF Rents'!DJ37*'MF Rollover'!DG37)</f>
        <v/>
      </c>
      <c r="DI37" s="149" t="str">
        <f>IF($B37=0,"",$N37*'MF Rents'!DK37*'MF Rollover'!DH37)</f>
        <v/>
      </c>
      <c r="DJ37" s="149" t="str">
        <f>IF($B37=0,"",$N37*'MF Rents'!DL37*'MF Rollover'!DI37)</f>
        <v/>
      </c>
      <c r="DK37" s="149" t="str">
        <f>IF($B37=0,"",$N37*'MF Rents'!DM37*'MF Rollover'!DJ37)</f>
        <v/>
      </c>
      <c r="DL37" s="149" t="str">
        <f>IF($B37=0,"",$N37*'MF Rents'!DN37*'MF Rollover'!DK37)</f>
        <v/>
      </c>
      <c r="DM37" s="149" t="str">
        <f>IF($B37=0,"",$N37*'MF Rents'!DO37*'MF Rollover'!DL37)</f>
        <v/>
      </c>
      <c r="DN37" s="149" t="str">
        <f>IF($B37=0,"",$N37*'MF Rents'!DP37*'MF Rollover'!DM37)</f>
        <v/>
      </c>
      <c r="DO37" s="149" t="str">
        <f>IF($B37=0,"",$N37*'MF Rents'!DQ37*'MF Rollover'!DN37)</f>
        <v/>
      </c>
      <c r="DP37" s="149" t="str">
        <f>IF($B37=0,"",$N37*'MF Rents'!DR37*'MF Rollover'!DO37)</f>
        <v/>
      </c>
      <c r="DQ37" s="149" t="str">
        <f>IF($B37=0,"",$N37*'MF Rents'!DS37*'MF Rollover'!DP37)</f>
        <v/>
      </c>
      <c r="DR37" s="149" t="str">
        <f>IF($B37=0,"",$N37*'MF Rents'!DT37*'MF Rollover'!DQ37)</f>
        <v/>
      </c>
      <c r="DS37" s="149" t="str">
        <f>IF($B37=0,"",$N37*'MF Rents'!DU37*'MF Rollover'!DR37)</f>
        <v/>
      </c>
      <c r="DT37" s="149" t="str">
        <f>IF($B37=0,"",$N37*'MF Rents'!DV37*'MF Rollover'!DS37)</f>
        <v/>
      </c>
      <c r="DU37" s="149" t="str">
        <f>IF($B37=0,"",$N37*'MF Rents'!DW37*'MF Rollover'!DT37)</f>
        <v/>
      </c>
      <c r="DV37" s="149" t="str">
        <f>IF($B37=0,"",$N37*'MF Rents'!DX37*'MF Rollover'!DU37)</f>
        <v/>
      </c>
      <c r="DW37" s="149" t="str">
        <f>IF($B37=0,"",$N37*'MF Rents'!DY37*'MF Rollover'!DV37)</f>
        <v/>
      </c>
      <c r="DX37" s="149" t="str">
        <f>IF($B37=0,"",$N37*'MF Rents'!DZ37*'MF Rollover'!DW37)</f>
        <v/>
      </c>
      <c r="DY37" s="149" t="str">
        <f>IF($B37=0,"",$N37*'MF Rents'!EA37*'MF Rollover'!DX37)</f>
        <v/>
      </c>
      <c r="DZ37" s="149" t="str">
        <f>IF($B37=0,"",$N37*'MF Rents'!EB37*'MF Rollover'!DY37)</f>
        <v/>
      </c>
      <c r="EA37" s="149" t="str">
        <f>IF($B37=0,"",$N37*'MF Rents'!EC37*'MF Rollover'!DZ37)</f>
        <v/>
      </c>
      <c r="EB37" s="149" t="str">
        <f>IF($B37=0,"",$N37*'MF Rents'!ED37*'MF Rollover'!EA37)</f>
        <v/>
      </c>
      <c r="EC37" s="149" t="str">
        <f>IF($B37=0,"",$N37*'MF Rents'!EE37*'MF Rollover'!EB37)</f>
        <v/>
      </c>
      <c r="ED37" s="149" t="str">
        <f>IF($B37=0,"",$N37*'MF Rents'!EF37*'MF Rollover'!EC37)</f>
        <v/>
      </c>
      <c r="EE37" s="149" t="str">
        <f>IF($B37=0,"",$N37*'MF Rents'!EG37*'MF Rollover'!ED37)</f>
        <v/>
      </c>
      <c r="EF37" s="149" t="str">
        <f>IF($B37=0,"",$N37*'MF Rents'!EH37*'MF Rollover'!EE37)</f>
        <v/>
      </c>
      <c r="EG37" s="149" t="str">
        <f>IF($B37=0,"",$N37*'MF Rents'!EI37*'MF Rollover'!EF37)</f>
        <v/>
      </c>
      <c r="EH37" s="149" t="str">
        <f>IF($B37=0,"",$N37*'MF Rents'!EJ37*'MF Rollover'!EG37)</f>
        <v/>
      </c>
      <c r="EI37" s="149" t="str">
        <f>IF($B37=0,"",$N37*'MF Rents'!EK37*'MF Rollover'!EH37)</f>
        <v/>
      </c>
      <c r="EJ37" s="149" t="str">
        <f>IF($B37=0,"",$N37*'MF Rents'!EL37*'MF Rollover'!EI37)</f>
        <v/>
      </c>
      <c r="EK37" s="149" t="str">
        <f>IF($B37=0,"",$N37*'MF Rents'!EM37*'MF Rollover'!EJ37)</f>
        <v/>
      </c>
      <c r="EL37" s="149" t="str">
        <f>IF($B37=0,"",$N37*'MF Rents'!EN37*'MF Rollover'!EK37)</f>
        <v/>
      </c>
      <c r="EM37" s="149" t="str">
        <f>IF($B37=0,"",$N37*'MF Rents'!EO37*'MF Rollover'!EL37)</f>
        <v/>
      </c>
      <c r="EN37" s="149" t="str">
        <f>IF($B37=0,"",$N37*'MF Rents'!EP37*'MF Rollover'!EM37)</f>
        <v/>
      </c>
      <c r="EO37" s="149" t="str">
        <f>IF($B37=0,"",$N37*'MF Rents'!EQ37*'MF Rollover'!EN37)</f>
        <v/>
      </c>
      <c r="EP37" s="149" t="str">
        <f>IF($B37=0,"",$N37*'MF Rents'!ER37*'MF Rollover'!EO37)</f>
        <v/>
      </c>
      <c r="EQ37" s="149" t="str">
        <f>IF($B37=0,"",$N37*'MF Rents'!ES37*'MF Rollover'!EP37)</f>
        <v/>
      </c>
      <c r="ER37" s="149" t="str">
        <f>IF($B37=0,"",$N37*'MF Rents'!ET37*'MF Rollover'!EQ37)</f>
        <v/>
      </c>
      <c r="ES37" s="149" t="str">
        <f>IF($B37=0,"",$N37*'MF Rents'!EU37*'MF Rollover'!ER37)</f>
        <v/>
      </c>
      <c r="ET37" s="149" t="str">
        <f>IF($B37=0,"",$N37*'MF Rents'!EV37*'MF Rollover'!ES37)</f>
        <v/>
      </c>
      <c r="EU37" s="149" t="str">
        <f>IF($B37=0,"",$N37*'MF Rents'!EW37*'MF Rollover'!ET37)</f>
        <v/>
      </c>
      <c r="EV37" s="149" t="str">
        <f>IF($B37=0,"",$N37*'MF Rents'!EX37*'MF Rollover'!EU37)</f>
        <v/>
      </c>
      <c r="EW37" s="149" t="str">
        <f>IF($B37=0,"",$N37*'MF Rents'!EY37*'MF Rollover'!EV37)</f>
        <v/>
      </c>
      <c r="EX37" s="149" t="str">
        <f>IF($B37=0,"",$N37*'MF Rents'!EZ37*'MF Rollover'!EW37)</f>
        <v/>
      </c>
      <c r="EY37" s="149" t="str">
        <f>IF($B37=0,"",$N37*'MF Rents'!FA37*'MF Rollover'!EX37)</f>
        <v/>
      </c>
      <c r="EZ37" s="149" t="str">
        <f>IF($B37=0,"",$N37*'MF Rents'!FB37*'MF Rollover'!EY37)</f>
        <v/>
      </c>
      <c r="FA37" s="149" t="str">
        <f>IF($B37=0,"",$N37*'MF Rents'!FC37*'MF Rollover'!EZ37)</f>
        <v/>
      </c>
      <c r="FB37" s="149" t="str">
        <f>IF($B37=0,"",$N37*'MF Rents'!FD37*'MF Rollover'!FA37)</f>
        <v/>
      </c>
      <c r="FC37" s="149" t="str">
        <f>IF($B37=0,"",$N37*'MF Rents'!FE37*'MF Rollover'!FB37)</f>
        <v/>
      </c>
      <c r="FD37" s="149" t="str">
        <f>IF($B37=0,"",$N37*'MF Rents'!FF37*'MF Rollover'!FC37)</f>
        <v/>
      </c>
      <c r="FE37" s="149" t="str">
        <f>IF($B37=0,"",$N37*'MF Rents'!FG37*'MF Rollover'!FD37)</f>
        <v/>
      </c>
      <c r="FF37" s="149" t="str">
        <f>IF($B37=0,"",$N37*'MF Rents'!FH37*'MF Rollover'!FE37)</f>
        <v/>
      </c>
      <c r="FG37" s="149" t="str">
        <f>IF($B37=0,"",$N37*'MF Rents'!FI37*'MF Rollover'!FF37)</f>
        <v/>
      </c>
      <c r="FH37" s="149" t="str">
        <f>IF($B37=0,"",$N37*'MF Rents'!FJ37*'MF Rollover'!FG37)</f>
        <v/>
      </c>
      <c r="FI37" s="149" t="str">
        <f>IF($B37=0,"",$N37*'MF Rents'!FK37*'MF Rollover'!FH37)</f>
        <v/>
      </c>
      <c r="FJ37" s="149" t="str">
        <f>IF($B37=0,"",$N37*'MF Rents'!FL37*'MF Rollover'!FI37)</f>
        <v/>
      </c>
      <c r="FK37" s="149" t="str">
        <f>IF($B37=0,"",$N37*'MF Rents'!FM37*'MF Rollover'!FJ37)</f>
        <v/>
      </c>
      <c r="FL37" s="149" t="str">
        <f>IF($B37=0,"",$N37*'MF Rents'!FN37*'MF Rollover'!FK37)</f>
        <v/>
      </c>
      <c r="FM37" s="149" t="str">
        <f>IF($B37=0,"",$N37*'MF Rents'!FO37*'MF Rollover'!FL37)</f>
        <v/>
      </c>
      <c r="FN37" s="149" t="str">
        <f>IF($B37=0,"",$N37*'MF Rents'!FP37*'MF Rollover'!FM37)</f>
        <v/>
      </c>
      <c r="FO37" s="149" t="str">
        <f>IF($B37=0,"",$N37*'MF Rents'!FQ37*'MF Rollover'!FN37)</f>
        <v/>
      </c>
      <c r="FP37" s="149" t="str">
        <f>IF($B37=0,"",$N37*'MF Rents'!FR37*'MF Rollover'!FO37)</f>
        <v/>
      </c>
      <c r="FQ37" s="149" t="str">
        <f>IF($B37=0,"",$N37*'MF Rents'!FS37*'MF Rollover'!FP37)</f>
        <v/>
      </c>
      <c r="FR37" s="149" t="str">
        <f>IF($B37=0,"",$N37*'MF Rents'!FT37*'MF Rollover'!FQ37)</f>
        <v/>
      </c>
      <c r="FS37" s="149" t="str">
        <f>IF($B37=0,"",$N37*'MF Rents'!FU37*'MF Rollover'!FR37)</f>
        <v/>
      </c>
      <c r="FT37" s="149" t="str">
        <f>IF($B37=0,"",$N37*'MF Rents'!FV37*'MF Rollover'!FS37)</f>
        <v/>
      </c>
      <c r="FU37" s="149" t="str">
        <f>IF($B37=0,"",$N37*'MF Rents'!FW37*'MF Rollover'!FT37)</f>
        <v/>
      </c>
      <c r="FV37" s="149" t="str">
        <f>IF($B37=0,"",$N37*'MF Rents'!FX37*'MF Rollover'!FU37)</f>
        <v/>
      </c>
      <c r="FW37" s="149" t="str">
        <f>IF($B37=0,"",$N37*'MF Rents'!FY37*'MF Rollover'!FV37)</f>
        <v/>
      </c>
      <c r="FX37" s="149" t="str">
        <f>IF($B37=0,"",$N37*'MF Rents'!FZ37*'MF Rollover'!FW37)</f>
        <v/>
      </c>
      <c r="FY37" s="149" t="str">
        <f>IF($B37=0,"",$N37*'MF Rents'!GA37*'MF Rollover'!FX37)</f>
        <v/>
      </c>
      <c r="FZ37" s="149" t="str">
        <f>IF($B37=0,"",$N37*'MF Rents'!GB37*'MF Rollover'!FY37)</f>
        <v/>
      </c>
      <c r="GA37" s="149" t="str">
        <f>IF($B37=0,"",$N37*'MF Rents'!GC37*'MF Rollover'!FZ37)</f>
        <v/>
      </c>
      <c r="GB37" s="149" t="str">
        <f>IF($B37=0,"",$N37*'MF Rents'!GD37*'MF Rollover'!GA37)</f>
        <v/>
      </c>
      <c r="GC37" s="149" t="str">
        <f>IF($B37=0,"",$N37*'MF Rents'!GE37*'MF Rollover'!GB37)</f>
        <v/>
      </c>
      <c r="GD37" s="149" t="str">
        <f>IF($B37=0,"",$N37*'MF Rents'!GF37*'MF Rollover'!GC37)</f>
        <v/>
      </c>
      <c r="GE37" s="149" t="str">
        <f>IF($B37=0,"",$N37*'MF Rents'!GG37*'MF Rollover'!GD37)</f>
        <v/>
      </c>
      <c r="GF37" s="149" t="str">
        <f>IF($B37=0,"",$N37*'MF Rents'!GH37*'MF Rollover'!GE37)</f>
        <v/>
      </c>
      <c r="GG37" s="149" t="str">
        <f>IF($B37=0,"",$N37*'MF Rents'!GI37*'MF Rollover'!GF37)</f>
        <v/>
      </c>
      <c r="GH37" s="149" t="str">
        <f>IF($B37=0,"",$N37*'MF Rents'!GJ37*'MF Rollover'!GG37)</f>
        <v/>
      </c>
      <c r="GI37" s="149" t="str">
        <f>IF($B37=0,"",$N37*'MF Rents'!GK37*'MF Rollover'!GH37)</f>
        <v/>
      </c>
      <c r="GJ37" s="149" t="str">
        <f>IF($B37=0,"",$N37*'MF Rents'!GL37*'MF Rollover'!GI37)</f>
        <v/>
      </c>
      <c r="GK37" s="149" t="str">
        <f>IF($B37=0,"",$N37*'MF Rents'!GM37*'MF Rollover'!GJ37)</f>
        <v/>
      </c>
      <c r="GL37" s="149" t="str">
        <f>IF($B37=0,"",$N37*'MF Rents'!GN37*'MF Rollover'!GK37)</f>
        <v/>
      </c>
      <c r="GM37" s="149" t="str">
        <f>IF($B37=0,"",$N37*'MF Rents'!GO37*'MF Rollover'!GL37)</f>
        <v/>
      </c>
      <c r="GN37" s="149" t="str">
        <f>IF($B37=0,"",$N37*'MF Rents'!GP37*'MF Rollover'!GM37)</f>
        <v/>
      </c>
      <c r="GO37" s="149" t="str">
        <f>IF($B37=0,"",$N37*'MF Rents'!GQ37*'MF Rollover'!GN37)</f>
        <v/>
      </c>
      <c r="GP37" s="149" t="str">
        <f>IF($B37=0,"",$N37*'MF Rents'!GR37*'MF Rollover'!GO37)</f>
        <v/>
      </c>
    </row>
    <row r="38" spans="2:198" x14ac:dyDescent="0.3">
      <c r="B38" s="184">
        <f>'MF Rent Roll'!B37</f>
        <v>0</v>
      </c>
      <c r="C38" s="171">
        <f>'MF Rent Roll'!C37</f>
        <v>0</v>
      </c>
      <c r="D38" s="172">
        <f>'MF Rent Roll'!D37</f>
        <v>0</v>
      </c>
      <c r="E38" s="172">
        <f>'MF Rent Roll'!E37</f>
        <v>0</v>
      </c>
      <c r="F38" s="173">
        <f>'MF Rent Roll'!F37</f>
        <v>0</v>
      </c>
      <c r="G38" s="174">
        <f>'MF Rent Roll'!G37</f>
        <v>0</v>
      </c>
      <c r="H38" s="176">
        <f>'MF Rent Roll'!J37</f>
        <v>0</v>
      </c>
      <c r="I38" s="174">
        <f>'MF Rent Roll'!K37</f>
        <v>0</v>
      </c>
      <c r="J38" s="177">
        <f>'MF Rent Roll'!L37</f>
        <v>0</v>
      </c>
      <c r="K38" s="178">
        <f>'MF Rent Roll'!M37</f>
        <v>0</v>
      </c>
      <c r="L38" s="174">
        <f>'MF Rent Roll'!N37</f>
        <v>0</v>
      </c>
      <c r="M38" s="179">
        <f>'MF Rent Roll'!O37</f>
        <v>0</v>
      </c>
      <c r="N38" s="180" t="str">
        <f>'MF Rent Roll'!P37</f>
        <v/>
      </c>
      <c r="O38" s="181" t="str">
        <f>'MF Rent Roll'!Q37</f>
        <v/>
      </c>
      <c r="P38" s="104" t="str">
        <f>'MF Rent Roll'!R37</f>
        <v/>
      </c>
      <c r="S38" s="149" t="str">
        <f>IF($B38=0,"",$N38*'MF Rents'!U38*'MF Rollover'!R38)</f>
        <v/>
      </c>
      <c r="T38" s="149" t="str">
        <f>IF($B38=0,"",$N38*'MF Rents'!V38*'MF Rollover'!S38)</f>
        <v/>
      </c>
      <c r="U38" s="149" t="str">
        <f>IF($B38=0,"",$N38*'MF Rents'!W38*'MF Rollover'!T38)</f>
        <v/>
      </c>
      <c r="V38" s="149" t="str">
        <f>IF($B38=0,"",$N38*'MF Rents'!X38*'MF Rollover'!U38)</f>
        <v/>
      </c>
      <c r="W38" s="149" t="str">
        <f>IF($B38=0,"",$N38*'MF Rents'!Y38*'MF Rollover'!V38)</f>
        <v/>
      </c>
      <c r="X38" s="149" t="str">
        <f>IF($B38=0,"",$N38*'MF Rents'!Z38*'MF Rollover'!W38)</f>
        <v/>
      </c>
      <c r="Y38" s="149" t="str">
        <f>IF($B38=0,"",$N38*'MF Rents'!AA38*'MF Rollover'!X38)</f>
        <v/>
      </c>
      <c r="Z38" s="149" t="str">
        <f>IF($B38=0,"",$N38*'MF Rents'!AB38*'MF Rollover'!Y38)</f>
        <v/>
      </c>
      <c r="AA38" s="149" t="str">
        <f>IF($B38=0,"",$N38*'MF Rents'!AC38*'MF Rollover'!Z38)</f>
        <v/>
      </c>
      <c r="AB38" s="149" t="str">
        <f>IF($B38=0,"",$N38*'MF Rents'!AD38*'MF Rollover'!AA38)</f>
        <v/>
      </c>
      <c r="AC38" s="149" t="str">
        <f>IF($B38=0,"",$N38*'MF Rents'!AE38*'MF Rollover'!AB38)</f>
        <v/>
      </c>
      <c r="AD38" s="149" t="str">
        <f>IF($B38=0,"",$N38*'MF Rents'!AF38*'MF Rollover'!AC38)</f>
        <v/>
      </c>
      <c r="AE38" s="149" t="str">
        <f>IF($B38=0,"",$N38*'MF Rents'!AG38*'MF Rollover'!AD38)</f>
        <v/>
      </c>
      <c r="AF38" s="149" t="str">
        <f>IF($B38=0,"",$N38*'MF Rents'!AH38*'MF Rollover'!AE38)</f>
        <v/>
      </c>
      <c r="AG38" s="149" t="str">
        <f>IF($B38=0,"",$N38*'MF Rents'!AI38*'MF Rollover'!AF38)</f>
        <v/>
      </c>
      <c r="AH38" s="149" t="str">
        <f>IF($B38=0,"",$N38*'MF Rents'!AJ38*'MF Rollover'!AG38)</f>
        <v/>
      </c>
      <c r="AI38" s="149" t="str">
        <f>IF($B38=0,"",$N38*'MF Rents'!AK38*'MF Rollover'!AH38)</f>
        <v/>
      </c>
      <c r="AJ38" s="149" t="str">
        <f>IF($B38=0,"",$N38*'MF Rents'!AL38*'MF Rollover'!AI38)</f>
        <v/>
      </c>
      <c r="AK38" s="149" t="str">
        <f>IF($B38=0,"",$N38*'MF Rents'!AM38*'MF Rollover'!AJ38)</f>
        <v/>
      </c>
      <c r="AL38" s="149" t="str">
        <f>IF($B38=0,"",$N38*'MF Rents'!AN38*'MF Rollover'!AK38)</f>
        <v/>
      </c>
      <c r="AM38" s="149" t="str">
        <f>IF($B38=0,"",$N38*'MF Rents'!AO38*'MF Rollover'!AL38)</f>
        <v/>
      </c>
      <c r="AN38" s="149" t="str">
        <f>IF($B38=0,"",$N38*'MF Rents'!AP38*'MF Rollover'!AM38)</f>
        <v/>
      </c>
      <c r="AO38" s="149" t="str">
        <f>IF($B38=0,"",$N38*'MF Rents'!AQ38*'MF Rollover'!AN38)</f>
        <v/>
      </c>
      <c r="AP38" s="149" t="str">
        <f>IF($B38=0,"",$N38*'MF Rents'!AR38*'MF Rollover'!AO38)</f>
        <v/>
      </c>
      <c r="AQ38" s="149" t="str">
        <f>IF($B38=0,"",$N38*'MF Rents'!AS38*'MF Rollover'!AP38)</f>
        <v/>
      </c>
      <c r="AR38" s="149" t="str">
        <f>IF($B38=0,"",$N38*'MF Rents'!AT38*'MF Rollover'!AQ38)</f>
        <v/>
      </c>
      <c r="AS38" s="149" t="str">
        <f>IF($B38=0,"",$N38*'MF Rents'!AU38*'MF Rollover'!AR38)</f>
        <v/>
      </c>
      <c r="AT38" s="149" t="str">
        <f>IF($B38=0,"",$N38*'MF Rents'!AV38*'MF Rollover'!AS38)</f>
        <v/>
      </c>
      <c r="AU38" s="149" t="str">
        <f>IF($B38=0,"",$N38*'MF Rents'!AW38*'MF Rollover'!AT38)</f>
        <v/>
      </c>
      <c r="AV38" s="149" t="str">
        <f>IF($B38=0,"",$N38*'MF Rents'!AX38*'MF Rollover'!AU38)</f>
        <v/>
      </c>
      <c r="AW38" s="149" t="str">
        <f>IF($B38=0,"",$N38*'MF Rents'!AY38*'MF Rollover'!AV38)</f>
        <v/>
      </c>
      <c r="AX38" s="149" t="str">
        <f>IF($B38=0,"",$N38*'MF Rents'!AZ38*'MF Rollover'!AW38)</f>
        <v/>
      </c>
      <c r="AY38" s="149" t="str">
        <f>IF($B38=0,"",$N38*'MF Rents'!BA38*'MF Rollover'!AX38)</f>
        <v/>
      </c>
      <c r="AZ38" s="149" t="str">
        <f>IF($B38=0,"",$N38*'MF Rents'!BB38*'MF Rollover'!AY38)</f>
        <v/>
      </c>
      <c r="BA38" s="149" t="str">
        <f>IF($B38=0,"",$N38*'MF Rents'!BC38*'MF Rollover'!AZ38)</f>
        <v/>
      </c>
      <c r="BB38" s="149" t="str">
        <f>IF($B38=0,"",$N38*'MF Rents'!BD38*'MF Rollover'!BA38)</f>
        <v/>
      </c>
      <c r="BC38" s="149" t="str">
        <f>IF($B38=0,"",$N38*'MF Rents'!BE38*'MF Rollover'!BB38)</f>
        <v/>
      </c>
      <c r="BD38" s="149" t="str">
        <f>IF($B38=0,"",$N38*'MF Rents'!BF38*'MF Rollover'!BC38)</f>
        <v/>
      </c>
      <c r="BE38" s="149" t="str">
        <f>IF($B38=0,"",$N38*'MF Rents'!BG38*'MF Rollover'!BD38)</f>
        <v/>
      </c>
      <c r="BF38" s="149" t="str">
        <f>IF($B38=0,"",$N38*'MF Rents'!BH38*'MF Rollover'!BE38)</f>
        <v/>
      </c>
      <c r="BG38" s="149" t="str">
        <f>IF($B38=0,"",$N38*'MF Rents'!BI38*'MF Rollover'!BF38)</f>
        <v/>
      </c>
      <c r="BH38" s="149" t="str">
        <f>IF($B38=0,"",$N38*'MF Rents'!BJ38*'MF Rollover'!BG38)</f>
        <v/>
      </c>
      <c r="BI38" s="149" t="str">
        <f>IF($B38=0,"",$N38*'MF Rents'!BK38*'MF Rollover'!BH38)</f>
        <v/>
      </c>
      <c r="BJ38" s="149" t="str">
        <f>IF($B38=0,"",$N38*'MF Rents'!BL38*'MF Rollover'!BI38)</f>
        <v/>
      </c>
      <c r="BK38" s="149" t="str">
        <f>IF($B38=0,"",$N38*'MF Rents'!BM38*'MF Rollover'!BJ38)</f>
        <v/>
      </c>
      <c r="BL38" s="149" t="str">
        <f>IF($B38=0,"",$N38*'MF Rents'!BN38*'MF Rollover'!BK38)</f>
        <v/>
      </c>
      <c r="BM38" s="149" t="str">
        <f>IF($B38=0,"",$N38*'MF Rents'!BO38*'MF Rollover'!BL38)</f>
        <v/>
      </c>
      <c r="BN38" s="149" t="str">
        <f>IF($B38=0,"",$N38*'MF Rents'!BP38*'MF Rollover'!BM38)</f>
        <v/>
      </c>
      <c r="BO38" s="149" t="str">
        <f>IF($B38=0,"",$N38*'MF Rents'!BQ38*'MF Rollover'!BN38)</f>
        <v/>
      </c>
      <c r="BP38" s="149" t="str">
        <f>IF($B38=0,"",$N38*'MF Rents'!BR38*'MF Rollover'!BO38)</f>
        <v/>
      </c>
      <c r="BQ38" s="149" t="str">
        <f>IF($B38=0,"",$N38*'MF Rents'!BS38*'MF Rollover'!BP38)</f>
        <v/>
      </c>
      <c r="BR38" s="149" t="str">
        <f>IF($B38=0,"",$N38*'MF Rents'!BT38*'MF Rollover'!BQ38)</f>
        <v/>
      </c>
      <c r="BS38" s="149" t="str">
        <f>IF($B38=0,"",$N38*'MF Rents'!BU38*'MF Rollover'!BR38)</f>
        <v/>
      </c>
      <c r="BT38" s="149" t="str">
        <f>IF($B38=0,"",$N38*'MF Rents'!BV38*'MF Rollover'!BS38)</f>
        <v/>
      </c>
      <c r="BU38" s="149" t="str">
        <f>IF($B38=0,"",$N38*'MF Rents'!BW38*'MF Rollover'!BT38)</f>
        <v/>
      </c>
      <c r="BV38" s="149" t="str">
        <f>IF($B38=0,"",$N38*'MF Rents'!BX38*'MF Rollover'!BU38)</f>
        <v/>
      </c>
      <c r="BW38" s="149" t="str">
        <f>IF($B38=0,"",$N38*'MF Rents'!BY38*'MF Rollover'!BV38)</f>
        <v/>
      </c>
      <c r="BX38" s="149" t="str">
        <f>IF($B38=0,"",$N38*'MF Rents'!BZ38*'MF Rollover'!BW38)</f>
        <v/>
      </c>
      <c r="BY38" s="149" t="str">
        <f>IF($B38=0,"",$N38*'MF Rents'!CA38*'MF Rollover'!BX38)</f>
        <v/>
      </c>
      <c r="BZ38" s="149" t="str">
        <f>IF($B38=0,"",$N38*'MF Rents'!CB38*'MF Rollover'!BY38)</f>
        <v/>
      </c>
      <c r="CA38" s="149" t="str">
        <f>IF($B38=0,"",$N38*'MF Rents'!CC38*'MF Rollover'!BZ38)</f>
        <v/>
      </c>
      <c r="CB38" s="149" t="str">
        <f>IF($B38=0,"",$N38*'MF Rents'!CD38*'MF Rollover'!CA38)</f>
        <v/>
      </c>
      <c r="CC38" s="149" t="str">
        <f>IF($B38=0,"",$N38*'MF Rents'!CE38*'MF Rollover'!CB38)</f>
        <v/>
      </c>
      <c r="CD38" s="149" t="str">
        <f>IF($B38=0,"",$N38*'MF Rents'!CF38*'MF Rollover'!CC38)</f>
        <v/>
      </c>
      <c r="CE38" s="149" t="str">
        <f>IF($B38=0,"",$N38*'MF Rents'!CG38*'MF Rollover'!CD38)</f>
        <v/>
      </c>
      <c r="CF38" s="149" t="str">
        <f>IF($B38=0,"",$N38*'MF Rents'!CH38*'MF Rollover'!CE38)</f>
        <v/>
      </c>
      <c r="CG38" s="149" t="str">
        <f>IF($B38=0,"",$N38*'MF Rents'!CI38*'MF Rollover'!CF38)</f>
        <v/>
      </c>
      <c r="CH38" s="149" t="str">
        <f>IF($B38=0,"",$N38*'MF Rents'!CJ38*'MF Rollover'!CG38)</f>
        <v/>
      </c>
      <c r="CI38" s="149" t="str">
        <f>IF($B38=0,"",$N38*'MF Rents'!CK38*'MF Rollover'!CH38)</f>
        <v/>
      </c>
      <c r="CJ38" s="149" t="str">
        <f>IF($B38=0,"",$N38*'MF Rents'!CL38*'MF Rollover'!CI38)</f>
        <v/>
      </c>
      <c r="CK38" s="149" t="str">
        <f>IF($B38=0,"",$N38*'MF Rents'!CM38*'MF Rollover'!CJ38)</f>
        <v/>
      </c>
      <c r="CL38" s="149" t="str">
        <f>IF($B38=0,"",$N38*'MF Rents'!CN38*'MF Rollover'!CK38)</f>
        <v/>
      </c>
      <c r="CM38" s="149" t="str">
        <f>IF($B38=0,"",$N38*'MF Rents'!CO38*'MF Rollover'!CL38)</f>
        <v/>
      </c>
      <c r="CN38" s="149" t="str">
        <f>IF($B38=0,"",$N38*'MF Rents'!CP38*'MF Rollover'!CM38)</f>
        <v/>
      </c>
      <c r="CO38" s="149" t="str">
        <f>IF($B38=0,"",$N38*'MF Rents'!CQ38*'MF Rollover'!CN38)</f>
        <v/>
      </c>
      <c r="CP38" s="149" t="str">
        <f>IF($B38=0,"",$N38*'MF Rents'!CR38*'MF Rollover'!CO38)</f>
        <v/>
      </c>
      <c r="CQ38" s="149" t="str">
        <f>IF($B38=0,"",$N38*'MF Rents'!CS38*'MF Rollover'!CP38)</f>
        <v/>
      </c>
      <c r="CR38" s="149" t="str">
        <f>IF($B38=0,"",$N38*'MF Rents'!CT38*'MF Rollover'!CQ38)</f>
        <v/>
      </c>
      <c r="CS38" s="149" t="str">
        <f>IF($B38=0,"",$N38*'MF Rents'!CU38*'MF Rollover'!CR38)</f>
        <v/>
      </c>
      <c r="CT38" s="149" t="str">
        <f>IF($B38=0,"",$N38*'MF Rents'!CV38*'MF Rollover'!CS38)</f>
        <v/>
      </c>
      <c r="CU38" s="149" t="str">
        <f>IF($B38=0,"",$N38*'MF Rents'!CW38*'MF Rollover'!CT38)</f>
        <v/>
      </c>
      <c r="CV38" s="149" t="str">
        <f>IF($B38=0,"",$N38*'MF Rents'!CX38*'MF Rollover'!CU38)</f>
        <v/>
      </c>
      <c r="CW38" s="149" t="str">
        <f>IF($B38=0,"",$N38*'MF Rents'!CY38*'MF Rollover'!CV38)</f>
        <v/>
      </c>
      <c r="CX38" s="149" t="str">
        <f>IF($B38=0,"",$N38*'MF Rents'!CZ38*'MF Rollover'!CW38)</f>
        <v/>
      </c>
      <c r="CY38" s="149" t="str">
        <f>IF($B38=0,"",$N38*'MF Rents'!DA38*'MF Rollover'!CX38)</f>
        <v/>
      </c>
      <c r="CZ38" s="149" t="str">
        <f>IF($B38=0,"",$N38*'MF Rents'!DB38*'MF Rollover'!CY38)</f>
        <v/>
      </c>
      <c r="DA38" s="149" t="str">
        <f>IF($B38=0,"",$N38*'MF Rents'!DC38*'MF Rollover'!CZ38)</f>
        <v/>
      </c>
      <c r="DB38" s="149" t="str">
        <f>IF($B38=0,"",$N38*'MF Rents'!DD38*'MF Rollover'!DA38)</f>
        <v/>
      </c>
      <c r="DC38" s="149" t="str">
        <f>IF($B38=0,"",$N38*'MF Rents'!DE38*'MF Rollover'!DB38)</f>
        <v/>
      </c>
      <c r="DD38" s="149" t="str">
        <f>IF($B38=0,"",$N38*'MF Rents'!DF38*'MF Rollover'!DC38)</f>
        <v/>
      </c>
      <c r="DE38" s="149" t="str">
        <f>IF($B38=0,"",$N38*'MF Rents'!DG38*'MF Rollover'!DD38)</f>
        <v/>
      </c>
      <c r="DF38" s="149" t="str">
        <f>IF($B38=0,"",$N38*'MF Rents'!DH38*'MF Rollover'!DE38)</f>
        <v/>
      </c>
      <c r="DG38" s="149" t="str">
        <f>IF($B38=0,"",$N38*'MF Rents'!DI38*'MF Rollover'!DF38)</f>
        <v/>
      </c>
      <c r="DH38" s="149" t="str">
        <f>IF($B38=0,"",$N38*'MF Rents'!DJ38*'MF Rollover'!DG38)</f>
        <v/>
      </c>
      <c r="DI38" s="149" t="str">
        <f>IF($B38=0,"",$N38*'MF Rents'!DK38*'MF Rollover'!DH38)</f>
        <v/>
      </c>
      <c r="DJ38" s="149" t="str">
        <f>IF($B38=0,"",$N38*'MF Rents'!DL38*'MF Rollover'!DI38)</f>
        <v/>
      </c>
      <c r="DK38" s="149" t="str">
        <f>IF($B38=0,"",$N38*'MF Rents'!DM38*'MF Rollover'!DJ38)</f>
        <v/>
      </c>
      <c r="DL38" s="149" t="str">
        <f>IF($B38=0,"",$N38*'MF Rents'!DN38*'MF Rollover'!DK38)</f>
        <v/>
      </c>
      <c r="DM38" s="149" t="str">
        <f>IF($B38=0,"",$N38*'MF Rents'!DO38*'MF Rollover'!DL38)</f>
        <v/>
      </c>
      <c r="DN38" s="149" t="str">
        <f>IF($B38=0,"",$N38*'MF Rents'!DP38*'MF Rollover'!DM38)</f>
        <v/>
      </c>
      <c r="DO38" s="149" t="str">
        <f>IF($B38=0,"",$N38*'MF Rents'!DQ38*'MF Rollover'!DN38)</f>
        <v/>
      </c>
      <c r="DP38" s="149" t="str">
        <f>IF($B38=0,"",$N38*'MF Rents'!DR38*'MF Rollover'!DO38)</f>
        <v/>
      </c>
      <c r="DQ38" s="149" t="str">
        <f>IF($B38=0,"",$N38*'MF Rents'!DS38*'MF Rollover'!DP38)</f>
        <v/>
      </c>
      <c r="DR38" s="149" t="str">
        <f>IF($B38=0,"",$N38*'MF Rents'!DT38*'MF Rollover'!DQ38)</f>
        <v/>
      </c>
      <c r="DS38" s="149" t="str">
        <f>IF($B38=0,"",$N38*'MF Rents'!DU38*'MF Rollover'!DR38)</f>
        <v/>
      </c>
      <c r="DT38" s="149" t="str">
        <f>IF($B38=0,"",$N38*'MF Rents'!DV38*'MF Rollover'!DS38)</f>
        <v/>
      </c>
      <c r="DU38" s="149" t="str">
        <f>IF($B38=0,"",$N38*'MF Rents'!DW38*'MF Rollover'!DT38)</f>
        <v/>
      </c>
      <c r="DV38" s="149" t="str">
        <f>IF($B38=0,"",$N38*'MF Rents'!DX38*'MF Rollover'!DU38)</f>
        <v/>
      </c>
      <c r="DW38" s="149" t="str">
        <f>IF($B38=0,"",$N38*'MF Rents'!DY38*'MF Rollover'!DV38)</f>
        <v/>
      </c>
      <c r="DX38" s="149" t="str">
        <f>IF($B38=0,"",$N38*'MF Rents'!DZ38*'MF Rollover'!DW38)</f>
        <v/>
      </c>
      <c r="DY38" s="149" t="str">
        <f>IF($B38=0,"",$N38*'MF Rents'!EA38*'MF Rollover'!DX38)</f>
        <v/>
      </c>
      <c r="DZ38" s="149" t="str">
        <f>IF($B38=0,"",$N38*'MF Rents'!EB38*'MF Rollover'!DY38)</f>
        <v/>
      </c>
      <c r="EA38" s="149" t="str">
        <f>IF($B38=0,"",$N38*'MF Rents'!EC38*'MF Rollover'!DZ38)</f>
        <v/>
      </c>
      <c r="EB38" s="149" t="str">
        <f>IF($B38=0,"",$N38*'MF Rents'!ED38*'MF Rollover'!EA38)</f>
        <v/>
      </c>
      <c r="EC38" s="149" t="str">
        <f>IF($B38=0,"",$N38*'MF Rents'!EE38*'MF Rollover'!EB38)</f>
        <v/>
      </c>
      <c r="ED38" s="149" t="str">
        <f>IF($B38=0,"",$N38*'MF Rents'!EF38*'MF Rollover'!EC38)</f>
        <v/>
      </c>
      <c r="EE38" s="149" t="str">
        <f>IF($B38=0,"",$N38*'MF Rents'!EG38*'MF Rollover'!ED38)</f>
        <v/>
      </c>
      <c r="EF38" s="149" t="str">
        <f>IF($B38=0,"",$N38*'MF Rents'!EH38*'MF Rollover'!EE38)</f>
        <v/>
      </c>
      <c r="EG38" s="149" t="str">
        <f>IF($B38=0,"",$N38*'MF Rents'!EI38*'MF Rollover'!EF38)</f>
        <v/>
      </c>
      <c r="EH38" s="149" t="str">
        <f>IF($B38=0,"",$N38*'MF Rents'!EJ38*'MF Rollover'!EG38)</f>
        <v/>
      </c>
      <c r="EI38" s="149" t="str">
        <f>IF($B38=0,"",$N38*'MF Rents'!EK38*'MF Rollover'!EH38)</f>
        <v/>
      </c>
      <c r="EJ38" s="149" t="str">
        <f>IF($B38=0,"",$N38*'MF Rents'!EL38*'MF Rollover'!EI38)</f>
        <v/>
      </c>
      <c r="EK38" s="149" t="str">
        <f>IF($B38=0,"",$N38*'MF Rents'!EM38*'MF Rollover'!EJ38)</f>
        <v/>
      </c>
      <c r="EL38" s="149" t="str">
        <f>IF($B38=0,"",$N38*'MF Rents'!EN38*'MF Rollover'!EK38)</f>
        <v/>
      </c>
      <c r="EM38" s="149" t="str">
        <f>IF($B38=0,"",$N38*'MF Rents'!EO38*'MF Rollover'!EL38)</f>
        <v/>
      </c>
      <c r="EN38" s="149" t="str">
        <f>IF($B38=0,"",$N38*'MF Rents'!EP38*'MF Rollover'!EM38)</f>
        <v/>
      </c>
      <c r="EO38" s="149" t="str">
        <f>IF($B38=0,"",$N38*'MF Rents'!EQ38*'MF Rollover'!EN38)</f>
        <v/>
      </c>
      <c r="EP38" s="149" t="str">
        <f>IF($B38=0,"",$N38*'MF Rents'!ER38*'MF Rollover'!EO38)</f>
        <v/>
      </c>
      <c r="EQ38" s="149" t="str">
        <f>IF($B38=0,"",$N38*'MF Rents'!ES38*'MF Rollover'!EP38)</f>
        <v/>
      </c>
      <c r="ER38" s="149" t="str">
        <f>IF($B38=0,"",$N38*'MF Rents'!ET38*'MF Rollover'!EQ38)</f>
        <v/>
      </c>
      <c r="ES38" s="149" t="str">
        <f>IF($B38=0,"",$N38*'MF Rents'!EU38*'MF Rollover'!ER38)</f>
        <v/>
      </c>
      <c r="ET38" s="149" t="str">
        <f>IF($B38=0,"",$N38*'MF Rents'!EV38*'MF Rollover'!ES38)</f>
        <v/>
      </c>
      <c r="EU38" s="149" t="str">
        <f>IF($B38=0,"",$N38*'MF Rents'!EW38*'MF Rollover'!ET38)</f>
        <v/>
      </c>
      <c r="EV38" s="149" t="str">
        <f>IF($B38=0,"",$N38*'MF Rents'!EX38*'MF Rollover'!EU38)</f>
        <v/>
      </c>
      <c r="EW38" s="149" t="str">
        <f>IF($B38=0,"",$N38*'MF Rents'!EY38*'MF Rollover'!EV38)</f>
        <v/>
      </c>
      <c r="EX38" s="149" t="str">
        <f>IF($B38=0,"",$N38*'MF Rents'!EZ38*'MF Rollover'!EW38)</f>
        <v/>
      </c>
      <c r="EY38" s="149" t="str">
        <f>IF($B38=0,"",$N38*'MF Rents'!FA38*'MF Rollover'!EX38)</f>
        <v/>
      </c>
      <c r="EZ38" s="149" t="str">
        <f>IF($B38=0,"",$N38*'MF Rents'!FB38*'MF Rollover'!EY38)</f>
        <v/>
      </c>
      <c r="FA38" s="149" t="str">
        <f>IF($B38=0,"",$N38*'MF Rents'!FC38*'MF Rollover'!EZ38)</f>
        <v/>
      </c>
      <c r="FB38" s="149" t="str">
        <f>IF($B38=0,"",$N38*'MF Rents'!FD38*'MF Rollover'!FA38)</f>
        <v/>
      </c>
      <c r="FC38" s="149" t="str">
        <f>IF($B38=0,"",$N38*'MF Rents'!FE38*'MF Rollover'!FB38)</f>
        <v/>
      </c>
      <c r="FD38" s="149" t="str">
        <f>IF($B38=0,"",$N38*'MF Rents'!FF38*'MF Rollover'!FC38)</f>
        <v/>
      </c>
      <c r="FE38" s="149" t="str">
        <f>IF($B38=0,"",$N38*'MF Rents'!FG38*'MF Rollover'!FD38)</f>
        <v/>
      </c>
      <c r="FF38" s="149" t="str">
        <f>IF($B38=0,"",$N38*'MF Rents'!FH38*'MF Rollover'!FE38)</f>
        <v/>
      </c>
      <c r="FG38" s="149" t="str">
        <f>IF($B38=0,"",$N38*'MF Rents'!FI38*'MF Rollover'!FF38)</f>
        <v/>
      </c>
      <c r="FH38" s="149" t="str">
        <f>IF($B38=0,"",$N38*'MF Rents'!FJ38*'MF Rollover'!FG38)</f>
        <v/>
      </c>
      <c r="FI38" s="149" t="str">
        <f>IF($B38=0,"",$N38*'MF Rents'!FK38*'MF Rollover'!FH38)</f>
        <v/>
      </c>
      <c r="FJ38" s="149" t="str">
        <f>IF($B38=0,"",$N38*'MF Rents'!FL38*'MF Rollover'!FI38)</f>
        <v/>
      </c>
      <c r="FK38" s="149" t="str">
        <f>IF($B38=0,"",$N38*'MF Rents'!FM38*'MF Rollover'!FJ38)</f>
        <v/>
      </c>
      <c r="FL38" s="149" t="str">
        <f>IF($B38=0,"",$N38*'MF Rents'!FN38*'MF Rollover'!FK38)</f>
        <v/>
      </c>
      <c r="FM38" s="149" t="str">
        <f>IF($B38=0,"",$N38*'MF Rents'!FO38*'MF Rollover'!FL38)</f>
        <v/>
      </c>
      <c r="FN38" s="149" t="str">
        <f>IF($B38=0,"",$N38*'MF Rents'!FP38*'MF Rollover'!FM38)</f>
        <v/>
      </c>
      <c r="FO38" s="149" t="str">
        <f>IF($B38=0,"",$N38*'MF Rents'!FQ38*'MF Rollover'!FN38)</f>
        <v/>
      </c>
      <c r="FP38" s="149" t="str">
        <f>IF($B38=0,"",$N38*'MF Rents'!FR38*'MF Rollover'!FO38)</f>
        <v/>
      </c>
      <c r="FQ38" s="149" t="str">
        <f>IF($B38=0,"",$N38*'MF Rents'!FS38*'MF Rollover'!FP38)</f>
        <v/>
      </c>
      <c r="FR38" s="149" t="str">
        <f>IF($B38=0,"",$N38*'MF Rents'!FT38*'MF Rollover'!FQ38)</f>
        <v/>
      </c>
      <c r="FS38" s="149" t="str">
        <f>IF($B38=0,"",$N38*'MF Rents'!FU38*'MF Rollover'!FR38)</f>
        <v/>
      </c>
      <c r="FT38" s="149" t="str">
        <f>IF($B38=0,"",$N38*'MF Rents'!FV38*'MF Rollover'!FS38)</f>
        <v/>
      </c>
      <c r="FU38" s="149" t="str">
        <f>IF($B38=0,"",$N38*'MF Rents'!FW38*'MF Rollover'!FT38)</f>
        <v/>
      </c>
      <c r="FV38" s="149" t="str">
        <f>IF($B38=0,"",$N38*'MF Rents'!FX38*'MF Rollover'!FU38)</f>
        <v/>
      </c>
      <c r="FW38" s="149" t="str">
        <f>IF($B38=0,"",$N38*'MF Rents'!FY38*'MF Rollover'!FV38)</f>
        <v/>
      </c>
      <c r="FX38" s="149" t="str">
        <f>IF($B38=0,"",$N38*'MF Rents'!FZ38*'MF Rollover'!FW38)</f>
        <v/>
      </c>
      <c r="FY38" s="149" t="str">
        <f>IF($B38=0,"",$N38*'MF Rents'!GA38*'MF Rollover'!FX38)</f>
        <v/>
      </c>
      <c r="FZ38" s="149" t="str">
        <f>IF($B38=0,"",$N38*'MF Rents'!GB38*'MF Rollover'!FY38)</f>
        <v/>
      </c>
      <c r="GA38" s="149" t="str">
        <f>IF($B38=0,"",$N38*'MF Rents'!GC38*'MF Rollover'!FZ38)</f>
        <v/>
      </c>
      <c r="GB38" s="149" t="str">
        <f>IF($B38=0,"",$N38*'MF Rents'!GD38*'MF Rollover'!GA38)</f>
        <v/>
      </c>
      <c r="GC38" s="149" t="str">
        <f>IF($B38=0,"",$N38*'MF Rents'!GE38*'MF Rollover'!GB38)</f>
        <v/>
      </c>
      <c r="GD38" s="149" t="str">
        <f>IF($B38=0,"",$N38*'MF Rents'!GF38*'MF Rollover'!GC38)</f>
        <v/>
      </c>
      <c r="GE38" s="149" t="str">
        <f>IF($B38=0,"",$N38*'MF Rents'!GG38*'MF Rollover'!GD38)</f>
        <v/>
      </c>
      <c r="GF38" s="149" t="str">
        <f>IF($B38=0,"",$N38*'MF Rents'!GH38*'MF Rollover'!GE38)</f>
        <v/>
      </c>
      <c r="GG38" s="149" t="str">
        <f>IF($B38=0,"",$N38*'MF Rents'!GI38*'MF Rollover'!GF38)</f>
        <v/>
      </c>
      <c r="GH38" s="149" t="str">
        <f>IF($B38=0,"",$N38*'MF Rents'!GJ38*'MF Rollover'!GG38)</f>
        <v/>
      </c>
      <c r="GI38" s="149" t="str">
        <f>IF($B38=0,"",$N38*'MF Rents'!GK38*'MF Rollover'!GH38)</f>
        <v/>
      </c>
      <c r="GJ38" s="149" t="str">
        <f>IF($B38=0,"",$N38*'MF Rents'!GL38*'MF Rollover'!GI38)</f>
        <v/>
      </c>
      <c r="GK38" s="149" t="str">
        <f>IF($B38=0,"",$N38*'MF Rents'!GM38*'MF Rollover'!GJ38)</f>
        <v/>
      </c>
      <c r="GL38" s="149" t="str">
        <f>IF($B38=0,"",$N38*'MF Rents'!GN38*'MF Rollover'!GK38)</f>
        <v/>
      </c>
      <c r="GM38" s="149" t="str">
        <f>IF($B38=0,"",$N38*'MF Rents'!GO38*'MF Rollover'!GL38)</f>
        <v/>
      </c>
      <c r="GN38" s="149" t="str">
        <f>IF($B38=0,"",$N38*'MF Rents'!GP38*'MF Rollover'!GM38)</f>
        <v/>
      </c>
      <c r="GO38" s="149" t="str">
        <f>IF($B38=0,"",$N38*'MF Rents'!GQ38*'MF Rollover'!GN38)</f>
        <v/>
      </c>
      <c r="GP38" s="149" t="str">
        <f>IF($B38=0,"",$N38*'MF Rents'!GR38*'MF Rollover'!GO38)</f>
        <v/>
      </c>
    </row>
    <row r="39" spans="2:198" x14ac:dyDescent="0.3">
      <c r="B39" s="184">
        <f>'MF Rent Roll'!B38</f>
        <v>0</v>
      </c>
      <c r="C39" s="171">
        <f>'MF Rent Roll'!C38</f>
        <v>0</v>
      </c>
      <c r="D39" s="172">
        <f>'MF Rent Roll'!D38</f>
        <v>0</v>
      </c>
      <c r="E39" s="172">
        <f>'MF Rent Roll'!E38</f>
        <v>0</v>
      </c>
      <c r="F39" s="173">
        <f>'MF Rent Roll'!F38</f>
        <v>0</v>
      </c>
      <c r="G39" s="174">
        <f>'MF Rent Roll'!G38</f>
        <v>0</v>
      </c>
      <c r="H39" s="176">
        <f>'MF Rent Roll'!J38</f>
        <v>0</v>
      </c>
      <c r="I39" s="174">
        <f>'MF Rent Roll'!K38</f>
        <v>0</v>
      </c>
      <c r="J39" s="177">
        <f>'MF Rent Roll'!L38</f>
        <v>0</v>
      </c>
      <c r="K39" s="178">
        <f>'MF Rent Roll'!M38</f>
        <v>0</v>
      </c>
      <c r="L39" s="174">
        <f>'MF Rent Roll'!N38</f>
        <v>0</v>
      </c>
      <c r="M39" s="179">
        <f>'MF Rent Roll'!O38</f>
        <v>0</v>
      </c>
      <c r="N39" s="180" t="str">
        <f>'MF Rent Roll'!P38</f>
        <v/>
      </c>
      <c r="O39" s="181" t="str">
        <f>'MF Rent Roll'!Q38</f>
        <v/>
      </c>
      <c r="P39" s="104" t="str">
        <f>'MF Rent Roll'!R38</f>
        <v/>
      </c>
      <c r="S39" s="149" t="str">
        <f>IF($B39=0,"",$N39*'MF Rents'!U39*'MF Rollover'!R39)</f>
        <v/>
      </c>
      <c r="T39" s="149" t="str">
        <f>IF($B39=0,"",$N39*'MF Rents'!V39*'MF Rollover'!S39)</f>
        <v/>
      </c>
      <c r="U39" s="149" t="str">
        <f>IF($B39=0,"",$N39*'MF Rents'!W39*'MF Rollover'!T39)</f>
        <v/>
      </c>
      <c r="V39" s="149" t="str">
        <f>IF($B39=0,"",$N39*'MF Rents'!X39*'MF Rollover'!U39)</f>
        <v/>
      </c>
      <c r="W39" s="149" t="str">
        <f>IF($B39=0,"",$N39*'MF Rents'!Y39*'MF Rollover'!V39)</f>
        <v/>
      </c>
      <c r="X39" s="149" t="str">
        <f>IF($B39=0,"",$N39*'MF Rents'!Z39*'MF Rollover'!W39)</f>
        <v/>
      </c>
      <c r="Y39" s="149" t="str">
        <f>IF($B39=0,"",$N39*'MF Rents'!AA39*'MF Rollover'!X39)</f>
        <v/>
      </c>
      <c r="Z39" s="149" t="str">
        <f>IF($B39=0,"",$N39*'MF Rents'!AB39*'MF Rollover'!Y39)</f>
        <v/>
      </c>
      <c r="AA39" s="149" t="str">
        <f>IF($B39=0,"",$N39*'MF Rents'!AC39*'MF Rollover'!Z39)</f>
        <v/>
      </c>
      <c r="AB39" s="149" t="str">
        <f>IF($B39=0,"",$N39*'MF Rents'!AD39*'MF Rollover'!AA39)</f>
        <v/>
      </c>
      <c r="AC39" s="149" t="str">
        <f>IF($B39=0,"",$N39*'MF Rents'!AE39*'MF Rollover'!AB39)</f>
        <v/>
      </c>
      <c r="AD39" s="149" t="str">
        <f>IF($B39=0,"",$N39*'MF Rents'!AF39*'MF Rollover'!AC39)</f>
        <v/>
      </c>
      <c r="AE39" s="149" t="str">
        <f>IF($B39=0,"",$N39*'MF Rents'!AG39*'MF Rollover'!AD39)</f>
        <v/>
      </c>
      <c r="AF39" s="149" t="str">
        <f>IF($B39=0,"",$N39*'MF Rents'!AH39*'MF Rollover'!AE39)</f>
        <v/>
      </c>
      <c r="AG39" s="149" t="str">
        <f>IF($B39=0,"",$N39*'MF Rents'!AI39*'MF Rollover'!AF39)</f>
        <v/>
      </c>
      <c r="AH39" s="149" t="str">
        <f>IF($B39=0,"",$N39*'MF Rents'!AJ39*'MF Rollover'!AG39)</f>
        <v/>
      </c>
      <c r="AI39" s="149" t="str">
        <f>IF($B39=0,"",$N39*'MF Rents'!AK39*'MF Rollover'!AH39)</f>
        <v/>
      </c>
      <c r="AJ39" s="149" t="str">
        <f>IF($B39=0,"",$N39*'MF Rents'!AL39*'MF Rollover'!AI39)</f>
        <v/>
      </c>
      <c r="AK39" s="149" t="str">
        <f>IF($B39=0,"",$N39*'MF Rents'!AM39*'MF Rollover'!AJ39)</f>
        <v/>
      </c>
      <c r="AL39" s="149" t="str">
        <f>IF($B39=0,"",$N39*'MF Rents'!AN39*'MF Rollover'!AK39)</f>
        <v/>
      </c>
      <c r="AM39" s="149" t="str">
        <f>IF($B39=0,"",$N39*'MF Rents'!AO39*'MF Rollover'!AL39)</f>
        <v/>
      </c>
      <c r="AN39" s="149" t="str">
        <f>IF($B39=0,"",$N39*'MF Rents'!AP39*'MF Rollover'!AM39)</f>
        <v/>
      </c>
      <c r="AO39" s="149" t="str">
        <f>IF($B39=0,"",$N39*'MF Rents'!AQ39*'MF Rollover'!AN39)</f>
        <v/>
      </c>
      <c r="AP39" s="149" t="str">
        <f>IF($B39=0,"",$N39*'MF Rents'!AR39*'MF Rollover'!AO39)</f>
        <v/>
      </c>
      <c r="AQ39" s="149" t="str">
        <f>IF($B39=0,"",$N39*'MF Rents'!AS39*'MF Rollover'!AP39)</f>
        <v/>
      </c>
      <c r="AR39" s="149" t="str">
        <f>IF($B39=0,"",$N39*'MF Rents'!AT39*'MF Rollover'!AQ39)</f>
        <v/>
      </c>
      <c r="AS39" s="149" t="str">
        <f>IF($B39=0,"",$N39*'MF Rents'!AU39*'MF Rollover'!AR39)</f>
        <v/>
      </c>
      <c r="AT39" s="149" t="str">
        <f>IF($B39=0,"",$N39*'MF Rents'!AV39*'MF Rollover'!AS39)</f>
        <v/>
      </c>
      <c r="AU39" s="149" t="str">
        <f>IF($B39=0,"",$N39*'MF Rents'!AW39*'MF Rollover'!AT39)</f>
        <v/>
      </c>
      <c r="AV39" s="149" t="str">
        <f>IF($B39=0,"",$N39*'MF Rents'!AX39*'MF Rollover'!AU39)</f>
        <v/>
      </c>
      <c r="AW39" s="149" t="str">
        <f>IF($B39=0,"",$N39*'MF Rents'!AY39*'MF Rollover'!AV39)</f>
        <v/>
      </c>
      <c r="AX39" s="149" t="str">
        <f>IF($B39=0,"",$N39*'MF Rents'!AZ39*'MF Rollover'!AW39)</f>
        <v/>
      </c>
      <c r="AY39" s="149" t="str">
        <f>IF($B39=0,"",$N39*'MF Rents'!BA39*'MF Rollover'!AX39)</f>
        <v/>
      </c>
      <c r="AZ39" s="149" t="str">
        <f>IF($B39=0,"",$N39*'MF Rents'!BB39*'MF Rollover'!AY39)</f>
        <v/>
      </c>
      <c r="BA39" s="149" t="str">
        <f>IF($B39=0,"",$N39*'MF Rents'!BC39*'MF Rollover'!AZ39)</f>
        <v/>
      </c>
      <c r="BB39" s="149" t="str">
        <f>IF($B39=0,"",$N39*'MF Rents'!BD39*'MF Rollover'!BA39)</f>
        <v/>
      </c>
      <c r="BC39" s="149" t="str">
        <f>IF($B39=0,"",$N39*'MF Rents'!BE39*'MF Rollover'!BB39)</f>
        <v/>
      </c>
      <c r="BD39" s="149" t="str">
        <f>IF($B39=0,"",$N39*'MF Rents'!BF39*'MF Rollover'!BC39)</f>
        <v/>
      </c>
      <c r="BE39" s="149" t="str">
        <f>IF($B39=0,"",$N39*'MF Rents'!BG39*'MF Rollover'!BD39)</f>
        <v/>
      </c>
      <c r="BF39" s="149" t="str">
        <f>IF($B39=0,"",$N39*'MF Rents'!BH39*'MF Rollover'!BE39)</f>
        <v/>
      </c>
      <c r="BG39" s="149" t="str">
        <f>IF($B39=0,"",$N39*'MF Rents'!BI39*'MF Rollover'!BF39)</f>
        <v/>
      </c>
      <c r="BH39" s="149" t="str">
        <f>IF($B39=0,"",$N39*'MF Rents'!BJ39*'MF Rollover'!BG39)</f>
        <v/>
      </c>
      <c r="BI39" s="149" t="str">
        <f>IF($B39=0,"",$N39*'MF Rents'!BK39*'MF Rollover'!BH39)</f>
        <v/>
      </c>
      <c r="BJ39" s="149" t="str">
        <f>IF($B39=0,"",$N39*'MF Rents'!BL39*'MF Rollover'!BI39)</f>
        <v/>
      </c>
      <c r="BK39" s="149" t="str">
        <f>IF($B39=0,"",$N39*'MF Rents'!BM39*'MF Rollover'!BJ39)</f>
        <v/>
      </c>
      <c r="BL39" s="149" t="str">
        <f>IF($B39=0,"",$N39*'MF Rents'!BN39*'MF Rollover'!BK39)</f>
        <v/>
      </c>
      <c r="BM39" s="149" t="str">
        <f>IF($B39=0,"",$N39*'MF Rents'!BO39*'MF Rollover'!BL39)</f>
        <v/>
      </c>
      <c r="BN39" s="149" t="str">
        <f>IF($B39=0,"",$N39*'MF Rents'!BP39*'MF Rollover'!BM39)</f>
        <v/>
      </c>
      <c r="BO39" s="149" t="str">
        <f>IF($B39=0,"",$N39*'MF Rents'!BQ39*'MF Rollover'!BN39)</f>
        <v/>
      </c>
      <c r="BP39" s="149" t="str">
        <f>IF($B39=0,"",$N39*'MF Rents'!BR39*'MF Rollover'!BO39)</f>
        <v/>
      </c>
      <c r="BQ39" s="149" t="str">
        <f>IF($B39=0,"",$N39*'MF Rents'!BS39*'MF Rollover'!BP39)</f>
        <v/>
      </c>
      <c r="BR39" s="149" t="str">
        <f>IF($B39=0,"",$N39*'MF Rents'!BT39*'MF Rollover'!BQ39)</f>
        <v/>
      </c>
      <c r="BS39" s="149" t="str">
        <f>IF($B39=0,"",$N39*'MF Rents'!BU39*'MF Rollover'!BR39)</f>
        <v/>
      </c>
      <c r="BT39" s="149" t="str">
        <f>IF($B39=0,"",$N39*'MF Rents'!BV39*'MF Rollover'!BS39)</f>
        <v/>
      </c>
      <c r="BU39" s="149" t="str">
        <f>IF($B39=0,"",$N39*'MF Rents'!BW39*'MF Rollover'!BT39)</f>
        <v/>
      </c>
      <c r="BV39" s="149" t="str">
        <f>IF($B39=0,"",$N39*'MF Rents'!BX39*'MF Rollover'!BU39)</f>
        <v/>
      </c>
      <c r="BW39" s="149" t="str">
        <f>IF($B39=0,"",$N39*'MF Rents'!BY39*'MF Rollover'!BV39)</f>
        <v/>
      </c>
      <c r="BX39" s="149" t="str">
        <f>IF($B39=0,"",$N39*'MF Rents'!BZ39*'MF Rollover'!BW39)</f>
        <v/>
      </c>
      <c r="BY39" s="149" t="str">
        <f>IF($B39=0,"",$N39*'MF Rents'!CA39*'MF Rollover'!BX39)</f>
        <v/>
      </c>
      <c r="BZ39" s="149" t="str">
        <f>IF($B39=0,"",$N39*'MF Rents'!CB39*'MF Rollover'!BY39)</f>
        <v/>
      </c>
      <c r="CA39" s="149" t="str">
        <f>IF($B39=0,"",$N39*'MF Rents'!CC39*'MF Rollover'!BZ39)</f>
        <v/>
      </c>
      <c r="CB39" s="149" t="str">
        <f>IF($B39=0,"",$N39*'MF Rents'!CD39*'MF Rollover'!CA39)</f>
        <v/>
      </c>
      <c r="CC39" s="149" t="str">
        <f>IF($B39=0,"",$N39*'MF Rents'!CE39*'MF Rollover'!CB39)</f>
        <v/>
      </c>
      <c r="CD39" s="149" t="str">
        <f>IF($B39=0,"",$N39*'MF Rents'!CF39*'MF Rollover'!CC39)</f>
        <v/>
      </c>
      <c r="CE39" s="149" t="str">
        <f>IF($B39=0,"",$N39*'MF Rents'!CG39*'MF Rollover'!CD39)</f>
        <v/>
      </c>
      <c r="CF39" s="149" t="str">
        <f>IF($B39=0,"",$N39*'MF Rents'!CH39*'MF Rollover'!CE39)</f>
        <v/>
      </c>
      <c r="CG39" s="149" t="str">
        <f>IF($B39=0,"",$N39*'MF Rents'!CI39*'MF Rollover'!CF39)</f>
        <v/>
      </c>
      <c r="CH39" s="149" t="str">
        <f>IF($B39=0,"",$N39*'MF Rents'!CJ39*'MF Rollover'!CG39)</f>
        <v/>
      </c>
      <c r="CI39" s="149" t="str">
        <f>IF($B39=0,"",$N39*'MF Rents'!CK39*'MF Rollover'!CH39)</f>
        <v/>
      </c>
      <c r="CJ39" s="149" t="str">
        <f>IF($B39=0,"",$N39*'MF Rents'!CL39*'MF Rollover'!CI39)</f>
        <v/>
      </c>
      <c r="CK39" s="149" t="str">
        <f>IF($B39=0,"",$N39*'MF Rents'!CM39*'MF Rollover'!CJ39)</f>
        <v/>
      </c>
      <c r="CL39" s="149" t="str">
        <f>IF($B39=0,"",$N39*'MF Rents'!CN39*'MF Rollover'!CK39)</f>
        <v/>
      </c>
      <c r="CM39" s="149" t="str">
        <f>IF($B39=0,"",$N39*'MF Rents'!CO39*'MF Rollover'!CL39)</f>
        <v/>
      </c>
      <c r="CN39" s="149" t="str">
        <f>IF($B39=0,"",$N39*'MF Rents'!CP39*'MF Rollover'!CM39)</f>
        <v/>
      </c>
      <c r="CO39" s="149" t="str">
        <f>IF($B39=0,"",$N39*'MF Rents'!CQ39*'MF Rollover'!CN39)</f>
        <v/>
      </c>
      <c r="CP39" s="149" t="str">
        <f>IF($B39=0,"",$N39*'MF Rents'!CR39*'MF Rollover'!CO39)</f>
        <v/>
      </c>
      <c r="CQ39" s="149" t="str">
        <f>IF($B39=0,"",$N39*'MF Rents'!CS39*'MF Rollover'!CP39)</f>
        <v/>
      </c>
      <c r="CR39" s="149" t="str">
        <f>IF($B39=0,"",$N39*'MF Rents'!CT39*'MF Rollover'!CQ39)</f>
        <v/>
      </c>
      <c r="CS39" s="149" t="str">
        <f>IF($B39=0,"",$N39*'MF Rents'!CU39*'MF Rollover'!CR39)</f>
        <v/>
      </c>
      <c r="CT39" s="149" t="str">
        <f>IF($B39=0,"",$N39*'MF Rents'!CV39*'MF Rollover'!CS39)</f>
        <v/>
      </c>
      <c r="CU39" s="149" t="str">
        <f>IF($B39=0,"",$N39*'MF Rents'!CW39*'MF Rollover'!CT39)</f>
        <v/>
      </c>
      <c r="CV39" s="149" t="str">
        <f>IF($B39=0,"",$N39*'MF Rents'!CX39*'MF Rollover'!CU39)</f>
        <v/>
      </c>
      <c r="CW39" s="149" t="str">
        <f>IF($B39=0,"",$N39*'MF Rents'!CY39*'MF Rollover'!CV39)</f>
        <v/>
      </c>
      <c r="CX39" s="149" t="str">
        <f>IF($B39=0,"",$N39*'MF Rents'!CZ39*'MF Rollover'!CW39)</f>
        <v/>
      </c>
      <c r="CY39" s="149" t="str">
        <f>IF($B39=0,"",$N39*'MF Rents'!DA39*'MF Rollover'!CX39)</f>
        <v/>
      </c>
      <c r="CZ39" s="149" t="str">
        <f>IF($B39=0,"",$N39*'MF Rents'!DB39*'MF Rollover'!CY39)</f>
        <v/>
      </c>
      <c r="DA39" s="149" t="str">
        <f>IF($B39=0,"",$N39*'MF Rents'!DC39*'MF Rollover'!CZ39)</f>
        <v/>
      </c>
      <c r="DB39" s="149" t="str">
        <f>IF($B39=0,"",$N39*'MF Rents'!DD39*'MF Rollover'!DA39)</f>
        <v/>
      </c>
      <c r="DC39" s="149" t="str">
        <f>IF($B39=0,"",$N39*'MF Rents'!DE39*'MF Rollover'!DB39)</f>
        <v/>
      </c>
      <c r="DD39" s="149" t="str">
        <f>IF($B39=0,"",$N39*'MF Rents'!DF39*'MF Rollover'!DC39)</f>
        <v/>
      </c>
      <c r="DE39" s="149" t="str">
        <f>IF($B39=0,"",$N39*'MF Rents'!DG39*'MF Rollover'!DD39)</f>
        <v/>
      </c>
      <c r="DF39" s="149" t="str">
        <f>IF($B39=0,"",$N39*'MF Rents'!DH39*'MF Rollover'!DE39)</f>
        <v/>
      </c>
      <c r="DG39" s="149" t="str">
        <f>IF($B39=0,"",$N39*'MF Rents'!DI39*'MF Rollover'!DF39)</f>
        <v/>
      </c>
      <c r="DH39" s="149" t="str">
        <f>IF($B39=0,"",$N39*'MF Rents'!DJ39*'MF Rollover'!DG39)</f>
        <v/>
      </c>
      <c r="DI39" s="149" t="str">
        <f>IF($B39=0,"",$N39*'MF Rents'!DK39*'MF Rollover'!DH39)</f>
        <v/>
      </c>
      <c r="DJ39" s="149" t="str">
        <f>IF($B39=0,"",$N39*'MF Rents'!DL39*'MF Rollover'!DI39)</f>
        <v/>
      </c>
      <c r="DK39" s="149" t="str">
        <f>IF($B39=0,"",$N39*'MF Rents'!DM39*'MF Rollover'!DJ39)</f>
        <v/>
      </c>
      <c r="DL39" s="149" t="str">
        <f>IF($B39=0,"",$N39*'MF Rents'!DN39*'MF Rollover'!DK39)</f>
        <v/>
      </c>
      <c r="DM39" s="149" t="str">
        <f>IF($B39=0,"",$N39*'MF Rents'!DO39*'MF Rollover'!DL39)</f>
        <v/>
      </c>
      <c r="DN39" s="149" t="str">
        <f>IF($B39=0,"",$N39*'MF Rents'!DP39*'MF Rollover'!DM39)</f>
        <v/>
      </c>
      <c r="DO39" s="149" t="str">
        <f>IF($B39=0,"",$N39*'MF Rents'!DQ39*'MF Rollover'!DN39)</f>
        <v/>
      </c>
      <c r="DP39" s="149" t="str">
        <f>IF($B39=0,"",$N39*'MF Rents'!DR39*'MF Rollover'!DO39)</f>
        <v/>
      </c>
      <c r="DQ39" s="149" t="str">
        <f>IF($B39=0,"",$N39*'MF Rents'!DS39*'MF Rollover'!DP39)</f>
        <v/>
      </c>
      <c r="DR39" s="149" t="str">
        <f>IF($B39=0,"",$N39*'MF Rents'!DT39*'MF Rollover'!DQ39)</f>
        <v/>
      </c>
      <c r="DS39" s="149" t="str">
        <f>IF($B39=0,"",$N39*'MF Rents'!DU39*'MF Rollover'!DR39)</f>
        <v/>
      </c>
      <c r="DT39" s="149" t="str">
        <f>IF($B39=0,"",$N39*'MF Rents'!DV39*'MF Rollover'!DS39)</f>
        <v/>
      </c>
      <c r="DU39" s="149" t="str">
        <f>IF($B39=0,"",$N39*'MF Rents'!DW39*'MF Rollover'!DT39)</f>
        <v/>
      </c>
      <c r="DV39" s="149" t="str">
        <f>IF($B39=0,"",$N39*'MF Rents'!DX39*'MF Rollover'!DU39)</f>
        <v/>
      </c>
      <c r="DW39" s="149" t="str">
        <f>IF($B39=0,"",$N39*'MF Rents'!DY39*'MF Rollover'!DV39)</f>
        <v/>
      </c>
      <c r="DX39" s="149" t="str">
        <f>IF($B39=0,"",$N39*'MF Rents'!DZ39*'MF Rollover'!DW39)</f>
        <v/>
      </c>
      <c r="DY39" s="149" t="str">
        <f>IF($B39=0,"",$N39*'MF Rents'!EA39*'MF Rollover'!DX39)</f>
        <v/>
      </c>
      <c r="DZ39" s="149" t="str">
        <f>IF($B39=0,"",$N39*'MF Rents'!EB39*'MF Rollover'!DY39)</f>
        <v/>
      </c>
      <c r="EA39" s="149" t="str">
        <f>IF($B39=0,"",$N39*'MF Rents'!EC39*'MF Rollover'!DZ39)</f>
        <v/>
      </c>
      <c r="EB39" s="149" t="str">
        <f>IF($B39=0,"",$N39*'MF Rents'!ED39*'MF Rollover'!EA39)</f>
        <v/>
      </c>
      <c r="EC39" s="149" t="str">
        <f>IF($B39=0,"",$N39*'MF Rents'!EE39*'MF Rollover'!EB39)</f>
        <v/>
      </c>
      <c r="ED39" s="149" t="str">
        <f>IF($B39=0,"",$N39*'MF Rents'!EF39*'MF Rollover'!EC39)</f>
        <v/>
      </c>
      <c r="EE39" s="149" t="str">
        <f>IF($B39=0,"",$N39*'MF Rents'!EG39*'MF Rollover'!ED39)</f>
        <v/>
      </c>
      <c r="EF39" s="149" t="str">
        <f>IF($B39=0,"",$N39*'MF Rents'!EH39*'MF Rollover'!EE39)</f>
        <v/>
      </c>
      <c r="EG39" s="149" t="str">
        <f>IF($B39=0,"",$N39*'MF Rents'!EI39*'MF Rollover'!EF39)</f>
        <v/>
      </c>
      <c r="EH39" s="149" t="str">
        <f>IF($B39=0,"",$N39*'MF Rents'!EJ39*'MF Rollover'!EG39)</f>
        <v/>
      </c>
      <c r="EI39" s="149" t="str">
        <f>IF($B39=0,"",$N39*'MF Rents'!EK39*'MF Rollover'!EH39)</f>
        <v/>
      </c>
      <c r="EJ39" s="149" t="str">
        <f>IF($B39=0,"",$N39*'MF Rents'!EL39*'MF Rollover'!EI39)</f>
        <v/>
      </c>
      <c r="EK39" s="149" t="str">
        <f>IF($B39=0,"",$N39*'MF Rents'!EM39*'MF Rollover'!EJ39)</f>
        <v/>
      </c>
      <c r="EL39" s="149" t="str">
        <f>IF($B39=0,"",$N39*'MF Rents'!EN39*'MF Rollover'!EK39)</f>
        <v/>
      </c>
      <c r="EM39" s="149" t="str">
        <f>IF($B39=0,"",$N39*'MF Rents'!EO39*'MF Rollover'!EL39)</f>
        <v/>
      </c>
      <c r="EN39" s="149" t="str">
        <f>IF($B39=0,"",$N39*'MF Rents'!EP39*'MF Rollover'!EM39)</f>
        <v/>
      </c>
      <c r="EO39" s="149" t="str">
        <f>IF($B39=0,"",$N39*'MF Rents'!EQ39*'MF Rollover'!EN39)</f>
        <v/>
      </c>
      <c r="EP39" s="149" t="str">
        <f>IF($B39=0,"",$N39*'MF Rents'!ER39*'MF Rollover'!EO39)</f>
        <v/>
      </c>
      <c r="EQ39" s="149" t="str">
        <f>IF($B39=0,"",$N39*'MF Rents'!ES39*'MF Rollover'!EP39)</f>
        <v/>
      </c>
      <c r="ER39" s="149" t="str">
        <f>IF($B39=0,"",$N39*'MF Rents'!ET39*'MF Rollover'!EQ39)</f>
        <v/>
      </c>
      <c r="ES39" s="149" t="str">
        <f>IF($B39=0,"",$N39*'MF Rents'!EU39*'MF Rollover'!ER39)</f>
        <v/>
      </c>
      <c r="ET39" s="149" t="str">
        <f>IF($B39=0,"",$N39*'MF Rents'!EV39*'MF Rollover'!ES39)</f>
        <v/>
      </c>
      <c r="EU39" s="149" t="str">
        <f>IF($B39=0,"",$N39*'MF Rents'!EW39*'MF Rollover'!ET39)</f>
        <v/>
      </c>
      <c r="EV39" s="149" t="str">
        <f>IF($B39=0,"",$N39*'MF Rents'!EX39*'MF Rollover'!EU39)</f>
        <v/>
      </c>
      <c r="EW39" s="149" t="str">
        <f>IF($B39=0,"",$N39*'MF Rents'!EY39*'MF Rollover'!EV39)</f>
        <v/>
      </c>
      <c r="EX39" s="149" t="str">
        <f>IF($B39=0,"",$N39*'MF Rents'!EZ39*'MF Rollover'!EW39)</f>
        <v/>
      </c>
      <c r="EY39" s="149" t="str">
        <f>IF($B39=0,"",$N39*'MF Rents'!FA39*'MF Rollover'!EX39)</f>
        <v/>
      </c>
      <c r="EZ39" s="149" t="str">
        <f>IF($B39=0,"",$N39*'MF Rents'!FB39*'MF Rollover'!EY39)</f>
        <v/>
      </c>
      <c r="FA39" s="149" t="str">
        <f>IF($B39=0,"",$N39*'MF Rents'!FC39*'MF Rollover'!EZ39)</f>
        <v/>
      </c>
      <c r="FB39" s="149" t="str">
        <f>IF($B39=0,"",$N39*'MF Rents'!FD39*'MF Rollover'!FA39)</f>
        <v/>
      </c>
      <c r="FC39" s="149" t="str">
        <f>IF($B39=0,"",$N39*'MF Rents'!FE39*'MF Rollover'!FB39)</f>
        <v/>
      </c>
      <c r="FD39" s="149" t="str">
        <f>IF($B39=0,"",$N39*'MF Rents'!FF39*'MF Rollover'!FC39)</f>
        <v/>
      </c>
      <c r="FE39" s="149" t="str">
        <f>IF($B39=0,"",$N39*'MF Rents'!FG39*'MF Rollover'!FD39)</f>
        <v/>
      </c>
      <c r="FF39" s="149" t="str">
        <f>IF($B39=0,"",$N39*'MF Rents'!FH39*'MF Rollover'!FE39)</f>
        <v/>
      </c>
      <c r="FG39" s="149" t="str">
        <f>IF($B39=0,"",$N39*'MF Rents'!FI39*'MF Rollover'!FF39)</f>
        <v/>
      </c>
      <c r="FH39" s="149" t="str">
        <f>IF($B39=0,"",$N39*'MF Rents'!FJ39*'MF Rollover'!FG39)</f>
        <v/>
      </c>
      <c r="FI39" s="149" t="str">
        <f>IF($B39=0,"",$N39*'MF Rents'!FK39*'MF Rollover'!FH39)</f>
        <v/>
      </c>
      <c r="FJ39" s="149" t="str">
        <f>IF($B39=0,"",$N39*'MF Rents'!FL39*'MF Rollover'!FI39)</f>
        <v/>
      </c>
      <c r="FK39" s="149" t="str">
        <f>IF($B39=0,"",$N39*'MF Rents'!FM39*'MF Rollover'!FJ39)</f>
        <v/>
      </c>
      <c r="FL39" s="149" t="str">
        <f>IF($B39=0,"",$N39*'MF Rents'!FN39*'MF Rollover'!FK39)</f>
        <v/>
      </c>
      <c r="FM39" s="149" t="str">
        <f>IF($B39=0,"",$N39*'MF Rents'!FO39*'MF Rollover'!FL39)</f>
        <v/>
      </c>
      <c r="FN39" s="149" t="str">
        <f>IF($B39=0,"",$N39*'MF Rents'!FP39*'MF Rollover'!FM39)</f>
        <v/>
      </c>
      <c r="FO39" s="149" t="str">
        <f>IF($B39=0,"",$N39*'MF Rents'!FQ39*'MF Rollover'!FN39)</f>
        <v/>
      </c>
      <c r="FP39" s="149" t="str">
        <f>IF($B39=0,"",$N39*'MF Rents'!FR39*'MF Rollover'!FO39)</f>
        <v/>
      </c>
      <c r="FQ39" s="149" t="str">
        <f>IF($B39=0,"",$N39*'MF Rents'!FS39*'MF Rollover'!FP39)</f>
        <v/>
      </c>
      <c r="FR39" s="149" t="str">
        <f>IF($B39=0,"",$N39*'MF Rents'!FT39*'MF Rollover'!FQ39)</f>
        <v/>
      </c>
      <c r="FS39" s="149" t="str">
        <f>IF($B39=0,"",$N39*'MF Rents'!FU39*'MF Rollover'!FR39)</f>
        <v/>
      </c>
      <c r="FT39" s="149" t="str">
        <f>IF($B39=0,"",$N39*'MF Rents'!FV39*'MF Rollover'!FS39)</f>
        <v/>
      </c>
      <c r="FU39" s="149" t="str">
        <f>IF($B39=0,"",$N39*'MF Rents'!FW39*'MF Rollover'!FT39)</f>
        <v/>
      </c>
      <c r="FV39" s="149" t="str">
        <f>IF($B39=0,"",$N39*'MF Rents'!FX39*'MF Rollover'!FU39)</f>
        <v/>
      </c>
      <c r="FW39" s="149" t="str">
        <f>IF($B39=0,"",$N39*'MF Rents'!FY39*'MF Rollover'!FV39)</f>
        <v/>
      </c>
      <c r="FX39" s="149" t="str">
        <f>IF($B39=0,"",$N39*'MF Rents'!FZ39*'MF Rollover'!FW39)</f>
        <v/>
      </c>
      <c r="FY39" s="149" t="str">
        <f>IF($B39=0,"",$N39*'MF Rents'!GA39*'MF Rollover'!FX39)</f>
        <v/>
      </c>
      <c r="FZ39" s="149" t="str">
        <f>IF($B39=0,"",$N39*'MF Rents'!GB39*'MF Rollover'!FY39)</f>
        <v/>
      </c>
      <c r="GA39" s="149" t="str">
        <f>IF($B39=0,"",$N39*'MF Rents'!GC39*'MF Rollover'!FZ39)</f>
        <v/>
      </c>
      <c r="GB39" s="149" t="str">
        <f>IF($B39=0,"",$N39*'MF Rents'!GD39*'MF Rollover'!GA39)</f>
        <v/>
      </c>
      <c r="GC39" s="149" t="str">
        <f>IF($B39=0,"",$N39*'MF Rents'!GE39*'MF Rollover'!GB39)</f>
        <v/>
      </c>
      <c r="GD39" s="149" t="str">
        <f>IF($B39=0,"",$N39*'MF Rents'!GF39*'MF Rollover'!GC39)</f>
        <v/>
      </c>
      <c r="GE39" s="149" t="str">
        <f>IF($B39=0,"",$N39*'MF Rents'!GG39*'MF Rollover'!GD39)</f>
        <v/>
      </c>
      <c r="GF39" s="149" t="str">
        <f>IF($B39=0,"",$N39*'MF Rents'!GH39*'MF Rollover'!GE39)</f>
        <v/>
      </c>
      <c r="GG39" s="149" t="str">
        <f>IF($B39=0,"",$N39*'MF Rents'!GI39*'MF Rollover'!GF39)</f>
        <v/>
      </c>
      <c r="GH39" s="149" t="str">
        <f>IF($B39=0,"",$N39*'MF Rents'!GJ39*'MF Rollover'!GG39)</f>
        <v/>
      </c>
      <c r="GI39" s="149" t="str">
        <f>IF($B39=0,"",$N39*'MF Rents'!GK39*'MF Rollover'!GH39)</f>
        <v/>
      </c>
      <c r="GJ39" s="149" t="str">
        <f>IF($B39=0,"",$N39*'MF Rents'!GL39*'MF Rollover'!GI39)</f>
        <v/>
      </c>
      <c r="GK39" s="149" t="str">
        <f>IF($B39=0,"",$N39*'MF Rents'!GM39*'MF Rollover'!GJ39)</f>
        <v/>
      </c>
      <c r="GL39" s="149" t="str">
        <f>IF($B39=0,"",$N39*'MF Rents'!GN39*'MF Rollover'!GK39)</f>
        <v/>
      </c>
      <c r="GM39" s="149" t="str">
        <f>IF($B39=0,"",$N39*'MF Rents'!GO39*'MF Rollover'!GL39)</f>
        <v/>
      </c>
      <c r="GN39" s="149" t="str">
        <f>IF($B39=0,"",$N39*'MF Rents'!GP39*'MF Rollover'!GM39)</f>
        <v/>
      </c>
      <c r="GO39" s="149" t="str">
        <f>IF($B39=0,"",$N39*'MF Rents'!GQ39*'MF Rollover'!GN39)</f>
        <v/>
      </c>
      <c r="GP39" s="149" t="str">
        <f>IF($B39=0,"",$N39*'MF Rents'!GR39*'MF Rollover'!GO39)</f>
        <v/>
      </c>
    </row>
    <row r="40" spans="2:198" x14ac:dyDescent="0.3">
      <c r="R40" s="89" t="s">
        <v>174</v>
      </c>
      <c r="S40" s="149">
        <f>SUM(S6:S39)</f>
        <v>0</v>
      </c>
      <c r="T40" s="149">
        <f t="shared" ref="T40:CE40" si="9">SUM(T6:T39)</f>
        <v>0</v>
      </c>
      <c r="U40" s="149">
        <f t="shared" si="9"/>
        <v>0</v>
      </c>
      <c r="V40" s="149">
        <f t="shared" si="9"/>
        <v>0</v>
      </c>
      <c r="W40" s="149">
        <f t="shared" si="9"/>
        <v>0</v>
      </c>
      <c r="X40" s="149">
        <f t="shared" si="9"/>
        <v>0</v>
      </c>
      <c r="Y40" s="149">
        <f t="shared" si="9"/>
        <v>0</v>
      </c>
      <c r="Z40" s="149">
        <f t="shared" si="9"/>
        <v>0</v>
      </c>
      <c r="AA40" s="149">
        <f t="shared" si="9"/>
        <v>0</v>
      </c>
      <c r="AB40" s="149">
        <f t="shared" si="9"/>
        <v>0</v>
      </c>
      <c r="AC40" s="149">
        <f t="shared" si="9"/>
        <v>0</v>
      </c>
      <c r="AD40" s="149">
        <f t="shared" si="9"/>
        <v>0</v>
      </c>
      <c r="AE40" s="149">
        <f t="shared" si="9"/>
        <v>0</v>
      </c>
      <c r="AF40" s="149">
        <f t="shared" si="9"/>
        <v>0</v>
      </c>
      <c r="AG40" s="149">
        <f t="shared" si="9"/>
        <v>0</v>
      </c>
      <c r="AH40" s="149">
        <f t="shared" si="9"/>
        <v>0</v>
      </c>
      <c r="AI40" s="149">
        <f t="shared" si="9"/>
        <v>0</v>
      </c>
      <c r="AJ40" s="149">
        <f t="shared" si="9"/>
        <v>0</v>
      </c>
      <c r="AK40" s="149">
        <f t="shared" si="9"/>
        <v>0</v>
      </c>
      <c r="AL40" s="149">
        <f t="shared" si="9"/>
        <v>0</v>
      </c>
      <c r="AM40" s="149">
        <f t="shared" si="9"/>
        <v>0</v>
      </c>
      <c r="AN40" s="149">
        <f t="shared" si="9"/>
        <v>0</v>
      </c>
      <c r="AO40" s="149">
        <f t="shared" si="9"/>
        <v>0</v>
      </c>
      <c r="AP40" s="149">
        <f t="shared" si="9"/>
        <v>0</v>
      </c>
      <c r="AQ40" s="149">
        <f t="shared" si="9"/>
        <v>0</v>
      </c>
      <c r="AR40" s="149">
        <f t="shared" si="9"/>
        <v>0</v>
      </c>
      <c r="AS40" s="149">
        <f t="shared" si="9"/>
        <v>0</v>
      </c>
      <c r="AT40" s="149">
        <f t="shared" si="9"/>
        <v>0</v>
      </c>
      <c r="AU40" s="149">
        <f t="shared" si="9"/>
        <v>0</v>
      </c>
      <c r="AV40" s="149">
        <f t="shared" si="9"/>
        <v>0</v>
      </c>
      <c r="AW40" s="149">
        <f t="shared" si="9"/>
        <v>0</v>
      </c>
      <c r="AX40" s="149">
        <f t="shared" si="9"/>
        <v>0</v>
      </c>
      <c r="AY40" s="149">
        <f t="shared" si="9"/>
        <v>0</v>
      </c>
      <c r="AZ40" s="149">
        <f t="shared" si="9"/>
        <v>0</v>
      </c>
      <c r="BA40" s="149">
        <f t="shared" si="9"/>
        <v>0</v>
      </c>
      <c r="BB40" s="149">
        <f t="shared" si="9"/>
        <v>0</v>
      </c>
      <c r="BC40" s="149">
        <f t="shared" si="9"/>
        <v>0</v>
      </c>
      <c r="BD40" s="149">
        <f t="shared" si="9"/>
        <v>0</v>
      </c>
      <c r="BE40" s="149">
        <f t="shared" si="9"/>
        <v>0</v>
      </c>
      <c r="BF40" s="149">
        <f t="shared" si="9"/>
        <v>0</v>
      </c>
      <c r="BG40" s="149">
        <f t="shared" si="9"/>
        <v>0</v>
      </c>
      <c r="BH40" s="149">
        <f t="shared" si="9"/>
        <v>0</v>
      </c>
      <c r="BI40" s="149">
        <f t="shared" si="9"/>
        <v>0</v>
      </c>
      <c r="BJ40" s="149">
        <f t="shared" si="9"/>
        <v>0</v>
      </c>
      <c r="BK40" s="149">
        <f t="shared" si="9"/>
        <v>0</v>
      </c>
      <c r="BL40" s="149">
        <f t="shared" si="9"/>
        <v>0</v>
      </c>
      <c r="BM40" s="149">
        <f t="shared" si="9"/>
        <v>0</v>
      </c>
      <c r="BN40" s="149">
        <f t="shared" si="9"/>
        <v>0</v>
      </c>
      <c r="BO40" s="149">
        <f t="shared" si="9"/>
        <v>0</v>
      </c>
      <c r="BP40" s="149">
        <f t="shared" si="9"/>
        <v>0</v>
      </c>
      <c r="BQ40" s="149">
        <f t="shared" si="9"/>
        <v>0</v>
      </c>
      <c r="BR40" s="149">
        <f t="shared" si="9"/>
        <v>0</v>
      </c>
      <c r="BS40" s="149">
        <f t="shared" si="9"/>
        <v>0</v>
      </c>
      <c r="BT40" s="149">
        <f t="shared" si="9"/>
        <v>0</v>
      </c>
      <c r="BU40" s="149">
        <f t="shared" si="9"/>
        <v>0</v>
      </c>
      <c r="BV40" s="149">
        <f t="shared" si="9"/>
        <v>0</v>
      </c>
      <c r="BW40" s="149">
        <f t="shared" si="9"/>
        <v>0</v>
      </c>
      <c r="BX40" s="149">
        <f t="shared" si="9"/>
        <v>0</v>
      </c>
      <c r="BY40" s="149">
        <f t="shared" si="9"/>
        <v>0</v>
      </c>
      <c r="BZ40" s="149">
        <f t="shared" si="9"/>
        <v>0</v>
      </c>
      <c r="CA40" s="149">
        <f t="shared" si="9"/>
        <v>0</v>
      </c>
      <c r="CB40" s="149">
        <f t="shared" si="9"/>
        <v>0</v>
      </c>
      <c r="CC40" s="149">
        <f t="shared" si="9"/>
        <v>0</v>
      </c>
      <c r="CD40" s="149">
        <f t="shared" si="9"/>
        <v>0</v>
      </c>
      <c r="CE40" s="149">
        <f t="shared" si="9"/>
        <v>0</v>
      </c>
      <c r="CF40" s="149">
        <f t="shared" ref="CF40:EQ40" si="10">SUM(CF6:CF39)</f>
        <v>0</v>
      </c>
      <c r="CG40" s="149">
        <f t="shared" si="10"/>
        <v>0</v>
      </c>
      <c r="CH40" s="149">
        <f t="shared" si="10"/>
        <v>0</v>
      </c>
      <c r="CI40" s="149">
        <f t="shared" si="10"/>
        <v>0</v>
      </c>
      <c r="CJ40" s="149">
        <f t="shared" si="10"/>
        <v>0</v>
      </c>
      <c r="CK40" s="149">
        <f t="shared" si="10"/>
        <v>0</v>
      </c>
      <c r="CL40" s="149">
        <f t="shared" si="10"/>
        <v>0</v>
      </c>
      <c r="CM40" s="149">
        <f t="shared" si="10"/>
        <v>0</v>
      </c>
      <c r="CN40" s="149">
        <f t="shared" si="10"/>
        <v>0</v>
      </c>
      <c r="CO40" s="149">
        <f t="shared" si="10"/>
        <v>0</v>
      </c>
      <c r="CP40" s="149">
        <f t="shared" si="10"/>
        <v>0</v>
      </c>
      <c r="CQ40" s="149">
        <f t="shared" si="10"/>
        <v>0</v>
      </c>
      <c r="CR40" s="149">
        <f t="shared" si="10"/>
        <v>0</v>
      </c>
      <c r="CS40" s="149">
        <f t="shared" si="10"/>
        <v>0</v>
      </c>
      <c r="CT40" s="149">
        <f t="shared" si="10"/>
        <v>0</v>
      </c>
      <c r="CU40" s="149">
        <f t="shared" si="10"/>
        <v>0</v>
      </c>
      <c r="CV40" s="149">
        <f t="shared" si="10"/>
        <v>0</v>
      </c>
      <c r="CW40" s="149">
        <f t="shared" si="10"/>
        <v>0</v>
      </c>
      <c r="CX40" s="149">
        <f t="shared" si="10"/>
        <v>0</v>
      </c>
      <c r="CY40" s="149">
        <f t="shared" si="10"/>
        <v>0</v>
      </c>
      <c r="CZ40" s="149">
        <f t="shared" si="10"/>
        <v>0</v>
      </c>
      <c r="DA40" s="149">
        <f t="shared" si="10"/>
        <v>0</v>
      </c>
      <c r="DB40" s="149">
        <f t="shared" si="10"/>
        <v>0</v>
      </c>
      <c r="DC40" s="149">
        <f t="shared" si="10"/>
        <v>0</v>
      </c>
      <c r="DD40" s="149">
        <f t="shared" si="10"/>
        <v>0</v>
      </c>
      <c r="DE40" s="149">
        <f t="shared" si="10"/>
        <v>0</v>
      </c>
      <c r="DF40" s="149">
        <f t="shared" si="10"/>
        <v>0</v>
      </c>
      <c r="DG40" s="149">
        <f t="shared" si="10"/>
        <v>0</v>
      </c>
      <c r="DH40" s="149">
        <f t="shared" si="10"/>
        <v>0</v>
      </c>
      <c r="DI40" s="149">
        <f t="shared" si="10"/>
        <v>0</v>
      </c>
      <c r="DJ40" s="149">
        <f t="shared" si="10"/>
        <v>0</v>
      </c>
      <c r="DK40" s="149">
        <f t="shared" si="10"/>
        <v>0</v>
      </c>
      <c r="DL40" s="149">
        <f t="shared" si="10"/>
        <v>0</v>
      </c>
      <c r="DM40" s="149">
        <f t="shared" si="10"/>
        <v>0</v>
      </c>
      <c r="DN40" s="149">
        <f t="shared" si="10"/>
        <v>0</v>
      </c>
      <c r="DO40" s="149">
        <f t="shared" si="10"/>
        <v>0</v>
      </c>
      <c r="DP40" s="149">
        <f t="shared" si="10"/>
        <v>0</v>
      </c>
      <c r="DQ40" s="149">
        <f t="shared" si="10"/>
        <v>0</v>
      </c>
      <c r="DR40" s="149">
        <f t="shared" si="10"/>
        <v>0</v>
      </c>
      <c r="DS40" s="149">
        <f t="shared" si="10"/>
        <v>0</v>
      </c>
      <c r="DT40" s="149">
        <f t="shared" si="10"/>
        <v>0</v>
      </c>
      <c r="DU40" s="149">
        <f t="shared" si="10"/>
        <v>0</v>
      </c>
      <c r="DV40" s="149">
        <f t="shared" si="10"/>
        <v>0</v>
      </c>
      <c r="DW40" s="149">
        <f t="shared" si="10"/>
        <v>0</v>
      </c>
      <c r="DX40" s="149">
        <f t="shared" si="10"/>
        <v>0</v>
      </c>
      <c r="DY40" s="149">
        <f t="shared" si="10"/>
        <v>0</v>
      </c>
      <c r="DZ40" s="149">
        <f t="shared" si="10"/>
        <v>0</v>
      </c>
      <c r="EA40" s="149">
        <f t="shared" si="10"/>
        <v>0</v>
      </c>
      <c r="EB40" s="149">
        <f t="shared" si="10"/>
        <v>0</v>
      </c>
      <c r="EC40" s="149">
        <f t="shared" si="10"/>
        <v>0</v>
      </c>
      <c r="ED40" s="149">
        <f t="shared" si="10"/>
        <v>0</v>
      </c>
      <c r="EE40" s="149">
        <f t="shared" si="10"/>
        <v>0</v>
      </c>
      <c r="EF40" s="149">
        <f t="shared" si="10"/>
        <v>0</v>
      </c>
      <c r="EG40" s="149">
        <f t="shared" si="10"/>
        <v>0</v>
      </c>
      <c r="EH40" s="149">
        <f t="shared" si="10"/>
        <v>0</v>
      </c>
      <c r="EI40" s="149">
        <f t="shared" si="10"/>
        <v>0</v>
      </c>
      <c r="EJ40" s="149">
        <f t="shared" si="10"/>
        <v>0</v>
      </c>
      <c r="EK40" s="149">
        <f t="shared" si="10"/>
        <v>0</v>
      </c>
      <c r="EL40" s="149">
        <f t="shared" si="10"/>
        <v>0</v>
      </c>
      <c r="EM40" s="149">
        <f t="shared" si="10"/>
        <v>0</v>
      </c>
      <c r="EN40" s="149">
        <f t="shared" si="10"/>
        <v>0</v>
      </c>
      <c r="EO40" s="149">
        <f t="shared" si="10"/>
        <v>0</v>
      </c>
      <c r="EP40" s="149">
        <f t="shared" si="10"/>
        <v>0</v>
      </c>
      <c r="EQ40" s="149">
        <f t="shared" si="10"/>
        <v>0</v>
      </c>
      <c r="ER40" s="149">
        <f t="shared" ref="ER40:GP40" si="11">SUM(ER6:ER39)</f>
        <v>0</v>
      </c>
      <c r="ES40" s="149">
        <f t="shared" si="11"/>
        <v>0</v>
      </c>
      <c r="ET40" s="149">
        <f t="shared" si="11"/>
        <v>0</v>
      </c>
      <c r="EU40" s="149">
        <f t="shared" si="11"/>
        <v>0</v>
      </c>
      <c r="EV40" s="149">
        <f t="shared" si="11"/>
        <v>0</v>
      </c>
      <c r="EW40" s="149">
        <f t="shared" si="11"/>
        <v>0</v>
      </c>
      <c r="EX40" s="149">
        <f t="shared" si="11"/>
        <v>0</v>
      </c>
      <c r="EY40" s="149">
        <f t="shared" si="11"/>
        <v>0</v>
      </c>
      <c r="EZ40" s="149">
        <f t="shared" si="11"/>
        <v>0</v>
      </c>
      <c r="FA40" s="149">
        <f t="shared" si="11"/>
        <v>0</v>
      </c>
      <c r="FB40" s="149">
        <f t="shared" si="11"/>
        <v>0</v>
      </c>
      <c r="FC40" s="149">
        <f t="shared" si="11"/>
        <v>0</v>
      </c>
      <c r="FD40" s="149">
        <f t="shared" si="11"/>
        <v>0</v>
      </c>
      <c r="FE40" s="149">
        <f t="shared" si="11"/>
        <v>0</v>
      </c>
      <c r="FF40" s="149">
        <f t="shared" si="11"/>
        <v>0</v>
      </c>
      <c r="FG40" s="149">
        <f t="shared" si="11"/>
        <v>0</v>
      </c>
      <c r="FH40" s="149">
        <f t="shared" si="11"/>
        <v>0</v>
      </c>
      <c r="FI40" s="149">
        <f t="shared" si="11"/>
        <v>0</v>
      </c>
      <c r="FJ40" s="149">
        <f t="shared" si="11"/>
        <v>0</v>
      </c>
      <c r="FK40" s="149">
        <f t="shared" si="11"/>
        <v>0</v>
      </c>
      <c r="FL40" s="149">
        <f t="shared" si="11"/>
        <v>0</v>
      </c>
      <c r="FM40" s="149">
        <f t="shared" si="11"/>
        <v>0</v>
      </c>
      <c r="FN40" s="149">
        <f t="shared" si="11"/>
        <v>0</v>
      </c>
      <c r="FO40" s="149">
        <f t="shared" si="11"/>
        <v>0</v>
      </c>
      <c r="FP40" s="149">
        <f t="shared" si="11"/>
        <v>0</v>
      </c>
      <c r="FQ40" s="149">
        <f t="shared" si="11"/>
        <v>0</v>
      </c>
      <c r="FR40" s="149">
        <f t="shared" si="11"/>
        <v>0</v>
      </c>
      <c r="FS40" s="149">
        <f t="shared" si="11"/>
        <v>0</v>
      </c>
      <c r="FT40" s="149">
        <f t="shared" si="11"/>
        <v>0</v>
      </c>
      <c r="FU40" s="149">
        <f t="shared" si="11"/>
        <v>0</v>
      </c>
      <c r="FV40" s="149">
        <f t="shared" si="11"/>
        <v>0</v>
      </c>
      <c r="FW40" s="149">
        <f t="shared" si="11"/>
        <v>0</v>
      </c>
      <c r="FX40" s="149">
        <f t="shared" si="11"/>
        <v>0</v>
      </c>
      <c r="FY40" s="149">
        <f t="shared" si="11"/>
        <v>0</v>
      </c>
      <c r="FZ40" s="149">
        <f t="shared" si="11"/>
        <v>0</v>
      </c>
      <c r="GA40" s="149">
        <f t="shared" si="11"/>
        <v>0</v>
      </c>
      <c r="GB40" s="149">
        <f t="shared" si="11"/>
        <v>0</v>
      </c>
      <c r="GC40" s="149">
        <f t="shared" si="11"/>
        <v>0</v>
      </c>
      <c r="GD40" s="149">
        <f t="shared" si="11"/>
        <v>0</v>
      </c>
      <c r="GE40" s="149">
        <f t="shared" si="11"/>
        <v>0</v>
      </c>
      <c r="GF40" s="149">
        <f t="shared" si="11"/>
        <v>0</v>
      </c>
      <c r="GG40" s="149">
        <f t="shared" si="11"/>
        <v>0</v>
      </c>
      <c r="GH40" s="149">
        <f t="shared" si="11"/>
        <v>0</v>
      </c>
      <c r="GI40" s="149">
        <f t="shared" si="11"/>
        <v>0</v>
      </c>
      <c r="GJ40" s="149">
        <f t="shared" si="11"/>
        <v>0</v>
      </c>
      <c r="GK40" s="149">
        <f t="shared" si="11"/>
        <v>0</v>
      </c>
      <c r="GL40" s="149">
        <f t="shared" si="11"/>
        <v>0</v>
      </c>
      <c r="GM40" s="149">
        <f t="shared" si="11"/>
        <v>0</v>
      </c>
      <c r="GN40" s="149">
        <f t="shared" si="11"/>
        <v>0</v>
      </c>
      <c r="GO40" s="149">
        <f t="shared" si="11"/>
        <v>0</v>
      </c>
      <c r="GP40" s="149">
        <f t="shared" si="11"/>
        <v>0</v>
      </c>
    </row>
  </sheetData>
  <mergeCells count="1">
    <mergeCell ref="N4:P4"/>
  </mergeCells>
  <conditionalFormatting sqref="S6:GP39">
    <cfRule type="expression" dxfId="2" priority="1">
      <formula>S6=TRUE</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3:GP42"/>
  <sheetViews>
    <sheetView workbookViewId="0"/>
  </sheetViews>
  <sheetFormatPr defaultColWidth="9.109375" defaultRowHeight="14.4" x14ac:dyDescent="0.3"/>
  <cols>
    <col min="2" max="2" width="12.88671875" style="185" customWidth="1"/>
    <col min="3" max="3" width="12.88671875" style="89" customWidth="1"/>
    <col min="4" max="4" width="5.6640625" style="89" bestFit="1" customWidth="1"/>
    <col min="5" max="5" width="6.44140625" style="89" bestFit="1" customWidth="1"/>
    <col min="6" max="6" width="8.109375" style="89" bestFit="1" customWidth="1"/>
    <col min="7" max="7" width="9.5546875" style="89" bestFit="1" customWidth="1"/>
    <col min="8" max="8" width="10.88671875" style="89" bestFit="1" customWidth="1"/>
    <col min="9" max="9" width="10.88671875" style="89" customWidth="1"/>
    <col min="10" max="10" width="11.44140625" style="89" customWidth="1"/>
    <col min="11" max="11" width="17" style="89" customWidth="1"/>
    <col min="12" max="12" width="13.5546875" style="89" customWidth="1"/>
    <col min="13" max="13" width="10.88671875" style="89" bestFit="1" customWidth="1"/>
    <col min="14" max="14" width="13.5546875" style="89" bestFit="1" customWidth="1"/>
    <col min="15" max="16" width="10.88671875" style="89" bestFit="1" customWidth="1"/>
    <col min="17" max="18" width="9.109375" style="89"/>
    <col min="19" max="19" width="9.88671875" style="89" bestFit="1" customWidth="1"/>
    <col min="20" max="20" width="9.6640625" style="89" bestFit="1" customWidth="1"/>
    <col min="21" max="21" width="9.88671875" style="89" bestFit="1" customWidth="1"/>
    <col min="22" max="22" width="9.5546875" style="89" bestFit="1" customWidth="1"/>
    <col min="23" max="23" width="10.109375" style="89" bestFit="1" customWidth="1"/>
    <col min="24" max="24" width="9.44140625" style="89" bestFit="1" customWidth="1"/>
    <col min="25" max="25" width="8.88671875" style="89" bestFit="1" customWidth="1"/>
    <col min="26" max="26" width="9.88671875" style="89" bestFit="1" customWidth="1"/>
    <col min="27" max="27" width="9.6640625" style="89" bestFit="1" customWidth="1"/>
    <col min="28" max="28" width="9.44140625" style="89" bestFit="1" customWidth="1"/>
    <col min="29" max="29" width="10" style="89" bestFit="1" customWidth="1"/>
    <col min="30" max="30" width="9.6640625" style="89" bestFit="1" customWidth="1"/>
    <col min="31" max="31" width="9.33203125" style="89" bestFit="1" customWidth="1"/>
    <col min="32" max="32" width="9.6640625" style="89" bestFit="1" customWidth="1"/>
    <col min="33" max="33" width="9.88671875" style="89" bestFit="1" customWidth="1"/>
    <col min="34" max="34" width="9.5546875" style="89" bestFit="1" customWidth="1"/>
    <col min="35" max="35" width="10.109375" style="89" bestFit="1" customWidth="1"/>
    <col min="36" max="36" width="9.44140625" style="89" bestFit="1" customWidth="1"/>
    <col min="37" max="37" width="8.88671875" style="89" bestFit="1" customWidth="1"/>
    <col min="38" max="38" width="9.88671875" style="89" bestFit="1" customWidth="1"/>
    <col min="39" max="39" width="9.6640625" style="89" bestFit="1" customWidth="1"/>
    <col min="40" max="40" width="9.44140625" style="89" bestFit="1" customWidth="1"/>
    <col min="41" max="41" width="10" style="89" bestFit="1" customWidth="1"/>
    <col min="42" max="42" width="9.6640625" style="89" bestFit="1" customWidth="1"/>
    <col min="43" max="43" width="9.33203125" style="89" bestFit="1" customWidth="1"/>
    <col min="44" max="44" width="9.6640625" style="89" bestFit="1" customWidth="1"/>
    <col min="45" max="45" width="9.88671875" style="89" bestFit="1" customWidth="1"/>
    <col min="46" max="46" width="9.5546875" style="89" bestFit="1" customWidth="1"/>
    <col min="47" max="47" width="10.109375" style="89" bestFit="1" customWidth="1"/>
    <col min="48" max="48" width="9.44140625" style="89" bestFit="1" customWidth="1"/>
    <col min="49" max="49" width="8.88671875" style="89" bestFit="1" customWidth="1"/>
    <col min="50" max="50" width="9.88671875" style="89" bestFit="1" customWidth="1"/>
    <col min="51" max="51" width="9.6640625" style="89" bestFit="1" customWidth="1"/>
    <col min="52" max="52" width="9.44140625" style="89" bestFit="1" customWidth="1"/>
    <col min="53" max="53" width="10" style="89" bestFit="1" customWidth="1"/>
    <col min="54" max="54" width="9.6640625" style="89" bestFit="1" customWidth="1"/>
    <col min="55" max="55" width="9.33203125" style="89" bestFit="1" customWidth="1"/>
    <col min="56" max="56" width="9.6640625" style="89" bestFit="1" customWidth="1"/>
    <col min="57" max="57" width="9.88671875" style="89" bestFit="1" customWidth="1"/>
    <col min="58" max="58" width="9.5546875" style="89" bestFit="1" customWidth="1"/>
    <col min="59" max="59" width="10.109375" style="89" bestFit="1" customWidth="1"/>
    <col min="60" max="60" width="9.44140625" style="89" bestFit="1" customWidth="1"/>
    <col min="61" max="61" width="8.88671875" style="89" bestFit="1" customWidth="1"/>
    <col min="62" max="62" width="9.88671875" style="89" bestFit="1" customWidth="1"/>
    <col min="63" max="63" width="9.6640625" style="89" bestFit="1" customWidth="1"/>
    <col min="64" max="64" width="9.44140625" style="89" bestFit="1" customWidth="1"/>
    <col min="65" max="65" width="10" style="89" bestFit="1" customWidth="1"/>
    <col min="66" max="66" width="9.6640625" style="89" bestFit="1" customWidth="1"/>
    <col min="67" max="67" width="9.33203125" style="89" bestFit="1" customWidth="1"/>
    <col min="68" max="68" width="9.6640625" style="89" bestFit="1" customWidth="1"/>
    <col min="69" max="69" width="9.88671875" style="89" bestFit="1" customWidth="1"/>
    <col min="70" max="70" width="9.5546875" style="89" bestFit="1" customWidth="1"/>
    <col min="71" max="71" width="10.109375" style="89" bestFit="1" customWidth="1"/>
    <col min="72" max="72" width="9.44140625" style="89" bestFit="1" customWidth="1"/>
    <col min="73" max="73" width="8.88671875" style="89" bestFit="1" customWidth="1"/>
    <col min="74" max="74" width="9.88671875" style="89" bestFit="1" customWidth="1"/>
    <col min="75" max="75" width="9.6640625" style="89" bestFit="1" customWidth="1"/>
    <col min="76" max="76" width="9.44140625" style="89" bestFit="1" customWidth="1"/>
    <col min="77" max="77" width="10" style="89" bestFit="1" customWidth="1"/>
    <col min="78" max="78" width="9.6640625" style="89" bestFit="1" customWidth="1"/>
    <col min="79" max="79" width="9.33203125" style="89" bestFit="1" customWidth="1"/>
    <col min="80" max="80" width="9.6640625" style="89" bestFit="1" customWidth="1"/>
    <col min="81" max="81" width="9.88671875" style="89" bestFit="1" customWidth="1"/>
    <col min="82" max="82" width="9.5546875" style="89" bestFit="1" customWidth="1"/>
    <col min="83" max="83" width="10.109375" style="89" bestFit="1" customWidth="1"/>
    <col min="84" max="84" width="9.44140625" style="89" bestFit="1" customWidth="1"/>
    <col min="85" max="85" width="8.88671875" style="89" bestFit="1" customWidth="1"/>
    <col min="86" max="86" width="9.88671875" style="89" bestFit="1" customWidth="1"/>
    <col min="87" max="87" width="9.6640625" style="89" bestFit="1" customWidth="1"/>
    <col min="88" max="88" width="9.44140625" style="89" bestFit="1" customWidth="1"/>
    <col min="89" max="89" width="10" style="89" bestFit="1" customWidth="1"/>
    <col min="90" max="90" width="9.6640625" style="89" bestFit="1" customWidth="1"/>
    <col min="91" max="91" width="9.33203125" style="89" bestFit="1" customWidth="1"/>
    <col min="92" max="92" width="9.6640625" style="89" bestFit="1" customWidth="1"/>
    <col min="93" max="93" width="9.88671875" style="89" bestFit="1" customWidth="1"/>
    <col min="94" max="94" width="9.5546875" style="89" bestFit="1" customWidth="1"/>
    <col min="95" max="95" width="10.109375" style="89" bestFit="1" customWidth="1"/>
    <col min="96" max="96" width="9.44140625" style="89" bestFit="1" customWidth="1"/>
    <col min="97" max="97" width="8.88671875" style="89" bestFit="1" customWidth="1"/>
    <col min="98" max="98" width="9.88671875" style="89" bestFit="1" customWidth="1"/>
    <col min="99" max="99" width="9.6640625" style="89" bestFit="1" customWidth="1"/>
    <col min="100" max="100" width="9.44140625" style="89" bestFit="1" customWidth="1"/>
    <col min="101" max="101" width="10" style="89" bestFit="1" customWidth="1"/>
    <col min="102" max="102" width="9.6640625" style="89" bestFit="1" customWidth="1"/>
    <col min="103" max="103" width="9.33203125" style="89" bestFit="1" customWidth="1"/>
    <col min="104" max="104" width="9.6640625" style="89" bestFit="1" customWidth="1"/>
    <col min="105" max="105" width="9.88671875" style="89" bestFit="1" customWidth="1"/>
    <col min="106" max="106" width="9.5546875" style="89" bestFit="1" customWidth="1"/>
    <col min="107" max="107" width="10.109375" style="89" bestFit="1" customWidth="1"/>
    <col min="108" max="108" width="9.44140625" style="89" bestFit="1" customWidth="1"/>
    <col min="109" max="109" width="8.88671875" style="89" bestFit="1" customWidth="1"/>
    <col min="110" max="110" width="9.88671875" style="89" bestFit="1" customWidth="1"/>
    <col min="111" max="111" width="9.6640625" style="89" bestFit="1" customWidth="1"/>
    <col min="112" max="112" width="9.44140625" style="89" bestFit="1" customWidth="1"/>
    <col min="113" max="113" width="10" style="89" bestFit="1" customWidth="1"/>
    <col min="114" max="114" width="9.6640625" style="89" bestFit="1" customWidth="1"/>
    <col min="115" max="115" width="9.33203125" style="89" bestFit="1" customWidth="1"/>
    <col min="116" max="116" width="9.6640625" style="89" bestFit="1" customWidth="1"/>
    <col min="117" max="117" width="9.88671875" style="89" bestFit="1" customWidth="1"/>
    <col min="118" max="118" width="9.5546875" style="89" bestFit="1" customWidth="1"/>
    <col min="119" max="119" width="10.109375" style="89" bestFit="1" customWidth="1"/>
    <col min="120" max="120" width="9.44140625" style="89" bestFit="1" customWidth="1"/>
    <col min="121" max="121" width="8.88671875" style="89" bestFit="1" customWidth="1"/>
    <col min="122" max="122" width="9.88671875" style="89" bestFit="1" customWidth="1"/>
    <col min="123" max="123" width="9.6640625" style="89" bestFit="1" customWidth="1"/>
    <col min="124" max="124" width="9.44140625" style="89" bestFit="1" customWidth="1"/>
    <col min="125" max="125" width="10" style="89" bestFit="1" customWidth="1"/>
    <col min="126" max="126" width="9.6640625" style="89" bestFit="1" customWidth="1"/>
    <col min="127" max="127" width="9.33203125" style="89" bestFit="1" customWidth="1"/>
    <col min="128" max="128" width="9.6640625" style="89" bestFit="1" customWidth="1"/>
    <col min="129" max="129" width="9.88671875" style="89" bestFit="1" customWidth="1"/>
    <col min="130" max="130" width="9.5546875" style="89" bestFit="1" customWidth="1"/>
    <col min="131" max="131" width="10.109375" style="89" bestFit="1" customWidth="1"/>
    <col min="132" max="132" width="9.44140625" style="89" bestFit="1" customWidth="1"/>
    <col min="133" max="133" width="8.88671875" style="89" bestFit="1" customWidth="1"/>
    <col min="134" max="134" width="9.88671875" style="89" bestFit="1" customWidth="1"/>
    <col min="135" max="135" width="9.6640625" style="89" bestFit="1" customWidth="1"/>
    <col min="136" max="136" width="9.44140625" style="89" bestFit="1" customWidth="1"/>
    <col min="137" max="137" width="10" style="89" bestFit="1" customWidth="1"/>
    <col min="138" max="138" width="9.6640625" style="89" bestFit="1" customWidth="1"/>
    <col min="139" max="139" width="9.33203125" style="89" bestFit="1" customWidth="1"/>
    <col min="140" max="140" width="9.6640625" style="89" bestFit="1" customWidth="1"/>
    <col min="141" max="141" width="9.88671875" style="89" bestFit="1" customWidth="1"/>
    <col min="142" max="142" width="9.5546875" style="89" bestFit="1" customWidth="1"/>
    <col min="143" max="143" width="10.109375" style="89" bestFit="1" customWidth="1"/>
    <col min="144" max="144" width="9.44140625" style="89" bestFit="1" customWidth="1"/>
    <col min="145" max="145" width="8.88671875" style="89" bestFit="1" customWidth="1"/>
    <col min="146" max="146" width="9.88671875" style="89" bestFit="1" customWidth="1"/>
    <col min="147" max="147" width="9.6640625" style="89" bestFit="1" customWidth="1"/>
    <col min="148" max="148" width="9.44140625" style="89" bestFit="1" customWidth="1"/>
    <col min="149" max="149" width="10" style="89" bestFit="1" customWidth="1"/>
    <col min="150" max="150" width="9.6640625" style="89" bestFit="1" customWidth="1"/>
    <col min="151" max="151" width="9.33203125" style="89" bestFit="1" customWidth="1"/>
    <col min="152" max="152" width="9.6640625" style="89" bestFit="1" customWidth="1"/>
    <col min="153" max="153" width="9.88671875" style="89" bestFit="1" customWidth="1"/>
    <col min="154" max="154" width="9.5546875" style="89" bestFit="1" customWidth="1"/>
    <col min="155" max="155" width="10.109375" style="89" bestFit="1" customWidth="1"/>
    <col min="156" max="156" width="9.44140625" style="89" bestFit="1" customWidth="1"/>
    <col min="157" max="157" width="8.88671875" style="89" bestFit="1" customWidth="1"/>
    <col min="158" max="158" width="9.88671875" style="89" bestFit="1" customWidth="1"/>
    <col min="159" max="159" width="9.6640625" style="89" bestFit="1" customWidth="1"/>
    <col min="160" max="160" width="9.44140625" style="89" bestFit="1" customWidth="1"/>
    <col min="161" max="161" width="10" style="89" bestFit="1" customWidth="1"/>
    <col min="162" max="162" width="9.6640625" style="89" bestFit="1" customWidth="1"/>
    <col min="163" max="163" width="9.33203125" style="89" bestFit="1" customWidth="1"/>
    <col min="164" max="164" width="9.6640625" style="89" bestFit="1" customWidth="1"/>
    <col min="165" max="165" width="9.88671875" style="89" bestFit="1" customWidth="1"/>
    <col min="166" max="166" width="9.5546875" style="89" bestFit="1" customWidth="1"/>
    <col min="167" max="167" width="10.109375" style="89" bestFit="1" customWidth="1"/>
    <col min="168" max="168" width="9.44140625" style="89" bestFit="1" customWidth="1"/>
    <col min="169" max="169" width="8.88671875" style="89" bestFit="1" customWidth="1"/>
    <col min="170" max="170" width="9.88671875" style="89" bestFit="1" customWidth="1"/>
    <col min="171" max="171" width="9.6640625" style="89" bestFit="1" customWidth="1"/>
    <col min="172" max="172" width="9.44140625" style="89" bestFit="1" customWidth="1"/>
    <col min="173" max="173" width="10" style="89" bestFit="1" customWidth="1"/>
    <col min="174" max="174" width="9.6640625" style="89" bestFit="1" customWidth="1"/>
    <col min="175" max="175" width="9.33203125" style="89" bestFit="1" customWidth="1"/>
    <col min="176" max="176" width="9.6640625" style="89" bestFit="1" customWidth="1"/>
    <col min="177" max="177" width="9.88671875" style="89" bestFit="1" customWidth="1"/>
    <col min="178" max="178" width="9.5546875" style="89" bestFit="1" customWidth="1"/>
    <col min="179" max="179" width="10.109375" style="89" bestFit="1" customWidth="1"/>
    <col min="180" max="180" width="9.44140625" style="89" bestFit="1" customWidth="1"/>
    <col min="181" max="181" width="8.88671875" style="89" bestFit="1" customWidth="1"/>
    <col min="182" max="182" width="9.88671875" style="89" bestFit="1" customWidth="1"/>
    <col min="183" max="183" width="9.6640625" style="89" bestFit="1" customWidth="1"/>
    <col min="184" max="184" width="9.44140625" style="89" bestFit="1" customWidth="1"/>
    <col min="185" max="185" width="10" style="89" bestFit="1" customWidth="1"/>
    <col min="186" max="186" width="9.6640625" style="89" bestFit="1" customWidth="1"/>
    <col min="187" max="187" width="9.33203125" style="89" bestFit="1" customWidth="1"/>
    <col min="188" max="188" width="9.6640625" style="89" bestFit="1" customWidth="1"/>
    <col min="189" max="189" width="9.88671875" style="89" bestFit="1" customWidth="1"/>
    <col min="190" max="190" width="9.5546875" style="89" bestFit="1" customWidth="1"/>
    <col min="191" max="191" width="10.109375" style="89" bestFit="1" customWidth="1"/>
    <col min="192" max="192" width="9.44140625" style="89" bestFit="1" customWidth="1"/>
    <col min="193" max="193" width="8.88671875" style="89" bestFit="1" customWidth="1"/>
    <col min="194" max="194" width="9.88671875" style="89" bestFit="1" customWidth="1"/>
    <col min="195" max="195" width="9.6640625" style="89" bestFit="1" customWidth="1"/>
    <col min="196" max="196" width="9.44140625" style="89" bestFit="1" customWidth="1"/>
    <col min="197" max="197" width="10" style="89" bestFit="1" customWidth="1"/>
    <col min="198" max="198" width="9.6640625" style="89" bestFit="1" customWidth="1"/>
  </cols>
  <sheetData>
    <row r="3" spans="2:198" ht="15.6" x14ac:dyDescent="0.3">
      <c r="B3" s="74" t="s">
        <v>178</v>
      </c>
      <c r="C3" s="109"/>
      <c r="D3" s="88"/>
      <c r="E3" s="88"/>
      <c r="F3" s="88"/>
      <c r="G3" s="88"/>
      <c r="H3" s="88"/>
      <c r="I3" s="169"/>
      <c r="J3" s="88"/>
      <c r="K3" s="88"/>
      <c r="L3" s="88"/>
      <c r="M3" s="88"/>
      <c r="N3" s="88"/>
      <c r="O3" s="88"/>
      <c r="P3" s="88"/>
      <c r="R3" s="89" t="s">
        <v>46</v>
      </c>
      <c r="S3" s="89">
        <f>ROUNDUP(S4/12,0)</f>
        <v>1</v>
      </c>
      <c r="T3" s="89">
        <f t="shared" ref="T3:CE3" si="0">ROUNDUP(T4/12,0)</f>
        <v>1</v>
      </c>
      <c r="U3" s="89">
        <f t="shared" si="0"/>
        <v>1</v>
      </c>
      <c r="V3" s="89">
        <f t="shared" si="0"/>
        <v>1</v>
      </c>
      <c r="W3" s="89">
        <f t="shared" si="0"/>
        <v>1</v>
      </c>
      <c r="X3" s="89">
        <f t="shared" si="0"/>
        <v>1</v>
      </c>
      <c r="Y3" s="89">
        <f t="shared" si="0"/>
        <v>1</v>
      </c>
      <c r="Z3" s="89">
        <f t="shared" si="0"/>
        <v>1</v>
      </c>
      <c r="AA3" s="89">
        <f t="shared" si="0"/>
        <v>1</v>
      </c>
      <c r="AB3" s="89">
        <f t="shared" si="0"/>
        <v>1</v>
      </c>
      <c r="AC3" s="89">
        <f t="shared" si="0"/>
        <v>1</v>
      </c>
      <c r="AD3" s="89">
        <f t="shared" si="0"/>
        <v>1</v>
      </c>
      <c r="AE3" s="89">
        <f t="shared" si="0"/>
        <v>2</v>
      </c>
      <c r="AF3" s="89">
        <f t="shared" si="0"/>
        <v>2</v>
      </c>
      <c r="AG3" s="89">
        <f t="shared" si="0"/>
        <v>2</v>
      </c>
      <c r="AH3" s="89">
        <f t="shared" si="0"/>
        <v>2</v>
      </c>
      <c r="AI3" s="89">
        <f t="shared" si="0"/>
        <v>2</v>
      </c>
      <c r="AJ3" s="89">
        <f t="shared" si="0"/>
        <v>2</v>
      </c>
      <c r="AK3" s="89">
        <f t="shared" si="0"/>
        <v>2</v>
      </c>
      <c r="AL3" s="89">
        <f t="shared" si="0"/>
        <v>2</v>
      </c>
      <c r="AM3" s="89">
        <f t="shared" si="0"/>
        <v>2</v>
      </c>
      <c r="AN3" s="89">
        <f t="shared" si="0"/>
        <v>2</v>
      </c>
      <c r="AO3" s="89">
        <f t="shared" si="0"/>
        <v>2</v>
      </c>
      <c r="AP3" s="89">
        <f t="shared" si="0"/>
        <v>2</v>
      </c>
      <c r="AQ3" s="89">
        <f t="shared" si="0"/>
        <v>3</v>
      </c>
      <c r="AR3" s="89">
        <f t="shared" si="0"/>
        <v>3</v>
      </c>
      <c r="AS3" s="89">
        <f t="shared" si="0"/>
        <v>3</v>
      </c>
      <c r="AT3" s="89">
        <f t="shared" si="0"/>
        <v>3</v>
      </c>
      <c r="AU3" s="89">
        <f t="shared" si="0"/>
        <v>3</v>
      </c>
      <c r="AV3" s="89">
        <f t="shared" si="0"/>
        <v>3</v>
      </c>
      <c r="AW3" s="89">
        <f t="shared" si="0"/>
        <v>3</v>
      </c>
      <c r="AX3" s="89">
        <f t="shared" si="0"/>
        <v>3</v>
      </c>
      <c r="AY3" s="89">
        <f t="shared" si="0"/>
        <v>3</v>
      </c>
      <c r="AZ3" s="89">
        <f t="shared" si="0"/>
        <v>3</v>
      </c>
      <c r="BA3" s="89">
        <f t="shared" si="0"/>
        <v>3</v>
      </c>
      <c r="BB3" s="89">
        <f t="shared" si="0"/>
        <v>3</v>
      </c>
      <c r="BC3" s="89">
        <f t="shared" si="0"/>
        <v>4</v>
      </c>
      <c r="BD3" s="89">
        <f t="shared" si="0"/>
        <v>4</v>
      </c>
      <c r="BE3" s="89">
        <f t="shared" si="0"/>
        <v>4</v>
      </c>
      <c r="BF3" s="89">
        <f t="shared" si="0"/>
        <v>4</v>
      </c>
      <c r="BG3" s="89">
        <f t="shared" si="0"/>
        <v>4</v>
      </c>
      <c r="BH3" s="89">
        <f t="shared" si="0"/>
        <v>4</v>
      </c>
      <c r="BI3" s="89">
        <f t="shared" si="0"/>
        <v>4</v>
      </c>
      <c r="BJ3" s="89">
        <f t="shared" si="0"/>
        <v>4</v>
      </c>
      <c r="BK3" s="89">
        <f t="shared" si="0"/>
        <v>4</v>
      </c>
      <c r="BL3" s="89">
        <f t="shared" si="0"/>
        <v>4</v>
      </c>
      <c r="BM3" s="89">
        <f t="shared" si="0"/>
        <v>4</v>
      </c>
      <c r="BN3" s="89">
        <f t="shared" si="0"/>
        <v>4</v>
      </c>
      <c r="BO3" s="89">
        <f t="shared" si="0"/>
        <v>5</v>
      </c>
      <c r="BP3" s="89">
        <f t="shared" si="0"/>
        <v>5</v>
      </c>
      <c r="BQ3" s="89">
        <f t="shared" si="0"/>
        <v>5</v>
      </c>
      <c r="BR3" s="89">
        <f t="shared" si="0"/>
        <v>5</v>
      </c>
      <c r="BS3" s="89">
        <f t="shared" si="0"/>
        <v>5</v>
      </c>
      <c r="BT3" s="89">
        <f t="shared" si="0"/>
        <v>5</v>
      </c>
      <c r="BU3" s="89">
        <f t="shared" si="0"/>
        <v>5</v>
      </c>
      <c r="BV3" s="89">
        <f t="shared" si="0"/>
        <v>5</v>
      </c>
      <c r="BW3" s="89">
        <f t="shared" si="0"/>
        <v>5</v>
      </c>
      <c r="BX3" s="89">
        <f t="shared" si="0"/>
        <v>5</v>
      </c>
      <c r="BY3" s="89">
        <f t="shared" si="0"/>
        <v>5</v>
      </c>
      <c r="BZ3" s="89">
        <f t="shared" si="0"/>
        <v>5</v>
      </c>
      <c r="CA3" s="89">
        <f t="shared" si="0"/>
        <v>6</v>
      </c>
      <c r="CB3" s="89">
        <f t="shared" si="0"/>
        <v>6</v>
      </c>
      <c r="CC3" s="89">
        <f t="shared" si="0"/>
        <v>6</v>
      </c>
      <c r="CD3" s="89">
        <f t="shared" si="0"/>
        <v>6</v>
      </c>
      <c r="CE3" s="89">
        <f t="shared" si="0"/>
        <v>6</v>
      </c>
      <c r="CF3" s="89">
        <f t="shared" ref="CF3:EQ3" si="1">ROUNDUP(CF4/12,0)</f>
        <v>6</v>
      </c>
      <c r="CG3" s="89">
        <f t="shared" si="1"/>
        <v>6</v>
      </c>
      <c r="CH3" s="89">
        <f t="shared" si="1"/>
        <v>6</v>
      </c>
      <c r="CI3" s="89">
        <f t="shared" si="1"/>
        <v>6</v>
      </c>
      <c r="CJ3" s="89">
        <f t="shared" si="1"/>
        <v>6</v>
      </c>
      <c r="CK3" s="89">
        <f t="shared" si="1"/>
        <v>6</v>
      </c>
      <c r="CL3" s="89">
        <f t="shared" si="1"/>
        <v>6</v>
      </c>
      <c r="CM3" s="89">
        <f t="shared" si="1"/>
        <v>7</v>
      </c>
      <c r="CN3" s="89">
        <f t="shared" si="1"/>
        <v>7</v>
      </c>
      <c r="CO3" s="89">
        <f t="shared" si="1"/>
        <v>7</v>
      </c>
      <c r="CP3" s="89">
        <f t="shared" si="1"/>
        <v>7</v>
      </c>
      <c r="CQ3" s="89">
        <f t="shared" si="1"/>
        <v>7</v>
      </c>
      <c r="CR3" s="89">
        <f t="shared" si="1"/>
        <v>7</v>
      </c>
      <c r="CS3" s="89">
        <f t="shared" si="1"/>
        <v>7</v>
      </c>
      <c r="CT3" s="89">
        <f t="shared" si="1"/>
        <v>7</v>
      </c>
      <c r="CU3" s="89">
        <f t="shared" si="1"/>
        <v>7</v>
      </c>
      <c r="CV3" s="89">
        <f t="shared" si="1"/>
        <v>7</v>
      </c>
      <c r="CW3" s="89">
        <f t="shared" si="1"/>
        <v>7</v>
      </c>
      <c r="CX3" s="89">
        <f t="shared" si="1"/>
        <v>7</v>
      </c>
      <c r="CY3" s="89">
        <f t="shared" si="1"/>
        <v>8</v>
      </c>
      <c r="CZ3" s="89">
        <f t="shared" si="1"/>
        <v>8</v>
      </c>
      <c r="DA3" s="89">
        <f t="shared" si="1"/>
        <v>8</v>
      </c>
      <c r="DB3" s="89">
        <f t="shared" si="1"/>
        <v>8</v>
      </c>
      <c r="DC3" s="89">
        <f t="shared" si="1"/>
        <v>8</v>
      </c>
      <c r="DD3" s="89">
        <f t="shared" si="1"/>
        <v>8</v>
      </c>
      <c r="DE3" s="89">
        <f t="shared" si="1"/>
        <v>8</v>
      </c>
      <c r="DF3" s="89">
        <f t="shared" si="1"/>
        <v>8</v>
      </c>
      <c r="DG3" s="89">
        <f t="shared" si="1"/>
        <v>8</v>
      </c>
      <c r="DH3" s="89">
        <f t="shared" si="1"/>
        <v>8</v>
      </c>
      <c r="DI3" s="89">
        <f t="shared" si="1"/>
        <v>8</v>
      </c>
      <c r="DJ3" s="89">
        <f t="shared" si="1"/>
        <v>8</v>
      </c>
      <c r="DK3" s="89">
        <f t="shared" si="1"/>
        <v>9</v>
      </c>
      <c r="DL3" s="89">
        <f t="shared" si="1"/>
        <v>9</v>
      </c>
      <c r="DM3" s="89">
        <f t="shared" si="1"/>
        <v>9</v>
      </c>
      <c r="DN3" s="89">
        <f t="shared" si="1"/>
        <v>9</v>
      </c>
      <c r="DO3" s="89">
        <f t="shared" si="1"/>
        <v>9</v>
      </c>
      <c r="DP3" s="89">
        <f t="shared" si="1"/>
        <v>9</v>
      </c>
      <c r="DQ3" s="89">
        <f t="shared" si="1"/>
        <v>9</v>
      </c>
      <c r="DR3" s="89">
        <f t="shared" si="1"/>
        <v>9</v>
      </c>
      <c r="DS3" s="89">
        <f t="shared" si="1"/>
        <v>9</v>
      </c>
      <c r="DT3" s="89">
        <f t="shared" si="1"/>
        <v>9</v>
      </c>
      <c r="DU3" s="89">
        <f t="shared" si="1"/>
        <v>9</v>
      </c>
      <c r="DV3" s="89">
        <f t="shared" si="1"/>
        <v>9</v>
      </c>
      <c r="DW3" s="89">
        <f t="shared" si="1"/>
        <v>10</v>
      </c>
      <c r="DX3" s="89">
        <f t="shared" si="1"/>
        <v>10</v>
      </c>
      <c r="DY3" s="89">
        <f t="shared" si="1"/>
        <v>10</v>
      </c>
      <c r="DZ3" s="89">
        <f t="shared" si="1"/>
        <v>10</v>
      </c>
      <c r="EA3" s="89">
        <f t="shared" si="1"/>
        <v>10</v>
      </c>
      <c r="EB3" s="89">
        <f t="shared" si="1"/>
        <v>10</v>
      </c>
      <c r="EC3" s="89">
        <f t="shared" si="1"/>
        <v>10</v>
      </c>
      <c r="ED3" s="89">
        <f t="shared" si="1"/>
        <v>10</v>
      </c>
      <c r="EE3" s="89">
        <f t="shared" si="1"/>
        <v>10</v>
      </c>
      <c r="EF3" s="89">
        <f t="shared" si="1"/>
        <v>10</v>
      </c>
      <c r="EG3" s="89">
        <f t="shared" si="1"/>
        <v>10</v>
      </c>
      <c r="EH3" s="89">
        <f t="shared" si="1"/>
        <v>10</v>
      </c>
      <c r="EI3" s="89">
        <f t="shared" si="1"/>
        <v>11</v>
      </c>
      <c r="EJ3" s="89">
        <f t="shared" si="1"/>
        <v>11</v>
      </c>
      <c r="EK3" s="89">
        <f t="shared" si="1"/>
        <v>11</v>
      </c>
      <c r="EL3" s="89">
        <f t="shared" si="1"/>
        <v>11</v>
      </c>
      <c r="EM3" s="89">
        <f t="shared" si="1"/>
        <v>11</v>
      </c>
      <c r="EN3" s="89">
        <f t="shared" si="1"/>
        <v>11</v>
      </c>
      <c r="EO3" s="89">
        <f t="shared" si="1"/>
        <v>11</v>
      </c>
      <c r="EP3" s="89">
        <f t="shared" si="1"/>
        <v>11</v>
      </c>
      <c r="EQ3" s="89">
        <f t="shared" si="1"/>
        <v>11</v>
      </c>
      <c r="ER3" s="89">
        <f t="shared" ref="ER3:GP3" si="2">ROUNDUP(ER4/12,0)</f>
        <v>11</v>
      </c>
      <c r="ES3" s="89">
        <f t="shared" si="2"/>
        <v>11</v>
      </c>
      <c r="ET3" s="89">
        <f t="shared" si="2"/>
        <v>11</v>
      </c>
      <c r="EU3" s="89">
        <f t="shared" si="2"/>
        <v>12</v>
      </c>
      <c r="EV3" s="89">
        <f t="shared" si="2"/>
        <v>12</v>
      </c>
      <c r="EW3" s="89">
        <f t="shared" si="2"/>
        <v>12</v>
      </c>
      <c r="EX3" s="89">
        <f t="shared" si="2"/>
        <v>12</v>
      </c>
      <c r="EY3" s="89">
        <f t="shared" si="2"/>
        <v>12</v>
      </c>
      <c r="EZ3" s="89">
        <f t="shared" si="2"/>
        <v>12</v>
      </c>
      <c r="FA3" s="89">
        <f t="shared" si="2"/>
        <v>12</v>
      </c>
      <c r="FB3" s="89">
        <f t="shared" si="2"/>
        <v>12</v>
      </c>
      <c r="FC3" s="89">
        <f t="shared" si="2"/>
        <v>12</v>
      </c>
      <c r="FD3" s="89">
        <f t="shared" si="2"/>
        <v>12</v>
      </c>
      <c r="FE3" s="89">
        <f t="shared" si="2"/>
        <v>12</v>
      </c>
      <c r="FF3" s="89">
        <f t="shared" si="2"/>
        <v>12</v>
      </c>
      <c r="FG3" s="89">
        <f t="shared" si="2"/>
        <v>13</v>
      </c>
      <c r="FH3" s="89">
        <f t="shared" si="2"/>
        <v>13</v>
      </c>
      <c r="FI3" s="89">
        <f t="shared" si="2"/>
        <v>13</v>
      </c>
      <c r="FJ3" s="89">
        <f t="shared" si="2"/>
        <v>13</v>
      </c>
      <c r="FK3" s="89">
        <f t="shared" si="2"/>
        <v>13</v>
      </c>
      <c r="FL3" s="89">
        <f t="shared" si="2"/>
        <v>13</v>
      </c>
      <c r="FM3" s="89">
        <f t="shared" si="2"/>
        <v>13</v>
      </c>
      <c r="FN3" s="89">
        <f t="shared" si="2"/>
        <v>13</v>
      </c>
      <c r="FO3" s="89">
        <f t="shared" si="2"/>
        <v>13</v>
      </c>
      <c r="FP3" s="89">
        <f t="shared" si="2"/>
        <v>13</v>
      </c>
      <c r="FQ3" s="89">
        <f t="shared" si="2"/>
        <v>13</v>
      </c>
      <c r="FR3" s="89">
        <f t="shared" si="2"/>
        <v>13</v>
      </c>
      <c r="FS3" s="89">
        <f t="shared" si="2"/>
        <v>14</v>
      </c>
      <c r="FT3" s="89">
        <f t="shared" si="2"/>
        <v>14</v>
      </c>
      <c r="FU3" s="89">
        <f t="shared" si="2"/>
        <v>14</v>
      </c>
      <c r="FV3" s="89">
        <f t="shared" si="2"/>
        <v>14</v>
      </c>
      <c r="FW3" s="89">
        <f t="shared" si="2"/>
        <v>14</v>
      </c>
      <c r="FX3" s="89">
        <f t="shared" si="2"/>
        <v>14</v>
      </c>
      <c r="FY3" s="89">
        <f t="shared" si="2"/>
        <v>14</v>
      </c>
      <c r="FZ3" s="89">
        <f t="shared" si="2"/>
        <v>14</v>
      </c>
      <c r="GA3" s="89">
        <f t="shared" si="2"/>
        <v>14</v>
      </c>
      <c r="GB3" s="89">
        <f t="shared" si="2"/>
        <v>14</v>
      </c>
      <c r="GC3" s="89">
        <f t="shared" si="2"/>
        <v>14</v>
      </c>
      <c r="GD3" s="89">
        <f t="shared" si="2"/>
        <v>14</v>
      </c>
      <c r="GE3" s="89">
        <f t="shared" si="2"/>
        <v>15</v>
      </c>
      <c r="GF3" s="89">
        <f t="shared" si="2"/>
        <v>15</v>
      </c>
      <c r="GG3" s="89">
        <f t="shared" si="2"/>
        <v>15</v>
      </c>
      <c r="GH3" s="89">
        <f t="shared" si="2"/>
        <v>15</v>
      </c>
      <c r="GI3" s="89">
        <f t="shared" si="2"/>
        <v>15</v>
      </c>
      <c r="GJ3" s="89">
        <f t="shared" si="2"/>
        <v>15</v>
      </c>
      <c r="GK3" s="89">
        <f t="shared" si="2"/>
        <v>15</v>
      </c>
      <c r="GL3" s="89">
        <f t="shared" si="2"/>
        <v>15</v>
      </c>
      <c r="GM3" s="89">
        <f t="shared" si="2"/>
        <v>15</v>
      </c>
      <c r="GN3" s="89">
        <f t="shared" si="2"/>
        <v>15</v>
      </c>
      <c r="GO3" s="89">
        <f t="shared" si="2"/>
        <v>15</v>
      </c>
      <c r="GP3" s="89">
        <f t="shared" si="2"/>
        <v>15</v>
      </c>
    </row>
    <row r="4" spans="2:198" x14ac:dyDescent="0.3">
      <c r="B4" s="68"/>
      <c r="C4" s="122"/>
      <c r="D4" s="88"/>
      <c r="E4" s="88"/>
      <c r="F4" s="88"/>
      <c r="G4" s="88"/>
      <c r="H4" s="88"/>
      <c r="I4" s="88"/>
      <c r="J4" s="88"/>
      <c r="K4" s="88"/>
      <c r="L4" s="88"/>
      <c r="M4" s="88"/>
      <c r="N4" s="295" t="s">
        <v>162</v>
      </c>
      <c r="O4" s="296"/>
      <c r="P4" s="296"/>
      <c r="R4" s="89" t="s">
        <v>167</v>
      </c>
      <c r="S4" s="89">
        <v>1</v>
      </c>
      <c r="T4" s="89">
        <f>S4+1</f>
        <v>2</v>
      </c>
      <c r="U4" s="89">
        <f t="shared" ref="U4:CF4" si="3">T4+1</f>
        <v>3</v>
      </c>
      <c r="V4" s="89">
        <f t="shared" si="3"/>
        <v>4</v>
      </c>
      <c r="W4" s="89">
        <f t="shared" si="3"/>
        <v>5</v>
      </c>
      <c r="X4" s="89">
        <f t="shared" si="3"/>
        <v>6</v>
      </c>
      <c r="Y4" s="89">
        <f t="shared" si="3"/>
        <v>7</v>
      </c>
      <c r="Z4" s="89">
        <f t="shared" si="3"/>
        <v>8</v>
      </c>
      <c r="AA4" s="89">
        <f t="shared" si="3"/>
        <v>9</v>
      </c>
      <c r="AB4" s="89">
        <f t="shared" si="3"/>
        <v>10</v>
      </c>
      <c r="AC4" s="89">
        <f t="shared" si="3"/>
        <v>11</v>
      </c>
      <c r="AD4" s="89">
        <f t="shared" si="3"/>
        <v>12</v>
      </c>
      <c r="AE4" s="89">
        <f t="shared" si="3"/>
        <v>13</v>
      </c>
      <c r="AF4" s="89">
        <f t="shared" si="3"/>
        <v>14</v>
      </c>
      <c r="AG4" s="89">
        <f t="shared" si="3"/>
        <v>15</v>
      </c>
      <c r="AH4" s="89">
        <f t="shared" si="3"/>
        <v>16</v>
      </c>
      <c r="AI4" s="89">
        <f t="shared" si="3"/>
        <v>17</v>
      </c>
      <c r="AJ4" s="89">
        <f t="shared" si="3"/>
        <v>18</v>
      </c>
      <c r="AK4" s="89">
        <f t="shared" si="3"/>
        <v>19</v>
      </c>
      <c r="AL4" s="89">
        <f t="shared" si="3"/>
        <v>20</v>
      </c>
      <c r="AM4" s="89">
        <f t="shared" si="3"/>
        <v>21</v>
      </c>
      <c r="AN4" s="89">
        <f t="shared" si="3"/>
        <v>22</v>
      </c>
      <c r="AO4" s="89">
        <f t="shared" si="3"/>
        <v>23</v>
      </c>
      <c r="AP4" s="89">
        <f t="shared" si="3"/>
        <v>24</v>
      </c>
      <c r="AQ4" s="89">
        <f t="shared" si="3"/>
        <v>25</v>
      </c>
      <c r="AR4" s="89">
        <f t="shared" si="3"/>
        <v>26</v>
      </c>
      <c r="AS4" s="89">
        <f t="shared" si="3"/>
        <v>27</v>
      </c>
      <c r="AT4" s="89">
        <f t="shared" si="3"/>
        <v>28</v>
      </c>
      <c r="AU4" s="89">
        <f t="shared" si="3"/>
        <v>29</v>
      </c>
      <c r="AV4" s="89">
        <f t="shared" si="3"/>
        <v>30</v>
      </c>
      <c r="AW4" s="89">
        <f t="shared" si="3"/>
        <v>31</v>
      </c>
      <c r="AX4" s="89">
        <f t="shared" si="3"/>
        <v>32</v>
      </c>
      <c r="AY4" s="89">
        <f t="shared" si="3"/>
        <v>33</v>
      </c>
      <c r="AZ4" s="89">
        <f t="shared" si="3"/>
        <v>34</v>
      </c>
      <c r="BA4" s="89">
        <f t="shared" si="3"/>
        <v>35</v>
      </c>
      <c r="BB4" s="89">
        <f t="shared" si="3"/>
        <v>36</v>
      </c>
      <c r="BC4" s="89">
        <f t="shared" si="3"/>
        <v>37</v>
      </c>
      <c r="BD4" s="89">
        <f t="shared" si="3"/>
        <v>38</v>
      </c>
      <c r="BE4" s="89">
        <f t="shared" si="3"/>
        <v>39</v>
      </c>
      <c r="BF4" s="89">
        <f t="shared" si="3"/>
        <v>40</v>
      </c>
      <c r="BG4" s="89">
        <f t="shared" si="3"/>
        <v>41</v>
      </c>
      <c r="BH4" s="89">
        <f t="shared" si="3"/>
        <v>42</v>
      </c>
      <c r="BI4" s="89">
        <f t="shared" si="3"/>
        <v>43</v>
      </c>
      <c r="BJ4" s="89">
        <f t="shared" si="3"/>
        <v>44</v>
      </c>
      <c r="BK4" s="89">
        <f t="shared" si="3"/>
        <v>45</v>
      </c>
      <c r="BL4" s="89">
        <f t="shared" si="3"/>
        <v>46</v>
      </c>
      <c r="BM4" s="89">
        <f t="shared" si="3"/>
        <v>47</v>
      </c>
      <c r="BN4" s="89">
        <f t="shared" si="3"/>
        <v>48</v>
      </c>
      <c r="BO4" s="89">
        <f t="shared" si="3"/>
        <v>49</v>
      </c>
      <c r="BP4" s="89">
        <f t="shared" si="3"/>
        <v>50</v>
      </c>
      <c r="BQ4" s="89">
        <f t="shared" si="3"/>
        <v>51</v>
      </c>
      <c r="BR4" s="89">
        <f t="shared" si="3"/>
        <v>52</v>
      </c>
      <c r="BS4" s="89">
        <f t="shared" si="3"/>
        <v>53</v>
      </c>
      <c r="BT4" s="89">
        <f t="shared" si="3"/>
        <v>54</v>
      </c>
      <c r="BU4" s="89">
        <f t="shared" si="3"/>
        <v>55</v>
      </c>
      <c r="BV4" s="89">
        <f t="shared" si="3"/>
        <v>56</v>
      </c>
      <c r="BW4" s="89">
        <f t="shared" si="3"/>
        <v>57</v>
      </c>
      <c r="BX4" s="89">
        <f t="shared" si="3"/>
        <v>58</v>
      </c>
      <c r="BY4" s="89">
        <f t="shared" si="3"/>
        <v>59</v>
      </c>
      <c r="BZ4" s="89">
        <f t="shared" si="3"/>
        <v>60</v>
      </c>
      <c r="CA4" s="89">
        <f t="shared" si="3"/>
        <v>61</v>
      </c>
      <c r="CB4" s="89">
        <f t="shared" si="3"/>
        <v>62</v>
      </c>
      <c r="CC4" s="89">
        <f t="shared" si="3"/>
        <v>63</v>
      </c>
      <c r="CD4" s="89">
        <f t="shared" si="3"/>
        <v>64</v>
      </c>
      <c r="CE4" s="89">
        <f t="shared" si="3"/>
        <v>65</v>
      </c>
      <c r="CF4" s="89">
        <f t="shared" si="3"/>
        <v>66</v>
      </c>
      <c r="CG4" s="89">
        <f t="shared" ref="CG4:ER4" si="4">CF4+1</f>
        <v>67</v>
      </c>
      <c r="CH4" s="89">
        <f t="shared" si="4"/>
        <v>68</v>
      </c>
      <c r="CI4" s="89">
        <f t="shared" si="4"/>
        <v>69</v>
      </c>
      <c r="CJ4" s="89">
        <f t="shared" si="4"/>
        <v>70</v>
      </c>
      <c r="CK4" s="89">
        <f t="shared" si="4"/>
        <v>71</v>
      </c>
      <c r="CL4" s="89">
        <f t="shared" si="4"/>
        <v>72</v>
      </c>
      <c r="CM4" s="89">
        <f t="shared" si="4"/>
        <v>73</v>
      </c>
      <c r="CN4" s="89">
        <f t="shared" si="4"/>
        <v>74</v>
      </c>
      <c r="CO4" s="89">
        <f t="shared" si="4"/>
        <v>75</v>
      </c>
      <c r="CP4" s="89">
        <f t="shared" si="4"/>
        <v>76</v>
      </c>
      <c r="CQ4" s="89">
        <f t="shared" si="4"/>
        <v>77</v>
      </c>
      <c r="CR4" s="89">
        <f t="shared" si="4"/>
        <v>78</v>
      </c>
      <c r="CS4" s="89">
        <f t="shared" si="4"/>
        <v>79</v>
      </c>
      <c r="CT4" s="89">
        <f t="shared" si="4"/>
        <v>80</v>
      </c>
      <c r="CU4" s="89">
        <f t="shared" si="4"/>
        <v>81</v>
      </c>
      <c r="CV4" s="89">
        <f t="shared" si="4"/>
        <v>82</v>
      </c>
      <c r="CW4" s="89">
        <f t="shared" si="4"/>
        <v>83</v>
      </c>
      <c r="CX4" s="89">
        <f t="shared" si="4"/>
        <v>84</v>
      </c>
      <c r="CY4" s="89">
        <f t="shared" si="4"/>
        <v>85</v>
      </c>
      <c r="CZ4" s="89">
        <f t="shared" si="4"/>
        <v>86</v>
      </c>
      <c r="DA4" s="89">
        <f t="shared" si="4"/>
        <v>87</v>
      </c>
      <c r="DB4" s="89">
        <f t="shared" si="4"/>
        <v>88</v>
      </c>
      <c r="DC4" s="89">
        <f t="shared" si="4"/>
        <v>89</v>
      </c>
      <c r="DD4" s="89">
        <f t="shared" si="4"/>
        <v>90</v>
      </c>
      <c r="DE4" s="89">
        <f t="shared" si="4"/>
        <v>91</v>
      </c>
      <c r="DF4" s="89">
        <f t="shared" si="4"/>
        <v>92</v>
      </c>
      <c r="DG4" s="89">
        <f t="shared" si="4"/>
        <v>93</v>
      </c>
      <c r="DH4" s="89">
        <f t="shared" si="4"/>
        <v>94</v>
      </c>
      <c r="DI4" s="89">
        <f t="shared" si="4"/>
        <v>95</v>
      </c>
      <c r="DJ4" s="89">
        <f t="shared" si="4"/>
        <v>96</v>
      </c>
      <c r="DK4" s="89">
        <f t="shared" si="4"/>
        <v>97</v>
      </c>
      <c r="DL4" s="89">
        <f t="shared" si="4"/>
        <v>98</v>
      </c>
      <c r="DM4" s="89">
        <f t="shared" si="4"/>
        <v>99</v>
      </c>
      <c r="DN4" s="89">
        <f t="shared" si="4"/>
        <v>100</v>
      </c>
      <c r="DO4" s="89">
        <f t="shared" si="4"/>
        <v>101</v>
      </c>
      <c r="DP4" s="89">
        <f t="shared" si="4"/>
        <v>102</v>
      </c>
      <c r="DQ4" s="89">
        <f t="shared" si="4"/>
        <v>103</v>
      </c>
      <c r="DR4" s="89">
        <f t="shared" si="4"/>
        <v>104</v>
      </c>
      <c r="DS4" s="89">
        <f t="shared" si="4"/>
        <v>105</v>
      </c>
      <c r="DT4" s="89">
        <f t="shared" si="4"/>
        <v>106</v>
      </c>
      <c r="DU4" s="89">
        <f t="shared" si="4"/>
        <v>107</v>
      </c>
      <c r="DV4" s="89">
        <f t="shared" si="4"/>
        <v>108</v>
      </c>
      <c r="DW4" s="89">
        <f t="shared" si="4"/>
        <v>109</v>
      </c>
      <c r="DX4" s="89">
        <f t="shared" si="4"/>
        <v>110</v>
      </c>
      <c r="DY4" s="89">
        <f t="shared" si="4"/>
        <v>111</v>
      </c>
      <c r="DZ4" s="89">
        <f t="shared" si="4"/>
        <v>112</v>
      </c>
      <c r="EA4" s="89">
        <f t="shared" si="4"/>
        <v>113</v>
      </c>
      <c r="EB4" s="89">
        <f t="shared" si="4"/>
        <v>114</v>
      </c>
      <c r="EC4" s="89">
        <f t="shared" si="4"/>
        <v>115</v>
      </c>
      <c r="ED4" s="89">
        <f t="shared" si="4"/>
        <v>116</v>
      </c>
      <c r="EE4" s="89">
        <f t="shared" si="4"/>
        <v>117</v>
      </c>
      <c r="EF4" s="89">
        <f t="shared" si="4"/>
        <v>118</v>
      </c>
      <c r="EG4" s="89">
        <f t="shared" si="4"/>
        <v>119</v>
      </c>
      <c r="EH4" s="89">
        <f t="shared" si="4"/>
        <v>120</v>
      </c>
      <c r="EI4" s="89">
        <f t="shared" si="4"/>
        <v>121</v>
      </c>
      <c r="EJ4" s="89">
        <f t="shared" si="4"/>
        <v>122</v>
      </c>
      <c r="EK4" s="89">
        <f t="shared" si="4"/>
        <v>123</v>
      </c>
      <c r="EL4" s="89">
        <f t="shared" si="4"/>
        <v>124</v>
      </c>
      <c r="EM4" s="89">
        <f t="shared" si="4"/>
        <v>125</v>
      </c>
      <c r="EN4" s="89">
        <f t="shared" si="4"/>
        <v>126</v>
      </c>
      <c r="EO4" s="89">
        <f t="shared" si="4"/>
        <v>127</v>
      </c>
      <c r="EP4" s="89">
        <f t="shared" si="4"/>
        <v>128</v>
      </c>
      <c r="EQ4" s="89">
        <f t="shared" si="4"/>
        <v>129</v>
      </c>
      <c r="ER4" s="89">
        <f t="shared" si="4"/>
        <v>130</v>
      </c>
      <c r="ES4" s="89">
        <f t="shared" ref="ES4:GP4" si="5">ER4+1</f>
        <v>131</v>
      </c>
      <c r="ET4" s="89">
        <f t="shared" si="5"/>
        <v>132</v>
      </c>
      <c r="EU4" s="89">
        <f t="shared" si="5"/>
        <v>133</v>
      </c>
      <c r="EV4" s="89">
        <f t="shared" si="5"/>
        <v>134</v>
      </c>
      <c r="EW4" s="89">
        <f t="shared" si="5"/>
        <v>135</v>
      </c>
      <c r="EX4" s="89">
        <f t="shared" si="5"/>
        <v>136</v>
      </c>
      <c r="EY4" s="89">
        <f t="shared" si="5"/>
        <v>137</v>
      </c>
      <c r="EZ4" s="89">
        <f t="shared" si="5"/>
        <v>138</v>
      </c>
      <c r="FA4" s="89">
        <f t="shared" si="5"/>
        <v>139</v>
      </c>
      <c r="FB4" s="89">
        <f t="shared" si="5"/>
        <v>140</v>
      </c>
      <c r="FC4" s="89">
        <f t="shared" si="5"/>
        <v>141</v>
      </c>
      <c r="FD4" s="89">
        <f t="shared" si="5"/>
        <v>142</v>
      </c>
      <c r="FE4" s="89">
        <f t="shared" si="5"/>
        <v>143</v>
      </c>
      <c r="FF4" s="89">
        <f t="shared" si="5"/>
        <v>144</v>
      </c>
      <c r="FG4" s="89">
        <f t="shared" si="5"/>
        <v>145</v>
      </c>
      <c r="FH4" s="89">
        <f t="shared" si="5"/>
        <v>146</v>
      </c>
      <c r="FI4" s="89">
        <f t="shared" si="5"/>
        <v>147</v>
      </c>
      <c r="FJ4" s="89">
        <f t="shared" si="5"/>
        <v>148</v>
      </c>
      <c r="FK4" s="89">
        <f t="shared" si="5"/>
        <v>149</v>
      </c>
      <c r="FL4" s="89">
        <f t="shared" si="5"/>
        <v>150</v>
      </c>
      <c r="FM4" s="89">
        <f t="shared" si="5"/>
        <v>151</v>
      </c>
      <c r="FN4" s="89">
        <f t="shared" si="5"/>
        <v>152</v>
      </c>
      <c r="FO4" s="89">
        <f t="shared" si="5"/>
        <v>153</v>
      </c>
      <c r="FP4" s="89">
        <f t="shared" si="5"/>
        <v>154</v>
      </c>
      <c r="FQ4" s="89">
        <f t="shared" si="5"/>
        <v>155</v>
      </c>
      <c r="FR4" s="89">
        <f t="shared" si="5"/>
        <v>156</v>
      </c>
      <c r="FS4" s="89">
        <f t="shared" si="5"/>
        <v>157</v>
      </c>
      <c r="FT4" s="89">
        <f t="shared" si="5"/>
        <v>158</v>
      </c>
      <c r="FU4" s="89">
        <f t="shared" si="5"/>
        <v>159</v>
      </c>
      <c r="FV4" s="89">
        <f t="shared" si="5"/>
        <v>160</v>
      </c>
      <c r="FW4" s="89">
        <f t="shared" si="5"/>
        <v>161</v>
      </c>
      <c r="FX4" s="89">
        <f t="shared" si="5"/>
        <v>162</v>
      </c>
      <c r="FY4" s="89">
        <f t="shared" si="5"/>
        <v>163</v>
      </c>
      <c r="FZ4" s="89">
        <f t="shared" si="5"/>
        <v>164</v>
      </c>
      <c r="GA4" s="89">
        <f t="shared" si="5"/>
        <v>165</v>
      </c>
      <c r="GB4" s="89">
        <f t="shared" si="5"/>
        <v>166</v>
      </c>
      <c r="GC4" s="89">
        <f t="shared" si="5"/>
        <v>167</v>
      </c>
      <c r="GD4" s="89">
        <f t="shared" si="5"/>
        <v>168</v>
      </c>
      <c r="GE4" s="89">
        <f t="shared" si="5"/>
        <v>169</v>
      </c>
      <c r="GF4" s="89">
        <f t="shared" si="5"/>
        <v>170</v>
      </c>
      <c r="GG4" s="89">
        <f t="shared" si="5"/>
        <v>171</v>
      </c>
      <c r="GH4" s="89">
        <f t="shared" si="5"/>
        <v>172</v>
      </c>
      <c r="GI4" s="89">
        <f t="shared" si="5"/>
        <v>173</v>
      </c>
      <c r="GJ4" s="89">
        <f t="shared" si="5"/>
        <v>174</v>
      </c>
      <c r="GK4" s="89">
        <f t="shared" si="5"/>
        <v>175</v>
      </c>
      <c r="GL4" s="89">
        <f t="shared" si="5"/>
        <v>176</v>
      </c>
      <c r="GM4" s="89">
        <f t="shared" si="5"/>
        <v>177</v>
      </c>
      <c r="GN4" s="89">
        <f t="shared" si="5"/>
        <v>178</v>
      </c>
      <c r="GO4" s="89">
        <f t="shared" si="5"/>
        <v>179</v>
      </c>
      <c r="GP4" s="89">
        <f t="shared" si="5"/>
        <v>180</v>
      </c>
    </row>
    <row r="5" spans="2:198" ht="28.8" x14ac:dyDescent="0.3">
      <c r="B5" s="183" t="s">
        <v>148</v>
      </c>
      <c r="C5" s="123" t="s">
        <v>153</v>
      </c>
      <c r="D5" s="123" t="s">
        <v>149</v>
      </c>
      <c r="E5" s="123" t="s">
        <v>150</v>
      </c>
      <c r="F5" s="123" t="s">
        <v>151</v>
      </c>
      <c r="G5" s="123" t="s">
        <v>152</v>
      </c>
      <c r="H5" s="123" t="s">
        <v>154</v>
      </c>
      <c r="I5" s="123" t="s">
        <v>163</v>
      </c>
      <c r="J5" s="123" t="s">
        <v>157</v>
      </c>
      <c r="K5" s="123" t="s">
        <v>158</v>
      </c>
      <c r="L5" s="123" t="s">
        <v>156</v>
      </c>
      <c r="M5" s="123" t="s">
        <v>155</v>
      </c>
      <c r="N5" s="124" t="s">
        <v>159</v>
      </c>
      <c r="O5" s="125" t="s">
        <v>160</v>
      </c>
      <c r="P5" s="125" t="s">
        <v>161</v>
      </c>
      <c r="Q5" s="90"/>
      <c r="R5" s="90" t="s">
        <v>166</v>
      </c>
      <c r="S5" s="170">
        <f>EOMONTH(Analysis_Start,0)</f>
        <v>42400</v>
      </c>
      <c r="T5" s="170">
        <f>EOMONTH(S5,1)</f>
        <v>42429</v>
      </c>
      <c r="U5" s="170">
        <f t="shared" ref="U5:CF5" si="6">EOMONTH(T5,1)</f>
        <v>42460</v>
      </c>
      <c r="V5" s="170">
        <f t="shared" si="6"/>
        <v>42490</v>
      </c>
      <c r="W5" s="170">
        <f t="shared" si="6"/>
        <v>42521</v>
      </c>
      <c r="X5" s="170">
        <f t="shared" si="6"/>
        <v>42551</v>
      </c>
      <c r="Y5" s="170">
        <f t="shared" si="6"/>
        <v>42582</v>
      </c>
      <c r="Z5" s="170">
        <f t="shared" si="6"/>
        <v>42613</v>
      </c>
      <c r="AA5" s="170">
        <f t="shared" si="6"/>
        <v>42643</v>
      </c>
      <c r="AB5" s="170">
        <f t="shared" si="6"/>
        <v>42674</v>
      </c>
      <c r="AC5" s="170">
        <f t="shared" si="6"/>
        <v>42704</v>
      </c>
      <c r="AD5" s="170">
        <f t="shared" si="6"/>
        <v>42735</v>
      </c>
      <c r="AE5" s="170">
        <f t="shared" si="6"/>
        <v>42766</v>
      </c>
      <c r="AF5" s="170">
        <f t="shared" si="6"/>
        <v>42794</v>
      </c>
      <c r="AG5" s="170">
        <f t="shared" si="6"/>
        <v>42825</v>
      </c>
      <c r="AH5" s="170">
        <f t="shared" si="6"/>
        <v>42855</v>
      </c>
      <c r="AI5" s="170">
        <f t="shared" si="6"/>
        <v>42886</v>
      </c>
      <c r="AJ5" s="170">
        <f t="shared" si="6"/>
        <v>42916</v>
      </c>
      <c r="AK5" s="170">
        <f t="shared" si="6"/>
        <v>42947</v>
      </c>
      <c r="AL5" s="170">
        <f t="shared" si="6"/>
        <v>42978</v>
      </c>
      <c r="AM5" s="170">
        <f t="shared" si="6"/>
        <v>43008</v>
      </c>
      <c r="AN5" s="170">
        <f t="shared" si="6"/>
        <v>43039</v>
      </c>
      <c r="AO5" s="170">
        <f t="shared" si="6"/>
        <v>43069</v>
      </c>
      <c r="AP5" s="170">
        <f t="shared" si="6"/>
        <v>43100</v>
      </c>
      <c r="AQ5" s="170">
        <f t="shared" si="6"/>
        <v>43131</v>
      </c>
      <c r="AR5" s="170">
        <f t="shared" si="6"/>
        <v>43159</v>
      </c>
      <c r="AS5" s="170">
        <f t="shared" si="6"/>
        <v>43190</v>
      </c>
      <c r="AT5" s="170">
        <f t="shared" si="6"/>
        <v>43220</v>
      </c>
      <c r="AU5" s="170">
        <f t="shared" si="6"/>
        <v>43251</v>
      </c>
      <c r="AV5" s="170">
        <f t="shared" si="6"/>
        <v>43281</v>
      </c>
      <c r="AW5" s="170">
        <f t="shared" si="6"/>
        <v>43312</v>
      </c>
      <c r="AX5" s="170">
        <f t="shared" si="6"/>
        <v>43343</v>
      </c>
      <c r="AY5" s="170">
        <f t="shared" si="6"/>
        <v>43373</v>
      </c>
      <c r="AZ5" s="170">
        <f t="shared" si="6"/>
        <v>43404</v>
      </c>
      <c r="BA5" s="170">
        <f t="shared" si="6"/>
        <v>43434</v>
      </c>
      <c r="BB5" s="170">
        <f t="shared" si="6"/>
        <v>43465</v>
      </c>
      <c r="BC5" s="170">
        <f t="shared" si="6"/>
        <v>43496</v>
      </c>
      <c r="BD5" s="170">
        <f t="shared" si="6"/>
        <v>43524</v>
      </c>
      <c r="BE5" s="170">
        <f t="shared" si="6"/>
        <v>43555</v>
      </c>
      <c r="BF5" s="170">
        <f t="shared" si="6"/>
        <v>43585</v>
      </c>
      <c r="BG5" s="170">
        <f t="shared" si="6"/>
        <v>43616</v>
      </c>
      <c r="BH5" s="170">
        <f t="shared" si="6"/>
        <v>43646</v>
      </c>
      <c r="BI5" s="170">
        <f t="shared" si="6"/>
        <v>43677</v>
      </c>
      <c r="BJ5" s="170">
        <f t="shared" si="6"/>
        <v>43708</v>
      </c>
      <c r="BK5" s="170">
        <f t="shared" si="6"/>
        <v>43738</v>
      </c>
      <c r="BL5" s="170">
        <f t="shared" si="6"/>
        <v>43769</v>
      </c>
      <c r="BM5" s="170">
        <f t="shared" si="6"/>
        <v>43799</v>
      </c>
      <c r="BN5" s="170">
        <f t="shared" si="6"/>
        <v>43830</v>
      </c>
      <c r="BO5" s="170">
        <f t="shared" si="6"/>
        <v>43861</v>
      </c>
      <c r="BP5" s="170">
        <f t="shared" si="6"/>
        <v>43890</v>
      </c>
      <c r="BQ5" s="170">
        <f t="shared" si="6"/>
        <v>43921</v>
      </c>
      <c r="BR5" s="170">
        <f t="shared" si="6"/>
        <v>43951</v>
      </c>
      <c r="BS5" s="170">
        <f t="shared" si="6"/>
        <v>43982</v>
      </c>
      <c r="BT5" s="170">
        <f t="shared" si="6"/>
        <v>44012</v>
      </c>
      <c r="BU5" s="170">
        <f t="shared" si="6"/>
        <v>44043</v>
      </c>
      <c r="BV5" s="170">
        <f t="shared" si="6"/>
        <v>44074</v>
      </c>
      <c r="BW5" s="170">
        <f t="shared" si="6"/>
        <v>44104</v>
      </c>
      <c r="BX5" s="170">
        <f t="shared" si="6"/>
        <v>44135</v>
      </c>
      <c r="BY5" s="170">
        <f t="shared" si="6"/>
        <v>44165</v>
      </c>
      <c r="BZ5" s="170">
        <f t="shared" si="6"/>
        <v>44196</v>
      </c>
      <c r="CA5" s="170">
        <f t="shared" si="6"/>
        <v>44227</v>
      </c>
      <c r="CB5" s="170">
        <f t="shared" si="6"/>
        <v>44255</v>
      </c>
      <c r="CC5" s="170">
        <f t="shared" si="6"/>
        <v>44286</v>
      </c>
      <c r="CD5" s="170">
        <f t="shared" si="6"/>
        <v>44316</v>
      </c>
      <c r="CE5" s="170">
        <f t="shared" si="6"/>
        <v>44347</v>
      </c>
      <c r="CF5" s="170">
        <f t="shared" si="6"/>
        <v>44377</v>
      </c>
      <c r="CG5" s="170">
        <f t="shared" ref="CG5:ER5" si="7">EOMONTH(CF5,1)</f>
        <v>44408</v>
      </c>
      <c r="CH5" s="170">
        <f t="shared" si="7"/>
        <v>44439</v>
      </c>
      <c r="CI5" s="170">
        <f t="shared" si="7"/>
        <v>44469</v>
      </c>
      <c r="CJ5" s="170">
        <f t="shared" si="7"/>
        <v>44500</v>
      </c>
      <c r="CK5" s="170">
        <f t="shared" si="7"/>
        <v>44530</v>
      </c>
      <c r="CL5" s="170">
        <f t="shared" si="7"/>
        <v>44561</v>
      </c>
      <c r="CM5" s="170">
        <f t="shared" si="7"/>
        <v>44592</v>
      </c>
      <c r="CN5" s="170">
        <f t="shared" si="7"/>
        <v>44620</v>
      </c>
      <c r="CO5" s="170">
        <f t="shared" si="7"/>
        <v>44651</v>
      </c>
      <c r="CP5" s="170">
        <f t="shared" si="7"/>
        <v>44681</v>
      </c>
      <c r="CQ5" s="170">
        <f t="shared" si="7"/>
        <v>44712</v>
      </c>
      <c r="CR5" s="170">
        <f t="shared" si="7"/>
        <v>44742</v>
      </c>
      <c r="CS5" s="170">
        <f t="shared" si="7"/>
        <v>44773</v>
      </c>
      <c r="CT5" s="170">
        <f t="shared" si="7"/>
        <v>44804</v>
      </c>
      <c r="CU5" s="170">
        <f t="shared" si="7"/>
        <v>44834</v>
      </c>
      <c r="CV5" s="170">
        <f t="shared" si="7"/>
        <v>44865</v>
      </c>
      <c r="CW5" s="170">
        <f t="shared" si="7"/>
        <v>44895</v>
      </c>
      <c r="CX5" s="170">
        <f t="shared" si="7"/>
        <v>44926</v>
      </c>
      <c r="CY5" s="170">
        <f t="shared" si="7"/>
        <v>44957</v>
      </c>
      <c r="CZ5" s="170">
        <f t="shared" si="7"/>
        <v>44985</v>
      </c>
      <c r="DA5" s="170">
        <f t="shared" si="7"/>
        <v>45016</v>
      </c>
      <c r="DB5" s="170">
        <f t="shared" si="7"/>
        <v>45046</v>
      </c>
      <c r="DC5" s="170">
        <f t="shared" si="7"/>
        <v>45077</v>
      </c>
      <c r="DD5" s="170">
        <f t="shared" si="7"/>
        <v>45107</v>
      </c>
      <c r="DE5" s="170">
        <f t="shared" si="7"/>
        <v>45138</v>
      </c>
      <c r="DF5" s="170">
        <f t="shared" si="7"/>
        <v>45169</v>
      </c>
      <c r="DG5" s="170">
        <f t="shared" si="7"/>
        <v>45199</v>
      </c>
      <c r="DH5" s="170">
        <f t="shared" si="7"/>
        <v>45230</v>
      </c>
      <c r="DI5" s="170">
        <f t="shared" si="7"/>
        <v>45260</v>
      </c>
      <c r="DJ5" s="170">
        <f t="shared" si="7"/>
        <v>45291</v>
      </c>
      <c r="DK5" s="170">
        <f t="shared" si="7"/>
        <v>45322</v>
      </c>
      <c r="DL5" s="170">
        <f t="shared" si="7"/>
        <v>45351</v>
      </c>
      <c r="DM5" s="170">
        <f t="shared" si="7"/>
        <v>45382</v>
      </c>
      <c r="DN5" s="170">
        <f t="shared" si="7"/>
        <v>45412</v>
      </c>
      <c r="DO5" s="170">
        <f t="shared" si="7"/>
        <v>45443</v>
      </c>
      <c r="DP5" s="170">
        <f t="shared" si="7"/>
        <v>45473</v>
      </c>
      <c r="DQ5" s="170">
        <f t="shared" si="7"/>
        <v>45504</v>
      </c>
      <c r="DR5" s="170">
        <f t="shared" si="7"/>
        <v>45535</v>
      </c>
      <c r="DS5" s="170">
        <f t="shared" si="7"/>
        <v>45565</v>
      </c>
      <c r="DT5" s="170">
        <f t="shared" si="7"/>
        <v>45596</v>
      </c>
      <c r="DU5" s="170">
        <f t="shared" si="7"/>
        <v>45626</v>
      </c>
      <c r="DV5" s="170">
        <f t="shared" si="7"/>
        <v>45657</v>
      </c>
      <c r="DW5" s="170">
        <f t="shared" si="7"/>
        <v>45688</v>
      </c>
      <c r="DX5" s="170">
        <f t="shared" si="7"/>
        <v>45716</v>
      </c>
      <c r="DY5" s="170">
        <f t="shared" si="7"/>
        <v>45747</v>
      </c>
      <c r="DZ5" s="170">
        <f t="shared" si="7"/>
        <v>45777</v>
      </c>
      <c r="EA5" s="170">
        <f t="shared" si="7"/>
        <v>45808</v>
      </c>
      <c r="EB5" s="170">
        <f t="shared" si="7"/>
        <v>45838</v>
      </c>
      <c r="EC5" s="170">
        <f t="shared" si="7"/>
        <v>45869</v>
      </c>
      <c r="ED5" s="170">
        <f t="shared" si="7"/>
        <v>45900</v>
      </c>
      <c r="EE5" s="170">
        <f t="shared" si="7"/>
        <v>45930</v>
      </c>
      <c r="EF5" s="170">
        <f t="shared" si="7"/>
        <v>45961</v>
      </c>
      <c r="EG5" s="170">
        <f t="shared" si="7"/>
        <v>45991</v>
      </c>
      <c r="EH5" s="170">
        <f t="shared" si="7"/>
        <v>46022</v>
      </c>
      <c r="EI5" s="170">
        <f t="shared" si="7"/>
        <v>46053</v>
      </c>
      <c r="EJ5" s="170">
        <f t="shared" si="7"/>
        <v>46081</v>
      </c>
      <c r="EK5" s="170">
        <f t="shared" si="7"/>
        <v>46112</v>
      </c>
      <c r="EL5" s="170">
        <f t="shared" si="7"/>
        <v>46142</v>
      </c>
      <c r="EM5" s="170">
        <f t="shared" si="7"/>
        <v>46173</v>
      </c>
      <c r="EN5" s="170">
        <f t="shared" si="7"/>
        <v>46203</v>
      </c>
      <c r="EO5" s="170">
        <f t="shared" si="7"/>
        <v>46234</v>
      </c>
      <c r="EP5" s="170">
        <f t="shared" si="7"/>
        <v>46265</v>
      </c>
      <c r="EQ5" s="170">
        <f t="shared" si="7"/>
        <v>46295</v>
      </c>
      <c r="ER5" s="170">
        <f t="shared" si="7"/>
        <v>46326</v>
      </c>
      <c r="ES5" s="170">
        <f t="shared" ref="ES5:GP5" si="8">EOMONTH(ER5,1)</f>
        <v>46356</v>
      </c>
      <c r="ET5" s="170">
        <f t="shared" si="8"/>
        <v>46387</v>
      </c>
      <c r="EU5" s="170">
        <f t="shared" si="8"/>
        <v>46418</v>
      </c>
      <c r="EV5" s="170">
        <f t="shared" si="8"/>
        <v>46446</v>
      </c>
      <c r="EW5" s="170">
        <f t="shared" si="8"/>
        <v>46477</v>
      </c>
      <c r="EX5" s="170">
        <f t="shared" si="8"/>
        <v>46507</v>
      </c>
      <c r="EY5" s="170">
        <f t="shared" si="8"/>
        <v>46538</v>
      </c>
      <c r="EZ5" s="170">
        <f t="shared" si="8"/>
        <v>46568</v>
      </c>
      <c r="FA5" s="170">
        <f t="shared" si="8"/>
        <v>46599</v>
      </c>
      <c r="FB5" s="170">
        <f t="shared" si="8"/>
        <v>46630</v>
      </c>
      <c r="FC5" s="170">
        <f t="shared" si="8"/>
        <v>46660</v>
      </c>
      <c r="FD5" s="170">
        <f t="shared" si="8"/>
        <v>46691</v>
      </c>
      <c r="FE5" s="170">
        <f t="shared" si="8"/>
        <v>46721</v>
      </c>
      <c r="FF5" s="170">
        <f t="shared" si="8"/>
        <v>46752</v>
      </c>
      <c r="FG5" s="170">
        <f t="shared" si="8"/>
        <v>46783</v>
      </c>
      <c r="FH5" s="170">
        <f t="shared" si="8"/>
        <v>46812</v>
      </c>
      <c r="FI5" s="170">
        <f t="shared" si="8"/>
        <v>46843</v>
      </c>
      <c r="FJ5" s="170">
        <f t="shared" si="8"/>
        <v>46873</v>
      </c>
      <c r="FK5" s="170">
        <f t="shared" si="8"/>
        <v>46904</v>
      </c>
      <c r="FL5" s="170">
        <f t="shared" si="8"/>
        <v>46934</v>
      </c>
      <c r="FM5" s="170">
        <f t="shared" si="8"/>
        <v>46965</v>
      </c>
      <c r="FN5" s="170">
        <f t="shared" si="8"/>
        <v>46996</v>
      </c>
      <c r="FO5" s="170">
        <f t="shared" si="8"/>
        <v>47026</v>
      </c>
      <c r="FP5" s="170">
        <f t="shared" si="8"/>
        <v>47057</v>
      </c>
      <c r="FQ5" s="170">
        <f t="shared" si="8"/>
        <v>47087</v>
      </c>
      <c r="FR5" s="170">
        <f t="shared" si="8"/>
        <v>47118</v>
      </c>
      <c r="FS5" s="170">
        <f t="shared" si="8"/>
        <v>47149</v>
      </c>
      <c r="FT5" s="170">
        <f t="shared" si="8"/>
        <v>47177</v>
      </c>
      <c r="FU5" s="170">
        <f t="shared" si="8"/>
        <v>47208</v>
      </c>
      <c r="FV5" s="170">
        <f t="shared" si="8"/>
        <v>47238</v>
      </c>
      <c r="FW5" s="170">
        <f t="shared" si="8"/>
        <v>47269</v>
      </c>
      <c r="FX5" s="170">
        <f t="shared" si="8"/>
        <v>47299</v>
      </c>
      <c r="FY5" s="170">
        <f t="shared" si="8"/>
        <v>47330</v>
      </c>
      <c r="FZ5" s="170">
        <f t="shared" si="8"/>
        <v>47361</v>
      </c>
      <c r="GA5" s="170">
        <f t="shared" si="8"/>
        <v>47391</v>
      </c>
      <c r="GB5" s="170">
        <f t="shared" si="8"/>
        <v>47422</v>
      </c>
      <c r="GC5" s="170">
        <f t="shared" si="8"/>
        <v>47452</v>
      </c>
      <c r="GD5" s="170">
        <f t="shared" si="8"/>
        <v>47483</v>
      </c>
      <c r="GE5" s="170">
        <f t="shared" si="8"/>
        <v>47514</v>
      </c>
      <c r="GF5" s="170">
        <f t="shared" si="8"/>
        <v>47542</v>
      </c>
      <c r="GG5" s="170">
        <f t="shared" si="8"/>
        <v>47573</v>
      </c>
      <c r="GH5" s="170">
        <f t="shared" si="8"/>
        <v>47603</v>
      </c>
      <c r="GI5" s="170">
        <f t="shared" si="8"/>
        <v>47634</v>
      </c>
      <c r="GJ5" s="170">
        <f t="shared" si="8"/>
        <v>47664</v>
      </c>
      <c r="GK5" s="170">
        <f t="shared" si="8"/>
        <v>47695</v>
      </c>
      <c r="GL5" s="170">
        <f t="shared" si="8"/>
        <v>47726</v>
      </c>
      <c r="GM5" s="170">
        <f t="shared" si="8"/>
        <v>47756</v>
      </c>
      <c r="GN5" s="170">
        <f t="shared" si="8"/>
        <v>47787</v>
      </c>
      <c r="GO5" s="170">
        <f t="shared" si="8"/>
        <v>47817</v>
      </c>
      <c r="GP5" s="170">
        <f t="shared" si="8"/>
        <v>47848</v>
      </c>
    </row>
    <row r="6" spans="2:198" x14ac:dyDescent="0.3">
      <c r="B6" s="184" t="str">
        <f>'MF Rent Roll'!B5</f>
        <v>Studio</v>
      </c>
      <c r="C6" s="171">
        <f>'MF Rent Roll'!C5</f>
        <v>40</v>
      </c>
      <c r="D6" s="172">
        <f>'MF Rent Roll'!D5</f>
        <v>0</v>
      </c>
      <c r="E6" s="172">
        <f>'MF Rent Roll'!E5</f>
        <v>1</v>
      </c>
      <c r="F6" s="173">
        <f>'MF Rent Roll'!F5</f>
        <v>430</v>
      </c>
      <c r="G6" s="174">
        <f>'MF Rent Roll'!G5</f>
        <v>510</v>
      </c>
      <c r="H6" s="176">
        <f>'MF Rent Roll'!J5</f>
        <v>12</v>
      </c>
      <c r="I6" s="174">
        <f>'MF Rent Roll'!K5</f>
        <v>50</v>
      </c>
      <c r="J6" s="177">
        <f>'MF Rent Roll'!L5</f>
        <v>0</v>
      </c>
      <c r="K6" s="178">
        <f>'MF Rent Roll'!M5</f>
        <v>20</v>
      </c>
      <c r="L6" s="174">
        <f>'MF Rent Roll'!N5</f>
        <v>300</v>
      </c>
      <c r="M6" s="179">
        <f>'MF Rent Roll'!O5</f>
        <v>0.6</v>
      </c>
      <c r="N6" s="180">
        <f>'MF Rent Roll'!P5</f>
        <v>0</v>
      </c>
      <c r="O6" s="181">
        <f>'MF Rent Roll'!Q5</f>
        <v>8</v>
      </c>
      <c r="P6" s="104">
        <f>'MF Rent Roll'!R5</f>
        <v>120</v>
      </c>
      <c r="S6" s="149">
        <f>IF($B6=0,"",($O6/30)*'MF Rents'!U6*'MF Rollover'!R6)</f>
        <v>0</v>
      </c>
      <c r="T6" s="149">
        <f>IF($B6=0,"",($O6/30)*'MF Rents'!V6*'MF Rollover'!S6)</f>
        <v>0</v>
      </c>
      <c r="U6" s="149">
        <f>IF($B6=0,"",($O6/30)*'MF Rents'!W6*'MF Rollover'!T6)</f>
        <v>0</v>
      </c>
      <c r="V6" s="149">
        <f>IF($B6=0,"",($O6/30)*'MF Rents'!X6*'MF Rollover'!U6)</f>
        <v>0</v>
      </c>
      <c r="W6" s="149">
        <f>IF($B6=0,"",($O6/30)*'MF Rents'!Y6*'MF Rollover'!V6)</f>
        <v>0</v>
      </c>
      <c r="X6" s="149">
        <f>IF($B6=0,"",($O6/30)*'MF Rents'!Z6*'MF Rollover'!W6)</f>
        <v>0</v>
      </c>
      <c r="Y6" s="149">
        <f>IF($B6=0,"",($O6/30)*'MF Rents'!AA6*'MF Rollover'!X6)</f>
        <v>0</v>
      </c>
      <c r="Z6" s="149">
        <f>IF($B6=0,"",($O6/30)*'MF Rents'!AB6*'MF Rollover'!Y6)</f>
        <v>0</v>
      </c>
      <c r="AA6" s="149">
        <f>IF($B6=0,"",($O6/30)*'MF Rents'!AC6*'MF Rollover'!Z6)</f>
        <v>0</v>
      </c>
      <c r="AB6" s="149">
        <f>IF($B6=0,"",($O6/30)*'MF Rents'!AD6*'MF Rollover'!AA6)</f>
        <v>0</v>
      </c>
      <c r="AC6" s="149">
        <f>IF($B6=0,"",($O6/30)*'MF Rents'!AE6*'MF Rollover'!AB6)</f>
        <v>0</v>
      </c>
      <c r="AD6" s="149">
        <f>IF($B6=0,"",($O6/30)*'MF Rents'!AF6*'MF Rollover'!AC6)</f>
        <v>0</v>
      </c>
      <c r="AE6" s="149">
        <f>IF($B6=0,"",($O6/30)*'MF Rents'!AG6*'MF Rollover'!AD6)</f>
        <v>6820.7999999999993</v>
      </c>
      <c r="AF6" s="149">
        <f>IF($B6=0,"",($O6/30)*'MF Rents'!AH6*'MF Rollover'!AE6)</f>
        <v>0</v>
      </c>
      <c r="AG6" s="149">
        <f>IF($B6=0,"",($O6/30)*'MF Rents'!AI6*'MF Rollover'!AF6)</f>
        <v>0</v>
      </c>
      <c r="AH6" s="149">
        <f>IF($B6=0,"",($O6/30)*'MF Rents'!AJ6*'MF Rollover'!AG6)</f>
        <v>0</v>
      </c>
      <c r="AI6" s="149">
        <f>IF($B6=0,"",($O6/30)*'MF Rents'!AK6*'MF Rollover'!AH6)</f>
        <v>0</v>
      </c>
      <c r="AJ6" s="149">
        <f>IF($B6=0,"",($O6/30)*'MF Rents'!AL6*'MF Rollover'!AI6)</f>
        <v>0</v>
      </c>
      <c r="AK6" s="149">
        <f>IF($B6=0,"",($O6/30)*'MF Rents'!AM6*'MF Rollover'!AJ6)</f>
        <v>0</v>
      </c>
      <c r="AL6" s="149">
        <f>IF($B6=0,"",($O6/30)*'MF Rents'!AN6*'MF Rollover'!AK6)</f>
        <v>0</v>
      </c>
      <c r="AM6" s="149">
        <f>IF($B6=0,"",($O6/30)*'MF Rents'!AO6*'MF Rollover'!AL6)</f>
        <v>0</v>
      </c>
      <c r="AN6" s="149">
        <f>IF($B6=0,"",($O6/30)*'MF Rents'!AP6*'MF Rollover'!AM6)</f>
        <v>0</v>
      </c>
      <c r="AO6" s="149">
        <f>IF($B6=0,"",($O6/30)*'MF Rents'!AQ6*'MF Rollover'!AN6)</f>
        <v>0</v>
      </c>
      <c r="AP6" s="149">
        <f>IF($B6=0,"",($O6/30)*'MF Rents'!AR6*'MF Rollover'!AO6)</f>
        <v>0</v>
      </c>
      <c r="AQ6" s="149">
        <f>IF($B6=0,"",($O6/30)*'MF Rents'!AS6*'MF Rollover'!AP6)</f>
        <v>6923.1119999999983</v>
      </c>
      <c r="AR6" s="149">
        <f>IF($B6=0,"",($O6/30)*'MF Rents'!AT6*'MF Rollover'!AQ6)</f>
        <v>0</v>
      </c>
      <c r="AS6" s="149">
        <f>IF($B6=0,"",($O6/30)*'MF Rents'!AU6*'MF Rollover'!AR6)</f>
        <v>0</v>
      </c>
      <c r="AT6" s="149">
        <f>IF($B6=0,"",($O6/30)*'MF Rents'!AV6*'MF Rollover'!AS6)</f>
        <v>0</v>
      </c>
      <c r="AU6" s="149">
        <f>IF($B6=0,"",($O6/30)*'MF Rents'!AW6*'MF Rollover'!AT6)</f>
        <v>0</v>
      </c>
      <c r="AV6" s="149">
        <f>IF($B6=0,"",($O6/30)*'MF Rents'!AX6*'MF Rollover'!AU6)</f>
        <v>0</v>
      </c>
      <c r="AW6" s="149">
        <f>IF($B6=0,"",($O6/30)*'MF Rents'!AY6*'MF Rollover'!AV6)</f>
        <v>0</v>
      </c>
      <c r="AX6" s="149">
        <f>IF($B6=0,"",($O6/30)*'MF Rents'!AZ6*'MF Rollover'!AW6)</f>
        <v>0</v>
      </c>
      <c r="AY6" s="149">
        <f>IF($B6=0,"",($O6/30)*'MF Rents'!BA6*'MF Rollover'!AX6)</f>
        <v>0</v>
      </c>
      <c r="AZ6" s="149">
        <f>IF($B6=0,"",($O6/30)*'MF Rents'!BB6*'MF Rollover'!AY6)</f>
        <v>0</v>
      </c>
      <c r="BA6" s="149">
        <f>IF($B6=0,"",($O6/30)*'MF Rents'!BC6*'MF Rollover'!AZ6)</f>
        <v>0</v>
      </c>
      <c r="BB6" s="149">
        <f>IF($B6=0,"",($O6/30)*'MF Rents'!BD6*'MF Rollover'!BA6)</f>
        <v>0</v>
      </c>
      <c r="BC6" s="149">
        <f>IF($B6=0,"",($O6/30)*'MF Rents'!BE6*'MF Rollover'!BB6)</f>
        <v>7026.958679999997</v>
      </c>
      <c r="BD6" s="149">
        <f>IF($B6=0,"",($O6/30)*'MF Rents'!BF6*'MF Rollover'!BC6)</f>
        <v>0</v>
      </c>
      <c r="BE6" s="149">
        <f>IF($B6=0,"",($O6/30)*'MF Rents'!BG6*'MF Rollover'!BD6)</f>
        <v>0</v>
      </c>
      <c r="BF6" s="149">
        <f>IF($B6=0,"",($O6/30)*'MF Rents'!BH6*'MF Rollover'!BE6)</f>
        <v>0</v>
      </c>
      <c r="BG6" s="149">
        <f>IF($B6=0,"",($O6/30)*'MF Rents'!BI6*'MF Rollover'!BF6)</f>
        <v>0</v>
      </c>
      <c r="BH6" s="149">
        <f>IF($B6=0,"",($O6/30)*'MF Rents'!BJ6*'MF Rollover'!BG6)</f>
        <v>0</v>
      </c>
      <c r="BI6" s="149">
        <f>IF($B6=0,"",($O6/30)*'MF Rents'!BK6*'MF Rollover'!BH6)</f>
        <v>0</v>
      </c>
      <c r="BJ6" s="149">
        <f>IF($B6=0,"",($O6/30)*'MF Rents'!BL6*'MF Rollover'!BI6)</f>
        <v>0</v>
      </c>
      <c r="BK6" s="149">
        <f>IF($B6=0,"",($O6/30)*'MF Rents'!BM6*'MF Rollover'!BJ6)</f>
        <v>0</v>
      </c>
      <c r="BL6" s="149">
        <f>IF($B6=0,"",($O6/30)*'MF Rents'!BN6*'MF Rollover'!BK6)</f>
        <v>0</v>
      </c>
      <c r="BM6" s="149">
        <f>IF($B6=0,"",($O6/30)*'MF Rents'!BO6*'MF Rollover'!BL6)</f>
        <v>0</v>
      </c>
      <c r="BN6" s="149">
        <f>IF($B6=0,"",($O6/30)*'MF Rents'!BP6*'MF Rollover'!BM6)</f>
        <v>0</v>
      </c>
      <c r="BO6" s="149">
        <f>IF($B6=0,"",($O6/30)*'MF Rents'!BQ6*'MF Rollover'!BN6)</f>
        <v>7132.3630601999957</v>
      </c>
      <c r="BP6" s="149">
        <f>IF($B6=0,"",($O6/30)*'MF Rents'!BR6*'MF Rollover'!BO6)</f>
        <v>0</v>
      </c>
      <c r="BQ6" s="149">
        <f>IF($B6=0,"",($O6/30)*'MF Rents'!BS6*'MF Rollover'!BP6)</f>
        <v>0</v>
      </c>
      <c r="BR6" s="149">
        <f>IF($B6=0,"",($O6/30)*'MF Rents'!BT6*'MF Rollover'!BQ6)</f>
        <v>0</v>
      </c>
      <c r="BS6" s="149">
        <f>IF($B6=0,"",($O6/30)*'MF Rents'!BU6*'MF Rollover'!BR6)</f>
        <v>0</v>
      </c>
      <c r="BT6" s="149">
        <f>IF($B6=0,"",($O6/30)*'MF Rents'!BV6*'MF Rollover'!BS6)</f>
        <v>0</v>
      </c>
      <c r="BU6" s="149">
        <f>IF($B6=0,"",($O6/30)*'MF Rents'!BW6*'MF Rollover'!BT6)</f>
        <v>0</v>
      </c>
      <c r="BV6" s="149">
        <f>IF($B6=0,"",($O6/30)*'MF Rents'!BX6*'MF Rollover'!BU6)</f>
        <v>0</v>
      </c>
      <c r="BW6" s="149">
        <f>IF($B6=0,"",($O6/30)*'MF Rents'!BY6*'MF Rollover'!BV6)</f>
        <v>0</v>
      </c>
      <c r="BX6" s="149">
        <f>IF($B6=0,"",($O6/30)*'MF Rents'!BZ6*'MF Rollover'!BW6)</f>
        <v>0</v>
      </c>
      <c r="BY6" s="149">
        <f>IF($B6=0,"",($O6/30)*'MF Rents'!CA6*'MF Rollover'!BX6)</f>
        <v>0</v>
      </c>
      <c r="BZ6" s="149">
        <f>IF($B6=0,"",($O6/30)*'MF Rents'!CB6*'MF Rollover'!BY6)</f>
        <v>0</v>
      </c>
      <c r="CA6" s="149">
        <f>IF($B6=0,"",($O6/30)*'MF Rents'!CC6*'MF Rollover'!BZ6)</f>
        <v>7239.3485061029951</v>
      </c>
      <c r="CB6" s="149">
        <f>IF($B6=0,"",($O6/30)*'MF Rents'!CD6*'MF Rollover'!CA6)</f>
        <v>0</v>
      </c>
      <c r="CC6" s="149">
        <f>IF($B6=0,"",($O6/30)*'MF Rents'!CE6*'MF Rollover'!CB6)</f>
        <v>0</v>
      </c>
      <c r="CD6" s="149">
        <f>IF($B6=0,"",($O6/30)*'MF Rents'!CF6*'MF Rollover'!CC6)</f>
        <v>0</v>
      </c>
      <c r="CE6" s="149">
        <f>IF($B6=0,"",($O6/30)*'MF Rents'!CG6*'MF Rollover'!CD6)</f>
        <v>0</v>
      </c>
      <c r="CF6" s="149">
        <f>IF($B6=0,"",($O6/30)*'MF Rents'!CH6*'MF Rollover'!CE6)</f>
        <v>0</v>
      </c>
      <c r="CG6" s="149">
        <f>IF($B6=0,"",($O6/30)*'MF Rents'!CI6*'MF Rollover'!CF6)</f>
        <v>0</v>
      </c>
      <c r="CH6" s="149">
        <f>IF($B6=0,"",($O6/30)*'MF Rents'!CJ6*'MF Rollover'!CG6)</f>
        <v>0</v>
      </c>
      <c r="CI6" s="149">
        <f>IF($B6=0,"",($O6/30)*'MF Rents'!CK6*'MF Rollover'!CH6)</f>
        <v>0</v>
      </c>
      <c r="CJ6" s="149">
        <f>IF($B6=0,"",($O6/30)*'MF Rents'!CL6*'MF Rollover'!CI6)</f>
        <v>0</v>
      </c>
      <c r="CK6" s="149">
        <f>IF($B6=0,"",($O6/30)*'MF Rents'!CM6*'MF Rollover'!CJ6)</f>
        <v>0</v>
      </c>
      <c r="CL6" s="149">
        <f>IF($B6=0,"",($O6/30)*'MF Rents'!CN6*'MF Rollover'!CK6)</f>
        <v>0</v>
      </c>
      <c r="CM6" s="149">
        <f>IF($B6=0,"",($O6/30)*'MF Rents'!CO6*'MF Rollover'!CL6)</f>
        <v>7347.9387336945383</v>
      </c>
      <c r="CN6" s="149">
        <f>IF($B6=0,"",($O6/30)*'MF Rents'!CP6*'MF Rollover'!CM6)</f>
        <v>0</v>
      </c>
      <c r="CO6" s="149">
        <f>IF($B6=0,"",($O6/30)*'MF Rents'!CQ6*'MF Rollover'!CN6)</f>
        <v>0</v>
      </c>
      <c r="CP6" s="149">
        <f>IF($B6=0,"",($O6/30)*'MF Rents'!CR6*'MF Rollover'!CO6)</f>
        <v>0</v>
      </c>
      <c r="CQ6" s="149">
        <f>IF($B6=0,"",($O6/30)*'MF Rents'!CS6*'MF Rollover'!CP6)</f>
        <v>0</v>
      </c>
      <c r="CR6" s="149">
        <f>IF($B6=0,"",($O6/30)*'MF Rents'!CT6*'MF Rollover'!CQ6)</f>
        <v>0</v>
      </c>
      <c r="CS6" s="149">
        <f>IF($B6=0,"",($O6/30)*'MF Rents'!CU6*'MF Rollover'!CR6)</f>
        <v>0</v>
      </c>
      <c r="CT6" s="149">
        <f>IF($B6=0,"",($O6/30)*'MF Rents'!CV6*'MF Rollover'!CS6)</f>
        <v>0</v>
      </c>
      <c r="CU6" s="149">
        <f>IF($B6=0,"",($O6/30)*'MF Rents'!CW6*'MF Rollover'!CT6)</f>
        <v>0</v>
      </c>
      <c r="CV6" s="149">
        <f>IF($B6=0,"",($O6/30)*'MF Rents'!CX6*'MF Rollover'!CU6)</f>
        <v>0</v>
      </c>
      <c r="CW6" s="149">
        <f>IF($B6=0,"",($O6/30)*'MF Rents'!CY6*'MF Rollover'!CV6)</f>
        <v>0</v>
      </c>
      <c r="CX6" s="149">
        <f>IF($B6=0,"",($O6/30)*'MF Rents'!CZ6*'MF Rollover'!CW6)</f>
        <v>0</v>
      </c>
      <c r="CY6" s="149">
        <f>IF($B6=0,"",($O6/30)*'MF Rents'!DA6*'MF Rollover'!CX6)</f>
        <v>7458.1578146999555</v>
      </c>
      <c r="CZ6" s="149">
        <f>IF($B6=0,"",($O6/30)*'MF Rents'!DB6*'MF Rollover'!CY6)</f>
        <v>0</v>
      </c>
      <c r="DA6" s="149">
        <f>IF($B6=0,"",($O6/30)*'MF Rents'!DC6*'MF Rollover'!CZ6)</f>
        <v>0</v>
      </c>
      <c r="DB6" s="149">
        <f>IF($B6=0,"",($O6/30)*'MF Rents'!DD6*'MF Rollover'!DA6)</f>
        <v>0</v>
      </c>
      <c r="DC6" s="149">
        <f>IF($B6=0,"",($O6/30)*'MF Rents'!DE6*'MF Rollover'!DB6)</f>
        <v>0</v>
      </c>
      <c r="DD6" s="149">
        <f>IF($B6=0,"",($O6/30)*'MF Rents'!DF6*'MF Rollover'!DC6)</f>
        <v>0</v>
      </c>
      <c r="DE6" s="149">
        <f>IF($B6=0,"",($O6/30)*'MF Rents'!DG6*'MF Rollover'!DD6)</f>
        <v>0</v>
      </c>
      <c r="DF6" s="149">
        <f>IF($B6=0,"",($O6/30)*'MF Rents'!DH6*'MF Rollover'!DE6)</f>
        <v>0</v>
      </c>
      <c r="DG6" s="149">
        <f>IF($B6=0,"",($O6/30)*'MF Rents'!DI6*'MF Rollover'!DF6)</f>
        <v>0</v>
      </c>
      <c r="DH6" s="149">
        <f>IF($B6=0,"",($O6/30)*'MF Rents'!DJ6*'MF Rollover'!DG6)</f>
        <v>0</v>
      </c>
      <c r="DI6" s="149">
        <f>IF($B6=0,"",($O6/30)*'MF Rents'!DK6*'MF Rollover'!DH6)</f>
        <v>0</v>
      </c>
      <c r="DJ6" s="149">
        <f>IF($B6=0,"",($O6/30)*'MF Rents'!DL6*'MF Rollover'!DI6)</f>
        <v>0</v>
      </c>
      <c r="DK6" s="149">
        <f>IF($B6=0,"",($O6/30)*'MF Rents'!DM6*'MF Rollover'!DJ6)</f>
        <v>7570.0301819204542</v>
      </c>
      <c r="DL6" s="149">
        <f>IF($B6=0,"",($O6/30)*'MF Rents'!DN6*'MF Rollover'!DK6)</f>
        <v>0</v>
      </c>
      <c r="DM6" s="149">
        <f>IF($B6=0,"",($O6/30)*'MF Rents'!DO6*'MF Rollover'!DL6)</f>
        <v>0</v>
      </c>
      <c r="DN6" s="149">
        <f>IF($B6=0,"",($O6/30)*'MF Rents'!DP6*'MF Rollover'!DM6)</f>
        <v>0</v>
      </c>
      <c r="DO6" s="149">
        <f>IF($B6=0,"",($O6/30)*'MF Rents'!DQ6*'MF Rollover'!DN6)</f>
        <v>0</v>
      </c>
      <c r="DP6" s="149">
        <f>IF($B6=0,"",($O6/30)*'MF Rents'!DR6*'MF Rollover'!DO6)</f>
        <v>0</v>
      </c>
      <c r="DQ6" s="149">
        <f>IF($B6=0,"",($O6/30)*'MF Rents'!DS6*'MF Rollover'!DP6)</f>
        <v>0</v>
      </c>
      <c r="DR6" s="149">
        <f>IF($B6=0,"",($O6/30)*'MF Rents'!DT6*'MF Rollover'!DQ6)</f>
        <v>0</v>
      </c>
      <c r="DS6" s="149">
        <f>IF($B6=0,"",($O6/30)*'MF Rents'!DU6*'MF Rollover'!DR6)</f>
        <v>0</v>
      </c>
      <c r="DT6" s="149">
        <f>IF($B6=0,"",($O6/30)*'MF Rents'!DV6*'MF Rollover'!DS6)</f>
        <v>0</v>
      </c>
      <c r="DU6" s="149">
        <f>IF($B6=0,"",($O6/30)*'MF Rents'!DW6*'MF Rollover'!DT6)</f>
        <v>0</v>
      </c>
      <c r="DV6" s="149">
        <f>IF($B6=0,"",($O6/30)*'MF Rents'!DX6*'MF Rollover'!DU6)</f>
        <v>0</v>
      </c>
      <c r="DW6" s="149">
        <f>IF($B6=0,"",($O6/30)*'MF Rents'!DY6*'MF Rollover'!DV6)</f>
        <v>7683.58063464926</v>
      </c>
      <c r="DX6" s="149">
        <f>IF($B6=0,"",($O6/30)*'MF Rents'!DZ6*'MF Rollover'!DW6)</f>
        <v>0</v>
      </c>
      <c r="DY6" s="149">
        <f>IF($B6=0,"",($O6/30)*'MF Rents'!EA6*'MF Rollover'!DX6)</f>
        <v>0</v>
      </c>
      <c r="DZ6" s="149">
        <f>IF($B6=0,"",($O6/30)*'MF Rents'!EB6*'MF Rollover'!DY6)</f>
        <v>0</v>
      </c>
      <c r="EA6" s="149">
        <f>IF($B6=0,"",($O6/30)*'MF Rents'!EC6*'MF Rollover'!DZ6)</f>
        <v>0</v>
      </c>
      <c r="EB6" s="149">
        <f>IF($B6=0,"",($O6/30)*'MF Rents'!ED6*'MF Rollover'!EA6)</f>
        <v>0</v>
      </c>
      <c r="EC6" s="149">
        <f>IF($B6=0,"",($O6/30)*'MF Rents'!EE6*'MF Rollover'!EB6)</f>
        <v>0</v>
      </c>
      <c r="ED6" s="149">
        <f>IF($B6=0,"",($O6/30)*'MF Rents'!EF6*'MF Rollover'!EC6)</f>
        <v>0</v>
      </c>
      <c r="EE6" s="149">
        <f>IF($B6=0,"",($O6/30)*'MF Rents'!EG6*'MF Rollover'!ED6)</f>
        <v>0</v>
      </c>
      <c r="EF6" s="149">
        <f>IF($B6=0,"",($O6/30)*'MF Rents'!EH6*'MF Rollover'!EE6)</f>
        <v>0</v>
      </c>
      <c r="EG6" s="149">
        <f>IF($B6=0,"",($O6/30)*'MF Rents'!EI6*'MF Rollover'!EF6)</f>
        <v>0</v>
      </c>
      <c r="EH6" s="149">
        <f>IF($B6=0,"",($O6/30)*'MF Rents'!EJ6*'MF Rollover'!EG6)</f>
        <v>0</v>
      </c>
      <c r="EI6" s="149">
        <f>IF($B6=0,"",($O6/30)*'MF Rents'!EK6*'MF Rollover'!EH6)</f>
        <v>7798.8343441689976</v>
      </c>
      <c r="EJ6" s="149">
        <f>IF($B6=0,"",($O6/30)*'MF Rents'!EL6*'MF Rollover'!EI6)</f>
        <v>0</v>
      </c>
      <c r="EK6" s="149">
        <f>IF($B6=0,"",($O6/30)*'MF Rents'!EM6*'MF Rollover'!EJ6)</f>
        <v>0</v>
      </c>
      <c r="EL6" s="149">
        <f>IF($B6=0,"",($O6/30)*'MF Rents'!EN6*'MF Rollover'!EK6)</f>
        <v>0</v>
      </c>
      <c r="EM6" s="149">
        <f>IF($B6=0,"",($O6/30)*'MF Rents'!EO6*'MF Rollover'!EL6)</f>
        <v>0</v>
      </c>
      <c r="EN6" s="149">
        <f>IF($B6=0,"",($O6/30)*'MF Rents'!EP6*'MF Rollover'!EM6)</f>
        <v>0</v>
      </c>
      <c r="EO6" s="149">
        <f>IF($B6=0,"",($O6/30)*'MF Rents'!EQ6*'MF Rollover'!EN6)</f>
        <v>0</v>
      </c>
      <c r="EP6" s="149">
        <f>IF($B6=0,"",($O6/30)*'MF Rents'!ER6*'MF Rollover'!EO6)</f>
        <v>0</v>
      </c>
      <c r="EQ6" s="149">
        <f>IF($B6=0,"",($O6/30)*'MF Rents'!ES6*'MF Rollover'!EP6)</f>
        <v>0</v>
      </c>
      <c r="ER6" s="149">
        <f>IF($B6=0,"",($O6/30)*'MF Rents'!ET6*'MF Rollover'!EQ6)</f>
        <v>0</v>
      </c>
      <c r="ES6" s="149">
        <f>IF($B6=0,"",($O6/30)*'MF Rents'!EU6*'MF Rollover'!ER6)</f>
        <v>0</v>
      </c>
      <c r="ET6" s="149">
        <f>IF($B6=0,"",($O6/30)*'MF Rents'!EV6*'MF Rollover'!ES6)</f>
        <v>0</v>
      </c>
      <c r="EU6" s="149">
        <f>IF($B6=0,"",($O6/30)*'MF Rents'!EW6*'MF Rollover'!ET6)</f>
        <v>7915.8168593315322</v>
      </c>
      <c r="EV6" s="149">
        <f>IF($B6=0,"",($O6/30)*'MF Rents'!EX6*'MF Rollover'!EU6)</f>
        <v>0</v>
      </c>
      <c r="EW6" s="149">
        <f>IF($B6=0,"",($O6/30)*'MF Rents'!EY6*'MF Rollover'!EV6)</f>
        <v>0</v>
      </c>
      <c r="EX6" s="149">
        <f>IF($B6=0,"",($O6/30)*'MF Rents'!EZ6*'MF Rollover'!EW6)</f>
        <v>0</v>
      </c>
      <c r="EY6" s="149">
        <f>IF($B6=0,"",($O6/30)*'MF Rents'!FA6*'MF Rollover'!EX6)</f>
        <v>0</v>
      </c>
      <c r="EZ6" s="149">
        <f>IF($B6=0,"",($O6/30)*'MF Rents'!FB6*'MF Rollover'!EY6)</f>
        <v>0</v>
      </c>
      <c r="FA6" s="149">
        <f>IF($B6=0,"",($O6/30)*'MF Rents'!FC6*'MF Rollover'!EZ6)</f>
        <v>0</v>
      </c>
      <c r="FB6" s="149">
        <f>IF($B6=0,"",($O6/30)*'MF Rents'!FD6*'MF Rollover'!FA6)</f>
        <v>0</v>
      </c>
      <c r="FC6" s="149">
        <f>IF($B6=0,"",($O6/30)*'MF Rents'!FE6*'MF Rollover'!FB6)</f>
        <v>0</v>
      </c>
      <c r="FD6" s="149">
        <f>IF($B6=0,"",($O6/30)*'MF Rents'!FF6*'MF Rollover'!FC6)</f>
        <v>0</v>
      </c>
      <c r="FE6" s="149">
        <f>IF($B6=0,"",($O6/30)*'MF Rents'!FG6*'MF Rollover'!FD6)</f>
        <v>0</v>
      </c>
      <c r="FF6" s="149">
        <f>IF($B6=0,"",($O6/30)*'MF Rents'!FH6*'MF Rollover'!FE6)</f>
        <v>0</v>
      </c>
      <c r="FG6" s="149">
        <f>IF($B6=0,"",($O6/30)*'MF Rents'!FI6*'MF Rollover'!FF6)</f>
        <v>8034.5541122215036</v>
      </c>
      <c r="FH6" s="149">
        <f>IF($B6=0,"",($O6/30)*'MF Rents'!FJ6*'MF Rollover'!FG6)</f>
        <v>0</v>
      </c>
      <c r="FI6" s="149">
        <f>IF($B6=0,"",($O6/30)*'MF Rents'!FK6*'MF Rollover'!FH6)</f>
        <v>0</v>
      </c>
      <c r="FJ6" s="149">
        <f>IF($B6=0,"",($O6/30)*'MF Rents'!FL6*'MF Rollover'!FI6)</f>
        <v>0</v>
      </c>
      <c r="FK6" s="149">
        <f>IF($B6=0,"",($O6/30)*'MF Rents'!FM6*'MF Rollover'!FJ6)</f>
        <v>0</v>
      </c>
      <c r="FL6" s="149">
        <f>IF($B6=0,"",($O6/30)*'MF Rents'!FN6*'MF Rollover'!FK6)</f>
        <v>0</v>
      </c>
      <c r="FM6" s="149">
        <f>IF($B6=0,"",($O6/30)*'MF Rents'!FO6*'MF Rollover'!FL6)</f>
        <v>0</v>
      </c>
      <c r="FN6" s="149">
        <f>IF($B6=0,"",($O6/30)*'MF Rents'!FP6*'MF Rollover'!FM6)</f>
        <v>0</v>
      </c>
      <c r="FO6" s="149">
        <f>IF($B6=0,"",($O6/30)*'MF Rents'!FQ6*'MF Rollover'!FN6)</f>
        <v>0</v>
      </c>
      <c r="FP6" s="149">
        <f>IF($B6=0,"",($O6/30)*'MF Rents'!FR6*'MF Rollover'!FO6)</f>
        <v>0</v>
      </c>
      <c r="FQ6" s="149">
        <f>IF($B6=0,"",($O6/30)*'MF Rents'!FS6*'MF Rollover'!FP6)</f>
        <v>0</v>
      </c>
      <c r="FR6" s="149">
        <f>IF($B6=0,"",($O6/30)*'MF Rents'!FT6*'MF Rollover'!FQ6)</f>
        <v>0</v>
      </c>
      <c r="FS6" s="149">
        <f>IF($B6=0,"",($O6/30)*'MF Rents'!FU6*'MF Rollover'!FR6)</f>
        <v>8155.0724239048259</v>
      </c>
      <c r="FT6" s="149">
        <f>IF($B6=0,"",($O6/30)*'MF Rents'!FV6*'MF Rollover'!FS6)</f>
        <v>0</v>
      </c>
      <c r="FU6" s="149">
        <f>IF($B6=0,"",($O6/30)*'MF Rents'!FW6*'MF Rollover'!FT6)</f>
        <v>0</v>
      </c>
      <c r="FV6" s="149">
        <f>IF($B6=0,"",($O6/30)*'MF Rents'!FX6*'MF Rollover'!FU6)</f>
        <v>0</v>
      </c>
      <c r="FW6" s="149">
        <f>IF($B6=0,"",($O6/30)*'MF Rents'!FY6*'MF Rollover'!FV6)</f>
        <v>0</v>
      </c>
      <c r="FX6" s="149">
        <f>IF($B6=0,"",($O6/30)*'MF Rents'!FZ6*'MF Rollover'!FW6)</f>
        <v>0</v>
      </c>
      <c r="FY6" s="149">
        <f>IF($B6=0,"",($O6/30)*'MF Rents'!GA6*'MF Rollover'!FX6)</f>
        <v>0</v>
      </c>
      <c r="FZ6" s="149">
        <f>IF($B6=0,"",($O6/30)*'MF Rents'!GB6*'MF Rollover'!FY6)</f>
        <v>0</v>
      </c>
      <c r="GA6" s="149">
        <f>IF($B6=0,"",($O6/30)*'MF Rents'!GC6*'MF Rollover'!FZ6)</f>
        <v>0</v>
      </c>
      <c r="GB6" s="149">
        <f>IF($B6=0,"",($O6/30)*'MF Rents'!GD6*'MF Rollover'!GA6)</f>
        <v>0</v>
      </c>
      <c r="GC6" s="149">
        <f>IF($B6=0,"",($O6/30)*'MF Rents'!GE6*'MF Rollover'!GB6)</f>
        <v>0</v>
      </c>
      <c r="GD6" s="149">
        <f>IF($B6=0,"",($O6/30)*'MF Rents'!GF6*'MF Rollover'!GC6)</f>
        <v>0</v>
      </c>
      <c r="GE6" s="149">
        <f>IF($B6=0,"",($O6/30)*'MF Rents'!GG6*'MF Rollover'!GD6)</f>
        <v>8277.398510263396</v>
      </c>
      <c r="GF6" s="149">
        <f>IF($B6=0,"",($O6/30)*'MF Rents'!GH6*'MF Rollover'!GE6)</f>
        <v>0</v>
      </c>
      <c r="GG6" s="149">
        <f>IF($B6=0,"",($O6/30)*'MF Rents'!GI6*'MF Rollover'!GF6)</f>
        <v>0</v>
      </c>
      <c r="GH6" s="149">
        <f>IF($B6=0,"",($O6/30)*'MF Rents'!GJ6*'MF Rollover'!GG6)</f>
        <v>0</v>
      </c>
      <c r="GI6" s="149">
        <f>IF($B6=0,"",($O6/30)*'MF Rents'!GK6*'MF Rollover'!GH6)</f>
        <v>0</v>
      </c>
      <c r="GJ6" s="149">
        <f>IF($B6=0,"",($O6/30)*'MF Rents'!GL6*'MF Rollover'!GI6)</f>
        <v>0</v>
      </c>
      <c r="GK6" s="149">
        <f>IF($B6=0,"",($O6/30)*'MF Rents'!GM6*'MF Rollover'!GJ6)</f>
        <v>0</v>
      </c>
      <c r="GL6" s="149">
        <f>IF($B6=0,"",($O6/30)*'MF Rents'!GN6*'MF Rollover'!GK6)</f>
        <v>0</v>
      </c>
      <c r="GM6" s="149">
        <f>IF($B6=0,"",($O6/30)*'MF Rents'!GO6*'MF Rollover'!GL6)</f>
        <v>0</v>
      </c>
      <c r="GN6" s="149">
        <f>IF($B6=0,"",($O6/30)*'MF Rents'!GP6*'MF Rollover'!GM6)</f>
        <v>0</v>
      </c>
      <c r="GO6" s="149">
        <f>IF($B6=0,"",($O6/30)*'MF Rents'!GQ6*'MF Rollover'!GN6)</f>
        <v>0</v>
      </c>
      <c r="GP6" s="149">
        <f>IF($B6=0,"",($O6/30)*'MF Rents'!GR6*'MF Rollover'!GO6)</f>
        <v>0</v>
      </c>
    </row>
    <row r="7" spans="2:198" x14ac:dyDescent="0.3">
      <c r="B7" s="184" t="str">
        <f>'MF Rent Roll'!B6</f>
        <v>1bd/1ba</v>
      </c>
      <c r="C7" s="171">
        <f>'MF Rent Roll'!C6</f>
        <v>24</v>
      </c>
      <c r="D7" s="172">
        <f>'MF Rent Roll'!D6</f>
        <v>1</v>
      </c>
      <c r="E7" s="172">
        <f>'MF Rent Roll'!E6</f>
        <v>1</v>
      </c>
      <c r="F7" s="173">
        <f>'MF Rent Roll'!F6</f>
        <v>671</v>
      </c>
      <c r="G7" s="174">
        <f>'MF Rent Roll'!G6</f>
        <v>660</v>
      </c>
      <c r="H7" s="176">
        <f>'MF Rent Roll'!J6</f>
        <v>12</v>
      </c>
      <c r="I7" s="174">
        <f>'MF Rent Roll'!K6</f>
        <v>50</v>
      </c>
      <c r="J7" s="177">
        <f>'MF Rent Roll'!L6</f>
        <v>0</v>
      </c>
      <c r="K7" s="178">
        <f>'MF Rent Roll'!M6</f>
        <v>20</v>
      </c>
      <c r="L7" s="174">
        <f>'MF Rent Roll'!N6</f>
        <v>300</v>
      </c>
      <c r="M7" s="179">
        <f>'MF Rent Roll'!O6</f>
        <v>0.6</v>
      </c>
      <c r="N7" s="180">
        <f>'MF Rent Roll'!P6</f>
        <v>0</v>
      </c>
      <c r="O7" s="181">
        <f>'MF Rent Roll'!Q6</f>
        <v>8</v>
      </c>
      <c r="P7" s="104">
        <f>'MF Rent Roll'!R6</f>
        <v>120</v>
      </c>
      <c r="S7" s="149">
        <f>IF($B7=0,"",($O7/30)*'MF Rents'!U7*'MF Rollover'!R7)</f>
        <v>0</v>
      </c>
      <c r="T7" s="149">
        <f>IF($B7=0,"",($O7/30)*'MF Rents'!V7*'MF Rollover'!S7)</f>
        <v>0</v>
      </c>
      <c r="U7" s="149">
        <f>IF($B7=0,"",($O7/30)*'MF Rents'!W7*'MF Rollover'!T7)</f>
        <v>0</v>
      </c>
      <c r="V7" s="149">
        <f>IF($B7=0,"",($O7/30)*'MF Rents'!X7*'MF Rollover'!U7)</f>
        <v>0</v>
      </c>
      <c r="W7" s="149">
        <f>IF($B7=0,"",($O7/30)*'MF Rents'!Y7*'MF Rollover'!V7)</f>
        <v>0</v>
      </c>
      <c r="X7" s="149">
        <f>IF($B7=0,"",($O7/30)*'MF Rents'!Z7*'MF Rollover'!W7)</f>
        <v>0</v>
      </c>
      <c r="Y7" s="149">
        <f>IF($B7=0,"",($O7/30)*'MF Rents'!AA7*'MF Rollover'!X7)</f>
        <v>0</v>
      </c>
      <c r="Z7" s="149">
        <f>IF($B7=0,"",($O7/30)*'MF Rents'!AB7*'MF Rollover'!Y7)</f>
        <v>0</v>
      </c>
      <c r="AA7" s="149">
        <f>IF($B7=0,"",($O7/30)*'MF Rents'!AC7*'MF Rollover'!Z7)</f>
        <v>0</v>
      </c>
      <c r="AB7" s="149">
        <f>IF($B7=0,"",($O7/30)*'MF Rents'!AD7*'MF Rollover'!AA7)</f>
        <v>0</v>
      </c>
      <c r="AC7" s="149">
        <f>IF($B7=0,"",($O7/30)*'MF Rents'!AE7*'MF Rollover'!AB7)</f>
        <v>0</v>
      </c>
      <c r="AD7" s="149">
        <f>IF($B7=0,"",($O7/30)*'MF Rents'!AF7*'MF Rollover'!AC7)</f>
        <v>0</v>
      </c>
      <c r="AE7" s="149">
        <f>IF($B7=0,"",($O7/30)*'MF Rents'!AG7*'MF Rollover'!AD7)</f>
        <v>4287.3599999999997</v>
      </c>
      <c r="AF7" s="149">
        <f>IF($B7=0,"",($O7/30)*'MF Rents'!AH7*'MF Rollover'!AE7)</f>
        <v>0</v>
      </c>
      <c r="AG7" s="149">
        <f>IF($B7=0,"",($O7/30)*'MF Rents'!AI7*'MF Rollover'!AF7)</f>
        <v>0</v>
      </c>
      <c r="AH7" s="149">
        <f>IF($B7=0,"",($O7/30)*'MF Rents'!AJ7*'MF Rollover'!AG7)</f>
        <v>0</v>
      </c>
      <c r="AI7" s="149">
        <f>IF($B7=0,"",($O7/30)*'MF Rents'!AK7*'MF Rollover'!AH7)</f>
        <v>0</v>
      </c>
      <c r="AJ7" s="149">
        <f>IF($B7=0,"",($O7/30)*'MF Rents'!AL7*'MF Rollover'!AI7)</f>
        <v>0</v>
      </c>
      <c r="AK7" s="149">
        <f>IF($B7=0,"",($O7/30)*'MF Rents'!AM7*'MF Rollover'!AJ7)</f>
        <v>0</v>
      </c>
      <c r="AL7" s="149">
        <f>IF($B7=0,"",($O7/30)*'MF Rents'!AN7*'MF Rollover'!AK7)</f>
        <v>0</v>
      </c>
      <c r="AM7" s="149">
        <f>IF($B7=0,"",($O7/30)*'MF Rents'!AO7*'MF Rollover'!AL7)</f>
        <v>0</v>
      </c>
      <c r="AN7" s="149">
        <f>IF($B7=0,"",($O7/30)*'MF Rents'!AP7*'MF Rollover'!AM7)</f>
        <v>0</v>
      </c>
      <c r="AO7" s="149">
        <f>IF($B7=0,"",($O7/30)*'MF Rents'!AQ7*'MF Rollover'!AN7)</f>
        <v>0</v>
      </c>
      <c r="AP7" s="149">
        <f>IF($B7=0,"",($O7/30)*'MF Rents'!AR7*'MF Rollover'!AO7)</f>
        <v>0</v>
      </c>
      <c r="AQ7" s="149">
        <f>IF($B7=0,"",($O7/30)*'MF Rents'!AS7*'MF Rollover'!AP7)</f>
        <v>5142.8831999999984</v>
      </c>
      <c r="AR7" s="149">
        <f>IF($B7=0,"",($O7/30)*'MF Rents'!AT7*'MF Rollover'!AQ7)</f>
        <v>0</v>
      </c>
      <c r="AS7" s="149">
        <f>IF($B7=0,"",($O7/30)*'MF Rents'!AU7*'MF Rollover'!AR7)</f>
        <v>0</v>
      </c>
      <c r="AT7" s="149">
        <f>IF($B7=0,"",($O7/30)*'MF Rents'!AV7*'MF Rollover'!AS7)</f>
        <v>0</v>
      </c>
      <c r="AU7" s="149">
        <f>IF($B7=0,"",($O7/30)*'MF Rents'!AW7*'MF Rollover'!AT7)</f>
        <v>0</v>
      </c>
      <c r="AV7" s="149">
        <f>IF($B7=0,"",($O7/30)*'MF Rents'!AX7*'MF Rollover'!AU7)</f>
        <v>0</v>
      </c>
      <c r="AW7" s="149">
        <f>IF($B7=0,"",($O7/30)*'MF Rents'!AY7*'MF Rollover'!AV7)</f>
        <v>0</v>
      </c>
      <c r="AX7" s="149">
        <f>IF($B7=0,"",($O7/30)*'MF Rents'!AZ7*'MF Rollover'!AW7)</f>
        <v>0</v>
      </c>
      <c r="AY7" s="149">
        <f>IF($B7=0,"",($O7/30)*'MF Rents'!BA7*'MF Rollover'!AX7)</f>
        <v>0</v>
      </c>
      <c r="AZ7" s="149">
        <f>IF($B7=0,"",($O7/30)*'MF Rents'!BB7*'MF Rollover'!AY7)</f>
        <v>0</v>
      </c>
      <c r="BA7" s="149">
        <f>IF($B7=0,"",($O7/30)*'MF Rents'!BC7*'MF Rollover'!AZ7)</f>
        <v>0</v>
      </c>
      <c r="BB7" s="149">
        <f>IF($B7=0,"",($O7/30)*'MF Rents'!BD7*'MF Rollover'!BA7)</f>
        <v>0</v>
      </c>
      <c r="BC7" s="149">
        <f>IF($B7=0,"",($O7/30)*'MF Rents'!BE7*'MF Rollover'!BB7)</f>
        <v>5220.0264479999987</v>
      </c>
      <c r="BD7" s="149">
        <f>IF($B7=0,"",($O7/30)*'MF Rents'!BF7*'MF Rollover'!BC7)</f>
        <v>0</v>
      </c>
      <c r="BE7" s="149">
        <f>IF($B7=0,"",($O7/30)*'MF Rents'!BG7*'MF Rollover'!BD7)</f>
        <v>0</v>
      </c>
      <c r="BF7" s="149">
        <f>IF($B7=0,"",($O7/30)*'MF Rents'!BH7*'MF Rollover'!BE7)</f>
        <v>0</v>
      </c>
      <c r="BG7" s="149">
        <f>IF($B7=0,"",($O7/30)*'MF Rents'!BI7*'MF Rollover'!BF7)</f>
        <v>0</v>
      </c>
      <c r="BH7" s="149">
        <f>IF($B7=0,"",($O7/30)*'MF Rents'!BJ7*'MF Rollover'!BG7)</f>
        <v>0</v>
      </c>
      <c r="BI7" s="149">
        <f>IF($B7=0,"",($O7/30)*'MF Rents'!BK7*'MF Rollover'!BH7)</f>
        <v>0</v>
      </c>
      <c r="BJ7" s="149">
        <f>IF($B7=0,"",($O7/30)*'MF Rents'!BL7*'MF Rollover'!BI7)</f>
        <v>0</v>
      </c>
      <c r="BK7" s="149">
        <f>IF($B7=0,"",($O7/30)*'MF Rents'!BM7*'MF Rollover'!BJ7)</f>
        <v>0</v>
      </c>
      <c r="BL7" s="149">
        <f>IF($B7=0,"",($O7/30)*'MF Rents'!BN7*'MF Rollover'!BK7)</f>
        <v>0</v>
      </c>
      <c r="BM7" s="149">
        <f>IF($B7=0,"",($O7/30)*'MF Rents'!BO7*'MF Rollover'!BL7)</f>
        <v>0</v>
      </c>
      <c r="BN7" s="149">
        <f>IF($B7=0,"",($O7/30)*'MF Rents'!BP7*'MF Rollover'!BM7)</f>
        <v>0</v>
      </c>
      <c r="BO7" s="149">
        <f>IF($B7=0,"",($O7/30)*'MF Rents'!BQ7*'MF Rollover'!BN7)</f>
        <v>5298.3268447199971</v>
      </c>
      <c r="BP7" s="149">
        <f>IF($B7=0,"",($O7/30)*'MF Rents'!BR7*'MF Rollover'!BO7)</f>
        <v>0</v>
      </c>
      <c r="BQ7" s="149">
        <f>IF($B7=0,"",($O7/30)*'MF Rents'!BS7*'MF Rollover'!BP7)</f>
        <v>0</v>
      </c>
      <c r="BR7" s="149">
        <f>IF($B7=0,"",($O7/30)*'MF Rents'!BT7*'MF Rollover'!BQ7)</f>
        <v>0</v>
      </c>
      <c r="BS7" s="149">
        <f>IF($B7=0,"",($O7/30)*'MF Rents'!BU7*'MF Rollover'!BR7)</f>
        <v>0</v>
      </c>
      <c r="BT7" s="149">
        <f>IF($B7=0,"",($O7/30)*'MF Rents'!BV7*'MF Rollover'!BS7)</f>
        <v>0</v>
      </c>
      <c r="BU7" s="149">
        <f>IF($B7=0,"",($O7/30)*'MF Rents'!BW7*'MF Rollover'!BT7)</f>
        <v>0</v>
      </c>
      <c r="BV7" s="149">
        <f>IF($B7=0,"",($O7/30)*'MF Rents'!BX7*'MF Rollover'!BU7)</f>
        <v>0</v>
      </c>
      <c r="BW7" s="149">
        <f>IF($B7=0,"",($O7/30)*'MF Rents'!BY7*'MF Rollover'!BV7)</f>
        <v>0</v>
      </c>
      <c r="BX7" s="149">
        <f>IF($B7=0,"",($O7/30)*'MF Rents'!BZ7*'MF Rollover'!BW7)</f>
        <v>0</v>
      </c>
      <c r="BY7" s="149">
        <f>IF($B7=0,"",($O7/30)*'MF Rents'!CA7*'MF Rollover'!BX7)</f>
        <v>0</v>
      </c>
      <c r="BZ7" s="149">
        <f>IF($B7=0,"",($O7/30)*'MF Rents'!CB7*'MF Rollover'!BY7)</f>
        <v>0</v>
      </c>
      <c r="CA7" s="149">
        <f>IF($B7=0,"",($O7/30)*'MF Rents'!CC7*'MF Rollover'!BZ7)</f>
        <v>5377.8017473907967</v>
      </c>
      <c r="CB7" s="149">
        <f>IF($B7=0,"",($O7/30)*'MF Rents'!CD7*'MF Rollover'!CA7)</f>
        <v>0</v>
      </c>
      <c r="CC7" s="149">
        <f>IF($B7=0,"",($O7/30)*'MF Rents'!CE7*'MF Rollover'!CB7)</f>
        <v>0</v>
      </c>
      <c r="CD7" s="149">
        <f>IF($B7=0,"",($O7/30)*'MF Rents'!CF7*'MF Rollover'!CC7)</f>
        <v>0</v>
      </c>
      <c r="CE7" s="149">
        <f>IF($B7=0,"",($O7/30)*'MF Rents'!CG7*'MF Rollover'!CD7)</f>
        <v>0</v>
      </c>
      <c r="CF7" s="149">
        <f>IF($B7=0,"",($O7/30)*'MF Rents'!CH7*'MF Rollover'!CE7)</f>
        <v>0</v>
      </c>
      <c r="CG7" s="149">
        <f>IF($B7=0,"",($O7/30)*'MF Rents'!CI7*'MF Rollover'!CF7)</f>
        <v>0</v>
      </c>
      <c r="CH7" s="149">
        <f>IF($B7=0,"",($O7/30)*'MF Rents'!CJ7*'MF Rollover'!CG7)</f>
        <v>0</v>
      </c>
      <c r="CI7" s="149">
        <f>IF($B7=0,"",($O7/30)*'MF Rents'!CK7*'MF Rollover'!CH7)</f>
        <v>0</v>
      </c>
      <c r="CJ7" s="149">
        <f>IF($B7=0,"",($O7/30)*'MF Rents'!CL7*'MF Rollover'!CI7)</f>
        <v>0</v>
      </c>
      <c r="CK7" s="149">
        <f>IF($B7=0,"",($O7/30)*'MF Rents'!CM7*'MF Rollover'!CJ7)</f>
        <v>0</v>
      </c>
      <c r="CL7" s="149">
        <f>IF($B7=0,"",($O7/30)*'MF Rents'!CN7*'MF Rollover'!CK7)</f>
        <v>0</v>
      </c>
      <c r="CM7" s="149">
        <f>IF($B7=0,"",($O7/30)*'MF Rents'!CO7*'MF Rollover'!CL7)</f>
        <v>5458.4687736016567</v>
      </c>
      <c r="CN7" s="149">
        <f>IF($B7=0,"",($O7/30)*'MF Rents'!CP7*'MF Rollover'!CM7)</f>
        <v>0</v>
      </c>
      <c r="CO7" s="149">
        <f>IF($B7=0,"",($O7/30)*'MF Rents'!CQ7*'MF Rollover'!CN7)</f>
        <v>0</v>
      </c>
      <c r="CP7" s="149">
        <f>IF($B7=0,"",($O7/30)*'MF Rents'!CR7*'MF Rollover'!CO7)</f>
        <v>0</v>
      </c>
      <c r="CQ7" s="149">
        <f>IF($B7=0,"",($O7/30)*'MF Rents'!CS7*'MF Rollover'!CP7)</f>
        <v>0</v>
      </c>
      <c r="CR7" s="149">
        <f>IF($B7=0,"",($O7/30)*'MF Rents'!CT7*'MF Rollover'!CQ7)</f>
        <v>0</v>
      </c>
      <c r="CS7" s="149">
        <f>IF($B7=0,"",($O7/30)*'MF Rents'!CU7*'MF Rollover'!CR7)</f>
        <v>0</v>
      </c>
      <c r="CT7" s="149">
        <f>IF($B7=0,"",($O7/30)*'MF Rents'!CV7*'MF Rollover'!CS7)</f>
        <v>0</v>
      </c>
      <c r="CU7" s="149">
        <f>IF($B7=0,"",($O7/30)*'MF Rents'!CW7*'MF Rollover'!CT7)</f>
        <v>0</v>
      </c>
      <c r="CV7" s="149">
        <f>IF($B7=0,"",($O7/30)*'MF Rents'!CX7*'MF Rollover'!CU7)</f>
        <v>0</v>
      </c>
      <c r="CW7" s="149">
        <f>IF($B7=0,"",($O7/30)*'MF Rents'!CY7*'MF Rollover'!CV7)</f>
        <v>0</v>
      </c>
      <c r="CX7" s="149">
        <f>IF($B7=0,"",($O7/30)*'MF Rents'!CZ7*'MF Rollover'!CW7)</f>
        <v>0</v>
      </c>
      <c r="CY7" s="149">
        <f>IF($B7=0,"",($O7/30)*'MF Rents'!DA7*'MF Rollover'!CX7)</f>
        <v>5540.3458052056812</v>
      </c>
      <c r="CZ7" s="149">
        <f>IF($B7=0,"",($O7/30)*'MF Rents'!DB7*'MF Rollover'!CY7)</f>
        <v>0</v>
      </c>
      <c r="DA7" s="149">
        <f>IF($B7=0,"",($O7/30)*'MF Rents'!DC7*'MF Rollover'!CZ7)</f>
        <v>0</v>
      </c>
      <c r="DB7" s="149">
        <f>IF($B7=0,"",($O7/30)*'MF Rents'!DD7*'MF Rollover'!DA7)</f>
        <v>0</v>
      </c>
      <c r="DC7" s="149">
        <f>IF($B7=0,"",($O7/30)*'MF Rents'!DE7*'MF Rollover'!DB7)</f>
        <v>0</v>
      </c>
      <c r="DD7" s="149">
        <f>IF($B7=0,"",($O7/30)*'MF Rents'!DF7*'MF Rollover'!DC7)</f>
        <v>0</v>
      </c>
      <c r="DE7" s="149">
        <f>IF($B7=0,"",($O7/30)*'MF Rents'!DG7*'MF Rollover'!DD7)</f>
        <v>0</v>
      </c>
      <c r="DF7" s="149">
        <f>IF($B7=0,"",($O7/30)*'MF Rents'!DH7*'MF Rollover'!DE7)</f>
        <v>0</v>
      </c>
      <c r="DG7" s="149">
        <f>IF($B7=0,"",($O7/30)*'MF Rents'!DI7*'MF Rollover'!DF7)</f>
        <v>0</v>
      </c>
      <c r="DH7" s="149">
        <f>IF($B7=0,"",($O7/30)*'MF Rents'!DJ7*'MF Rollover'!DG7)</f>
        <v>0</v>
      </c>
      <c r="DI7" s="149">
        <f>IF($B7=0,"",($O7/30)*'MF Rents'!DK7*'MF Rollover'!DH7)</f>
        <v>0</v>
      </c>
      <c r="DJ7" s="149">
        <f>IF($B7=0,"",($O7/30)*'MF Rents'!DL7*'MF Rollover'!DI7)</f>
        <v>0</v>
      </c>
      <c r="DK7" s="149">
        <f>IF($B7=0,"",($O7/30)*'MF Rents'!DM7*'MF Rollover'!DJ7)</f>
        <v>5623.450992283766</v>
      </c>
      <c r="DL7" s="149">
        <f>IF($B7=0,"",($O7/30)*'MF Rents'!DN7*'MF Rollover'!DK7)</f>
        <v>0</v>
      </c>
      <c r="DM7" s="149">
        <f>IF($B7=0,"",($O7/30)*'MF Rents'!DO7*'MF Rollover'!DL7)</f>
        <v>0</v>
      </c>
      <c r="DN7" s="149">
        <f>IF($B7=0,"",($O7/30)*'MF Rents'!DP7*'MF Rollover'!DM7)</f>
        <v>0</v>
      </c>
      <c r="DO7" s="149">
        <f>IF($B7=0,"",($O7/30)*'MF Rents'!DQ7*'MF Rollover'!DN7)</f>
        <v>0</v>
      </c>
      <c r="DP7" s="149">
        <f>IF($B7=0,"",($O7/30)*'MF Rents'!DR7*'MF Rollover'!DO7)</f>
        <v>0</v>
      </c>
      <c r="DQ7" s="149">
        <f>IF($B7=0,"",($O7/30)*'MF Rents'!DS7*'MF Rollover'!DP7)</f>
        <v>0</v>
      </c>
      <c r="DR7" s="149">
        <f>IF($B7=0,"",($O7/30)*'MF Rents'!DT7*'MF Rollover'!DQ7)</f>
        <v>0</v>
      </c>
      <c r="DS7" s="149">
        <f>IF($B7=0,"",($O7/30)*'MF Rents'!DU7*'MF Rollover'!DR7)</f>
        <v>0</v>
      </c>
      <c r="DT7" s="149">
        <f>IF($B7=0,"",($O7/30)*'MF Rents'!DV7*'MF Rollover'!DS7)</f>
        <v>0</v>
      </c>
      <c r="DU7" s="149">
        <f>IF($B7=0,"",($O7/30)*'MF Rents'!DW7*'MF Rollover'!DT7)</f>
        <v>0</v>
      </c>
      <c r="DV7" s="149">
        <f>IF($B7=0,"",($O7/30)*'MF Rents'!DX7*'MF Rollover'!DU7)</f>
        <v>0</v>
      </c>
      <c r="DW7" s="149">
        <f>IF($B7=0,"",($O7/30)*'MF Rents'!DY7*'MF Rollover'!DV7)</f>
        <v>5707.8027571680213</v>
      </c>
      <c r="DX7" s="149">
        <f>IF($B7=0,"",($O7/30)*'MF Rents'!DZ7*'MF Rollover'!DW7)</f>
        <v>0</v>
      </c>
      <c r="DY7" s="149">
        <f>IF($B7=0,"",($O7/30)*'MF Rents'!EA7*'MF Rollover'!DX7)</f>
        <v>0</v>
      </c>
      <c r="DZ7" s="149">
        <f>IF($B7=0,"",($O7/30)*'MF Rents'!EB7*'MF Rollover'!DY7)</f>
        <v>0</v>
      </c>
      <c r="EA7" s="149">
        <f>IF($B7=0,"",($O7/30)*'MF Rents'!EC7*'MF Rollover'!DZ7)</f>
        <v>0</v>
      </c>
      <c r="EB7" s="149">
        <f>IF($B7=0,"",($O7/30)*'MF Rents'!ED7*'MF Rollover'!EA7)</f>
        <v>0</v>
      </c>
      <c r="EC7" s="149">
        <f>IF($B7=0,"",($O7/30)*'MF Rents'!EE7*'MF Rollover'!EB7)</f>
        <v>0</v>
      </c>
      <c r="ED7" s="149">
        <f>IF($B7=0,"",($O7/30)*'MF Rents'!EF7*'MF Rollover'!EC7)</f>
        <v>0</v>
      </c>
      <c r="EE7" s="149">
        <f>IF($B7=0,"",($O7/30)*'MF Rents'!EG7*'MF Rollover'!ED7)</f>
        <v>0</v>
      </c>
      <c r="EF7" s="149">
        <f>IF($B7=0,"",($O7/30)*'MF Rents'!EH7*'MF Rollover'!EE7)</f>
        <v>0</v>
      </c>
      <c r="EG7" s="149">
        <f>IF($B7=0,"",($O7/30)*'MF Rents'!EI7*'MF Rollover'!EF7)</f>
        <v>0</v>
      </c>
      <c r="EH7" s="149">
        <f>IF($B7=0,"",($O7/30)*'MF Rents'!EJ7*'MF Rollover'!EG7)</f>
        <v>0</v>
      </c>
      <c r="EI7" s="149">
        <f>IF($B7=0,"",($O7/30)*'MF Rents'!EK7*'MF Rollover'!EH7)</f>
        <v>5793.4197985255414</v>
      </c>
      <c r="EJ7" s="149">
        <f>IF($B7=0,"",($O7/30)*'MF Rents'!EL7*'MF Rollover'!EI7)</f>
        <v>0</v>
      </c>
      <c r="EK7" s="149">
        <f>IF($B7=0,"",($O7/30)*'MF Rents'!EM7*'MF Rollover'!EJ7)</f>
        <v>0</v>
      </c>
      <c r="EL7" s="149">
        <f>IF($B7=0,"",($O7/30)*'MF Rents'!EN7*'MF Rollover'!EK7)</f>
        <v>0</v>
      </c>
      <c r="EM7" s="149">
        <f>IF($B7=0,"",($O7/30)*'MF Rents'!EO7*'MF Rollover'!EL7)</f>
        <v>0</v>
      </c>
      <c r="EN7" s="149">
        <f>IF($B7=0,"",($O7/30)*'MF Rents'!EP7*'MF Rollover'!EM7)</f>
        <v>0</v>
      </c>
      <c r="EO7" s="149">
        <f>IF($B7=0,"",($O7/30)*'MF Rents'!EQ7*'MF Rollover'!EN7)</f>
        <v>0</v>
      </c>
      <c r="EP7" s="149">
        <f>IF($B7=0,"",($O7/30)*'MF Rents'!ER7*'MF Rollover'!EO7)</f>
        <v>0</v>
      </c>
      <c r="EQ7" s="149">
        <f>IF($B7=0,"",($O7/30)*'MF Rents'!ES7*'MF Rollover'!EP7)</f>
        <v>0</v>
      </c>
      <c r="ER7" s="149">
        <f>IF($B7=0,"",($O7/30)*'MF Rents'!ET7*'MF Rollover'!EQ7)</f>
        <v>0</v>
      </c>
      <c r="ES7" s="149">
        <f>IF($B7=0,"",($O7/30)*'MF Rents'!EU7*'MF Rollover'!ER7)</f>
        <v>0</v>
      </c>
      <c r="ET7" s="149">
        <f>IF($B7=0,"",($O7/30)*'MF Rents'!EV7*'MF Rollover'!ES7)</f>
        <v>0</v>
      </c>
      <c r="EU7" s="149">
        <f>IF($B7=0,"",($O7/30)*'MF Rents'!EW7*'MF Rollover'!ET7)</f>
        <v>5880.3210955034247</v>
      </c>
      <c r="EV7" s="149">
        <f>IF($B7=0,"",($O7/30)*'MF Rents'!EX7*'MF Rollover'!EU7)</f>
        <v>0</v>
      </c>
      <c r="EW7" s="149">
        <f>IF($B7=0,"",($O7/30)*'MF Rents'!EY7*'MF Rollover'!EV7)</f>
        <v>0</v>
      </c>
      <c r="EX7" s="149">
        <f>IF($B7=0,"",($O7/30)*'MF Rents'!EZ7*'MF Rollover'!EW7)</f>
        <v>0</v>
      </c>
      <c r="EY7" s="149">
        <f>IF($B7=0,"",($O7/30)*'MF Rents'!FA7*'MF Rollover'!EX7)</f>
        <v>0</v>
      </c>
      <c r="EZ7" s="149">
        <f>IF($B7=0,"",($O7/30)*'MF Rents'!FB7*'MF Rollover'!EY7)</f>
        <v>0</v>
      </c>
      <c r="FA7" s="149">
        <f>IF($B7=0,"",($O7/30)*'MF Rents'!FC7*'MF Rollover'!EZ7)</f>
        <v>0</v>
      </c>
      <c r="FB7" s="149">
        <f>IF($B7=0,"",($O7/30)*'MF Rents'!FD7*'MF Rollover'!FA7)</f>
        <v>0</v>
      </c>
      <c r="FC7" s="149">
        <f>IF($B7=0,"",($O7/30)*'MF Rents'!FE7*'MF Rollover'!FB7)</f>
        <v>0</v>
      </c>
      <c r="FD7" s="149">
        <f>IF($B7=0,"",($O7/30)*'MF Rents'!FF7*'MF Rollover'!FC7)</f>
        <v>0</v>
      </c>
      <c r="FE7" s="149">
        <f>IF($B7=0,"",($O7/30)*'MF Rents'!FG7*'MF Rollover'!FD7)</f>
        <v>0</v>
      </c>
      <c r="FF7" s="149">
        <f>IF($B7=0,"",($O7/30)*'MF Rents'!FH7*'MF Rollover'!FE7)</f>
        <v>0</v>
      </c>
      <c r="FG7" s="149">
        <f>IF($B7=0,"",($O7/30)*'MF Rents'!FI7*'MF Rollover'!FF7)</f>
        <v>5968.5259119359735</v>
      </c>
      <c r="FH7" s="149">
        <f>IF($B7=0,"",($O7/30)*'MF Rents'!FJ7*'MF Rollover'!FG7)</f>
        <v>0</v>
      </c>
      <c r="FI7" s="149">
        <f>IF($B7=0,"",($O7/30)*'MF Rents'!FK7*'MF Rollover'!FH7)</f>
        <v>0</v>
      </c>
      <c r="FJ7" s="149">
        <f>IF($B7=0,"",($O7/30)*'MF Rents'!FL7*'MF Rollover'!FI7)</f>
        <v>0</v>
      </c>
      <c r="FK7" s="149">
        <f>IF($B7=0,"",($O7/30)*'MF Rents'!FM7*'MF Rollover'!FJ7)</f>
        <v>0</v>
      </c>
      <c r="FL7" s="149">
        <f>IF($B7=0,"",($O7/30)*'MF Rents'!FN7*'MF Rollover'!FK7)</f>
        <v>0</v>
      </c>
      <c r="FM7" s="149">
        <f>IF($B7=0,"",($O7/30)*'MF Rents'!FO7*'MF Rollover'!FL7)</f>
        <v>0</v>
      </c>
      <c r="FN7" s="149">
        <f>IF($B7=0,"",($O7/30)*'MF Rents'!FP7*'MF Rollover'!FM7)</f>
        <v>0</v>
      </c>
      <c r="FO7" s="149">
        <f>IF($B7=0,"",($O7/30)*'MF Rents'!FQ7*'MF Rollover'!FN7)</f>
        <v>0</v>
      </c>
      <c r="FP7" s="149">
        <f>IF($B7=0,"",($O7/30)*'MF Rents'!FR7*'MF Rollover'!FO7)</f>
        <v>0</v>
      </c>
      <c r="FQ7" s="149">
        <f>IF($B7=0,"",($O7/30)*'MF Rents'!FS7*'MF Rollover'!FP7)</f>
        <v>0</v>
      </c>
      <c r="FR7" s="149">
        <f>IF($B7=0,"",($O7/30)*'MF Rents'!FT7*'MF Rollover'!FQ7)</f>
        <v>0</v>
      </c>
      <c r="FS7" s="149">
        <f>IF($B7=0,"",($O7/30)*'MF Rents'!FU7*'MF Rollover'!FR7)</f>
        <v>6058.0538006150136</v>
      </c>
      <c r="FT7" s="149">
        <f>IF($B7=0,"",($O7/30)*'MF Rents'!FV7*'MF Rollover'!FS7)</f>
        <v>0</v>
      </c>
      <c r="FU7" s="149">
        <f>IF($B7=0,"",($O7/30)*'MF Rents'!FW7*'MF Rollover'!FT7)</f>
        <v>0</v>
      </c>
      <c r="FV7" s="149">
        <f>IF($B7=0,"",($O7/30)*'MF Rents'!FX7*'MF Rollover'!FU7)</f>
        <v>0</v>
      </c>
      <c r="FW7" s="149">
        <f>IF($B7=0,"",($O7/30)*'MF Rents'!FY7*'MF Rollover'!FV7)</f>
        <v>0</v>
      </c>
      <c r="FX7" s="149">
        <f>IF($B7=0,"",($O7/30)*'MF Rents'!FZ7*'MF Rollover'!FW7)</f>
        <v>0</v>
      </c>
      <c r="FY7" s="149">
        <f>IF($B7=0,"",($O7/30)*'MF Rents'!GA7*'MF Rollover'!FX7)</f>
        <v>0</v>
      </c>
      <c r="FZ7" s="149">
        <f>IF($B7=0,"",($O7/30)*'MF Rents'!GB7*'MF Rollover'!FY7)</f>
        <v>0</v>
      </c>
      <c r="GA7" s="149">
        <f>IF($B7=0,"",($O7/30)*'MF Rents'!GC7*'MF Rollover'!FZ7)</f>
        <v>0</v>
      </c>
      <c r="GB7" s="149">
        <f>IF($B7=0,"",($O7/30)*'MF Rents'!GD7*'MF Rollover'!GA7)</f>
        <v>0</v>
      </c>
      <c r="GC7" s="149">
        <f>IF($B7=0,"",($O7/30)*'MF Rents'!GE7*'MF Rollover'!GB7)</f>
        <v>0</v>
      </c>
      <c r="GD7" s="149">
        <f>IF($B7=0,"",($O7/30)*'MF Rents'!GF7*'MF Rollover'!GC7)</f>
        <v>0</v>
      </c>
      <c r="GE7" s="149">
        <f>IF($B7=0,"",($O7/30)*'MF Rents'!GG7*'MF Rollover'!GD7)</f>
        <v>6148.9246076242371</v>
      </c>
      <c r="GF7" s="149">
        <f>IF($B7=0,"",($O7/30)*'MF Rents'!GH7*'MF Rollover'!GE7)</f>
        <v>0</v>
      </c>
      <c r="GG7" s="149">
        <f>IF($B7=0,"",($O7/30)*'MF Rents'!GI7*'MF Rollover'!GF7)</f>
        <v>0</v>
      </c>
      <c r="GH7" s="149">
        <f>IF($B7=0,"",($O7/30)*'MF Rents'!GJ7*'MF Rollover'!GG7)</f>
        <v>0</v>
      </c>
      <c r="GI7" s="149">
        <f>IF($B7=0,"",($O7/30)*'MF Rents'!GK7*'MF Rollover'!GH7)</f>
        <v>0</v>
      </c>
      <c r="GJ7" s="149">
        <f>IF($B7=0,"",($O7/30)*'MF Rents'!GL7*'MF Rollover'!GI7)</f>
        <v>0</v>
      </c>
      <c r="GK7" s="149">
        <f>IF($B7=0,"",($O7/30)*'MF Rents'!GM7*'MF Rollover'!GJ7)</f>
        <v>0</v>
      </c>
      <c r="GL7" s="149">
        <f>IF($B7=0,"",($O7/30)*'MF Rents'!GN7*'MF Rollover'!GK7)</f>
        <v>0</v>
      </c>
      <c r="GM7" s="149">
        <f>IF($B7=0,"",($O7/30)*'MF Rents'!GO7*'MF Rollover'!GL7)</f>
        <v>0</v>
      </c>
      <c r="GN7" s="149">
        <f>IF($B7=0,"",($O7/30)*'MF Rents'!GP7*'MF Rollover'!GM7)</f>
        <v>0</v>
      </c>
      <c r="GO7" s="149">
        <f>IF($B7=0,"",($O7/30)*'MF Rents'!GQ7*'MF Rollover'!GN7)</f>
        <v>0</v>
      </c>
      <c r="GP7" s="149">
        <f>IF($B7=0,"",($O7/30)*'MF Rents'!GR7*'MF Rollover'!GO7)</f>
        <v>0</v>
      </c>
    </row>
    <row r="8" spans="2:198" x14ac:dyDescent="0.3">
      <c r="B8" s="184" t="str">
        <f>'MF Rent Roll'!B7</f>
        <v>2bd/2ba</v>
      </c>
      <c r="C8" s="171">
        <f>'MF Rent Roll'!C7</f>
        <v>24</v>
      </c>
      <c r="D8" s="172">
        <f>'MF Rent Roll'!D7</f>
        <v>2</v>
      </c>
      <c r="E8" s="172">
        <f>'MF Rent Roll'!E7</f>
        <v>2</v>
      </c>
      <c r="F8" s="173">
        <f>'MF Rent Roll'!F7</f>
        <v>945</v>
      </c>
      <c r="G8" s="174">
        <f>'MF Rent Roll'!G7</f>
        <v>850</v>
      </c>
      <c r="H8" s="176">
        <f>'MF Rent Roll'!J7</f>
        <v>12</v>
      </c>
      <c r="I8" s="174">
        <f>'MF Rent Roll'!K7</f>
        <v>60</v>
      </c>
      <c r="J8" s="177">
        <f>'MF Rent Roll'!L7</f>
        <v>0</v>
      </c>
      <c r="K8" s="178">
        <f>'MF Rent Roll'!M7</f>
        <v>25</v>
      </c>
      <c r="L8" s="174">
        <f>'MF Rent Roll'!N7</f>
        <v>350</v>
      </c>
      <c r="M8" s="179">
        <f>'MF Rent Roll'!O7</f>
        <v>0.6</v>
      </c>
      <c r="N8" s="180">
        <f>'MF Rent Roll'!P7</f>
        <v>0</v>
      </c>
      <c r="O8" s="181">
        <f>'MF Rent Roll'!Q7</f>
        <v>10</v>
      </c>
      <c r="P8" s="104">
        <f>'MF Rent Roll'!R7</f>
        <v>140</v>
      </c>
      <c r="S8" s="149">
        <f>IF($B8=0,"",($O8/30)*'MF Rents'!U8*'MF Rollover'!R8)</f>
        <v>0</v>
      </c>
      <c r="T8" s="149">
        <f>IF($B8=0,"",($O8/30)*'MF Rents'!V8*'MF Rollover'!S8)</f>
        <v>0</v>
      </c>
      <c r="U8" s="149">
        <f>IF($B8=0,"",($O8/30)*'MF Rents'!W8*'MF Rollover'!T8)</f>
        <v>0</v>
      </c>
      <c r="V8" s="149">
        <f>IF($B8=0,"",($O8/30)*'MF Rents'!X8*'MF Rollover'!U8)</f>
        <v>0</v>
      </c>
      <c r="W8" s="149">
        <f>IF($B8=0,"",($O8/30)*'MF Rents'!Y8*'MF Rollover'!V8)</f>
        <v>0</v>
      </c>
      <c r="X8" s="149">
        <f>IF($B8=0,"",($O8/30)*'MF Rents'!Z8*'MF Rollover'!W8)</f>
        <v>0</v>
      </c>
      <c r="Y8" s="149">
        <f>IF($B8=0,"",($O8/30)*'MF Rents'!AA8*'MF Rollover'!X8)</f>
        <v>0</v>
      </c>
      <c r="Z8" s="149">
        <f>IF($B8=0,"",($O8/30)*'MF Rents'!AB8*'MF Rollover'!Y8)</f>
        <v>0</v>
      </c>
      <c r="AA8" s="149">
        <f>IF($B8=0,"",($O8/30)*'MF Rents'!AC8*'MF Rollover'!Z8)</f>
        <v>0</v>
      </c>
      <c r="AB8" s="149">
        <f>IF($B8=0,"",($O8/30)*'MF Rents'!AD8*'MF Rollover'!AA8)</f>
        <v>0</v>
      </c>
      <c r="AC8" s="149">
        <f>IF($B8=0,"",($O8/30)*'MF Rents'!AE8*'MF Rollover'!AB8)</f>
        <v>0</v>
      </c>
      <c r="AD8" s="149">
        <f>IF($B8=0,"",($O8/30)*'MF Rents'!AF8*'MF Rollover'!AC8)</f>
        <v>0</v>
      </c>
      <c r="AE8" s="149">
        <f>IF($B8=0,"",($O8/30)*'MF Rents'!AG8*'MF Rollover'!AD8)</f>
        <v>6901.9999999999982</v>
      </c>
      <c r="AF8" s="149">
        <f>IF($B8=0,"",($O8/30)*'MF Rents'!AH8*'MF Rollover'!AE8)</f>
        <v>0</v>
      </c>
      <c r="AG8" s="149">
        <f>IF($B8=0,"",($O8/30)*'MF Rents'!AI8*'MF Rollover'!AF8)</f>
        <v>0</v>
      </c>
      <c r="AH8" s="149">
        <f>IF($B8=0,"",($O8/30)*'MF Rents'!AJ8*'MF Rollover'!AG8)</f>
        <v>0</v>
      </c>
      <c r="AI8" s="149">
        <f>IF($B8=0,"",($O8/30)*'MF Rents'!AK8*'MF Rollover'!AH8)</f>
        <v>0</v>
      </c>
      <c r="AJ8" s="149">
        <f>IF($B8=0,"",($O8/30)*'MF Rents'!AL8*'MF Rollover'!AI8)</f>
        <v>0</v>
      </c>
      <c r="AK8" s="149">
        <f>IF($B8=0,"",($O8/30)*'MF Rents'!AM8*'MF Rollover'!AJ8)</f>
        <v>0</v>
      </c>
      <c r="AL8" s="149">
        <f>IF($B8=0,"",($O8/30)*'MF Rents'!AN8*'MF Rollover'!AK8)</f>
        <v>0</v>
      </c>
      <c r="AM8" s="149">
        <f>IF($B8=0,"",($O8/30)*'MF Rents'!AO8*'MF Rollover'!AL8)</f>
        <v>0</v>
      </c>
      <c r="AN8" s="149">
        <f>IF($B8=0,"",($O8/30)*'MF Rents'!AP8*'MF Rollover'!AM8)</f>
        <v>0</v>
      </c>
      <c r="AO8" s="149">
        <f>IF($B8=0,"",($O8/30)*'MF Rents'!AQ8*'MF Rollover'!AN8)</f>
        <v>0</v>
      </c>
      <c r="AP8" s="149">
        <f>IF($B8=0,"",($O8/30)*'MF Rents'!AR8*'MF Rollover'!AO8)</f>
        <v>0</v>
      </c>
      <c r="AQ8" s="149">
        <f>IF($B8=0,"",($O8/30)*'MF Rents'!AS8*'MF Rollover'!AP8)</f>
        <v>7994.5459999999985</v>
      </c>
      <c r="AR8" s="149">
        <f>IF($B8=0,"",($O8/30)*'MF Rents'!AT8*'MF Rollover'!AQ8)</f>
        <v>0</v>
      </c>
      <c r="AS8" s="149">
        <f>IF($B8=0,"",($O8/30)*'MF Rents'!AU8*'MF Rollover'!AR8)</f>
        <v>0</v>
      </c>
      <c r="AT8" s="149">
        <f>IF($B8=0,"",($O8/30)*'MF Rents'!AV8*'MF Rollover'!AS8)</f>
        <v>0</v>
      </c>
      <c r="AU8" s="149">
        <f>IF($B8=0,"",($O8/30)*'MF Rents'!AW8*'MF Rollover'!AT8)</f>
        <v>0</v>
      </c>
      <c r="AV8" s="149">
        <f>IF($B8=0,"",($O8/30)*'MF Rents'!AX8*'MF Rollover'!AU8)</f>
        <v>0</v>
      </c>
      <c r="AW8" s="149">
        <f>IF($B8=0,"",($O8/30)*'MF Rents'!AY8*'MF Rollover'!AV8)</f>
        <v>0</v>
      </c>
      <c r="AX8" s="149">
        <f>IF($B8=0,"",($O8/30)*'MF Rents'!AZ8*'MF Rollover'!AW8)</f>
        <v>0</v>
      </c>
      <c r="AY8" s="149">
        <f>IF($B8=0,"",($O8/30)*'MF Rents'!BA8*'MF Rollover'!AX8)</f>
        <v>0</v>
      </c>
      <c r="AZ8" s="149">
        <f>IF($B8=0,"",($O8/30)*'MF Rents'!BB8*'MF Rollover'!AY8)</f>
        <v>0</v>
      </c>
      <c r="BA8" s="149">
        <f>IF($B8=0,"",($O8/30)*'MF Rents'!BC8*'MF Rollover'!AZ8)</f>
        <v>0</v>
      </c>
      <c r="BB8" s="149">
        <f>IF($B8=0,"",($O8/30)*'MF Rents'!BD8*'MF Rollover'!BA8)</f>
        <v>0</v>
      </c>
      <c r="BC8" s="149">
        <f>IF($B8=0,"",($O8/30)*'MF Rents'!BE8*'MF Rollover'!BB8)</f>
        <v>8114.4641899999961</v>
      </c>
      <c r="BD8" s="149">
        <f>IF($B8=0,"",($O8/30)*'MF Rents'!BF8*'MF Rollover'!BC8)</f>
        <v>0</v>
      </c>
      <c r="BE8" s="149">
        <f>IF($B8=0,"",($O8/30)*'MF Rents'!BG8*'MF Rollover'!BD8)</f>
        <v>0</v>
      </c>
      <c r="BF8" s="149">
        <f>IF($B8=0,"",($O8/30)*'MF Rents'!BH8*'MF Rollover'!BE8)</f>
        <v>0</v>
      </c>
      <c r="BG8" s="149">
        <f>IF($B8=0,"",($O8/30)*'MF Rents'!BI8*'MF Rollover'!BF8)</f>
        <v>0</v>
      </c>
      <c r="BH8" s="149">
        <f>IF($B8=0,"",($O8/30)*'MF Rents'!BJ8*'MF Rollover'!BG8)</f>
        <v>0</v>
      </c>
      <c r="BI8" s="149">
        <f>IF($B8=0,"",($O8/30)*'MF Rents'!BK8*'MF Rollover'!BH8)</f>
        <v>0</v>
      </c>
      <c r="BJ8" s="149">
        <f>IF($B8=0,"",($O8/30)*'MF Rents'!BL8*'MF Rollover'!BI8)</f>
        <v>0</v>
      </c>
      <c r="BK8" s="149">
        <f>IF($B8=0,"",($O8/30)*'MF Rents'!BM8*'MF Rollover'!BJ8)</f>
        <v>0</v>
      </c>
      <c r="BL8" s="149">
        <f>IF($B8=0,"",($O8/30)*'MF Rents'!BN8*'MF Rollover'!BK8)</f>
        <v>0</v>
      </c>
      <c r="BM8" s="149">
        <f>IF($B8=0,"",($O8/30)*'MF Rents'!BO8*'MF Rollover'!BL8)</f>
        <v>0</v>
      </c>
      <c r="BN8" s="149">
        <f>IF($B8=0,"",($O8/30)*'MF Rents'!BP8*'MF Rollover'!BM8)</f>
        <v>0</v>
      </c>
      <c r="BO8" s="149">
        <f>IF($B8=0,"",($O8/30)*'MF Rents'!BQ8*'MF Rollover'!BN8)</f>
        <v>8236.1811528499948</v>
      </c>
      <c r="BP8" s="149">
        <f>IF($B8=0,"",($O8/30)*'MF Rents'!BR8*'MF Rollover'!BO8)</f>
        <v>0</v>
      </c>
      <c r="BQ8" s="149">
        <f>IF($B8=0,"",($O8/30)*'MF Rents'!BS8*'MF Rollover'!BP8)</f>
        <v>0</v>
      </c>
      <c r="BR8" s="149">
        <f>IF($B8=0,"",($O8/30)*'MF Rents'!BT8*'MF Rollover'!BQ8)</f>
        <v>0</v>
      </c>
      <c r="BS8" s="149">
        <f>IF($B8=0,"",($O8/30)*'MF Rents'!BU8*'MF Rollover'!BR8)</f>
        <v>0</v>
      </c>
      <c r="BT8" s="149">
        <f>IF($B8=0,"",($O8/30)*'MF Rents'!BV8*'MF Rollover'!BS8)</f>
        <v>0</v>
      </c>
      <c r="BU8" s="149">
        <f>IF($B8=0,"",($O8/30)*'MF Rents'!BW8*'MF Rollover'!BT8)</f>
        <v>0</v>
      </c>
      <c r="BV8" s="149">
        <f>IF($B8=0,"",($O8/30)*'MF Rents'!BX8*'MF Rollover'!BU8)</f>
        <v>0</v>
      </c>
      <c r="BW8" s="149">
        <f>IF($B8=0,"",($O8/30)*'MF Rents'!BY8*'MF Rollover'!BV8)</f>
        <v>0</v>
      </c>
      <c r="BX8" s="149">
        <f>IF($B8=0,"",($O8/30)*'MF Rents'!BZ8*'MF Rollover'!BW8)</f>
        <v>0</v>
      </c>
      <c r="BY8" s="149">
        <f>IF($B8=0,"",($O8/30)*'MF Rents'!CA8*'MF Rollover'!BX8)</f>
        <v>0</v>
      </c>
      <c r="BZ8" s="149">
        <f>IF($B8=0,"",($O8/30)*'MF Rents'!CB8*'MF Rollover'!BY8)</f>
        <v>0</v>
      </c>
      <c r="CA8" s="149">
        <f>IF($B8=0,"",($O8/30)*'MF Rents'!CC8*'MF Rollover'!BZ8)</f>
        <v>8359.723870142745</v>
      </c>
      <c r="CB8" s="149">
        <f>IF($B8=0,"",($O8/30)*'MF Rents'!CD8*'MF Rollover'!CA8)</f>
        <v>0</v>
      </c>
      <c r="CC8" s="149">
        <f>IF($B8=0,"",($O8/30)*'MF Rents'!CE8*'MF Rollover'!CB8)</f>
        <v>0</v>
      </c>
      <c r="CD8" s="149">
        <f>IF($B8=0,"",($O8/30)*'MF Rents'!CF8*'MF Rollover'!CC8)</f>
        <v>0</v>
      </c>
      <c r="CE8" s="149">
        <f>IF($B8=0,"",($O8/30)*'MF Rents'!CG8*'MF Rollover'!CD8)</f>
        <v>0</v>
      </c>
      <c r="CF8" s="149">
        <f>IF($B8=0,"",($O8/30)*'MF Rents'!CH8*'MF Rollover'!CE8)</f>
        <v>0</v>
      </c>
      <c r="CG8" s="149">
        <f>IF($B8=0,"",($O8/30)*'MF Rents'!CI8*'MF Rollover'!CF8)</f>
        <v>0</v>
      </c>
      <c r="CH8" s="149">
        <f>IF($B8=0,"",($O8/30)*'MF Rents'!CJ8*'MF Rollover'!CG8)</f>
        <v>0</v>
      </c>
      <c r="CI8" s="149">
        <f>IF($B8=0,"",($O8/30)*'MF Rents'!CK8*'MF Rollover'!CH8)</f>
        <v>0</v>
      </c>
      <c r="CJ8" s="149">
        <f>IF($B8=0,"",($O8/30)*'MF Rents'!CL8*'MF Rollover'!CI8)</f>
        <v>0</v>
      </c>
      <c r="CK8" s="149">
        <f>IF($B8=0,"",($O8/30)*'MF Rents'!CM8*'MF Rollover'!CJ8)</f>
        <v>0</v>
      </c>
      <c r="CL8" s="149">
        <f>IF($B8=0,"",($O8/30)*'MF Rents'!CN8*'MF Rollover'!CK8)</f>
        <v>0</v>
      </c>
      <c r="CM8" s="149">
        <f>IF($B8=0,"",($O8/30)*'MF Rents'!CO8*'MF Rollover'!CL8)</f>
        <v>8485.1197281948844</v>
      </c>
      <c r="CN8" s="149">
        <f>IF($B8=0,"",($O8/30)*'MF Rents'!CP8*'MF Rollover'!CM8)</f>
        <v>0</v>
      </c>
      <c r="CO8" s="149">
        <f>IF($B8=0,"",($O8/30)*'MF Rents'!CQ8*'MF Rollover'!CN8)</f>
        <v>0</v>
      </c>
      <c r="CP8" s="149">
        <f>IF($B8=0,"",($O8/30)*'MF Rents'!CR8*'MF Rollover'!CO8)</f>
        <v>0</v>
      </c>
      <c r="CQ8" s="149">
        <f>IF($B8=0,"",($O8/30)*'MF Rents'!CS8*'MF Rollover'!CP8)</f>
        <v>0</v>
      </c>
      <c r="CR8" s="149">
        <f>IF($B8=0,"",($O8/30)*'MF Rents'!CT8*'MF Rollover'!CQ8)</f>
        <v>0</v>
      </c>
      <c r="CS8" s="149">
        <f>IF($B8=0,"",($O8/30)*'MF Rents'!CU8*'MF Rollover'!CR8)</f>
        <v>0</v>
      </c>
      <c r="CT8" s="149">
        <f>IF($B8=0,"",($O8/30)*'MF Rents'!CV8*'MF Rollover'!CS8)</f>
        <v>0</v>
      </c>
      <c r="CU8" s="149">
        <f>IF($B8=0,"",($O8/30)*'MF Rents'!CW8*'MF Rollover'!CT8)</f>
        <v>0</v>
      </c>
      <c r="CV8" s="149">
        <f>IF($B8=0,"",($O8/30)*'MF Rents'!CX8*'MF Rollover'!CU8)</f>
        <v>0</v>
      </c>
      <c r="CW8" s="149">
        <f>IF($B8=0,"",($O8/30)*'MF Rents'!CY8*'MF Rollover'!CV8)</f>
        <v>0</v>
      </c>
      <c r="CX8" s="149">
        <f>IF($B8=0,"",($O8/30)*'MF Rents'!CZ8*'MF Rollover'!CW8)</f>
        <v>0</v>
      </c>
      <c r="CY8" s="149">
        <f>IF($B8=0,"",($O8/30)*'MF Rents'!DA8*'MF Rollover'!CX8)</f>
        <v>8612.3965241178048</v>
      </c>
      <c r="CZ8" s="149">
        <f>IF($B8=0,"",($O8/30)*'MF Rents'!DB8*'MF Rollover'!CY8)</f>
        <v>0</v>
      </c>
      <c r="DA8" s="149">
        <f>IF($B8=0,"",($O8/30)*'MF Rents'!DC8*'MF Rollover'!CZ8)</f>
        <v>0</v>
      </c>
      <c r="DB8" s="149">
        <f>IF($B8=0,"",($O8/30)*'MF Rents'!DD8*'MF Rollover'!DA8)</f>
        <v>0</v>
      </c>
      <c r="DC8" s="149">
        <f>IF($B8=0,"",($O8/30)*'MF Rents'!DE8*'MF Rollover'!DB8)</f>
        <v>0</v>
      </c>
      <c r="DD8" s="149">
        <f>IF($B8=0,"",($O8/30)*'MF Rents'!DF8*'MF Rollover'!DC8)</f>
        <v>0</v>
      </c>
      <c r="DE8" s="149">
        <f>IF($B8=0,"",($O8/30)*'MF Rents'!DG8*'MF Rollover'!DD8)</f>
        <v>0</v>
      </c>
      <c r="DF8" s="149">
        <f>IF($B8=0,"",($O8/30)*'MF Rents'!DH8*'MF Rollover'!DE8)</f>
        <v>0</v>
      </c>
      <c r="DG8" s="149">
        <f>IF($B8=0,"",($O8/30)*'MF Rents'!DI8*'MF Rollover'!DF8)</f>
        <v>0</v>
      </c>
      <c r="DH8" s="149">
        <f>IF($B8=0,"",($O8/30)*'MF Rents'!DJ8*'MF Rollover'!DG8)</f>
        <v>0</v>
      </c>
      <c r="DI8" s="149">
        <f>IF($B8=0,"",($O8/30)*'MF Rents'!DK8*'MF Rollover'!DH8)</f>
        <v>0</v>
      </c>
      <c r="DJ8" s="149">
        <f>IF($B8=0,"",($O8/30)*'MF Rents'!DL8*'MF Rollover'!DI8)</f>
        <v>0</v>
      </c>
      <c r="DK8" s="149">
        <f>IF($B8=0,"",($O8/30)*'MF Rents'!DM8*'MF Rollover'!DJ8)</f>
        <v>8741.582471979571</v>
      </c>
      <c r="DL8" s="149">
        <f>IF($B8=0,"",($O8/30)*'MF Rents'!DN8*'MF Rollover'!DK8)</f>
        <v>0</v>
      </c>
      <c r="DM8" s="149">
        <f>IF($B8=0,"",($O8/30)*'MF Rents'!DO8*'MF Rollover'!DL8)</f>
        <v>0</v>
      </c>
      <c r="DN8" s="149">
        <f>IF($B8=0,"",($O8/30)*'MF Rents'!DP8*'MF Rollover'!DM8)</f>
        <v>0</v>
      </c>
      <c r="DO8" s="149">
        <f>IF($B8=0,"",($O8/30)*'MF Rents'!DQ8*'MF Rollover'!DN8)</f>
        <v>0</v>
      </c>
      <c r="DP8" s="149">
        <f>IF($B8=0,"",($O8/30)*'MF Rents'!DR8*'MF Rollover'!DO8)</f>
        <v>0</v>
      </c>
      <c r="DQ8" s="149">
        <f>IF($B8=0,"",($O8/30)*'MF Rents'!DS8*'MF Rollover'!DP8)</f>
        <v>0</v>
      </c>
      <c r="DR8" s="149">
        <f>IF($B8=0,"",($O8/30)*'MF Rents'!DT8*'MF Rollover'!DQ8)</f>
        <v>0</v>
      </c>
      <c r="DS8" s="149">
        <f>IF($B8=0,"",($O8/30)*'MF Rents'!DU8*'MF Rollover'!DR8)</f>
        <v>0</v>
      </c>
      <c r="DT8" s="149">
        <f>IF($B8=0,"",($O8/30)*'MF Rents'!DV8*'MF Rollover'!DS8)</f>
        <v>0</v>
      </c>
      <c r="DU8" s="149">
        <f>IF($B8=0,"",($O8/30)*'MF Rents'!DW8*'MF Rollover'!DT8)</f>
        <v>0</v>
      </c>
      <c r="DV8" s="149">
        <f>IF($B8=0,"",($O8/30)*'MF Rents'!DX8*'MF Rollover'!DU8)</f>
        <v>0</v>
      </c>
      <c r="DW8" s="149">
        <f>IF($B8=0,"",($O8/30)*'MF Rents'!DY8*'MF Rollover'!DV8)</f>
        <v>8872.7062090592644</v>
      </c>
      <c r="DX8" s="149">
        <f>IF($B8=0,"",($O8/30)*'MF Rents'!DZ8*'MF Rollover'!DW8)</f>
        <v>0</v>
      </c>
      <c r="DY8" s="149">
        <f>IF($B8=0,"",($O8/30)*'MF Rents'!EA8*'MF Rollover'!DX8)</f>
        <v>0</v>
      </c>
      <c r="DZ8" s="149">
        <f>IF($B8=0,"",($O8/30)*'MF Rents'!EB8*'MF Rollover'!DY8)</f>
        <v>0</v>
      </c>
      <c r="EA8" s="149">
        <f>IF($B8=0,"",($O8/30)*'MF Rents'!EC8*'MF Rollover'!DZ8)</f>
        <v>0</v>
      </c>
      <c r="EB8" s="149">
        <f>IF($B8=0,"",($O8/30)*'MF Rents'!ED8*'MF Rollover'!EA8)</f>
        <v>0</v>
      </c>
      <c r="EC8" s="149">
        <f>IF($B8=0,"",($O8/30)*'MF Rents'!EE8*'MF Rollover'!EB8)</f>
        <v>0</v>
      </c>
      <c r="ED8" s="149">
        <f>IF($B8=0,"",($O8/30)*'MF Rents'!EF8*'MF Rollover'!EC8)</f>
        <v>0</v>
      </c>
      <c r="EE8" s="149">
        <f>IF($B8=0,"",($O8/30)*'MF Rents'!EG8*'MF Rollover'!ED8)</f>
        <v>0</v>
      </c>
      <c r="EF8" s="149">
        <f>IF($B8=0,"",($O8/30)*'MF Rents'!EH8*'MF Rollover'!EE8)</f>
        <v>0</v>
      </c>
      <c r="EG8" s="149">
        <f>IF($B8=0,"",($O8/30)*'MF Rents'!EI8*'MF Rollover'!EF8)</f>
        <v>0</v>
      </c>
      <c r="EH8" s="149">
        <f>IF($B8=0,"",($O8/30)*'MF Rents'!EJ8*'MF Rollover'!EG8)</f>
        <v>0</v>
      </c>
      <c r="EI8" s="149">
        <f>IF($B8=0,"",($O8/30)*'MF Rents'!EK8*'MF Rollover'!EH8)</f>
        <v>9005.7968021951528</v>
      </c>
      <c r="EJ8" s="149">
        <f>IF($B8=0,"",($O8/30)*'MF Rents'!EL8*'MF Rollover'!EI8)</f>
        <v>0</v>
      </c>
      <c r="EK8" s="149">
        <f>IF($B8=0,"",($O8/30)*'MF Rents'!EM8*'MF Rollover'!EJ8)</f>
        <v>0</v>
      </c>
      <c r="EL8" s="149">
        <f>IF($B8=0,"",($O8/30)*'MF Rents'!EN8*'MF Rollover'!EK8)</f>
        <v>0</v>
      </c>
      <c r="EM8" s="149">
        <f>IF($B8=0,"",($O8/30)*'MF Rents'!EO8*'MF Rollover'!EL8)</f>
        <v>0</v>
      </c>
      <c r="EN8" s="149">
        <f>IF($B8=0,"",($O8/30)*'MF Rents'!EP8*'MF Rollover'!EM8)</f>
        <v>0</v>
      </c>
      <c r="EO8" s="149">
        <f>IF($B8=0,"",($O8/30)*'MF Rents'!EQ8*'MF Rollover'!EN8)</f>
        <v>0</v>
      </c>
      <c r="EP8" s="149">
        <f>IF($B8=0,"",($O8/30)*'MF Rents'!ER8*'MF Rollover'!EO8)</f>
        <v>0</v>
      </c>
      <c r="EQ8" s="149">
        <f>IF($B8=0,"",($O8/30)*'MF Rents'!ES8*'MF Rollover'!EP8)</f>
        <v>0</v>
      </c>
      <c r="ER8" s="149">
        <f>IF($B8=0,"",($O8/30)*'MF Rents'!ET8*'MF Rollover'!EQ8)</f>
        <v>0</v>
      </c>
      <c r="ES8" s="149">
        <f>IF($B8=0,"",($O8/30)*'MF Rents'!EU8*'MF Rollover'!ER8)</f>
        <v>0</v>
      </c>
      <c r="ET8" s="149">
        <f>IF($B8=0,"",($O8/30)*'MF Rents'!EV8*'MF Rollover'!ES8)</f>
        <v>0</v>
      </c>
      <c r="EU8" s="149">
        <f>IF($B8=0,"",($O8/30)*'MF Rents'!EW8*'MF Rollover'!ET8)</f>
        <v>9140.883754228078</v>
      </c>
      <c r="EV8" s="149">
        <f>IF($B8=0,"",($O8/30)*'MF Rents'!EX8*'MF Rollover'!EU8)</f>
        <v>0</v>
      </c>
      <c r="EW8" s="149">
        <f>IF($B8=0,"",($O8/30)*'MF Rents'!EY8*'MF Rollover'!EV8)</f>
        <v>0</v>
      </c>
      <c r="EX8" s="149">
        <f>IF($B8=0,"",($O8/30)*'MF Rents'!EZ8*'MF Rollover'!EW8)</f>
        <v>0</v>
      </c>
      <c r="EY8" s="149">
        <f>IF($B8=0,"",($O8/30)*'MF Rents'!FA8*'MF Rollover'!EX8)</f>
        <v>0</v>
      </c>
      <c r="EZ8" s="149">
        <f>IF($B8=0,"",($O8/30)*'MF Rents'!FB8*'MF Rollover'!EY8)</f>
        <v>0</v>
      </c>
      <c r="FA8" s="149">
        <f>IF($B8=0,"",($O8/30)*'MF Rents'!FC8*'MF Rollover'!EZ8)</f>
        <v>0</v>
      </c>
      <c r="FB8" s="149">
        <f>IF($B8=0,"",($O8/30)*'MF Rents'!FD8*'MF Rollover'!FA8)</f>
        <v>0</v>
      </c>
      <c r="FC8" s="149">
        <f>IF($B8=0,"",($O8/30)*'MF Rents'!FE8*'MF Rollover'!FB8)</f>
        <v>0</v>
      </c>
      <c r="FD8" s="149">
        <f>IF($B8=0,"",($O8/30)*'MF Rents'!FF8*'MF Rollover'!FC8)</f>
        <v>0</v>
      </c>
      <c r="FE8" s="149">
        <f>IF($B8=0,"",($O8/30)*'MF Rents'!FG8*'MF Rollover'!FD8)</f>
        <v>0</v>
      </c>
      <c r="FF8" s="149">
        <f>IF($B8=0,"",($O8/30)*'MF Rents'!FH8*'MF Rollover'!FE8)</f>
        <v>0</v>
      </c>
      <c r="FG8" s="149">
        <f>IF($B8=0,"",($O8/30)*'MF Rents'!FI8*'MF Rollover'!FF8)</f>
        <v>9277.9970105414977</v>
      </c>
      <c r="FH8" s="149">
        <f>IF($B8=0,"",($O8/30)*'MF Rents'!FJ8*'MF Rollover'!FG8)</f>
        <v>0</v>
      </c>
      <c r="FI8" s="149">
        <f>IF($B8=0,"",($O8/30)*'MF Rents'!FK8*'MF Rollover'!FH8)</f>
        <v>0</v>
      </c>
      <c r="FJ8" s="149">
        <f>IF($B8=0,"",($O8/30)*'MF Rents'!FL8*'MF Rollover'!FI8)</f>
        <v>0</v>
      </c>
      <c r="FK8" s="149">
        <f>IF($B8=0,"",($O8/30)*'MF Rents'!FM8*'MF Rollover'!FJ8)</f>
        <v>0</v>
      </c>
      <c r="FL8" s="149">
        <f>IF($B8=0,"",($O8/30)*'MF Rents'!FN8*'MF Rollover'!FK8)</f>
        <v>0</v>
      </c>
      <c r="FM8" s="149">
        <f>IF($B8=0,"",($O8/30)*'MF Rents'!FO8*'MF Rollover'!FL8)</f>
        <v>0</v>
      </c>
      <c r="FN8" s="149">
        <f>IF($B8=0,"",($O8/30)*'MF Rents'!FP8*'MF Rollover'!FM8)</f>
        <v>0</v>
      </c>
      <c r="FO8" s="149">
        <f>IF($B8=0,"",($O8/30)*'MF Rents'!FQ8*'MF Rollover'!FN8)</f>
        <v>0</v>
      </c>
      <c r="FP8" s="149">
        <f>IF($B8=0,"",($O8/30)*'MF Rents'!FR8*'MF Rollover'!FO8)</f>
        <v>0</v>
      </c>
      <c r="FQ8" s="149">
        <f>IF($B8=0,"",($O8/30)*'MF Rents'!FS8*'MF Rollover'!FP8)</f>
        <v>0</v>
      </c>
      <c r="FR8" s="149">
        <f>IF($B8=0,"",($O8/30)*'MF Rents'!FT8*'MF Rollover'!FQ8)</f>
        <v>0</v>
      </c>
      <c r="FS8" s="149">
        <f>IF($B8=0,"",($O8/30)*'MF Rents'!FU8*'MF Rollover'!FR8)</f>
        <v>9417.1669656996201</v>
      </c>
      <c r="FT8" s="149">
        <f>IF($B8=0,"",($O8/30)*'MF Rents'!FV8*'MF Rollover'!FS8)</f>
        <v>0</v>
      </c>
      <c r="FU8" s="149">
        <f>IF($B8=0,"",($O8/30)*'MF Rents'!FW8*'MF Rollover'!FT8)</f>
        <v>0</v>
      </c>
      <c r="FV8" s="149">
        <f>IF($B8=0,"",($O8/30)*'MF Rents'!FX8*'MF Rollover'!FU8)</f>
        <v>0</v>
      </c>
      <c r="FW8" s="149">
        <f>IF($B8=0,"",($O8/30)*'MF Rents'!FY8*'MF Rollover'!FV8)</f>
        <v>0</v>
      </c>
      <c r="FX8" s="149">
        <f>IF($B8=0,"",($O8/30)*'MF Rents'!FZ8*'MF Rollover'!FW8)</f>
        <v>0</v>
      </c>
      <c r="FY8" s="149">
        <f>IF($B8=0,"",($O8/30)*'MF Rents'!GA8*'MF Rollover'!FX8)</f>
        <v>0</v>
      </c>
      <c r="FZ8" s="149">
        <f>IF($B8=0,"",($O8/30)*'MF Rents'!GB8*'MF Rollover'!FY8)</f>
        <v>0</v>
      </c>
      <c r="GA8" s="149">
        <f>IF($B8=0,"",($O8/30)*'MF Rents'!GC8*'MF Rollover'!FZ8)</f>
        <v>0</v>
      </c>
      <c r="GB8" s="149">
        <f>IF($B8=0,"",($O8/30)*'MF Rents'!GD8*'MF Rollover'!GA8)</f>
        <v>0</v>
      </c>
      <c r="GC8" s="149">
        <f>IF($B8=0,"",($O8/30)*'MF Rents'!GE8*'MF Rollover'!GB8)</f>
        <v>0</v>
      </c>
      <c r="GD8" s="149">
        <f>IF($B8=0,"",($O8/30)*'MF Rents'!GF8*'MF Rollover'!GC8)</f>
        <v>0</v>
      </c>
      <c r="GE8" s="149">
        <f>IF($B8=0,"",($O8/30)*'MF Rents'!GG8*'MF Rollover'!GD8)</f>
        <v>9558.4244701851112</v>
      </c>
      <c r="GF8" s="149">
        <f>IF($B8=0,"",($O8/30)*'MF Rents'!GH8*'MF Rollover'!GE8)</f>
        <v>0</v>
      </c>
      <c r="GG8" s="149">
        <f>IF($B8=0,"",($O8/30)*'MF Rents'!GI8*'MF Rollover'!GF8)</f>
        <v>0</v>
      </c>
      <c r="GH8" s="149">
        <f>IF($B8=0,"",($O8/30)*'MF Rents'!GJ8*'MF Rollover'!GG8)</f>
        <v>0</v>
      </c>
      <c r="GI8" s="149">
        <f>IF($B8=0,"",($O8/30)*'MF Rents'!GK8*'MF Rollover'!GH8)</f>
        <v>0</v>
      </c>
      <c r="GJ8" s="149">
        <f>IF($B8=0,"",($O8/30)*'MF Rents'!GL8*'MF Rollover'!GI8)</f>
        <v>0</v>
      </c>
      <c r="GK8" s="149">
        <f>IF($B8=0,"",($O8/30)*'MF Rents'!GM8*'MF Rollover'!GJ8)</f>
        <v>0</v>
      </c>
      <c r="GL8" s="149">
        <f>IF($B8=0,"",($O8/30)*'MF Rents'!GN8*'MF Rollover'!GK8)</f>
        <v>0</v>
      </c>
      <c r="GM8" s="149">
        <f>IF($B8=0,"",($O8/30)*'MF Rents'!GO8*'MF Rollover'!GL8)</f>
        <v>0</v>
      </c>
      <c r="GN8" s="149">
        <f>IF($B8=0,"",($O8/30)*'MF Rents'!GP8*'MF Rollover'!GM8)</f>
        <v>0</v>
      </c>
      <c r="GO8" s="149">
        <f>IF($B8=0,"",($O8/30)*'MF Rents'!GQ8*'MF Rollover'!GN8)</f>
        <v>0</v>
      </c>
      <c r="GP8" s="149">
        <f>IF($B8=0,"",($O8/30)*'MF Rents'!GR8*'MF Rollover'!GO8)</f>
        <v>0</v>
      </c>
    </row>
    <row r="9" spans="2:198" x14ac:dyDescent="0.3">
      <c r="B9" s="184" t="str">
        <f>'MF Rent Roll'!B8</f>
        <v>2bd/1.5ba</v>
      </c>
      <c r="C9" s="171">
        <f>'MF Rent Roll'!C8</f>
        <v>12</v>
      </c>
      <c r="D9" s="172">
        <f>'MF Rent Roll'!D8</f>
        <v>2</v>
      </c>
      <c r="E9" s="172">
        <f>'MF Rent Roll'!E8</f>
        <v>1.5</v>
      </c>
      <c r="F9" s="173">
        <f>'MF Rent Roll'!F8</f>
        <v>1025</v>
      </c>
      <c r="G9" s="174">
        <f>'MF Rent Roll'!G8</f>
        <v>850</v>
      </c>
      <c r="H9" s="176">
        <f>'MF Rent Roll'!J8</f>
        <v>12</v>
      </c>
      <c r="I9" s="174">
        <f>'MF Rent Roll'!K8</f>
        <v>65</v>
      </c>
      <c r="J9" s="177">
        <f>'MF Rent Roll'!L8</f>
        <v>0</v>
      </c>
      <c r="K9" s="178">
        <f>'MF Rent Roll'!M8</f>
        <v>25</v>
      </c>
      <c r="L9" s="174">
        <f>'MF Rent Roll'!N8</f>
        <v>350</v>
      </c>
      <c r="M9" s="179">
        <f>'MF Rent Roll'!O8</f>
        <v>0.6</v>
      </c>
      <c r="N9" s="180">
        <f>'MF Rent Roll'!P8</f>
        <v>0</v>
      </c>
      <c r="O9" s="181">
        <f>'MF Rent Roll'!Q8</f>
        <v>10</v>
      </c>
      <c r="P9" s="104">
        <f>'MF Rent Roll'!R8</f>
        <v>140</v>
      </c>
      <c r="S9" s="149">
        <f>IF($B9=0,"",($O9/30)*'MF Rents'!U9*'MF Rollover'!R9)</f>
        <v>0</v>
      </c>
      <c r="T9" s="149">
        <f>IF($B9=0,"",($O9/30)*'MF Rents'!V9*'MF Rollover'!S9)</f>
        <v>0</v>
      </c>
      <c r="U9" s="149">
        <f>IF($B9=0,"",($O9/30)*'MF Rents'!W9*'MF Rollover'!T9)</f>
        <v>0</v>
      </c>
      <c r="V9" s="149">
        <f>IF($B9=0,"",($O9/30)*'MF Rents'!X9*'MF Rollover'!U9)</f>
        <v>0</v>
      </c>
      <c r="W9" s="149">
        <f>IF($B9=0,"",($O9/30)*'MF Rents'!Y9*'MF Rollover'!V9)</f>
        <v>0</v>
      </c>
      <c r="X9" s="149">
        <f>IF($B9=0,"",($O9/30)*'MF Rents'!Z9*'MF Rollover'!W9)</f>
        <v>0</v>
      </c>
      <c r="Y9" s="149">
        <f>IF($B9=0,"",($O9/30)*'MF Rents'!AA9*'MF Rollover'!X9)</f>
        <v>0</v>
      </c>
      <c r="Z9" s="149">
        <f>IF($B9=0,"",($O9/30)*'MF Rents'!AB9*'MF Rollover'!Y9)</f>
        <v>0</v>
      </c>
      <c r="AA9" s="149">
        <f>IF($B9=0,"",($O9/30)*'MF Rents'!AC9*'MF Rollover'!Z9)</f>
        <v>0</v>
      </c>
      <c r="AB9" s="149">
        <f>IF($B9=0,"",($O9/30)*'MF Rents'!AD9*'MF Rollover'!AA9)</f>
        <v>0</v>
      </c>
      <c r="AC9" s="149">
        <f>IF($B9=0,"",($O9/30)*'MF Rents'!AE9*'MF Rollover'!AB9)</f>
        <v>0</v>
      </c>
      <c r="AD9" s="149">
        <f>IF($B9=0,"",($O9/30)*'MF Rents'!AF9*'MF Rollover'!AC9)</f>
        <v>0</v>
      </c>
      <c r="AE9" s="149">
        <f>IF($B9=0,"",($O9/30)*'MF Rents'!AG9*'MF Rollover'!AD9)</f>
        <v>3450.9999999999991</v>
      </c>
      <c r="AF9" s="149">
        <f>IF($B9=0,"",($O9/30)*'MF Rents'!AH9*'MF Rollover'!AE9)</f>
        <v>0</v>
      </c>
      <c r="AG9" s="149">
        <f>IF($B9=0,"",($O9/30)*'MF Rents'!AI9*'MF Rollover'!AF9)</f>
        <v>0</v>
      </c>
      <c r="AH9" s="149">
        <f>IF($B9=0,"",($O9/30)*'MF Rents'!AJ9*'MF Rollover'!AG9)</f>
        <v>0</v>
      </c>
      <c r="AI9" s="149">
        <f>IF($B9=0,"",($O9/30)*'MF Rents'!AK9*'MF Rollover'!AH9)</f>
        <v>0</v>
      </c>
      <c r="AJ9" s="149">
        <f>IF($B9=0,"",($O9/30)*'MF Rents'!AL9*'MF Rollover'!AI9)</f>
        <v>0</v>
      </c>
      <c r="AK9" s="149">
        <f>IF($B9=0,"",($O9/30)*'MF Rents'!AM9*'MF Rollover'!AJ9)</f>
        <v>0</v>
      </c>
      <c r="AL9" s="149">
        <f>IF($B9=0,"",($O9/30)*'MF Rents'!AN9*'MF Rollover'!AK9)</f>
        <v>0</v>
      </c>
      <c r="AM9" s="149">
        <f>IF($B9=0,"",($O9/30)*'MF Rents'!AO9*'MF Rollover'!AL9)</f>
        <v>0</v>
      </c>
      <c r="AN9" s="149">
        <f>IF($B9=0,"",($O9/30)*'MF Rents'!AP9*'MF Rollover'!AM9)</f>
        <v>0</v>
      </c>
      <c r="AO9" s="149">
        <f>IF($B9=0,"",($O9/30)*'MF Rents'!AQ9*'MF Rollover'!AN9)</f>
        <v>0</v>
      </c>
      <c r="AP9" s="149">
        <f>IF($B9=0,"",($O9/30)*'MF Rents'!AR9*'MF Rollover'!AO9)</f>
        <v>0</v>
      </c>
      <c r="AQ9" s="149">
        <f>IF($B9=0,"",($O9/30)*'MF Rents'!AS9*'MF Rollover'!AP9)</f>
        <v>3997.2729999999992</v>
      </c>
      <c r="AR9" s="149">
        <f>IF($B9=0,"",($O9/30)*'MF Rents'!AT9*'MF Rollover'!AQ9)</f>
        <v>0</v>
      </c>
      <c r="AS9" s="149">
        <f>IF($B9=0,"",($O9/30)*'MF Rents'!AU9*'MF Rollover'!AR9)</f>
        <v>0</v>
      </c>
      <c r="AT9" s="149">
        <f>IF($B9=0,"",($O9/30)*'MF Rents'!AV9*'MF Rollover'!AS9)</f>
        <v>0</v>
      </c>
      <c r="AU9" s="149">
        <f>IF($B9=0,"",($O9/30)*'MF Rents'!AW9*'MF Rollover'!AT9)</f>
        <v>0</v>
      </c>
      <c r="AV9" s="149">
        <f>IF($B9=0,"",($O9/30)*'MF Rents'!AX9*'MF Rollover'!AU9)</f>
        <v>0</v>
      </c>
      <c r="AW9" s="149">
        <f>IF($B9=0,"",($O9/30)*'MF Rents'!AY9*'MF Rollover'!AV9)</f>
        <v>0</v>
      </c>
      <c r="AX9" s="149">
        <f>IF($B9=0,"",($O9/30)*'MF Rents'!AZ9*'MF Rollover'!AW9)</f>
        <v>0</v>
      </c>
      <c r="AY9" s="149">
        <f>IF($B9=0,"",($O9/30)*'MF Rents'!BA9*'MF Rollover'!AX9)</f>
        <v>0</v>
      </c>
      <c r="AZ9" s="149">
        <f>IF($B9=0,"",($O9/30)*'MF Rents'!BB9*'MF Rollover'!AY9)</f>
        <v>0</v>
      </c>
      <c r="BA9" s="149">
        <f>IF($B9=0,"",($O9/30)*'MF Rents'!BC9*'MF Rollover'!AZ9)</f>
        <v>0</v>
      </c>
      <c r="BB9" s="149">
        <f>IF($B9=0,"",($O9/30)*'MF Rents'!BD9*'MF Rollover'!BA9)</f>
        <v>0</v>
      </c>
      <c r="BC9" s="149">
        <f>IF($B9=0,"",($O9/30)*'MF Rents'!BE9*'MF Rollover'!BB9)</f>
        <v>4057.232094999998</v>
      </c>
      <c r="BD9" s="149">
        <f>IF($B9=0,"",($O9/30)*'MF Rents'!BF9*'MF Rollover'!BC9)</f>
        <v>0</v>
      </c>
      <c r="BE9" s="149">
        <f>IF($B9=0,"",($O9/30)*'MF Rents'!BG9*'MF Rollover'!BD9)</f>
        <v>0</v>
      </c>
      <c r="BF9" s="149">
        <f>IF($B9=0,"",($O9/30)*'MF Rents'!BH9*'MF Rollover'!BE9)</f>
        <v>0</v>
      </c>
      <c r="BG9" s="149">
        <f>IF($B9=0,"",($O9/30)*'MF Rents'!BI9*'MF Rollover'!BF9)</f>
        <v>0</v>
      </c>
      <c r="BH9" s="149">
        <f>IF($B9=0,"",($O9/30)*'MF Rents'!BJ9*'MF Rollover'!BG9)</f>
        <v>0</v>
      </c>
      <c r="BI9" s="149">
        <f>IF($B9=0,"",($O9/30)*'MF Rents'!BK9*'MF Rollover'!BH9)</f>
        <v>0</v>
      </c>
      <c r="BJ9" s="149">
        <f>IF($B9=0,"",($O9/30)*'MF Rents'!BL9*'MF Rollover'!BI9)</f>
        <v>0</v>
      </c>
      <c r="BK9" s="149">
        <f>IF($B9=0,"",($O9/30)*'MF Rents'!BM9*'MF Rollover'!BJ9)</f>
        <v>0</v>
      </c>
      <c r="BL9" s="149">
        <f>IF($B9=0,"",($O9/30)*'MF Rents'!BN9*'MF Rollover'!BK9)</f>
        <v>0</v>
      </c>
      <c r="BM9" s="149">
        <f>IF($B9=0,"",($O9/30)*'MF Rents'!BO9*'MF Rollover'!BL9)</f>
        <v>0</v>
      </c>
      <c r="BN9" s="149">
        <f>IF($B9=0,"",($O9/30)*'MF Rents'!BP9*'MF Rollover'!BM9)</f>
        <v>0</v>
      </c>
      <c r="BO9" s="149">
        <f>IF($B9=0,"",($O9/30)*'MF Rents'!BQ9*'MF Rollover'!BN9)</f>
        <v>4118.0905764249974</v>
      </c>
      <c r="BP9" s="149">
        <f>IF($B9=0,"",($O9/30)*'MF Rents'!BR9*'MF Rollover'!BO9)</f>
        <v>0</v>
      </c>
      <c r="BQ9" s="149">
        <f>IF($B9=0,"",($O9/30)*'MF Rents'!BS9*'MF Rollover'!BP9)</f>
        <v>0</v>
      </c>
      <c r="BR9" s="149">
        <f>IF($B9=0,"",($O9/30)*'MF Rents'!BT9*'MF Rollover'!BQ9)</f>
        <v>0</v>
      </c>
      <c r="BS9" s="149">
        <f>IF($B9=0,"",($O9/30)*'MF Rents'!BU9*'MF Rollover'!BR9)</f>
        <v>0</v>
      </c>
      <c r="BT9" s="149">
        <f>IF($B9=0,"",($O9/30)*'MF Rents'!BV9*'MF Rollover'!BS9)</f>
        <v>0</v>
      </c>
      <c r="BU9" s="149">
        <f>IF($B9=0,"",($O9/30)*'MF Rents'!BW9*'MF Rollover'!BT9)</f>
        <v>0</v>
      </c>
      <c r="BV9" s="149">
        <f>IF($B9=0,"",($O9/30)*'MF Rents'!BX9*'MF Rollover'!BU9)</f>
        <v>0</v>
      </c>
      <c r="BW9" s="149">
        <f>IF($B9=0,"",($O9/30)*'MF Rents'!BY9*'MF Rollover'!BV9)</f>
        <v>0</v>
      </c>
      <c r="BX9" s="149">
        <f>IF($B9=0,"",($O9/30)*'MF Rents'!BZ9*'MF Rollover'!BW9)</f>
        <v>0</v>
      </c>
      <c r="BY9" s="149">
        <f>IF($B9=0,"",($O9/30)*'MF Rents'!CA9*'MF Rollover'!BX9)</f>
        <v>0</v>
      </c>
      <c r="BZ9" s="149">
        <f>IF($B9=0,"",($O9/30)*'MF Rents'!CB9*'MF Rollover'!BY9)</f>
        <v>0</v>
      </c>
      <c r="CA9" s="149">
        <f>IF($B9=0,"",($O9/30)*'MF Rents'!CC9*'MF Rollover'!BZ9)</f>
        <v>4179.8619350713725</v>
      </c>
      <c r="CB9" s="149">
        <f>IF($B9=0,"",($O9/30)*'MF Rents'!CD9*'MF Rollover'!CA9)</f>
        <v>0</v>
      </c>
      <c r="CC9" s="149">
        <f>IF($B9=0,"",($O9/30)*'MF Rents'!CE9*'MF Rollover'!CB9)</f>
        <v>0</v>
      </c>
      <c r="CD9" s="149">
        <f>IF($B9=0,"",($O9/30)*'MF Rents'!CF9*'MF Rollover'!CC9)</f>
        <v>0</v>
      </c>
      <c r="CE9" s="149">
        <f>IF($B9=0,"",($O9/30)*'MF Rents'!CG9*'MF Rollover'!CD9)</f>
        <v>0</v>
      </c>
      <c r="CF9" s="149">
        <f>IF($B9=0,"",($O9/30)*'MF Rents'!CH9*'MF Rollover'!CE9)</f>
        <v>0</v>
      </c>
      <c r="CG9" s="149">
        <f>IF($B9=0,"",($O9/30)*'MF Rents'!CI9*'MF Rollover'!CF9)</f>
        <v>0</v>
      </c>
      <c r="CH9" s="149">
        <f>IF($B9=0,"",($O9/30)*'MF Rents'!CJ9*'MF Rollover'!CG9)</f>
        <v>0</v>
      </c>
      <c r="CI9" s="149">
        <f>IF($B9=0,"",($O9/30)*'MF Rents'!CK9*'MF Rollover'!CH9)</f>
        <v>0</v>
      </c>
      <c r="CJ9" s="149">
        <f>IF($B9=0,"",($O9/30)*'MF Rents'!CL9*'MF Rollover'!CI9)</f>
        <v>0</v>
      </c>
      <c r="CK9" s="149">
        <f>IF($B9=0,"",($O9/30)*'MF Rents'!CM9*'MF Rollover'!CJ9)</f>
        <v>0</v>
      </c>
      <c r="CL9" s="149">
        <f>IF($B9=0,"",($O9/30)*'MF Rents'!CN9*'MF Rollover'!CK9)</f>
        <v>0</v>
      </c>
      <c r="CM9" s="149">
        <f>IF($B9=0,"",($O9/30)*'MF Rents'!CO9*'MF Rollover'!CL9)</f>
        <v>4242.5598640974422</v>
      </c>
      <c r="CN9" s="149">
        <f>IF($B9=0,"",($O9/30)*'MF Rents'!CP9*'MF Rollover'!CM9)</f>
        <v>0</v>
      </c>
      <c r="CO9" s="149">
        <f>IF($B9=0,"",($O9/30)*'MF Rents'!CQ9*'MF Rollover'!CN9)</f>
        <v>0</v>
      </c>
      <c r="CP9" s="149">
        <f>IF($B9=0,"",($O9/30)*'MF Rents'!CR9*'MF Rollover'!CO9)</f>
        <v>0</v>
      </c>
      <c r="CQ9" s="149">
        <f>IF($B9=0,"",($O9/30)*'MF Rents'!CS9*'MF Rollover'!CP9)</f>
        <v>0</v>
      </c>
      <c r="CR9" s="149">
        <f>IF($B9=0,"",($O9/30)*'MF Rents'!CT9*'MF Rollover'!CQ9)</f>
        <v>0</v>
      </c>
      <c r="CS9" s="149">
        <f>IF($B9=0,"",($O9/30)*'MF Rents'!CU9*'MF Rollover'!CR9)</f>
        <v>0</v>
      </c>
      <c r="CT9" s="149">
        <f>IF($B9=0,"",($O9/30)*'MF Rents'!CV9*'MF Rollover'!CS9)</f>
        <v>0</v>
      </c>
      <c r="CU9" s="149">
        <f>IF($B9=0,"",($O9/30)*'MF Rents'!CW9*'MF Rollover'!CT9)</f>
        <v>0</v>
      </c>
      <c r="CV9" s="149">
        <f>IF($B9=0,"",($O9/30)*'MF Rents'!CX9*'MF Rollover'!CU9)</f>
        <v>0</v>
      </c>
      <c r="CW9" s="149">
        <f>IF($B9=0,"",($O9/30)*'MF Rents'!CY9*'MF Rollover'!CV9)</f>
        <v>0</v>
      </c>
      <c r="CX9" s="149">
        <f>IF($B9=0,"",($O9/30)*'MF Rents'!CZ9*'MF Rollover'!CW9)</f>
        <v>0</v>
      </c>
      <c r="CY9" s="149">
        <f>IF($B9=0,"",($O9/30)*'MF Rents'!DA9*'MF Rollover'!CX9)</f>
        <v>4306.1982620589024</v>
      </c>
      <c r="CZ9" s="149">
        <f>IF($B9=0,"",($O9/30)*'MF Rents'!DB9*'MF Rollover'!CY9)</f>
        <v>0</v>
      </c>
      <c r="DA9" s="149">
        <f>IF($B9=0,"",($O9/30)*'MF Rents'!DC9*'MF Rollover'!CZ9)</f>
        <v>0</v>
      </c>
      <c r="DB9" s="149">
        <f>IF($B9=0,"",($O9/30)*'MF Rents'!DD9*'MF Rollover'!DA9)</f>
        <v>0</v>
      </c>
      <c r="DC9" s="149">
        <f>IF($B9=0,"",($O9/30)*'MF Rents'!DE9*'MF Rollover'!DB9)</f>
        <v>0</v>
      </c>
      <c r="DD9" s="149">
        <f>IF($B9=0,"",($O9/30)*'MF Rents'!DF9*'MF Rollover'!DC9)</f>
        <v>0</v>
      </c>
      <c r="DE9" s="149">
        <f>IF($B9=0,"",($O9/30)*'MF Rents'!DG9*'MF Rollover'!DD9)</f>
        <v>0</v>
      </c>
      <c r="DF9" s="149">
        <f>IF($B9=0,"",($O9/30)*'MF Rents'!DH9*'MF Rollover'!DE9)</f>
        <v>0</v>
      </c>
      <c r="DG9" s="149">
        <f>IF($B9=0,"",($O9/30)*'MF Rents'!DI9*'MF Rollover'!DF9)</f>
        <v>0</v>
      </c>
      <c r="DH9" s="149">
        <f>IF($B9=0,"",($O9/30)*'MF Rents'!DJ9*'MF Rollover'!DG9)</f>
        <v>0</v>
      </c>
      <c r="DI9" s="149">
        <f>IF($B9=0,"",($O9/30)*'MF Rents'!DK9*'MF Rollover'!DH9)</f>
        <v>0</v>
      </c>
      <c r="DJ9" s="149">
        <f>IF($B9=0,"",($O9/30)*'MF Rents'!DL9*'MF Rollover'!DI9)</f>
        <v>0</v>
      </c>
      <c r="DK9" s="149">
        <f>IF($B9=0,"",($O9/30)*'MF Rents'!DM9*'MF Rollover'!DJ9)</f>
        <v>4370.7912359897855</v>
      </c>
      <c r="DL9" s="149">
        <f>IF($B9=0,"",($O9/30)*'MF Rents'!DN9*'MF Rollover'!DK9)</f>
        <v>0</v>
      </c>
      <c r="DM9" s="149">
        <f>IF($B9=0,"",($O9/30)*'MF Rents'!DO9*'MF Rollover'!DL9)</f>
        <v>0</v>
      </c>
      <c r="DN9" s="149">
        <f>IF($B9=0,"",($O9/30)*'MF Rents'!DP9*'MF Rollover'!DM9)</f>
        <v>0</v>
      </c>
      <c r="DO9" s="149">
        <f>IF($B9=0,"",($O9/30)*'MF Rents'!DQ9*'MF Rollover'!DN9)</f>
        <v>0</v>
      </c>
      <c r="DP9" s="149">
        <f>IF($B9=0,"",($O9/30)*'MF Rents'!DR9*'MF Rollover'!DO9)</f>
        <v>0</v>
      </c>
      <c r="DQ9" s="149">
        <f>IF($B9=0,"",($O9/30)*'MF Rents'!DS9*'MF Rollover'!DP9)</f>
        <v>0</v>
      </c>
      <c r="DR9" s="149">
        <f>IF($B9=0,"",($O9/30)*'MF Rents'!DT9*'MF Rollover'!DQ9)</f>
        <v>0</v>
      </c>
      <c r="DS9" s="149">
        <f>IF($B9=0,"",($O9/30)*'MF Rents'!DU9*'MF Rollover'!DR9)</f>
        <v>0</v>
      </c>
      <c r="DT9" s="149">
        <f>IF($B9=0,"",($O9/30)*'MF Rents'!DV9*'MF Rollover'!DS9)</f>
        <v>0</v>
      </c>
      <c r="DU9" s="149">
        <f>IF($B9=0,"",($O9/30)*'MF Rents'!DW9*'MF Rollover'!DT9)</f>
        <v>0</v>
      </c>
      <c r="DV9" s="149">
        <f>IF($B9=0,"",($O9/30)*'MF Rents'!DX9*'MF Rollover'!DU9)</f>
        <v>0</v>
      </c>
      <c r="DW9" s="149">
        <f>IF($B9=0,"",($O9/30)*'MF Rents'!DY9*'MF Rollover'!DV9)</f>
        <v>4436.3531045296322</v>
      </c>
      <c r="DX9" s="149">
        <f>IF($B9=0,"",($O9/30)*'MF Rents'!DZ9*'MF Rollover'!DW9)</f>
        <v>0</v>
      </c>
      <c r="DY9" s="149">
        <f>IF($B9=0,"",($O9/30)*'MF Rents'!EA9*'MF Rollover'!DX9)</f>
        <v>0</v>
      </c>
      <c r="DZ9" s="149">
        <f>IF($B9=0,"",($O9/30)*'MF Rents'!EB9*'MF Rollover'!DY9)</f>
        <v>0</v>
      </c>
      <c r="EA9" s="149">
        <f>IF($B9=0,"",($O9/30)*'MF Rents'!EC9*'MF Rollover'!DZ9)</f>
        <v>0</v>
      </c>
      <c r="EB9" s="149">
        <f>IF($B9=0,"",($O9/30)*'MF Rents'!ED9*'MF Rollover'!EA9)</f>
        <v>0</v>
      </c>
      <c r="EC9" s="149">
        <f>IF($B9=0,"",($O9/30)*'MF Rents'!EE9*'MF Rollover'!EB9)</f>
        <v>0</v>
      </c>
      <c r="ED9" s="149">
        <f>IF($B9=0,"",($O9/30)*'MF Rents'!EF9*'MF Rollover'!EC9)</f>
        <v>0</v>
      </c>
      <c r="EE9" s="149">
        <f>IF($B9=0,"",($O9/30)*'MF Rents'!EG9*'MF Rollover'!ED9)</f>
        <v>0</v>
      </c>
      <c r="EF9" s="149">
        <f>IF($B9=0,"",($O9/30)*'MF Rents'!EH9*'MF Rollover'!EE9)</f>
        <v>0</v>
      </c>
      <c r="EG9" s="149">
        <f>IF($B9=0,"",($O9/30)*'MF Rents'!EI9*'MF Rollover'!EF9)</f>
        <v>0</v>
      </c>
      <c r="EH9" s="149">
        <f>IF($B9=0,"",($O9/30)*'MF Rents'!EJ9*'MF Rollover'!EG9)</f>
        <v>0</v>
      </c>
      <c r="EI9" s="149">
        <f>IF($B9=0,"",($O9/30)*'MF Rents'!EK9*'MF Rollover'!EH9)</f>
        <v>4502.8984010975764</v>
      </c>
      <c r="EJ9" s="149">
        <f>IF($B9=0,"",($O9/30)*'MF Rents'!EL9*'MF Rollover'!EI9)</f>
        <v>0</v>
      </c>
      <c r="EK9" s="149">
        <f>IF($B9=0,"",($O9/30)*'MF Rents'!EM9*'MF Rollover'!EJ9)</f>
        <v>0</v>
      </c>
      <c r="EL9" s="149">
        <f>IF($B9=0,"",($O9/30)*'MF Rents'!EN9*'MF Rollover'!EK9)</f>
        <v>0</v>
      </c>
      <c r="EM9" s="149">
        <f>IF($B9=0,"",($O9/30)*'MF Rents'!EO9*'MF Rollover'!EL9)</f>
        <v>0</v>
      </c>
      <c r="EN9" s="149">
        <f>IF($B9=0,"",($O9/30)*'MF Rents'!EP9*'MF Rollover'!EM9)</f>
        <v>0</v>
      </c>
      <c r="EO9" s="149">
        <f>IF($B9=0,"",($O9/30)*'MF Rents'!EQ9*'MF Rollover'!EN9)</f>
        <v>0</v>
      </c>
      <c r="EP9" s="149">
        <f>IF($B9=0,"",($O9/30)*'MF Rents'!ER9*'MF Rollover'!EO9)</f>
        <v>0</v>
      </c>
      <c r="EQ9" s="149">
        <f>IF($B9=0,"",($O9/30)*'MF Rents'!ES9*'MF Rollover'!EP9)</f>
        <v>0</v>
      </c>
      <c r="ER9" s="149">
        <f>IF($B9=0,"",($O9/30)*'MF Rents'!ET9*'MF Rollover'!EQ9)</f>
        <v>0</v>
      </c>
      <c r="ES9" s="149">
        <f>IF($B9=0,"",($O9/30)*'MF Rents'!EU9*'MF Rollover'!ER9)</f>
        <v>0</v>
      </c>
      <c r="ET9" s="149">
        <f>IF($B9=0,"",($O9/30)*'MF Rents'!EV9*'MF Rollover'!ES9)</f>
        <v>0</v>
      </c>
      <c r="EU9" s="149">
        <f>IF($B9=0,"",($O9/30)*'MF Rents'!EW9*'MF Rollover'!ET9)</f>
        <v>4570.441877114039</v>
      </c>
      <c r="EV9" s="149">
        <f>IF($B9=0,"",($O9/30)*'MF Rents'!EX9*'MF Rollover'!EU9)</f>
        <v>0</v>
      </c>
      <c r="EW9" s="149">
        <f>IF($B9=0,"",($O9/30)*'MF Rents'!EY9*'MF Rollover'!EV9)</f>
        <v>0</v>
      </c>
      <c r="EX9" s="149">
        <f>IF($B9=0,"",($O9/30)*'MF Rents'!EZ9*'MF Rollover'!EW9)</f>
        <v>0</v>
      </c>
      <c r="EY9" s="149">
        <f>IF($B9=0,"",($O9/30)*'MF Rents'!FA9*'MF Rollover'!EX9)</f>
        <v>0</v>
      </c>
      <c r="EZ9" s="149">
        <f>IF($B9=0,"",($O9/30)*'MF Rents'!FB9*'MF Rollover'!EY9)</f>
        <v>0</v>
      </c>
      <c r="FA9" s="149">
        <f>IF($B9=0,"",($O9/30)*'MF Rents'!FC9*'MF Rollover'!EZ9)</f>
        <v>0</v>
      </c>
      <c r="FB9" s="149">
        <f>IF($B9=0,"",($O9/30)*'MF Rents'!FD9*'MF Rollover'!FA9)</f>
        <v>0</v>
      </c>
      <c r="FC9" s="149">
        <f>IF($B9=0,"",($O9/30)*'MF Rents'!FE9*'MF Rollover'!FB9)</f>
        <v>0</v>
      </c>
      <c r="FD9" s="149">
        <f>IF($B9=0,"",($O9/30)*'MF Rents'!FF9*'MF Rollover'!FC9)</f>
        <v>0</v>
      </c>
      <c r="FE9" s="149">
        <f>IF($B9=0,"",($O9/30)*'MF Rents'!FG9*'MF Rollover'!FD9)</f>
        <v>0</v>
      </c>
      <c r="FF9" s="149">
        <f>IF($B9=0,"",($O9/30)*'MF Rents'!FH9*'MF Rollover'!FE9)</f>
        <v>0</v>
      </c>
      <c r="FG9" s="149">
        <f>IF($B9=0,"",($O9/30)*'MF Rents'!FI9*'MF Rollover'!FF9)</f>
        <v>4638.9985052707489</v>
      </c>
      <c r="FH9" s="149">
        <f>IF($B9=0,"",($O9/30)*'MF Rents'!FJ9*'MF Rollover'!FG9)</f>
        <v>0</v>
      </c>
      <c r="FI9" s="149">
        <f>IF($B9=0,"",($O9/30)*'MF Rents'!FK9*'MF Rollover'!FH9)</f>
        <v>0</v>
      </c>
      <c r="FJ9" s="149">
        <f>IF($B9=0,"",($O9/30)*'MF Rents'!FL9*'MF Rollover'!FI9)</f>
        <v>0</v>
      </c>
      <c r="FK9" s="149">
        <f>IF($B9=0,"",($O9/30)*'MF Rents'!FM9*'MF Rollover'!FJ9)</f>
        <v>0</v>
      </c>
      <c r="FL9" s="149">
        <f>IF($B9=0,"",($O9/30)*'MF Rents'!FN9*'MF Rollover'!FK9)</f>
        <v>0</v>
      </c>
      <c r="FM9" s="149">
        <f>IF($B9=0,"",($O9/30)*'MF Rents'!FO9*'MF Rollover'!FL9)</f>
        <v>0</v>
      </c>
      <c r="FN9" s="149">
        <f>IF($B9=0,"",($O9/30)*'MF Rents'!FP9*'MF Rollover'!FM9)</f>
        <v>0</v>
      </c>
      <c r="FO9" s="149">
        <f>IF($B9=0,"",($O9/30)*'MF Rents'!FQ9*'MF Rollover'!FN9)</f>
        <v>0</v>
      </c>
      <c r="FP9" s="149">
        <f>IF($B9=0,"",($O9/30)*'MF Rents'!FR9*'MF Rollover'!FO9)</f>
        <v>0</v>
      </c>
      <c r="FQ9" s="149">
        <f>IF($B9=0,"",($O9/30)*'MF Rents'!FS9*'MF Rollover'!FP9)</f>
        <v>0</v>
      </c>
      <c r="FR9" s="149">
        <f>IF($B9=0,"",($O9/30)*'MF Rents'!FT9*'MF Rollover'!FQ9)</f>
        <v>0</v>
      </c>
      <c r="FS9" s="149">
        <f>IF($B9=0,"",($O9/30)*'MF Rents'!FU9*'MF Rollover'!FR9)</f>
        <v>4708.58348284981</v>
      </c>
      <c r="FT9" s="149">
        <f>IF($B9=0,"",($O9/30)*'MF Rents'!FV9*'MF Rollover'!FS9)</f>
        <v>0</v>
      </c>
      <c r="FU9" s="149">
        <f>IF($B9=0,"",($O9/30)*'MF Rents'!FW9*'MF Rollover'!FT9)</f>
        <v>0</v>
      </c>
      <c r="FV9" s="149">
        <f>IF($B9=0,"",($O9/30)*'MF Rents'!FX9*'MF Rollover'!FU9)</f>
        <v>0</v>
      </c>
      <c r="FW9" s="149">
        <f>IF($B9=0,"",($O9/30)*'MF Rents'!FY9*'MF Rollover'!FV9)</f>
        <v>0</v>
      </c>
      <c r="FX9" s="149">
        <f>IF($B9=0,"",($O9/30)*'MF Rents'!FZ9*'MF Rollover'!FW9)</f>
        <v>0</v>
      </c>
      <c r="FY9" s="149">
        <f>IF($B9=0,"",($O9/30)*'MF Rents'!GA9*'MF Rollover'!FX9)</f>
        <v>0</v>
      </c>
      <c r="FZ9" s="149">
        <f>IF($B9=0,"",($O9/30)*'MF Rents'!GB9*'MF Rollover'!FY9)</f>
        <v>0</v>
      </c>
      <c r="GA9" s="149">
        <f>IF($B9=0,"",($O9/30)*'MF Rents'!GC9*'MF Rollover'!FZ9)</f>
        <v>0</v>
      </c>
      <c r="GB9" s="149">
        <f>IF($B9=0,"",($O9/30)*'MF Rents'!GD9*'MF Rollover'!GA9)</f>
        <v>0</v>
      </c>
      <c r="GC9" s="149">
        <f>IF($B9=0,"",($O9/30)*'MF Rents'!GE9*'MF Rollover'!GB9)</f>
        <v>0</v>
      </c>
      <c r="GD9" s="149">
        <f>IF($B9=0,"",($O9/30)*'MF Rents'!GF9*'MF Rollover'!GC9)</f>
        <v>0</v>
      </c>
      <c r="GE9" s="149">
        <f>IF($B9=0,"",($O9/30)*'MF Rents'!GG9*'MF Rollover'!GD9)</f>
        <v>4779.2122350925556</v>
      </c>
      <c r="GF9" s="149">
        <f>IF($B9=0,"",($O9/30)*'MF Rents'!GH9*'MF Rollover'!GE9)</f>
        <v>0</v>
      </c>
      <c r="GG9" s="149">
        <f>IF($B9=0,"",($O9/30)*'MF Rents'!GI9*'MF Rollover'!GF9)</f>
        <v>0</v>
      </c>
      <c r="GH9" s="149">
        <f>IF($B9=0,"",($O9/30)*'MF Rents'!GJ9*'MF Rollover'!GG9)</f>
        <v>0</v>
      </c>
      <c r="GI9" s="149">
        <f>IF($B9=0,"",($O9/30)*'MF Rents'!GK9*'MF Rollover'!GH9)</f>
        <v>0</v>
      </c>
      <c r="GJ9" s="149">
        <f>IF($B9=0,"",($O9/30)*'MF Rents'!GL9*'MF Rollover'!GI9)</f>
        <v>0</v>
      </c>
      <c r="GK9" s="149">
        <f>IF($B9=0,"",($O9/30)*'MF Rents'!GM9*'MF Rollover'!GJ9)</f>
        <v>0</v>
      </c>
      <c r="GL9" s="149">
        <f>IF($B9=0,"",($O9/30)*'MF Rents'!GN9*'MF Rollover'!GK9)</f>
        <v>0</v>
      </c>
      <c r="GM9" s="149">
        <f>IF($B9=0,"",($O9/30)*'MF Rents'!GO9*'MF Rollover'!GL9)</f>
        <v>0</v>
      </c>
      <c r="GN9" s="149">
        <f>IF($B9=0,"",($O9/30)*'MF Rents'!GP9*'MF Rollover'!GM9)</f>
        <v>0</v>
      </c>
      <c r="GO9" s="149">
        <f>IF($B9=0,"",($O9/30)*'MF Rents'!GQ9*'MF Rollover'!GN9)</f>
        <v>0</v>
      </c>
      <c r="GP9" s="149">
        <f>IF($B9=0,"",($O9/30)*'MF Rents'!GR9*'MF Rollover'!GO9)</f>
        <v>0</v>
      </c>
    </row>
    <row r="10" spans="2:198" x14ac:dyDescent="0.3">
      <c r="B10" s="184" t="str">
        <f>'MF Rent Roll'!B9</f>
        <v>3bd/2ba</v>
      </c>
      <c r="C10" s="171">
        <f>'MF Rent Roll'!C9</f>
        <v>24</v>
      </c>
      <c r="D10" s="172">
        <f>'MF Rent Roll'!D9</f>
        <v>3</v>
      </c>
      <c r="E10" s="172">
        <f>'MF Rent Roll'!E9</f>
        <v>2</v>
      </c>
      <c r="F10" s="173">
        <f>'MF Rent Roll'!F9</f>
        <v>1046</v>
      </c>
      <c r="G10" s="174">
        <f>'MF Rent Roll'!G9</f>
        <v>1100</v>
      </c>
      <c r="H10" s="176">
        <f>'MF Rent Roll'!J9</f>
        <v>12</v>
      </c>
      <c r="I10" s="174">
        <f>'MF Rent Roll'!K9</f>
        <v>70</v>
      </c>
      <c r="J10" s="177">
        <f>'MF Rent Roll'!L9</f>
        <v>0</v>
      </c>
      <c r="K10" s="178">
        <f>'MF Rent Roll'!M9</f>
        <v>30</v>
      </c>
      <c r="L10" s="174">
        <f>'MF Rent Roll'!N9</f>
        <v>400</v>
      </c>
      <c r="M10" s="179">
        <f>'MF Rent Roll'!O9</f>
        <v>0.6</v>
      </c>
      <c r="N10" s="180">
        <f>'MF Rent Roll'!P9</f>
        <v>0</v>
      </c>
      <c r="O10" s="181">
        <f>'MF Rent Roll'!Q9</f>
        <v>12</v>
      </c>
      <c r="P10" s="104">
        <f>'MF Rent Roll'!R9</f>
        <v>160</v>
      </c>
      <c r="S10" s="149">
        <f>IF($B10=0,"",($O10/30)*'MF Rents'!U10*'MF Rollover'!R10)</f>
        <v>0</v>
      </c>
      <c r="T10" s="149">
        <f>IF($B10=0,"",($O10/30)*'MF Rents'!V10*'MF Rollover'!S10)</f>
        <v>0</v>
      </c>
      <c r="U10" s="149">
        <f>IF($B10=0,"",($O10/30)*'MF Rents'!W10*'MF Rollover'!T10)</f>
        <v>0</v>
      </c>
      <c r="V10" s="149">
        <f>IF($B10=0,"",($O10/30)*'MF Rents'!X10*'MF Rollover'!U10)</f>
        <v>0</v>
      </c>
      <c r="W10" s="149">
        <f>IF($B10=0,"",($O10/30)*'MF Rents'!Y10*'MF Rollover'!V10)</f>
        <v>0</v>
      </c>
      <c r="X10" s="149">
        <f>IF($B10=0,"",($O10/30)*'MF Rents'!Z10*'MF Rollover'!W10)</f>
        <v>0</v>
      </c>
      <c r="Y10" s="149">
        <f>IF($B10=0,"",($O10/30)*'MF Rents'!AA10*'MF Rollover'!X10)</f>
        <v>0</v>
      </c>
      <c r="Z10" s="149">
        <f>IF($B10=0,"",($O10/30)*'MF Rents'!AB10*'MF Rollover'!Y10)</f>
        <v>0</v>
      </c>
      <c r="AA10" s="149">
        <f>IF($B10=0,"",($O10/30)*'MF Rents'!AC10*'MF Rollover'!Z10)</f>
        <v>0</v>
      </c>
      <c r="AB10" s="149">
        <f>IF($B10=0,"",($O10/30)*'MF Rents'!AD10*'MF Rollover'!AA10)</f>
        <v>0</v>
      </c>
      <c r="AC10" s="149">
        <f>IF($B10=0,"",($O10/30)*'MF Rents'!AE10*'MF Rollover'!AB10)</f>
        <v>0</v>
      </c>
      <c r="AD10" s="149">
        <f>IF($B10=0,"",($O10/30)*'MF Rents'!AF10*'MF Rollover'!AC10)</f>
        <v>0</v>
      </c>
      <c r="AE10" s="149">
        <f>IF($B10=0,"",($O10/30)*'MF Rents'!AG10*'MF Rollover'!AD10)</f>
        <v>10718.4</v>
      </c>
      <c r="AF10" s="149">
        <f>IF($B10=0,"",($O10/30)*'MF Rents'!AH10*'MF Rollover'!AE10)</f>
        <v>0</v>
      </c>
      <c r="AG10" s="149">
        <f>IF($B10=0,"",($O10/30)*'MF Rents'!AI10*'MF Rollover'!AF10)</f>
        <v>0</v>
      </c>
      <c r="AH10" s="149">
        <f>IF($B10=0,"",($O10/30)*'MF Rents'!AJ10*'MF Rollover'!AG10)</f>
        <v>0</v>
      </c>
      <c r="AI10" s="149">
        <f>IF($B10=0,"",($O10/30)*'MF Rents'!AK10*'MF Rollover'!AH10)</f>
        <v>0</v>
      </c>
      <c r="AJ10" s="149">
        <f>IF($B10=0,"",($O10/30)*'MF Rents'!AL10*'MF Rollover'!AI10)</f>
        <v>0</v>
      </c>
      <c r="AK10" s="149">
        <f>IF($B10=0,"",($O10/30)*'MF Rents'!AM10*'MF Rollover'!AJ10)</f>
        <v>0</v>
      </c>
      <c r="AL10" s="149">
        <f>IF($B10=0,"",($O10/30)*'MF Rents'!AN10*'MF Rollover'!AK10)</f>
        <v>0</v>
      </c>
      <c r="AM10" s="149">
        <f>IF($B10=0,"",($O10/30)*'MF Rents'!AO10*'MF Rollover'!AL10)</f>
        <v>0</v>
      </c>
      <c r="AN10" s="149">
        <f>IF($B10=0,"",($O10/30)*'MF Rents'!AP10*'MF Rollover'!AM10)</f>
        <v>0</v>
      </c>
      <c r="AO10" s="149">
        <f>IF($B10=0,"",($O10/30)*'MF Rents'!AQ10*'MF Rollover'!AN10)</f>
        <v>0</v>
      </c>
      <c r="AP10" s="149">
        <f>IF($B10=0,"",($O10/30)*'MF Rents'!AR10*'MF Rollover'!AO10)</f>
        <v>0</v>
      </c>
      <c r="AQ10" s="149">
        <f>IF($B10=0,"",($O10/30)*'MF Rents'!AS10*'MF Rollover'!AP10)</f>
        <v>12065.995199999998</v>
      </c>
      <c r="AR10" s="149">
        <f>IF($B10=0,"",($O10/30)*'MF Rents'!AT10*'MF Rollover'!AQ10)</f>
        <v>0</v>
      </c>
      <c r="AS10" s="149">
        <f>IF($B10=0,"",($O10/30)*'MF Rents'!AU10*'MF Rollover'!AR10)</f>
        <v>0</v>
      </c>
      <c r="AT10" s="149">
        <f>IF($B10=0,"",($O10/30)*'MF Rents'!AV10*'MF Rollover'!AS10)</f>
        <v>0</v>
      </c>
      <c r="AU10" s="149">
        <f>IF($B10=0,"",($O10/30)*'MF Rents'!AW10*'MF Rollover'!AT10)</f>
        <v>0</v>
      </c>
      <c r="AV10" s="149">
        <f>IF($B10=0,"",($O10/30)*'MF Rents'!AX10*'MF Rollover'!AU10)</f>
        <v>0</v>
      </c>
      <c r="AW10" s="149">
        <f>IF($B10=0,"",($O10/30)*'MF Rents'!AY10*'MF Rollover'!AV10)</f>
        <v>0</v>
      </c>
      <c r="AX10" s="149">
        <f>IF($B10=0,"",($O10/30)*'MF Rents'!AZ10*'MF Rollover'!AW10)</f>
        <v>0</v>
      </c>
      <c r="AY10" s="149">
        <f>IF($B10=0,"",($O10/30)*'MF Rents'!BA10*'MF Rollover'!AX10)</f>
        <v>0</v>
      </c>
      <c r="AZ10" s="149">
        <f>IF($B10=0,"",($O10/30)*'MF Rents'!BB10*'MF Rollover'!AY10)</f>
        <v>0</v>
      </c>
      <c r="BA10" s="149">
        <f>IF($B10=0,"",($O10/30)*'MF Rents'!BC10*'MF Rollover'!AZ10)</f>
        <v>0</v>
      </c>
      <c r="BB10" s="149">
        <f>IF($B10=0,"",($O10/30)*'MF Rents'!BD10*'MF Rollover'!BA10)</f>
        <v>0</v>
      </c>
      <c r="BC10" s="149">
        <f>IF($B10=0,"",($O10/30)*'MF Rents'!BE10*'MF Rollover'!BB10)</f>
        <v>12246.985127999997</v>
      </c>
      <c r="BD10" s="149">
        <f>IF($B10=0,"",($O10/30)*'MF Rents'!BF10*'MF Rollover'!BC10)</f>
        <v>0</v>
      </c>
      <c r="BE10" s="149">
        <f>IF($B10=0,"",($O10/30)*'MF Rents'!BG10*'MF Rollover'!BD10)</f>
        <v>0</v>
      </c>
      <c r="BF10" s="149">
        <f>IF($B10=0,"",($O10/30)*'MF Rents'!BH10*'MF Rollover'!BE10)</f>
        <v>0</v>
      </c>
      <c r="BG10" s="149">
        <f>IF($B10=0,"",($O10/30)*'MF Rents'!BI10*'MF Rollover'!BF10)</f>
        <v>0</v>
      </c>
      <c r="BH10" s="149">
        <f>IF($B10=0,"",($O10/30)*'MF Rents'!BJ10*'MF Rollover'!BG10)</f>
        <v>0</v>
      </c>
      <c r="BI10" s="149">
        <f>IF($B10=0,"",($O10/30)*'MF Rents'!BK10*'MF Rollover'!BH10)</f>
        <v>0</v>
      </c>
      <c r="BJ10" s="149">
        <f>IF($B10=0,"",($O10/30)*'MF Rents'!BL10*'MF Rollover'!BI10)</f>
        <v>0</v>
      </c>
      <c r="BK10" s="149">
        <f>IF($B10=0,"",($O10/30)*'MF Rents'!BM10*'MF Rollover'!BJ10)</f>
        <v>0</v>
      </c>
      <c r="BL10" s="149">
        <f>IF($B10=0,"",($O10/30)*'MF Rents'!BN10*'MF Rollover'!BK10)</f>
        <v>0</v>
      </c>
      <c r="BM10" s="149">
        <f>IF($B10=0,"",($O10/30)*'MF Rents'!BO10*'MF Rollover'!BL10)</f>
        <v>0</v>
      </c>
      <c r="BN10" s="149">
        <f>IF($B10=0,"",($O10/30)*'MF Rents'!BP10*'MF Rollover'!BM10)</f>
        <v>0</v>
      </c>
      <c r="BO10" s="149">
        <f>IF($B10=0,"",($O10/30)*'MF Rents'!BQ10*'MF Rollover'!BN10)</f>
        <v>12430.689904919993</v>
      </c>
      <c r="BP10" s="149">
        <f>IF($B10=0,"",($O10/30)*'MF Rents'!BR10*'MF Rollover'!BO10)</f>
        <v>0</v>
      </c>
      <c r="BQ10" s="149">
        <f>IF($B10=0,"",($O10/30)*'MF Rents'!BS10*'MF Rollover'!BP10)</f>
        <v>0</v>
      </c>
      <c r="BR10" s="149">
        <f>IF($B10=0,"",($O10/30)*'MF Rents'!BT10*'MF Rollover'!BQ10)</f>
        <v>0</v>
      </c>
      <c r="BS10" s="149">
        <f>IF($B10=0,"",($O10/30)*'MF Rents'!BU10*'MF Rollover'!BR10)</f>
        <v>0</v>
      </c>
      <c r="BT10" s="149">
        <f>IF($B10=0,"",($O10/30)*'MF Rents'!BV10*'MF Rollover'!BS10)</f>
        <v>0</v>
      </c>
      <c r="BU10" s="149">
        <f>IF($B10=0,"",($O10/30)*'MF Rents'!BW10*'MF Rollover'!BT10)</f>
        <v>0</v>
      </c>
      <c r="BV10" s="149">
        <f>IF($B10=0,"",($O10/30)*'MF Rents'!BX10*'MF Rollover'!BU10)</f>
        <v>0</v>
      </c>
      <c r="BW10" s="149">
        <f>IF($B10=0,"",($O10/30)*'MF Rents'!BY10*'MF Rollover'!BV10)</f>
        <v>0</v>
      </c>
      <c r="BX10" s="149">
        <f>IF($B10=0,"",($O10/30)*'MF Rents'!BZ10*'MF Rollover'!BW10)</f>
        <v>0</v>
      </c>
      <c r="BY10" s="149">
        <f>IF($B10=0,"",($O10/30)*'MF Rents'!CA10*'MF Rollover'!BX10)</f>
        <v>0</v>
      </c>
      <c r="BZ10" s="149">
        <f>IF($B10=0,"",($O10/30)*'MF Rents'!CB10*'MF Rollover'!BY10)</f>
        <v>0</v>
      </c>
      <c r="CA10" s="149">
        <f>IF($B10=0,"",($O10/30)*'MF Rents'!CC10*'MF Rollover'!BZ10)</f>
        <v>12617.150253493792</v>
      </c>
      <c r="CB10" s="149">
        <f>IF($B10=0,"",($O10/30)*'MF Rents'!CD10*'MF Rollover'!CA10)</f>
        <v>0</v>
      </c>
      <c r="CC10" s="149">
        <f>IF($B10=0,"",($O10/30)*'MF Rents'!CE10*'MF Rollover'!CB10)</f>
        <v>0</v>
      </c>
      <c r="CD10" s="149">
        <f>IF($B10=0,"",($O10/30)*'MF Rents'!CF10*'MF Rollover'!CC10)</f>
        <v>0</v>
      </c>
      <c r="CE10" s="149">
        <f>IF($B10=0,"",($O10/30)*'MF Rents'!CG10*'MF Rollover'!CD10)</f>
        <v>0</v>
      </c>
      <c r="CF10" s="149">
        <f>IF($B10=0,"",($O10/30)*'MF Rents'!CH10*'MF Rollover'!CE10)</f>
        <v>0</v>
      </c>
      <c r="CG10" s="149">
        <f>IF($B10=0,"",($O10/30)*'MF Rents'!CI10*'MF Rollover'!CF10)</f>
        <v>0</v>
      </c>
      <c r="CH10" s="149">
        <f>IF($B10=0,"",($O10/30)*'MF Rents'!CJ10*'MF Rollover'!CG10)</f>
        <v>0</v>
      </c>
      <c r="CI10" s="149">
        <f>IF($B10=0,"",($O10/30)*'MF Rents'!CK10*'MF Rollover'!CH10)</f>
        <v>0</v>
      </c>
      <c r="CJ10" s="149">
        <f>IF($B10=0,"",($O10/30)*'MF Rents'!CL10*'MF Rollover'!CI10)</f>
        <v>0</v>
      </c>
      <c r="CK10" s="149">
        <f>IF($B10=0,"",($O10/30)*'MF Rents'!CM10*'MF Rollover'!CJ10)</f>
        <v>0</v>
      </c>
      <c r="CL10" s="149">
        <f>IF($B10=0,"",($O10/30)*'MF Rents'!CN10*'MF Rollover'!CK10)</f>
        <v>0</v>
      </c>
      <c r="CM10" s="149">
        <f>IF($B10=0,"",($O10/30)*'MF Rents'!CO10*'MF Rollover'!CL10)</f>
        <v>12806.407507296197</v>
      </c>
      <c r="CN10" s="149">
        <f>IF($B10=0,"",($O10/30)*'MF Rents'!CP10*'MF Rollover'!CM10)</f>
        <v>0</v>
      </c>
      <c r="CO10" s="149">
        <f>IF($B10=0,"",($O10/30)*'MF Rents'!CQ10*'MF Rollover'!CN10)</f>
        <v>0</v>
      </c>
      <c r="CP10" s="149">
        <f>IF($B10=0,"",($O10/30)*'MF Rents'!CR10*'MF Rollover'!CO10)</f>
        <v>0</v>
      </c>
      <c r="CQ10" s="149">
        <f>IF($B10=0,"",($O10/30)*'MF Rents'!CS10*'MF Rollover'!CP10)</f>
        <v>0</v>
      </c>
      <c r="CR10" s="149">
        <f>IF($B10=0,"",($O10/30)*'MF Rents'!CT10*'MF Rollover'!CQ10)</f>
        <v>0</v>
      </c>
      <c r="CS10" s="149">
        <f>IF($B10=0,"",($O10/30)*'MF Rents'!CU10*'MF Rollover'!CR10)</f>
        <v>0</v>
      </c>
      <c r="CT10" s="149">
        <f>IF($B10=0,"",($O10/30)*'MF Rents'!CV10*'MF Rollover'!CS10)</f>
        <v>0</v>
      </c>
      <c r="CU10" s="149">
        <f>IF($B10=0,"",($O10/30)*'MF Rents'!CW10*'MF Rollover'!CT10)</f>
        <v>0</v>
      </c>
      <c r="CV10" s="149">
        <f>IF($B10=0,"",($O10/30)*'MF Rents'!CX10*'MF Rollover'!CU10)</f>
        <v>0</v>
      </c>
      <c r="CW10" s="149">
        <f>IF($B10=0,"",($O10/30)*'MF Rents'!CY10*'MF Rollover'!CV10)</f>
        <v>0</v>
      </c>
      <c r="CX10" s="149">
        <f>IF($B10=0,"",($O10/30)*'MF Rents'!CZ10*'MF Rollover'!CW10)</f>
        <v>0</v>
      </c>
      <c r="CY10" s="149">
        <f>IF($B10=0,"",($O10/30)*'MF Rents'!DA10*'MF Rollover'!CX10)</f>
        <v>12998.503619905638</v>
      </c>
      <c r="CZ10" s="149">
        <f>IF($B10=0,"",($O10/30)*'MF Rents'!DB10*'MF Rollover'!CY10)</f>
        <v>0</v>
      </c>
      <c r="DA10" s="149">
        <f>IF($B10=0,"",($O10/30)*'MF Rents'!DC10*'MF Rollover'!CZ10)</f>
        <v>0</v>
      </c>
      <c r="DB10" s="149">
        <f>IF($B10=0,"",($O10/30)*'MF Rents'!DD10*'MF Rollover'!DA10)</f>
        <v>0</v>
      </c>
      <c r="DC10" s="149">
        <f>IF($B10=0,"",($O10/30)*'MF Rents'!DE10*'MF Rollover'!DB10)</f>
        <v>0</v>
      </c>
      <c r="DD10" s="149">
        <f>IF($B10=0,"",($O10/30)*'MF Rents'!DF10*'MF Rollover'!DC10)</f>
        <v>0</v>
      </c>
      <c r="DE10" s="149">
        <f>IF($B10=0,"",($O10/30)*'MF Rents'!DG10*'MF Rollover'!DD10)</f>
        <v>0</v>
      </c>
      <c r="DF10" s="149">
        <f>IF($B10=0,"",($O10/30)*'MF Rents'!DH10*'MF Rollover'!DE10)</f>
        <v>0</v>
      </c>
      <c r="DG10" s="149">
        <f>IF($B10=0,"",($O10/30)*'MF Rents'!DI10*'MF Rollover'!DF10)</f>
        <v>0</v>
      </c>
      <c r="DH10" s="149">
        <f>IF($B10=0,"",($O10/30)*'MF Rents'!DJ10*'MF Rollover'!DG10)</f>
        <v>0</v>
      </c>
      <c r="DI10" s="149">
        <f>IF($B10=0,"",($O10/30)*'MF Rents'!DK10*'MF Rollover'!DH10)</f>
        <v>0</v>
      </c>
      <c r="DJ10" s="149">
        <f>IF($B10=0,"",($O10/30)*'MF Rents'!DL10*'MF Rollover'!DI10)</f>
        <v>0</v>
      </c>
      <c r="DK10" s="149">
        <f>IF($B10=0,"",($O10/30)*'MF Rents'!DM10*'MF Rollover'!DJ10)</f>
        <v>13193.48117420422</v>
      </c>
      <c r="DL10" s="149">
        <f>IF($B10=0,"",($O10/30)*'MF Rents'!DN10*'MF Rollover'!DK10)</f>
        <v>0</v>
      </c>
      <c r="DM10" s="149">
        <f>IF($B10=0,"",($O10/30)*'MF Rents'!DO10*'MF Rollover'!DL10)</f>
        <v>0</v>
      </c>
      <c r="DN10" s="149">
        <f>IF($B10=0,"",($O10/30)*'MF Rents'!DP10*'MF Rollover'!DM10)</f>
        <v>0</v>
      </c>
      <c r="DO10" s="149">
        <f>IF($B10=0,"",($O10/30)*'MF Rents'!DQ10*'MF Rollover'!DN10)</f>
        <v>0</v>
      </c>
      <c r="DP10" s="149">
        <f>IF($B10=0,"",($O10/30)*'MF Rents'!DR10*'MF Rollover'!DO10)</f>
        <v>0</v>
      </c>
      <c r="DQ10" s="149">
        <f>IF($B10=0,"",($O10/30)*'MF Rents'!DS10*'MF Rollover'!DP10)</f>
        <v>0</v>
      </c>
      <c r="DR10" s="149">
        <f>IF($B10=0,"",($O10/30)*'MF Rents'!DT10*'MF Rollover'!DQ10)</f>
        <v>0</v>
      </c>
      <c r="DS10" s="149">
        <f>IF($B10=0,"",($O10/30)*'MF Rents'!DU10*'MF Rollover'!DR10)</f>
        <v>0</v>
      </c>
      <c r="DT10" s="149">
        <f>IF($B10=0,"",($O10/30)*'MF Rents'!DV10*'MF Rollover'!DS10)</f>
        <v>0</v>
      </c>
      <c r="DU10" s="149">
        <f>IF($B10=0,"",($O10/30)*'MF Rents'!DW10*'MF Rollover'!DT10)</f>
        <v>0</v>
      </c>
      <c r="DV10" s="149">
        <f>IF($B10=0,"",($O10/30)*'MF Rents'!DX10*'MF Rollover'!DU10)</f>
        <v>0</v>
      </c>
      <c r="DW10" s="149">
        <f>IF($B10=0,"",($O10/30)*'MF Rents'!DY10*'MF Rollover'!DV10)</f>
        <v>13391.383391817282</v>
      </c>
      <c r="DX10" s="149">
        <f>IF($B10=0,"",($O10/30)*'MF Rents'!DZ10*'MF Rollover'!DW10)</f>
        <v>0</v>
      </c>
      <c r="DY10" s="149">
        <f>IF($B10=0,"",($O10/30)*'MF Rents'!EA10*'MF Rollover'!DX10)</f>
        <v>0</v>
      </c>
      <c r="DZ10" s="149">
        <f>IF($B10=0,"",($O10/30)*'MF Rents'!EB10*'MF Rollover'!DY10)</f>
        <v>0</v>
      </c>
      <c r="EA10" s="149">
        <f>IF($B10=0,"",($O10/30)*'MF Rents'!EC10*'MF Rollover'!DZ10)</f>
        <v>0</v>
      </c>
      <c r="EB10" s="149">
        <f>IF($B10=0,"",($O10/30)*'MF Rents'!ED10*'MF Rollover'!EA10)</f>
        <v>0</v>
      </c>
      <c r="EC10" s="149">
        <f>IF($B10=0,"",($O10/30)*'MF Rents'!EE10*'MF Rollover'!EB10)</f>
        <v>0</v>
      </c>
      <c r="ED10" s="149">
        <f>IF($B10=0,"",($O10/30)*'MF Rents'!EF10*'MF Rollover'!EC10)</f>
        <v>0</v>
      </c>
      <c r="EE10" s="149">
        <f>IF($B10=0,"",($O10/30)*'MF Rents'!EG10*'MF Rollover'!ED10)</f>
        <v>0</v>
      </c>
      <c r="EF10" s="149">
        <f>IF($B10=0,"",($O10/30)*'MF Rents'!EH10*'MF Rollover'!EE10)</f>
        <v>0</v>
      </c>
      <c r="EG10" s="149">
        <f>IF($B10=0,"",($O10/30)*'MF Rents'!EI10*'MF Rollover'!EF10)</f>
        <v>0</v>
      </c>
      <c r="EH10" s="149">
        <f>IF($B10=0,"",($O10/30)*'MF Rents'!EJ10*'MF Rollover'!EG10)</f>
        <v>0</v>
      </c>
      <c r="EI10" s="149">
        <f>IF($B10=0,"",($O10/30)*'MF Rents'!EK10*'MF Rollover'!EH10)</f>
        <v>13592.254142694539</v>
      </c>
      <c r="EJ10" s="149">
        <f>IF($B10=0,"",($O10/30)*'MF Rents'!EL10*'MF Rollover'!EI10)</f>
        <v>0</v>
      </c>
      <c r="EK10" s="149">
        <f>IF($B10=0,"",($O10/30)*'MF Rents'!EM10*'MF Rollover'!EJ10)</f>
        <v>0</v>
      </c>
      <c r="EL10" s="149">
        <f>IF($B10=0,"",($O10/30)*'MF Rents'!EN10*'MF Rollover'!EK10)</f>
        <v>0</v>
      </c>
      <c r="EM10" s="149">
        <f>IF($B10=0,"",($O10/30)*'MF Rents'!EO10*'MF Rollover'!EL10)</f>
        <v>0</v>
      </c>
      <c r="EN10" s="149">
        <f>IF($B10=0,"",($O10/30)*'MF Rents'!EP10*'MF Rollover'!EM10)</f>
        <v>0</v>
      </c>
      <c r="EO10" s="149">
        <f>IF($B10=0,"",($O10/30)*'MF Rents'!EQ10*'MF Rollover'!EN10)</f>
        <v>0</v>
      </c>
      <c r="EP10" s="149">
        <f>IF($B10=0,"",($O10/30)*'MF Rents'!ER10*'MF Rollover'!EO10)</f>
        <v>0</v>
      </c>
      <c r="EQ10" s="149">
        <f>IF($B10=0,"",($O10/30)*'MF Rents'!ES10*'MF Rollover'!EP10)</f>
        <v>0</v>
      </c>
      <c r="ER10" s="149">
        <f>IF($B10=0,"",($O10/30)*'MF Rents'!ET10*'MF Rollover'!EQ10)</f>
        <v>0</v>
      </c>
      <c r="ES10" s="149">
        <f>IF($B10=0,"",($O10/30)*'MF Rents'!EU10*'MF Rollover'!ER10)</f>
        <v>0</v>
      </c>
      <c r="ET10" s="149">
        <f>IF($B10=0,"",($O10/30)*'MF Rents'!EV10*'MF Rollover'!ES10)</f>
        <v>0</v>
      </c>
      <c r="EU10" s="149">
        <f>IF($B10=0,"",($O10/30)*'MF Rents'!EW10*'MF Rollover'!ET10)</f>
        <v>13796.137954834958</v>
      </c>
      <c r="EV10" s="149">
        <f>IF($B10=0,"",($O10/30)*'MF Rents'!EX10*'MF Rollover'!EU10)</f>
        <v>0</v>
      </c>
      <c r="EW10" s="149">
        <f>IF($B10=0,"",($O10/30)*'MF Rents'!EY10*'MF Rollover'!EV10)</f>
        <v>0</v>
      </c>
      <c r="EX10" s="149">
        <f>IF($B10=0,"",($O10/30)*'MF Rents'!EZ10*'MF Rollover'!EW10)</f>
        <v>0</v>
      </c>
      <c r="EY10" s="149">
        <f>IF($B10=0,"",($O10/30)*'MF Rents'!FA10*'MF Rollover'!EX10)</f>
        <v>0</v>
      </c>
      <c r="EZ10" s="149">
        <f>IF($B10=0,"",($O10/30)*'MF Rents'!FB10*'MF Rollover'!EY10)</f>
        <v>0</v>
      </c>
      <c r="FA10" s="149">
        <f>IF($B10=0,"",($O10/30)*'MF Rents'!FC10*'MF Rollover'!EZ10)</f>
        <v>0</v>
      </c>
      <c r="FB10" s="149">
        <f>IF($B10=0,"",($O10/30)*'MF Rents'!FD10*'MF Rollover'!FA10)</f>
        <v>0</v>
      </c>
      <c r="FC10" s="149">
        <f>IF($B10=0,"",($O10/30)*'MF Rents'!FE10*'MF Rollover'!FB10)</f>
        <v>0</v>
      </c>
      <c r="FD10" s="149">
        <f>IF($B10=0,"",($O10/30)*'MF Rents'!FF10*'MF Rollover'!FC10)</f>
        <v>0</v>
      </c>
      <c r="FE10" s="149">
        <f>IF($B10=0,"",($O10/30)*'MF Rents'!FG10*'MF Rollover'!FD10)</f>
        <v>0</v>
      </c>
      <c r="FF10" s="149">
        <f>IF($B10=0,"",($O10/30)*'MF Rents'!FH10*'MF Rollover'!FE10)</f>
        <v>0</v>
      </c>
      <c r="FG10" s="149">
        <f>IF($B10=0,"",($O10/30)*'MF Rents'!FI10*'MF Rollover'!FF10)</f>
        <v>14003.080024157476</v>
      </c>
      <c r="FH10" s="149">
        <f>IF($B10=0,"",($O10/30)*'MF Rents'!FJ10*'MF Rollover'!FG10)</f>
        <v>0</v>
      </c>
      <c r="FI10" s="149">
        <f>IF($B10=0,"",($O10/30)*'MF Rents'!FK10*'MF Rollover'!FH10)</f>
        <v>0</v>
      </c>
      <c r="FJ10" s="149">
        <f>IF($B10=0,"",($O10/30)*'MF Rents'!FL10*'MF Rollover'!FI10)</f>
        <v>0</v>
      </c>
      <c r="FK10" s="149">
        <f>IF($B10=0,"",($O10/30)*'MF Rents'!FM10*'MF Rollover'!FJ10)</f>
        <v>0</v>
      </c>
      <c r="FL10" s="149">
        <f>IF($B10=0,"",($O10/30)*'MF Rents'!FN10*'MF Rollover'!FK10)</f>
        <v>0</v>
      </c>
      <c r="FM10" s="149">
        <f>IF($B10=0,"",($O10/30)*'MF Rents'!FO10*'MF Rollover'!FL10)</f>
        <v>0</v>
      </c>
      <c r="FN10" s="149">
        <f>IF($B10=0,"",($O10/30)*'MF Rents'!FP10*'MF Rollover'!FM10)</f>
        <v>0</v>
      </c>
      <c r="FO10" s="149">
        <f>IF($B10=0,"",($O10/30)*'MF Rents'!FQ10*'MF Rollover'!FN10)</f>
        <v>0</v>
      </c>
      <c r="FP10" s="149">
        <f>IF($B10=0,"",($O10/30)*'MF Rents'!FR10*'MF Rollover'!FO10)</f>
        <v>0</v>
      </c>
      <c r="FQ10" s="149">
        <f>IF($B10=0,"",($O10/30)*'MF Rents'!FS10*'MF Rollover'!FP10)</f>
        <v>0</v>
      </c>
      <c r="FR10" s="149">
        <f>IF($B10=0,"",($O10/30)*'MF Rents'!FT10*'MF Rollover'!FQ10)</f>
        <v>0</v>
      </c>
      <c r="FS10" s="149">
        <f>IF($B10=0,"",($O10/30)*'MF Rents'!FU10*'MF Rollover'!FR10)</f>
        <v>14213.12622451984</v>
      </c>
      <c r="FT10" s="149">
        <f>IF($B10=0,"",($O10/30)*'MF Rents'!FV10*'MF Rollover'!FS10)</f>
        <v>0</v>
      </c>
      <c r="FU10" s="149">
        <f>IF($B10=0,"",($O10/30)*'MF Rents'!FW10*'MF Rollover'!FT10)</f>
        <v>0</v>
      </c>
      <c r="FV10" s="149">
        <f>IF($B10=0,"",($O10/30)*'MF Rents'!FX10*'MF Rollover'!FU10)</f>
        <v>0</v>
      </c>
      <c r="FW10" s="149">
        <f>IF($B10=0,"",($O10/30)*'MF Rents'!FY10*'MF Rollover'!FV10)</f>
        <v>0</v>
      </c>
      <c r="FX10" s="149">
        <f>IF($B10=0,"",($O10/30)*'MF Rents'!FZ10*'MF Rollover'!FW10)</f>
        <v>0</v>
      </c>
      <c r="FY10" s="149">
        <f>IF($B10=0,"",($O10/30)*'MF Rents'!GA10*'MF Rollover'!FX10)</f>
        <v>0</v>
      </c>
      <c r="FZ10" s="149">
        <f>IF($B10=0,"",($O10/30)*'MF Rents'!GB10*'MF Rollover'!FY10)</f>
        <v>0</v>
      </c>
      <c r="GA10" s="149">
        <f>IF($B10=0,"",($O10/30)*'MF Rents'!GC10*'MF Rollover'!FZ10)</f>
        <v>0</v>
      </c>
      <c r="GB10" s="149">
        <f>IF($B10=0,"",($O10/30)*'MF Rents'!GD10*'MF Rollover'!GA10)</f>
        <v>0</v>
      </c>
      <c r="GC10" s="149">
        <f>IF($B10=0,"",($O10/30)*'MF Rents'!GE10*'MF Rollover'!GB10)</f>
        <v>0</v>
      </c>
      <c r="GD10" s="149">
        <f>IF($B10=0,"",($O10/30)*'MF Rents'!GF10*'MF Rollover'!GC10)</f>
        <v>0</v>
      </c>
      <c r="GE10" s="149">
        <f>IF($B10=0,"",($O10/30)*'MF Rents'!GG10*'MF Rollover'!GD10)</f>
        <v>14426.323117887634</v>
      </c>
      <c r="GF10" s="149">
        <f>IF($B10=0,"",($O10/30)*'MF Rents'!GH10*'MF Rollover'!GE10)</f>
        <v>0</v>
      </c>
      <c r="GG10" s="149">
        <f>IF($B10=0,"",($O10/30)*'MF Rents'!GI10*'MF Rollover'!GF10)</f>
        <v>0</v>
      </c>
      <c r="GH10" s="149">
        <f>IF($B10=0,"",($O10/30)*'MF Rents'!GJ10*'MF Rollover'!GG10)</f>
        <v>0</v>
      </c>
      <c r="GI10" s="149">
        <f>IF($B10=0,"",($O10/30)*'MF Rents'!GK10*'MF Rollover'!GH10)</f>
        <v>0</v>
      </c>
      <c r="GJ10" s="149">
        <f>IF($B10=0,"",($O10/30)*'MF Rents'!GL10*'MF Rollover'!GI10)</f>
        <v>0</v>
      </c>
      <c r="GK10" s="149">
        <f>IF($B10=0,"",($O10/30)*'MF Rents'!GM10*'MF Rollover'!GJ10)</f>
        <v>0</v>
      </c>
      <c r="GL10" s="149">
        <f>IF($B10=0,"",($O10/30)*'MF Rents'!GN10*'MF Rollover'!GK10)</f>
        <v>0</v>
      </c>
      <c r="GM10" s="149">
        <f>IF($B10=0,"",($O10/30)*'MF Rents'!GO10*'MF Rollover'!GL10)</f>
        <v>0</v>
      </c>
      <c r="GN10" s="149">
        <f>IF($B10=0,"",($O10/30)*'MF Rents'!GP10*'MF Rollover'!GM10)</f>
        <v>0</v>
      </c>
      <c r="GO10" s="149">
        <f>IF($B10=0,"",($O10/30)*'MF Rents'!GQ10*'MF Rollover'!GN10)</f>
        <v>0</v>
      </c>
      <c r="GP10" s="149">
        <f>IF($B10=0,"",($O10/30)*'MF Rents'!GR10*'MF Rollover'!GO10)</f>
        <v>0</v>
      </c>
    </row>
    <row r="11" spans="2:198" x14ac:dyDescent="0.3">
      <c r="B11" s="184">
        <f>'MF Rent Roll'!B10</f>
        <v>0</v>
      </c>
      <c r="C11" s="171">
        <f>'MF Rent Roll'!C10</f>
        <v>0</v>
      </c>
      <c r="D11" s="172">
        <f>'MF Rent Roll'!D10</f>
        <v>0</v>
      </c>
      <c r="E11" s="172">
        <f>'MF Rent Roll'!E10</f>
        <v>0</v>
      </c>
      <c r="F11" s="173">
        <f>'MF Rent Roll'!F10</f>
        <v>0</v>
      </c>
      <c r="G11" s="174">
        <f>'MF Rent Roll'!G10</f>
        <v>0</v>
      </c>
      <c r="H11" s="176">
        <f>'MF Rent Roll'!J10</f>
        <v>0</v>
      </c>
      <c r="I11" s="174">
        <f>'MF Rent Roll'!K10</f>
        <v>0</v>
      </c>
      <c r="J11" s="177">
        <f>'MF Rent Roll'!L10</f>
        <v>0</v>
      </c>
      <c r="K11" s="178">
        <f>'MF Rent Roll'!M10</f>
        <v>0</v>
      </c>
      <c r="L11" s="174">
        <f>'MF Rent Roll'!N10</f>
        <v>0</v>
      </c>
      <c r="M11" s="179">
        <f>'MF Rent Roll'!O10</f>
        <v>0</v>
      </c>
      <c r="N11" s="180" t="str">
        <f>'MF Rent Roll'!P10</f>
        <v/>
      </c>
      <c r="O11" s="181" t="str">
        <f>'MF Rent Roll'!Q10</f>
        <v/>
      </c>
      <c r="P11" s="104" t="str">
        <f>'MF Rent Roll'!R10</f>
        <v/>
      </c>
      <c r="S11" s="149" t="str">
        <f>IF($B11=0,"",($O11/30)*'MF Rents'!U11*'MF Rollover'!R11)</f>
        <v/>
      </c>
      <c r="T11" s="149" t="str">
        <f>IF($B11=0,"",($O11/30)*'MF Rents'!V11*'MF Rollover'!S11)</f>
        <v/>
      </c>
      <c r="U11" s="149" t="str">
        <f>IF($B11=0,"",($O11/30)*'MF Rents'!W11*'MF Rollover'!T11)</f>
        <v/>
      </c>
      <c r="V11" s="149" t="str">
        <f>IF($B11=0,"",($O11/30)*'MF Rents'!X11*'MF Rollover'!U11)</f>
        <v/>
      </c>
      <c r="W11" s="149" t="str">
        <f>IF($B11=0,"",($O11/30)*'MF Rents'!Y11*'MF Rollover'!V11)</f>
        <v/>
      </c>
      <c r="X11" s="149" t="str">
        <f>IF($B11=0,"",($O11/30)*'MF Rents'!Z11*'MF Rollover'!W11)</f>
        <v/>
      </c>
      <c r="Y11" s="149" t="str">
        <f>IF($B11=0,"",($O11/30)*'MF Rents'!AA11*'MF Rollover'!X11)</f>
        <v/>
      </c>
      <c r="Z11" s="149" t="str">
        <f>IF($B11=0,"",($O11/30)*'MF Rents'!AB11*'MF Rollover'!Y11)</f>
        <v/>
      </c>
      <c r="AA11" s="149" t="str">
        <f>IF($B11=0,"",($O11/30)*'MF Rents'!AC11*'MF Rollover'!Z11)</f>
        <v/>
      </c>
      <c r="AB11" s="149" t="str">
        <f>IF($B11=0,"",($O11/30)*'MF Rents'!AD11*'MF Rollover'!AA11)</f>
        <v/>
      </c>
      <c r="AC11" s="149" t="str">
        <f>IF($B11=0,"",($O11/30)*'MF Rents'!AE11*'MF Rollover'!AB11)</f>
        <v/>
      </c>
      <c r="AD11" s="149" t="str">
        <f>IF($B11=0,"",($O11/30)*'MF Rents'!AF11*'MF Rollover'!AC11)</f>
        <v/>
      </c>
      <c r="AE11" s="149" t="str">
        <f>IF($B11=0,"",($O11/30)*'MF Rents'!AG11*'MF Rollover'!AD11)</f>
        <v/>
      </c>
      <c r="AF11" s="149" t="str">
        <f>IF($B11=0,"",($O11/30)*'MF Rents'!AH11*'MF Rollover'!AE11)</f>
        <v/>
      </c>
      <c r="AG11" s="149" t="str">
        <f>IF($B11=0,"",($O11/30)*'MF Rents'!AI11*'MF Rollover'!AF11)</f>
        <v/>
      </c>
      <c r="AH11" s="149" t="str">
        <f>IF($B11=0,"",($O11/30)*'MF Rents'!AJ11*'MF Rollover'!AG11)</f>
        <v/>
      </c>
      <c r="AI11" s="149" t="str">
        <f>IF($B11=0,"",($O11/30)*'MF Rents'!AK11*'MF Rollover'!AH11)</f>
        <v/>
      </c>
      <c r="AJ11" s="149" t="str">
        <f>IF($B11=0,"",($O11/30)*'MF Rents'!AL11*'MF Rollover'!AI11)</f>
        <v/>
      </c>
      <c r="AK11" s="149" t="str">
        <f>IF($B11=0,"",($O11/30)*'MF Rents'!AM11*'MF Rollover'!AJ11)</f>
        <v/>
      </c>
      <c r="AL11" s="149" t="str">
        <f>IF($B11=0,"",($O11/30)*'MF Rents'!AN11*'MF Rollover'!AK11)</f>
        <v/>
      </c>
      <c r="AM11" s="149" t="str">
        <f>IF($B11=0,"",($O11/30)*'MF Rents'!AO11*'MF Rollover'!AL11)</f>
        <v/>
      </c>
      <c r="AN11" s="149" t="str">
        <f>IF($B11=0,"",($O11/30)*'MF Rents'!AP11*'MF Rollover'!AM11)</f>
        <v/>
      </c>
      <c r="AO11" s="149" t="str">
        <f>IF($B11=0,"",($O11/30)*'MF Rents'!AQ11*'MF Rollover'!AN11)</f>
        <v/>
      </c>
      <c r="AP11" s="149" t="str">
        <f>IF($B11=0,"",($O11/30)*'MF Rents'!AR11*'MF Rollover'!AO11)</f>
        <v/>
      </c>
      <c r="AQ11" s="149" t="str">
        <f>IF($B11=0,"",($O11/30)*'MF Rents'!AS11*'MF Rollover'!AP11)</f>
        <v/>
      </c>
      <c r="AR11" s="149" t="str">
        <f>IF($B11=0,"",($O11/30)*'MF Rents'!AT11*'MF Rollover'!AQ11)</f>
        <v/>
      </c>
      <c r="AS11" s="149" t="str">
        <f>IF($B11=0,"",($O11/30)*'MF Rents'!AU11*'MF Rollover'!AR11)</f>
        <v/>
      </c>
      <c r="AT11" s="149" t="str">
        <f>IF($B11=0,"",($O11/30)*'MF Rents'!AV11*'MF Rollover'!AS11)</f>
        <v/>
      </c>
      <c r="AU11" s="149" t="str">
        <f>IF($B11=0,"",($O11/30)*'MF Rents'!AW11*'MF Rollover'!AT11)</f>
        <v/>
      </c>
      <c r="AV11" s="149" t="str">
        <f>IF($B11=0,"",($O11/30)*'MF Rents'!AX11*'MF Rollover'!AU11)</f>
        <v/>
      </c>
      <c r="AW11" s="149" t="str">
        <f>IF($B11=0,"",($O11/30)*'MF Rents'!AY11*'MF Rollover'!AV11)</f>
        <v/>
      </c>
      <c r="AX11" s="149" t="str">
        <f>IF($B11=0,"",($O11/30)*'MF Rents'!AZ11*'MF Rollover'!AW11)</f>
        <v/>
      </c>
      <c r="AY11" s="149" t="str">
        <f>IF($B11=0,"",($O11/30)*'MF Rents'!BA11*'MF Rollover'!AX11)</f>
        <v/>
      </c>
      <c r="AZ11" s="149" t="str">
        <f>IF($B11=0,"",($O11/30)*'MF Rents'!BB11*'MF Rollover'!AY11)</f>
        <v/>
      </c>
      <c r="BA11" s="149" t="str">
        <f>IF($B11=0,"",($O11/30)*'MF Rents'!BC11*'MF Rollover'!AZ11)</f>
        <v/>
      </c>
      <c r="BB11" s="149" t="str">
        <f>IF($B11=0,"",($O11/30)*'MF Rents'!BD11*'MF Rollover'!BA11)</f>
        <v/>
      </c>
      <c r="BC11" s="149" t="str">
        <f>IF($B11=0,"",($O11/30)*'MF Rents'!BE11*'MF Rollover'!BB11)</f>
        <v/>
      </c>
      <c r="BD11" s="149" t="str">
        <f>IF($B11=0,"",($O11/30)*'MF Rents'!BF11*'MF Rollover'!BC11)</f>
        <v/>
      </c>
      <c r="BE11" s="149" t="str">
        <f>IF($B11=0,"",($O11/30)*'MF Rents'!BG11*'MF Rollover'!BD11)</f>
        <v/>
      </c>
      <c r="BF11" s="149" t="str">
        <f>IF($B11=0,"",($O11/30)*'MF Rents'!BH11*'MF Rollover'!BE11)</f>
        <v/>
      </c>
      <c r="BG11" s="149" t="str">
        <f>IF($B11=0,"",($O11/30)*'MF Rents'!BI11*'MF Rollover'!BF11)</f>
        <v/>
      </c>
      <c r="BH11" s="149" t="str">
        <f>IF($B11=0,"",($O11/30)*'MF Rents'!BJ11*'MF Rollover'!BG11)</f>
        <v/>
      </c>
      <c r="BI11" s="149" t="str">
        <f>IF($B11=0,"",($O11/30)*'MF Rents'!BK11*'MF Rollover'!BH11)</f>
        <v/>
      </c>
      <c r="BJ11" s="149" t="str">
        <f>IF($B11=0,"",($O11/30)*'MF Rents'!BL11*'MF Rollover'!BI11)</f>
        <v/>
      </c>
      <c r="BK11" s="149" t="str">
        <f>IF($B11=0,"",($O11/30)*'MF Rents'!BM11*'MF Rollover'!BJ11)</f>
        <v/>
      </c>
      <c r="BL11" s="149" t="str">
        <f>IF($B11=0,"",($O11/30)*'MF Rents'!BN11*'MF Rollover'!BK11)</f>
        <v/>
      </c>
      <c r="BM11" s="149" t="str">
        <f>IF($B11=0,"",($O11/30)*'MF Rents'!BO11*'MF Rollover'!BL11)</f>
        <v/>
      </c>
      <c r="BN11" s="149" t="str">
        <f>IF($B11=0,"",($O11/30)*'MF Rents'!BP11*'MF Rollover'!BM11)</f>
        <v/>
      </c>
      <c r="BO11" s="149" t="str">
        <f>IF($B11=0,"",($O11/30)*'MF Rents'!BQ11*'MF Rollover'!BN11)</f>
        <v/>
      </c>
      <c r="BP11" s="149" t="str">
        <f>IF($B11=0,"",($O11/30)*'MF Rents'!BR11*'MF Rollover'!BO11)</f>
        <v/>
      </c>
      <c r="BQ11" s="149" t="str">
        <f>IF($B11=0,"",($O11/30)*'MF Rents'!BS11*'MF Rollover'!BP11)</f>
        <v/>
      </c>
      <c r="BR11" s="149" t="str">
        <f>IF($B11=0,"",($O11/30)*'MF Rents'!BT11*'MF Rollover'!BQ11)</f>
        <v/>
      </c>
      <c r="BS11" s="149" t="str">
        <f>IF($B11=0,"",($O11/30)*'MF Rents'!BU11*'MF Rollover'!BR11)</f>
        <v/>
      </c>
      <c r="BT11" s="149" t="str">
        <f>IF($B11=0,"",($O11/30)*'MF Rents'!BV11*'MF Rollover'!BS11)</f>
        <v/>
      </c>
      <c r="BU11" s="149" t="str">
        <f>IF($B11=0,"",($O11/30)*'MF Rents'!BW11*'MF Rollover'!BT11)</f>
        <v/>
      </c>
      <c r="BV11" s="149" t="str">
        <f>IF($B11=0,"",($O11/30)*'MF Rents'!BX11*'MF Rollover'!BU11)</f>
        <v/>
      </c>
      <c r="BW11" s="149" t="str">
        <f>IF($B11=0,"",($O11/30)*'MF Rents'!BY11*'MF Rollover'!BV11)</f>
        <v/>
      </c>
      <c r="BX11" s="149" t="str">
        <f>IF($B11=0,"",($O11/30)*'MF Rents'!BZ11*'MF Rollover'!BW11)</f>
        <v/>
      </c>
      <c r="BY11" s="149" t="str">
        <f>IF($B11=0,"",($O11/30)*'MF Rents'!CA11*'MF Rollover'!BX11)</f>
        <v/>
      </c>
      <c r="BZ11" s="149" t="str">
        <f>IF($B11=0,"",($O11/30)*'MF Rents'!CB11*'MF Rollover'!BY11)</f>
        <v/>
      </c>
      <c r="CA11" s="149" t="str">
        <f>IF($B11=0,"",($O11/30)*'MF Rents'!CC11*'MF Rollover'!BZ11)</f>
        <v/>
      </c>
      <c r="CB11" s="149" t="str">
        <f>IF($B11=0,"",($O11/30)*'MF Rents'!CD11*'MF Rollover'!CA11)</f>
        <v/>
      </c>
      <c r="CC11" s="149" t="str">
        <f>IF($B11=0,"",($O11/30)*'MF Rents'!CE11*'MF Rollover'!CB11)</f>
        <v/>
      </c>
      <c r="CD11" s="149" t="str">
        <f>IF($B11=0,"",($O11/30)*'MF Rents'!CF11*'MF Rollover'!CC11)</f>
        <v/>
      </c>
      <c r="CE11" s="149" t="str">
        <f>IF($B11=0,"",($O11/30)*'MF Rents'!CG11*'MF Rollover'!CD11)</f>
        <v/>
      </c>
      <c r="CF11" s="149" t="str">
        <f>IF($B11=0,"",($O11/30)*'MF Rents'!CH11*'MF Rollover'!CE11)</f>
        <v/>
      </c>
      <c r="CG11" s="149" t="str">
        <f>IF($B11=0,"",($O11/30)*'MF Rents'!CI11*'MF Rollover'!CF11)</f>
        <v/>
      </c>
      <c r="CH11" s="149" t="str">
        <f>IF($B11=0,"",($O11/30)*'MF Rents'!CJ11*'MF Rollover'!CG11)</f>
        <v/>
      </c>
      <c r="CI11" s="149" t="str">
        <f>IF($B11=0,"",($O11/30)*'MF Rents'!CK11*'MF Rollover'!CH11)</f>
        <v/>
      </c>
      <c r="CJ11" s="149" t="str">
        <f>IF($B11=0,"",($O11/30)*'MF Rents'!CL11*'MF Rollover'!CI11)</f>
        <v/>
      </c>
      <c r="CK11" s="149" t="str">
        <f>IF($B11=0,"",($O11/30)*'MF Rents'!CM11*'MF Rollover'!CJ11)</f>
        <v/>
      </c>
      <c r="CL11" s="149" t="str">
        <f>IF($B11=0,"",($O11/30)*'MF Rents'!CN11*'MF Rollover'!CK11)</f>
        <v/>
      </c>
      <c r="CM11" s="149" t="str">
        <f>IF($B11=0,"",($O11/30)*'MF Rents'!CO11*'MF Rollover'!CL11)</f>
        <v/>
      </c>
      <c r="CN11" s="149" t="str">
        <f>IF($B11=0,"",($O11/30)*'MF Rents'!CP11*'MF Rollover'!CM11)</f>
        <v/>
      </c>
      <c r="CO11" s="149" t="str">
        <f>IF($B11=0,"",($O11/30)*'MF Rents'!CQ11*'MF Rollover'!CN11)</f>
        <v/>
      </c>
      <c r="CP11" s="149" t="str">
        <f>IF($B11=0,"",($O11/30)*'MF Rents'!CR11*'MF Rollover'!CO11)</f>
        <v/>
      </c>
      <c r="CQ11" s="149" t="str">
        <f>IF($B11=0,"",($O11/30)*'MF Rents'!CS11*'MF Rollover'!CP11)</f>
        <v/>
      </c>
      <c r="CR11" s="149" t="str">
        <f>IF($B11=0,"",($O11/30)*'MF Rents'!CT11*'MF Rollover'!CQ11)</f>
        <v/>
      </c>
      <c r="CS11" s="149" t="str">
        <f>IF($B11=0,"",($O11/30)*'MF Rents'!CU11*'MF Rollover'!CR11)</f>
        <v/>
      </c>
      <c r="CT11" s="149" t="str">
        <f>IF($B11=0,"",($O11/30)*'MF Rents'!CV11*'MF Rollover'!CS11)</f>
        <v/>
      </c>
      <c r="CU11" s="149" t="str">
        <f>IF($B11=0,"",($O11/30)*'MF Rents'!CW11*'MF Rollover'!CT11)</f>
        <v/>
      </c>
      <c r="CV11" s="149" t="str">
        <f>IF($B11=0,"",($O11/30)*'MF Rents'!CX11*'MF Rollover'!CU11)</f>
        <v/>
      </c>
      <c r="CW11" s="149" t="str">
        <f>IF($B11=0,"",($O11/30)*'MF Rents'!CY11*'MF Rollover'!CV11)</f>
        <v/>
      </c>
      <c r="CX11" s="149" t="str">
        <f>IF($B11=0,"",($O11/30)*'MF Rents'!CZ11*'MF Rollover'!CW11)</f>
        <v/>
      </c>
      <c r="CY11" s="149" t="str">
        <f>IF($B11=0,"",($O11/30)*'MF Rents'!DA11*'MF Rollover'!CX11)</f>
        <v/>
      </c>
      <c r="CZ11" s="149" t="str">
        <f>IF($B11=0,"",($O11/30)*'MF Rents'!DB11*'MF Rollover'!CY11)</f>
        <v/>
      </c>
      <c r="DA11" s="149" t="str">
        <f>IF($B11=0,"",($O11/30)*'MF Rents'!DC11*'MF Rollover'!CZ11)</f>
        <v/>
      </c>
      <c r="DB11" s="149" t="str">
        <f>IF($B11=0,"",($O11/30)*'MF Rents'!DD11*'MF Rollover'!DA11)</f>
        <v/>
      </c>
      <c r="DC11" s="149" t="str">
        <f>IF($B11=0,"",($O11/30)*'MF Rents'!DE11*'MF Rollover'!DB11)</f>
        <v/>
      </c>
      <c r="DD11" s="149" t="str">
        <f>IF($B11=0,"",($O11/30)*'MF Rents'!DF11*'MF Rollover'!DC11)</f>
        <v/>
      </c>
      <c r="DE11" s="149" t="str">
        <f>IF($B11=0,"",($O11/30)*'MF Rents'!DG11*'MF Rollover'!DD11)</f>
        <v/>
      </c>
      <c r="DF11" s="149" t="str">
        <f>IF($B11=0,"",($O11/30)*'MF Rents'!DH11*'MF Rollover'!DE11)</f>
        <v/>
      </c>
      <c r="DG11" s="149" t="str">
        <f>IF($B11=0,"",($O11/30)*'MF Rents'!DI11*'MF Rollover'!DF11)</f>
        <v/>
      </c>
      <c r="DH11" s="149" t="str">
        <f>IF($B11=0,"",($O11/30)*'MF Rents'!DJ11*'MF Rollover'!DG11)</f>
        <v/>
      </c>
      <c r="DI11" s="149" t="str">
        <f>IF($B11=0,"",($O11/30)*'MF Rents'!DK11*'MF Rollover'!DH11)</f>
        <v/>
      </c>
      <c r="DJ11" s="149" t="str">
        <f>IF($B11=0,"",($O11/30)*'MF Rents'!DL11*'MF Rollover'!DI11)</f>
        <v/>
      </c>
      <c r="DK11" s="149" t="str">
        <f>IF($B11=0,"",($O11/30)*'MF Rents'!DM11*'MF Rollover'!DJ11)</f>
        <v/>
      </c>
      <c r="DL11" s="149" t="str">
        <f>IF($B11=0,"",($O11/30)*'MF Rents'!DN11*'MF Rollover'!DK11)</f>
        <v/>
      </c>
      <c r="DM11" s="149" t="str">
        <f>IF($B11=0,"",($O11/30)*'MF Rents'!DO11*'MF Rollover'!DL11)</f>
        <v/>
      </c>
      <c r="DN11" s="149" t="str">
        <f>IF($B11=0,"",($O11/30)*'MF Rents'!DP11*'MF Rollover'!DM11)</f>
        <v/>
      </c>
      <c r="DO11" s="149" t="str">
        <f>IF($B11=0,"",($O11/30)*'MF Rents'!DQ11*'MF Rollover'!DN11)</f>
        <v/>
      </c>
      <c r="DP11" s="149" t="str">
        <f>IF($B11=0,"",($O11/30)*'MF Rents'!DR11*'MF Rollover'!DO11)</f>
        <v/>
      </c>
      <c r="DQ11" s="149" t="str">
        <f>IF($B11=0,"",($O11/30)*'MF Rents'!DS11*'MF Rollover'!DP11)</f>
        <v/>
      </c>
      <c r="DR11" s="149" t="str">
        <f>IF($B11=0,"",($O11/30)*'MF Rents'!DT11*'MF Rollover'!DQ11)</f>
        <v/>
      </c>
      <c r="DS11" s="149" t="str">
        <f>IF($B11=0,"",($O11/30)*'MF Rents'!DU11*'MF Rollover'!DR11)</f>
        <v/>
      </c>
      <c r="DT11" s="149" t="str">
        <f>IF($B11=0,"",($O11/30)*'MF Rents'!DV11*'MF Rollover'!DS11)</f>
        <v/>
      </c>
      <c r="DU11" s="149" t="str">
        <f>IF($B11=0,"",($O11/30)*'MF Rents'!DW11*'MF Rollover'!DT11)</f>
        <v/>
      </c>
      <c r="DV11" s="149" t="str">
        <f>IF($B11=0,"",($O11/30)*'MF Rents'!DX11*'MF Rollover'!DU11)</f>
        <v/>
      </c>
      <c r="DW11" s="149" t="str">
        <f>IF($B11=0,"",($O11/30)*'MF Rents'!DY11*'MF Rollover'!DV11)</f>
        <v/>
      </c>
      <c r="DX11" s="149" t="str">
        <f>IF($B11=0,"",($O11/30)*'MF Rents'!DZ11*'MF Rollover'!DW11)</f>
        <v/>
      </c>
      <c r="DY11" s="149" t="str">
        <f>IF($B11=0,"",($O11/30)*'MF Rents'!EA11*'MF Rollover'!DX11)</f>
        <v/>
      </c>
      <c r="DZ11" s="149" t="str">
        <f>IF($B11=0,"",($O11/30)*'MF Rents'!EB11*'MF Rollover'!DY11)</f>
        <v/>
      </c>
      <c r="EA11" s="149" t="str">
        <f>IF($B11=0,"",($O11/30)*'MF Rents'!EC11*'MF Rollover'!DZ11)</f>
        <v/>
      </c>
      <c r="EB11" s="149" t="str">
        <f>IF($B11=0,"",($O11/30)*'MF Rents'!ED11*'MF Rollover'!EA11)</f>
        <v/>
      </c>
      <c r="EC11" s="149" t="str">
        <f>IF($B11=0,"",($O11/30)*'MF Rents'!EE11*'MF Rollover'!EB11)</f>
        <v/>
      </c>
      <c r="ED11" s="149" t="str">
        <f>IF($B11=0,"",($O11/30)*'MF Rents'!EF11*'MF Rollover'!EC11)</f>
        <v/>
      </c>
      <c r="EE11" s="149" t="str">
        <f>IF($B11=0,"",($O11/30)*'MF Rents'!EG11*'MF Rollover'!ED11)</f>
        <v/>
      </c>
      <c r="EF11" s="149" t="str">
        <f>IF($B11=0,"",($O11/30)*'MF Rents'!EH11*'MF Rollover'!EE11)</f>
        <v/>
      </c>
      <c r="EG11" s="149" t="str">
        <f>IF($B11=0,"",($O11/30)*'MF Rents'!EI11*'MF Rollover'!EF11)</f>
        <v/>
      </c>
      <c r="EH11" s="149" t="str">
        <f>IF($B11=0,"",($O11/30)*'MF Rents'!EJ11*'MF Rollover'!EG11)</f>
        <v/>
      </c>
      <c r="EI11" s="149" t="str">
        <f>IF($B11=0,"",($O11/30)*'MF Rents'!EK11*'MF Rollover'!EH11)</f>
        <v/>
      </c>
      <c r="EJ11" s="149" t="str">
        <f>IF($B11=0,"",($O11/30)*'MF Rents'!EL11*'MF Rollover'!EI11)</f>
        <v/>
      </c>
      <c r="EK11" s="149" t="str">
        <f>IF($B11=0,"",($O11/30)*'MF Rents'!EM11*'MF Rollover'!EJ11)</f>
        <v/>
      </c>
      <c r="EL11" s="149" t="str">
        <f>IF($B11=0,"",($O11/30)*'MF Rents'!EN11*'MF Rollover'!EK11)</f>
        <v/>
      </c>
      <c r="EM11" s="149" t="str">
        <f>IF($B11=0,"",($O11/30)*'MF Rents'!EO11*'MF Rollover'!EL11)</f>
        <v/>
      </c>
      <c r="EN11" s="149" t="str">
        <f>IF($B11=0,"",($O11/30)*'MF Rents'!EP11*'MF Rollover'!EM11)</f>
        <v/>
      </c>
      <c r="EO11" s="149" t="str">
        <f>IF($B11=0,"",($O11/30)*'MF Rents'!EQ11*'MF Rollover'!EN11)</f>
        <v/>
      </c>
      <c r="EP11" s="149" t="str">
        <f>IF($B11=0,"",($O11/30)*'MF Rents'!ER11*'MF Rollover'!EO11)</f>
        <v/>
      </c>
      <c r="EQ11" s="149" t="str">
        <f>IF($B11=0,"",($O11/30)*'MF Rents'!ES11*'MF Rollover'!EP11)</f>
        <v/>
      </c>
      <c r="ER11" s="149" t="str">
        <f>IF($B11=0,"",($O11/30)*'MF Rents'!ET11*'MF Rollover'!EQ11)</f>
        <v/>
      </c>
      <c r="ES11" s="149" t="str">
        <f>IF($B11=0,"",($O11/30)*'MF Rents'!EU11*'MF Rollover'!ER11)</f>
        <v/>
      </c>
      <c r="ET11" s="149" t="str">
        <f>IF($B11=0,"",($O11/30)*'MF Rents'!EV11*'MF Rollover'!ES11)</f>
        <v/>
      </c>
      <c r="EU11" s="149" t="str">
        <f>IF($B11=0,"",($O11/30)*'MF Rents'!EW11*'MF Rollover'!ET11)</f>
        <v/>
      </c>
      <c r="EV11" s="149" t="str">
        <f>IF($B11=0,"",($O11/30)*'MF Rents'!EX11*'MF Rollover'!EU11)</f>
        <v/>
      </c>
      <c r="EW11" s="149" t="str">
        <f>IF($B11=0,"",($O11/30)*'MF Rents'!EY11*'MF Rollover'!EV11)</f>
        <v/>
      </c>
      <c r="EX11" s="149" t="str">
        <f>IF($B11=0,"",($O11/30)*'MF Rents'!EZ11*'MF Rollover'!EW11)</f>
        <v/>
      </c>
      <c r="EY11" s="149" t="str">
        <f>IF($B11=0,"",($O11/30)*'MF Rents'!FA11*'MF Rollover'!EX11)</f>
        <v/>
      </c>
      <c r="EZ11" s="149" t="str">
        <f>IF($B11=0,"",($O11/30)*'MF Rents'!FB11*'MF Rollover'!EY11)</f>
        <v/>
      </c>
      <c r="FA11" s="149" t="str">
        <f>IF($B11=0,"",($O11/30)*'MF Rents'!FC11*'MF Rollover'!EZ11)</f>
        <v/>
      </c>
      <c r="FB11" s="149" t="str">
        <f>IF($B11=0,"",($O11/30)*'MF Rents'!FD11*'MF Rollover'!FA11)</f>
        <v/>
      </c>
      <c r="FC11" s="149" t="str">
        <f>IF($B11=0,"",($O11/30)*'MF Rents'!FE11*'MF Rollover'!FB11)</f>
        <v/>
      </c>
      <c r="FD11" s="149" t="str">
        <f>IF($B11=0,"",($O11/30)*'MF Rents'!FF11*'MF Rollover'!FC11)</f>
        <v/>
      </c>
      <c r="FE11" s="149" t="str">
        <f>IF($B11=0,"",($O11/30)*'MF Rents'!FG11*'MF Rollover'!FD11)</f>
        <v/>
      </c>
      <c r="FF11" s="149" t="str">
        <f>IF($B11=0,"",($O11/30)*'MF Rents'!FH11*'MF Rollover'!FE11)</f>
        <v/>
      </c>
      <c r="FG11" s="149" t="str">
        <f>IF($B11=0,"",($O11/30)*'MF Rents'!FI11*'MF Rollover'!FF11)</f>
        <v/>
      </c>
      <c r="FH11" s="149" t="str">
        <f>IF($B11=0,"",($O11/30)*'MF Rents'!FJ11*'MF Rollover'!FG11)</f>
        <v/>
      </c>
      <c r="FI11" s="149" t="str">
        <f>IF($B11=0,"",($O11/30)*'MF Rents'!FK11*'MF Rollover'!FH11)</f>
        <v/>
      </c>
      <c r="FJ11" s="149" t="str">
        <f>IF($B11=0,"",($O11/30)*'MF Rents'!FL11*'MF Rollover'!FI11)</f>
        <v/>
      </c>
      <c r="FK11" s="149" t="str">
        <f>IF($B11=0,"",($O11/30)*'MF Rents'!FM11*'MF Rollover'!FJ11)</f>
        <v/>
      </c>
      <c r="FL11" s="149" t="str">
        <f>IF($B11=0,"",($O11/30)*'MF Rents'!FN11*'MF Rollover'!FK11)</f>
        <v/>
      </c>
      <c r="FM11" s="149" t="str">
        <f>IF($B11=0,"",($O11/30)*'MF Rents'!FO11*'MF Rollover'!FL11)</f>
        <v/>
      </c>
      <c r="FN11" s="149" t="str">
        <f>IF($B11=0,"",($O11/30)*'MF Rents'!FP11*'MF Rollover'!FM11)</f>
        <v/>
      </c>
      <c r="FO11" s="149" t="str">
        <f>IF($B11=0,"",($O11/30)*'MF Rents'!FQ11*'MF Rollover'!FN11)</f>
        <v/>
      </c>
      <c r="FP11" s="149" t="str">
        <f>IF($B11=0,"",($O11/30)*'MF Rents'!FR11*'MF Rollover'!FO11)</f>
        <v/>
      </c>
      <c r="FQ11" s="149" t="str">
        <f>IF($B11=0,"",($O11/30)*'MF Rents'!FS11*'MF Rollover'!FP11)</f>
        <v/>
      </c>
      <c r="FR11" s="149" t="str">
        <f>IF($B11=0,"",($O11/30)*'MF Rents'!FT11*'MF Rollover'!FQ11)</f>
        <v/>
      </c>
      <c r="FS11" s="149" t="str">
        <f>IF($B11=0,"",($O11/30)*'MF Rents'!FU11*'MF Rollover'!FR11)</f>
        <v/>
      </c>
      <c r="FT11" s="149" t="str">
        <f>IF($B11=0,"",($O11/30)*'MF Rents'!FV11*'MF Rollover'!FS11)</f>
        <v/>
      </c>
      <c r="FU11" s="149" t="str">
        <f>IF($B11=0,"",($O11/30)*'MF Rents'!FW11*'MF Rollover'!FT11)</f>
        <v/>
      </c>
      <c r="FV11" s="149" t="str">
        <f>IF($B11=0,"",($O11/30)*'MF Rents'!FX11*'MF Rollover'!FU11)</f>
        <v/>
      </c>
      <c r="FW11" s="149" t="str">
        <f>IF($B11=0,"",($O11/30)*'MF Rents'!FY11*'MF Rollover'!FV11)</f>
        <v/>
      </c>
      <c r="FX11" s="149" t="str">
        <f>IF($B11=0,"",($O11/30)*'MF Rents'!FZ11*'MF Rollover'!FW11)</f>
        <v/>
      </c>
      <c r="FY11" s="149" t="str">
        <f>IF($B11=0,"",($O11/30)*'MF Rents'!GA11*'MF Rollover'!FX11)</f>
        <v/>
      </c>
      <c r="FZ11" s="149" t="str">
        <f>IF($B11=0,"",($O11/30)*'MF Rents'!GB11*'MF Rollover'!FY11)</f>
        <v/>
      </c>
      <c r="GA11" s="149" t="str">
        <f>IF($B11=0,"",($O11/30)*'MF Rents'!GC11*'MF Rollover'!FZ11)</f>
        <v/>
      </c>
      <c r="GB11" s="149" t="str">
        <f>IF($B11=0,"",($O11/30)*'MF Rents'!GD11*'MF Rollover'!GA11)</f>
        <v/>
      </c>
      <c r="GC11" s="149" t="str">
        <f>IF($B11=0,"",($O11/30)*'MF Rents'!GE11*'MF Rollover'!GB11)</f>
        <v/>
      </c>
      <c r="GD11" s="149" t="str">
        <f>IF($B11=0,"",($O11/30)*'MF Rents'!GF11*'MF Rollover'!GC11)</f>
        <v/>
      </c>
      <c r="GE11" s="149" t="str">
        <f>IF($B11=0,"",($O11/30)*'MF Rents'!GG11*'MF Rollover'!GD11)</f>
        <v/>
      </c>
      <c r="GF11" s="149" t="str">
        <f>IF($B11=0,"",($O11/30)*'MF Rents'!GH11*'MF Rollover'!GE11)</f>
        <v/>
      </c>
      <c r="GG11" s="149" t="str">
        <f>IF($B11=0,"",($O11/30)*'MF Rents'!GI11*'MF Rollover'!GF11)</f>
        <v/>
      </c>
      <c r="GH11" s="149" t="str">
        <f>IF($B11=0,"",($O11/30)*'MF Rents'!GJ11*'MF Rollover'!GG11)</f>
        <v/>
      </c>
      <c r="GI11" s="149" t="str">
        <f>IF($B11=0,"",($O11/30)*'MF Rents'!GK11*'MF Rollover'!GH11)</f>
        <v/>
      </c>
      <c r="GJ11" s="149" t="str">
        <f>IF($B11=0,"",($O11/30)*'MF Rents'!GL11*'MF Rollover'!GI11)</f>
        <v/>
      </c>
      <c r="GK11" s="149" t="str">
        <f>IF($B11=0,"",($O11/30)*'MF Rents'!GM11*'MF Rollover'!GJ11)</f>
        <v/>
      </c>
      <c r="GL11" s="149" t="str">
        <f>IF($B11=0,"",($O11/30)*'MF Rents'!GN11*'MF Rollover'!GK11)</f>
        <v/>
      </c>
      <c r="GM11" s="149" t="str">
        <f>IF($B11=0,"",($O11/30)*'MF Rents'!GO11*'MF Rollover'!GL11)</f>
        <v/>
      </c>
      <c r="GN11" s="149" t="str">
        <f>IF($B11=0,"",($O11/30)*'MF Rents'!GP11*'MF Rollover'!GM11)</f>
        <v/>
      </c>
      <c r="GO11" s="149" t="str">
        <f>IF($B11=0,"",($O11/30)*'MF Rents'!GQ11*'MF Rollover'!GN11)</f>
        <v/>
      </c>
      <c r="GP11" s="149" t="str">
        <f>IF($B11=0,"",($O11/30)*'MF Rents'!GR11*'MF Rollover'!GO11)</f>
        <v/>
      </c>
    </row>
    <row r="12" spans="2:198" x14ac:dyDescent="0.3">
      <c r="B12" s="184">
        <f>'MF Rent Roll'!B11</f>
        <v>0</v>
      </c>
      <c r="C12" s="171">
        <f>'MF Rent Roll'!C11</f>
        <v>0</v>
      </c>
      <c r="D12" s="172">
        <f>'MF Rent Roll'!D11</f>
        <v>0</v>
      </c>
      <c r="E12" s="172">
        <f>'MF Rent Roll'!E11</f>
        <v>0</v>
      </c>
      <c r="F12" s="173">
        <f>'MF Rent Roll'!F11</f>
        <v>0</v>
      </c>
      <c r="G12" s="174">
        <f>'MF Rent Roll'!G11</f>
        <v>0</v>
      </c>
      <c r="H12" s="176">
        <f>'MF Rent Roll'!J11</f>
        <v>0</v>
      </c>
      <c r="I12" s="174">
        <f>'MF Rent Roll'!K11</f>
        <v>0</v>
      </c>
      <c r="J12" s="177">
        <f>'MF Rent Roll'!L11</f>
        <v>0</v>
      </c>
      <c r="K12" s="178">
        <f>'MF Rent Roll'!M11</f>
        <v>0</v>
      </c>
      <c r="L12" s="174">
        <f>'MF Rent Roll'!N11</f>
        <v>0</v>
      </c>
      <c r="M12" s="179">
        <f>'MF Rent Roll'!O11</f>
        <v>0</v>
      </c>
      <c r="N12" s="180" t="str">
        <f>'MF Rent Roll'!P11</f>
        <v/>
      </c>
      <c r="O12" s="181" t="str">
        <f>'MF Rent Roll'!Q11</f>
        <v/>
      </c>
      <c r="P12" s="104" t="str">
        <f>'MF Rent Roll'!R11</f>
        <v/>
      </c>
      <c r="S12" s="149" t="str">
        <f>IF($B12=0,"",($O12/30)*'MF Rents'!U12*'MF Rollover'!R12)</f>
        <v/>
      </c>
      <c r="T12" s="149" t="str">
        <f>IF($B12=0,"",($O12/30)*'MF Rents'!V12*'MF Rollover'!S12)</f>
        <v/>
      </c>
      <c r="U12" s="149" t="str">
        <f>IF($B12=0,"",($O12/30)*'MF Rents'!W12*'MF Rollover'!T12)</f>
        <v/>
      </c>
      <c r="V12" s="149" t="str">
        <f>IF($B12=0,"",($O12/30)*'MF Rents'!X12*'MF Rollover'!U12)</f>
        <v/>
      </c>
      <c r="W12" s="149" t="str">
        <f>IF($B12=0,"",($O12/30)*'MF Rents'!Y12*'MF Rollover'!V12)</f>
        <v/>
      </c>
      <c r="X12" s="149" t="str">
        <f>IF($B12=0,"",($O12/30)*'MF Rents'!Z12*'MF Rollover'!W12)</f>
        <v/>
      </c>
      <c r="Y12" s="149" t="str">
        <f>IF($B12=0,"",($O12/30)*'MF Rents'!AA12*'MF Rollover'!X12)</f>
        <v/>
      </c>
      <c r="Z12" s="149" t="str">
        <f>IF($B12=0,"",($O12/30)*'MF Rents'!AB12*'MF Rollover'!Y12)</f>
        <v/>
      </c>
      <c r="AA12" s="149" t="str">
        <f>IF($B12=0,"",($O12/30)*'MF Rents'!AC12*'MF Rollover'!Z12)</f>
        <v/>
      </c>
      <c r="AB12" s="149" t="str">
        <f>IF($B12=0,"",($O12/30)*'MF Rents'!AD12*'MF Rollover'!AA12)</f>
        <v/>
      </c>
      <c r="AC12" s="149" t="str">
        <f>IF($B12=0,"",($O12/30)*'MF Rents'!AE12*'MF Rollover'!AB12)</f>
        <v/>
      </c>
      <c r="AD12" s="149" t="str">
        <f>IF($B12=0,"",($O12/30)*'MF Rents'!AF12*'MF Rollover'!AC12)</f>
        <v/>
      </c>
      <c r="AE12" s="149" t="str">
        <f>IF($B12=0,"",($O12/30)*'MF Rents'!AG12*'MF Rollover'!AD12)</f>
        <v/>
      </c>
      <c r="AF12" s="149" t="str">
        <f>IF($B12=0,"",($O12/30)*'MF Rents'!AH12*'MF Rollover'!AE12)</f>
        <v/>
      </c>
      <c r="AG12" s="149" t="str">
        <f>IF($B12=0,"",($O12/30)*'MF Rents'!AI12*'MF Rollover'!AF12)</f>
        <v/>
      </c>
      <c r="AH12" s="149" t="str">
        <f>IF($B12=0,"",($O12/30)*'MF Rents'!AJ12*'MF Rollover'!AG12)</f>
        <v/>
      </c>
      <c r="AI12" s="149" t="str">
        <f>IF($B12=0,"",($O12/30)*'MF Rents'!AK12*'MF Rollover'!AH12)</f>
        <v/>
      </c>
      <c r="AJ12" s="149" t="str">
        <f>IF($B12=0,"",($O12/30)*'MF Rents'!AL12*'MF Rollover'!AI12)</f>
        <v/>
      </c>
      <c r="AK12" s="149" t="str">
        <f>IF($B12=0,"",($O12/30)*'MF Rents'!AM12*'MF Rollover'!AJ12)</f>
        <v/>
      </c>
      <c r="AL12" s="149" t="str">
        <f>IF($B12=0,"",($O12/30)*'MF Rents'!AN12*'MF Rollover'!AK12)</f>
        <v/>
      </c>
      <c r="AM12" s="149" t="str">
        <f>IF($B12=0,"",($O12/30)*'MF Rents'!AO12*'MF Rollover'!AL12)</f>
        <v/>
      </c>
      <c r="AN12" s="149" t="str">
        <f>IF($B12=0,"",($O12/30)*'MF Rents'!AP12*'MF Rollover'!AM12)</f>
        <v/>
      </c>
      <c r="AO12" s="149" t="str">
        <f>IF($B12=0,"",($O12/30)*'MF Rents'!AQ12*'MF Rollover'!AN12)</f>
        <v/>
      </c>
      <c r="AP12" s="149" t="str">
        <f>IF($B12=0,"",($O12/30)*'MF Rents'!AR12*'MF Rollover'!AO12)</f>
        <v/>
      </c>
      <c r="AQ12" s="149" t="str">
        <f>IF($B12=0,"",($O12/30)*'MF Rents'!AS12*'MF Rollover'!AP12)</f>
        <v/>
      </c>
      <c r="AR12" s="149" t="str">
        <f>IF($B12=0,"",($O12/30)*'MF Rents'!AT12*'MF Rollover'!AQ12)</f>
        <v/>
      </c>
      <c r="AS12" s="149" t="str">
        <f>IF($B12=0,"",($O12/30)*'MF Rents'!AU12*'MF Rollover'!AR12)</f>
        <v/>
      </c>
      <c r="AT12" s="149" t="str">
        <f>IF($B12=0,"",($O12/30)*'MF Rents'!AV12*'MF Rollover'!AS12)</f>
        <v/>
      </c>
      <c r="AU12" s="149" t="str">
        <f>IF($B12=0,"",($O12/30)*'MF Rents'!AW12*'MF Rollover'!AT12)</f>
        <v/>
      </c>
      <c r="AV12" s="149" t="str">
        <f>IF($B12=0,"",($O12/30)*'MF Rents'!AX12*'MF Rollover'!AU12)</f>
        <v/>
      </c>
      <c r="AW12" s="149" t="str">
        <f>IF($B12=0,"",($O12/30)*'MF Rents'!AY12*'MF Rollover'!AV12)</f>
        <v/>
      </c>
      <c r="AX12" s="149" t="str">
        <f>IF($B12=0,"",($O12/30)*'MF Rents'!AZ12*'MF Rollover'!AW12)</f>
        <v/>
      </c>
      <c r="AY12" s="149" t="str">
        <f>IF($B12=0,"",($O12/30)*'MF Rents'!BA12*'MF Rollover'!AX12)</f>
        <v/>
      </c>
      <c r="AZ12" s="149" t="str">
        <f>IF($B12=0,"",($O12/30)*'MF Rents'!BB12*'MF Rollover'!AY12)</f>
        <v/>
      </c>
      <c r="BA12" s="149" t="str">
        <f>IF($B12=0,"",($O12/30)*'MF Rents'!BC12*'MF Rollover'!AZ12)</f>
        <v/>
      </c>
      <c r="BB12" s="149" t="str">
        <f>IF($B12=0,"",($O12/30)*'MF Rents'!BD12*'MF Rollover'!BA12)</f>
        <v/>
      </c>
      <c r="BC12" s="149" t="str">
        <f>IF($B12=0,"",($O12/30)*'MF Rents'!BE12*'MF Rollover'!BB12)</f>
        <v/>
      </c>
      <c r="BD12" s="149" t="str">
        <f>IF($B12=0,"",($O12/30)*'MF Rents'!BF12*'MF Rollover'!BC12)</f>
        <v/>
      </c>
      <c r="BE12" s="149" t="str">
        <f>IF($B12=0,"",($O12/30)*'MF Rents'!BG12*'MF Rollover'!BD12)</f>
        <v/>
      </c>
      <c r="BF12" s="149" t="str">
        <f>IF($B12=0,"",($O12/30)*'MF Rents'!BH12*'MF Rollover'!BE12)</f>
        <v/>
      </c>
      <c r="BG12" s="149" t="str">
        <f>IF($B12=0,"",($O12/30)*'MF Rents'!BI12*'MF Rollover'!BF12)</f>
        <v/>
      </c>
      <c r="BH12" s="149" t="str">
        <f>IF($B12=0,"",($O12/30)*'MF Rents'!BJ12*'MF Rollover'!BG12)</f>
        <v/>
      </c>
      <c r="BI12" s="149" t="str">
        <f>IF($B12=0,"",($O12/30)*'MF Rents'!BK12*'MF Rollover'!BH12)</f>
        <v/>
      </c>
      <c r="BJ12" s="149" t="str">
        <f>IF($B12=0,"",($O12/30)*'MF Rents'!BL12*'MF Rollover'!BI12)</f>
        <v/>
      </c>
      <c r="BK12" s="149" t="str">
        <f>IF($B12=0,"",($O12/30)*'MF Rents'!BM12*'MF Rollover'!BJ12)</f>
        <v/>
      </c>
      <c r="BL12" s="149" t="str">
        <f>IF($B12=0,"",($O12/30)*'MF Rents'!BN12*'MF Rollover'!BK12)</f>
        <v/>
      </c>
      <c r="BM12" s="149" t="str">
        <f>IF($B12=0,"",($O12/30)*'MF Rents'!BO12*'MF Rollover'!BL12)</f>
        <v/>
      </c>
      <c r="BN12" s="149" t="str">
        <f>IF($B12=0,"",($O12/30)*'MF Rents'!BP12*'MF Rollover'!BM12)</f>
        <v/>
      </c>
      <c r="BO12" s="149" t="str">
        <f>IF($B12=0,"",($O12/30)*'MF Rents'!BQ12*'MF Rollover'!BN12)</f>
        <v/>
      </c>
      <c r="BP12" s="149" t="str">
        <f>IF($B12=0,"",($O12/30)*'MF Rents'!BR12*'MF Rollover'!BO12)</f>
        <v/>
      </c>
      <c r="BQ12" s="149" t="str">
        <f>IF($B12=0,"",($O12/30)*'MF Rents'!BS12*'MF Rollover'!BP12)</f>
        <v/>
      </c>
      <c r="BR12" s="149" t="str">
        <f>IF($B12=0,"",($O12/30)*'MF Rents'!BT12*'MF Rollover'!BQ12)</f>
        <v/>
      </c>
      <c r="BS12" s="149" t="str">
        <f>IF($B12=0,"",($O12/30)*'MF Rents'!BU12*'MF Rollover'!BR12)</f>
        <v/>
      </c>
      <c r="BT12" s="149" t="str">
        <f>IF($B12=0,"",($O12/30)*'MF Rents'!BV12*'MF Rollover'!BS12)</f>
        <v/>
      </c>
      <c r="BU12" s="149" t="str">
        <f>IF($B12=0,"",($O12/30)*'MF Rents'!BW12*'MF Rollover'!BT12)</f>
        <v/>
      </c>
      <c r="BV12" s="149" t="str">
        <f>IF($B12=0,"",($O12/30)*'MF Rents'!BX12*'MF Rollover'!BU12)</f>
        <v/>
      </c>
      <c r="BW12" s="149" t="str">
        <f>IF($B12=0,"",($O12/30)*'MF Rents'!BY12*'MF Rollover'!BV12)</f>
        <v/>
      </c>
      <c r="BX12" s="149" t="str">
        <f>IF($B12=0,"",($O12/30)*'MF Rents'!BZ12*'MF Rollover'!BW12)</f>
        <v/>
      </c>
      <c r="BY12" s="149" t="str">
        <f>IF($B12=0,"",($O12/30)*'MF Rents'!CA12*'MF Rollover'!BX12)</f>
        <v/>
      </c>
      <c r="BZ12" s="149" t="str">
        <f>IF($B12=0,"",($O12/30)*'MF Rents'!CB12*'MF Rollover'!BY12)</f>
        <v/>
      </c>
      <c r="CA12" s="149" t="str">
        <f>IF($B12=0,"",($O12/30)*'MF Rents'!CC12*'MF Rollover'!BZ12)</f>
        <v/>
      </c>
      <c r="CB12" s="149" t="str">
        <f>IF($B12=0,"",($O12/30)*'MF Rents'!CD12*'MF Rollover'!CA12)</f>
        <v/>
      </c>
      <c r="CC12" s="149" t="str">
        <f>IF($B12=0,"",($O12/30)*'MF Rents'!CE12*'MF Rollover'!CB12)</f>
        <v/>
      </c>
      <c r="CD12" s="149" t="str">
        <f>IF($B12=0,"",($O12/30)*'MF Rents'!CF12*'MF Rollover'!CC12)</f>
        <v/>
      </c>
      <c r="CE12" s="149" t="str">
        <f>IF($B12=0,"",($O12/30)*'MF Rents'!CG12*'MF Rollover'!CD12)</f>
        <v/>
      </c>
      <c r="CF12" s="149" t="str">
        <f>IF($B12=0,"",($O12/30)*'MF Rents'!CH12*'MF Rollover'!CE12)</f>
        <v/>
      </c>
      <c r="CG12" s="149" t="str">
        <f>IF($B12=0,"",($O12/30)*'MF Rents'!CI12*'MF Rollover'!CF12)</f>
        <v/>
      </c>
      <c r="CH12" s="149" t="str">
        <f>IF($B12=0,"",($O12/30)*'MF Rents'!CJ12*'MF Rollover'!CG12)</f>
        <v/>
      </c>
      <c r="CI12" s="149" t="str">
        <f>IF($B12=0,"",($O12/30)*'MF Rents'!CK12*'MF Rollover'!CH12)</f>
        <v/>
      </c>
      <c r="CJ12" s="149" t="str">
        <f>IF($B12=0,"",($O12/30)*'MF Rents'!CL12*'MF Rollover'!CI12)</f>
        <v/>
      </c>
      <c r="CK12" s="149" t="str">
        <f>IF($B12=0,"",($O12/30)*'MF Rents'!CM12*'MF Rollover'!CJ12)</f>
        <v/>
      </c>
      <c r="CL12" s="149" t="str">
        <f>IF($B12=0,"",($O12/30)*'MF Rents'!CN12*'MF Rollover'!CK12)</f>
        <v/>
      </c>
      <c r="CM12" s="149" t="str">
        <f>IF($B12=0,"",($O12/30)*'MF Rents'!CO12*'MF Rollover'!CL12)</f>
        <v/>
      </c>
      <c r="CN12" s="149" t="str">
        <f>IF($B12=0,"",($O12/30)*'MF Rents'!CP12*'MF Rollover'!CM12)</f>
        <v/>
      </c>
      <c r="CO12" s="149" t="str">
        <f>IF($B12=0,"",($O12/30)*'MF Rents'!CQ12*'MF Rollover'!CN12)</f>
        <v/>
      </c>
      <c r="CP12" s="149" t="str">
        <f>IF($B12=0,"",($O12/30)*'MF Rents'!CR12*'MF Rollover'!CO12)</f>
        <v/>
      </c>
      <c r="CQ12" s="149" t="str">
        <f>IF($B12=0,"",($O12/30)*'MF Rents'!CS12*'MF Rollover'!CP12)</f>
        <v/>
      </c>
      <c r="CR12" s="149" t="str">
        <f>IF($B12=0,"",($O12/30)*'MF Rents'!CT12*'MF Rollover'!CQ12)</f>
        <v/>
      </c>
      <c r="CS12" s="149" t="str">
        <f>IF($B12=0,"",($O12/30)*'MF Rents'!CU12*'MF Rollover'!CR12)</f>
        <v/>
      </c>
      <c r="CT12" s="149" t="str">
        <f>IF($B12=0,"",($O12/30)*'MF Rents'!CV12*'MF Rollover'!CS12)</f>
        <v/>
      </c>
      <c r="CU12" s="149" t="str">
        <f>IF($B12=0,"",($O12/30)*'MF Rents'!CW12*'MF Rollover'!CT12)</f>
        <v/>
      </c>
      <c r="CV12" s="149" t="str">
        <f>IF($B12=0,"",($O12/30)*'MF Rents'!CX12*'MF Rollover'!CU12)</f>
        <v/>
      </c>
      <c r="CW12" s="149" t="str">
        <f>IF($B12=0,"",($O12/30)*'MF Rents'!CY12*'MF Rollover'!CV12)</f>
        <v/>
      </c>
      <c r="CX12" s="149" t="str">
        <f>IF($B12=0,"",($O12/30)*'MF Rents'!CZ12*'MF Rollover'!CW12)</f>
        <v/>
      </c>
      <c r="CY12" s="149" t="str">
        <f>IF($B12=0,"",($O12/30)*'MF Rents'!DA12*'MF Rollover'!CX12)</f>
        <v/>
      </c>
      <c r="CZ12" s="149" t="str">
        <f>IF($B12=0,"",($O12/30)*'MF Rents'!DB12*'MF Rollover'!CY12)</f>
        <v/>
      </c>
      <c r="DA12" s="149" t="str">
        <f>IF($B12=0,"",($O12/30)*'MF Rents'!DC12*'MF Rollover'!CZ12)</f>
        <v/>
      </c>
      <c r="DB12" s="149" t="str">
        <f>IF($B12=0,"",($O12/30)*'MF Rents'!DD12*'MF Rollover'!DA12)</f>
        <v/>
      </c>
      <c r="DC12" s="149" t="str">
        <f>IF($B12=0,"",($O12/30)*'MF Rents'!DE12*'MF Rollover'!DB12)</f>
        <v/>
      </c>
      <c r="DD12" s="149" t="str">
        <f>IF($B12=0,"",($O12/30)*'MF Rents'!DF12*'MF Rollover'!DC12)</f>
        <v/>
      </c>
      <c r="DE12" s="149" t="str">
        <f>IF($B12=0,"",($O12/30)*'MF Rents'!DG12*'MF Rollover'!DD12)</f>
        <v/>
      </c>
      <c r="DF12" s="149" t="str">
        <f>IF($B12=0,"",($O12/30)*'MF Rents'!DH12*'MF Rollover'!DE12)</f>
        <v/>
      </c>
      <c r="DG12" s="149" t="str">
        <f>IF($B12=0,"",($O12/30)*'MF Rents'!DI12*'MF Rollover'!DF12)</f>
        <v/>
      </c>
      <c r="DH12" s="149" t="str">
        <f>IF($B12=0,"",($O12/30)*'MF Rents'!DJ12*'MF Rollover'!DG12)</f>
        <v/>
      </c>
      <c r="DI12" s="149" t="str">
        <f>IF($B12=0,"",($O12/30)*'MF Rents'!DK12*'MF Rollover'!DH12)</f>
        <v/>
      </c>
      <c r="DJ12" s="149" t="str">
        <f>IF($B12=0,"",($O12/30)*'MF Rents'!DL12*'MF Rollover'!DI12)</f>
        <v/>
      </c>
      <c r="DK12" s="149" t="str">
        <f>IF($B12=0,"",($O12/30)*'MF Rents'!DM12*'MF Rollover'!DJ12)</f>
        <v/>
      </c>
      <c r="DL12" s="149" t="str">
        <f>IF($B12=0,"",($O12/30)*'MF Rents'!DN12*'MF Rollover'!DK12)</f>
        <v/>
      </c>
      <c r="DM12" s="149" t="str">
        <f>IF($B12=0,"",($O12/30)*'MF Rents'!DO12*'MF Rollover'!DL12)</f>
        <v/>
      </c>
      <c r="DN12" s="149" t="str">
        <f>IF($B12=0,"",($O12/30)*'MF Rents'!DP12*'MF Rollover'!DM12)</f>
        <v/>
      </c>
      <c r="DO12" s="149" t="str">
        <f>IF($B12=0,"",($O12/30)*'MF Rents'!DQ12*'MF Rollover'!DN12)</f>
        <v/>
      </c>
      <c r="DP12" s="149" t="str">
        <f>IF($B12=0,"",($O12/30)*'MF Rents'!DR12*'MF Rollover'!DO12)</f>
        <v/>
      </c>
      <c r="DQ12" s="149" t="str">
        <f>IF($B12=0,"",($O12/30)*'MF Rents'!DS12*'MF Rollover'!DP12)</f>
        <v/>
      </c>
      <c r="DR12" s="149" t="str">
        <f>IF($B12=0,"",($O12/30)*'MF Rents'!DT12*'MF Rollover'!DQ12)</f>
        <v/>
      </c>
      <c r="DS12" s="149" t="str">
        <f>IF($B12=0,"",($O12/30)*'MF Rents'!DU12*'MF Rollover'!DR12)</f>
        <v/>
      </c>
      <c r="DT12" s="149" t="str">
        <f>IF($B12=0,"",($O12/30)*'MF Rents'!DV12*'MF Rollover'!DS12)</f>
        <v/>
      </c>
      <c r="DU12" s="149" t="str">
        <f>IF($B12=0,"",($O12/30)*'MF Rents'!DW12*'MF Rollover'!DT12)</f>
        <v/>
      </c>
      <c r="DV12" s="149" t="str">
        <f>IF($B12=0,"",($O12/30)*'MF Rents'!DX12*'MF Rollover'!DU12)</f>
        <v/>
      </c>
      <c r="DW12" s="149" t="str">
        <f>IF($B12=0,"",($O12/30)*'MF Rents'!DY12*'MF Rollover'!DV12)</f>
        <v/>
      </c>
      <c r="DX12" s="149" t="str">
        <f>IF($B12=0,"",($O12/30)*'MF Rents'!DZ12*'MF Rollover'!DW12)</f>
        <v/>
      </c>
      <c r="DY12" s="149" t="str">
        <f>IF($B12=0,"",($O12/30)*'MF Rents'!EA12*'MF Rollover'!DX12)</f>
        <v/>
      </c>
      <c r="DZ12" s="149" t="str">
        <f>IF($B12=0,"",($O12/30)*'MF Rents'!EB12*'MF Rollover'!DY12)</f>
        <v/>
      </c>
      <c r="EA12" s="149" t="str">
        <f>IF($B12=0,"",($O12/30)*'MF Rents'!EC12*'MF Rollover'!DZ12)</f>
        <v/>
      </c>
      <c r="EB12" s="149" t="str">
        <f>IF($B12=0,"",($O12/30)*'MF Rents'!ED12*'MF Rollover'!EA12)</f>
        <v/>
      </c>
      <c r="EC12" s="149" t="str">
        <f>IF($B12=0,"",($O12/30)*'MF Rents'!EE12*'MF Rollover'!EB12)</f>
        <v/>
      </c>
      <c r="ED12" s="149" t="str">
        <f>IF($B12=0,"",($O12/30)*'MF Rents'!EF12*'MF Rollover'!EC12)</f>
        <v/>
      </c>
      <c r="EE12" s="149" t="str">
        <f>IF($B12=0,"",($O12/30)*'MF Rents'!EG12*'MF Rollover'!ED12)</f>
        <v/>
      </c>
      <c r="EF12" s="149" t="str">
        <f>IF($B12=0,"",($O12/30)*'MF Rents'!EH12*'MF Rollover'!EE12)</f>
        <v/>
      </c>
      <c r="EG12" s="149" t="str">
        <f>IF($B12=0,"",($O12/30)*'MF Rents'!EI12*'MF Rollover'!EF12)</f>
        <v/>
      </c>
      <c r="EH12" s="149" t="str">
        <f>IF($B12=0,"",($O12/30)*'MF Rents'!EJ12*'MF Rollover'!EG12)</f>
        <v/>
      </c>
      <c r="EI12" s="149" t="str">
        <f>IF($B12=0,"",($O12/30)*'MF Rents'!EK12*'MF Rollover'!EH12)</f>
        <v/>
      </c>
      <c r="EJ12" s="149" t="str">
        <f>IF($B12=0,"",($O12/30)*'MF Rents'!EL12*'MF Rollover'!EI12)</f>
        <v/>
      </c>
      <c r="EK12" s="149" t="str">
        <f>IF($B12=0,"",($O12/30)*'MF Rents'!EM12*'MF Rollover'!EJ12)</f>
        <v/>
      </c>
      <c r="EL12" s="149" t="str">
        <f>IF($B12=0,"",($O12/30)*'MF Rents'!EN12*'MF Rollover'!EK12)</f>
        <v/>
      </c>
      <c r="EM12" s="149" t="str">
        <f>IF($B12=0,"",($O12/30)*'MF Rents'!EO12*'MF Rollover'!EL12)</f>
        <v/>
      </c>
      <c r="EN12" s="149" t="str">
        <f>IF($B12=0,"",($O12/30)*'MF Rents'!EP12*'MF Rollover'!EM12)</f>
        <v/>
      </c>
      <c r="EO12" s="149" t="str">
        <f>IF($B12=0,"",($O12/30)*'MF Rents'!EQ12*'MF Rollover'!EN12)</f>
        <v/>
      </c>
      <c r="EP12" s="149" t="str">
        <f>IF($B12=0,"",($O12/30)*'MF Rents'!ER12*'MF Rollover'!EO12)</f>
        <v/>
      </c>
      <c r="EQ12" s="149" t="str">
        <f>IF($B12=0,"",($O12/30)*'MF Rents'!ES12*'MF Rollover'!EP12)</f>
        <v/>
      </c>
      <c r="ER12" s="149" t="str">
        <f>IF($B12=0,"",($O12/30)*'MF Rents'!ET12*'MF Rollover'!EQ12)</f>
        <v/>
      </c>
      <c r="ES12" s="149" t="str">
        <f>IF($B12=0,"",($O12/30)*'MF Rents'!EU12*'MF Rollover'!ER12)</f>
        <v/>
      </c>
      <c r="ET12" s="149" t="str">
        <f>IF($B12=0,"",($O12/30)*'MF Rents'!EV12*'MF Rollover'!ES12)</f>
        <v/>
      </c>
      <c r="EU12" s="149" t="str">
        <f>IF($B12=0,"",($O12/30)*'MF Rents'!EW12*'MF Rollover'!ET12)</f>
        <v/>
      </c>
      <c r="EV12" s="149" t="str">
        <f>IF($B12=0,"",($O12/30)*'MF Rents'!EX12*'MF Rollover'!EU12)</f>
        <v/>
      </c>
      <c r="EW12" s="149" t="str">
        <f>IF($B12=0,"",($O12/30)*'MF Rents'!EY12*'MF Rollover'!EV12)</f>
        <v/>
      </c>
      <c r="EX12" s="149" t="str">
        <f>IF($B12=0,"",($O12/30)*'MF Rents'!EZ12*'MF Rollover'!EW12)</f>
        <v/>
      </c>
      <c r="EY12" s="149" t="str">
        <f>IF($B12=0,"",($O12/30)*'MF Rents'!FA12*'MF Rollover'!EX12)</f>
        <v/>
      </c>
      <c r="EZ12" s="149" t="str">
        <f>IF($B12=0,"",($O12/30)*'MF Rents'!FB12*'MF Rollover'!EY12)</f>
        <v/>
      </c>
      <c r="FA12" s="149" t="str">
        <f>IF($B12=0,"",($O12/30)*'MF Rents'!FC12*'MF Rollover'!EZ12)</f>
        <v/>
      </c>
      <c r="FB12" s="149" t="str">
        <f>IF($B12=0,"",($O12/30)*'MF Rents'!FD12*'MF Rollover'!FA12)</f>
        <v/>
      </c>
      <c r="FC12" s="149" t="str">
        <f>IF($B12=0,"",($O12/30)*'MF Rents'!FE12*'MF Rollover'!FB12)</f>
        <v/>
      </c>
      <c r="FD12" s="149" t="str">
        <f>IF($B12=0,"",($O12/30)*'MF Rents'!FF12*'MF Rollover'!FC12)</f>
        <v/>
      </c>
      <c r="FE12" s="149" t="str">
        <f>IF($B12=0,"",($O12/30)*'MF Rents'!FG12*'MF Rollover'!FD12)</f>
        <v/>
      </c>
      <c r="FF12" s="149" t="str">
        <f>IF($B12=0,"",($O12/30)*'MF Rents'!FH12*'MF Rollover'!FE12)</f>
        <v/>
      </c>
      <c r="FG12" s="149" t="str">
        <f>IF($B12=0,"",($O12/30)*'MF Rents'!FI12*'MF Rollover'!FF12)</f>
        <v/>
      </c>
      <c r="FH12" s="149" t="str">
        <f>IF($B12=0,"",($O12/30)*'MF Rents'!FJ12*'MF Rollover'!FG12)</f>
        <v/>
      </c>
      <c r="FI12" s="149" t="str">
        <f>IF($B12=0,"",($O12/30)*'MF Rents'!FK12*'MF Rollover'!FH12)</f>
        <v/>
      </c>
      <c r="FJ12" s="149" t="str">
        <f>IF($B12=0,"",($O12/30)*'MF Rents'!FL12*'MF Rollover'!FI12)</f>
        <v/>
      </c>
      <c r="FK12" s="149" t="str">
        <f>IF($B12=0,"",($O12/30)*'MF Rents'!FM12*'MF Rollover'!FJ12)</f>
        <v/>
      </c>
      <c r="FL12" s="149" t="str">
        <f>IF($B12=0,"",($O12/30)*'MF Rents'!FN12*'MF Rollover'!FK12)</f>
        <v/>
      </c>
      <c r="FM12" s="149" t="str">
        <f>IF($B12=0,"",($O12/30)*'MF Rents'!FO12*'MF Rollover'!FL12)</f>
        <v/>
      </c>
      <c r="FN12" s="149" t="str">
        <f>IF($B12=0,"",($O12/30)*'MF Rents'!FP12*'MF Rollover'!FM12)</f>
        <v/>
      </c>
      <c r="FO12" s="149" t="str">
        <f>IF($B12=0,"",($O12/30)*'MF Rents'!FQ12*'MF Rollover'!FN12)</f>
        <v/>
      </c>
      <c r="FP12" s="149" t="str">
        <f>IF($B12=0,"",($O12/30)*'MF Rents'!FR12*'MF Rollover'!FO12)</f>
        <v/>
      </c>
      <c r="FQ12" s="149" t="str">
        <f>IF($B12=0,"",($O12/30)*'MF Rents'!FS12*'MF Rollover'!FP12)</f>
        <v/>
      </c>
      <c r="FR12" s="149" t="str">
        <f>IF($B12=0,"",($O12/30)*'MF Rents'!FT12*'MF Rollover'!FQ12)</f>
        <v/>
      </c>
      <c r="FS12" s="149" t="str">
        <f>IF($B12=0,"",($O12/30)*'MF Rents'!FU12*'MF Rollover'!FR12)</f>
        <v/>
      </c>
      <c r="FT12" s="149" t="str">
        <f>IF($B12=0,"",($O12/30)*'MF Rents'!FV12*'MF Rollover'!FS12)</f>
        <v/>
      </c>
      <c r="FU12" s="149" t="str">
        <f>IF($B12=0,"",($O12/30)*'MF Rents'!FW12*'MF Rollover'!FT12)</f>
        <v/>
      </c>
      <c r="FV12" s="149" t="str">
        <f>IF($B12=0,"",($O12/30)*'MF Rents'!FX12*'MF Rollover'!FU12)</f>
        <v/>
      </c>
      <c r="FW12" s="149" t="str">
        <f>IF($B12=0,"",($O12/30)*'MF Rents'!FY12*'MF Rollover'!FV12)</f>
        <v/>
      </c>
      <c r="FX12" s="149" t="str">
        <f>IF($B12=0,"",($O12/30)*'MF Rents'!FZ12*'MF Rollover'!FW12)</f>
        <v/>
      </c>
      <c r="FY12" s="149" t="str">
        <f>IF($B12=0,"",($O12/30)*'MF Rents'!GA12*'MF Rollover'!FX12)</f>
        <v/>
      </c>
      <c r="FZ12" s="149" t="str">
        <f>IF($B12=0,"",($O12/30)*'MF Rents'!GB12*'MF Rollover'!FY12)</f>
        <v/>
      </c>
      <c r="GA12" s="149" t="str">
        <f>IF($B12=0,"",($O12/30)*'MF Rents'!GC12*'MF Rollover'!FZ12)</f>
        <v/>
      </c>
      <c r="GB12" s="149" t="str">
        <f>IF($B12=0,"",($O12/30)*'MF Rents'!GD12*'MF Rollover'!GA12)</f>
        <v/>
      </c>
      <c r="GC12" s="149" t="str">
        <f>IF($B12=0,"",($O12/30)*'MF Rents'!GE12*'MF Rollover'!GB12)</f>
        <v/>
      </c>
      <c r="GD12" s="149" t="str">
        <f>IF($B12=0,"",($O12/30)*'MF Rents'!GF12*'MF Rollover'!GC12)</f>
        <v/>
      </c>
      <c r="GE12" s="149" t="str">
        <f>IF($B12=0,"",($O12/30)*'MF Rents'!GG12*'MF Rollover'!GD12)</f>
        <v/>
      </c>
      <c r="GF12" s="149" t="str">
        <f>IF($B12=0,"",($O12/30)*'MF Rents'!GH12*'MF Rollover'!GE12)</f>
        <v/>
      </c>
      <c r="GG12" s="149" t="str">
        <f>IF($B12=0,"",($O12/30)*'MF Rents'!GI12*'MF Rollover'!GF12)</f>
        <v/>
      </c>
      <c r="GH12" s="149" t="str">
        <f>IF($B12=0,"",($O12/30)*'MF Rents'!GJ12*'MF Rollover'!GG12)</f>
        <v/>
      </c>
      <c r="GI12" s="149" t="str">
        <f>IF($B12=0,"",($O12/30)*'MF Rents'!GK12*'MF Rollover'!GH12)</f>
        <v/>
      </c>
      <c r="GJ12" s="149" t="str">
        <f>IF($B12=0,"",($O12/30)*'MF Rents'!GL12*'MF Rollover'!GI12)</f>
        <v/>
      </c>
      <c r="GK12" s="149" t="str">
        <f>IF($B12=0,"",($O12/30)*'MF Rents'!GM12*'MF Rollover'!GJ12)</f>
        <v/>
      </c>
      <c r="GL12" s="149" t="str">
        <f>IF($B12=0,"",($O12/30)*'MF Rents'!GN12*'MF Rollover'!GK12)</f>
        <v/>
      </c>
      <c r="GM12" s="149" t="str">
        <f>IF($B12=0,"",($O12/30)*'MF Rents'!GO12*'MF Rollover'!GL12)</f>
        <v/>
      </c>
      <c r="GN12" s="149" t="str">
        <f>IF($B12=0,"",($O12/30)*'MF Rents'!GP12*'MF Rollover'!GM12)</f>
        <v/>
      </c>
      <c r="GO12" s="149" t="str">
        <f>IF($B12=0,"",($O12/30)*'MF Rents'!GQ12*'MF Rollover'!GN12)</f>
        <v/>
      </c>
      <c r="GP12" s="149" t="str">
        <f>IF($B12=0,"",($O12/30)*'MF Rents'!GR12*'MF Rollover'!GO12)</f>
        <v/>
      </c>
    </row>
    <row r="13" spans="2:198" x14ac:dyDescent="0.3">
      <c r="B13" s="184">
        <f>'MF Rent Roll'!B12</f>
        <v>0</v>
      </c>
      <c r="C13" s="171">
        <f>'MF Rent Roll'!C12</f>
        <v>0</v>
      </c>
      <c r="D13" s="172">
        <f>'MF Rent Roll'!D12</f>
        <v>0</v>
      </c>
      <c r="E13" s="172">
        <f>'MF Rent Roll'!E12</f>
        <v>0</v>
      </c>
      <c r="F13" s="173">
        <f>'MF Rent Roll'!F12</f>
        <v>0</v>
      </c>
      <c r="G13" s="174">
        <f>'MF Rent Roll'!G12</f>
        <v>0</v>
      </c>
      <c r="H13" s="176">
        <f>'MF Rent Roll'!J12</f>
        <v>0</v>
      </c>
      <c r="I13" s="174">
        <f>'MF Rent Roll'!K12</f>
        <v>0</v>
      </c>
      <c r="J13" s="177">
        <f>'MF Rent Roll'!L12</f>
        <v>0</v>
      </c>
      <c r="K13" s="178">
        <f>'MF Rent Roll'!M12</f>
        <v>0</v>
      </c>
      <c r="L13" s="174">
        <f>'MF Rent Roll'!N12</f>
        <v>0</v>
      </c>
      <c r="M13" s="179">
        <f>'MF Rent Roll'!O12</f>
        <v>0</v>
      </c>
      <c r="N13" s="180" t="str">
        <f>'MF Rent Roll'!P12</f>
        <v/>
      </c>
      <c r="O13" s="181" t="str">
        <f>'MF Rent Roll'!Q12</f>
        <v/>
      </c>
      <c r="P13" s="104" t="str">
        <f>'MF Rent Roll'!R12</f>
        <v/>
      </c>
      <c r="S13" s="149" t="str">
        <f>IF($B13=0,"",($O13/30)*'MF Rents'!U13*'MF Rollover'!R13)</f>
        <v/>
      </c>
      <c r="T13" s="149" t="str">
        <f>IF($B13=0,"",($O13/30)*'MF Rents'!V13*'MF Rollover'!S13)</f>
        <v/>
      </c>
      <c r="U13" s="149" t="str">
        <f>IF($B13=0,"",($O13/30)*'MF Rents'!W13*'MF Rollover'!T13)</f>
        <v/>
      </c>
      <c r="V13" s="149" t="str">
        <f>IF($B13=0,"",($O13/30)*'MF Rents'!X13*'MF Rollover'!U13)</f>
        <v/>
      </c>
      <c r="W13" s="149" t="str">
        <f>IF($B13=0,"",($O13/30)*'MF Rents'!Y13*'MF Rollover'!V13)</f>
        <v/>
      </c>
      <c r="X13" s="149" t="str">
        <f>IF($B13=0,"",($O13/30)*'MF Rents'!Z13*'MF Rollover'!W13)</f>
        <v/>
      </c>
      <c r="Y13" s="149" t="str">
        <f>IF($B13=0,"",($O13/30)*'MF Rents'!AA13*'MF Rollover'!X13)</f>
        <v/>
      </c>
      <c r="Z13" s="149" t="str">
        <f>IF($B13=0,"",($O13/30)*'MF Rents'!AB13*'MF Rollover'!Y13)</f>
        <v/>
      </c>
      <c r="AA13" s="149" t="str">
        <f>IF($B13=0,"",($O13/30)*'MF Rents'!AC13*'MF Rollover'!Z13)</f>
        <v/>
      </c>
      <c r="AB13" s="149" t="str">
        <f>IF($B13=0,"",($O13/30)*'MF Rents'!AD13*'MF Rollover'!AA13)</f>
        <v/>
      </c>
      <c r="AC13" s="149" t="str">
        <f>IF($B13=0,"",($O13/30)*'MF Rents'!AE13*'MF Rollover'!AB13)</f>
        <v/>
      </c>
      <c r="AD13" s="149" t="str">
        <f>IF($B13=0,"",($O13/30)*'MF Rents'!AF13*'MF Rollover'!AC13)</f>
        <v/>
      </c>
      <c r="AE13" s="149" t="str">
        <f>IF($B13=0,"",($O13/30)*'MF Rents'!AG13*'MF Rollover'!AD13)</f>
        <v/>
      </c>
      <c r="AF13" s="149" t="str">
        <f>IF($B13=0,"",($O13/30)*'MF Rents'!AH13*'MF Rollover'!AE13)</f>
        <v/>
      </c>
      <c r="AG13" s="149" t="str">
        <f>IF($B13=0,"",($O13/30)*'MF Rents'!AI13*'MF Rollover'!AF13)</f>
        <v/>
      </c>
      <c r="AH13" s="149" t="str">
        <f>IF($B13=0,"",($O13/30)*'MF Rents'!AJ13*'MF Rollover'!AG13)</f>
        <v/>
      </c>
      <c r="AI13" s="149" t="str">
        <f>IF($B13=0,"",($O13/30)*'MF Rents'!AK13*'MF Rollover'!AH13)</f>
        <v/>
      </c>
      <c r="AJ13" s="149" t="str">
        <f>IF($B13=0,"",($O13/30)*'MF Rents'!AL13*'MF Rollover'!AI13)</f>
        <v/>
      </c>
      <c r="AK13" s="149" t="str">
        <f>IF($B13=0,"",($O13/30)*'MF Rents'!AM13*'MF Rollover'!AJ13)</f>
        <v/>
      </c>
      <c r="AL13" s="149" t="str">
        <f>IF($B13=0,"",($O13/30)*'MF Rents'!AN13*'MF Rollover'!AK13)</f>
        <v/>
      </c>
      <c r="AM13" s="149" t="str">
        <f>IF($B13=0,"",($O13/30)*'MF Rents'!AO13*'MF Rollover'!AL13)</f>
        <v/>
      </c>
      <c r="AN13" s="149" t="str">
        <f>IF($B13=0,"",($O13/30)*'MF Rents'!AP13*'MF Rollover'!AM13)</f>
        <v/>
      </c>
      <c r="AO13" s="149" t="str">
        <f>IF($B13=0,"",($O13/30)*'MF Rents'!AQ13*'MF Rollover'!AN13)</f>
        <v/>
      </c>
      <c r="AP13" s="149" t="str">
        <f>IF($B13=0,"",($O13/30)*'MF Rents'!AR13*'MF Rollover'!AO13)</f>
        <v/>
      </c>
      <c r="AQ13" s="149" t="str">
        <f>IF($B13=0,"",($O13/30)*'MF Rents'!AS13*'MF Rollover'!AP13)</f>
        <v/>
      </c>
      <c r="AR13" s="149" t="str">
        <f>IF($B13=0,"",($O13/30)*'MF Rents'!AT13*'MF Rollover'!AQ13)</f>
        <v/>
      </c>
      <c r="AS13" s="149" t="str">
        <f>IF($B13=0,"",($O13/30)*'MF Rents'!AU13*'MF Rollover'!AR13)</f>
        <v/>
      </c>
      <c r="AT13" s="149" t="str">
        <f>IF($B13=0,"",($O13/30)*'MF Rents'!AV13*'MF Rollover'!AS13)</f>
        <v/>
      </c>
      <c r="AU13" s="149" t="str">
        <f>IF($B13=0,"",($O13/30)*'MF Rents'!AW13*'MF Rollover'!AT13)</f>
        <v/>
      </c>
      <c r="AV13" s="149" t="str">
        <f>IF($B13=0,"",($O13/30)*'MF Rents'!AX13*'MF Rollover'!AU13)</f>
        <v/>
      </c>
      <c r="AW13" s="149" t="str">
        <f>IF($B13=0,"",($O13/30)*'MF Rents'!AY13*'MF Rollover'!AV13)</f>
        <v/>
      </c>
      <c r="AX13" s="149" t="str">
        <f>IF($B13=0,"",($O13/30)*'MF Rents'!AZ13*'MF Rollover'!AW13)</f>
        <v/>
      </c>
      <c r="AY13" s="149" t="str">
        <f>IF($B13=0,"",($O13/30)*'MF Rents'!BA13*'MF Rollover'!AX13)</f>
        <v/>
      </c>
      <c r="AZ13" s="149" t="str">
        <f>IF($B13=0,"",($O13/30)*'MF Rents'!BB13*'MF Rollover'!AY13)</f>
        <v/>
      </c>
      <c r="BA13" s="149" t="str">
        <f>IF($B13=0,"",($O13/30)*'MF Rents'!BC13*'MF Rollover'!AZ13)</f>
        <v/>
      </c>
      <c r="BB13" s="149" t="str">
        <f>IF($B13=0,"",($O13/30)*'MF Rents'!BD13*'MF Rollover'!BA13)</f>
        <v/>
      </c>
      <c r="BC13" s="149" t="str">
        <f>IF($B13=0,"",($O13/30)*'MF Rents'!BE13*'MF Rollover'!BB13)</f>
        <v/>
      </c>
      <c r="BD13" s="149" t="str">
        <f>IF($B13=0,"",($O13/30)*'MF Rents'!BF13*'MF Rollover'!BC13)</f>
        <v/>
      </c>
      <c r="BE13" s="149" t="str">
        <f>IF($B13=0,"",($O13/30)*'MF Rents'!BG13*'MF Rollover'!BD13)</f>
        <v/>
      </c>
      <c r="BF13" s="149" t="str">
        <f>IF($B13=0,"",($O13/30)*'MF Rents'!BH13*'MF Rollover'!BE13)</f>
        <v/>
      </c>
      <c r="BG13" s="149" t="str">
        <f>IF($B13=0,"",($O13/30)*'MF Rents'!BI13*'MF Rollover'!BF13)</f>
        <v/>
      </c>
      <c r="BH13" s="149" t="str">
        <f>IF($B13=0,"",($O13/30)*'MF Rents'!BJ13*'MF Rollover'!BG13)</f>
        <v/>
      </c>
      <c r="BI13" s="149" t="str">
        <f>IF($B13=0,"",($O13/30)*'MF Rents'!BK13*'MF Rollover'!BH13)</f>
        <v/>
      </c>
      <c r="BJ13" s="149" t="str">
        <f>IF($B13=0,"",($O13/30)*'MF Rents'!BL13*'MF Rollover'!BI13)</f>
        <v/>
      </c>
      <c r="BK13" s="149" t="str">
        <f>IF($B13=0,"",($O13/30)*'MF Rents'!BM13*'MF Rollover'!BJ13)</f>
        <v/>
      </c>
      <c r="BL13" s="149" t="str">
        <f>IF($B13=0,"",($O13/30)*'MF Rents'!BN13*'MF Rollover'!BK13)</f>
        <v/>
      </c>
      <c r="BM13" s="149" t="str">
        <f>IF($B13=0,"",($O13/30)*'MF Rents'!BO13*'MF Rollover'!BL13)</f>
        <v/>
      </c>
      <c r="BN13" s="149" t="str">
        <f>IF($B13=0,"",($O13/30)*'MF Rents'!BP13*'MF Rollover'!BM13)</f>
        <v/>
      </c>
      <c r="BO13" s="149" t="str">
        <f>IF($B13=0,"",($O13/30)*'MF Rents'!BQ13*'MF Rollover'!BN13)</f>
        <v/>
      </c>
      <c r="BP13" s="149" t="str">
        <f>IF($B13=0,"",($O13/30)*'MF Rents'!BR13*'MF Rollover'!BO13)</f>
        <v/>
      </c>
      <c r="BQ13" s="149" t="str">
        <f>IF($B13=0,"",($O13/30)*'MF Rents'!BS13*'MF Rollover'!BP13)</f>
        <v/>
      </c>
      <c r="BR13" s="149" t="str">
        <f>IF($B13=0,"",($O13/30)*'MF Rents'!BT13*'MF Rollover'!BQ13)</f>
        <v/>
      </c>
      <c r="BS13" s="149" t="str">
        <f>IF($B13=0,"",($O13/30)*'MF Rents'!BU13*'MF Rollover'!BR13)</f>
        <v/>
      </c>
      <c r="BT13" s="149" t="str">
        <f>IF($B13=0,"",($O13/30)*'MF Rents'!BV13*'MF Rollover'!BS13)</f>
        <v/>
      </c>
      <c r="BU13" s="149" t="str">
        <f>IF($B13=0,"",($O13/30)*'MF Rents'!BW13*'MF Rollover'!BT13)</f>
        <v/>
      </c>
      <c r="BV13" s="149" t="str">
        <f>IF($B13=0,"",($O13/30)*'MF Rents'!BX13*'MF Rollover'!BU13)</f>
        <v/>
      </c>
      <c r="BW13" s="149" t="str">
        <f>IF($B13=0,"",($O13/30)*'MF Rents'!BY13*'MF Rollover'!BV13)</f>
        <v/>
      </c>
      <c r="BX13" s="149" t="str">
        <f>IF($B13=0,"",($O13/30)*'MF Rents'!BZ13*'MF Rollover'!BW13)</f>
        <v/>
      </c>
      <c r="BY13" s="149" t="str">
        <f>IF($B13=0,"",($O13/30)*'MF Rents'!CA13*'MF Rollover'!BX13)</f>
        <v/>
      </c>
      <c r="BZ13" s="149" t="str">
        <f>IF($B13=0,"",($O13/30)*'MF Rents'!CB13*'MF Rollover'!BY13)</f>
        <v/>
      </c>
      <c r="CA13" s="149" t="str">
        <f>IF($B13=0,"",($O13/30)*'MF Rents'!CC13*'MF Rollover'!BZ13)</f>
        <v/>
      </c>
      <c r="CB13" s="149" t="str">
        <f>IF($B13=0,"",($O13/30)*'MF Rents'!CD13*'MF Rollover'!CA13)</f>
        <v/>
      </c>
      <c r="CC13" s="149" t="str">
        <f>IF($B13=0,"",($O13/30)*'MF Rents'!CE13*'MF Rollover'!CB13)</f>
        <v/>
      </c>
      <c r="CD13" s="149" t="str">
        <f>IF($B13=0,"",($O13/30)*'MF Rents'!CF13*'MF Rollover'!CC13)</f>
        <v/>
      </c>
      <c r="CE13" s="149" t="str">
        <f>IF($B13=0,"",($O13/30)*'MF Rents'!CG13*'MF Rollover'!CD13)</f>
        <v/>
      </c>
      <c r="CF13" s="149" t="str">
        <f>IF($B13=0,"",($O13/30)*'MF Rents'!CH13*'MF Rollover'!CE13)</f>
        <v/>
      </c>
      <c r="CG13" s="149" t="str">
        <f>IF($B13=0,"",($O13/30)*'MF Rents'!CI13*'MF Rollover'!CF13)</f>
        <v/>
      </c>
      <c r="CH13" s="149" t="str">
        <f>IF($B13=0,"",($O13/30)*'MF Rents'!CJ13*'MF Rollover'!CG13)</f>
        <v/>
      </c>
      <c r="CI13" s="149" t="str">
        <f>IF($B13=0,"",($O13/30)*'MF Rents'!CK13*'MF Rollover'!CH13)</f>
        <v/>
      </c>
      <c r="CJ13" s="149" t="str">
        <f>IF($B13=0,"",($O13/30)*'MF Rents'!CL13*'MF Rollover'!CI13)</f>
        <v/>
      </c>
      <c r="CK13" s="149" t="str">
        <f>IF($B13=0,"",($O13/30)*'MF Rents'!CM13*'MF Rollover'!CJ13)</f>
        <v/>
      </c>
      <c r="CL13" s="149" t="str">
        <f>IF($B13=0,"",($O13/30)*'MF Rents'!CN13*'MF Rollover'!CK13)</f>
        <v/>
      </c>
      <c r="CM13" s="149" t="str">
        <f>IF($B13=0,"",($O13/30)*'MF Rents'!CO13*'MF Rollover'!CL13)</f>
        <v/>
      </c>
      <c r="CN13" s="149" t="str">
        <f>IF($B13=0,"",($O13/30)*'MF Rents'!CP13*'MF Rollover'!CM13)</f>
        <v/>
      </c>
      <c r="CO13" s="149" t="str">
        <f>IF($B13=0,"",($O13/30)*'MF Rents'!CQ13*'MF Rollover'!CN13)</f>
        <v/>
      </c>
      <c r="CP13" s="149" t="str">
        <f>IF($B13=0,"",($O13/30)*'MF Rents'!CR13*'MF Rollover'!CO13)</f>
        <v/>
      </c>
      <c r="CQ13" s="149" t="str">
        <f>IF($B13=0,"",($O13/30)*'MF Rents'!CS13*'MF Rollover'!CP13)</f>
        <v/>
      </c>
      <c r="CR13" s="149" t="str">
        <f>IF($B13=0,"",($O13/30)*'MF Rents'!CT13*'MF Rollover'!CQ13)</f>
        <v/>
      </c>
      <c r="CS13" s="149" t="str">
        <f>IF($B13=0,"",($O13/30)*'MF Rents'!CU13*'MF Rollover'!CR13)</f>
        <v/>
      </c>
      <c r="CT13" s="149" t="str">
        <f>IF($B13=0,"",($O13/30)*'MF Rents'!CV13*'MF Rollover'!CS13)</f>
        <v/>
      </c>
      <c r="CU13" s="149" t="str">
        <f>IF($B13=0,"",($O13/30)*'MF Rents'!CW13*'MF Rollover'!CT13)</f>
        <v/>
      </c>
      <c r="CV13" s="149" t="str">
        <f>IF($B13=0,"",($O13/30)*'MF Rents'!CX13*'MF Rollover'!CU13)</f>
        <v/>
      </c>
      <c r="CW13" s="149" t="str">
        <f>IF($B13=0,"",($O13/30)*'MF Rents'!CY13*'MF Rollover'!CV13)</f>
        <v/>
      </c>
      <c r="CX13" s="149" t="str">
        <f>IF($B13=0,"",($O13/30)*'MF Rents'!CZ13*'MF Rollover'!CW13)</f>
        <v/>
      </c>
      <c r="CY13" s="149" t="str">
        <f>IF($B13=0,"",($O13/30)*'MF Rents'!DA13*'MF Rollover'!CX13)</f>
        <v/>
      </c>
      <c r="CZ13" s="149" t="str">
        <f>IF($B13=0,"",($O13/30)*'MF Rents'!DB13*'MF Rollover'!CY13)</f>
        <v/>
      </c>
      <c r="DA13" s="149" t="str">
        <f>IF($B13=0,"",($O13/30)*'MF Rents'!DC13*'MF Rollover'!CZ13)</f>
        <v/>
      </c>
      <c r="DB13" s="149" t="str">
        <f>IF($B13=0,"",($O13/30)*'MF Rents'!DD13*'MF Rollover'!DA13)</f>
        <v/>
      </c>
      <c r="DC13" s="149" t="str">
        <f>IF($B13=0,"",($O13/30)*'MF Rents'!DE13*'MF Rollover'!DB13)</f>
        <v/>
      </c>
      <c r="DD13" s="149" t="str">
        <f>IF($B13=0,"",($O13/30)*'MF Rents'!DF13*'MF Rollover'!DC13)</f>
        <v/>
      </c>
      <c r="DE13" s="149" t="str">
        <f>IF($B13=0,"",($O13/30)*'MF Rents'!DG13*'MF Rollover'!DD13)</f>
        <v/>
      </c>
      <c r="DF13" s="149" t="str">
        <f>IF($B13=0,"",($O13/30)*'MF Rents'!DH13*'MF Rollover'!DE13)</f>
        <v/>
      </c>
      <c r="DG13" s="149" t="str">
        <f>IF($B13=0,"",($O13/30)*'MF Rents'!DI13*'MF Rollover'!DF13)</f>
        <v/>
      </c>
      <c r="DH13" s="149" t="str">
        <f>IF($B13=0,"",($O13/30)*'MF Rents'!DJ13*'MF Rollover'!DG13)</f>
        <v/>
      </c>
      <c r="DI13" s="149" t="str">
        <f>IF($B13=0,"",($O13/30)*'MF Rents'!DK13*'MF Rollover'!DH13)</f>
        <v/>
      </c>
      <c r="DJ13" s="149" t="str">
        <f>IF($B13=0,"",($O13/30)*'MF Rents'!DL13*'MF Rollover'!DI13)</f>
        <v/>
      </c>
      <c r="DK13" s="149" t="str">
        <f>IF($B13=0,"",($O13/30)*'MF Rents'!DM13*'MF Rollover'!DJ13)</f>
        <v/>
      </c>
      <c r="DL13" s="149" t="str">
        <f>IF($B13=0,"",($O13/30)*'MF Rents'!DN13*'MF Rollover'!DK13)</f>
        <v/>
      </c>
      <c r="DM13" s="149" t="str">
        <f>IF($B13=0,"",($O13/30)*'MF Rents'!DO13*'MF Rollover'!DL13)</f>
        <v/>
      </c>
      <c r="DN13" s="149" t="str">
        <f>IF($B13=0,"",($O13/30)*'MF Rents'!DP13*'MF Rollover'!DM13)</f>
        <v/>
      </c>
      <c r="DO13" s="149" t="str">
        <f>IF($B13=0,"",($O13/30)*'MF Rents'!DQ13*'MF Rollover'!DN13)</f>
        <v/>
      </c>
      <c r="DP13" s="149" t="str">
        <f>IF($B13=0,"",($O13/30)*'MF Rents'!DR13*'MF Rollover'!DO13)</f>
        <v/>
      </c>
      <c r="DQ13" s="149" t="str">
        <f>IF($B13=0,"",($O13/30)*'MF Rents'!DS13*'MF Rollover'!DP13)</f>
        <v/>
      </c>
      <c r="DR13" s="149" t="str">
        <f>IF($B13=0,"",($O13/30)*'MF Rents'!DT13*'MF Rollover'!DQ13)</f>
        <v/>
      </c>
      <c r="DS13" s="149" t="str">
        <f>IF($B13=0,"",($O13/30)*'MF Rents'!DU13*'MF Rollover'!DR13)</f>
        <v/>
      </c>
      <c r="DT13" s="149" t="str">
        <f>IF($B13=0,"",($O13/30)*'MF Rents'!DV13*'MF Rollover'!DS13)</f>
        <v/>
      </c>
      <c r="DU13" s="149" t="str">
        <f>IF($B13=0,"",($O13/30)*'MF Rents'!DW13*'MF Rollover'!DT13)</f>
        <v/>
      </c>
      <c r="DV13" s="149" t="str">
        <f>IF($B13=0,"",($O13/30)*'MF Rents'!DX13*'MF Rollover'!DU13)</f>
        <v/>
      </c>
      <c r="DW13" s="149" t="str">
        <f>IF($B13=0,"",($O13/30)*'MF Rents'!DY13*'MF Rollover'!DV13)</f>
        <v/>
      </c>
      <c r="DX13" s="149" t="str">
        <f>IF($B13=0,"",($O13/30)*'MF Rents'!DZ13*'MF Rollover'!DW13)</f>
        <v/>
      </c>
      <c r="DY13" s="149" t="str">
        <f>IF($B13=0,"",($O13/30)*'MF Rents'!EA13*'MF Rollover'!DX13)</f>
        <v/>
      </c>
      <c r="DZ13" s="149" t="str">
        <f>IF($B13=0,"",($O13/30)*'MF Rents'!EB13*'MF Rollover'!DY13)</f>
        <v/>
      </c>
      <c r="EA13" s="149" t="str">
        <f>IF($B13=0,"",($O13/30)*'MF Rents'!EC13*'MF Rollover'!DZ13)</f>
        <v/>
      </c>
      <c r="EB13" s="149" t="str">
        <f>IF($B13=0,"",($O13/30)*'MF Rents'!ED13*'MF Rollover'!EA13)</f>
        <v/>
      </c>
      <c r="EC13" s="149" t="str">
        <f>IF($B13=0,"",($O13/30)*'MF Rents'!EE13*'MF Rollover'!EB13)</f>
        <v/>
      </c>
      <c r="ED13" s="149" t="str">
        <f>IF($B13=0,"",($O13/30)*'MF Rents'!EF13*'MF Rollover'!EC13)</f>
        <v/>
      </c>
      <c r="EE13" s="149" t="str">
        <f>IF($B13=0,"",($O13/30)*'MF Rents'!EG13*'MF Rollover'!ED13)</f>
        <v/>
      </c>
      <c r="EF13" s="149" t="str">
        <f>IF($B13=0,"",($O13/30)*'MF Rents'!EH13*'MF Rollover'!EE13)</f>
        <v/>
      </c>
      <c r="EG13" s="149" t="str">
        <f>IF($B13=0,"",($O13/30)*'MF Rents'!EI13*'MF Rollover'!EF13)</f>
        <v/>
      </c>
      <c r="EH13" s="149" t="str">
        <f>IF($B13=0,"",($O13/30)*'MF Rents'!EJ13*'MF Rollover'!EG13)</f>
        <v/>
      </c>
      <c r="EI13" s="149" t="str">
        <f>IF($B13=0,"",($O13/30)*'MF Rents'!EK13*'MF Rollover'!EH13)</f>
        <v/>
      </c>
      <c r="EJ13" s="149" t="str">
        <f>IF($B13=0,"",($O13/30)*'MF Rents'!EL13*'MF Rollover'!EI13)</f>
        <v/>
      </c>
      <c r="EK13" s="149" t="str">
        <f>IF($B13=0,"",($O13/30)*'MF Rents'!EM13*'MF Rollover'!EJ13)</f>
        <v/>
      </c>
      <c r="EL13" s="149" t="str">
        <f>IF($B13=0,"",($O13/30)*'MF Rents'!EN13*'MF Rollover'!EK13)</f>
        <v/>
      </c>
      <c r="EM13" s="149" t="str">
        <f>IF($B13=0,"",($O13/30)*'MF Rents'!EO13*'MF Rollover'!EL13)</f>
        <v/>
      </c>
      <c r="EN13" s="149" t="str">
        <f>IF($B13=0,"",($O13/30)*'MF Rents'!EP13*'MF Rollover'!EM13)</f>
        <v/>
      </c>
      <c r="EO13" s="149" t="str">
        <f>IF($B13=0,"",($O13/30)*'MF Rents'!EQ13*'MF Rollover'!EN13)</f>
        <v/>
      </c>
      <c r="EP13" s="149" t="str">
        <f>IF($B13=0,"",($O13/30)*'MF Rents'!ER13*'MF Rollover'!EO13)</f>
        <v/>
      </c>
      <c r="EQ13" s="149" t="str">
        <f>IF($B13=0,"",($O13/30)*'MF Rents'!ES13*'MF Rollover'!EP13)</f>
        <v/>
      </c>
      <c r="ER13" s="149" t="str">
        <f>IF($B13=0,"",($O13/30)*'MF Rents'!ET13*'MF Rollover'!EQ13)</f>
        <v/>
      </c>
      <c r="ES13" s="149" t="str">
        <f>IF($B13=0,"",($O13/30)*'MF Rents'!EU13*'MF Rollover'!ER13)</f>
        <v/>
      </c>
      <c r="ET13" s="149" t="str">
        <f>IF($B13=0,"",($O13/30)*'MF Rents'!EV13*'MF Rollover'!ES13)</f>
        <v/>
      </c>
      <c r="EU13" s="149" t="str">
        <f>IF($B13=0,"",($O13/30)*'MF Rents'!EW13*'MF Rollover'!ET13)</f>
        <v/>
      </c>
      <c r="EV13" s="149" t="str">
        <f>IF($B13=0,"",($O13/30)*'MF Rents'!EX13*'MF Rollover'!EU13)</f>
        <v/>
      </c>
      <c r="EW13" s="149" t="str">
        <f>IF($B13=0,"",($O13/30)*'MF Rents'!EY13*'MF Rollover'!EV13)</f>
        <v/>
      </c>
      <c r="EX13" s="149" t="str">
        <f>IF($B13=0,"",($O13/30)*'MF Rents'!EZ13*'MF Rollover'!EW13)</f>
        <v/>
      </c>
      <c r="EY13" s="149" t="str">
        <f>IF($B13=0,"",($O13/30)*'MF Rents'!FA13*'MF Rollover'!EX13)</f>
        <v/>
      </c>
      <c r="EZ13" s="149" t="str">
        <f>IF($B13=0,"",($O13/30)*'MF Rents'!FB13*'MF Rollover'!EY13)</f>
        <v/>
      </c>
      <c r="FA13" s="149" t="str">
        <f>IF($B13=0,"",($O13/30)*'MF Rents'!FC13*'MF Rollover'!EZ13)</f>
        <v/>
      </c>
      <c r="FB13" s="149" t="str">
        <f>IF($B13=0,"",($O13/30)*'MF Rents'!FD13*'MF Rollover'!FA13)</f>
        <v/>
      </c>
      <c r="FC13" s="149" t="str">
        <f>IF($B13=0,"",($O13/30)*'MF Rents'!FE13*'MF Rollover'!FB13)</f>
        <v/>
      </c>
      <c r="FD13" s="149" t="str">
        <f>IF($B13=0,"",($O13/30)*'MF Rents'!FF13*'MF Rollover'!FC13)</f>
        <v/>
      </c>
      <c r="FE13" s="149" t="str">
        <f>IF($B13=0,"",($O13/30)*'MF Rents'!FG13*'MF Rollover'!FD13)</f>
        <v/>
      </c>
      <c r="FF13" s="149" t="str">
        <f>IF($B13=0,"",($O13/30)*'MF Rents'!FH13*'MF Rollover'!FE13)</f>
        <v/>
      </c>
      <c r="FG13" s="149" t="str">
        <f>IF($B13=0,"",($O13/30)*'MF Rents'!FI13*'MF Rollover'!FF13)</f>
        <v/>
      </c>
      <c r="FH13" s="149" t="str">
        <f>IF($B13=0,"",($O13/30)*'MF Rents'!FJ13*'MF Rollover'!FG13)</f>
        <v/>
      </c>
      <c r="FI13" s="149" t="str">
        <f>IF($B13=0,"",($O13/30)*'MF Rents'!FK13*'MF Rollover'!FH13)</f>
        <v/>
      </c>
      <c r="FJ13" s="149" t="str">
        <f>IF($B13=0,"",($O13/30)*'MF Rents'!FL13*'MF Rollover'!FI13)</f>
        <v/>
      </c>
      <c r="FK13" s="149" t="str">
        <f>IF($B13=0,"",($O13/30)*'MF Rents'!FM13*'MF Rollover'!FJ13)</f>
        <v/>
      </c>
      <c r="FL13" s="149" t="str">
        <f>IF($B13=0,"",($O13/30)*'MF Rents'!FN13*'MF Rollover'!FK13)</f>
        <v/>
      </c>
      <c r="FM13" s="149" t="str">
        <f>IF($B13=0,"",($O13/30)*'MF Rents'!FO13*'MF Rollover'!FL13)</f>
        <v/>
      </c>
      <c r="FN13" s="149" t="str">
        <f>IF($B13=0,"",($O13/30)*'MF Rents'!FP13*'MF Rollover'!FM13)</f>
        <v/>
      </c>
      <c r="FO13" s="149" t="str">
        <f>IF($B13=0,"",($O13/30)*'MF Rents'!FQ13*'MF Rollover'!FN13)</f>
        <v/>
      </c>
      <c r="FP13" s="149" t="str">
        <f>IF($B13=0,"",($O13/30)*'MF Rents'!FR13*'MF Rollover'!FO13)</f>
        <v/>
      </c>
      <c r="FQ13" s="149" t="str">
        <f>IF($B13=0,"",($O13/30)*'MF Rents'!FS13*'MF Rollover'!FP13)</f>
        <v/>
      </c>
      <c r="FR13" s="149" t="str">
        <f>IF($B13=0,"",($O13/30)*'MF Rents'!FT13*'MF Rollover'!FQ13)</f>
        <v/>
      </c>
      <c r="FS13" s="149" t="str">
        <f>IF($B13=0,"",($O13/30)*'MF Rents'!FU13*'MF Rollover'!FR13)</f>
        <v/>
      </c>
      <c r="FT13" s="149" t="str">
        <f>IF($B13=0,"",($O13/30)*'MF Rents'!FV13*'MF Rollover'!FS13)</f>
        <v/>
      </c>
      <c r="FU13" s="149" t="str">
        <f>IF($B13=0,"",($O13/30)*'MF Rents'!FW13*'MF Rollover'!FT13)</f>
        <v/>
      </c>
      <c r="FV13" s="149" t="str">
        <f>IF($B13=0,"",($O13/30)*'MF Rents'!FX13*'MF Rollover'!FU13)</f>
        <v/>
      </c>
      <c r="FW13" s="149" t="str">
        <f>IF($B13=0,"",($O13/30)*'MF Rents'!FY13*'MF Rollover'!FV13)</f>
        <v/>
      </c>
      <c r="FX13" s="149" t="str">
        <f>IF($B13=0,"",($O13/30)*'MF Rents'!FZ13*'MF Rollover'!FW13)</f>
        <v/>
      </c>
      <c r="FY13" s="149" t="str">
        <f>IF($B13=0,"",($O13/30)*'MF Rents'!GA13*'MF Rollover'!FX13)</f>
        <v/>
      </c>
      <c r="FZ13" s="149" t="str">
        <f>IF($B13=0,"",($O13/30)*'MF Rents'!GB13*'MF Rollover'!FY13)</f>
        <v/>
      </c>
      <c r="GA13" s="149" t="str">
        <f>IF($B13=0,"",($O13/30)*'MF Rents'!GC13*'MF Rollover'!FZ13)</f>
        <v/>
      </c>
      <c r="GB13" s="149" t="str">
        <f>IF($B13=0,"",($O13/30)*'MF Rents'!GD13*'MF Rollover'!GA13)</f>
        <v/>
      </c>
      <c r="GC13" s="149" t="str">
        <f>IF($B13=0,"",($O13/30)*'MF Rents'!GE13*'MF Rollover'!GB13)</f>
        <v/>
      </c>
      <c r="GD13" s="149" t="str">
        <f>IF($B13=0,"",($O13/30)*'MF Rents'!GF13*'MF Rollover'!GC13)</f>
        <v/>
      </c>
      <c r="GE13" s="149" t="str">
        <f>IF($B13=0,"",($O13/30)*'MF Rents'!GG13*'MF Rollover'!GD13)</f>
        <v/>
      </c>
      <c r="GF13" s="149" t="str">
        <f>IF($B13=0,"",($O13/30)*'MF Rents'!GH13*'MF Rollover'!GE13)</f>
        <v/>
      </c>
      <c r="GG13" s="149" t="str">
        <f>IF($B13=0,"",($O13/30)*'MF Rents'!GI13*'MF Rollover'!GF13)</f>
        <v/>
      </c>
      <c r="GH13" s="149" t="str">
        <f>IF($B13=0,"",($O13/30)*'MF Rents'!GJ13*'MF Rollover'!GG13)</f>
        <v/>
      </c>
      <c r="GI13" s="149" t="str">
        <f>IF($B13=0,"",($O13/30)*'MF Rents'!GK13*'MF Rollover'!GH13)</f>
        <v/>
      </c>
      <c r="GJ13" s="149" t="str">
        <f>IF($B13=0,"",($O13/30)*'MF Rents'!GL13*'MF Rollover'!GI13)</f>
        <v/>
      </c>
      <c r="GK13" s="149" t="str">
        <f>IF($B13=0,"",($O13/30)*'MF Rents'!GM13*'MF Rollover'!GJ13)</f>
        <v/>
      </c>
      <c r="GL13" s="149" t="str">
        <f>IF($B13=0,"",($O13/30)*'MF Rents'!GN13*'MF Rollover'!GK13)</f>
        <v/>
      </c>
      <c r="GM13" s="149" t="str">
        <f>IF($B13=0,"",($O13/30)*'MF Rents'!GO13*'MF Rollover'!GL13)</f>
        <v/>
      </c>
      <c r="GN13" s="149" t="str">
        <f>IF($B13=0,"",($O13/30)*'MF Rents'!GP13*'MF Rollover'!GM13)</f>
        <v/>
      </c>
      <c r="GO13" s="149" t="str">
        <f>IF($B13=0,"",($O13/30)*'MF Rents'!GQ13*'MF Rollover'!GN13)</f>
        <v/>
      </c>
      <c r="GP13" s="149" t="str">
        <f>IF($B13=0,"",($O13/30)*'MF Rents'!GR13*'MF Rollover'!GO13)</f>
        <v/>
      </c>
    </row>
    <row r="14" spans="2:198" x14ac:dyDescent="0.3">
      <c r="B14" s="184">
        <f>'MF Rent Roll'!B13</f>
        <v>0</v>
      </c>
      <c r="C14" s="171">
        <f>'MF Rent Roll'!C13</f>
        <v>0</v>
      </c>
      <c r="D14" s="172">
        <f>'MF Rent Roll'!D13</f>
        <v>0</v>
      </c>
      <c r="E14" s="172">
        <f>'MF Rent Roll'!E13</f>
        <v>0</v>
      </c>
      <c r="F14" s="173">
        <f>'MF Rent Roll'!F13</f>
        <v>0</v>
      </c>
      <c r="G14" s="174">
        <f>'MF Rent Roll'!G13</f>
        <v>0</v>
      </c>
      <c r="H14" s="176">
        <f>'MF Rent Roll'!J13</f>
        <v>0</v>
      </c>
      <c r="I14" s="174">
        <f>'MF Rent Roll'!K13</f>
        <v>0</v>
      </c>
      <c r="J14" s="177">
        <f>'MF Rent Roll'!L13</f>
        <v>0</v>
      </c>
      <c r="K14" s="178">
        <f>'MF Rent Roll'!M13</f>
        <v>0</v>
      </c>
      <c r="L14" s="174">
        <f>'MF Rent Roll'!N13</f>
        <v>0</v>
      </c>
      <c r="M14" s="179">
        <f>'MF Rent Roll'!O13</f>
        <v>0</v>
      </c>
      <c r="N14" s="180" t="str">
        <f>'MF Rent Roll'!P13</f>
        <v/>
      </c>
      <c r="O14" s="181" t="str">
        <f>'MF Rent Roll'!Q13</f>
        <v/>
      </c>
      <c r="P14" s="104" t="str">
        <f>'MF Rent Roll'!R13</f>
        <v/>
      </c>
      <c r="S14" s="149" t="str">
        <f>IF($B14=0,"",($O14/30)*'MF Rents'!U14*'MF Rollover'!R14)</f>
        <v/>
      </c>
      <c r="T14" s="149" t="str">
        <f>IF($B14=0,"",($O14/30)*'MF Rents'!V14*'MF Rollover'!S14)</f>
        <v/>
      </c>
      <c r="U14" s="149" t="str">
        <f>IF($B14=0,"",($O14/30)*'MF Rents'!W14*'MF Rollover'!T14)</f>
        <v/>
      </c>
      <c r="V14" s="149" t="str">
        <f>IF($B14=0,"",($O14/30)*'MF Rents'!X14*'MF Rollover'!U14)</f>
        <v/>
      </c>
      <c r="W14" s="149" t="str">
        <f>IF($B14=0,"",($O14/30)*'MF Rents'!Y14*'MF Rollover'!V14)</f>
        <v/>
      </c>
      <c r="X14" s="149" t="str">
        <f>IF($B14=0,"",($O14/30)*'MF Rents'!Z14*'MF Rollover'!W14)</f>
        <v/>
      </c>
      <c r="Y14" s="149" t="str">
        <f>IF($B14=0,"",($O14/30)*'MF Rents'!AA14*'MF Rollover'!X14)</f>
        <v/>
      </c>
      <c r="Z14" s="149" t="str">
        <f>IF($B14=0,"",($O14/30)*'MF Rents'!AB14*'MF Rollover'!Y14)</f>
        <v/>
      </c>
      <c r="AA14" s="149" t="str">
        <f>IF($B14=0,"",($O14/30)*'MF Rents'!AC14*'MF Rollover'!Z14)</f>
        <v/>
      </c>
      <c r="AB14" s="149" t="str">
        <f>IF($B14=0,"",($O14/30)*'MF Rents'!AD14*'MF Rollover'!AA14)</f>
        <v/>
      </c>
      <c r="AC14" s="149" t="str">
        <f>IF($B14=0,"",($O14/30)*'MF Rents'!AE14*'MF Rollover'!AB14)</f>
        <v/>
      </c>
      <c r="AD14" s="149" t="str">
        <f>IF($B14=0,"",($O14/30)*'MF Rents'!AF14*'MF Rollover'!AC14)</f>
        <v/>
      </c>
      <c r="AE14" s="149" t="str">
        <f>IF($B14=0,"",($O14/30)*'MF Rents'!AG14*'MF Rollover'!AD14)</f>
        <v/>
      </c>
      <c r="AF14" s="149" t="str">
        <f>IF($B14=0,"",($O14/30)*'MF Rents'!AH14*'MF Rollover'!AE14)</f>
        <v/>
      </c>
      <c r="AG14" s="149" t="str">
        <f>IF($B14=0,"",($O14/30)*'MF Rents'!AI14*'MF Rollover'!AF14)</f>
        <v/>
      </c>
      <c r="AH14" s="149" t="str">
        <f>IF($B14=0,"",($O14/30)*'MF Rents'!AJ14*'MF Rollover'!AG14)</f>
        <v/>
      </c>
      <c r="AI14" s="149" t="str">
        <f>IF($B14=0,"",($O14/30)*'MF Rents'!AK14*'MF Rollover'!AH14)</f>
        <v/>
      </c>
      <c r="AJ14" s="149" t="str">
        <f>IF($B14=0,"",($O14/30)*'MF Rents'!AL14*'MF Rollover'!AI14)</f>
        <v/>
      </c>
      <c r="AK14" s="149" t="str">
        <f>IF($B14=0,"",($O14/30)*'MF Rents'!AM14*'MF Rollover'!AJ14)</f>
        <v/>
      </c>
      <c r="AL14" s="149" t="str">
        <f>IF($B14=0,"",($O14/30)*'MF Rents'!AN14*'MF Rollover'!AK14)</f>
        <v/>
      </c>
      <c r="AM14" s="149" t="str">
        <f>IF($B14=0,"",($O14/30)*'MF Rents'!AO14*'MF Rollover'!AL14)</f>
        <v/>
      </c>
      <c r="AN14" s="149" t="str">
        <f>IF($B14=0,"",($O14/30)*'MF Rents'!AP14*'MF Rollover'!AM14)</f>
        <v/>
      </c>
      <c r="AO14" s="149" t="str">
        <f>IF($B14=0,"",($O14/30)*'MF Rents'!AQ14*'MF Rollover'!AN14)</f>
        <v/>
      </c>
      <c r="AP14" s="149" t="str">
        <f>IF($B14=0,"",($O14/30)*'MF Rents'!AR14*'MF Rollover'!AO14)</f>
        <v/>
      </c>
      <c r="AQ14" s="149" t="str">
        <f>IF($B14=0,"",($O14/30)*'MF Rents'!AS14*'MF Rollover'!AP14)</f>
        <v/>
      </c>
      <c r="AR14" s="149" t="str">
        <f>IF($B14=0,"",($O14/30)*'MF Rents'!AT14*'MF Rollover'!AQ14)</f>
        <v/>
      </c>
      <c r="AS14" s="149" t="str">
        <f>IF($B14=0,"",($O14/30)*'MF Rents'!AU14*'MF Rollover'!AR14)</f>
        <v/>
      </c>
      <c r="AT14" s="149" t="str">
        <f>IF($B14=0,"",($O14/30)*'MF Rents'!AV14*'MF Rollover'!AS14)</f>
        <v/>
      </c>
      <c r="AU14" s="149" t="str">
        <f>IF($B14=0,"",($O14/30)*'MF Rents'!AW14*'MF Rollover'!AT14)</f>
        <v/>
      </c>
      <c r="AV14" s="149" t="str">
        <f>IF($B14=0,"",($O14/30)*'MF Rents'!AX14*'MF Rollover'!AU14)</f>
        <v/>
      </c>
      <c r="AW14" s="149" t="str">
        <f>IF($B14=0,"",($O14/30)*'MF Rents'!AY14*'MF Rollover'!AV14)</f>
        <v/>
      </c>
      <c r="AX14" s="149" t="str">
        <f>IF($B14=0,"",($O14/30)*'MF Rents'!AZ14*'MF Rollover'!AW14)</f>
        <v/>
      </c>
      <c r="AY14" s="149" t="str">
        <f>IF($B14=0,"",($O14/30)*'MF Rents'!BA14*'MF Rollover'!AX14)</f>
        <v/>
      </c>
      <c r="AZ14" s="149" t="str">
        <f>IF($B14=0,"",($O14/30)*'MF Rents'!BB14*'MF Rollover'!AY14)</f>
        <v/>
      </c>
      <c r="BA14" s="149" t="str">
        <f>IF($B14=0,"",($O14/30)*'MF Rents'!BC14*'MF Rollover'!AZ14)</f>
        <v/>
      </c>
      <c r="BB14" s="149" t="str">
        <f>IF($B14=0,"",($O14/30)*'MF Rents'!BD14*'MF Rollover'!BA14)</f>
        <v/>
      </c>
      <c r="BC14" s="149" t="str">
        <f>IF($B14=0,"",($O14/30)*'MF Rents'!BE14*'MF Rollover'!BB14)</f>
        <v/>
      </c>
      <c r="BD14" s="149" t="str">
        <f>IF($B14=0,"",($O14/30)*'MF Rents'!BF14*'MF Rollover'!BC14)</f>
        <v/>
      </c>
      <c r="BE14" s="149" t="str">
        <f>IF($B14=0,"",($O14/30)*'MF Rents'!BG14*'MF Rollover'!BD14)</f>
        <v/>
      </c>
      <c r="BF14" s="149" t="str">
        <f>IF($B14=0,"",($O14/30)*'MF Rents'!BH14*'MF Rollover'!BE14)</f>
        <v/>
      </c>
      <c r="BG14" s="149" t="str">
        <f>IF($B14=0,"",($O14/30)*'MF Rents'!BI14*'MF Rollover'!BF14)</f>
        <v/>
      </c>
      <c r="BH14" s="149" t="str">
        <f>IF($B14=0,"",($O14/30)*'MF Rents'!BJ14*'MF Rollover'!BG14)</f>
        <v/>
      </c>
      <c r="BI14" s="149" t="str">
        <f>IF($B14=0,"",($O14/30)*'MF Rents'!BK14*'MF Rollover'!BH14)</f>
        <v/>
      </c>
      <c r="BJ14" s="149" t="str">
        <f>IF($B14=0,"",($O14/30)*'MF Rents'!BL14*'MF Rollover'!BI14)</f>
        <v/>
      </c>
      <c r="BK14" s="149" t="str">
        <f>IF($B14=0,"",($O14/30)*'MF Rents'!BM14*'MF Rollover'!BJ14)</f>
        <v/>
      </c>
      <c r="BL14" s="149" t="str">
        <f>IF($B14=0,"",($O14/30)*'MF Rents'!BN14*'MF Rollover'!BK14)</f>
        <v/>
      </c>
      <c r="BM14" s="149" t="str">
        <f>IF($B14=0,"",($O14/30)*'MF Rents'!BO14*'MF Rollover'!BL14)</f>
        <v/>
      </c>
      <c r="BN14" s="149" t="str">
        <f>IF($B14=0,"",($O14/30)*'MF Rents'!BP14*'MF Rollover'!BM14)</f>
        <v/>
      </c>
      <c r="BO14" s="149" t="str">
        <f>IF($B14=0,"",($O14/30)*'MF Rents'!BQ14*'MF Rollover'!BN14)</f>
        <v/>
      </c>
      <c r="BP14" s="149" t="str">
        <f>IF($B14=0,"",($O14/30)*'MF Rents'!BR14*'MF Rollover'!BO14)</f>
        <v/>
      </c>
      <c r="BQ14" s="149" t="str">
        <f>IF($B14=0,"",($O14/30)*'MF Rents'!BS14*'MF Rollover'!BP14)</f>
        <v/>
      </c>
      <c r="BR14" s="149" t="str">
        <f>IF($B14=0,"",($O14/30)*'MF Rents'!BT14*'MF Rollover'!BQ14)</f>
        <v/>
      </c>
      <c r="BS14" s="149" t="str">
        <f>IF($B14=0,"",($O14/30)*'MF Rents'!BU14*'MF Rollover'!BR14)</f>
        <v/>
      </c>
      <c r="BT14" s="149" t="str">
        <f>IF($B14=0,"",($O14/30)*'MF Rents'!BV14*'MF Rollover'!BS14)</f>
        <v/>
      </c>
      <c r="BU14" s="149" t="str">
        <f>IF($B14=0,"",($O14/30)*'MF Rents'!BW14*'MF Rollover'!BT14)</f>
        <v/>
      </c>
      <c r="BV14" s="149" t="str">
        <f>IF($B14=0,"",($O14/30)*'MF Rents'!BX14*'MF Rollover'!BU14)</f>
        <v/>
      </c>
      <c r="BW14" s="149" t="str">
        <f>IF($B14=0,"",($O14/30)*'MF Rents'!BY14*'MF Rollover'!BV14)</f>
        <v/>
      </c>
      <c r="BX14" s="149" t="str">
        <f>IF($B14=0,"",($O14/30)*'MF Rents'!BZ14*'MF Rollover'!BW14)</f>
        <v/>
      </c>
      <c r="BY14" s="149" t="str">
        <f>IF($B14=0,"",($O14/30)*'MF Rents'!CA14*'MF Rollover'!BX14)</f>
        <v/>
      </c>
      <c r="BZ14" s="149" t="str">
        <f>IF($B14=0,"",($O14/30)*'MF Rents'!CB14*'MF Rollover'!BY14)</f>
        <v/>
      </c>
      <c r="CA14" s="149" t="str">
        <f>IF($B14=0,"",($O14/30)*'MF Rents'!CC14*'MF Rollover'!BZ14)</f>
        <v/>
      </c>
      <c r="CB14" s="149" t="str">
        <f>IF($B14=0,"",($O14/30)*'MF Rents'!CD14*'MF Rollover'!CA14)</f>
        <v/>
      </c>
      <c r="CC14" s="149" t="str">
        <f>IF($B14=0,"",($O14/30)*'MF Rents'!CE14*'MF Rollover'!CB14)</f>
        <v/>
      </c>
      <c r="CD14" s="149" t="str">
        <f>IF($B14=0,"",($O14/30)*'MF Rents'!CF14*'MF Rollover'!CC14)</f>
        <v/>
      </c>
      <c r="CE14" s="149" t="str">
        <f>IF($B14=0,"",($O14/30)*'MF Rents'!CG14*'MF Rollover'!CD14)</f>
        <v/>
      </c>
      <c r="CF14" s="149" t="str">
        <f>IF($B14=0,"",($O14/30)*'MF Rents'!CH14*'MF Rollover'!CE14)</f>
        <v/>
      </c>
      <c r="CG14" s="149" t="str">
        <f>IF($B14=0,"",($O14/30)*'MF Rents'!CI14*'MF Rollover'!CF14)</f>
        <v/>
      </c>
      <c r="CH14" s="149" t="str">
        <f>IF($B14=0,"",($O14/30)*'MF Rents'!CJ14*'MF Rollover'!CG14)</f>
        <v/>
      </c>
      <c r="CI14" s="149" t="str">
        <f>IF($B14=0,"",($O14/30)*'MF Rents'!CK14*'MF Rollover'!CH14)</f>
        <v/>
      </c>
      <c r="CJ14" s="149" t="str">
        <f>IF($B14=0,"",($O14/30)*'MF Rents'!CL14*'MF Rollover'!CI14)</f>
        <v/>
      </c>
      <c r="CK14" s="149" t="str">
        <f>IF($B14=0,"",($O14/30)*'MF Rents'!CM14*'MF Rollover'!CJ14)</f>
        <v/>
      </c>
      <c r="CL14" s="149" t="str">
        <f>IF($B14=0,"",($O14/30)*'MF Rents'!CN14*'MF Rollover'!CK14)</f>
        <v/>
      </c>
      <c r="CM14" s="149" t="str">
        <f>IF($B14=0,"",($O14/30)*'MF Rents'!CO14*'MF Rollover'!CL14)</f>
        <v/>
      </c>
      <c r="CN14" s="149" t="str">
        <f>IF($B14=0,"",($O14/30)*'MF Rents'!CP14*'MF Rollover'!CM14)</f>
        <v/>
      </c>
      <c r="CO14" s="149" t="str">
        <f>IF($B14=0,"",($O14/30)*'MF Rents'!CQ14*'MF Rollover'!CN14)</f>
        <v/>
      </c>
      <c r="CP14" s="149" t="str">
        <f>IF($B14=0,"",($O14/30)*'MF Rents'!CR14*'MF Rollover'!CO14)</f>
        <v/>
      </c>
      <c r="CQ14" s="149" t="str">
        <f>IF($B14=0,"",($O14/30)*'MF Rents'!CS14*'MF Rollover'!CP14)</f>
        <v/>
      </c>
      <c r="CR14" s="149" t="str">
        <f>IF($B14=0,"",($O14/30)*'MF Rents'!CT14*'MF Rollover'!CQ14)</f>
        <v/>
      </c>
      <c r="CS14" s="149" t="str">
        <f>IF($B14=0,"",($O14/30)*'MF Rents'!CU14*'MF Rollover'!CR14)</f>
        <v/>
      </c>
      <c r="CT14" s="149" t="str">
        <f>IF($B14=0,"",($O14/30)*'MF Rents'!CV14*'MF Rollover'!CS14)</f>
        <v/>
      </c>
      <c r="CU14" s="149" t="str">
        <f>IF($B14=0,"",($O14/30)*'MF Rents'!CW14*'MF Rollover'!CT14)</f>
        <v/>
      </c>
      <c r="CV14" s="149" t="str">
        <f>IF($B14=0,"",($O14/30)*'MF Rents'!CX14*'MF Rollover'!CU14)</f>
        <v/>
      </c>
      <c r="CW14" s="149" t="str">
        <f>IF($B14=0,"",($O14/30)*'MF Rents'!CY14*'MF Rollover'!CV14)</f>
        <v/>
      </c>
      <c r="CX14" s="149" t="str">
        <f>IF($B14=0,"",($O14/30)*'MF Rents'!CZ14*'MF Rollover'!CW14)</f>
        <v/>
      </c>
      <c r="CY14" s="149" t="str">
        <f>IF($B14=0,"",($O14/30)*'MF Rents'!DA14*'MF Rollover'!CX14)</f>
        <v/>
      </c>
      <c r="CZ14" s="149" t="str">
        <f>IF($B14=0,"",($O14/30)*'MF Rents'!DB14*'MF Rollover'!CY14)</f>
        <v/>
      </c>
      <c r="DA14" s="149" t="str">
        <f>IF($B14=0,"",($O14/30)*'MF Rents'!DC14*'MF Rollover'!CZ14)</f>
        <v/>
      </c>
      <c r="DB14" s="149" t="str">
        <f>IF($B14=0,"",($O14/30)*'MF Rents'!DD14*'MF Rollover'!DA14)</f>
        <v/>
      </c>
      <c r="DC14" s="149" t="str">
        <f>IF($B14=0,"",($O14/30)*'MF Rents'!DE14*'MF Rollover'!DB14)</f>
        <v/>
      </c>
      <c r="DD14" s="149" t="str">
        <f>IF($B14=0,"",($O14/30)*'MF Rents'!DF14*'MF Rollover'!DC14)</f>
        <v/>
      </c>
      <c r="DE14" s="149" t="str">
        <f>IF($B14=0,"",($O14/30)*'MF Rents'!DG14*'MF Rollover'!DD14)</f>
        <v/>
      </c>
      <c r="DF14" s="149" t="str">
        <f>IF($B14=0,"",($O14/30)*'MF Rents'!DH14*'MF Rollover'!DE14)</f>
        <v/>
      </c>
      <c r="DG14" s="149" t="str">
        <f>IF($B14=0,"",($O14/30)*'MF Rents'!DI14*'MF Rollover'!DF14)</f>
        <v/>
      </c>
      <c r="DH14" s="149" t="str">
        <f>IF($B14=0,"",($O14/30)*'MF Rents'!DJ14*'MF Rollover'!DG14)</f>
        <v/>
      </c>
      <c r="DI14" s="149" t="str">
        <f>IF($B14=0,"",($O14/30)*'MF Rents'!DK14*'MF Rollover'!DH14)</f>
        <v/>
      </c>
      <c r="DJ14" s="149" t="str">
        <f>IF($B14=0,"",($O14/30)*'MF Rents'!DL14*'MF Rollover'!DI14)</f>
        <v/>
      </c>
      <c r="DK14" s="149" t="str">
        <f>IF($B14=0,"",($O14/30)*'MF Rents'!DM14*'MF Rollover'!DJ14)</f>
        <v/>
      </c>
      <c r="DL14" s="149" t="str">
        <f>IF($B14=0,"",($O14/30)*'MF Rents'!DN14*'MF Rollover'!DK14)</f>
        <v/>
      </c>
      <c r="DM14" s="149" t="str">
        <f>IF($B14=0,"",($O14/30)*'MF Rents'!DO14*'MF Rollover'!DL14)</f>
        <v/>
      </c>
      <c r="DN14" s="149" t="str">
        <f>IF($B14=0,"",($O14/30)*'MF Rents'!DP14*'MF Rollover'!DM14)</f>
        <v/>
      </c>
      <c r="DO14" s="149" t="str">
        <f>IF($B14=0,"",($O14/30)*'MF Rents'!DQ14*'MF Rollover'!DN14)</f>
        <v/>
      </c>
      <c r="DP14" s="149" t="str">
        <f>IF($B14=0,"",($O14/30)*'MF Rents'!DR14*'MF Rollover'!DO14)</f>
        <v/>
      </c>
      <c r="DQ14" s="149" t="str">
        <f>IF($B14=0,"",($O14/30)*'MF Rents'!DS14*'MF Rollover'!DP14)</f>
        <v/>
      </c>
      <c r="DR14" s="149" t="str">
        <f>IF($B14=0,"",($O14/30)*'MF Rents'!DT14*'MF Rollover'!DQ14)</f>
        <v/>
      </c>
      <c r="DS14" s="149" t="str">
        <f>IF($B14=0,"",($O14/30)*'MF Rents'!DU14*'MF Rollover'!DR14)</f>
        <v/>
      </c>
      <c r="DT14" s="149" t="str">
        <f>IF($B14=0,"",($O14/30)*'MF Rents'!DV14*'MF Rollover'!DS14)</f>
        <v/>
      </c>
      <c r="DU14" s="149" t="str">
        <f>IF($B14=0,"",($O14/30)*'MF Rents'!DW14*'MF Rollover'!DT14)</f>
        <v/>
      </c>
      <c r="DV14" s="149" t="str">
        <f>IF($B14=0,"",($O14/30)*'MF Rents'!DX14*'MF Rollover'!DU14)</f>
        <v/>
      </c>
      <c r="DW14" s="149" t="str">
        <f>IF($B14=0,"",($O14/30)*'MF Rents'!DY14*'MF Rollover'!DV14)</f>
        <v/>
      </c>
      <c r="DX14" s="149" t="str">
        <f>IF($B14=0,"",($O14/30)*'MF Rents'!DZ14*'MF Rollover'!DW14)</f>
        <v/>
      </c>
      <c r="DY14" s="149" t="str">
        <f>IF($B14=0,"",($O14/30)*'MF Rents'!EA14*'MF Rollover'!DX14)</f>
        <v/>
      </c>
      <c r="DZ14" s="149" t="str">
        <f>IF($B14=0,"",($O14/30)*'MF Rents'!EB14*'MF Rollover'!DY14)</f>
        <v/>
      </c>
      <c r="EA14" s="149" t="str">
        <f>IF($B14=0,"",($O14/30)*'MF Rents'!EC14*'MF Rollover'!DZ14)</f>
        <v/>
      </c>
      <c r="EB14" s="149" t="str">
        <f>IF($B14=0,"",($O14/30)*'MF Rents'!ED14*'MF Rollover'!EA14)</f>
        <v/>
      </c>
      <c r="EC14" s="149" t="str">
        <f>IF($B14=0,"",($O14/30)*'MF Rents'!EE14*'MF Rollover'!EB14)</f>
        <v/>
      </c>
      <c r="ED14" s="149" t="str">
        <f>IF($B14=0,"",($O14/30)*'MF Rents'!EF14*'MF Rollover'!EC14)</f>
        <v/>
      </c>
      <c r="EE14" s="149" t="str">
        <f>IF($B14=0,"",($O14/30)*'MF Rents'!EG14*'MF Rollover'!ED14)</f>
        <v/>
      </c>
      <c r="EF14" s="149" t="str">
        <f>IF($B14=0,"",($O14/30)*'MF Rents'!EH14*'MF Rollover'!EE14)</f>
        <v/>
      </c>
      <c r="EG14" s="149" t="str">
        <f>IF($B14=0,"",($O14/30)*'MF Rents'!EI14*'MF Rollover'!EF14)</f>
        <v/>
      </c>
      <c r="EH14" s="149" t="str">
        <f>IF($B14=0,"",($O14/30)*'MF Rents'!EJ14*'MF Rollover'!EG14)</f>
        <v/>
      </c>
      <c r="EI14" s="149" t="str">
        <f>IF($B14=0,"",($O14/30)*'MF Rents'!EK14*'MF Rollover'!EH14)</f>
        <v/>
      </c>
      <c r="EJ14" s="149" t="str">
        <f>IF($B14=0,"",($O14/30)*'MF Rents'!EL14*'MF Rollover'!EI14)</f>
        <v/>
      </c>
      <c r="EK14" s="149" t="str">
        <f>IF($B14=0,"",($O14/30)*'MF Rents'!EM14*'MF Rollover'!EJ14)</f>
        <v/>
      </c>
      <c r="EL14" s="149" t="str">
        <f>IF($B14=0,"",($O14/30)*'MF Rents'!EN14*'MF Rollover'!EK14)</f>
        <v/>
      </c>
      <c r="EM14" s="149" t="str">
        <f>IF($B14=0,"",($O14/30)*'MF Rents'!EO14*'MF Rollover'!EL14)</f>
        <v/>
      </c>
      <c r="EN14" s="149" t="str">
        <f>IF($B14=0,"",($O14/30)*'MF Rents'!EP14*'MF Rollover'!EM14)</f>
        <v/>
      </c>
      <c r="EO14" s="149" t="str">
        <f>IF($B14=0,"",($O14/30)*'MF Rents'!EQ14*'MF Rollover'!EN14)</f>
        <v/>
      </c>
      <c r="EP14" s="149" t="str">
        <f>IF($B14=0,"",($O14/30)*'MF Rents'!ER14*'MF Rollover'!EO14)</f>
        <v/>
      </c>
      <c r="EQ14" s="149" t="str">
        <f>IF($B14=0,"",($O14/30)*'MF Rents'!ES14*'MF Rollover'!EP14)</f>
        <v/>
      </c>
      <c r="ER14" s="149" t="str">
        <f>IF($B14=0,"",($O14/30)*'MF Rents'!ET14*'MF Rollover'!EQ14)</f>
        <v/>
      </c>
      <c r="ES14" s="149" t="str">
        <f>IF($B14=0,"",($O14/30)*'MF Rents'!EU14*'MF Rollover'!ER14)</f>
        <v/>
      </c>
      <c r="ET14" s="149" t="str">
        <f>IF($B14=0,"",($O14/30)*'MF Rents'!EV14*'MF Rollover'!ES14)</f>
        <v/>
      </c>
      <c r="EU14" s="149" t="str">
        <f>IF($B14=0,"",($O14/30)*'MF Rents'!EW14*'MF Rollover'!ET14)</f>
        <v/>
      </c>
      <c r="EV14" s="149" t="str">
        <f>IF($B14=0,"",($O14/30)*'MF Rents'!EX14*'MF Rollover'!EU14)</f>
        <v/>
      </c>
      <c r="EW14" s="149" t="str">
        <f>IF($B14=0,"",($O14/30)*'MF Rents'!EY14*'MF Rollover'!EV14)</f>
        <v/>
      </c>
      <c r="EX14" s="149" t="str">
        <f>IF($B14=0,"",($O14/30)*'MF Rents'!EZ14*'MF Rollover'!EW14)</f>
        <v/>
      </c>
      <c r="EY14" s="149" t="str">
        <f>IF($B14=0,"",($O14/30)*'MF Rents'!FA14*'MF Rollover'!EX14)</f>
        <v/>
      </c>
      <c r="EZ14" s="149" t="str">
        <f>IF($B14=0,"",($O14/30)*'MF Rents'!FB14*'MF Rollover'!EY14)</f>
        <v/>
      </c>
      <c r="FA14" s="149" t="str">
        <f>IF($B14=0,"",($O14/30)*'MF Rents'!FC14*'MF Rollover'!EZ14)</f>
        <v/>
      </c>
      <c r="FB14" s="149" t="str">
        <f>IF($B14=0,"",($O14/30)*'MF Rents'!FD14*'MF Rollover'!FA14)</f>
        <v/>
      </c>
      <c r="FC14" s="149" t="str">
        <f>IF($B14=0,"",($O14/30)*'MF Rents'!FE14*'MF Rollover'!FB14)</f>
        <v/>
      </c>
      <c r="FD14" s="149" t="str">
        <f>IF($B14=0,"",($O14/30)*'MF Rents'!FF14*'MF Rollover'!FC14)</f>
        <v/>
      </c>
      <c r="FE14" s="149" t="str">
        <f>IF($B14=0,"",($O14/30)*'MF Rents'!FG14*'MF Rollover'!FD14)</f>
        <v/>
      </c>
      <c r="FF14" s="149" t="str">
        <f>IF($B14=0,"",($O14/30)*'MF Rents'!FH14*'MF Rollover'!FE14)</f>
        <v/>
      </c>
      <c r="FG14" s="149" t="str">
        <f>IF($B14=0,"",($O14/30)*'MF Rents'!FI14*'MF Rollover'!FF14)</f>
        <v/>
      </c>
      <c r="FH14" s="149" t="str">
        <f>IF($B14=0,"",($O14/30)*'MF Rents'!FJ14*'MF Rollover'!FG14)</f>
        <v/>
      </c>
      <c r="FI14" s="149" t="str">
        <f>IF($B14=0,"",($O14/30)*'MF Rents'!FK14*'MF Rollover'!FH14)</f>
        <v/>
      </c>
      <c r="FJ14" s="149" t="str">
        <f>IF($B14=0,"",($O14/30)*'MF Rents'!FL14*'MF Rollover'!FI14)</f>
        <v/>
      </c>
      <c r="FK14" s="149" t="str">
        <f>IF($B14=0,"",($O14/30)*'MF Rents'!FM14*'MF Rollover'!FJ14)</f>
        <v/>
      </c>
      <c r="FL14" s="149" t="str">
        <f>IF($B14=0,"",($O14/30)*'MF Rents'!FN14*'MF Rollover'!FK14)</f>
        <v/>
      </c>
      <c r="FM14" s="149" t="str">
        <f>IF($B14=0,"",($O14/30)*'MF Rents'!FO14*'MF Rollover'!FL14)</f>
        <v/>
      </c>
      <c r="FN14" s="149" t="str">
        <f>IF($B14=0,"",($O14/30)*'MF Rents'!FP14*'MF Rollover'!FM14)</f>
        <v/>
      </c>
      <c r="FO14" s="149" t="str">
        <f>IF($B14=0,"",($O14/30)*'MF Rents'!FQ14*'MF Rollover'!FN14)</f>
        <v/>
      </c>
      <c r="FP14" s="149" t="str">
        <f>IF($B14=0,"",($O14/30)*'MF Rents'!FR14*'MF Rollover'!FO14)</f>
        <v/>
      </c>
      <c r="FQ14" s="149" t="str">
        <f>IF($B14=0,"",($O14/30)*'MF Rents'!FS14*'MF Rollover'!FP14)</f>
        <v/>
      </c>
      <c r="FR14" s="149" t="str">
        <f>IF($B14=0,"",($O14/30)*'MF Rents'!FT14*'MF Rollover'!FQ14)</f>
        <v/>
      </c>
      <c r="FS14" s="149" t="str">
        <f>IF($B14=0,"",($O14/30)*'MF Rents'!FU14*'MF Rollover'!FR14)</f>
        <v/>
      </c>
      <c r="FT14" s="149" t="str">
        <f>IF($B14=0,"",($O14/30)*'MF Rents'!FV14*'MF Rollover'!FS14)</f>
        <v/>
      </c>
      <c r="FU14" s="149" t="str">
        <f>IF($B14=0,"",($O14/30)*'MF Rents'!FW14*'MF Rollover'!FT14)</f>
        <v/>
      </c>
      <c r="FV14" s="149" t="str">
        <f>IF($B14=0,"",($O14/30)*'MF Rents'!FX14*'MF Rollover'!FU14)</f>
        <v/>
      </c>
      <c r="FW14" s="149" t="str">
        <f>IF($B14=0,"",($O14/30)*'MF Rents'!FY14*'MF Rollover'!FV14)</f>
        <v/>
      </c>
      <c r="FX14" s="149" t="str">
        <f>IF($B14=0,"",($O14/30)*'MF Rents'!FZ14*'MF Rollover'!FW14)</f>
        <v/>
      </c>
      <c r="FY14" s="149" t="str">
        <f>IF($B14=0,"",($O14/30)*'MF Rents'!GA14*'MF Rollover'!FX14)</f>
        <v/>
      </c>
      <c r="FZ14" s="149" t="str">
        <f>IF($B14=0,"",($O14/30)*'MF Rents'!GB14*'MF Rollover'!FY14)</f>
        <v/>
      </c>
      <c r="GA14" s="149" t="str">
        <f>IF($B14=0,"",($O14/30)*'MF Rents'!GC14*'MF Rollover'!FZ14)</f>
        <v/>
      </c>
      <c r="GB14" s="149" t="str">
        <f>IF($B14=0,"",($O14/30)*'MF Rents'!GD14*'MF Rollover'!GA14)</f>
        <v/>
      </c>
      <c r="GC14" s="149" t="str">
        <f>IF($B14=0,"",($O14/30)*'MF Rents'!GE14*'MF Rollover'!GB14)</f>
        <v/>
      </c>
      <c r="GD14" s="149" t="str">
        <f>IF($B14=0,"",($O14/30)*'MF Rents'!GF14*'MF Rollover'!GC14)</f>
        <v/>
      </c>
      <c r="GE14" s="149" t="str">
        <f>IF($B14=0,"",($O14/30)*'MF Rents'!GG14*'MF Rollover'!GD14)</f>
        <v/>
      </c>
      <c r="GF14" s="149" t="str">
        <f>IF($B14=0,"",($O14/30)*'MF Rents'!GH14*'MF Rollover'!GE14)</f>
        <v/>
      </c>
      <c r="GG14" s="149" t="str">
        <f>IF($B14=0,"",($O14/30)*'MF Rents'!GI14*'MF Rollover'!GF14)</f>
        <v/>
      </c>
      <c r="GH14" s="149" t="str">
        <f>IF($B14=0,"",($O14/30)*'MF Rents'!GJ14*'MF Rollover'!GG14)</f>
        <v/>
      </c>
      <c r="GI14" s="149" t="str">
        <f>IF($B14=0,"",($O14/30)*'MF Rents'!GK14*'MF Rollover'!GH14)</f>
        <v/>
      </c>
      <c r="GJ14" s="149" t="str">
        <f>IF($B14=0,"",($O14/30)*'MF Rents'!GL14*'MF Rollover'!GI14)</f>
        <v/>
      </c>
      <c r="GK14" s="149" t="str">
        <f>IF($B14=0,"",($O14/30)*'MF Rents'!GM14*'MF Rollover'!GJ14)</f>
        <v/>
      </c>
      <c r="GL14" s="149" t="str">
        <f>IF($B14=0,"",($O14/30)*'MF Rents'!GN14*'MF Rollover'!GK14)</f>
        <v/>
      </c>
      <c r="GM14" s="149" t="str">
        <f>IF($B14=0,"",($O14/30)*'MF Rents'!GO14*'MF Rollover'!GL14)</f>
        <v/>
      </c>
      <c r="GN14" s="149" t="str">
        <f>IF($B14=0,"",($O14/30)*'MF Rents'!GP14*'MF Rollover'!GM14)</f>
        <v/>
      </c>
      <c r="GO14" s="149" t="str">
        <f>IF($B14=0,"",($O14/30)*'MF Rents'!GQ14*'MF Rollover'!GN14)</f>
        <v/>
      </c>
      <c r="GP14" s="149" t="str">
        <f>IF($B14=0,"",($O14/30)*'MF Rents'!GR14*'MF Rollover'!GO14)</f>
        <v/>
      </c>
    </row>
    <row r="15" spans="2:198" x14ac:dyDescent="0.3">
      <c r="B15" s="184">
        <f>'MF Rent Roll'!B14</f>
        <v>0</v>
      </c>
      <c r="C15" s="171">
        <f>'MF Rent Roll'!C14</f>
        <v>0</v>
      </c>
      <c r="D15" s="172">
        <f>'MF Rent Roll'!D14</f>
        <v>0</v>
      </c>
      <c r="E15" s="172">
        <f>'MF Rent Roll'!E14</f>
        <v>0</v>
      </c>
      <c r="F15" s="173">
        <f>'MF Rent Roll'!F14</f>
        <v>0</v>
      </c>
      <c r="G15" s="174">
        <f>'MF Rent Roll'!G14</f>
        <v>0</v>
      </c>
      <c r="H15" s="176">
        <f>'MF Rent Roll'!J14</f>
        <v>0</v>
      </c>
      <c r="I15" s="174">
        <f>'MF Rent Roll'!K14</f>
        <v>0</v>
      </c>
      <c r="J15" s="177">
        <f>'MF Rent Roll'!L14</f>
        <v>0</v>
      </c>
      <c r="K15" s="178">
        <f>'MF Rent Roll'!M14</f>
        <v>0</v>
      </c>
      <c r="L15" s="174">
        <f>'MF Rent Roll'!N14</f>
        <v>0</v>
      </c>
      <c r="M15" s="179">
        <f>'MF Rent Roll'!O14</f>
        <v>0</v>
      </c>
      <c r="N15" s="180" t="str">
        <f>'MF Rent Roll'!P14</f>
        <v/>
      </c>
      <c r="O15" s="181" t="str">
        <f>'MF Rent Roll'!Q14</f>
        <v/>
      </c>
      <c r="P15" s="104" t="str">
        <f>'MF Rent Roll'!R14</f>
        <v/>
      </c>
      <c r="S15" s="149" t="str">
        <f>IF($B15=0,"",($O15/30)*'MF Rents'!U15*'MF Rollover'!R15)</f>
        <v/>
      </c>
      <c r="T15" s="149" t="str">
        <f>IF($B15=0,"",($O15/30)*'MF Rents'!V15*'MF Rollover'!S15)</f>
        <v/>
      </c>
      <c r="U15" s="149" t="str">
        <f>IF($B15=0,"",($O15/30)*'MF Rents'!W15*'MF Rollover'!T15)</f>
        <v/>
      </c>
      <c r="V15" s="149" t="str">
        <f>IF($B15=0,"",($O15/30)*'MF Rents'!X15*'MF Rollover'!U15)</f>
        <v/>
      </c>
      <c r="W15" s="149" t="str">
        <f>IF($B15=0,"",($O15/30)*'MF Rents'!Y15*'MF Rollover'!V15)</f>
        <v/>
      </c>
      <c r="X15" s="149" t="str">
        <f>IF($B15=0,"",($O15/30)*'MF Rents'!Z15*'MF Rollover'!W15)</f>
        <v/>
      </c>
      <c r="Y15" s="149" t="str">
        <f>IF($B15=0,"",($O15/30)*'MF Rents'!AA15*'MF Rollover'!X15)</f>
        <v/>
      </c>
      <c r="Z15" s="149" t="str">
        <f>IF($B15=0,"",($O15/30)*'MF Rents'!AB15*'MF Rollover'!Y15)</f>
        <v/>
      </c>
      <c r="AA15" s="149" t="str">
        <f>IF($B15=0,"",($O15/30)*'MF Rents'!AC15*'MF Rollover'!Z15)</f>
        <v/>
      </c>
      <c r="AB15" s="149" t="str">
        <f>IF($B15=0,"",($O15/30)*'MF Rents'!AD15*'MF Rollover'!AA15)</f>
        <v/>
      </c>
      <c r="AC15" s="149" t="str">
        <f>IF($B15=0,"",($O15/30)*'MF Rents'!AE15*'MF Rollover'!AB15)</f>
        <v/>
      </c>
      <c r="AD15" s="149" t="str">
        <f>IF($B15=0,"",($O15/30)*'MF Rents'!AF15*'MF Rollover'!AC15)</f>
        <v/>
      </c>
      <c r="AE15" s="149" t="str">
        <f>IF($B15=0,"",($O15/30)*'MF Rents'!AG15*'MF Rollover'!AD15)</f>
        <v/>
      </c>
      <c r="AF15" s="149" t="str">
        <f>IF($B15=0,"",($O15/30)*'MF Rents'!AH15*'MF Rollover'!AE15)</f>
        <v/>
      </c>
      <c r="AG15" s="149" t="str">
        <f>IF($B15=0,"",($O15/30)*'MF Rents'!AI15*'MF Rollover'!AF15)</f>
        <v/>
      </c>
      <c r="AH15" s="149" t="str">
        <f>IF($B15=0,"",($O15/30)*'MF Rents'!AJ15*'MF Rollover'!AG15)</f>
        <v/>
      </c>
      <c r="AI15" s="149" t="str">
        <f>IF($B15=0,"",($O15/30)*'MF Rents'!AK15*'MF Rollover'!AH15)</f>
        <v/>
      </c>
      <c r="AJ15" s="149" t="str">
        <f>IF($B15=0,"",($O15/30)*'MF Rents'!AL15*'MF Rollover'!AI15)</f>
        <v/>
      </c>
      <c r="AK15" s="149" t="str">
        <f>IF($B15=0,"",($O15/30)*'MF Rents'!AM15*'MF Rollover'!AJ15)</f>
        <v/>
      </c>
      <c r="AL15" s="149" t="str">
        <f>IF($B15=0,"",($O15/30)*'MF Rents'!AN15*'MF Rollover'!AK15)</f>
        <v/>
      </c>
      <c r="AM15" s="149" t="str">
        <f>IF($B15=0,"",($O15/30)*'MF Rents'!AO15*'MF Rollover'!AL15)</f>
        <v/>
      </c>
      <c r="AN15" s="149" t="str">
        <f>IF($B15=0,"",($O15/30)*'MF Rents'!AP15*'MF Rollover'!AM15)</f>
        <v/>
      </c>
      <c r="AO15" s="149" t="str">
        <f>IF($B15=0,"",($O15/30)*'MF Rents'!AQ15*'MF Rollover'!AN15)</f>
        <v/>
      </c>
      <c r="AP15" s="149" t="str">
        <f>IF($B15=0,"",($O15/30)*'MF Rents'!AR15*'MF Rollover'!AO15)</f>
        <v/>
      </c>
      <c r="AQ15" s="149" t="str">
        <f>IF($B15=0,"",($O15/30)*'MF Rents'!AS15*'MF Rollover'!AP15)</f>
        <v/>
      </c>
      <c r="AR15" s="149" t="str">
        <f>IF($B15=0,"",($O15/30)*'MF Rents'!AT15*'MF Rollover'!AQ15)</f>
        <v/>
      </c>
      <c r="AS15" s="149" t="str">
        <f>IF($B15=0,"",($O15/30)*'MF Rents'!AU15*'MF Rollover'!AR15)</f>
        <v/>
      </c>
      <c r="AT15" s="149" t="str">
        <f>IF($B15=0,"",($O15/30)*'MF Rents'!AV15*'MF Rollover'!AS15)</f>
        <v/>
      </c>
      <c r="AU15" s="149" t="str">
        <f>IF($B15=0,"",($O15/30)*'MF Rents'!AW15*'MF Rollover'!AT15)</f>
        <v/>
      </c>
      <c r="AV15" s="149" t="str">
        <f>IF($B15=0,"",($O15/30)*'MF Rents'!AX15*'MF Rollover'!AU15)</f>
        <v/>
      </c>
      <c r="AW15" s="149" t="str">
        <f>IF($B15=0,"",($O15/30)*'MF Rents'!AY15*'MF Rollover'!AV15)</f>
        <v/>
      </c>
      <c r="AX15" s="149" t="str">
        <f>IF($B15=0,"",($O15/30)*'MF Rents'!AZ15*'MF Rollover'!AW15)</f>
        <v/>
      </c>
      <c r="AY15" s="149" t="str">
        <f>IF($B15=0,"",($O15/30)*'MF Rents'!BA15*'MF Rollover'!AX15)</f>
        <v/>
      </c>
      <c r="AZ15" s="149" t="str">
        <f>IF($B15=0,"",($O15/30)*'MF Rents'!BB15*'MF Rollover'!AY15)</f>
        <v/>
      </c>
      <c r="BA15" s="149" t="str">
        <f>IF($B15=0,"",($O15/30)*'MF Rents'!BC15*'MF Rollover'!AZ15)</f>
        <v/>
      </c>
      <c r="BB15" s="149" t="str">
        <f>IF($B15=0,"",($O15/30)*'MF Rents'!BD15*'MF Rollover'!BA15)</f>
        <v/>
      </c>
      <c r="BC15" s="149" t="str">
        <f>IF($B15=0,"",($O15/30)*'MF Rents'!BE15*'MF Rollover'!BB15)</f>
        <v/>
      </c>
      <c r="BD15" s="149" t="str">
        <f>IF($B15=0,"",($O15/30)*'MF Rents'!BF15*'MF Rollover'!BC15)</f>
        <v/>
      </c>
      <c r="BE15" s="149" t="str">
        <f>IF($B15=0,"",($O15/30)*'MF Rents'!BG15*'MF Rollover'!BD15)</f>
        <v/>
      </c>
      <c r="BF15" s="149" t="str">
        <f>IF($B15=0,"",($O15/30)*'MF Rents'!BH15*'MF Rollover'!BE15)</f>
        <v/>
      </c>
      <c r="BG15" s="149" t="str">
        <f>IF($B15=0,"",($O15/30)*'MF Rents'!BI15*'MF Rollover'!BF15)</f>
        <v/>
      </c>
      <c r="BH15" s="149" t="str">
        <f>IF($B15=0,"",($O15/30)*'MF Rents'!BJ15*'MF Rollover'!BG15)</f>
        <v/>
      </c>
      <c r="BI15" s="149" t="str">
        <f>IF($B15=0,"",($O15/30)*'MF Rents'!BK15*'MF Rollover'!BH15)</f>
        <v/>
      </c>
      <c r="BJ15" s="149" t="str">
        <f>IF($B15=0,"",($O15/30)*'MF Rents'!BL15*'MF Rollover'!BI15)</f>
        <v/>
      </c>
      <c r="BK15" s="149" t="str">
        <f>IF($B15=0,"",($O15/30)*'MF Rents'!BM15*'MF Rollover'!BJ15)</f>
        <v/>
      </c>
      <c r="BL15" s="149" t="str">
        <f>IF($B15=0,"",($O15/30)*'MF Rents'!BN15*'MF Rollover'!BK15)</f>
        <v/>
      </c>
      <c r="BM15" s="149" t="str">
        <f>IF($B15=0,"",($O15/30)*'MF Rents'!BO15*'MF Rollover'!BL15)</f>
        <v/>
      </c>
      <c r="BN15" s="149" t="str">
        <f>IF($B15=0,"",($O15/30)*'MF Rents'!BP15*'MF Rollover'!BM15)</f>
        <v/>
      </c>
      <c r="BO15" s="149" t="str">
        <f>IF($B15=0,"",($O15/30)*'MF Rents'!BQ15*'MF Rollover'!BN15)</f>
        <v/>
      </c>
      <c r="BP15" s="149" t="str">
        <f>IF($B15=0,"",($O15/30)*'MF Rents'!BR15*'MF Rollover'!BO15)</f>
        <v/>
      </c>
      <c r="BQ15" s="149" t="str">
        <f>IF($B15=0,"",($O15/30)*'MF Rents'!BS15*'MF Rollover'!BP15)</f>
        <v/>
      </c>
      <c r="BR15" s="149" t="str">
        <f>IF($B15=0,"",($O15/30)*'MF Rents'!BT15*'MF Rollover'!BQ15)</f>
        <v/>
      </c>
      <c r="BS15" s="149" t="str">
        <f>IF($B15=0,"",($O15/30)*'MF Rents'!BU15*'MF Rollover'!BR15)</f>
        <v/>
      </c>
      <c r="BT15" s="149" t="str">
        <f>IF($B15=0,"",($O15/30)*'MF Rents'!BV15*'MF Rollover'!BS15)</f>
        <v/>
      </c>
      <c r="BU15" s="149" t="str">
        <f>IF($B15=0,"",($O15/30)*'MF Rents'!BW15*'MF Rollover'!BT15)</f>
        <v/>
      </c>
      <c r="BV15" s="149" t="str">
        <f>IF($B15=0,"",($O15/30)*'MF Rents'!BX15*'MF Rollover'!BU15)</f>
        <v/>
      </c>
      <c r="BW15" s="149" t="str">
        <f>IF($B15=0,"",($O15/30)*'MF Rents'!BY15*'MF Rollover'!BV15)</f>
        <v/>
      </c>
      <c r="BX15" s="149" t="str">
        <f>IF($B15=0,"",($O15/30)*'MF Rents'!BZ15*'MF Rollover'!BW15)</f>
        <v/>
      </c>
      <c r="BY15" s="149" t="str">
        <f>IF($B15=0,"",($O15/30)*'MF Rents'!CA15*'MF Rollover'!BX15)</f>
        <v/>
      </c>
      <c r="BZ15" s="149" t="str">
        <f>IF($B15=0,"",($O15/30)*'MF Rents'!CB15*'MF Rollover'!BY15)</f>
        <v/>
      </c>
      <c r="CA15" s="149" t="str">
        <f>IF($B15=0,"",($O15/30)*'MF Rents'!CC15*'MF Rollover'!BZ15)</f>
        <v/>
      </c>
      <c r="CB15" s="149" t="str">
        <f>IF($B15=0,"",($O15/30)*'MF Rents'!CD15*'MF Rollover'!CA15)</f>
        <v/>
      </c>
      <c r="CC15" s="149" t="str">
        <f>IF($B15=0,"",($O15/30)*'MF Rents'!CE15*'MF Rollover'!CB15)</f>
        <v/>
      </c>
      <c r="CD15" s="149" t="str">
        <f>IF($B15=0,"",($O15/30)*'MF Rents'!CF15*'MF Rollover'!CC15)</f>
        <v/>
      </c>
      <c r="CE15" s="149" t="str">
        <f>IF($B15=0,"",($O15/30)*'MF Rents'!CG15*'MF Rollover'!CD15)</f>
        <v/>
      </c>
      <c r="CF15" s="149" t="str">
        <f>IF($B15=0,"",($O15/30)*'MF Rents'!CH15*'MF Rollover'!CE15)</f>
        <v/>
      </c>
      <c r="CG15" s="149" t="str">
        <f>IF($B15=0,"",($O15/30)*'MF Rents'!CI15*'MF Rollover'!CF15)</f>
        <v/>
      </c>
      <c r="CH15" s="149" t="str">
        <f>IF($B15=0,"",($O15/30)*'MF Rents'!CJ15*'MF Rollover'!CG15)</f>
        <v/>
      </c>
      <c r="CI15" s="149" t="str">
        <f>IF($B15=0,"",($O15/30)*'MF Rents'!CK15*'MF Rollover'!CH15)</f>
        <v/>
      </c>
      <c r="CJ15" s="149" t="str">
        <f>IF($B15=0,"",($O15/30)*'MF Rents'!CL15*'MF Rollover'!CI15)</f>
        <v/>
      </c>
      <c r="CK15" s="149" t="str">
        <f>IF($B15=0,"",($O15/30)*'MF Rents'!CM15*'MF Rollover'!CJ15)</f>
        <v/>
      </c>
      <c r="CL15" s="149" t="str">
        <f>IF($B15=0,"",($O15/30)*'MF Rents'!CN15*'MF Rollover'!CK15)</f>
        <v/>
      </c>
      <c r="CM15" s="149" t="str">
        <f>IF($B15=0,"",($O15/30)*'MF Rents'!CO15*'MF Rollover'!CL15)</f>
        <v/>
      </c>
      <c r="CN15" s="149" t="str">
        <f>IF($B15=0,"",($O15/30)*'MF Rents'!CP15*'MF Rollover'!CM15)</f>
        <v/>
      </c>
      <c r="CO15" s="149" t="str">
        <f>IF($B15=0,"",($O15/30)*'MF Rents'!CQ15*'MF Rollover'!CN15)</f>
        <v/>
      </c>
      <c r="CP15" s="149" t="str">
        <f>IF($B15=0,"",($O15/30)*'MF Rents'!CR15*'MF Rollover'!CO15)</f>
        <v/>
      </c>
      <c r="CQ15" s="149" t="str">
        <f>IF($B15=0,"",($O15/30)*'MF Rents'!CS15*'MF Rollover'!CP15)</f>
        <v/>
      </c>
      <c r="CR15" s="149" t="str">
        <f>IF($B15=0,"",($O15/30)*'MF Rents'!CT15*'MF Rollover'!CQ15)</f>
        <v/>
      </c>
      <c r="CS15" s="149" t="str">
        <f>IF($B15=0,"",($O15/30)*'MF Rents'!CU15*'MF Rollover'!CR15)</f>
        <v/>
      </c>
      <c r="CT15" s="149" t="str">
        <f>IF($B15=0,"",($O15/30)*'MF Rents'!CV15*'MF Rollover'!CS15)</f>
        <v/>
      </c>
      <c r="CU15" s="149" t="str">
        <f>IF($B15=0,"",($O15/30)*'MF Rents'!CW15*'MF Rollover'!CT15)</f>
        <v/>
      </c>
      <c r="CV15" s="149" t="str">
        <f>IF($B15=0,"",($O15/30)*'MF Rents'!CX15*'MF Rollover'!CU15)</f>
        <v/>
      </c>
      <c r="CW15" s="149" t="str">
        <f>IF($B15=0,"",($O15/30)*'MF Rents'!CY15*'MF Rollover'!CV15)</f>
        <v/>
      </c>
      <c r="CX15" s="149" t="str">
        <f>IF($B15=0,"",($O15/30)*'MF Rents'!CZ15*'MF Rollover'!CW15)</f>
        <v/>
      </c>
      <c r="CY15" s="149" t="str">
        <f>IF($B15=0,"",($O15/30)*'MF Rents'!DA15*'MF Rollover'!CX15)</f>
        <v/>
      </c>
      <c r="CZ15" s="149" t="str">
        <f>IF($B15=0,"",($O15/30)*'MF Rents'!DB15*'MF Rollover'!CY15)</f>
        <v/>
      </c>
      <c r="DA15" s="149" t="str">
        <f>IF($B15=0,"",($O15/30)*'MF Rents'!DC15*'MF Rollover'!CZ15)</f>
        <v/>
      </c>
      <c r="DB15" s="149" t="str">
        <f>IF($B15=0,"",($O15/30)*'MF Rents'!DD15*'MF Rollover'!DA15)</f>
        <v/>
      </c>
      <c r="DC15" s="149" t="str">
        <f>IF($B15=0,"",($O15/30)*'MF Rents'!DE15*'MF Rollover'!DB15)</f>
        <v/>
      </c>
      <c r="DD15" s="149" t="str">
        <f>IF($B15=0,"",($O15/30)*'MF Rents'!DF15*'MF Rollover'!DC15)</f>
        <v/>
      </c>
      <c r="DE15" s="149" t="str">
        <f>IF($B15=0,"",($O15/30)*'MF Rents'!DG15*'MF Rollover'!DD15)</f>
        <v/>
      </c>
      <c r="DF15" s="149" t="str">
        <f>IF($B15=0,"",($O15/30)*'MF Rents'!DH15*'MF Rollover'!DE15)</f>
        <v/>
      </c>
      <c r="DG15" s="149" t="str">
        <f>IF($B15=0,"",($O15/30)*'MF Rents'!DI15*'MF Rollover'!DF15)</f>
        <v/>
      </c>
      <c r="DH15" s="149" t="str">
        <f>IF($B15=0,"",($O15/30)*'MF Rents'!DJ15*'MF Rollover'!DG15)</f>
        <v/>
      </c>
      <c r="DI15" s="149" t="str">
        <f>IF($B15=0,"",($O15/30)*'MF Rents'!DK15*'MF Rollover'!DH15)</f>
        <v/>
      </c>
      <c r="DJ15" s="149" t="str">
        <f>IF($B15=0,"",($O15/30)*'MF Rents'!DL15*'MF Rollover'!DI15)</f>
        <v/>
      </c>
      <c r="DK15" s="149" t="str">
        <f>IF($B15=0,"",($O15/30)*'MF Rents'!DM15*'MF Rollover'!DJ15)</f>
        <v/>
      </c>
      <c r="DL15" s="149" t="str">
        <f>IF($B15=0,"",($O15/30)*'MF Rents'!DN15*'MF Rollover'!DK15)</f>
        <v/>
      </c>
      <c r="DM15" s="149" t="str">
        <f>IF($B15=0,"",($O15/30)*'MF Rents'!DO15*'MF Rollover'!DL15)</f>
        <v/>
      </c>
      <c r="DN15" s="149" t="str">
        <f>IF($B15=0,"",($O15/30)*'MF Rents'!DP15*'MF Rollover'!DM15)</f>
        <v/>
      </c>
      <c r="DO15" s="149" t="str">
        <f>IF($B15=0,"",($O15/30)*'MF Rents'!DQ15*'MF Rollover'!DN15)</f>
        <v/>
      </c>
      <c r="DP15" s="149" t="str">
        <f>IF($B15=0,"",($O15/30)*'MF Rents'!DR15*'MF Rollover'!DO15)</f>
        <v/>
      </c>
      <c r="DQ15" s="149" t="str">
        <f>IF($B15=0,"",($O15/30)*'MF Rents'!DS15*'MF Rollover'!DP15)</f>
        <v/>
      </c>
      <c r="DR15" s="149" t="str">
        <f>IF($B15=0,"",($O15/30)*'MF Rents'!DT15*'MF Rollover'!DQ15)</f>
        <v/>
      </c>
      <c r="DS15" s="149" t="str">
        <f>IF($B15=0,"",($O15/30)*'MF Rents'!DU15*'MF Rollover'!DR15)</f>
        <v/>
      </c>
      <c r="DT15" s="149" t="str">
        <f>IF($B15=0,"",($O15/30)*'MF Rents'!DV15*'MF Rollover'!DS15)</f>
        <v/>
      </c>
      <c r="DU15" s="149" t="str">
        <f>IF($B15=0,"",($O15/30)*'MF Rents'!DW15*'MF Rollover'!DT15)</f>
        <v/>
      </c>
      <c r="DV15" s="149" t="str">
        <f>IF($B15=0,"",($O15/30)*'MF Rents'!DX15*'MF Rollover'!DU15)</f>
        <v/>
      </c>
      <c r="DW15" s="149" t="str">
        <f>IF($B15=0,"",($O15/30)*'MF Rents'!DY15*'MF Rollover'!DV15)</f>
        <v/>
      </c>
      <c r="DX15" s="149" t="str">
        <f>IF($B15=0,"",($O15/30)*'MF Rents'!DZ15*'MF Rollover'!DW15)</f>
        <v/>
      </c>
      <c r="DY15" s="149" t="str">
        <f>IF($B15=0,"",($O15/30)*'MF Rents'!EA15*'MF Rollover'!DX15)</f>
        <v/>
      </c>
      <c r="DZ15" s="149" t="str">
        <f>IF($B15=0,"",($O15/30)*'MF Rents'!EB15*'MF Rollover'!DY15)</f>
        <v/>
      </c>
      <c r="EA15" s="149" t="str">
        <f>IF($B15=0,"",($O15/30)*'MF Rents'!EC15*'MF Rollover'!DZ15)</f>
        <v/>
      </c>
      <c r="EB15" s="149" t="str">
        <f>IF($B15=0,"",($O15/30)*'MF Rents'!ED15*'MF Rollover'!EA15)</f>
        <v/>
      </c>
      <c r="EC15" s="149" t="str">
        <f>IF($B15=0,"",($O15/30)*'MF Rents'!EE15*'MF Rollover'!EB15)</f>
        <v/>
      </c>
      <c r="ED15" s="149" t="str">
        <f>IF($B15=0,"",($O15/30)*'MF Rents'!EF15*'MF Rollover'!EC15)</f>
        <v/>
      </c>
      <c r="EE15" s="149" t="str">
        <f>IF($B15=0,"",($O15/30)*'MF Rents'!EG15*'MF Rollover'!ED15)</f>
        <v/>
      </c>
      <c r="EF15" s="149" t="str">
        <f>IF($B15=0,"",($O15/30)*'MF Rents'!EH15*'MF Rollover'!EE15)</f>
        <v/>
      </c>
      <c r="EG15" s="149" t="str">
        <f>IF($B15=0,"",($O15/30)*'MF Rents'!EI15*'MF Rollover'!EF15)</f>
        <v/>
      </c>
      <c r="EH15" s="149" t="str">
        <f>IF($B15=0,"",($O15/30)*'MF Rents'!EJ15*'MF Rollover'!EG15)</f>
        <v/>
      </c>
      <c r="EI15" s="149" t="str">
        <f>IF($B15=0,"",($O15/30)*'MF Rents'!EK15*'MF Rollover'!EH15)</f>
        <v/>
      </c>
      <c r="EJ15" s="149" t="str">
        <f>IF($B15=0,"",($O15/30)*'MF Rents'!EL15*'MF Rollover'!EI15)</f>
        <v/>
      </c>
      <c r="EK15" s="149" t="str">
        <f>IF($B15=0,"",($O15/30)*'MF Rents'!EM15*'MF Rollover'!EJ15)</f>
        <v/>
      </c>
      <c r="EL15" s="149" t="str">
        <f>IF($B15=0,"",($O15/30)*'MF Rents'!EN15*'MF Rollover'!EK15)</f>
        <v/>
      </c>
      <c r="EM15" s="149" t="str">
        <f>IF($B15=0,"",($O15/30)*'MF Rents'!EO15*'MF Rollover'!EL15)</f>
        <v/>
      </c>
      <c r="EN15" s="149" t="str">
        <f>IF($B15=0,"",($O15/30)*'MF Rents'!EP15*'MF Rollover'!EM15)</f>
        <v/>
      </c>
      <c r="EO15" s="149" t="str">
        <f>IF($B15=0,"",($O15/30)*'MF Rents'!EQ15*'MF Rollover'!EN15)</f>
        <v/>
      </c>
      <c r="EP15" s="149" t="str">
        <f>IF($B15=0,"",($O15/30)*'MF Rents'!ER15*'MF Rollover'!EO15)</f>
        <v/>
      </c>
      <c r="EQ15" s="149" t="str">
        <f>IF($B15=0,"",($O15/30)*'MF Rents'!ES15*'MF Rollover'!EP15)</f>
        <v/>
      </c>
      <c r="ER15" s="149" t="str">
        <f>IF($B15=0,"",($O15/30)*'MF Rents'!ET15*'MF Rollover'!EQ15)</f>
        <v/>
      </c>
      <c r="ES15" s="149" t="str">
        <f>IF($B15=0,"",($O15/30)*'MF Rents'!EU15*'MF Rollover'!ER15)</f>
        <v/>
      </c>
      <c r="ET15" s="149" t="str">
        <f>IF($B15=0,"",($O15/30)*'MF Rents'!EV15*'MF Rollover'!ES15)</f>
        <v/>
      </c>
      <c r="EU15" s="149" t="str">
        <f>IF($B15=0,"",($O15/30)*'MF Rents'!EW15*'MF Rollover'!ET15)</f>
        <v/>
      </c>
      <c r="EV15" s="149" t="str">
        <f>IF($B15=0,"",($O15/30)*'MF Rents'!EX15*'MF Rollover'!EU15)</f>
        <v/>
      </c>
      <c r="EW15" s="149" t="str">
        <f>IF($B15=0,"",($O15/30)*'MF Rents'!EY15*'MF Rollover'!EV15)</f>
        <v/>
      </c>
      <c r="EX15" s="149" t="str">
        <f>IF($B15=0,"",($O15/30)*'MF Rents'!EZ15*'MF Rollover'!EW15)</f>
        <v/>
      </c>
      <c r="EY15" s="149" t="str">
        <f>IF($B15=0,"",($O15/30)*'MF Rents'!FA15*'MF Rollover'!EX15)</f>
        <v/>
      </c>
      <c r="EZ15" s="149" t="str">
        <f>IF($B15=0,"",($O15/30)*'MF Rents'!FB15*'MF Rollover'!EY15)</f>
        <v/>
      </c>
      <c r="FA15" s="149" t="str">
        <f>IF($B15=0,"",($O15/30)*'MF Rents'!FC15*'MF Rollover'!EZ15)</f>
        <v/>
      </c>
      <c r="FB15" s="149" t="str">
        <f>IF($B15=0,"",($O15/30)*'MF Rents'!FD15*'MF Rollover'!FA15)</f>
        <v/>
      </c>
      <c r="FC15" s="149" t="str">
        <f>IF($B15=0,"",($O15/30)*'MF Rents'!FE15*'MF Rollover'!FB15)</f>
        <v/>
      </c>
      <c r="FD15" s="149" t="str">
        <f>IF($B15=0,"",($O15/30)*'MF Rents'!FF15*'MF Rollover'!FC15)</f>
        <v/>
      </c>
      <c r="FE15" s="149" t="str">
        <f>IF($B15=0,"",($O15/30)*'MF Rents'!FG15*'MF Rollover'!FD15)</f>
        <v/>
      </c>
      <c r="FF15" s="149" t="str">
        <f>IF($B15=0,"",($O15/30)*'MF Rents'!FH15*'MF Rollover'!FE15)</f>
        <v/>
      </c>
      <c r="FG15" s="149" t="str">
        <f>IF($B15=0,"",($O15/30)*'MF Rents'!FI15*'MF Rollover'!FF15)</f>
        <v/>
      </c>
      <c r="FH15" s="149" t="str">
        <f>IF($B15=0,"",($O15/30)*'MF Rents'!FJ15*'MF Rollover'!FG15)</f>
        <v/>
      </c>
      <c r="FI15" s="149" t="str">
        <f>IF($B15=0,"",($O15/30)*'MF Rents'!FK15*'MF Rollover'!FH15)</f>
        <v/>
      </c>
      <c r="FJ15" s="149" t="str">
        <f>IF($B15=0,"",($O15/30)*'MF Rents'!FL15*'MF Rollover'!FI15)</f>
        <v/>
      </c>
      <c r="FK15" s="149" t="str">
        <f>IF($B15=0,"",($O15/30)*'MF Rents'!FM15*'MF Rollover'!FJ15)</f>
        <v/>
      </c>
      <c r="FL15" s="149" t="str">
        <f>IF($B15=0,"",($O15/30)*'MF Rents'!FN15*'MF Rollover'!FK15)</f>
        <v/>
      </c>
      <c r="FM15" s="149" t="str">
        <f>IF($B15=0,"",($O15/30)*'MF Rents'!FO15*'MF Rollover'!FL15)</f>
        <v/>
      </c>
      <c r="FN15" s="149" t="str">
        <f>IF($B15=0,"",($O15/30)*'MF Rents'!FP15*'MF Rollover'!FM15)</f>
        <v/>
      </c>
      <c r="FO15" s="149" t="str">
        <f>IF($B15=0,"",($O15/30)*'MF Rents'!FQ15*'MF Rollover'!FN15)</f>
        <v/>
      </c>
      <c r="FP15" s="149" t="str">
        <f>IF($B15=0,"",($O15/30)*'MF Rents'!FR15*'MF Rollover'!FO15)</f>
        <v/>
      </c>
      <c r="FQ15" s="149" t="str">
        <f>IF($B15=0,"",($O15/30)*'MF Rents'!FS15*'MF Rollover'!FP15)</f>
        <v/>
      </c>
      <c r="FR15" s="149" t="str">
        <f>IF($B15=0,"",($O15/30)*'MF Rents'!FT15*'MF Rollover'!FQ15)</f>
        <v/>
      </c>
      <c r="FS15" s="149" t="str">
        <f>IF($B15=0,"",($O15/30)*'MF Rents'!FU15*'MF Rollover'!FR15)</f>
        <v/>
      </c>
      <c r="FT15" s="149" t="str">
        <f>IF($B15=0,"",($O15/30)*'MF Rents'!FV15*'MF Rollover'!FS15)</f>
        <v/>
      </c>
      <c r="FU15" s="149" t="str">
        <f>IF($B15=0,"",($O15/30)*'MF Rents'!FW15*'MF Rollover'!FT15)</f>
        <v/>
      </c>
      <c r="FV15" s="149" t="str">
        <f>IF($B15=0,"",($O15/30)*'MF Rents'!FX15*'MF Rollover'!FU15)</f>
        <v/>
      </c>
      <c r="FW15" s="149" t="str">
        <f>IF($B15=0,"",($O15/30)*'MF Rents'!FY15*'MF Rollover'!FV15)</f>
        <v/>
      </c>
      <c r="FX15" s="149" t="str">
        <f>IF($B15=0,"",($O15/30)*'MF Rents'!FZ15*'MF Rollover'!FW15)</f>
        <v/>
      </c>
      <c r="FY15" s="149" t="str">
        <f>IF($B15=0,"",($O15/30)*'MF Rents'!GA15*'MF Rollover'!FX15)</f>
        <v/>
      </c>
      <c r="FZ15" s="149" t="str">
        <f>IF($B15=0,"",($O15/30)*'MF Rents'!GB15*'MF Rollover'!FY15)</f>
        <v/>
      </c>
      <c r="GA15" s="149" t="str">
        <f>IF($B15=0,"",($O15/30)*'MF Rents'!GC15*'MF Rollover'!FZ15)</f>
        <v/>
      </c>
      <c r="GB15" s="149" t="str">
        <f>IF($B15=0,"",($O15/30)*'MF Rents'!GD15*'MF Rollover'!GA15)</f>
        <v/>
      </c>
      <c r="GC15" s="149" t="str">
        <f>IF($B15=0,"",($O15/30)*'MF Rents'!GE15*'MF Rollover'!GB15)</f>
        <v/>
      </c>
      <c r="GD15" s="149" t="str">
        <f>IF($B15=0,"",($O15/30)*'MF Rents'!GF15*'MF Rollover'!GC15)</f>
        <v/>
      </c>
      <c r="GE15" s="149" t="str">
        <f>IF($B15=0,"",($O15/30)*'MF Rents'!GG15*'MF Rollover'!GD15)</f>
        <v/>
      </c>
      <c r="GF15" s="149" t="str">
        <f>IF($B15=0,"",($O15/30)*'MF Rents'!GH15*'MF Rollover'!GE15)</f>
        <v/>
      </c>
      <c r="GG15" s="149" t="str">
        <f>IF($B15=0,"",($O15/30)*'MF Rents'!GI15*'MF Rollover'!GF15)</f>
        <v/>
      </c>
      <c r="GH15" s="149" t="str">
        <f>IF($B15=0,"",($O15/30)*'MF Rents'!GJ15*'MF Rollover'!GG15)</f>
        <v/>
      </c>
      <c r="GI15" s="149" t="str">
        <f>IF($B15=0,"",($O15/30)*'MF Rents'!GK15*'MF Rollover'!GH15)</f>
        <v/>
      </c>
      <c r="GJ15" s="149" t="str">
        <f>IF($B15=0,"",($O15/30)*'MF Rents'!GL15*'MF Rollover'!GI15)</f>
        <v/>
      </c>
      <c r="GK15" s="149" t="str">
        <f>IF($B15=0,"",($O15/30)*'MF Rents'!GM15*'MF Rollover'!GJ15)</f>
        <v/>
      </c>
      <c r="GL15" s="149" t="str">
        <f>IF($B15=0,"",($O15/30)*'MF Rents'!GN15*'MF Rollover'!GK15)</f>
        <v/>
      </c>
      <c r="GM15" s="149" t="str">
        <f>IF($B15=0,"",($O15/30)*'MF Rents'!GO15*'MF Rollover'!GL15)</f>
        <v/>
      </c>
      <c r="GN15" s="149" t="str">
        <f>IF($B15=0,"",($O15/30)*'MF Rents'!GP15*'MF Rollover'!GM15)</f>
        <v/>
      </c>
      <c r="GO15" s="149" t="str">
        <f>IF($B15=0,"",($O15/30)*'MF Rents'!GQ15*'MF Rollover'!GN15)</f>
        <v/>
      </c>
      <c r="GP15" s="149" t="str">
        <f>IF($B15=0,"",($O15/30)*'MF Rents'!GR15*'MF Rollover'!GO15)</f>
        <v/>
      </c>
    </row>
    <row r="16" spans="2:198" x14ac:dyDescent="0.3">
      <c r="B16" s="184">
        <f>'MF Rent Roll'!B15</f>
        <v>0</v>
      </c>
      <c r="C16" s="171">
        <f>'MF Rent Roll'!C15</f>
        <v>0</v>
      </c>
      <c r="D16" s="172">
        <f>'MF Rent Roll'!D15</f>
        <v>0</v>
      </c>
      <c r="E16" s="172">
        <f>'MF Rent Roll'!E15</f>
        <v>0</v>
      </c>
      <c r="F16" s="173">
        <f>'MF Rent Roll'!F15</f>
        <v>0</v>
      </c>
      <c r="G16" s="174">
        <f>'MF Rent Roll'!G15</f>
        <v>0</v>
      </c>
      <c r="H16" s="176">
        <f>'MF Rent Roll'!J15</f>
        <v>0</v>
      </c>
      <c r="I16" s="174">
        <f>'MF Rent Roll'!K15</f>
        <v>0</v>
      </c>
      <c r="J16" s="177">
        <f>'MF Rent Roll'!L15</f>
        <v>0</v>
      </c>
      <c r="K16" s="178">
        <f>'MF Rent Roll'!M15</f>
        <v>0</v>
      </c>
      <c r="L16" s="174">
        <f>'MF Rent Roll'!N15</f>
        <v>0</v>
      </c>
      <c r="M16" s="179">
        <f>'MF Rent Roll'!O15</f>
        <v>0</v>
      </c>
      <c r="N16" s="180" t="str">
        <f>'MF Rent Roll'!P15</f>
        <v/>
      </c>
      <c r="O16" s="181" t="str">
        <f>'MF Rent Roll'!Q15</f>
        <v/>
      </c>
      <c r="P16" s="104" t="str">
        <f>'MF Rent Roll'!R15</f>
        <v/>
      </c>
      <c r="S16" s="149" t="str">
        <f>IF($B16=0,"",($O16/30)*'MF Rents'!U16*'MF Rollover'!R16)</f>
        <v/>
      </c>
      <c r="T16" s="149" t="str">
        <f>IF($B16=0,"",($O16/30)*'MF Rents'!V16*'MF Rollover'!S16)</f>
        <v/>
      </c>
      <c r="U16" s="149" t="str">
        <f>IF($B16=0,"",($O16/30)*'MF Rents'!W16*'MF Rollover'!T16)</f>
        <v/>
      </c>
      <c r="V16" s="149" t="str">
        <f>IF($B16=0,"",($O16/30)*'MF Rents'!X16*'MF Rollover'!U16)</f>
        <v/>
      </c>
      <c r="W16" s="149" t="str">
        <f>IF($B16=0,"",($O16/30)*'MF Rents'!Y16*'MF Rollover'!V16)</f>
        <v/>
      </c>
      <c r="X16" s="149" t="str">
        <f>IF($B16=0,"",($O16/30)*'MF Rents'!Z16*'MF Rollover'!W16)</f>
        <v/>
      </c>
      <c r="Y16" s="149" t="str">
        <f>IF($B16=0,"",($O16/30)*'MF Rents'!AA16*'MF Rollover'!X16)</f>
        <v/>
      </c>
      <c r="Z16" s="149" t="str">
        <f>IF($B16=0,"",($O16/30)*'MF Rents'!AB16*'MF Rollover'!Y16)</f>
        <v/>
      </c>
      <c r="AA16" s="149" t="str">
        <f>IF($B16=0,"",($O16/30)*'MF Rents'!AC16*'MF Rollover'!Z16)</f>
        <v/>
      </c>
      <c r="AB16" s="149" t="str">
        <f>IF($B16=0,"",($O16/30)*'MF Rents'!AD16*'MF Rollover'!AA16)</f>
        <v/>
      </c>
      <c r="AC16" s="149" t="str">
        <f>IF($B16=0,"",($O16/30)*'MF Rents'!AE16*'MF Rollover'!AB16)</f>
        <v/>
      </c>
      <c r="AD16" s="149" t="str">
        <f>IF($B16=0,"",($O16/30)*'MF Rents'!AF16*'MF Rollover'!AC16)</f>
        <v/>
      </c>
      <c r="AE16" s="149" t="str">
        <f>IF($B16=0,"",($O16/30)*'MF Rents'!AG16*'MF Rollover'!AD16)</f>
        <v/>
      </c>
      <c r="AF16" s="149" t="str">
        <f>IF($B16=0,"",($O16/30)*'MF Rents'!AH16*'MF Rollover'!AE16)</f>
        <v/>
      </c>
      <c r="AG16" s="149" t="str">
        <f>IF($B16=0,"",($O16/30)*'MF Rents'!AI16*'MF Rollover'!AF16)</f>
        <v/>
      </c>
      <c r="AH16" s="149" t="str">
        <f>IF($B16=0,"",($O16/30)*'MF Rents'!AJ16*'MF Rollover'!AG16)</f>
        <v/>
      </c>
      <c r="AI16" s="149" t="str">
        <f>IF($B16=0,"",($O16/30)*'MF Rents'!AK16*'MF Rollover'!AH16)</f>
        <v/>
      </c>
      <c r="AJ16" s="149" t="str">
        <f>IF($B16=0,"",($O16/30)*'MF Rents'!AL16*'MF Rollover'!AI16)</f>
        <v/>
      </c>
      <c r="AK16" s="149" t="str">
        <f>IF($B16=0,"",($O16/30)*'MF Rents'!AM16*'MF Rollover'!AJ16)</f>
        <v/>
      </c>
      <c r="AL16" s="149" t="str">
        <f>IF($B16=0,"",($O16/30)*'MF Rents'!AN16*'MF Rollover'!AK16)</f>
        <v/>
      </c>
      <c r="AM16" s="149" t="str">
        <f>IF($B16=0,"",($O16/30)*'MF Rents'!AO16*'MF Rollover'!AL16)</f>
        <v/>
      </c>
      <c r="AN16" s="149" t="str">
        <f>IF($B16=0,"",($O16/30)*'MF Rents'!AP16*'MF Rollover'!AM16)</f>
        <v/>
      </c>
      <c r="AO16" s="149" t="str">
        <f>IF($B16=0,"",($O16/30)*'MF Rents'!AQ16*'MF Rollover'!AN16)</f>
        <v/>
      </c>
      <c r="AP16" s="149" t="str">
        <f>IF($B16=0,"",($O16/30)*'MF Rents'!AR16*'MF Rollover'!AO16)</f>
        <v/>
      </c>
      <c r="AQ16" s="149" t="str">
        <f>IF($B16=0,"",($O16/30)*'MF Rents'!AS16*'MF Rollover'!AP16)</f>
        <v/>
      </c>
      <c r="AR16" s="149" t="str">
        <f>IF($B16=0,"",($O16/30)*'MF Rents'!AT16*'MF Rollover'!AQ16)</f>
        <v/>
      </c>
      <c r="AS16" s="149" t="str">
        <f>IF($B16=0,"",($O16/30)*'MF Rents'!AU16*'MF Rollover'!AR16)</f>
        <v/>
      </c>
      <c r="AT16" s="149" t="str">
        <f>IF($B16=0,"",($O16/30)*'MF Rents'!AV16*'MF Rollover'!AS16)</f>
        <v/>
      </c>
      <c r="AU16" s="149" t="str">
        <f>IF($B16=0,"",($O16/30)*'MF Rents'!AW16*'MF Rollover'!AT16)</f>
        <v/>
      </c>
      <c r="AV16" s="149" t="str">
        <f>IF($B16=0,"",($O16/30)*'MF Rents'!AX16*'MF Rollover'!AU16)</f>
        <v/>
      </c>
      <c r="AW16" s="149" t="str">
        <f>IF($B16=0,"",($O16/30)*'MF Rents'!AY16*'MF Rollover'!AV16)</f>
        <v/>
      </c>
      <c r="AX16" s="149" t="str">
        <f>IF($B16=0,"",($O16/30)*'MF Rents'!AZ16*'MF Rollover'!AW16)</f>
        <v/>
      </c>
      <c r="AY16" s="149" t="str">
        <f>IF($B16=0,"",($O16/30)*'MF Rents'!BA16*'MF Rollover'!AX16)</f>
        <v/>
      </c>
      <c r="AZ16" s="149" t="str">
        <f>IF($B16=0,"",($O16/30)*'MF Rents'!BB16*'MF Rollover'!AY16)</f>
        <v/>
      </c>
      <c r="BA16" s="149" t="str">
        <f>IF($B16=0,"",($O16/30)*'MF Rents'!BC16*'MF Rollover'!AZ16)</f>
        <v/>
      </c>
      <c r="BB16" s="149" t="str">
        <f>IF($B16=0,"",($O16/30)*'MF Rents'!BD16*'MF Rollover'!BA16)</f>
        <v/>
      </c>
      <c r="BC16" s="149" t="str">
        <f>IF($B16=0,"",($O16/30)*'MF Rents'!BE16*'MF Rollover'!BB16)</f>
        <v/>
      </c>
      <c r="BD16" s="149" t="str">
        <f>IF($B16=0,"",($O16/30)*'MF Rents'!BF16*'MF Rollover'!BC16)</f>
        <v/>
      </c>
      <c r="BE16" s="149" t="str">
        <f>IF($B16=0,"",($O16/30)*'MF Rents'!BG16*'MF Rollover'!BD16)</f>
        <v/>
      </c>
      <c r="BF16" s="149" t="str">
        <f>IF($B16=0,"",($O16/30)*'MF Rents'!BH16*'MF Rollover'!BE16)</f>
        <v/>
      </c>
      <c r="BG16" s="149" t="str">
        <f>IF($B16=0,"",($O16/30)*'MF Rents'!BI16*'MF Rollover'!BF16)</f>
        <v/>
      </c>
      <c r="BH16" s="149" t="str">
        <f>IF($B16=0,"",($O16/30)*'MF Rents'!BJ16*'MF Rollover'!BG16)</f>
        <v/>
      </c>
      <c r="BI16" s="149" t="str">
        <f>IF($B16=0,"",($O16/30)*'MF Rents'!BK16*'MF Rollover'!BH16)</f>
        <v/>
      </c>
      <c r="BJ16" s="149" t="str">
        <f>IF($B16=0,"",($O16/30)*'MF Rents'!BL16*'MF Rollover'!BI16)</f>
        <v/>
      </c>
      <c r="BK16" s="149" t="str">
        <f>IF($B16=0,"",($O16/30)*'MF Rents'!BM16*'MF Rollover'!BJ16)</f>
        <v/>
      </c>
      <c r="BL16" s="149" t="str">
        <f>IF($B16=0,"",($O16/30)*'MF Rents'!BN16*'MF Rollover'!BK16)</f>
        <v/>
      </c>
      <c r="BM16" s="149" t="str">
        <f>IF($B16=0,"",($O16/30)*'MF Rents'!BO16*'MF Rollover'!BL16)</f>
        <v/>
      </c>
      <c r="BN16" s="149" t="str">
        <f>IF($B16=0,"",($O16/30)*'MF Rents'!BP16*'MF Rollover'!BM16)</f>
        <v/>
      </c>
      <c r="BO16" s="149" t="str">
        <f>IF($B16=0,"",($O16/30)*'MF Rents'!BQ16*'MF Rollover'!BN16)</f>
        <v/>
      </c>
      <c r="BP16" s="149" t="str">
        <f>IF($B16=0,"",($O16/30)*'MF Rents'!BR16*'MF Rollover'!BO16)</f>
        <v/>
      </c>
      <c r="BQ16" s="149" t="str">
        <f>IF($B16=0,"",($O16/30)*'MF Rents'!BS16*'MF Rollover'!BP16)</f>
        <v/>
      </c>
      <c r="BR16" s="149" t="str">
        <f>IF($B16=0,"",($O16/30)*'MF Rents'!BT16*'MF Rollover'!BQ16)</f>
        <v/>
      </c>
      <c r="BS16" s="149" t="str">
        <f>IF($B16=0,"",($O16/30)*'MF Rents'!BU16*'MF Rollover'!BR16)</f>
        <v/>
      </c>
      <c r="BT16" s="149" t="str">
        <f>IF($B16=0,"",($O16/30)*'MF Rents'!BV16*'MF Rollover'!BS16)</f>
        <v/>
      </c>
      <c r="BU16" s="149" t="str">
        <f>IF($B16=0,"",($O16/30)*'MF Rents'!BW16*'MF Rollover'!BT16)</f>
        <v/>
      </c>
      <c r="BV16" s="149" t="str">
        <f>IF($B16=0,"",($O16/30)*'MF Rents'!BX16*'MF Rollover'!BU16)</f>
        <v/>
      </c>
      <c r="BW16" s="149" t="str">
        <f>IF($B16=0,"",($O16/30)*'MF Rents'!BY16*'MF Rollover'!BV16)</f>
        <v/>
      </c>
      <c r="BX16" s="149" t="str">
        <f>IF($B16=0,"",($O16/30)*'MF Rents'!BZ16*'MF Rollover'!BW16)</f>
        <v/>
      </c>
      <c r="BY16" s="149" t="str">
        <f>IF($B16=0,"",($O16/30)*'MF Rents'!CA16*'MF Rollover'!BX16)</f>
        <v/>
      </c>
      <c r="BZ16" s="149" t="str">
        <f>IF($B16=0,"",($O16/30)*'MF Rents'!CB16*'MF Rollover'!BY16)</f>
        <v/>
      </c>
      <c r="CA16" s="149" t="str">
        <f>IF($B16=0,"",($O16/30)*'MF Rents'!CC16*'MF Rollover'!BZ16)</f>
        <v/>
      </c>
      <c r="CB16" s="149" t="str">
        <f>IF($B16=0,"",($O16/30)*'MF Rents'!CD16*'MF Rollover'!CA16)</f>
        <v/>
      </c>
      <c r="CC16" s="149" t="str">
        <f>IF($B16=0,"",($O16/30)*'MF Rents'!CE16*'MF Rollover'!CB16)</f>
        <v/>
      </c>
      <c r="CD16" s="149" t="str">
        <f>IF($B16=0,"",($O16/30)*'MF Rents'!CF16*'MF Rollover'!CC16)</f>
        <v/>
      </c>
      <c r="CE16" s="149" t="str">
        <f>IF($B16=0,"",($O16/30)*'MF Rents'!CG16*'MF Rollover'!CD16)</f>
        <v/>
      </c>
      <c r="CF16" s="149" t="str">
        <f>IF($B16=0,"",($O16/30)*'MF Rents'!CH16*'MF Rollover'!CE16)</f>
        <v/>
      </c>
      <c r="CG16" s="149" t="str">
        <f>IF($B16=0,"",($O16/30)*'MF Rents'!CI16*'MF Rollover'!CF16)</f>
        <v/>
      </c>
      <c r="CH16" s="149" t="str">
        <f>IF($B16=0,"",($O16/30)*'MF Rents'!CJ16*'MF Rollover'!CG16)</f>
        <v/>
      </c>
      <c r="CI16" s="149" t="str">
        <f>IF($B16=0,"",($O16/30)*'MF Rents'!CK16*'MF Rollover'!CH16)</f>
        <v/>
      </c>
      <c r="CJ16" s="149" t="str">
        <f>IF($B16=0,"",($O16/30)*'MF Rents'!CL16*'MF Rollover'!CI16)</f>
        <v/>
      </c>
      <c r="CK16" s="149" t="str">
        <f>IF($B16=0,"",($O16/30)*'MF Rents'!CM16*'MF Rollover'!CJ16)</f>
        <v/>
      </c>
      <c r="CL16" s="149" t="str">
        <f>IF($B16=0,"",($O16/30)*'MF Rents'!CN16*'MF Rollover'!CK16)</f>
        <v/>
      </c>
      <c r="CM16" s="149" t="str">
        <f>IF($B16=0,"",($O16/30)*'MF Rents'!CO16*'MF Rollover'!CL16)</f>
        <v/>
      </c>
      <c r="CN16" s="149" t="str">
        <f>IF($B16=0,"",($O16/30)*'MF Rents'!CP16*'MF Rollover'!CM16)</f>
        <v/>
      </c>
      <c r="CO16" s="149" t="str">
        <f>IF($B16=0,"",($O16/30)*'MF Rents'!CQ16*'MF Rollover'!CN16)</f>
        <v/>
      </c>
      <c r="CP16" s="149" t="str">
        <f>IF($B16=0,"",($O16/30)*'MF Rents'!CR16*'MF Rollover'!CO16)</f>
        <v/>
      </c>
      <c r="CQ16" s="149" t="str">
        <f>IF($B16=0,"",($O16/30)*'MF Rents'!CS16*'MF Rollover'!CP16)</f>
        <v/>
      </c>
      <c r="CR16" s="149" t="str">
        <f>IF($B16=0,"",($O16/30)*'MF Rents'!CT16*'MF Rollover'!CQ16)</f>
        <v/>
      </c>
      <c r="CS16" s="149" t="str">
        <f>IF($B16=0,"",($O16/30)*'MF Rents'!CU16*'MF Rollover'!CR16)</f>
        <v/>
      </c>
      <c r="CT16" s="149" t="str">
        <f>IF($B16=0,"",($O16/30)*'MF Rents'!CV16*'MF Rollover'!CS16)</f>
        <v/>
      </c>
      <c r="CU16" s="149" t="str">
        <f>IF($B16=0,"",($O16/30)*'MF Rents'!CW16*'MF Rollover'!CT16)</f>
        <v/>
      </c>
      <c r="CV16" s="149" t="str">
        <f>IF($B16=0,"",($O16/30)*'MF Rents'!CX16*'MF Rollover'!CU16)</f>
        <v/>
      </c>
      <c r="CW16" s="149" t="str">
        <f>IF($B16=0,"",($O16/30)*'MF Rents'!CY16*'MF Rollover'!CV16)</f>
        <v/>
      </c>
      <c r="CX16" s="149" t="str">
        <f>IF($B16=0,"",($O16/30)*'MF Rents'!CZ16*'MF Rollover'!CW16)</f>
        <v/>
      </c>
      <c r="CY16" s="149" t="str">
        <f>IF($B16=0,"",($O16/30)*'MF Rents'!DA16*'MF Rollover'!CX16)</f>
        <v/>
      </c>
      <c r="CZ16" s="149" t="str">
        <f>IF($B16=0,"",($O16/30)*'MF Rents'!DB16*'MF Rollover'!CY16)</f>
        <v/>
      </c>
      <c r="DA16" s="149" t="str">
        <f>IF($B16=0,"",($O16/30)*'MF Rents'!DC16*'MF Rollover'!CZ16)</f>
        <v/>
      </c>
      <c r="DB16" s="149" t="str">
        <f>IF($B16=0,"",($O16/30)*'MF Rents'!DD16*'MF Rollover'!DA16)</f>
        <v/>
      </c>
      <c r="DC16" s="149" t="str">
        <f>IF($B16=0,"",($O16/30)*'MF Rents'!DE16*'MF Rollover'!DB16)</f>
        <v/>
      </c>
      <c r="DD16" s="149" t="str">
        <f>IF($B16=0,"",($O16/30)*'MF Rents'!DF16*'MF Rollover'!DC16)</f>
        <v/>
      </c>
      <c r="DE16" s="149" t="str">
        <f>IF($B16=0,"",($O16/30)*'MF Rents'!DG16*'MF Rollover'!DD16)</f>
        <v/>
      </c>
      <c r="DF16" s="149" t="str">
        <f>IF($B16=0,"",($O16/30)*'MF Rents'!DH16*'MF Rollover'!DE16)</f>
        <v/>
      </c>
      <c r="DG16" s="149" t="str">
        <f>IF($B16=0,"",($O16/30)*'MF Rents'!DI16*'MF Rollover'!DF16)</f>
        <v/>
      </c>
      <c r="DH16" s="149" t="str">
        <f>IF($B16=0,"",($O16/30)*'MF Rents'!DJ16*'MF Rollover'!DG16)</f>
        <v/>
      </c>
      <c r="DI16" s="149" t="str">
        <f>IF($B16=0,"",($O16/30)*'MF Rents'!DK16*'MF Rollover'!DH16)</f>
        <v/>
      </c>
      <c r="DJ16" s="149" t="str">
        <f>IF($B16=0,"",($O16/30)*'MF Rents'!DL16*'MF Rollover'!DI16)</f>
        <v/>
      </c>
      <c r="DK16" s="149" t="str">
        <f>IF($B16=0,"",($O16/30)*'MF Rents'!DM16*'MF Rollover'!DJ16)</f>
        <v/>
      </c>
      <c r="DL16" s="149" t="str">
        <f>IF($B16=0,"",($O16/30)*'MF Rents'!DN16*'MF Rollover'!DK16)</f>
        <v/>
      </c>
      <c r="DM16" s="149" t="str">
        <f>IF($B16=0,"",($O16/30)*'MF Rents'!DO16*'MF Rollover'!DL16)</f>
        <v/>
      </c>
      <c r="DN16" s="149" t="str">
        <f>IF($B16=0,"",($O16/30)*'MF Rents'!DP16*'MF Rollover'!DM16)</f>
        <v/>
      </c>
      <c r="DO16" s="149" t="str">
        <f>IF($B16=0,"",($O16/30)*'MF Rents'!DQ16*'MF Rollover'!DN16)</f>
        <v/>
      </c>
      <c r="DP16" s="149" t="str">
        <f>IF($B16=0,"",($O16/30)*'MF Rents'!DR16*'MF Rollover'!DO16)</f>
        <v/>
      </c>
      <c r="DQ16" s="149" t="str">
        <f>IF($B16=0,"",($O16/30)*'MF Rents'!DS16*'MF Rollover'!DP16)</f>
        <v/>
      </c>
      <c r="DR16" s="149" t="str">
        <f>IF($B16=0,"",($O16/30)*'MF Rents'!DT16*'MF Rollover'!DQ16)</f>
        <v/>
      </c>
      <c r="DS16" s="149" t="str">
        <f>IF($B16=0,"",($O16/30)*'MF Rents'!DU16*'MF Rollover'!DR16)</f>
        <v/>
      </c>
      <c r="DT16" s="149" t="str">
        <f>IF($B16=0,"",($O16/30)*'MF Rents'!DV16*'MF Rollover'!DS16)</f>
        <v/>
      </c>
      <c r="DU16" s="149" t="str">
        <f>IF($B16=0,"",($O16/30)*'MF Rents'!DW16*'MF Rollover'!DT16)</f>
        <v/>
      </c>
      <c r="DV16" s="149" t="str">
        <f>IF($B16=0,"",($O16/30)*'MF Rents'!DX16*'MF Rollover'!DU16)</f>
        <v/>
      </c>
      <c r="DW16" s="149" t="str">
        <f>IF($B16=0,"",($O16/30)*'MF Rents'!DY16*'MF Rollover'!DV16)</f>
        <v/>
      </c>
      <c r="DX16" s="149" t="str">
        <f>IF($B16=0,"",($O16/30)*'MF Rents'!DZ16*'MF Rollover'!DW16)</f>
        <v/>
      </c>
      <c r="DY16" s="149" t="str">
        <f>IF($B16=0,"",($O16/30)*'MF Rents'!EA16*'MF Rollover'!DX16)</f>
        <v/>
      </c>
      <c r="DZ16" s="149" t="str">
        <f>IF($B16=0,"",($O16/30)*'MF Rents'!EB16*'MF Rollover'!DY16)</f>
        <v/>
      </c>
      <c r="EA16" s="149" t="str">
        <f>IF($B16=0,"",($O16/30)*'MF Rents'!EC16*'MF Rollover'!DZ16)</f>
        <v/>
      </c>
      <c r="EB16" s="149" t="str">
        <f>IF($B16=0,"",($O16/30)*'MF Rents'!ED16*'MF Rollover'!EA16)</f>
        <v/>
      </c>
      <c r="EC16" s="149" t="str">
        <f>IF($B16=0,"",($O16/30)*'MF Rents'!EE16*'MF Rollover'!EB16)</f>
        <v/>
      </c>
      <c r="ED16" s="149" t="str">
        <f>IF($B16=0,"",($O16/30)*'MF Rents'!EF16*'MF Rollover'!EC16)</f>
        <v/>
      </c>
      <c r="EE16" s="149" t="str">
        <f>IF($B16=0,"",($O16/30)*'MF Rents'!EG16*'MF Rollover'!ED16)</f>
        <v/>
      </c>
      <c r="EF16" s="149" t="str">
        <f>IF($B16=0,"",($O16/30)*'MF Rents'!EH16*'MF Rollover'!EE16)</f>
        <v/>
      </c>
      <c r="EG16" s="149" t="str">
        <f>IF($B16=0,"",($O16/30)*'MF Rents'!EI16*'MF Rollover'!EF16)</f>
        <v/>
      </c>
      <c r="EH16" s="149" t="str">
        <f>IF($B16=0,"",($O16/30)*'MF Rents'!EJ16*'MF Rollover'!EG16)</f>
        <v/>
      </c>
      <c r="EI16" s="149" t="str">
        <f>IF($B16=0,"",($O16/30)*'MF Rents'!EK16*'MF Rollover'!EH16)</f>
        <v/>
      </c>
      <c r="EJ16" s="149" t="str">
        <f>IF($B16=0,"",($O16/30)*'MF Rents'!EL16*'MF Rollover'!EI16)</f>
        <v/>
      </c>
      <c r="EK16" s="149" t="str">
        <f>IF($B16=0,"",($O16/30)*'MF Rents'!EM16*'MF Rollover'!EJ16)</f>
        <v/>
      </c>
      <c r="EL16" s="149" t="str">
        <f>IF($B16=0,"",($O16/30)*'MF Rents'!EN16*'MF Rollover'!EK16)</f>
        <v/>
      </c>
      <c r="EM16" s="149" t="str">
        <f>IF($B16=0,"",($O16/30)*'MF Rents'!EO16*'MF Rollover'!EL16)</f>
        <v/>
      </c>
      <c r="EN16" s="149" t="str">
        <f>IF($B16=0,"",($O16/30)*'MF Rents'!EP16*'MF Rollover'!EM16)</f>
        <v/>
      </c>
      <c r="EO16" s="149" t="str">
        <f>IF($B16=0,"",($O16/30)*'MF Rents'!EQ16*'MF Rollover'!EN16)</f>
        <v/>
      </c>
      <c r="EP16" s="149" t="str">
        <f>IF($B16=0,"",($O16/30)*'MF Rents'!ER16*'MF Rollover'!EO16)</f>
        <v/>
      </c>
      <c r="EQ16" s="149" t="str">
        <f>IF($B16=0,"",($O16/30)*'MF Rents'!ES16*'MF Rollover'!EP16)</f>
        <v/>
      </c>
      <c r="ER16" s="149" t="str">
        <f>IF($B16=0,"",($O16/30)*'MF Rents'!ET16*'MF Rollover'!EQ16)</f>
        <v/>
      </c>
      <c r="ES16" s="149" t="str">
        <f>IF($B16=0,"",($O16/30)*'MF Rents'!EU16*'MF Rollover'!ER16)</f>
        <v/>
      </c>
      <c r="ET16" s="149" t="str">
        <f>IF($B16=0,"",($O16/30)*'MF Rents'!EV16*'MF Rollover'!ES16)</f>
        <v/>
      </c>
      <c r="EU16" s="149" t="str">
        <f>IF($B16=0,"",($O16/30)*'MF Rents'!EW16*'MF Rollover'!ET16)</f>
        <v/>
      </c>
      <c r="EV16" s="149" t="str">
        <f>IF($B16=0,"",($O16/30)*'MF Rents'!EX16*'MF Rollover'!EU16)</f>
        <v/>
      </c>
      <c r="EW16" s="149" t="str">
        <f>IF($B16=0,"",($O16/30)*'MF Rents'!EY16*'MF Rollover'!EV16)</f>
        <v/>
      </c>
      <c r="EX16" s="149" t="str">
        <f>IF($B16=0,"",($O16/30)*'MF Rents'!EZ16*'MF Rollover'!EW16)</f>
        <v/>
      </c>
      <c r="EY16" s="149" t="str">
        <f>IF($B16=0,"",($O16/30)*'MF Rents'!FA16*'MF Rollover'!EX16)</f>
        <v/>
      </c>
      <c r="EZ16" s="149" t="str">
        <f>IF($B16=0,"",($O16/30)*'MF Rents'!FB16*'MF Rollover'!EY16)</f>
        <v/>
      </c>
      <c r="FA16" s="149" t="str">
        <f>IF($B16=0,"",($O16/30)*'MF Rents'!FC16*'MF Rollover'!EZ16)</f>
        <v/>
      </c>
      <c r="FB16" s="149" t="str">
        <f>IF($B16=0,"",($O16/30)*'MF Rents'!FD16*'MF Rollover'!FA16)</f>
        <v/>
      </c>
      <c r="FC16" s="149" t="str">
        <f>IF($B16=0,"",($O16/30)*'MF Rents'!FE16*'MF Rollover'!FB16)</f>
        <v/>
      </c>
      <c r="FD16" s="149" t="str">
        <f>IF($B16=0,"",($O16/30)*'MF Rents'!FF16*'MF Rollover'!FC16)</f>
        <v/>
      </c>
      <c r="FE16" s="149" t="str">
        <f>IF($B16=0,"",($O16/30)*'MF Rents'!FG16*'MF Rollover'!FD16)</f>
        <v/>
      </c>
      <c r="FF16" s="149" t="str">
        <f>IF($B16=0,"",($O16/30)*'MF Rents'!FH16*'MF Rollover'!FE16)</f>
        <v/>
      </c>
      <c r="FG16" s="149" t="str">
        <f>IF($B16=0,"",($O16/30)*'MF Rents'!FI16*'MF Rollover'!FF16)</f>
        <v/>
      </c>
      <c r="FH16" s="149" t="str">
        <f>IF($B16=0,"",($O16/30)*'MF Rents'!FJ16*'MF Rollover'!FG16)</f>
        <v/>
      </c>
      <c r="FI16" s="149" t="str">
        <f>IF($B16=0,"",($O16/30)*'MF Rents'!FK16*'MF Rollover'!FH16)</f>
        <v/>
      </c>
      <c r="FJ16" s="149" t="str">
        <f>IF($B16=0,"",($O16/30)*'MF Rents'!FL16*'MF Rollover'!FI16)</f>
        <v/>
      </c>
      <c r="FK16" s="149" t="str">
        <f>IF($B16=0,"",($O16/30)*'MF Rents'!FM16*'MF Rollover'!FJ16)</f>
        <v/>
      </c>
      <c r="FL16" s="149" t="str">
        <f>IF($B16=0,"",($O16/30)*'MF Rents'!FN16*'MF Rollover'!FK16)</f>
        <v/>
      </c>
      <c r="FM16" s="149" t="str">
        <f>IF($B16=0,"",($O16/30)*'MF Rents'!FO16*'MF Rollover'!FL16)</f>
        <v/>
      </c>
      <c r="FN16" s="149" t="str">
        <f>IF($B16=0,"",($O16/30)*'MF Rents'!FP16*'MF Rollover'!FM16)</f>
        <v/>
      </c>
      <c r="FO16" s="149" t="str">
        <f>IF($B16=0,"",($O16/30)*'MF Rents'!FQ16*'MF Rollover'!FN16)</f>
        <v/>
      </c>
      <c r="FP16" s="149" t="str">
        <f>IF($B16=0,"",($O16/30)*'MF Rents'!FR16*'MF Rollover'!FO16)</f>
        <v/>
      </c>
      <c r="FQ16" s="149" t="str">
        <f>IF($B16=0,"",($O16/30)*'MF Rents'!FS16*'MF Rollover'!FP16)</f>
        <v/>
      </c>
      <c r="FR16" s="149" t="str">
        <f>IF($B16=0,"",($O16/30)*'MF Rents'!FT16*'MF Rollover'!FQ16)</f>
        <v/>
      </c>
      <c r="FS16" s="149" t="str">
        <f>IF($B16=0,"",($O16/30)*'MF Rents'!FU16*'MF Rollover'!FR16)</f>
        <v/>
      </c>
      <c r="FT16" s="149" t="str">
        <f>IF($B16=0,"",($O16/30)*'MF Rents'!FV16*'MF Rollover'!FS16)</f>
        <v/>
      </c>
      <c r="FU16" s="149" t="str">
        <f>IF($B16=0,"",($O16/30)*'MF Rents'!FW16*'MF Rollover'!FT16)</f>
        <v/>
      </c>
      <c r="FV16" s="149" t="str">
        <f>IF($B16=0,"",($O16/30)*'MF Rents'!FX16*'MF Rollover'!FU16)</f>
        <v/>
      </c>
      <c r="FW16" s="149" t="str">
        <f>IF($B16=0,"",($O16/30)*'MF Rents'!FY16*'MF Rollover'!FV16)</f>
        <v/>
      </c>
      <c r="FX16" s="149" t="str">
        <f>IF($B16=0,"",($O16/30)*'MF Rents'!FZ16*'MF Rollover'!FW16)</f>
        <v/>
      </c>
      <c r="FY16" s="149" t="str">
        <f>IF($B16=0,"",($O16/30)*'MF Rents'!GA16*'MF Rollover'!FX16)</f>
        <v/>
      </c>
      <c r="FZ16" s="149" t="str">
        <f>IF($B16=0,"",($O16/30)*'MF Rents'!GB16*'MF Rollover'!FY16)</f>
        <v/>
      </c>
      <c r="GA16" s="149" t="str">
        <f>IF($B16=0,"",($O16/30)*'MF Rents'!GC16*'MF Rollover'!FZ16)</f>
        <v/>
      </c>
      <c r="GB16" s="149" t="str">
        <f>IF($B16=0,"",($O16/30)*'MF Rents'!GD16*'MF Rollover'!GA16)</f>
        <v/>
      </c>
      <c r="GC16" s="149" t="str">
        <f>IF($B16=0,"",($O16/30)*'MF Rents'!GE16*'MF Rollover'!GB16)</f>
        <v/>
      </c>
      <c r="GD16" s="149" t="str">
        <f>IF($B16=0,"",($O16/30)*'MF Rents'!GF16*'MF Rollover'!GC16)</f>
        <v/>
      </c>
      <c r="GE16" s="149" t="str">
        <f>IF($B16=0,"",($O16/30)*'MF Rents'!GG16*'MF Rollover'!GD16)</f>
        <v/>
      </c>
      <c r="GF16" s="149" t="str">
        <f>IF($B16=0,"",($O16/30)*'MF Rents'!GH16*'MF Rollover'!GE16)</f>
        <v/>
      </c>
      <c r="GG16" s="149" t="str">
        <f>IF($B16=0,"",($O16/30)*'MF Rents'!GI16*'MF Rollover'!GF16)</f>
        <v/>
      </c>
      <c r="GH16" s="149" t="str">
        <f>IF($B16=0,"",($O16/30)*'MF Rents'!GJ16*'MF Rollover'!GG16)</f>
        <v/>
      </c>
      <c r="GI16" s="149" t="str">
        <f>IF($B16=0,"",($O16/30)*'MF Rents'!GK16*'MF Rollover'!GH16)</f>
        <v/>
      </c>
      <c r="GJ16" s="149" t="str">
        <f>IF($B16=0,"",($O16/30)*'MF Rents'!GL16*'MF Rollover'!GI16)</f>
        <v/>
      </c>
      <c r="GK16" s="149" t="str">
        <f>IF($B16=0,"",($O16/30)*'MF Rents'!GM16*'MF Rollover'!GJ16)</f>
        <v/>
      </c>
      <c r="GL16" s="149" t="str">
        <f>IF($B16=0,"",($O16/30)*'MF Rents'!GN16*'MF Rollover'!GK16)</f>
        <v/>
      </c>
      <c r="GM16" s="149" t="str">
        <f>IF($B16=0,"",($O16/30)*'MF Rents'!GO16*'MF Rollover'!GL16)</f>
        <v/>
      </c>
      <c r="GN16" s="149" t="str">
        <f>IF($B16=0,"",($O16/30)*'MF Rents'!GP16*'MF Rollover'!GM16)</f>
        <v/>
      </c>
      <c r="GO16" s="149" t="str">
        <f>IF($B16=0,"",($O16/30)*'MF Rents'!GQ16*'MF Rollover'!GN16)</f>
        <v/>
      </c>
      <c r="GP16" s="149" t="str">
        <f>IF($B16=0,"",($O16/30)*'MF Rents'!GR16*'MF Rollover'!GO16)</f>
        <v/>
      </c>
    </row>
    <row r="17" spans="2:198" x14ac:dyDescent="0.3">
      <c r="B17" s="184">
        <f>'MF Rent Roll'!B16</f>
        <v>0</v>
      </c>
      <c r="C17" s="171">
        <f>'MF Rent Roll'!C16</f>
        <v>0</v>
      </c>
      <c r="D17" s="172">
        <f>'MF Rent Roll'!D16</f>
        <v>0</v>
      </c>
      <c r="E17" s="172">
        <f>'MF Rent Roll'!E16</f>
        <v>0</v>
      </c>
      <c r="F17" s="173">
        <f>'MF Rent Roll'!F16</f>
        <v>0</v>
      </c>
      <c r="G17" s="174">
        <f>'MF Rent Roll'!G16</f>
        <v>0</v>
      </c>
      <c r="H17" s="176">
        <f>'MF Rent Roll'!J16</f>
        <v>0</v>
      </c>
      <c r="I17" s="174">
        <f>'MF Rent Roll'!K16</f>
        <v>0</v>
      </c>
      <c r="J17" s="177">
        <f>'MF Rent Roll'!L16</f>
        <v>0</v>
      </c>
      <c r="K17" s="178">
        <f>'MF Rent Roll'!M16</f>
        <v>0</v>
      </c>
      <c r="L17" s="174">
        <f>'MF Rent Roll'!N16</f>
        <v>0</v>
      </c>
      <c r="M17" s="179">
        <f>'MF Rent Roll'!O16</f>
        <v>0</v>
      </c>
      <c r="N17" s="180" t="str">
        <f>'MF Rent Roll'!P16</f>
        <v/>
      </c>
      <c r="O17" s="181" t="str">
        <f>'MF Rent Roll'!Q16</f>
        <v/>
      </c>
      <c r="P17" s="104" t="str">
        <f>'MF Rent Roll'!R16</f>
        <v/>
      </c>
      <c r="S17" s="149" t="str">
        <f>IF($B17=0,"",($O17/30)*'MF Rents'!U17*'MF Rollover'!R17)</f>
        <v/>
      </c>
      <c r="T17" s="149" t="str">
        <f>IF($B17=0,"",($O17/30)*'MF Rents'!V17*'MF Rollover'!S17)</f>
        <v/>
      </c>
      <c r="U17" s="149" t="str">
        <f>IF($B17=0,"",($O17/30)*'MF Rents'!W17*'MF Rollover'!T17)</f>
        <v/>
      </c>
      <c r="V17" s="149" t="str">
        <f>IF($B17=0,"",($O17/30)*'MF Rents'!X17*'MF Rollover'!U17)</f>
        <v/>
      </c>
      <c r="W17" s="149" t="str">
        <f>IF($B17=0,"",($O17/30)*'MF Rents'!Y17*'MF Rollover'!V17)</f>
        <v/>
      </c>
      <c r="X17" s="149" t="str">
        <f>IF($B17=0,"",($O17/30)*'MF Rents'!Z17*'MF Rollover'!W17)</f>
        <v/>
      </c>
      <c r="Y17" s="149" t="str">
        <f>IF($B17=0,"",($O17/30)*'MF Rents'!AA17*'MF Rollover'!X17)</f>
        <v/>
      </c>
      <c r="Z17" s="149" t="str">
        <f>IF($B17=0,"",($O17/30)*'MF Rents'!AB17*'MF Rollover'!Y17)</f>
        <v/>
      </c>
      <c r="AA17" s="149" t="str">
        <f>IF($B17=0,"",($O17/30)*'MF Rents'!AC17*'MF Rollover'!Z17)</f>
        <v/>
      </c>
      <c r="AB17" s="149" t="str">
        <f>IF($B17=0,"",($O17/30)*'MF Rents'!AD17*'MF Rollover'!AA17)</f>
        <v/>
      </c>
      <c r="AC17" s="149" t="str">
        <f>IF($B17=0,"",($O17/30)*'MF Rents'!AE17*'MF Rollover'!AB17)</f>
        <v/>
      </c>
      <c r="AD17" s="149" t="str">
        <f>IF($B17=0,"",($O17/30)*'MF Rents'!AF17*'MF Rollover'!AC17)</f>
        <v/>
      </c>
      <c r="AE17" s="149" t="str">
        <f>IF($B17=0,"",($O17/30)*'MF Rents'!AG17*'MF Rollover'!AD17)</f>
        <v/>
      </c>
      <c r="AF17" s="149" t="str">
        <f>IF($B17=0,"",($O17/30)*'MF Rents'!AH17*'MF Rollover'!AE17)</f>
        <v/>
      </c>
      <c r="AG17" s="149" t="str">
        <f>IF($B17=0,"",($O17/30)*'MF Rents'!AI17*'MF Rollover'!AF17)</f>
        <v/>
      </c>
      <c r="AH17" s="149" t="str">
        <f>IF($B17=0,"",($O17/30)*'MF Rents'!AJ17*'MF Rollover'!AG17)</f>
        <v/>
      </c>
      <c r="AI17" s="149" t="str">
        <f>IF($B17=0,"",($O17/30)*'MF Rents'!AK17*'MF Rollover'!AH17)</f>
        <v/>
      </c>
      <c r="AJ17" s="149" t="str">
        <f>IF($B17=0,"",($O17/30)*'MF Rents'!AL17*'MF Rollover'!AI17)</f>
        <v/>
      </c>
      <c r="AK17" s="149" t="str">
        <f>IF($B17=0,"",($O17/30)*'MF Rents'!AM17*'MF Rollover'!AJ17)</f>
        <v/>
      </c>
      <c r="AL17" s="149" t="str">
        <f>IF($B17=0,"",($O17/30)*'MF Rents'!AN17*'MF Rollover'!AK17)</f>
        <v/>
      </c>
      <c r="AM17" s="149" t="str">
        <f>IF($B17=0,"",($O17/30)*'MF Rents'!AO17*'MF Rollover'!AL17)</f>
        <v/>
      </c>
      <c r="AN17" s="149" t="str">
        <f>IF($B17=0,"",($O17/30)*'MF Rents'!AP17*'MF Rollover'!AM17)</f>
        <v/>
      </c>
      <c r="AO17" s="149" t="str">
        <f>IF($B17=0,"",($O17/30)*'MF Rents'!AQ17*'MF Rollover'!AN17)</f>
        <v/>
      </c>
      <c r="AP17" s="149" t="str">
        <f>IF($B17=0,"",($O17/30)*'MF Rents'!AR17*'MF Rollover'!AO17)</f>
        <v/>
      </c>
      <c r="AQ17" s="149" t="str">
        <f>IF($B17=0,"",($O17/30)*'MF Rents'!AS17*'MF Rollover'!AP17)</f>
        <v/>
      </c>
      <c r="AR17" s="149" t="str">
        <f>IF($B17=0,"",($O17/30)*'MF Rents'!AT17*'MF Rollover'!AQ17)</f>
        <v/>
      </c>
      <c r="AS17" s="149" t="str">
        <f>IF($B17=0,"",($O17/30)*'MF Rents'!AU17*'MF Rollover'!AR17)</f>
        <v/>
      </c>
      <c r="AT17" s="149" t="str">
        <f>IF($B17=0,"",($O17/30)*'MF Rents'!AV17*'MF Rollover'!AS17)</f>
        <v/>
      </c>
      <c r="AU17" s="149" t="str">
        <f>IF($B17=0,"",($O17/30)*'MF Rents'!AW17*'MF Rollover'!AT17)</f>
        <v/>
      </c>
      <c r="AV17" s="149" t="str">
        <f>IF($B17=0,"",($O17/30)*'MF Rents'!AX17*'MF Rollover'!AU17)</f>
        <v/>
      </c>
      <c r="AW17" s="149" t="str">
        <f>IF($B17=0,"",($O17/30)*'MF Rents'!AY17*'MF Rollover'!AV17)</f>
        <v/>
      </c>
      <c r="AX17" s="149" t="str">
        <f>IF($B17=0,"",($O17/30)*'MF Rents'!AZ17*'MF Rollover'!AW17)</f>
        <v/>
      </c>
      <c r="AY17" s="149" t="str">
        <f>IF($B17=0,"",($O17/30)*'MF Rents'!BA17*'MF Rollover'!AX17)</f>
        <v/>
      </c>
      <c r="AZ17" s="149" t="str">
        <f>IF($B17=0,"",($O17/30)*'MF Rents'!BB17*'MF Rollover'!AY17)</f>
        <v/>
      </c>
      <c r="BA17" s="149" t="str">
        <f>IF($B17=0,"",($O17/30)*'MF Rents'!BC17*'MF Rollover'!AZ17)</f>
        <v/>
      </c>
      <c r="BB17" s="149" t="str">
        <f>IF($B17=0,"",($O17/30)*'MF Rents'!BD17*'MF Rollover'!BA17)</f>
        <v/>
      </c>
      <c r="BC17" s="149" t="str">
        <f>IF($B17=0,"",($O17/30)*'MF Rents'!BE17*'MF Rollover'!BB17)</f>
        <v/>
      </c>
      <c r="BD17" s="149" t="str">
        <f>IF($B17=0,"",($O17/30)*'MF Rents'!BF17*'MF Rollover'!BC17)</f>
        <v/>
      </c>
      <c r="BE17" s="149" t="str">
        <f>IF($B17=0,"",($O17/30)*'MF Rents'!BG17*'MF Rollover'!BD17)</f>
        <v/>
      </c>
      <c r="BF17" s="149" t="str">
        <f>IF($B17=0,"",($O17/30)*'MF Rents'!BH17*'MF Rollover'!BE17)</f>
        <v/>
      </c>
      <c r="BG17" s="149" t="str">
        <f>IF($B17=0,"",($O17/30)*'MF Rents'!BI17*'MF Rollover'!BF17)</f>
        <v/>
      </c>
      <c r="BH17" s="149" t="str">
        <f>IF($B17=0,"",($O17/30)*'MF Rents'!BJ17*'MF Rollover'!BG17)</f>
        <v/>
      </c>
      <c r="BI17" s="149" t="str">
        <f>IF($B17=0,"",($O17/30)*'MF Rents'!BK17*'MF Rollover'!BH17)</f>
        <v/>
      </c>
      <c r="BJ17" s="149" t="str">
        <f>IF($B17=0,"",($O17/30)*'MF Rents'!BL17*'MF Rollover'!BI17)</f>
        <v/>
      </c>
      <c r="BK17" s="149" t="str">
        <f>IF($B17=0,"",($O17/30)*'MF Rents'!BM17*'MF Rollover'!BJ17)</f>
        <v/>
      </c>
      <c r="BL17" s="149" t="str">
        <f>IF($B17=0,"",($O17/30)*'MF Rents'!BN17*'MF Rollover'!BK17)</f>
        <v/>
      </c>
      <c r="BM17" s="149" t="str">
        <f>IF($B17=0,"",($O17/30)*'MF Rents'!BO17*'MF Rollover'!BL17)</f>
        <v/>
      </c>
      <c r="BN17" s="149" t="str">
        <f>IF($B17=0,"",($O17/30)*'MF Rents'!BP17*'MF Rollover'!BM17)</f>
        <v/>
      </c>
      <c r="BO17" s="149" t="str">
        <f>IF($B17=0,"",($O17/30)*'MF Rents'!BQ17*'MF Rollover'!BN17)</f>
        <v/>
      </c>
      <c r="BP17" s="149" t="str">
        <f>IF($B17=0,"",($O17/30)*'MF Rents'!BR17*'MF Rollover'!BO17)</f>
        <v/>
      </c>
      <c r="BQ17" s="149" t="str">
        <f>IF($B17=0,"",($O17/30)*'MF Rents'!BS17*'MF Rollover'!BP17)</f>
        <v/>
      </c>
      <c r="BR17" s="149" t="str">
        <f>IF($B17=0,"",($O17/30)*'MF Rents'!BT17*'MF Rollover'!BQ17)</f>
        <v/>
      </c>
      <c r="BS17" s="149" t="str">
        <f>IF($B17=0,"",($O17/30)*'MF Rents'!BU17*'MF Rollover'!BR17)</f>
        <v/>
      </c>
      <c r="BT17" s="149" t="str">
        <f>IF($B17=0,"",($O17/30)*'MF Rents'!BV17*'MF Rollover'!BS17)</f>
        <v/>
      </c>
      <c r="BU17" s="149" t="str">
        <f>IF($B17=0,"",($O17/30)*'MF Rents'!BW17*'MF Rollover'!BT17)</f>
        <v/>
      </c>
      <c r="BV17" s="149" t="str">
        <f>IF($B17=0,"",($O17/30)*'MF Rents'!BX17*'MF Rollover'!BU17)</f>
        <v/>
      </c>
      <c r="BW17" s="149" t="str">
        <f>IF($B17=0,"",($O17/30)*'MF Rents'!BY17*'MF Rollover'!BV17)</f>
        <v/>
      </c>
      <c r="BX17" s="149" t="str">
        <f>IF($B17=0,"",($O17/30)*'MF Rents'!BZ17*'MF Rollover'!BW17)</f>
        <v/>
      </c>
      <c r="BY17" s="149" t="str">
        <f>IF($B17=0,"",($O17/30)*'MF Rents'!CA17*'MF Rollover'!BX17)</f>
        <v/>
      </c>
      <c r="BZ17" s="149" t="str">
        <f>IF($B17=0,"",($O17/30)*'MF Rents'!CB17*'MF Rollover'!BY17)</f>
        <v/>
      </c>
      <c r="CA17" s="149" t="str">
        <f>IF($B17=0,"",($O17/30)*'MF Rents'!CC17*'MF Rollover'!BZ17)</f>
        <v/>
      </c>
      <c r="CB17" s="149" t="str">
        <f>IF($B17=0,"",($O17/30)*'MF Rents'!CD17*'MF Rollover'!CA17)</f>
        <v/>
      </c>
      <c r="CC17" s="149" t="str">
        <f>IF($B17=0,"",($O17/30)*'MF Rents'!CE17*'MF Rollover'!CB17)</f>
        <v/>
      </c>
      <c r="CD17" s="149" t="str">
        <f>IF($B17=0,"",($O17/30)*'MF Rents'!CF17*'MF Rollover'!CC17)</f>
        <v/>
      </c>
      <c r="CE17" s="149" t="str">
        <f>IF($B17=0,"",($O17/30)*'MF Rents'!CG17*'MF Rollover'!CD17)</f>
        <v/>
      </c>
      <c r="CF17" s="149" t="str">
        <f>IF($B17=0,"",($O17/30)*'MF Rents'!CH17*'MF Rollover'!CE17)</f>
        <v/>
      </c>
      <c r="CG17" s="149" t="str">
        <f>IF($B17=0,"",($O17/30)*'MF Rents'!CI17*'MF Rollover'!CF17)</f>
        <v/>
      </c>
      <c r="CH17" s="149" t="str">
        <f>IF($B17=0,"",($O17/30)*'MF Rents'!CJ17*'MF Rollover'!CG17)</f>
        <v/>
      </c>
      <c r="CI17" s="149" t="str">
        <f>IF($B17=0,"",($O17/30)*'MF Rents'!CK17*'MF Rollover'!CH17)</f>
        <v/>
      </c>
      <c r="CJ17" s="149" t="str">
        <f>IF($B17=0,"",($O17/30)*'MF Rents'!CL17*'MF Rollover'!CI17)</f>
        <v/>
      </c>
      <c r="CK17" s="149" t="str">
        <f>IF($B17=0,"",($O17/30)*'MF Rents'!CM17*'MF Rollover'!CJ17)</f>
        <v/>
      </c>
      <c r="CL17" s="149" t="str">
        <f>IF($B17=0,"",($O17/30)*'MF Rents'!CN17*'MF Rollover'!CK17)</f>
        <v/>
      </c>
      <c r="CM17" s="149" t="str">
        <f>IF($B17=0,"",($O17/30)*'MF Rents'!CO17*'MF Rollover'!CL17)</f>
        <v/>
      </c>
      <c r="CN17" s="149" t="str">
        <f>IF($B17=0,"",($O17/30)*'MF Rents'!CP17*'MF Rollover'!CM17)</f>
        <v/>
      </c>
      <c r="CO17" s="149" t="str">
        <f>IF($B17=0,"",($O17/30)*'MF Rents'!CQ17*'MF Rollover'!CN17)</f>
        <v/>
      </c>
      <c r="CP17" s="149" t="str">
        <f>IF($B17=0,"",($O17/30)*'MF Rents'!CR17*'MF Rollover'!CO17)</f>
        <v/>
      </c>
      <c r="CQ17" s="149" t="str">
        <f>IF($B17=0,"",($O17/30)*'MF Rents'!CS17*'MF Rollover'!CP17)</f>
        <v/>
      </c>
      <c r="CR17" s="149" t="str">
        <f>IF($B17=0,"",($O17/30)*'MF Rents'!CT17*'MF Rollover'!CQ17)</f>
        <v/>
      </c>
      <c r="CS17" s="149" t="str">
        <f>IF($B17=0,"",($O17/30)*'MF Rents'!CU17*'MF Rollover'!CR17)</f>
        <v/>
      </c>
      <c r="CT17" s="149" t="str">
        <f>IF($B17=0,"",($O17/30)*'MF Rents'!CV17*'MF Rollover'!CS17)</f>
        <v/>
      </c>
      <c r="CU17" s="149" t="str">
        <f>IF($B17=0,"",($O17/30)*'MF Rents'!CW17*'MF Rollover'!CT17)</f>
        <v/>
      </c>
      <c r="CV17" s="149" t="str">
        <f>IF($B17=0,"",($O17/30)*'MF Rents'!CX17*'MF Rollover'!CU17)</f>
        <v/>
      </c>
      <c r="CW17" s="149" t="str">
        <f>IF($B17=0,"",($O17/30)*'MF Rents'!CY17*'MF Rollover'!CV17)</f>
        <v/>
      </c>
      <c r="CX17" s="149" t="str">
        <f>IF($B17=0,"",($O17/30)*'MF Rents'!CZ17*'MF Rollover'!CW17)</f>
        <v/>
      </c>
      <c r="CY17" s="149" t="str">
        <f>IF($B17=0,"",($O17/30)*'MF Rents'!DA17*'MF Rollover'!CX17)</f>
        <v/>
      </c>
      <c r="CZ17" s="149" t="str">
        <f>IF($B17=0,"",($O17/30)*'MF Rents'!DB17*'MF Rollover'!CY17)</f>
        <v/>
      </c>
      <c r="DA17" s="149" t="str">
        <f>IF($B17=0,"",($O17/30)*'MF Rents'!DC17*'MF Rollover'!CZ17)</f>
        <v/>
      </c>
      <c r="DB17" s="149" t="str">
        <f>IF($B17=0,"",($O17/30)*'MF Rents'!DD17*'MF Rollover'!DA17)</f>
        <v/>
      </c>
      <c r="DC17" s="149" t="str">
        <f>IF($B17=0,"",($O17/30)*'MF Rents'!DE17*'MF Rollover'!DB17)</f>
        <v/>
      </c>
      <c r="DD17" s="149" t="str">
        <f>IF($B17=0,"",($O17/30)*'MF Rents'!DF17*'MF Rollover'!DC17)</f>
        <v/>
      </c>
      <c r="DE17" s="149" t="str">
        <f>IF($B17=0,"",($O17/30)*'MF Rents'!DG17*'MF Rollover'!DD17)</f>
        <v/>
      </c>
      <c r="DF17" s="149" t="str">
        <f>IF($B17=0,"",($O17/30)*'MF Rents'!DH17*'MF Rollover'!DE17)</f>
        <v/>
      </c>
      <c r="DG17" s="149" t="str">
        <f>IF($B17=0,"",($O17/30)*'MF Rents'!DI17*'MF Rollover'!DF17)</f>
        <v/>
      </c>
      <c r="DH17" s="149" t="str">
        <f>IF($B17=0,"",($O17/30)*'MF Rents'!DJ17*'MF Rollover'!DG17)</f>
        <v/>
      </c>
      <c r="DI17" s="149" t="str">
        <f>IF($B17=0,"",($O17/30)*'MF Rents'!DK17*'MF Rollover'!DH17)</f>
        <v/>
      </c>
      <c r="DJ17" s="149" t="str">
        <f>IF($B17=0,"",($O17/30)*'MF Rents'!DL17*'MF Rollover'!DI17)</f>
        <v/>
      </c>
      <c r="DK17" s="149" t="str">
        <f>IF($B17=0,"",($O17/30)*'MF Rents'!DM17*'MF Rollover'!DJ17)</f>
        <v/>
      </c>
      <c r="DL17" s="149" t="str">
        <f>IF($B17=0,"",($O17/30)*'MF Rents'!DN17*'MF Rollover'!DK17)</f>
        <v/>
      </c>
      <c r="DM17" s="149" t="str">
        <f>IF($B17=0,"",($O17/30)*'MF Rents'!DO17*'MF Rollover'!DL17)</f>
        <v/>
      </c>
      <c r="DN17" s="149" t="str">
        <f>IF($B17=0,"",($O17/30)*'MF Rents'!DP17*'MF Rollover'!DM17)</f>
        <v/>
      </c>
      <c r="DO17" s="149" t="str">
        <f>IF($B17=0,"",($O17/30)*'MF Rents'!DQ17*'MF Rollover'!DN17)</f>
        <v/>
      </c>
      <c r="DP17" s="149" t="str">
        <f>IF($B17=0,"",($O17/30)*'MF Rents'!DR17*'MF Rollover'!DO17)</f>
        <v/>
      </c>
      <c r="DQ17" s="149" t="str">
        <f>IF($B17=0,"",($O17/30)*'MF Rents'!DS17*'MF Rollover'!DP17)</f>
        <v/>
      </c>
      <c r="DR17" s="149" t="str">
        <f>IF($B17=0,"",($O17/30)*'MF Rents'!DT17*'MF Rollover'!DQ17)</f>
        <v/>
      </c>
      <c r="DS17" s="149" t="str">
        <f>IF($B17=0,"",($O17/30)*'MF Rents'!DU17*'MF Rollover'!DR17)</f>
        <v/>
      </c>
      <c r="DT17" s="149" t="str">
        <f>IF($B17=0,"",($O17/30)*'MF Rents'!DV17*'MF Rollover'!DS17)</f>
        <v/>
      </c>
      <c r="DU17" s="149" t="str">
        <f>IF($B17=0,"",($O17/30)*'MF Rents'!DW17*'MF Rollover'!DT17)</f>
        <v/>
      </c>
      <c r="DV17" s="149" t="str">
        <f>IF($B17=0,"",($O17/30)*'MF Rents'!DX17*'MF Rollover'!DU17)</f>
        <v/>
      </c>
      <c r="DW17" s="149" t="str">
        <f>IF($B17=0,"",($O17/30)*'MF Rents'!DY17*'MF Rollover'!DV17)</f>
        <v/>
      </c>
      <c r="DX17" s="149" t="str">
        <f>IF($B17=0,"",($O17/30)*'MF Rents'!DZ17*'MF Rollover'!DW17)</f>
        <v/>
      </c>
      <c r="DY17" s="149" t="str">
        <f>IF($B17=0,"",($O17/30)*'MF Rents'!EA17*'MF Rollover'!DX17)</f>
        <v/>
      </c>
      <c r="DZ17" s="149" t="str">
        <f>IF($B17=0,"",($O17/30)*'MF Rents'!EB17*'MF Rollover'!DY17)</f>
        <v/>
      </c>
      <c r="EA17" s="149" t="str">
        <f>IF($B17=0,"",($O17/30)*'MF Rents'!EC17*'MF Rollover'!DZ17)</f>
        <v/>
      </c>
      <c r="EB17" s="149" t="str">
        <f>IF($B17=0,"",($O17/30)*'MF Rents'!ED17*'MF Rollover'!EA17)</f>
        <v/>
      </c>
      <c r="EC17" s="149" t="str">
        <f>IF($B17=0,"",($O17/30)*'MF Rents'!EE17*'MF Rollover'!EB17)</f>
        <v/>
      </c>
      <c r="ED17" s="149" t="str">
        <f>IF($B17=0,"",($O17/30)*'MF Rents'!EF17*'MF Rollover'!EC17)</f>
        <v/>
      </c>
      <c r="EE17" s="149" t="str">
        <f>IF($B17=0,"",($O17/30)*'MF Rents'!EG17*'MF Rollover'!ED17)</f>
        <v/>
      </c>
      <c r="EF17" s="149" t="str">
        <f>IF($B17=0,"",($O17/30)*'MF Rents'!EH17*'MF Rollover'!EE17)</f>
        <v/>
      </c>
      <c r="EG17" s="149" t="str">
        <f>IF($B17=0,"",($O17/30)*'MF Rents'!EI17*'MF Rollover'!EF17)</f>
        <v/>
      </c>
      <c r="EH17" s="149" t="str">
        <f>IF($B17=0,"",($O17/30)*'MF Rents'!EJ17*'MF Rollover'!EG17)</f>
        <v/>
      </c>
      <c r="EI17" s="149" t="str">
        <f>IF($B17=0,"",($O17/30)*'MF Rents'!EK17*'MF Rollover'!EH17)</f>
        <v/>
      </c>
      <c r="EJ17" s="149" t="str">
        <f>IF($B17=0,"",($O17/30)*'MF Rents'!EL17*'MF Rollover'!EI17)</f>
        <v/>
      </c>
      <c r="EK17" s="149" t="str">
        <f>IF($B17=0,"",($O17/30)*'MF Rents'!EM17*'MF Rollover'!EJ17)</f>
        <v/>
      </c>
      <c r="EL17" s="149" t="str">
        <f>IF($B17=0,"",($O17/30)*'MF Rents'!EN17*'MF Rollover'!EK17)</f>
        <v/>
      </c>
      <c r="EM17" s="149" t="str">
        <f>IF($B17=0,"",($O17/30)*'MF Rents'!EO17*'MF Rollover'!EL17)</f>
        <v/>
      </c>
      <c r="EN17" s="149" t="str">
        <f>IF($B17=0,"",($O17/30)*'MF Rents'!EP17*'MF Rollover'!EM17)</f>
        <v/>
      </c>
      <c r="EO17" s="149" t="str">
        <f>IF($B17=0,"",($O17/30)*'MF Rents'!EQ17*'MF Rollover'!EN17)</f>
        <v/>
      </c>
      <c r="EP17" s="149" t="str">
        <f>IF($B17=0,"",($O17/30)*'MF Rents'!ER17*'MF Rollover'!EO17)</f>
        <v/>
      </c>
      <c r="EQ17" s="149" t="str">
        <f>IF($B17=0,"",($O17/30)*'MF Rents'!ES17*'MF Rollover'!EP17)</f>
        <v/>
      </c>
      <c r="ER17" s="149" t="str">
        <f>IF($B17=0,"",($O17/30)*'MF Rents'!ET17*'MF Rollover'!EQ17)</f>
        <v/>
      </c>
      <c r="ES17" s="149" t="str">
        <f>IF($B17=0,"",($O17/30)*'MF Rents'!EU17*'MF Rollover'!ER17)</f>
        <v/>
      </c>
      <c r="ET17" s="149" t="str">
        <f>IF($B17=0,"",($O17/30)*'MF Rents'!EV17*'MF Rollover'!ES17)</f>
        <v/>
      </c>
      <c r="EU17" s="149" t="str">
        <f>IF($B17=0,"",($O17/30)*'MF Rents'!EW17*'MF Rollover'!ET17)</f>
        <v/>
      </c>
      <c r="EV17" s="149" t="str">
        <f>IF($B17=0,"",($O17/30)*'MF Rents'!EX17*'MF Rollover'!EU17)</f>
        <v/>
      </c>
      <c r="EW17" s="149" t="str">
        <f>IF($B17=0,"",($O17/30)*'MF Rents'!EY17*'MF Rollover'!EV17)</f>
        <v/>
      </c>
      <c r="EX17" s="149" t="str">
        <f>IF($B17=0,"",($O17/30)*'MF Rents'!EZ17*'MF Rollover'!EW17)</f>
        <v/>
      </c>
      <c r="EY17" s="149" t="str">
        <f>IF($B17=0,"",($O17/30)*'MF Rents'!FA17*'MF Rollover'!EX17)</f>
        <v/>
      </c>
      <c r="EZ17" s="149" t="str">
        <f>IF($B17=0,"",($O17/30)*'MF Rents'!FB17*'MF Rollover'!EY17)</f>
        <v/>
      </c>
      <c r="FA17" s="149" t="str">
        <f>IF($B17=0,"",($O17/30)*'MF Rents'!FC17*'MF Rollover'!EZ17)</f>
        <v/>
      </c>
      <c r="FB17" s="149" t="str">
        <f>IF($B17=0,"",($O17/30)*'MF Rents'!FD17*'MF Rollover'!FA17)</f>
        <v/>
      </c>
      <c r="FC17" s="149" t="str">
        <f>IF($B17=0,"",($O17/30)*'MF Rents'!FE17*'MF Rollover'!FB17)</f>
        <v/>
      </c>
      <c r="FD17" s="149" t="str">
        <f>IF($B17=0,"",($O17/30)*'MF Rents'!FF17*'MF Rollover'!FC17)</f>
        <v/>
      </c>
      <c r="FE17" s="149" t="str">
        <f>IF($B17=0,"",($O17/30)*'MF Rents'!FG17*'MF Rollover'!FD17)</f>
        <v/>
      </c>
      <c r="FF17" s="149" t="str">
        <f>IF($B17=0,"",($O17/30)*'MF Rents'!FH17*'MF Rollover'!FE17)</f>
        <v/>
      </c>
      <c r="FG17" s="149" t="str">
        <f>IF($B17=0,"",($O17/30)*'MF Rents'!FI17*'MF Rollover'!FF17)</f>
        <v/>
      </c>
      <c r="FH17" s="149" t="str">
        <f>IF($B17=0,"",($O17/30)*'MF Rents'!FJ17*'MF Rollover'!FG17)</f>
        <v/>
      </c>
      <c r="FI17" s="149" t="str">
        <f>IF($B17=0,"",($O17/30)*'MF Rents'!FK17*'MF Rollover'!FH17)</f>
        <v/>
      </c>
      <c r="FJ17" s="149" t="str">
        <f>IF($B17=0,"",($O17/30)*'MF Rents'!FL17*'MF Rollover'!FI17)</f>
        <v/>
      </c>
      <c r="FK17" s="149" t="str">
        <f>IF($B17=0,"",($O17/30)*'MF Rents'!FM17*'MF Rollover'!FJ17)</f>
        <v/>
      </c>
      <c r="FL17" s="149" t="str">
        <f>IF($B17=0,"",($O17/30)*'MF Rents'!FN17*'MF Rollover'!FK17)</f>
        <v/>
      </c>
      <c r="FM17" s="149" t="str">
        <f>IF($B17=0,"",($O17/30)*'MF Rents'!FO17*'MF Rollover'!FL17)</f>
        <v/>
      </c>
      <c r="FN17" s="149" t="str">
        <f>IF($B17=0,"",($O17/30)*'MF Rents'!FP17*'MF Rollover'!FM17)</f>
        <v/>
      </c>
      <c r="FO17" s="149" t="str">
        <f>IF($B17=0,"",($O17/30)*'MF Rents'!FQ17*'MF Rollover'!FN17)</f>
        <v/>
      </c>
      <c r="FP17" s="149" t="str">
        <f>IF($B17=0,"",($O17/30)*'MF Rents'!FR17*'MF Rollover'!FO17)</f>
        <v/>
      </c>
      <c r="FQ17" s="149" t="str">
        <f>IF($B17=0,"",($O17/30)*'MF Rents'!FS17*'MF Rollover'!FP17)</f>
        <v/>
      </c>
      <c r="FR17" s="149" t="str">
        <f>IF($B17=0,"",($O17/30)*'MF Rents'!FT17*'MF Rollover'!FQ17)</f>
        <v/>
      </c>
      <c r="FS17" s="149" t="str">
        <f>IF($B17=0,"",($O17/30)*'MF Rents'!FU17*'MF Rollover'!FR17)</f>
        <v/>
      </c>
      <c r="FT17" s="149" t="str">
        <f>IF($B17=0,"",($O17/30)*'MF Rents'!FV17*'MF Rollover'!FS17)</f>
        <v/>
      </c>
      <c r="FU17" s="149" t="str">
        <f>IF($B17=0,"",($O17/30)*'MF Rents'!FW17*'MF Rollover'!FT17)</f>
        <v/>
      </c>
      <c r="FV17" s="149" t="str">
        <f>IF($B17=0,"",($O17/30)*'MF Rents'!FX17*'MF Rollover'!FU17)</f>
        <v/>
      </c>
      <c r="FW17" s="149" t="str">
        <f>IF($B17=0,"",($O17/30)*'MF Rents'!FY17*'MF Rollover'!FV17)</f>
        <v/>
      </c>
      <c r="FX17" s="149" t="str">
        <f>IF($B17=0,"",($O17/30)*'MF Rents'!FZ17*'MF Rollover'!FW17)</f>
        <v/>
      </c>
      <c r="FY17" s="149" t="str">
        <f>IF($B17=0,"",($O17/30)*'MF Rents'!GA17*'MF Rollover'!FX17)</f>
        <v/>
      </c>
      <c r="FZ17" s="149" t="str">
        <f>IF($B17=0,"",($O17/30)*'MF Rents'!GB17*'MF Rollover'!FY17)</f>
        <v/>
      </c>
      <c r="GA17" s="149" t="str">
        <f>IF($B17=0,"",($O17/30)*'MF Rents'!GC17*'MF Rollover'!FZ17)</f>
        <v/>
      </c>
      <c r="GB17" s="149" t="str">
        <f>IF($B17=0,"",($O17/30)*'MF Rents'!GD17*'MF Rollover'!GA17)</f>
        <v/>
      </c>
      <c r="GC17" s="149" t="str">
        <f>IF($B17=0,"",($O17/30)*'MF Rents'!GE17*'MF Rollover'!GB17)</f>
        <v/>
      </c>
      <c r="GD17" s="149" t="str">
        <f>IF($B17=0,"",($O17/30)*'MF Rents'!GF17*'MF Rollover'!GC17)</f>
        <v/>
      </c>
      <c r="GE17" s="149" t="str">
        <f>IF($B17=0,"",($O17/30)*'MF Rents'!GG17*'MF Rollover'!GD17)</f>
        <v/>
      </c>
      <c r="GF17" s="149" t="str">
        <f>IF($B17=0,"",($O17/30)*'MF Rents'!GH17*'MF Rollover'!GE17)</f>
        <v/>
      </c>
      <c r="GG17" s="149" t="str">
        <f>IF($B17=0,"",($O17/30)*'MF Rents'!GI17*'MF Rollover'!GF17)</f>
        <v/>
      </c>
      <c r="GH17" s="149" t="str">
        <f>IF($B17=0,"",($O17/30)*'MF Rents'!GJ17*'MF Rollover'!GG17)</f>
        <v/>
      </c>
      <c r="GI17" s="149" t="str">
        <f>IF($B17=0,"",($O17/30)*'MF Rents'!GK17*'MF Rollover'!GH17)</f>
        <v/>
      </c>
      <c r="GJ17" s="149" t="str">
        <f>IF($B17=0,"",($O17/30)*'MF Rents'!GL17*'MF Rollover'!GI17)</f>
        <v/>
      </c>
      <c r="GK17" s="149" t="str">
        <f>IF($B17=0,"",($O17/30)*'MF Rents'!GM17*'MF Rollover'!GJ17)</f>
        <v/>
      </c>
      <c r="GL17" s="149" t="str">
        <f>IF($B17=0,"",($O17/30)*'MF Rents'!GN17*'MF Rollover'!GK17)</f>
        <v/>
      </c>
      <c r="GM17" s="149" t="str">
        <f>IF($B17=0,"",($O17/30)*'MF Rents'!GO17*'MF Rollover'!GL17)</f>
        <v/>
      </c>
      <c r="GN17" s="149" t="str">
        <f>IF($B17=0,"",($O17/30)*'MF Rents'!GP17*'MF Rollover'!GM17)</f>
        <v/>
      </c>
      <c r="GO17" s="149" t="str">
        <f>IF($B17=0,"",($O17/30)*'MF Rents'!GQ17*'MF Rollover'!GN17)</f>
        <v/>
      </c>
      <c r="GP17" s="149" t="str">
        <f>IF($B17=0,"",($O17/30)*'MF Rents'!GR17*'MF Rollover'!GO17)</f>
        <v/>
      </c>
    </row>
    <row r="18" spans="2:198" x14ac:dyDescent="0.3">
      <c r="B18" s="184">
        <f>'MF Rent Roll'!B17</f>
        <v>0</v>
      </c>
      <c r="C18" s="171">
        <f>'MF Rent Roll'!C17</f>
        <v>0</v>
      </c>
      <c r="D18" s="172">
        <f>'MF Rent Roll'!D17</f>
        <v>0</v>
      </c>
      <c r="E18" s="172">
        <f>'MF Rent Roll'!E17</f>
        <v>0</v>
      </c>
      <c r="F18" s="173">
        <f>'MF Rent Roll'!F17</f>
        <v>0</v>
      </c>
      <c r="G18" s="174">
        <f>'MF Rent Roll'!G17</f>
        <v>0</v>
      </c>
      <c r="H18" s="176">
        <f>'MF Rent Roll'!J17</f>
        <v>0</v>
      </c>
      <c r="I18" s="174">
        <f>'MF Rent Roll'!K17</f>
        <v>0</v>
      </c>
      <c r="J18" s="177">
        <f>'MF Rent Roll'!L17</f>
        <v>0</v>
      </c>
      <c r="K18" s="178">
        <f>'MF Rent Roll'!M17</f>
        <v>0</v>
      </c>
      <c r="L18" s="174">
        <f>'MF Rent Roll'!N17</f>
        <v>0</v>
      </c>
      <c r="M18" s="179">
        <f>'MF Rent Roll'!O17</f>
        <v>0</v>
      </c>
      <c r="N18" s="180" t="str">
        <f>'MF Rent Roll'!P17</f>
        <v/>
      </c>
      <c r="O18" s="181" t="str">
        <f>'MF Rent Roll'!Q17</f>
        <v/>
      </c>
      <c r="P18" s="104" t="str">
        <f>'MF Rent Roll'!R17</f>
        <v/>
      </c>
      <c r="S18" s="149" t="str">
        <f>IF($B18=0,"",($O18/30)*'MF Rents'!U18*'MF Rollover'!R18)</f>
        <v/>
      </c>
      <c r="T18" s="149" t="str">
        <f>IF($B18=0,"",($O18/30)*'MF Rents'!V18*'MF Rollover'!S18)</f>
        <v/>
      </c>
      <c r="U18" s="149" t="str">
        <f>IF($B18=0,"",($O18/30)*'MF Rents'!W18*'MF Rollover'!T18)</f>
        <v/>
      </c>
      <c r="V18" s="149" t="str">
        <f>IF($B18=0,"",($O18/30)*'MF Rents'!X18*'MF Rollover'!U18)</f>
        <v/>
      </c>
      <c r="W18" s="149" t="str">
        <f>IF($B18=0,"",($O18/30)*'MF Rents'!Y18*'MF Rollover'!V18)</f>
        <v/>
      </c>
      <c r="X18" s="149" t="str">
        <f>IF($B18=0,"",($O18/30)*'MF Rents'!Z18*'MF Rollover'!W18)</f>
        <v/>
      </c>
      <c r="Y18" s="149" t="str">
        <f>IF($B18=0,"",($O18/30)*'MF Rents'!AA18*'MF Rollover'!X18)</f>
        <v/>
      </c>
      <c r="Z18" s="149" t="str">
        <f>IF($B18=0,"",($O18/30)*'MF Rents'!AB18*'MF Rollover'!Y18)</f>
        <v/>
      </c>
      <c r="AA18" s="149" t="str">
        <f>IF($B18=0,"",($O18/30)*'MF Rents'!AC18*'MF Rollover'!Z18)</f>
        <v/>
      </c>
      <c r="AB18" s="149" t="str">
        <f>IF($B18=0,"",($O18/30)*'MF Rents'!AD18*'MF Rollover'!AA18)</f>
        <v/>
      </c>
      <c r="AC18" s="149" t="str">
        <f>IF($B18=0,"",($O18/30)*'MF Rents'!AE18*'MF Rollover'!AB18)</f>
        <v/>
      </c>
      <c r="AD18" s="149" t="str">
        <f>IF($B18=0,"",($O18/30)*'MF Rents'!AF18*'MF Rollover'!AC18)</f>
        <v/>
      </c>
      <c r="AE18" s="149" t="str">
        <f>IF($B18=0,"",($O18/30)*'MF Rents'!AG18*'MF Rollover'!AD18)</f>
        <v/>
      </c>
      <c r="AF18" s="149" t="str">
        <f>IF($B18=0,"",($O18/30)*'MF Rents'!AH18*'MF Rollover'!AE18)</f>
        <v/>
      </c>
      <c r="AG18" s="149" t="str">
        <f>IF($B18=0,"",($O18/30)*'MF Rents'!AI18*'MF Rollover'!AF18)</f>
        <v/>
      </c>
      <c r="AH18" s="149" t="str">
        <f>IF($B18=0,"",($O18/30)*'MF Rents'!AJ18*'MF Rollover'!AG18)</f>
        <v/>
      </c>
      <c r="AI18" s="149" t="str">
        <f>IF($B18=0,"",($O18/30)*'MF Rents'!AK18*'MF Rollover'!AH18)</f>
        <v/>
      </c>
      <c r="AJ18" s="149" t="str">
        <f>IF($B18=0,"",($O18/30)*'MF Rents'!AL18*'MF Rollover'!AI18)</f>
        <v/>
      </c>
      <c r="AK18" s="149" t="str">
        <f>IF($B18=0,"",($O18/30)*'MF Rents'!AM18*'MF Rollover'!AJ18)</f>
        <v/>
      </c>
      <c r="AL18" s="149" t="str">
        <f>IF($B18=0,"",($O18/30)*'MF Rents'!AN18*'MF Rollover'!AK18)</f>
        <v/>
      </c>
      <c r="AM18" s="149" t="str">
        <f>IF($B18=0,"",($O18/30)*'MF Rents'!AO18*'MF Rollover'!AL18)</f>
        <v/>
      </c>
      <c r="AN18" s="149" t="str">
        <f>IF($B18=0,"",($O18/30)*'MF Rents'!AP18*'MF Rollover'!AM18)</f>
        <v/>
      </c>
      <c r="AO18" s="149" t="str">
        <f>IF($B18=0,"",($O18/30)*'MF Rents'!AQ18*'MF Rollover'!AN18)</f>
        <v/>
      </c>
      <c r="AP18" s="149" t="str">
        <f>IF($B18=0,"",($O18/30)*'MF Rents'!AR18*'MF Rollover'!AO18)</f>
        <v/>
      </c>
      <c r="AQ18" s="149" t="str">
        <f>IF($B18=0,"",($O18/30)*'MF Rents'!AS18*'MF Rollover'!AP18)</f>
        <v/>
      </c>
      <c r="AR18" s="149" t="str">
        <f>IF($B18=0,"",($O18/30)*'MF Rents'!AT18*'MF Rollover'!AQ18)</f>
        <v/>
      </c>
      <c r="AS18" s="149" t="str">
        <f>IF($B18=0,"",($O18/30)*'MF Rents'!AU18*'MF Rollover'!AR18)</f>
        <v/>
      </c>
      <c r="AT18" s="149" t="str">
        <f>IF($B18=0,"",($O18/30)*'MF Rents'!AV18*'MF Rollover'!AS18)</f>
        <v/>
      </c>
      <c r="AU18" s="149" t="str">
        <f>IF($B18=0,"",($O18/30)*'MF Rents'!AW18*'MF Rollover'!AT18)</f>
        <v/>
      </c>
      <c r="AV18" s="149" t="str">
        <f>IF($B18=0,"",($O18/30)*'MF Rents'!AX18*'MF Rollover'!AU18)</f>
        <v/>
      </c>
      <c r="AW18" s="149" t="str">
        <f>IF($B18=0,"",($O18/30)*'MF Rents'!AY18*'MF Rollover'!AV18)</f>
        <v/>
      </c>
      <c r="AX18" s="149" t="str">
        <f>IF($B18=0,"",($O18/30)*'MF Rents'!AZ18*'MF Rollover'!AW18)</f>
        <v/>
      </c>
      <c r="AY18" s="149" t="str">
        <f>IF($B18=0,"",($O18/30)*'MF Rents'!BA18*'MF Rollover'!AX18)</f>
        <v/>
      </c>
      <c r="AZ18" s="149" t="str">
        <f>IF($B18=0,"",($O18/30)*'MF Rents'!BB18*'MF Rollover'!AY18)</f>
        <v/>
      </c>
      <c r="BA18" s="149" t="str">
        <f>IF($B18=0,"",($O18/30)*'MF Rents'!BC18*'MF Rollover'!AZ18)</f>
        <v/>
      </c>
      <c r="BB18" s="149" t="str">
        <f>IF($B18=0,"",($O18/30)*'MF Rents'!BD18*'MF Rollover'!BA18)</f>
        <v/>
      </c>
      <c r="BC18" s="149" t="str">
        <f>IF($B18=0,"",($O18/30)*'MF Rents'!BE18*'MF Rollover'!BB18)</f>
        <v/>
      </c>
      <c r="BD18" s="149" t="str">
        <f>IF($B18=0,"",($O18/30)*'MF Rents'!BF18*'MF Rollover'!BC18)</f>
        <v/>
      </c>
      <c r="BE18" s="149" t="str">
        <f>IF($B18=0,"",($O18/30)*'MF Rents'!BG18*'MF Rollover'!BD18)</f>
        <v/>
      </c>
      <c r="BF18" s="149" t="str">
        <f>IF($B18=0,"",($O18/30)*'MF Rents'!BH18*'MF Rollover'!BE18)</f>
        <v/>
      </c>
      <c r="BG18" s="149" t="str">
        <f>IF($B18=0,"",($O18/30)*'MF Rents'!BI18*'MF Rollover'!BF18)</f>
        <v/>
      </c>
      <c r="BH18" s="149" t="str">
        <f>IF($B18=0,"",($O18/30)*'MF Rents'!BJ18*'MF Rollover'!BG18)</f>
        <v/>
      </c>
      <c r="BI18" s="149" t="str">
        <f>IF($B18=0,"",($O18/30)*'MF Rents'!BK18*'MF Rollover'!BH18)</f>
        <v/>
      </c>
      <c r="BJ18" s="149" t="str">
        <f>IF($B18=0,"",($O18/30)*'MF Rents'!BL18*'MF Rollover'!BI18)</f>
        <v/>
      </c>
      <c r="BK18" s="149" t="str">
        <f>IF($B18=0,"",($O18/30)*'MF Rents'!BM18*'MF Rollover'!BJ18)</f>
        <v/>
      </c>
      <c r="BL18" s="149" t="str">
        <f>IF($B18=0,"",($O18/30)*'MF Rents'!BN18*'MF Rollover'!BK18)</f>
        <v/>
      </c>
      <c r="BM18" s="149" t="str">
        <f>IF($B18=0,"",($O18/30)*'MF Rents'!BO18*'MF Rollover'!BL18)</f>
        <v/>
      </c>
      <c r="BN18" s="149" t="str">
        <f>IF($B18=0,"",($O18/30)*'MF Rents'!BP18*'MF Rollover'!BM18)</f>
        <v/>
      </c>
      <c r="BO18" s="149" t="str">
        <f>IF($B18=0,"",($O18/30)*'MF Rents'!BQ18*'MF Rollover'!BN18)</f>
        <v/>
      </c>
      <c r="BP18" s="149" t="str">
        <f>IF($B18=0,"",($O18/30)*'MF Rents'!BR18*'MF Rollover'!BO18)</f>
        <v/>
      </c>
      <c r="BQ18" s="149" t="str">
        <f>IF($B18=0,"",($O18/30)*'MF Rents'!BS18*'MF Rollover'!BP18)</f>
        <v/>
      </c>
      <c r="BR18" s="149" t="str">
        <f>IF($B18=0,"",($O18/30)*'MF Rents'!BT18*'MF Rollover'!BQ18)</f>
        <v/>
      </c>
      <c r="BS18" s="149" t="str">
        <f>IF($B18=0,"",($O18/30)*'MF Rents'!BU18*'MF Rollover'!BR18)</f>
        <v/>
      </c>
      <c r="BT18" s="149" t="str">
        <f>IF($B18=0,"",($O18/30)*'MF Rents'!BV18*'MF Rollover'!BS18)</f>
        <v/>
      </c>
      <c r="BU18" s="149" t="str">
        <f>IF($B18=0,"",($O18/30)*'MF Rents'!BW18*'MF Rollover'!BT18)</f>
        <v/>
      </c>
      <c r="BV18" s="149" t="str">
        <f>IF($B18=0,"",($O18/30)*'MF Rents'!BX18*'MF Rollover'!BU18)</f>
        <v/>
      </c>
      <c r="BW18" s="149" t="str">
        <f>IF($B18=0,"",($O18/30)*'MF Rents'!BY18*'MF Rollover'!BV18)</f>
        <v/>
      </c>
      <c r="BX18" s="149" t="str">
        <f>IF($B18=0,"",($O18/30)*'MF Rents'!BZ18*'MF Rollover'!BW18)</f>
        <v/>
      </c>
      <c r="BY18" s="149" t="str">
        <f>IF($B18=0,"",($O18/30)*'MF Rents'!CA18*'MF Rollover'!BX18)</f>
        <v/>
      </c>
      <c r="BZ18" s="149" t="str">
        <f>IF($B18=0,"",($O18/30)*'MF Rents'!CB18*'MF Rollover'!BY18)</f>
        <v/>
      </c>
      <c r="CA18" s="149" t="str">
        <f>IF($B18=0,"",($O18/30)*'MF Rents'!CC18*'MF Rollover'!BZ18)</f>
        <v/>
      </c>
      <c r="CB18" s="149" t="str">
        <f>IF($B18=0,"",($O18/30)*'MF Rents'!CD18*'MF Rollover'!CA18)</f>
        <v/>
      </c>
      <c r="CC18" s="149" t="str">
        <f>IF($B18=0,"",($O18/30)*'MF Rents'!CE18*'MF Rollover'!CB18)</f>
        <v/>
      </c>
      <c r="CD18" s="149" t="str">
        <f>IF($B18=0,"",($O18/30)*'MF Rents'!CF18*'MF Rollover'!CC18)</f>
        <v/>
      </c>
      <c r="CE18" s="149" t="str">
        <f>IF($B18=0,"",($O18/30)*'MF Rents'!CG18*'MF Rollover'!CD18)</f>
        <v/>
      </c>
      <c r="CF18" s="149" t="str">
        <f>IF($B18=0,"",($O18/30)*'MF Rents'!CH18*'MF Rollover'!CE18)</f>
        <v/>
      </c>
      <c r="CG18" s="149" t="str">
        <f>IF($B18=0,"",($O18/30)*'MF Rents'!CI18*'MF Rollover'!CF18)</f>
        <v/>
      </c>
      <c r="CH18" s="149" t="str">
        <f>IF($B18=0,"",($O18/30)*'MF Rents'!CJ18*'MF Rollover'!CG18)</f>
        <v/>
      </c>
      <c r="CI18" s="149" t="str">
        <f>IF($B18=0,"",($O18/30)*'MF Rents'!CK18*'MF Rollover'!CH18)</f>
        <v/>
      </c>
      <c r="CJ18" s="149" t="str">
        <f>IF($B18=0,"",($O18/30)*'MF Rents'!CL18*'MF Rollover'!CI18)</f>
        <v/>
      </c>
      <c r="CK18" s="149" t="str">
        <f>IF($B18=0,"",($O18/30)*'MF Rents'!CM18*'MF Rollover'!CJ18)</f>
        <v/>
      </c>
      <c r="CL18" s="149" t="str">
        <f>IF($B18=0,"",($O18/30)*'MF Rents'!CN18*'MF Rollover'!CK18)</f>
        <v/>
      </c>
      <c r="CM18" s="149" t="str">
        <f>IF($B18=0,"",($O18/30)*'MF Rents'!CO18*'MF Rollover'!CL18)</f>
        <v/>
      </c>
      <c r="CN18" s="149" t="str">
        <f>IF($B18=0,"",($O18/30)*'MF Rents'!CP18*'MF Rollover'!CM18)</f>
        <v/>
      </c>
      <c r="CO18" s="149" t="str">
        <f>IF($B18=0,"",($O18/30)*'MF Rents'!CQ18*'MF Rollover'!CN18)</f>
        <v/>
      </c>
      <c r="CP18" s="149" t="str">
        <f>IF($B18=0,"",($O18/30)*'MF Rents'!CR18*'MF Rollover'!CO18)</f>
        <v/>
      </c>
      <c r="CQ18" s="149" t="str">
        <f>IF($B18=0,"",($O18/30)*'MF Rents'!CS18*'MF Rollover'!CP18)</f>
        <v/>
      </c>
      <c r="CR18" s="149" t="str">
        <f>IF($B18=0,"",($O18/30)*'MF Rents'!CT18*'MF Rollover'!CQ18)</f>
        <v/>
      </c>
      <c r="CS18" s="149" t="str">
        <f>IF($B18=0,"",($O18/30)*'MF Rents'!CU18*'MF Rollover'!CR18)</f>
        <v/>
      </c>
      <c r="CT18" s="149" t="str">
        <f>IF($B18=0,"",($O18/30)*'MF Rents'!CV18*'MF Rollover'!CS18)</f>
        <v/>
      </c>
      <c r="CU18" s="149" t="str">
        <f>IF($B18=0,"",($O18/30)*'MF Rents'!CW18*'MF Rollover'!CT18)</f>
        <v/>
      </c>
      <c r="CV18" s="149" t="str">
        <f>IF($B18=0,"",($O18/30)*'MF Rents'!CX18*'MF Rollover'!CU18)</f>
        <v/>
      </c>
      <c r="CW18" s="149" t="str">
        <f>IF($B18=0,"",($O18/30)*'MF Rents'!CY18*'MF Rollover'!CV18)</f>
        <v/>
      </c>
      <c r="CX18" s="149" t="str">
        <f>IF($B18=0,"",($O18/30)*'MF Rents'!CZ18*'MF Rollover'!CW18)</f>
        <v/>
      </c>
      <c r="CY18" s="149" t="str">
        <f>IF($B18=0,"",($O18/30)*'MF Rents'!DA18*'MF Rollover'!CX18)</f>
        <v/>
      </c>
      <c r="CZ18" s="149" t="str">
        <f>IF($B18=0,"",($O18/30)*'MF Rents'!DB18*'MF Rollover'!CY18)</f>
        <v/>
      </c>
      <c r="DA18" s="149" t="str">
        <f>IF($B18=0,"",($O18/30)*'MF Rents'!DC18*'MF Rollover'!CZ18)</f>
        <v/>
      </c>
      <c r="DB18" s="149" t="str">
        <f>IF($B18=0,"",($O18/30)*'MF Rents'!DD18*'MF Rollover'!DA18)</f>
        <v/>
      </c>
      <c r="DC18" s="149" t="str">
        <f>IF($B18=0,"",($O18/30)*'MF Rents'!DE18*'MF Rollover'!DB18)</f>
        <v/>
      </c>
      <c r="DD18" s="149" t="str">
        <f>IF($B18=0,"",($O18/30)*'MF Rents'!DF18*'MF Rollover'!DC18)</f>
        <v/>
      </c>
      <c r="DE18" s="149" t="str">
        <f>IF($B18=0,"",($O18/30)*'MF Rents'!DG18*'MF Rollover'!DD18)</f>
        <v/>
      </c>
      <c r="DF18" s="149" t="str">
        <f>IF($B18=0,"",($O18/30)*'MF Rents'!DH18*'MF Rollover'!DE18)</f>
        <v/>
      </c>
      <c r="DG18" s="149" t="str">
        <f>IF($B18=0,"",($O18/30)*'MF Rents'!DI18*'MF Rollover'!DF18)</f>
        <v/>
      </c>
      <c r="DH18" s="149" t="str">
        <f>IF($B18=0,"",($O18/30)*'MF Rents'!DJ18*'MF Rollover'!DG18)</f>
        <v/>
      </c>
      <c r="DI18" s="149" t="str">
        <f>IF($B18=0,"",($O18/30)*'MF Rents'!DK18*'MF Rollover'!DH18)</f>
        <v/>
      </c>
      <c r="DJ18" s="149" t="str">
        <f>IF($B18=0,"",($O18/30)*'MF Rents'!DL18*'MF Rollover'!DI18)</f>
        <v/>
      </c>
      <c r="DK18" s="149" t="str">
        <f>IF($B18=0,"",($O18/30)*'MF Rents'!DM18*'MF Rollover'!DJ18)</f>
        <v/>
      </c>
      <c r="DL18" s="149" t="str">
        <f>IF($B18=0,"",($O18/30)*'MF Rents'!DN18*'MF Rollover'!DK18)</f>
        <v/>
      </c>
      <c r="DM18" s="149" t="str">
        <f>IF($B18=0,"",($O18/30)*'MF Rents'!DO18*'MF Rollover'!DL18)</f>
        <v/>
      </c>
      <c r="DN18" s="149" t="str">
        <f>IF($B18=0,"",($O18/30)*'MF Rents'!DP18*'MF Rollover'!DM18)</f>
        <v/>
      </c>
      <c r="DO18" s="149" t="str">
        <f>IF($B18=0,"",($O18/30)*'MF Rents'!DQ18*'MF Rollover'!DN18)</f>
        <v/>
      </c>
      <c r="DP18" s="149" t="str">
        <f>IF($B18=0,"",($O18/30)*'MF Rents'!DR18*'MF Rollover'!DO18)</f>
        <v/>
      </c>
      <c r="DQ18" s="149" t="str">
        <f>IF($B18=0,"",($O18/30)*'MF Rents'!DS18*'MF Rollover'!DP18)</f>
        <v/>
      </c>
      <c r="DR18" s="149" t="str">
        <f>IF($B18=0,"",($O18/30)*'MF Rents'!DT18*'MF Rollover'!DQ18)</f>
        <v/>
      </c>
      <c r="DS18" s="149" t="str">
        <f>IF($B18=0,"",($O18/30)*'MF Rents'!DU18*'MF Rollover'!DR18)</f>
        <v/>
      </c>
      <c r="DT18" s="149" t="str">
        <f>IF($B18=0,"",($O18/30)*'MF Rents'!DV18*'MF Rollover'!DS18)</f>
        <v/>
      </c>
      <c r="DU18" s="149" t="str">
        <f>IF($B18=0,"",($O18/30)*'MF Rents'!DW18*'MF Rollover'!DT18)</f>
        <v/>
      </c>
      <c r="DV18" s="149" t="str">
        <f>IF($B18=0,"",($O18/30)*'MF Rents'!DX18*'MF Rollover'!DU18)</f>
        <v/>
      </c>
      <c r="DW18" s="149" t="str">
        <f>IF($B18=0,"",($O18/30)*'MF Rents'!DY18*'MF Rollover'!DV18)</f>
        <v/>
      </c>
      <c r="DX18" s="149" t="str">
        <f>IF($B18=0,"",($O18/30)*'MF Rents'!DZ18*'MF Rollover'!DW18)</f>
        <v/>
      </c>
      <c r="DY18" s="149" t="str">
        <f>IF($B18=0,"",($O18/30)*'MF Rents'!EA18*'MF Rollover'!DX18)</f>
        <v/>
      </c>
      <c r="DZ18" s="149" t="str">
        <f>IF($B18=0,"",($O18/30)*'MF Rents'!EB18*'MF Rollover'!DY18)</f>
        <v/>
      </c>
      <c r="EA18" s="149" t="str">
        <f>IF($B18=0,"",($O18/30)*'MF Rents'!EC18*'MF Rollover'!DZ18)</f>
        <v/>
      </c>
      <c r="EB18" s="149" t="str">
        <f>IF($B18=0,"",($O18/30)*'MF Rents'!ED18*'MF Rollover'!EA18)</f>
        <v/>
      </c>
      <c r="EC18" s="149" t="str">
        <f>IF($B18=0,"",($O18/30)*'MF Rents'!EE18*'MF Rollover'!EB18)</f>
        <v/>
      </c>
      <c r="ED18" s="149" t="str">
        <f>IF($B18=0,"",($O18/30)*'MF Rents'!EF18*'MF Rollover'!EC18)</f>
        <v/>
      </c>
      <c r="EE18" s="149" t="str">
        <f>IF($B18=0,"",($O18/30)*'MF Rents'!EG18*'MF Rollover'!ED18)</f>
        <v/>
      </c>
      <c r="EF18" s="149" t="str">
        <f>IF($B18=0,"",($O18/30)*'MF Rents'!EH18*'MF Rollover'!EE18)</f>
        <v/>
      </c>
      <c r="EG18" s="149" t="str">
        <f>IF($B18=0,"",($O18/30)*'MF Rents'!EI18*'MF Rollover'!EF18)</f>
        <v/>
      </c>
      <c r="EH18" s="149" t="str">
        <f>IF($B18=0,"",($O18/30)*'MF Rents'!EJ18*'MF Rollover'!EG18)</f>
        <v/>
      </c>
      <c r="EI18" s="149" t="str">
        <f>IF($B18=0,"",($O18/30)*'MF Rents'!EK18*'MF Rollover'!EH18)</f>
        <v/>
      </c>
      <c r="EJ18" s="149" t="str">
        <f>IF($B18=0,"",($O18/30)*'MF Rents'!EL18*'MF Rollover'!EI18)</f>
        <v/>
      </c>
      <c r="EK18" s="149" t="str">
        <f>IF($B18=0,"",($O18/30)*'MF Rents'!EM18*'MF Rollover'!EJ18)</f>
        <v/>
      </c>
      <c r="EL18" s="149" t="str">
        <f>IF($B18=0,"",($O18/30)*'MF Rents'!EN18*'MF Rollover'!EK18)</f>
        <v/>
      </c>
      <c r="EM18" s="149" t="str">
        <f>IF($B18=0,"",($O18/30)*'MF Rents'!EO18*'MF Rollover'!EL18)</f>
        <v/>
      </c>
      <c r="EN18" s="149" t="str">
        <f>IF($B18=0,"",($O18/30)*'MF Rents'!EP18*'MF Rollover'!EM18)</f>
        <v/>
      </c>
      <c r="EO18" s="149" t="str">
        <f>IF($B18=0,"",($O18/30)*'MF Rents'!EQ18*'MF Rollover'!EN18)</f>
        <v/>
      </c>
      <c r="EP18" s="149" t="str">
        <f>IF($B18=0,"",($O18/30)*'MF Rents'!ER18*'MF Rollover'!EO18)</f>
        <v/>
      </c>
      <c r="EQ18" s="149" t="str">
        <f>IF($B18=0,"",($O18/30)*'MF Rents'!ES18*'MF Rollover'!EP18)</f>
        <v/>
      </c>
      <c r="ER18" s="149" t="str">
        <f>IF($B18=0,"",($O18/30)*'MF Rents'!ET18*'MF Rollover'!EQ18)</f>
        <v/>
      </c>
      <c r="ES18" s="149" t="str">
        <f>IF($B18=0,"",($O18/30)*'MF Rents'!EU18*'MF Rollover'!ER18)</f>
        <v/>
      </c>
      <c r="ET18" s="149" t="str">
        <f>IF($B18=0,"",($O18/30)*'MF Rents'!EV18*'MF Rollover'!ES18)</f>
        <v/>
      </c>
      <c r="EU18" s="149" t="str">
        <f>IF($B18=0,"",($O18/30)*'MF Rents'!EW18*'MF Rollover'!ET18)</f>
        <v/>
      </c>
      <c r="EV18" s="149" t="str">
        <f>IF($B18=0,"",($O18/30)*'MF Rents'!EX18*'MF Rollover'!EU18)</f>
        <v/>
      </c>
      <c r="EW18" s="149" t="str">
        <f>IF($B18=0,"",($O18/30)*'MF Rents'!EY18*'MF Rollover'!EV18)</f>
        <v/>
      </c>
      <c r="EX18" s="149" t="str">
        <f>IF($B18=0,"",($O18/30)*'MF Rents'!EZ18*'MF Rollover'!EW18)</f>
        <v/>
      </c>
      <c r="EY18" s="149" t="str">
        <f>IF($B18=0,"",($O18/30)*'MF Rents'!FA18*'MF Rollover'!EX18)</f>
        <v/>
      </c>
      <c r="EZ18" s="149" t="str">
        <f>IF($B18=0,"",($O18/30)*'MF Rents'!FB18*'MF Rollover'!EY18)</f>
        <v/>
      </c>
      <c r="FA18" s="149" t="str">
        <f>IF($B18=0,"",($O18/30)*'MF Rents'!FC18*'MF Rollover'!EZ18)</f>
        <v/>
      </c>
      <c r="FB18" s="149" t="str">
        <f>IF($B18=0,"",($O18/30)*'MF Rents'!FD18*'MF Rollover'!FA18)</f>
        <v/>
      </c>
      <c r="FC18" s="149" t="str">
        <f>IF($B18=0,"",($O18/30)*'MF Rents'!FE18*'MF Rollover'!FB18)</f>
        <v/>
      </c>
      <c r="FD18" s="149" t="str">
        <f>IF($B18=0,"",($O18/30)*'MF Rents'!FF18*'MF Rollover'!FC18)</f>
        <v/>
      </c>
      <c r="FE18" s="149" t="str">
        <f>IF($B18=0,"",($O18/30)*'MF Rents'!FG18*'MF Rollover'!FD18)</f>
        <v/>
      </c>
      <c r="FF18" s="149" t="str">
        <f>IF($B18=0,"",($O18/30)*'MF Rents'!FH18*'MF Rollover'!FE18)</f>
        <v/>
      </c>
      <c r="FG18" s="149" t="str">
        <f>IF($B18=0,"",($O18/30)*'MF Rents'!FI18*'MF Rollover'!FF18)</f>
        <v/>
      </c>
      <c r="FH18" s="149" t="str">
        <f>IF($B18=0,"",($O18/30)*'MF Rents'!FJ18*'MF Rollover'!FG18)</f>
        <v/>
      </c>
      <c r="FI18" s="149" t="str">
        <f>IF($B18=0,"",($O18/30)*'MF Rents'!FK18*'MF Rollover'!FH18)</f>
        <v/>
      </c>
      <c r="FJ18" s="149" t="str">
        <f>IF($B18=0,"",($O18/30)*'MF Rents'!FL18*'MF Rollover'!FI18)</f>
        <v/>
      </c>
      <c r="FK18" s="149" t="str">
        <f>IF($B18=0,"",($O18/30)*'MF Rents'!FM18*'MF Rollover'!FJ18)</f>
        <v/>
      </c>
      <c r="FL18" s="149" t="str">
        <f>IF($B18=0,"",($O18/30)*'MF Rents'!FN18*'MF Rollover'!FK18)</f>
        <v/>
      </c>
      <c r="FM18" s="149" t="str">
        <f>IF($B18=0,"",($O18/30)*'MF Rents'!FO18*'MF Rollover'!FL18)</f>
        <v/>
      </c>
      <c r="FN18" s="149" t="str">
        <f>IF($B18=0,"",($O18/30)*'MF Rents'!FP18*'MF Rollover'!FM18)</f>
        <v/>
      </c>
      <c r="FO18" s="149" t="str">
        <f>IF($B18=0,"",($O18/30)*'MF Rents'!FQ18*'MF Rollover'!FN18)</f>
        <v/>
      </c>
      <c r="FP18" s="149" t="str">
        <f>IF($B18=0,"",($O18/30)*'MF Rents'!FR18*'MF Rollover'!FO18)</f>
        <v/>
      </c>
      <c r="FQ18" s="149" t="str">
        <f>IF($B18=0,"",($O18/30)*'MF Rents'!FS18*'MF Rollover'!FP18)</f>
        <v/>
      </c>
      <c r="FR18" s="149" t="str">
        <f>IF($B18=0,"",($O18/30)*'MF Rents'!FT18*'MF Rollover'!FQ18)</f>
        <v/>
      </c>
      <c r="FS18" s="149" t="str">
        <f>IF($B18=0,"",($O18/30)*'MF Rents'!FU18*'MF Rollover'!FR18)</f>
        <v/>
      </c>
      <c r="FT18" s="149" t="str">
        <f>IF($B18=0,"",($O18/30)*'MF Rents'!FV18*'MF Rollover'!FS18)</f>
        <v/>
      </c>
      <c r="FU18" s="149" t="str">
        <f>IF($B18=0,"",($O18/30)*'MF Rents'!FW18*'MF Rollover'!FT18)</f>
        <v/>
      </c>
      <c r="FV18" s="149" t="str">
        <f>IF($B18=0,"",($O18/30)*'MF Rents'!FX18*'MF Rollover'!FU18)</f>
        <v/>
      </c>
      <c r="FW18" s="149" t="str">
        <f>IF($B18=0,"",($O18/30)*'MF Rents'!FY18*'MF Rollover'!FV18)</f>
        <v/>
      </c>
      <c r="FX18" s="149" t="str">
        <f>IF($B18=0,"",($O18/30)*'MF Rents'!FZ18*'MF Rollover'!FW18)</f>
        <v/>
      </c>
      <c r="FY18" s="149" t="str">
        <f>IF($B18=0,"",($O18/30)*'MF Rents'!GA18*'MF Rollover'!FX18)</f>
        <v/>
      </c>
      <c r="FZ18" s="149" t="str">
        <f>IF($B18=0,"",($O18/30)*'MF Rents'!GB18*'MF Rollover'!FY18)</f>
        <v/>
      </c>
      <c r="GA18" s="149" t="str">
        <f>IF($B18=0,"",($O18/30)*'MF Rents'!GC18*'MF Rollover'!FZ18)</f>
        <v/>
      </c>
      <c r="GB18" s="149" t="str">
        <f>IF($B18=0,"",($O18/30)*'MF Rents'!GD18*'MF Rollover'!GA18)</f>
        <v/>
      </c>
      <c r="GC18" s="149" t="str">
        <f>IF($B18=0,"",($O18/30)*'MF Rents'!GE18*'MF Rollover'!GB18)</f>
        <v/>
      </c>
      <c r="GD18" s="149" t="str">
        <f>IF($B18=0,"",($O18/30)*'MF Rents'!GF18*'MF Rollover'!GC18)</f>
        <v/>
      </c>
      <c r="GE18" s="149" t="str">
        <f>IF($B18=0,"",($O18/30)*'MF Rents'!GG18*'MF Rollover'!GD18)</f>
        <v/>
      </c>
      <c r="GF18" s="149" t="str">
        <f>IF($B18=0,"",($O18/30)*'MF Rents'!GH18*'MF Rollover'!GE18)</f>
        <v/>
      </c>
      <c r="GG18" s="149" t="str">
        <f>IF($B18=0,"",($O18/30)*'MF Rents'!GI18*'MF Rollover'!GF18)</f>
        <v/>
      </c>
      <c r="GH18" s="149" t="str">
        <f>IF($B18=0,"",($O18/30)*'MF Rents'!GJ18*'MF Rollover'!GG18)</f>
        <v/>
      </c>
      <c r="GI18" s="149" t="str">
        <f>IF($B18=0,"",($O18/30)*'MF Rents'!GK18*'MF Rollover'!GH18)</f>
        <v/>
      </c>
      <c r="GJ18" s="149" t="str">
        <f>IF($B18=0,"",($O18/30)*'MF Rents'!GL18*'MF Rollover'!GI18)</f>
        <v/>
      </c>
      <c r="GK18" s="149" t="str">
        <f>IF($B18=0,"",($O18/30)*'MF Rents'!GM18*'MF Rollover'!GJ18)</f>
        <v/>
      </c>
      <c r="GL18" s="149" t="str">
        <f>IF($B18=0,"",($O18/30)*'MF Rents'!GN18*'MF Rollover'!GK18)</f>
        <v/>
      </c>
      <c r="GM18" s="149" t="str">
        <f>IF($B18=0,"",($O18/30)*'MF Rents'!GO18*'MF Rollover'!GL18)</f>
        <v/>
      </c>
      <c r="GN18" s="149" t="str">
        <f>IF($B18=0,"",($O18/30)*'MF Rents'!GP18*'MF Rollover'!GM18)</f>
        <v/>
      </c>
      <c r="GO18" s="149" t="str">
        <f>IF($B18=0,"",($O18/30)*'MF Rents'!GQ18*'MF Rollover'!GN18)</f>
        <v/>
      </c>
      <c r="GP18" s="149" t="str">
        <f>IF($B18=0,"",($O18/30)*'MF Rents'!GR18*'MF Rollover'!GO18)</f>
        <v/>
      </c>
    </row>
    <row r="19" spans="2:198" x14ac:dyDescent="0.3">
      <c r="B19" s="184">
        <f>'MF Rent Roll'!B18</f>
        <v>0</v>
      </c>
      <c r="C19" s="171">
        <f>'MF Rent Roll'!C18</f>
        <v>0</v>
      </c>
      <c r="D19" s="172">
        <f>'MF Rent Roll'!D18</f>
        <v>0</v>
      </c>
      <c r="E19" s="172">
        <f>'MF Rent Roll'!E18</f>
        <v>0</v>
      </c>
      <c r="F19" s="173">
        <f>'MF Rent Roll'!F18</f>
        <v>0</v>
      </c>
      <c r="G19" s="174">
        <f>'MF Rent Roll'!G18</f>
        <v>0</v>
      </c>
      <c r="H19" s="176">
        <f>'MF Rent Roll'!J18</f>
        <v>0</v>
      </c>
      <c r="I19" s="174">
        <f>'MF Rent Roll'!K18</f>
        <v>0</v>
      </c>
      <c r="J19" s="177">
        <f>'MF Rent Roll'!L18</f>
        <v>0</v>
      </c>
      <c r="K19" s="178">
        <f>'MF Rent Roll'!M18</f>
        <v>0</v>
      </c>
      <c r="L19" s="174">
        <f>'MF Rent Roll'!N18</f>
        <v>0</v>
      </c>
      <c r="M19" s="179">
        <f>'MF Rent Roll'!O18</f>
        <v>0</v>
      </c>
      <c r="N19" s="180" t="str">
        <f>'MF Rent Roll'!P18</f>
        <v/>
      </c>
      <c r="O19" s="181" t="str">
        <f>'MF Rent Roll'!Q18</f>
        <v/>
      </c>
      <c r="P19" s="104" t="str">
        <f>'MF Rent Roll'!R18</f>
        <v/>
      </c>
      <c r="S19" s="149" t="str">
        <f>IF($B19=0,"",($O19/30)*'MF Rents'!U19*'MF Rollover'!R19)</f>
        <v/>
      </c>
      <c r="T19" s="149" t="str">
        <f>IF($B19=0,"",($O19/30)*'MF Rents'!V19*'MF Rollover'!S19)</f>
        <v/>
      </c>
      <c r="U19" s="149" t="str">
        <f>IF($B19=0,"",($O19/30)*'MF Rents'!W19*'MF Rollover'!T19)</f>
        <v/>
      </c>
      <c r="V19" s="149" t="str">
        <f>IF($B19=0,"",($O19/30)*'MF Rents'!X19*'MF Rollover'!U19)</f>
        <v/>
      </c>
      <c r="W19" s="149" t="str">
        <f>IF($B19=0,"",($O19/30)*'MF Rents'!Y19*'MF Rollover'!V19)</f>
        <v/>
      </c>
      <c r="X19" s="149" t="str">
        <f>IF($B19=0,"",($O19/30)*'MF Rents'!Z19*'MF Rollover'!W19)</f>
        <v/>
      </c>
      <c r="Y19" s="149" t="str">
        <f>IF($B19=0,"",($O19/30)*'MF Rents'!AA19*'MF Rollover'!X19)</f>
        <v/>
      </c>
      <c r="Z19" s="149" t="str">
        <f>IF($B19=0,"",($O19/30)*'MF Rents'!AB19*'MF Rollover'!Y19)</f>
        <v/>
      </c>
      <c r="AA19" s="149" t="str">
        <f>IF($B19=0,"",($O19/30)*'MF Rents'!AC19*'MF Rollover'!Z19)</f>
        <v/>
      </c>
      <c r="AB19" s="149" t="str">
        <f>IF($B19=0,"",($O19/30)*'MF Rents'!AD19*'MF Rollover'!AA19)</f>
        <v/>
      </c>
      <c r="AC19" s="149" t="str">
        <f>IF($B19=0,"",($O19/30)*'MF Rents'!AE19*'MF Rollover'!AB19)</f>
        <v/>
      </c>
      <c r="AD19" s="149" t="str">
        <f>IF($B19=0,"",($O19/30)*'MF Rents'!AF19*'MF Rollover'!AC19)</f>
        <v/>
      </c>
      <c r="AE19" s="149" t="str">
        <f>IF($B19=0,"",($O19/30)*'MF Rents'!AG19*'MF Rollover'!AD19)</f>
        <v/>
      </c>
      <c r="AF19" s="149" t="str">
        <f>IF($B19=0,"",($O19/30)*'MF Rents'!AH19*'MF Rollover'!AE19)</f>
        <v/>
      </c>
      <c r="AG19" s="149" t="str">
        <f>IF($B19=0,"",($O19/30)*'MF Rents'!AI19*'MF Rollover'!AF19)</f>
        <v/>
      </c>
      <c r="AH19" s="149" t="str">
        <f>IF($B19=0,"",($O19/30)*'MF Rents'!AJ19*'MF Rollover'!AG19)</f>
        <v/>
      </c>
      <c r="AI19" s="149" t="str">
        <f>IF($B19=0,"",($O19/30)*'MF Rents'!AK19*'MF Rollover'!AH19)</f>
        <v/>
      </c>
      <c r="AJ19" s="149" t="str">
        <f>IF($B19=0,"",($O19/30)*'MF Rents'!AL19*'MF Rollover'!AI19)</f>
        <v/>
      </c>
      <c r="AK19" s="149" t="str">
        <f>IF($B19=0,"",($O19/30)*'MF Rents'!AM19*'MF Rollover'!AJ19)</f>
        <v/>
      </c>
      <c r="AL19" s="149" t="str">
        <f>IF($B19=0,"",($O19/30)*'MF Rents'!AN19*'MF Rollover'!AK19)</f>
        <v/>
      </c>
      <c r="AM19" s="149" t="str">
        <f>IF($B19=0,"",($O19/30)*'MF Rents'!AO19*'MF Rollover'!AL19)</f>
        <v/>
      </c>
      <c r="AN19" s="149" t="str">
        <f>IF($B19=0,"",($O19/30)*'MF Rents'!AP19*'MF Rollover'!AM19)</f>
        <v/>
      </c>
      <c r="AO19" s="149" t="str">
        <f>IF($B19=0,"",($O19/30)*'MF Rents'!AQ19*'MF Rollover'!AN19)</f>
        <v/>
      </c>
      <c r="AP19" s="149" t="str">
        <f>IF($B19=0,"",($O19/30)*'MF Rents'!AR19*'MF Rollover'!AO19)</f>
        <v/>
      </c>
      <c r="AQ19" s="149" t="str">
        <f>IF($B19=0,"",($O19/30)*'MF Rents'!AS19*'MF Rollover'!AP19)</f>
        <v/>
      </c>
      <c r="AR19" s="149" t="str">
        <f>IF($B19=0,"",($O19/30)*'MF Rents'!AT19*'MF Rollover'!AQ19)</f>
        <v/>
      </c>
      <c r="AS19" s="149" t="str">
        <f>IF($B19=0,"",($O19/30)*'MF Rents'!AU19*'MF Rollover'!AR19)</f>
        <v/>
      </c>
      <c r="AT19" s="149" t="str">
        <f>IF($B19=0,"",($O19/30)*'MF Rents'!AV19*'MF Rollover'!AS19)</f>
        <v/>
      </c>
      <c r="AU19" s="149" t="str">
        <f>IF($B19=0,"",($O19/30)*'MF Rents'!AW19*'MF Rollover'!AT19)</f>
        <v/>
      </c>
      <c r="AV19" s="149" t="str">
        <f>IF($B19=0,"",($O19/30)*'MF Rents'!AX19*'MF Rollover'!AU19)</f>
        <v/>
      </c>
      <c r="AW19" s="149" t="str">
        <f>IF($B19=0,"",($O19/30)*'MF Rents'!AY19*'MF Rollover'!AV19)</f>
        <v/>
      </c>
      <c r="AX19" s="149" t="str">
        <f>IF($B19=0,"",($O19/30)*'MF Rents'!AZ19*'MF Rollover'!AW19)</f>
        <v/>
      </c>
      <c r="AY19" s="149" t="str">
        <f>IF($B19=0,"",($O19/30)*'MF Rents'!BA19*'MF Rollover'!AX19)</f>
        <v/>
      </c>
      <c r="AZ19" s="149" t="str">
        <f>IF($B19=0,"",($O19/30)*'MF Rents'!BB19*'MF Rollover'!AY19)</f>
        <v/>
      </c>
      <c r="BA19" s="149" t="str">
        <f>IF($B19=0,"",($O19/30)*'MF Rents'!BC19*'MF Rollover'!AZ19)</f>
        <v/>
      </c>
      <c r="BB19" s="149" t="str">
        <f>IF($B19=0,"",($O19/30)*'MF Rents'!BD19*'MF Rollover'!BA19)</f>
        <v/>
      </c>
      <c r="BC19" s="149" t="str">
        <f>IF($B19=0,"",($O19/30)*'MF Rents'!BE19*'MF Rollover'!BB19)</f>
        <v/>
      </c>
      <c r="BD19" s="149" t="str">
        <f>IF($B19=0,"",($O19/30)*'MF Rents'!BF19*'MF Rollover'!BC19)</f>
        <v/>
      </c>
      <c r="BE19" s="149" t="str">
        <f>IF($B19=0,"",($O19/30)*'MF Rents'!BG19*'MF Rollover'!BD19)</f>
        <v/>
      </c>
      <c r="BF19" s="149" t="str">
        <f>IF($B19=0,"",($O19/30)*'MF Rents'!BH19*'MF Rollover'!BE19)</f>
        <v/>
      </c>
      <c r="BG19" s="149" t="str">
        <f>IF($B19=0,"",($O19/30)*'MF Rents'!BI19*'MF Rollover'!BF19)</f>
        <v/>
      </c>
      <c r="BH19" s="149" t="str">
        <f>IF($B19=0,"",($O19/30)*'MF Rents'!BJ19*'MF Rollover'!BG19)</f>
        <v/>
      </c>
      <c r="BI19" s="149" t="str">
        <f>IF($B19=0,"",($O19/30)*'MF Rents'!BK19*'MF Rollover'!BH19)</f>
        <v/>
      </c>
      <c r="BJ19" s="149" t="str">
        <f>IF($B19=0,"",($O19/30)*'MF Rents'!BL19*'MF Rollover'!BI19)</f>
        <v/>
      </c>
      <c r="BK19" s="149" t="str">
        <f>IF($B19=0,"",($O19/30)*'MF Rents'!BM19*'MF Rollover'!BJ19)</f>
        <v/>
      </c>
      <c r="BL19" s="149" t="str">
        <f>IF($B19=0,"",($O19/30)*'MF Rents'!BN19*'MF Rollover'!BK19)</f>
        <v/>
      </c>
      <c r="BM19" s="149" t="str">
        <f>IF($B19=0,"",($O19/30)*'MF Rents'!BO19*'MF Rollover'!BL19)</f>
        <v/>
      </c>
      <c r="BN19" s="149" t="str">
        <f>IF($B19=0,"",($O19/30)*'MF Rents'!BP19*'MF Rollover'!BM19)</f>
        <v/>
      </c>
      <c r="BO19" s="149" t="str">
        <f>IF($B19=0,"",($O19/30)*'MF Rents'!BQ19*'MF Rollover'!BN19)</f>
        <v/>
      </c>
      <c r="BP19" s="149" t="str">
        <f>IF($B19=0,"",($O19/30)*'MF Rents'!BR19*'MF Rollover'!BO19)</f>
        <v/>
      </c>
      <c r="BQ19" s="149" t="str">
        <f>IF($B19=0,"",($O19/30)*'MF Rents'!BS19*'MF Rollover'!BP19)</f>
        <v/>
      </c>
      <c r="BR19" s="149" t="str">
        <f>IF($B19=0,"",($O19/30)*'MF Rents'!BT19*'MF Rollover'!BQ19)</f>
        <v/>
      </c>
      <c r="BS19" s="149" t="str">
        <f>IF($B19=0,"",($O19/30)*'MF Rents'!BU19*'MF Rollover'!BR19)</f>
        <v/>
      </c>
      <c r="BT19" s="149" t="str">
        <f>IF($B19=0,"",($O19/30)*'MF Rents'!BV19*'MF Rollover'!BS19)</f>
        <v/>
      </c>
      <c r="BU19" s="149" t="str">
        <f>IF($B19=0,"",($O19/30)*'MF Rents'!BW19*'MF Rollover'!BT19)</f>
        <v/>
      </c>
      <c r="BV19" s="149" t="str">
        <f>IF($B19=0,"",($O19/30)*'MF Rents'!BX19*'MF Rollover'!BU19)</f>
        <v/>
      </c>
      <c r="BW19" s="149" t="str">
        <f>IF($B19=0,"",($O19/30)*'MF Rents'!BY19*'MF Rollover'!BV19)</f>
        <v/>
      </c>
      <c r="BX19" s="149" t="str">
        <f>IF($B19=0,"",($O19/30)*'MF Rents'!BZ19*'MF Rollover'!BW19)</f>
        <v/>
      </c>
      <c r="BY19" s="149" t="str">
        <f>IF($B19=0,"",($O19/30)*'MF Rents'!CA19*'MF Rollover'!BX19)</f>
        <v/>
      </c>
      <c r="BZ19" s="149" t="str">
        <f>IF($B19=0,"",($O19/30)*'MF Rents'!CB19*'MF Rollover'!BY19)</f>
        <v/>
      </c>
      <c r="CA19" s="149" t="str">
        <f>IF($B19=0,"",($O19/30)*'MF Rents'!CC19*'MF Rollover'!BZ19)</f>
        <v/>
      </c>
      <c r="CB19" s="149" t="str">
        <f>IF($B19=0,"",($O19/30)*'MF Rents'!CD19*'MF Rollover'!CA19)</f>
        <v/>
      </c>
      <c r="CC19" s="149" t="str">
        <f>IF($B19=0,"",($O19/30)*'MF Rents'!CE19*'MF Rollover'!CB19)</f>
        <v/>
      </c>
      <c r="CD19" s="149" t="str">
        <f>IF($B19=0,"",($O19/30)*'MF Rents'!CF19*'MF Rollover'!CC19)</f>
        <v/>
      </c>
      <c r="CE19" s="149" t="str">
        <f>IF($B19=0,"",($O19/30)*'MF Rents'!CG19*'MF Rollover'!CD19)</f>
        <v/>
      </c>
      <c r="CF19" s="149" t="str">
        <f>IF($B19=0,"",($O19/30)*'MF Rents'!CH19*'MF Rollover'!CE19)</f>
        <v/>
      </c>
      <c r="CG19" s="149" t="str">
        <f>IF($B19=0,"",($O19/30)*'MF Rents'!CI19*'MF Rollover'!CF19)</f>
        <v/>
      </c>
      <c r="CH19" s="149" t="str">
        <f>IF($B19=0,"",($O19/30)*'MF Rents'!CJ19*'MF Rollover'!CG19)</f>
        <v/>
      </c>
      <c r="CI19" s="149" t="str">
        <f>IF($B19=0,"",($O19/30)*'MF Rents'!CK19*'MF Rollover'!CH19)</f>
        <v/>
      </c>
      <c r="CJ19" s="149" t="str">
        <f>IF($B19=0,"",($O19/30)*'MF Rents'!CL19*'MF Rollover'!CI19)</f>
        <v/>
      </c>
      <c r="CK19" s="149" t="str">
        <f>IF($B19=0,"",($O19/30)*'MF Rents'!CM19*'MF Rollover'!CJ19)</f>
        <v/>
      </c>
      <c r="CL19" s="149" t="str">
        <f>IF($B19=0,"",($O19/30)*'MF Rents'!CN19*'MF Rollover'!CK19)</f>
        <v/>
      </c>
      <c r="CM19" s="149" t="str">
        <f>IF($B19=0,"",($O19/30)*'MF Rents'!CO19*'MF Rollover'!CL19)</f>
        <v/>
      </c>
      <c r="CN19" s="149" t="str">
        <f>IF($B19=0,"",($O19/30)*'MF Rents'!CP19*'MF Rollover'!CM19)</f>
        <v/>
      </c>
      <c r="CO19" s="149" t="str">
        <f>IF($B19=0,"",($O19/30)*'MF Rents'!CQ19*'MF Rollover'!CN19)</f>
        <v/>
      </c>
      <c r="CP19" s="149" t="str">
        <f>IF($B19=0,"",($O19/30)*'MF Rents'!CR19*'MF Rollover'!CO19)</f>
        <v/>
      </c>
      <c r="CQ19" s="149" t="str">
        <f>IF($B19=0,"",($O19/30)*'MF Rents'!CS19*'MF Rollover'!CP19)</f>
        <v/>
      </c>
      <c r="CR19" s="149" t="str">
        <f>IF($B19=0,"",($O19/30)*'MF Rents'!CT19*'MF Rollover'!CQ19)</f>
        <v/>
      </c>
      <c r="CS19" s="149" t="str">
        <f>IF($B19=0,"",($O19/30)*'MF Rents'!CU19*'MF Rollover'!CR19)</f>
        <v/>
      </c>
      <c r="CT19" s="149" t="str">
        <f>IF($B19=0,"",($O19/30)*'MF Rents'!CV19*'MF Rollover'!CS19)</f>
        <v/>
      </c>
      <c r="CU19" s="149" t="str">
        <f>IF($B19=0,"",($O19/30)*'MF Rents'!CW19*'MF Rollover'!CT19)</f>
        <v/>
      </c>
      <c r="CV19" s="149" t="str">
        <f>IF($B19=0,"",($O19/30)*'MF Rents'!CX19*'MF Rollover'!CU19)</f>
        <v/>
      </c>
      <c r="CW19" s="149" t="str">
        <f>IF($B19=0,"",($O19/30)*'MF Rents'!CY19*'MF Rollover'!CV19)</f>
        <v/>
      </c>
      <c r="CX19" s="149" t="str">
        <f>IF($B19=0,"",($O19/30)*'MF Rents'!CZ19*'MF Rollover'!CW19)</f>
        <v/>
      </c>
      <c r="CY19" s="149" t="str">
        <f>IF($B19=0,"",($O19/30)*'MF Rents'!DA19*'MF Rollover'!CX19)</f>
        <v/>
      </c>
      <c r="CZ19" s="149" t="str">
        <f>IF($B19=0,"",($O19/30)*'MF Rents'!DB19*'MF Rollover'!CY19)</f>
        <v/>
      </c>
      <c r="DA19" s="149" t="str">
        <f>IF($B19=0,"",($O19/30)*'MF Rents'!DC19*'MF Rollover'!CZ19)</f>
        <v/>
      </c>
      <c r="DB19" s="149" t="str">
        <f>IF($B19=0,"",($O19/30)*'MF Rents'!DD19*'MF Rollover'!DA19)</f>
        <v/>
      </c>
      <c r="DC19" s="149" t="str">
        <f>IF($B19=0,"",($O19/30)*'MF Rents'!DE19*'MF Rollover'!DB19)</f>
        <v/>
      </c>
      <c r="DD19" s="149" t="str">
        <f>IF($B19=0,"",($O19/30)*'MF Rents'!DF19*'MF Rollover'!DC19)</f>
        <v/>
      </c>
      <c r="DE19" s="149" t="str">
        <f>IF($B19=0,"",($O19/30)*'MF Rents'!DG19*'MF Rollover'!DD19)</f>
        <v/>
      </c>
      <c r="DF19" s="149" t="str">
        <f>IF($B19=0,"",($O19/30)*'MF Rents'!DH19*'MF Rollover'!DE19)</f>
        <v/>
      </c>
      <c r="DG19" s="149" t="str">
        <f>IF($B19=0,"",($O19/30)*'MF Rents'!DI19*'MF Rollover'!DF19)</f>
        <v/>
      </c>
      <c r="DH19" s="149" t="str">
        <f>IF($B19=0,"",($O19/30)*'MF Rents'!DJ19*'MF Rollover'!DG19)</f>
        <v/>
      </c>
      <c r="DI19" s="149" t="str">
        <f>IF($B19=0,"",($O19/30)*'MF Rents'!DK19*'MF Rollover'!DH19)</f>
        <v/>
      </c>
      <c r="DJ19" s="149" t="str">
        <f>IF($B19=0,"",($O19/30)*'MF Rents'!DL19*'MF Rollover'!DI19)</f>
        <v/>
      </c>
      <c r="DK19" s="149" t="str">
        <f>IF($B19=0,"",($O19/30)*'MF Rents'!DM19*'MF Rollover'!DJ19)</f>
        <v/>
      </c>
      <c r="DL19" s="149" t="str">
        <f>IF($B19=0,"",($O19/30)*'MF Rents'!DN19*'MF Rollover'!DK19)</f>
        <v/>
      </c>
      <c r="DM19" s="149" t="str">
        <f>IF($B19=0,"",($O19/30)*'MF Rents'!DO19*'MF Rollover'!DL19)</f>
        <v/>
      </c>
      <c r="DN19" s="149" t="str">
        <f>IF($B19=0,"",($O19/30)*'MF Rents'!DP19*'MF Rollover'!DM19)</f>
        <v/>
      </c>
      <c r="DO19" s="149" t="str">
        <f>IF($B19=0,"",($O19/30)*'MF Rents'!DQ19*'MF Rollover'!DN19)</f>
        <v/>
      </c>
      <c r="DP19" s="149" t="str">
        <f>IF($B19=0,"",($O19/30)*'MF Rents'!DR19*'MF Rollover'!DO19)</f>
        <v/>
      </c>
      <c r="DQ19" s="149" t="str">
        <f>IF($B19=0,"",($O19/30)*'MF Rents'!DS19*'MF Rollover'!DP19)</f>
        <v/>
      </c>
      <c r="DR19" s="149" t="str">
        <f>IF($B19=0,"",($O19/30)*'MF Rents'!DT19*'MF Rollover'!DQ19)</f>
        <v/>
      </c>
      <c r="DS19" s="149" t="str">
        <f>IF($B19=0,"",($O19/30)*'MF Rents'!DU19*'MF Rollover'!DR19)</f>
        <v/>
      </c>
      <c r="DT19" s="149" t="str">
        <f>IF($B19=0,"",($O19/30)*'MF Rents'!DV19*'MF Rollover'!DS19)</f>
        <v/>
      </c>
      <c r="DU19" s="149" t="str">
        <f>IF($B19=0,"",($O19/30)*'MF Rents'!DW19*'MF Rollover'!DT19)</f>
        <v/>
      </c>
      <c r="DV19" s="149" t="str">
        <f>IF($B19=0,"",($O19/30)*'MF Rents'!DX19*'MF Rollover'!DU19)</f>
        <v/>
      </c>
      <c r="DW19" s="149" t="str">
        <f>IF($B19=0,"",($O19/30)*'MF Rents'!DY19*'MF Rollover'!DV19)</f>
        <v/>
      </c>
      <c r="DX19" s="149" t="str">
        <f>IF($B19=0,"",($O19/30)*'MF Rents'!DZ19*'MF Rollover'!DW19)</f>
        <v/>
      </c>
      <c r="DY19" s="149" t="str">
        <f>IF($B19=0,"",($O19/30)*'MF Rents'!EA19*'MF Rollover'!DX19)</f>
        <v/>
      </c>
      <c r="DZ19" s="149" t="str">
        <f>IF($B19=0,"",($O19/30)*'MF Rents'!EB19*'MF Rollover'!DY19)</f>
        <v/>
      </c>
      <c r="EA19" s="149" t="str">
        <f>IF($B19=0,"",($O19/30)*'MF Rents'!EC19*'MF Rollover'!DZ19)</f>
        <v/>
      </c>
      <c r="EB19" s="149" t="str">
        <f>IF($B19=0,"",($O19/30)*'MF Rents'!ED19*'MF Rollover'!EA19)</f>
        <v/>
      </c>
      <c r="EC19" s="149" t="str">
        <f>IF($B19=0,"",($O19/30)*'MF Rents'!EE19*'MF Rollover'!EB19)</f>
        <v/>
      </c>
      <c r="ED19" s="149" t="str">
        <f>IF($B19=0,"",($O19/30)*'MF Rents'!EF19*'MF Rollover'!EC19)</f>
        <v/>
      </c>
      <c r="EE19" s="149" t="str">
        <f>IF($B19=0,"",($O19/30)*'MF Rents'!EG19*'MF Rollover'!ED19)</f>
        <v/>
      </c>
      <c r="EF19" s="149" t="str">
        <f>IF($B19=0,"",($O19/30)*'MF Rents'!EH19*'MF Rollover'!EE19)</f>
        <v/>
      </c>
      <c r="EG19" s="149" t="str">
        <f>IF($B19=0,"",($O19/30)*'MF Rents'!EI19*'MF Rollover'!EF19)</f>
        <v/>
      </c>
      <c r="EH19" s="149" t="str">
        <f>IF($B19=0,"",($O19/30)*'MF Rents'!EJ19*'MF Rollover'!EG19)</f>
        <v/>
      </c>
      <c r="EI19" s="149" t="str">
        <f>IF($B19=0,"",($O19/30)*'MF Rents'!EK19*'MF Rollover'!EH19)</f>
        <v/>
      </c>
      <c r="EJ19" s="149" t="str">
        <f>IF($B19=0,"",($O19/30)*'MF Rents'!EL19*'MF Rollover'!EI19)</f>
        <v/>
      </c>
      <c r="EK19" s="149" t="str">
        <f>IF($B19=0,"",($O19/30)*'MF Rents'!EM19*'MF Rollover'!EJ19)</f>
        <v/>
      </c>
      <c r="EL19" s="149" t="str">
        <f>IF($B19=0,"",($O19/30)*'MF Rents'!EN19*'MF Rollover'!EK19)</f>
        <v/>
      </c>
      <c r="EM19" s="149" t="str">
        <f>IF($B19=0,"",($O19/30)*'MF Rents'!EO19*'MF Rollover'!EL19)</f>
        <v/>
      </c>
      <c r="EN19" s="149" t="str">
        <f>IF($B19=0,"",($O19/30)*'MF Rents'!EP19*'MF Rollover'!EM19)</f>
        <v/>
      </c>
      <c r="EO19" s="149" t="str">
        <f>IF($B19=0,"",($O19/30)*'MF Rents'!EQ19*'MF Rollover'!EN19)</f>
        <v/>
      </c>
      <c r="EP19" s="149" t="str">
        <f>IF($B19=0,"",($O19/30)*'MF Rents'!ER19*'MF Rollover'!EO19)</f>
        <v/>
      </c>
      <c r="EQ19" s="149" t="str">
        <f>IF($B19=0,"",($O19/30)*'MF Rents'!ES19*'MF Rollover'!EP19)</f>
        <v/>
      </c>
      <c r="ER19" s="149" t="str">
        <f>IF($B19=0,"",($O19/30)*'MF Rents'!ET19*'MF Rollover'!EQ19)</f>
        <v/>
      </c>
      <c r="ES19" s="149" t="str">
        <f>IF($B19=0,"",($O19/30)*'MF Rents'!EU19*'MF Rollover'!ER19)</f>
        <v/>
      </c>
      <c r="ET19" s="149" t="str">
        <f>IF($B19=0,"",($O19/30)*'MF Rents'!EV19*'MF Rollover'!ES19)</f>
        <v/>
      </c>
      <c r="EU19" s="149" t="str">
        <f>IF($B19=0,"",($O19/30)*'MF Rents'!EW19*'MF Rollover'!ET19)</f>
        <v/>
      </c>
      <c r="EV19" s="149" t="str">
        <f>IF($B19=0,"",($O19/30)*'MF Rents'!EX19*'MF Rollover'!EU19)</f>
        <v/>
      </c>
      <c r="EW19" s="149" t="str">
        <f>IF($B19=0,"",($O19/30)*'MF Rents'!EY19*'MF Rollover'!EV19)</f>
        <v/>
      </c>
      <c r="EX19" s="149" t="str">
        <f>IF($B19=0,"",($O19/30)*'MF Rents'!EZ19*'MF Rollover'!EW19)</f>
        <v/>
      </c>
      <c r="EY19" s="149" t="str">
        <f>IF($B19=0,"",($O19/30)*'MF Rents'!FA19*'MF Rollover'!EX19)</f>
        <v/>
      </c>
      <c r="EZ19" s="149" t="str">
        <f>IF($B19=0,"",($O19/30)*'MF Rents'!FB19*'MF Rollover'!EY19)</f>
        <v/>
      </c>
      <c r="FA19" s="149" t="str">
        <f>IF($B19=0,"",($O19/30)*'MF Rents'!FC19*'MF Rollover'!EZ19)</f>
        <v/>
      </c>
      <c r="FB19" s="149" t="str">
        <f>IF($B19=0,"",($O19/30)*'MF Rents'!FD19*'MF Rollover'!FA19)</f>
        <v/>
      </c>
      <c r="FC19" s="149" t="str">
        <f>IF($B19=0,"",($O19/30)*'MF Rents'!FE19*'MF Rollover'!FB19)</f>
        <v/>
      </c>
      <c r="FD19" s="149" t="str">
        <f>IF($B19=0,"",($O19/30)*'MF Rents'!FF19*'MF Rollover'!FC19)</f>
        <v/>
      </c>
      <c r="FE19" s="149" t="str">
        <f>IF($B19=0,"",($O19/30)*'MF Rents'!FG19*'MF Rollover'!FD19)</f>
        <v/>
      </c>
      <c r="FF19" s="149" t="str">
        <f>IF($B19=0,"",($O19/30)*'MF Rents'!FH19*'MF Rollover'!FE19)</f>
        <v/>
      </c>
      <c r="FG19" s="149" t="str">
        <f>IF($B19=0,"",($O19/30)*'MF Rents'!FI19*'MF Rollover'!FF19)</f>
        <v/>
      </c>
      <c r="FH19" s="149" t="str">
        <f>IF($B19=0,"",($O19/30)*'MF Rents'!FJ19*'MF Rollover'!FG19)</f>
        <v/>
      </c>
      <c r="FI19" s="149" t="str">
        <f>IF($B19=0,"",($O19/30)*'MF Rents'!FK19*'MF Rollover'!FH19)</f>
        <v/>
      </c>
      <c r="FJ19" s="149" t="str">
        <f>IF($B19=0,"",($O19/30)*'MF Rents'!FL19*'MF Rollover'!FI19)</f>
        <v/>
      </c>
      <c r="FK19" s="149" t="str">
        <f>IF($B19=0,"",($O19/30)*'MF Rents'!FM19*'MF Rollover'!FJ19)</f>
        <v/>
      </c>
      <c r="FL19" s="149" t="str">
        <f>IF($B19=0,"",($O19/30)*'MF Rents'!FN19*'MF Rollover'!FK19)</f>
        <v/>
      </c>
      <c r="FM19" s="149" t="str">
        <f>IF($B19=0,"",($O19/30)*'MF Rents'!FO19*'MF Rollover'!FL19)</f>
        <v/>
      </c>
      <c r="FN19" s="149" t="str">
        <f>IF($B19=0,"",($O19/30)*'MF Rents'!FP19*'MF Rollover'!FM19)</f>
        <v/>
      </c>
      <c r="FO19" s="149" t="str">
        <f>IF($B19=0,"",($O19/30)*'MF Rents'!FQ19*'MF Rollover'!FN19)</f>
        <v/>
      </c>
      <c r="FP19" s="149" t="str">
        <f>IF($B19=0,"",($O19/30)*'MF Rents'!FR19*'MF Rollover'!FO19)</f>
        <v/>
      </c>
      <c r="FQ19" s="149" t="str">
        <f>IF($B19=0,"",($O19/30)*'MF Rents'!FS19*'MF Rollover'!FP19)</f>
        <v/>
      </c>
      <c r="FR19" s="149" t="str">
        <f>IF($B19=0,"",($O19/30)*'MF Rents'!FT19*'MF Rollover'!FQ19)</f>
        <v/>
      </c>
      <c r="FS19" s="149" t="str">
        <f>IF($B19=0,"",($O19/30)*'MF Rents'!FU19*'MF Rollover'!FR19)</f>
        <v/>
      </c>
      <c r="FT19" s="149" t="str">
        <f>IF($B19=0,"",($O19/30)*'MF Rents'!FV19*'MF Rollover'!FS19)</f>
        <v/>
      </c>
      <c r="FU19" s="149" t="str">
        <f>IF($B19=0,"",($O19/30)*'MF Rents'!FW19*'MF Rollover'!FT19)</f>
        <v/>
      </c>
      <c r="FV19" s="149" t="str">
        <f>IF($B19=0,"",($O19/30)*'MF Rents'!FX19*'MF Rollover'!FU19)</f>
        <v/>
      </c>
      <c r="FW19" s="149" t="str">
        <f>IF($B19=0,"",($O19/30)*'MF Rents'!FY19*'MF Rollover'!FV19)</f>
        <v/>
      </c>
      <c r="FX19" s="149" t="str">
        <f>IF($B19=0,"",($O19/30)*'MF Rents'!FZ19*'MF Rollover'!FW19)</f>
        <v/>
      </c>
      <c r="FY19" s="149" t="str">
        <f>IF($B19=0,"",($O19/30)*'MF Rents'!GA19*'MF Rollover'!FX19)</f>
        <v/>
      </c>
      <c r="FZ19" s="149" t="str">
        <f>IF($B19=0,"",($O19/30)*'MF Rents'!GB19*'MF Rollover'!FY19)</f>
        <v/>
      </c>
      <c r="GA19" s="149" t="str">
        <f>IF($B19=0,"",($O19/30)*'MF Rents'!GC19*'MF Rollover'!FZ19)</f>
        <v/>
      </c>
      <c r="GB19" s="149" t="str">
        <f>IF($B19=0,"",($O19/30)*'MF Rents'!GD19*'MF Rollover'!GA19)</f>
        <v/>
      </c>
      <c r="GC19" s="149" t="str">
        <f>IF($B19=0,"",($O19/30)*'MF Rents'!GE19*'MF Rollover'!GB19)</f>
        <v/>
      </c>
      <c r="GD19" s="149" t="str">
        <f>IF($B19=0,"",($O19/30)*'MF Rents'!GF19*'MF Rollover'!GC19)</f>
        <v/>
      </c>
      <c r="GE19" s="149" t="str">
        <f>IF($B19=0,"",($O19/30)*'MF Rents'!GG19*'MF Rollover'!GD19)</f>
        <v/>
      </c>
      <c r="GF19" s="149" t="str">
        <f>IF($B19=0,"",($O19/30)*'MF Rents'!GH19*'MF Rollover'!GE19)</f>
        <v/>
      </c>
      <c r="GG19" s="149" t="str">
        <f>IF($B19=0,"",($O19/30)*'MF Rents'!GI19*'MF Rollover'!GF19)</f>
        <v/>
      </c>
      <c r="GH19" s="149" t="str">
        <f>IF($B19=0,"",($O19/30)*'MF Rents'!GJ19*'MF Rollover'!GG19)</f>
        <v/>
      </c>
      <c r="GI19" s="149" t="str">
        <f>IF($B19=0,"",($O19/30)*'MF Rents'!GK19*'MF Rollover'!GH19)</f>
        <v/>
      </c>
      <c r="GJ19" s="149" t="str">
        <f>IF($B19=0,"",($O19/30)*'MF Rents'!GL19*'MF Rollover'!GI19)</f>
        <v/>
      </c>
      <c r="GK19" s="149" t="str">
        <f>IF($B19=0,"",($O19/30)*'MF Rents'!GM19*'MF Rollover'!GJ19)</f>
        <v/>
      </c>
      <c r="GL19" s="149" t="str">
        <f>IF($B19=0,"",($O19/30)*'MF Rents'!GN19*'MF Rollover'!GK19)</f>
        <v/>
      </c>
      <c r="GM19" s="149" t="str">
        <f>IF($B19=0,"",($O19/30)*'MF Rents'!GO19*'MF Rollover'!GL19)</f>
        <v/>
      </c>
      <c r="GN19" s="149" t="str">
        <f>IF($B19=0,"",($O19/30)*'MF Rents'!GP19*'MF Rollover'!GM19)</f>
        <v/>
      </c>
      <c r="GO19" s="149" t="str">
        <f>IF($B19=0,"",($O19/30)*'MF Rents'!GQ19*'MF Rollover'!GN19)</f>
        <v/>
      </c>
      <c r="GP19" s="149" t="str">
        <f>IF($B19=0,"",($O19/30)*'MF Rents'!GR19*'MF Rollover'!GO19)</f>
        <v/>
      </c>
    </row>
    <row r="20" spans="2:198" x14ac:dyDescent="0.3">
      <c r="B20" s="184">
        <f>'MF Rent Roll'!B19</f>
        <v>0</v>
      </c>
      <c r="C20" s="171">
        <f>'MF Rent Roll'!C19</f>
        <v>0</v>
      </c>
      <c r="D20" s="172">
        <f>'MF Rent Roll'!D19</f>
        <v>0</v>
      </c>
      <c r="E20" s="172">
        <f>'MF Rent Roll'!E19</f>
        <v>0</v>
      </c>
      <c r="F20" s="173">
        <f>'MF Rent Roll'!F19</f>
        <v>0</v>
      </c>
      <c r="G20" s="174">
        <f>'MF Rent Roll'!G19</f>
        <v>0</v>
      </c>
      <c r="H20" s="176">
        <f>'MF Rent Roll'!J19</f>
        <v>0</v>
      </c>
      <c r="I20" s="174">
        <f>'MF Rent Roll'!K19</f>
        <v>0</v>
      </c>
      <c r="J20" s="177">
        <f>'MF Rent Roll'!L19</f>
        <v>0</v>
      </c>
      <c r="K20" s="178">
        <f>'MF Rent Roll'!M19</f>
        <v>0</v>
      </c>
      <c r="L20" s="174">
        <f>'MF Rent Roll'!N19</f>
        <v>0</v>
      </c>
      <c r="M20" s="179">
        <f>'MF Rent Roll'!O19</f>
        <v>0</v>
      </c>
      <c r="N20" s="180" t="str">
        <f>'MF Rent Roll'!P19</f>
        <v/>
      </c>
      <c r="O20" s="181" t="str">
        <f>'MF Rent Roll'!Q19</f>
        <v/>
      </c>
      <c r="P20" s="104" t="str">
        <f>'MF Rent Roll'!R19</f>
        <v/>
      </c>
      <c r="S20" s="149" t="str">
        <f>IF($B20=0,"",($O20/30)*'MF Rents'!U20*'MF Rollover'!R20)</f>
        <v/>
      </c>
      <c r="T20" s="149" t="str">
        <f>IF($B20=0,"",($O20/30)*'MF Rents'!V20*'MF Rollover'!S20)</f>
        <v/>
      </c>
      <c r="U20" s="149" t="str">
        <f>IF($B20=0,"",($O20/30)*'MF Rents'!W20*'MF Rollover'!T20)</f>
        <v/>
      </c>
      <c r="V20" s="149" t="str">
        <f>IF($B20=0,"",($O20/30)*'MF Rents'!X20*'MF Rollover'!U20)</f>
        <v/>
      </c>
      <c r="W20" s="149" t="str">
        <f>IF($B20=0,"",($O20/30)*'MF Rents'!Y20*'MF Rollover'!V20)</f>
        <v/>
      </c>
      <c r="X20" s="149" t="str">
        <f>IF($B20=0,"",($O20/30)*'MF Rents'!Z20*'MF Rollover'!W20)</f>
        <v/>
      </c>
      <c r="Y20" s="149" t="str">
        <f>IF($B20=0,"",($O20/30)*'MF Rents'!AA20*'MF Rollover'!X20)</f>
        <v/>
      </c>
      <c r="Z20" s="149" t="str">
        <f>IF($B20=0,"",($O20/30)*'MF Rents'!AB20*'MF Rollover'!Y20)</f>
        <v/>
      </c>
      <c r="AA20" s="149" t="str">
        <f>IF($B20=0,"",($O20/30)*'MF Rents'!AC20*'MF Rollover'!Z20)</f>
        <v/>
      </c>
      <c r="AB20" s="149" t="str">
        <f>IF($B20=0,"",($O20/30)*'MF Rents'!AD20*'MF Rollover'!AA20)</f>
        <v/>
      </c>
      <c r="AC20" s="149" t="str">
        <f>IF($B20=0,"",($O20/30)*'MF Rents'!AE20*'MF Rollover'!AB20)</f>
        <v/>
      </c>
      <c r="AD20" s="149" t="str">
        <f>IF($B20=0,"",($O20/30)*'MF Rents'!AF20*'MF Rollover'!AC20)</f>
        <v/>
      </c>
      <c r="AE20" s="149" t="str">
        <f>IF($B20=0,"",($O20/30)*'MF Rents'!AG20*'MF Rollover'!AD20)</f>
        <v/>
      </c>
      <c r="AF20" s="149" t="str">
        <f>IF($B20=0,"",($O20/30)*'MF Rents'!AH20*'MF Rollover'!AE20)</f>
        <v/>
      </c>
      <c r="AG20" s="149" t="str">
        <f>IF($B20=0,"",($O20/30)*'MF Rents'!AI20*'MF Rollover'!AF20)</f>
        <v/>
      </c>
      <c r="AH20" s="149" t="str">
        <f>IF($B20=0,"",($O20/30)*'MF Rents'!AJ20*'MF Rollover'!AG20)</f>
        <v/>
      </c>
      <c r="AI20" s="149" t="str">
        <f>IF($B20=0,"",($O20/30)*'MF Rents'!AK20*'MF Rollover'!AH20)</f>
        <v/>
      </c>
      <c r="AJ20" s="149" t="str">
        <f>IF($B20=0,"",($O20/30)*'MF Rents'!AL20*'MF Rollover'!AI20)</f>
        <v/>
      </c>
      <c r="AK20" s="149" t="str">
        <f>IF($B20=0,"",($O20/30)*'MF Rents'!AM20*'MF Rollover'!AJ20)</f>
        <v/>
      </c>
      <c r="AL20" s="149" t="str">
        <f>IF($B20=0,"",($O20/30)*'MF Rents'!AN20*'MF Rollover'!AK20)</f>
        <v/>
      </c>
      <c r="AM20" s="149" t="str">
        <f>IF($B20=0,"",($O20/30)*'MF Rents'!AO20*'MF Rollover'!AL20)</f>
        <v/>
      </c>
      <c r="AN20" s="149" t="str">
        <f>IF($B20=0,"",($O20/30)*'MF Rents'!AP20*'MF Rollover'!AM20)</f>
        <v/>
      </c>
      <c r="AO20" s="149" t="str">
        <f>IF($B20=0,"",($O20/30)*'MF Rents'!AQ20*'MF Rollover'!AN20)</f>
        <v/>
      </c>
      <c r="AP20" s="149" t="str">
        <f>IF($B20=0,"",($O20/30)*'MF Rents'!AR20*'MF Rollover'!AO20)</f>
        <v/>
      </c>
      <c r="AQ20" s="149" t="str">
        <f>IF($B20=0,"",($O20/30)*'MF Rents'!AS20*'MF Rollover'!AP20)</f>
        <v/>
      </c>
      <c r="AR20" s="149" t="str">
        <f>IF($B20=0,"",($O20/30)*'MF Rents'!AT20*'MF Rollover'!AQ20)</f>
        <v/>
      </c>
      <c r="AS20" s="149" t="str">
        <f>IF($B20=0,"",($O20/30)*'MF Rents'!AU20*'MF Rollover'!AR20)</f>
        <v/>
      </c>
      <c r="AT20" s="149" t="str">
        <f>IF($B20=0,"",($O20/30)*'MF Rents'!AV20*'MF Rollover'!AS20)</f>
        <v/>
      </c>
      <c r="AU20" s="149" t="str">
        <f>IF($B20=0,"",($O20/30)*'MF Rents'!AW20*'MF Rollover'!AT20)</f>
        <v/>
      </c>
      <c r="AV20" s="149" t="str">
        <f>IF($B20=0,"",($O20/30)*'MF Rents'!AX20*'MF Rollover'!AU20)</f>
        <v/>
      </c>
      <c r="AW20" s="149" t="str">
        <f>IF($B20=0,"",($O20/30)*'MF Rents'!AY20*'MF Rollover'!AV20)</f>
        <v/>
      </c>
      <c r="AX20" s="149" t="str">
        <f>IF($B20=0,"",($O20/30)*'MF Rents'!AZ20*'MF Rollover'!AW20)</f>
        <v/>
      </c>
      <c r="AY20" s="149" t="str">
        <f>IF($B20=0,"",($O20/30)*'MF Rents'!BA20*'MF Rollover'!AX20)</f>
        <v/>
      </c>
      <c r="AZ20" s="149" t="str">
        <f>IF($B20=0,"",($O20/30)*'MF Rents'!BB20*'MF Rollover'!AY20)</f>
        <v/>
      </c>
      <c r="BA20" s="149" t="str">
        <f>IF($B20=0,"",($O20/30)*'MF Rents'!BC20*'MF Rollover'!AZ20)</f>
        <v/>
      </c>
      <c r="BB20" s="149" t="str">
        <f>IF($B20=0,"",($O20/30)*'MF Rents'!BD20*'MF Rollover'!BA20)</f>
        <v/>
      </c>
      <c r="BC20" s="149" t="str">
        <f>IF($B20=0,"",($O20/30)*'MF Rents'!BE20*'MF Rollover'!BB20)</f>
        <v/>
      </c>
      <c r="BD20" s="149" t="str">
        <f>IF($B20=0,"",($O20/30)*'MF Rents'!BF20*'MF Rollover'!BC20)</f>
        <v/>
      </c>
      <c r="BE20" s="149" t="str">
        <f>IF($B20=0,"",($O20/30)*'MF Rents'!BG20*'MF Rollover'!BD20)</f>
        <v/>
      </c>
      <c r="BF20" s="149" t="str">
        <f>IF($B20=0,"",($O20/30)*'MF Rents'!BH20*'MF Rollover'!BE20)</f>
        <v/>
      </c>
      <c r="BG20" s="149" t="str">
        <f>IF($B20=0,"",($O20/30)*'MF Rents'!BI20*'MF Rollover'!BF20)</f>
        <v/>
      </c>
      <c r="BH20" s="149" t="str">
        <f>IF($B20=0,"",($O20/30)*'MF Rents'!BJ20*'MF Rollover'!BG20)</f>
        <v/>
      </c>
      <c r="BI20" s="149" t="str">
        <f>IF($B20=0,"",($O20/30)*'MF Rents'!BK20*'MF Rollover'!BH20)</f>
        <v/>
      </c>
      <c r="BJ20" s="149" t="str">
        <f>IF($B20=0,"",($O20/30)*'MF Rents'!BL20*'MF Rollover'!BI20)</f>
        <v/>
      </c>
      <c r="BK20" s="149" t="str">
        <f>IF($B20=0,"",($O20/30)*'MF Rents'!BM20*'MF Rollover'!BJ20)</f>
        <v/>
      </c>
      <c r="BL20" s="149" t="str">
        <f>IF($B20=0,"",($O20/30)*'MF Rents'!BN20*'MF Rollover'!BK20)</f>
        <v/>
      </c>
      <c r="BM20" s="149" t="str">
        <f>IF($B20=0,"",($O20/30)*'MF Rents'!BO20*'MF Rollover'!BL20)</f>
        <v/>
      </c>
      <c r="BN20" s="149" t="str">
        <f>IF($B20=0,"",($O20/30)*'MF Rents'!BP20*'MF Rollover'!BM20)</f>
        <v/>
      </c>
      <c r="BO20" s="149" t="str">
        <f>IF($B20=0,"",($O20/30)*'MF Rents'!BQ20*'MF Rollover'!BN20)</f>
        <v/>
      </c>
      <c r="BP20" s="149" t="str">
        <f>IF($B20=0,"",($O20/30)*'MF Rents'!BR20*'MF Rollover'!BO20)</f>
        <v/>
      </c>
      <c r="BQ20" s="149" t="str">
        <f>IF($B20=0,"",($O20/30)*'MF Rents'!BS20*'MF Rollover'!BP20)</f>
        <v/>
      </c>
      <c r="BR20" s="149" t="str">
        <f>IF($B20=0,"",($O20/30)*'MF Rents'!BT20*'MF Rollover'!BQ20)</f>
        <v/>
      </c>
      <c r="BS20" s="149" t="str">
        <f>IF($B20=0,"",($O20/30)*'MF Rents'!BU20*'MF Rollover'!BR20)</f>
        <v/>
      </c>
      <c r="BT20" s="149" t="str">
        <f>IF($B20=0,"",($O20/30)*'MF Rents'!BV20*'MF Rollover'!BS20)</f>
        <v/>
      </c>
      <c r="BU20" s="149" t="str">
        <f>IF($B20=0,"",($O20/30)*'MF Rents'!BW20*'MF Rollover'!BT20)</f>
        <v/>
      </c>
      <c r="BV20" s="149" t="str">
        <f>IF($B20=0,"",($O20/30)*'MF Rents'!BX20*'MF Rollover'!BU20)</f>
        <v/>
      </c>
      <c r="BW20" s="149" t="str">
        <f>IF($B20=0,"",($O20/30)*'MF Rents'!BY20*'MF Rollover'!BV20)</f>
        <v/>
      </c>
      <c r="BX20" s="149" t="str">
        <f>IF($B20=0,"",($O20/30)*'MF Rents'!BZ20*'MF Rollover'!BW20)</f>
        <v/>
      </c>
      <c r="BY20" s="149" t="str">
        <f>IF($B20=0,"",($O20/30)*'MF Rents'!CA20*'MF Rollover'!BX20)</f>
        <v/>
      </c>
      <c r="BZ20" s="149" t="str">
        <f>IF($B20=0,"",($O20/30)*'MF Rents'!CB20*'MF Rollover'!BY20)</f>
        <v/>
      </c>
      <c r="CA20" s="149" t="str">
        <f>IF($B20=0,"",($O20/30)*'MF Rents'!CC20*'MF Rollover'!BZ20)</f>
        <v/>
      </c>
      <c r="CB20" s="149" t="str">
        <f>IF($B20=0,"",($O20/30)*'MF Rents'!CD20*'MF Rollover'!CA20)</f>
        <v/>
      </c>
      <c r="CC20" s="149" t="str">
        <f>IF($B20=0,"",($O20/30)*'MF Rents'!CE20*'MF Rollover'!CB20)</f>
        <v/>
      </c>
      <c r="CD20" s="149" t="str">
        <f>IF($B20=0,"",($O20/30)*'MF Rents'!CF20*'MF Rollover'!CC20)</f>
        <v/>
      </c>
      <c r="CE20" s="149" t="str">
        <f>IF($B20=0,"",($O20/30)*'MF Rents'!CG20*'MF Rollover'!CD20)</f>
        <v/>
      </c>
      <c r="CF20" s="149" t="str">
        <f>IF($B20=0,"",($O20/30)*'MF Rents'!CH20*'MF Rollover'!CE20)</f>
        <v/>
      </c>
      <c r="CG20" s="149" t="str">
        <f>IF($B20=0,"",($O20/30)*'MF Rents'!CI20*'MF Rollover'!CF20)</f>
        <v/>
      </c>
      <c r="CH20" s="149" t="str">
        <f>IF($B20=0,"",($O20/30)*'MF Rents'!CJ20*'MF Rollover'!CG20)</f>
        <v/>
      </c>
      <c r="CI20" s="149" t="str">
        <f>IF($B20=0,"",($O20/30)*'MF Rents'!CK20*'MF Rollover'!CH20)</f>
        <v/>
      </c>
      <c r="CJ20" s="149" t="str">
        <f>IF($B20=0,"",($O20/30)*'MF Rents'!CL20*'MF Rollover'!CI20)</f>
        <v/>
      </c>
      <c r="CK20" s="149" t="str">
        <f>IF($B20=0,"",($O20/30)*'MF Rents'!CM20*'MF Rollover'!CJ20)</f>
        <v/>
      </c>
      <c r="CL20" s="149" t="str">
        <f>IF($B20=0,"",($O20/30)*'MF Rents'!CN20*'MF Rollover'!CK20)</f>
        <v/>
      </c>
      <c r="CM20" s="149" t="str">
        <f>IF($B20=0,"",($O20/30)*'MF Rents'!CO20*'MF Rollover'!CL20)</f>
        <v/>
      </c>
      <c r="CN20" s="149" t="str">
        <f>IF($B20=0,"",($O20/30)*'MF Rents'!CP20*'MF Rollover'!CM20)</f>
        <v/>
      </c>
      <c r="CO20" s="149" t="str">
        <f>IF($B20=0,"",($O20/30)*'MF Rents'!CQ20*'MF Rollover'!CN20)</f>
        <v/>
      </c>
      <c r="CP20" s="149" t="str">
        <f>IF($B20=0,"",($O20/30)*'MF Rents'!CR20*'MF Rollover'!CO20)</f>
        <v/>
      </c>
      <c r="CQ20" s="149" t="str">
        <f>IF($B20=0,"",($O20/30)*'MF Rents'!CS20*'MF Rollover'!CP20)</f>
        <v/>
      </c>
      <c r="CR20" s="149" t="str">
        <f>IF($B20=0,"",($O20/30)*'MF Rents'!CT20*'MF Rollover'!CQ20)</f>
        <v/>
      </c>
      <c r="CS20" s="149" t="str">
        <f>IF($B20=0,"",($O20/30)*'MF Rents'!CU20*'MF Rollover'!CR20)</f>
        <v/>
      </c>
      <c r="CT20" s="149" t="str">
        <f>IF($B20=0,"",($O20/30)*'MF Rents'!CV20*'MF Rollover'!CS20)</f>
        <v/>
      </c>
      <c r="CU20" s="149" t="str">
        <f>IF($B20=0,"",($O20/30)*'MF Rents'!CW20*'MF Rollover'!CT20)</f>
        <v/>
      </c>
      <c r="CV20" s="149" t="str">
        <f>IF($B20=0,"",($O20/30)*'MF Rents'!CX20*'MF Rollover'!CU20)</f>
        <v/>
      </c>
      <c r="CW20" s="149" t="str">
        <f>IF($B20=0,"",($O20/30)*'MF Rents'!CY20*'MF Rollover'!CV20)</f>
        <v/>
      </c>
      <c r="CX20" s="149" t="str">
        <f>IF($B20=0,"",($O20/30)*'MF Rents'!CZ20*'MF Rollover'!CW20)</f>
        <v/>
      </c>
      <c r="CY20" s="149" t="str">
        <f>IF($B20=0,"",($O20/30)*'MF Rents'!DA20*'MF Rollover'!CX20)</f>
        <v/>
      </c>
      <c r="CZ20" s="149" t="str">
        <f>IF($B20=0,"",($O20/30)*'MF Rents'!DB20*'MF Rollover'!CY20)</f>
        <v/>
      </c>
      <c r="DA20" s="149" t="str">
        <f>IF($B20=0,"",($O20/30)*'MF Rents'!DC20*'MF Rollover'!CZ20)</f>
        <v/>
      </c>
      <c r="DB20" s="149" t="str">
        <f>IF($B20=0,"",($O20/30)*'MF Rents'!DD20*'MF Rollover'!DA20)</f>
        <v/>
      </c>
      <c r="DC20" s="149" t="str">
        <f>IF($B20=0,"",($O20/30)*'MF Rents'!DE20*'MF Rollover'!DB20)</f>
        <v/>
      </c>
      <c r="DD20" s="149" t="str">
        <f>IF($B20=0,"",($O20/30)*'MF Rents'!DF20*'MF Rollover'!DC20)</f>
        <v/>
      </c>
      <c r="DE20" s="149" t="str">
        <f>IF($B20=0,"",($O20/30)*'MF Rents'!DG20*'MF Rollover'!DD20)</f>
        <v/>
      </c>
      <c r="DF20" s="149" t="str">
        <f>IF($B20=0,"",($O20/30)*'MF Rents'!DH20*'MF Rollover'!DE20)</f>
        <v/>
      </c>
      <c r="DG20" s="149" t="str">
        <f>IF($B20=0,"",($O20/30)*'MF Rents'!DI20*'MF Rollover'!DF20)</f>
        <v/>
      </c>
      <c r="DH20" s="149" t="str">
        <f>IF($B20=0,"",($O20/30)*'MF Rents'!DJ20*'MF Rollover'!DG20)</f>
        <v/>
      </c>
      <c r="DI20" s="149" t="str">
        <f>IF($B20=0,"",($O20/30)*'MF Rents'!DK20*'MF Rollover'!DH20)</f>
        <v/>
      </c>
      <c r="DJ20" s="149" t="str">
        <f>IF($B20=0,"",($O20/30)*'MF Rents'!DL20*'MF Rollover'!DI20)</f>
        <v/>
      </c>
      <c r="DK20" s="149" t="str">
        <f>IF($B20=0,"",($O20/30)*'MF Rents'!DM20*'MF Rollover'!DJ20)</f>
        <v/>
      </c>
      <c r="DL20" s="149" t="str">
        <f>IF($B20=0,"",($O20/30)*'MF Rents'!DN20*'MF Rollover'!DK20)</f>
        <v/>
      </c>
      <c r="DM20" s="149" t="str">
        <f>IF($B20=0,"",($O20/30)*'MF Rents'!DO20*'MF Rollover'!DL20)</f>
        <v/>
      </c>
      <c r="DN20" s="149" t="str">
        <f>IF($B20=0,"",($O20/30)*'MF Rents'!DP20*'MF Rollover'!DM20)</f>
        <v/>
      </c>
      <c r="DO20" s="149" t="str">
        <f>IF($B20=0,"",($O20/30)*'MF Rents'!DQ20*'MF Rollover'!DN20)</f>
        <v/>
      </c>
      <c r="DP20" s="149" t="str">
        <f>IF($B20=0,"",($O20/30)*'MF Rents'!DR20*'MF Rollover'!DO20)</f>
        <v/>
      </c>
      <c r="DQ20" s="149" t="str">
        <f>IF($B20=0,"",($O20/30)*'MF Rents'!DS20*'MF Rollover'!DP20)</f>
        <v/>
      </c>
      <c r="DR20" s="149" t="str">
        <f>IF($B20=0,"",($O20/30)*'MF Rents'!DT20*'MF Rollover'!DQ20)</f>
        <v/>
      </c>
      <c r="DS20" s="149" t="str">
        <f>IF($B20=0,"",($O20/30)*'MF Rents'!DU20*'MF Rollover'!DR20)</f>
        <v/>
      </c>
      <c r="DT20" s="149" t="str">
        <f>IF($B20=0,"",($O20/30)*'MF Rents'!DV20*'MF Rollover'!DS20)</f>
        <v/>
      </c>
      <c r="DU20" s="149" t="str">
        <f>IF($B20=0,"",($O20/30)*'MF Rents'!DW20*'MF Rollover'!DT20)</f>
        <v/>
      </c>
      <c r="DV20" s="149" t="str">
        <f>IF($B20=0,"",($O20/30)*'MF Rents'!DX20*'MF Rollover'!DU20)</f>
        <v/>
      </c>
      <c r="DW20" s="149" t="str">
        <f>IF($B20=0,"",($O20/30)*'MF Rents'!DY20*'MF Rollover'!DV20)</f>
        <v/>
      </c>
      <c r="DX20" s="149" t="str">
        <f>IF($B20=0,"",($O20/30)*'MF Rents'!DZ20*'MF Rollover'!DW20)</f>
        <v/>
      </c>
      <c r="DY20" s="149" t="str">
        <f>IF($B20=0,"",($O20/30)*'MF Rents'!EA20*'MF Rollover'!DX20)</f>
        <v/>
      </c>
      <c r="DZ20" s="149" t="str">
        <f>IF($B20=0,"",($O20/30)*'MF Rents'!EB20*'MF Rollover'!DY20)</f>
        <v/>
      </c>
      <c r="EA20" s="149" t="str">
        <f>IF($B20=0,"",($O20/30)*'MF Rents'!EC20*'MF Rollover'!DZ20)</f>
        <v/>
      </c>
      <c r="EB20" s="149" t="str">
        <f>IF($B20=0,"",($O20/30)*'MF Rents'!ED20*'MF Rollover'!EA20)</f>
        <v/>
      </c>
      <c r="EC20" s="149" t="str">
        <f>IF($B20=0,"",($O20/30)*'MF Rents'!EE20*'MF Rollover'!EB20)</f>
        <v/>
      </c>
      <c r="ED20" s="149" t="str">
        <f>IF($B20=0,"",($O20/30)*'MF Rents'!EF20*'MF Rollover'!EC20)</f>
        <v/>
      </c>
      <c r="EE20" s="149" t="str">
        <f>IF($B20=0,"",($O20/30)*'MF Rents'!EG20*'MF Rollover'!ED20)</f>
        <v/>
      </c>
      <c r="EF20" s="149" t="str">
        <f>IF($B20=0,"",($O20/30)*'MF Rents'!EH20*'MF Rollover'!EE20)</f>
        <v/>
      </c>
      <c r="EG20" s="149" t="str">
        <f>IF($B20=0,"",($O20/30)*'MF Rents'!EI20*'MF Rollover'!EF20)</f>
        <v/>
      </c>
      <c r="EH20" s="149" t="str">
        <f>IF($B20=0,"",($O20/30)*'MF Rents'!EJ20*'MF Rollover'!EG20)</f>
        <v/>
      </c>
      <c r="EI20" s="149" t="str">
        <f>IF($B20=0,"",($O20/30)*'MF Rents'!EK20*'MF Rollover'!EH20)</f>
        <v/>
      </c>
      <c r="EJ20" s="149" t="str">
        <f>IF($B20=0,"",($O20/30)*'MF Rents'!EL20*'MF Rollover'!EI20)</f>
        <v/>
      </c>
      <c r="EK20" s="149" t="str">
        <f>IF($B20=0,"",($O20/30)*'MF Rents'!EM20*'MF Rollover'!EJ20)</f>
        <v/>
      </c>
      <c r="EL20" s="149" t="str">
        <f>IF($B20=0,"",($O20/30)*'MF Rents'!EN20*'MF Rollover'!EK20)</f>
        <v/>
      </c>
      <c r="EM20" s="149" t="str">
        <f>IF($B20=0,"",($O20/30)*'MF Rents'!EO20*'MF Rollover'!EL20)</f>
        <v/>
      </c>
      <c r="EN20" s="149" t="str">
        <f>IF($B20=0,"",($O20/30)*'MF Rents'!EP20*'MF Rollover'!EM20)</f>
        <v/>
      </c>
      <c r="EO20" s="149" t="str">
        <f>IF($B20=0,"",($O20/30)*'MF Rents'!EQ20*'MF Rollover'!EN20)</f>
        <v/>
      </c>
      <c r="EP20" s="149" t="str">
        <f>IF($B20=0,"",($O20/30)*'MF Rents'!ER20*'MF Rollover'!EO20)</f>
        <v/>
      </c>
      <c r="EQ20" s="149" t="str">
        <f>IF($B20=0,"",($O20/30)*'MF Rents'!ES20*'MF Rollover'!EP20)</f>
        <v/>
      </c>
      <c r="ER20" s="149" t="str">
        <f>IF($B20=0,"",($O20/30)*'MF Rents'!ET20*'MF Rollover'!EQ20)</f>
        <v/>
      </c>
      <c r="ES20" s="149" t="str">
        <f>IF($B20=0,"",($O20/30)*'MF Rents'!EU20*'MF Rollover'!ER20)</f>
        <v/>
      </c>
      <c r="ET20" s="149" t="str">
        <f>IF($B20=0,"",($O20/30)*'MF Rents'!EV20*'MF Rollover'!ES20)</f>
        <v/>
      </c>
      <c r="EU20" s="149" t="str">
        <f>IF($B20=0,"",($O20/30)*'MF Rents'!EW20*'MF Rollover'!ET20)</f>
        <v/>
      </c>
      <c r="EV20" s="149" t="str">
        <f>IF($B20=0,"",($O20/30)*'MF Rents'!EX20*'MF Rollover'!EU20)</f>
        <v/>
      </c>
      <c r="EW20" s="149" t="str">
        <f>IF($B20=0,"",($O20/30)*'MF Rents'!EY20*'MF Rollover'!EV20)</f>
        <v/>
      </c>
      <c r="EX20" s="149" t="str">
        <f>IF($B20=0,"",($O20/30)*'MF Rents'!EZ20*'MF Rollover'!EW20)</f>
        <v/>
      </c>
      <c r="EY20" s="149" t="str">
        <f>IF($B20=0,"",($O20/30)*'MF Rents'!FA20*'MF Rollover'!EX20)</f>
        <v/>
      </c>
      <c r="EZ20" s="149" t="str">
        <f>IF($B20=0,"",($O20/30)*'MF Rents'!FB20*'MF Rollover'!EY20)</f>
        <v/>
      </c>
      <c r="FA20" s="149" t="str">
        <f>IF($B20=0,"",($O20/30)*'MF Rents'!FC20*'MF Rollover'!EZ20)</f>
        <v/>
      </c>
      <c r="FB20" s="149" t="str">
        <f>IF($B20=0,"",($O20/30)*'MF Rents'!FD20*'MF Rollover'!FA20)</f>
        <v/>
      </c>
      <c r="FC20" s="149" t="str">
        <f>IF($B20=0,"",($O20/30)*'MF Rents'!FE20*'MF Rollover'!FB20)</f>
        <v/>
      </c>
      <c r="FD20" s="149" t="str">
        <f>IF($B20=0,"",($O20/30)*'MF Rents'!FF20*'MF Rollover'!FC20)</f>
        <v/>
      </c>
      <c r="FE20" s="149" t="str">
        <f>IF($B20=0,"",($O20/30)*'MF Rents'!FG20*'MF Rollover'!FD20)</f>
        <v/>
      </c>
      <c r="FF20" s="149" t="str">
        <f>IF($B20=0,"",($O20/30)*'MF Rents'!FH20*'MF Rollover'!FE20)</f>
        <v/>
      </c>
      <c r="FG20" s="149" t="str">
        <f>IF($B20=0,"",($O20/30)*'MF Rents'!FI20*'MF Rollover'!FF20)</f>
        <v/>
      </c>
      <c r="FH20" s="149" t="str">
        <f>IF($B20=0,"",($O20/30)*'MF Rents'!FJ20*'MF Rollover'!FG20)</f>
        <v/>
      </c>
      <c r="FI20" s="149" t="str">
        <f>IF($B20=0,"",($O20/30)*'MF Rents'!FK20*'MF Rollover'!FH20)</f>
        <v/>
      </c>
      <c r="FJ20" s="149" t="str">
        <f>IF($B20=0,"",($O20/30)*'MF Rents'!FL20*'MF Rollover'!FI20)</f>
        <v/>
      </c>
      <c r="FK20" s="149" t="str">
        <f>IF($B20=0,"",($O20/30)*'MF Rents'!FM20*'MF Rollover'!FJ20)</f>
        <v/>
      </c>
      <c r="FL20" s="149" t="str">
        <f>IF($B20=0,"",($O20/30)*'MF Rents'!FN20*'MF Rollover'!FK20)</f>
        <v/>
      </c>
      <c r="FM20" s="149" t="str">
        <f>IF($B20=0,"",($O20/30)*'MF Rents'!FO20*'MF Rollover'!FL20)</f>
        <v/>
      </c>
      <c r="FN20" s="149" t="str">
        <f>IF($B20=0,"",($O20/30)*'MF Rents'!FP20*'MF Rollover'!FM20)</f>
        <v/>
      </c>
      <c r="FO20" s="149" t="str">
        <f>IF($B20=0,"",($O20/30)*'MF Rents'!FQ20*'MF Rollover'!FN20)</f>
        <v/>
      </c>
      <c r="FP20" s="149" t="str">
        <f>IF($B20=0,"",($O20/30)*'MF Rents'!FR20*'MF Rollover'!FO20)</f>
        <v/>
      </c>
      <c r="FQ20" s="149" t="str">
        <f>IF($B20=0,"",($O20/30)*'MF Rents'!FS20*'MF Rollover'!FP20)</f>
        <v/>
      </c>
      <c r="FR20" s="149" t="str">
        <f>IF($B20=0,"",($O20/30)*'MF Rents'!FT20*'MF Rollover'!FQ20)</f>
        <v/>
      </c>
      <c r="FS20" s="149" t="str">
        <f>IF($B20=0,"",($O20/30)*'MF Rents'!FU20*'MF Rollover'!FR20)</f>
        <v/>
      </c>
      <c r="FT20" s="149" t="str">
        <f>IF($B20=0,"",($O20/30)*'MF Rents'!FV20*'MF Rollover'!FS20)</f>
        <v/>
      </c>
      <c r="FU20" s="149" t="str">
        <f>IF($B20=0,"",($O20/30)*'MF Rents'!FW20*'MF Rollover'!FT20)</f>
        <v/>
      </c>
      <c r="FV20" s="149" t="str">
        <f>IF($B20=0,"",($O20/30)*'MF Rents'!FX20*'MF Rollover'!FU20)</f>
        <v/>
      </c>
      <c r="FW20" s="149" t="str">
        <f>IF($B20=0,"",($O20/30)*'MF Rents'!FY20*'MF Rollover'!FV20)</f>
        <v/>
      </c>
      <c r="FX20" s="149" t="str">
        <f>IF($B20=0,"",($O20/30)*'MF Rents'!FZ20*'MF Rollover'!FW20)</f>
        <v/>
      </c>
      <c r="FY20" s="149" t="str">
        <f>IF($B20=0,"",($O20/30)*'MF Rents'!GA20*'MF Rollover'!FX20)</f>
        <v/>
      </c>
      <c r="FZ20" s="149" t="str">
        <f>IF($B20=0,"",($O20/30)*'MF Rents'!GB20*'MF Rollover'!FY20)</f>
        <v/>
      </c>
      <c r="GA20" s="149" t="str">
        <f>IF($B20=0,"",($O20/30)*'MF Rents'!GC20*'MF Rollover'!FZ20)</f>
        <v/>
      </c>
      <c r="GB20" s="149" t="str">
        <f>IF($B20=0,"",($O20/30)*'MF Rents'!GD20*'MF Rollover'!GA20)</f>
        <v/>
      </c>
      <c r="GC20" s="149" t="str">
        <f>IF($B20=0,"",($O20/30)*'MF Rents'!GE20*'MF Rollover'!GB20)</f>
        <v/>
      </c>
      <c r="GD20" s="149" t="str">
        <f>IF($B20=0,"",($O20/30)*'MF Rents'!GF20*'MF Rollover'!GC20)</f>
        <v/>
      </c>
      <c r="GE20" s="149" t="str">
        <f>IF($B20=0,"",($O20/30)*'MF Rents'!GG20*'MF Rollover'!GD20)</f>
        <v/>
      </c>
      <c r="GF20" s="149" t="str">
        <f>IF($B20=0,"",($O20/30)*'MF Rents'!GH20*'MF Rollover'!GE20)</f>
        <v/>
      </c>
      <c r="GG20" s="149" t="str">
        <f>IF($B20=0,"",($O20/30)*'MF Rents'!GI20*'MF Rollover'!GF20)</f>
        <v/>
      </c>
      <c r="GH20" s="149" t="str">
        <f>IF($B20=0,"",($O20/30)*'MF Rents'!GJ20*'MF Rollover'!GG20)</f>
        <v/>
      </c>
      <c r="GI20" s="149" t="str">
        <f>IF($B20=0,"",($O20/30)*'MF Rents'!GK20*'MF Rollover'!GH20)</f>
        <v/>
      </c>
      <c r="GJ20" s="149" t="str">
        <f>IF($B20=0,"",($O20/30)*'MF Rents'!GL20*'MF Rollover'!GI20)</f>
        <v/>
      </c>
      <c r="GK20" s="149" t="str">
        <f>IF($B20=0,"",($O20/30)*'MF Rents'!GM20*'MF Rollover'!GJ20)</f>
        <v/>
      </c>
      <c r="GL20" s="149" t="str">
        <f>IF($B20=0,"",($O20/30)*'MF Rents'!GN20*'MF Rollover'!GK20)</f>
        <v/>
      </c>
      <c r="GM20" s="149" t="str">
        <f>IF($B20=0,"",($O20/30)*'MF Rents'!GO20*'MF Rollover'!GL20)</f>
        <v/>
      </c>
      <c r="GN20" s="149" t="str">
        <f>IF($B20=0,"",($O20/30)*'MF Rents'!GP20*'MF Rollover'!GM20)</f>
        <v/>
      </c>
      <c r="GO20" s="149" t="str">
        <f>IF($B20=0,"",($O20/30)*'MF Rents'!GQ20*'MF Rollover'!GN20)</f>
        <v/>
      </c>
      <c r="GP20" s="149" t="str">
        <f>IF($B20=0,"",($O20/30)*'MF Rents'!GR20*'MF Rollover'!GO20)</f>
        <v/>
      </c>
    </row>
    <row r="21" spans="2:198" x14ac:dyDescent="0.3">
      <c r="B21" s="184">
        <f>'MF Rent Roll'!B20</f>
        <v>0</v>
      </c>
      <c r="C21" s="171">
        <f>'MF Rent Roll'!C20</f>
        <v>0</v>
      </c>
      <c r="D21" s="172">
        <f>'MF Rent Roll'!D20</f>
        <v>0</v>
      </c>
      <c r="E21" s="172">
        <f>'MF Rent Roll'!E20</f>
        <v>0</v>
      </c>
      <c r="F21" s="173">
        <f>'MF Rent Roll'!F20</f>
        <v>0</v>
      </c>
      <c r="G21" s="174">
        <f>'MF Rent Roll'!G20</f>
        <v>0</v>
      </c>
      <c r="H21" s="176">
        <f>'MF Rent Roll'!J20</f>
        <v>0</v>
      </c>
      <c r="I21" s="174">
        <f>'MF Rent Roll'!K20</f>
        <v>0</v>
      </c>
      <c r="J21" s="177">
        <f>'MF Rent Roll'!L20</f>
        <v>0</v>
      </c>
      <c r="K21" s="178">
        <f>'MF Rent Roll'!M20</f>
        <v>0</v>
      </c>
      <c r="L21" s="174">
        <f>'MF Rent Roll'!N20</f>
        <v>0</v>
      </c>
      <c r="M21" s="179">
        <f>'MF Rent Roll'!O20</f>
        <v>0</v>
      </c>
      <c r="N21" s="180" t="str">
        <f>'MF Rent Roll'!P20</f>
        <v/>
      </c>
      <c r="O21" s="181" t="str">
        <f>'MF Rent Roll'!Q20</f>
        <v/>
      </c>
      <c r="P21" s="104" t="str">
        <f>'MF Rent Roll'!R20</f>
        <v/>
      </c>
      <c r="S21" s="149" t="str">
        <f>IF($B21=0,"",($O21/30)*'MF Rents'!U21*'MF Rollover'!R21)</f>
        <v/>
      </c>
      <c r="T21" s="149" t="str">
        <f>IF($B21=0,"",($O21/30)*'MF Rents'!V21*'MF Rollover'!S21)</f>
        <v/>
      </c>
      <c r="U21" s="149" t="str">
        <f>IF($B21=0,"",($O21/30)*'MF Rents'!W21*'MF Rollover'!T21)</f>
        <v/>
      </c>
      <c r="V21" s="149" t="str">
        <f>IF($B21=0,"",($O21/30)*'MF Rents'!X21*'MF Rollover'!U21)</f>
        <v/>
      </c>
      <c r="W21" s="149" t="str">
        <f>IF($B21=0,"",($O21/30)*'MF Rents'!Y21*'MF Rollover'!V21)</f>
        <v/>
      </c>
      <c r="X21" s="149" t="str">
        <f>IF($B21=0,"",($O21/30)*'MF Rents'!Z21*'MF Rollover'!W21)</f>
        <v/>
      </c>
      <c r="Y21" s="149" t="str">
        <f>IF($B21=0,"",($O21/30)*'MF Rents'!AA21*'MF Rollover'!X21)</f>
        <v/>
      </c>
      <c r="Z21" s="149" t="str">
        <f>IF($B21=0,"",($O21/30)*'MF Rents'!AB21*'MF Rollover'!Y21)</f>
        <v/>
      </c>
      <c r="AA21" s="149" t="str">
        <f>IF($B21=0,"",($O21/30)*'MF Rents'!AC21*'MF Rollover'!Z21)</f>
        <v/>
      </c>
      <c r="AB21" s="149" t="str">
        <f>IF($B21=0,"",($O21/30)*'MF Rents'!AD21*'MF Rollover'!AA21)</f>
        <v/>
      </c>
      <c r="AC21" s="149" t="str">
        <f>IF($B21=0,"",($O21/30)*'MF Rents'!AE21*'MF Rollover'!AB21)</f>
        <v/>
      </c>
      <c r="AD21" s="149" t="str">
        <f>IF($B21=0,"",($O21/30)*'MF Rents'!AF21*'MF Rollover'!AC21)</f>
        <v/>
      </c>
      <c r="AE21" s="149" t="str">
        <f>IF($B21=0,"",($O21/30)*'MF Rents'!AG21*'MF Rollover'!AD21)</f>
        <v/>
      </c>
      <c r="AF21" s="149" t="str">
        <f>IF($B21=0,"",($O21/30)*'MF Rents'!AH21*'MF Rollover'!AE21)</f>
        <v/>
      </c>
      <c r="AG21" s="149" t="str">
        <f>IF($B21=0,"",($O21/30)*'MF Rents'!AI21*'MF Rollover'!AF21)</f>
        <v/>
      </c>
      <c r="AH21" s="149" t="str">
        <f>IF($B21=0,"",($O21/30)*'MF Rents'!AJ21*'MF Rollover'!AG21)</f>
        <v/>
      </c>
      <c r="AI21" s="149" t="str">
        <f>IF($B21=0,"",($O21/30)*'MF Rents'!AK21*'MF Rollover'!AH21)</f>
        <v/>
      </c>
      <c r="AJ21" s="149" t="str">
        <f>IF($B21=0,"",($O21/30)*'MF Rents'!AL21*'MF Rollover'!AI21)</f>
        <v/>
      </c>
      <c r="AK21" s="149" t="str">
        <f>IF($B21=0,"",($O21/30)*'MF Rents'!AM21*'MF Rollover'!AJ21)</f>
        <v/>
      </c>
      <c r="AL21" s="149" t="str">
        <f>IF($B21=0,"",($O21/30)*'MF Rents'!AN21*'MF Rollover'!AK21)</f>
        <v/>
      </c>
      <c r="AM21" s="149" t="str">
        <f>IF($B21=0,"",($O21/30)*'MF Rents'!AO21*'MF Rollover'!AL21)</f>
        <v/>
      </c>
      <c r="AN21" s="149" t="str">
        <f>IF($B21=0,"",($O21/30)*'MF Rents'!AP21*'MF Rollover'!AM21)</f>
        <v/>
      </c>
      <c r="AO21" s="149" t="str">
        <f>IF($B21=0,"",($O21/30)*'MF Rents'!AQ21*'MF Rollover'!AN21)</f>
        <v/>
      </c>
      <c r="AP21" s="149" t="str">
        <f>IF($B21=0,"",($O21/30)*'MF Rents'!AR21*'MF Rollover'!AO21)</f>
        <v/>
      </c>
      <c r="AQ21" s="149" t="str">
        <f>IF($B21=0,"",($O21/30)*'MF Rents'!AS21*'MF Rollover'!AP21)</f>
        <v/>
      </c>
      <c r="AR21" s="149" t="str">
        <f>IF($B21=0,"",($O21/30)*'MF Rents'!AT21*'MF Rollover'!AQ21)</f>
        <v/>
      </c>
      <c r="AS21" s="149" t="str">
        <f>IF($B21=0,"",($O21/30)*'MF Rents'!AU21*'MF Rollover'!AR21)</f>
        <v/>
      </c>
      <c r="AT21" s="149" t="str">
        <f>IF($B21=0,"",($O21/30)*'MF Rents'!AV21*'MF Rollover'!AS21)</f>
        <v/>
      </c>
      <c r="AU21" s="149" t="str">
        <f>IF($B21=0,"",($O21/30)*'MF Rents'!AW21*'MF Rollover'!AT21)</f>
        <v/>
      </c>
      <c r="AV21" s="149" t="str">
        <f>IF($B21=0,"",($O21/30)*'MF Rents'!AX21*'MF Rollover'!AU21)</f>
        <v/>
      </c>
      <c r="AW21" s="149" t="str">
        <f>IF($B21=0,"",($O21/30)*'MF Rents'!AY21*'MF Rollover'!AV21)</f>
        <v/>
      </c>
      <c r="AX21" s="149" t="str">
        <f>IF($B21=0,"",($O21/30)*'MF Rents'!AZ21*'MF Rollover'!AW21)</f>
        <v/>
      </c>
      <c r="AY21" s="149" t="str">
        <f>IF($B21=0,"",($O21/30)*'MF Rents'!BA21*'MF Rollover'!AX21)</f>
        <v/>
      </c>
      <c r="AZ21" s="149" t="str">
        <f>IF($B21=0,"",($O21/30)*'MF Rents'!BB21*'MF Rollover'!AY21)</f>
        <v/>
      </c>
      <c r="BA21" s="149" t="str">
        <f>IF($B21=0,"",($O21/30)*'MF Rents'!BC21*'MF Rollover'!AZ21)</f>
        <v/>
      </c>
      <c r="BB21" s="149" t="str">
        <f>IF($B21=0,"",($O21/30)*'MF Rents'!BD21*'MF Rollover'!BA21)</f>
        <v/>
      </c>
      <c r="BC21" s="149" t="str">
        <f>IF($B21=0,"",($O21/30)*'MF Rents'!BE21*'MF Rollover'!BB21)</f>
        <v/>
      </c>
      <c r="BD21" s="149" t="str">
        <f>IF($B21=0,"",($O21/30)*'MF Rents'!BF21*'MF Rollover'!BC21)</f>
        <v/>
      </c>
      <c r="BE21" s="149" t="str">
        <f>IF($B21=0,"",($O21/30)*'MF Rents'!BG21*'MF Rollover'!BD21)</f>
        <v/>
      </c>
      <c r="BF21" s="149" t="str">
        <f>IF($B21=0,"",($O21/30)*'MF Rents'!BH21*'MF Rollover'!BE21)</f>
        <v/>
      </c>
      <c r="BG21" s="149" t="str">
        <f>IF($B21=0,"",($O21/30)*'MF Rents'!BI21*'MF Rollover'!BF21)</f>
        <v/>
      </c>
      <c r="BH21" s="149" t="str">
        <f>IF($B21=0,"",($O21/30)*'MF Rents'!BJ21*'MF Rollover'!BG21)</f>
        <v/>
      </c>
      <c r="BI21" s="149" t="str">
        <f>IF($B21=0,"",($O21/30)*'MF Rents'!BK21*'MF Rollover'!BH21)</f>
        <v/>
      </c>
      <c r="BJ21" s="149" t="str">
        <f>IF($B21=0,"",($O21/30)*'MF Rents'!BL21*'MF Rollover'!BI21)</f>
        <v/>
      </c>
      <c r="BK21" s="149" t="str">
        <f>IF($B21=0,"",($O21/30)*'MF Rents'!BM21*'MF Rollover'!BJ21)</f>
        <v/>
      </c>
      <c r="BL21" s="149" t="str">
        <f>IF($B21=0,"",($O21/30)*'MF Rents'!BN21*'MF Rollover'!BK21)</f>
        <v/>
      </c>
      <c r="BM21" s="149" t="str">
        <f>IF($B21=0,"",($O21/30)*'MF Rents'!BO21*'MF Rollover'!BL21)</f>
        <v/>
      </c>
      <c r="BN21" s="149" t="str">
        <f>IF($B21=0,"",($O21/30)*'MF Rents'!BP21*'MF Rollover'!BM21)</f>
        <v/>
      </c>
      <c r="BO21" s="149" t="str">
        <f>IF($B21=0,"",($O21/30)*'MF Rents'!BQ21*'MF Rollover'!BN21)</f>
        <v/>
      </c>
      <c r="BP21" s="149" t="str">
        <f>IF($B21=0,"",($O21/30)*'MF Rents'!BR21*'MF Rollover'!BO21)</f>
        <v/>
      </c>
      <c r="BQ21" s="149" t="str">
        <f>IF($B21=0,"",($O21/30)*'MF Rents'!BS21*'MF Rollover'!BP21)</f>
        <v/>
      </c>
      <c r="BR21" s="149" t="str">
        <f>IF($B21=0,"",($O21/30)*'MF Rents'!BT21*'MF Rollover'!BQ21)</f>
        <v/>
      </c>
      <c r="BS21" s="149" t="str">
        <f>IF($B21=0,"",($O21/30)*'MF Rents'!BU21*'MF Rollover'!BR21)</f>
        <v/>
      </c>
      <c r="BT21" s="149" t="str">
        <f>IF($B21=0,"",($O21/30)*'MF Rents'!BV21*'MF Rollover'!BS21)</f>
        <v/>
      </c>
      <c r="BU21" s="149" t="str">
        <f>IF($B21=0,"",($O21/30)*'MF Rents'!BW21*'MF Rollover'!BT21)</f>
        <v/>
      </c>
      <c r="BV21" s="149" t="str">
        <f>IF($B21=0,"",($O21/30)*'MF Rents'!BX21*'MF Rollover'!BU21)</f>
        <v/>
      </c>
      <c r="BW21" s="149" t="str">
        <f>IF($B21=0,"",($O21/30)*'MF Rents'!BY21*'MF Rollover'!BV21)</f>
        <v/>
      </c>
      <c r="BX21" s="149" t="str">
        <f>IF($B21=0,"",($O21/30)*'MF Rents'!BZ21*'MF Rollover'!BW21)</f>
        <v/>
      </c>
      <c r="BY21" s="149" t="str">
        <f>IF($B21=0,"",($O21/30)*'MF Rents'!CA21*'MF Rollover'!BX21)</f>
        <v/>
      </c>
      <c r="BZ21" s="149" t="str">
        <f>IF($B21=0,"",($O21/30)*'MF Rents'!CB21*'MF Rollover'!BY21)</f>
        <v/>
      </c>
      <c r="CA21" s="149" t="str">
        <f>IF($B21=0,"",($O21/30)*'MF Rents'!CC21*'MF Rollover'!BZ21)</f>
        <v/>
      </c>
      <c r="CB21" s="149" t="str">
        <f>IF($B21=0,"",($O21/30)*'MF Rents'!CD21*'MF Rollover'!CA21)</f>
        <v/>
      </c>
      <c r="CC21" s="149" t="str">
        <f>IF($B21=0,"",($O21/30)*'MF Rents'!CE21*'MF Rollover'!CB21)</f>
        <v/>
      </c>
      <c r="CD21" s="149" t="str">
        <f>IF($B21=0,"",($O21/30)*'MF Rents'!CF21*'MF Rollover'!CC21)</f>
        <v/>
      </c>
      <c r="CE21" s="149" t="str">
        <f>IF($B21=0,"",($O21/30)*'MF Rents'!CG21*'MF Rollover'!CD21)</f>
        <v/>
      </c>
      <c r="CF21" s="149" t="str">
        <f>IF($B21=0,"",($O21/30)*'MF Rents'!CH21*'MF Rollover'!CE21)</f>
        <v/>
      </c>
      <c r="CG21" s="149" t="str">
        <f>IF($B21=0,"",($O21/30)*'MF Rents'!CI21*'MF Rollover'!CF21)</f>
        <v/>
      </c>
      <c r="CH21" s="149" t="str">
        <f>IF($B21=0,"",($O21/30)*'MF Rents'!CJ21*'MF Rollover'!CG21)</f>
        <v/>
      </c>
      <c r="CI21" s="149" t="str">
        <f>IF($B21=0,"",($O21/30)*'MF Rents'!CK21*'MF Rollover'!CH21)</f>
        <v/>
      </c>
      <c r="CJ21" s="149" t="str">
        <f>IF($B21=0,"",($O21/30)*'MF Rents'!CL21*'MF Rollover'!CI21)</f>
        <v/>
      </c>
      <c r="CK21" s="149" t="str">
        <f>IF($B21=0,"",($O21/30)*'MF Rents'!CM21*'MF Rollover'!CJ21)</f>
        <v/>
      </c>
      <c r="CL21" s="149" t="str">
        <f>IF($B21=0,"",($O21/30)*'MF Rents'!CN21*'MF Rollover'!CK21)</f>
        <v/>
      </c>
      <c r="CM21" s="149" t="str">
        <f>IF($B21=0,"",($O21/30)*'MF Rents'!CO21*'MF Rollover'!CL21)</f>
        <v/>
      </c>
      <c r="CN21" s="149" t="str">
        <f>IF($B21=0,"",($O21/30)*'MF Rents'!CP21*'MF Rollover'!CM21)</f>
        <v/>
      </c>
      <c r="CO21" s="149" t="str">
        <f>IF($B21=0,"",($O21/30)*'MF Rents'!CQ21*'MF Rollover'!CN21)</f>
        <v/>
      </c>
      <c r="CP21" s="149" t="str">
        <f>IF($B21=0,"",($O21/30)*'MF Rents'!CR21*'MF Rollover'!CO21)</f>
        <v/>
      </c>
      <c r="CQ21" s="149" t="str">
        <f>IF($B21=0,"",($O21/30)*'MF Rents'!CS21*'MF Rollover'!CP21)</f>
        <v/>
      </c>
      <c r="CR21" s="149" t="str">
        <f>IF($B21=0,"",($O21/30)*'MF Rents'!CT21*'MF Rollover'!CQ21)</f>
        <v/>
      </c>
      <c r="CS21" s="149" t="str">
        <f>IF($B21=0,"",($O21/30)*'MF Rents'!CU21*'MF Rollover'!CR21)</f>
        <v/>
      </c>
      <c r="CT21" s="149" t="str">
        <f>IF($B21=0,"",($O21/30)*'MF Rents'!CV21*'MF Rollover'!CS21)</f>
        <v/>
      </c>
      <c r="CU21" s="149" t="str">
        <f>IF($B21=0,"",($O21/30)*'MF Rents'!CW21*'MF Rollover'!CT21)</f>
        <v/>
      </c>
      <c r="CV21" s="149" t="str">
        <f>IF($B21=0,"",($O21/30)*'MF Rents'!CX21*'MF Rollover'!CU21)</f>
        <v/>
      </c>
      <c r="CW21" s="149" t="str">
        <f>IF($B21=0,"",($O21/30)*'MF Rents'!CY21*'MF Rollover'!CV21)</f>
        <v/>
      </c>
      <c r="CX21" s="149" t="str">
        <f>IF($B21=0,"",($O21/30)*'MF Rents'!CZ21*'MF Rollover'!CW21)</f>
        <v/>
      </c>
      <c r="CY21" s="149" t="str">
        <f>IF($B21=0,"",($O21/30)*'MF Rents'!DA21*'MF Rollover'!CX21)</f>
        <v/>
      </c>
      <c r="CZ21" s="149" t="str">
        <f>IF($B21=0,"",($O21/30)*'MF Rents'!DB21*'MF Rollover'!CY21)</f>
        <v/>
      </c>
      <c r="DA21" s="149" t="str">
        <f>IF($B21=0,"",($O21/30)*'MF Rents'!DC21*'MF Rollover'!CZ21)</f>
        <v/>
      </c>
      <c r="DB21" s="149" t="str">
        <f>IF($B21=0,"",($O21/30)*'MF Rents'!DD21*'MF Rollover'!DA21)</f>
        <v/>
      </c>
      <c r="DC21" s="149" t="str">
        <f>IF($B21=0,"",($O21/30)*'MF Rents'!DE21*'MF Rollover'!DB21)</f>
        <v/>
      </c>
      <c r="DD21" s="149" t="str">
        <f>IF($B21=0,"",($O21/30)*'MF Rents'!DF21*'MF Rollover'!DC21)</f>
        <v/>
      </c>
      <c r="DE21" s="149" t="str">
        <f>IF($B21=0,"",($O21/30)*'MF Rents'!DG21*'MF Rollover'!DD21)</f>
        <v/>
      </c>
      <c r="DF21" s="149" t="str">
        <f>IF($B21=0,"",($O21/30)*'MF Rents'!DH21*'MF Rollover'!DE21)</f>
        <v/>
      </c>
      <c r="DG21" s="149" t="str">
        <f>IF($B21=0,"",($O21/30)*'MF Rents'!DI21*'MF Rollover'!DF21)</f>
        <v/>
      </c>
      <c r="DH21" s="149" t="str">
        <f>IF($B21=0,"",($O21/30)*'MF Rents'!DJ21*'MF Rollover'!DG21)</f>
        <v/>
      </c>
      <c r="DI21" s="149" t="str">
        <f>IF($B21=0,"",($O21/30)*'MF Rents'!DK21*'MF Rollover'!DH21)</f>
        <v/>
      </c>
      <c r="DJ21" s="149" t="str">
        <f>IF($B21=0,"",($O21/30)*'MF Rents'!DL21*'MF Rollover'!DI21)</f>
        <v/>
      </c>
      <c r="DK21" s="149" t="str">
        <f>IF($B21=0,"",($O21/30)*'MF Rents'!DM21*'MF Rollover'!DJ21)</f>
        <v/>
      </c>
      <c r="DL21" s="149" t="str">
        <f>IF($B21=0,"",($O21/30)*'MF Rents'!DN21*'MF Rollover'!DK21)</f>
        <v/>
      </c>
      <c r="DM21" s="149" t="str">
        <f>IF($B21=0,"",($O21/30)*'MF Rents'!DO21*'MF Rollover'!DL21)</f>
        <v/>
      </c>
      <c r="DN21" s="149" t="str">
        <f>IF($B21=0,"",($O21/30)*'MF Rents'!DP21*'MF Rollover'!DM21)</f>
        <v/>
      </c>
      <c r="DO21" s="149" t="str">
        <f>IF($B21=0,"",($O21/30)*'MF Rents'!DQ21*'MF Rollover'!DN21)</f>
        <v/>
      </c>
      <c r="DP21" s="149" t="str">
        <f>IF($B21=0,"",($O21/30)*'MF Rents'!DR21*'MF Rollover'!DO21)</f>
        <v/>
      </c>
      <c r="DQ21" s="149" t="str">
        <f>IF($B21=0,"",($O21/30)*'MF Rents'!DS21*'MF Rollover'!DP21)</f>
        <v/>
      </c>
      <c r="DR21" s="149" t="str">
        <f>IF($B21=0,"",($O21/30)*'MF Rents'!DT21*'MF Rollover'!DQ21)</f>
        <v/>
      </c>
      <c r="DS21" s="149" t="str">
        <f>IF($B21=0,"",($O21/30)*'MF Rents'!DU21*'MF Rollover'!DR21)</f>
        <v/>
      </c>
      <c r="DT21" s="149" t="str">
        <f>IF($B21=0,"",($O21/30)*'MF Rents'!DV21*'MF Rollover'!DS21)</f>
        <v/>
      </c>
      <c r="DU21" s="149" t="str">
        <f>IF($B21=0,"",($O21/30)*'MF Rents'!DW21*'MF Rollover'!DT21)</f>
        <v/>
      </c>
      <c r="DV21" s="149" t="str">
        <f>IF($B21=0,"",($O21/30)*'MF Rents'!DX21*'MF Rollover'!DU21)</f>
        <v/>
      </c>
      <c r="DW21" s="149" t="str">
        <f>IF($B21=0,"",($O21/30)*'MF Rents'!DY21*'MF Rollover'!DV21)</f>
        <v/>
      </c>
      <c r="DX21" s="149" t="str">
        <f>IF($B21=0,"",($O21/30)*'MF Rents'!DZ21*'MF Rollover'!DW21)</f>
        <v/>
      </c>
      <c r="DY21" s="149" t="str">
        <f>IF($B21=0,"",($O21/30)*'MF Rents'!EA21*'MF Rollover'!DX21)</f>
        <v/>
      </c>
      <c r="DZ21" s="149" t="str">
        <f>IF($B21=0,"",($O21/30)*'MF Rents'!EB21*'MF Rollover'!DY21)</f>
        <v/>
      </c>
      <c r="EA21" s="149" t="str">
        <f>IF($B21=0,"",($O21/30)*'MF Rents'!EC21*'MF Rollover'!DZ21)</f>
        <v/>
      </c>
      <c r="EB21" s="149" t="str">
        <f>IF($B21=0,"",($O21/30)*'MF Rents'!ED21*'MF Rollover'!EA21)</f>
        <v/>
      </c>
      <c r="EC21" s="149" t="str">
        <f>IF($B21=0,"",($O21/30)*'MF Rents'!EE21*'MF Rollover'!EB21)</f>
        <v/>
      </c>
      <c r="ED21" s="149" t="str">
        <f>IF($B21=0,"",($O21/30)*'MF Rents'!EF21*'MF Rollover'!EC21)</f>
        <v/>
      </c>
      <c r="EE21" s="149" t="str">
        <f>IF($B21=0,"",($O21/30)*'MF Rents'!EG21*'MF Rollover'!ED21)</f>
        <v/>
      </c>
      <c r="EF21" s="149" t="str">
        <f>IF($B21=0,"",($O21/30)*'MF Rents'!EH21*'MF Rollover'!EE21)</f>
        <v/>
      </c>
      <c r="EG21" s="149" t="str">
        <f>IF($B21=0,"",($O21/30)*'MF Rents'!EI21*'MF Rollover'!EF21)</f>
        <v/>
      </c>
      <c r="EH21" s="149" t="str">
        <f>IF($B21=0,"",($O21/30)*'MF Rents'!EJ21*'MF Rollover'!EG21)</f>
        <v/>
      </c>
      <c r="EI21" s="149" t="str">
        <f>IF($B21=0,"",($O21/30)*'MF Rents'!EK21*'MF Rollover'!EH21)</f>
        <v/>
      </c>
      <c r="EJ21" s="149" t="str">
        <f>IF($B21=0,"",($O21/30)*'MF Rents'!EL21*'MF Rollover'!EI21)</f>
        <v/>
      </c>
      <c r="EK21" s="149" t="str">
        <f>IF($B21=0,"",($O21/30)*'MF Rents'!EM21*'MF Rollover'!EJ21)</f>
        <v/>
      </c>
      <c r="EL21" s="149" t="str">
        <f>IF($B21=0,"",($O21/30)*'MF Rents'!EN21*'MF Rollover'!EK21)</f>
        <v/>
      </c>
      <c r="EM21" s="149" t="str">
        <f>IF($B21=0,"",($O21/30)*'MF Rents'!EO21*'MF Rollover'!EL21)</f>
        <v/>
      </c>
      <c r="EN21" s="149" t="str">
        <f>IF($B21=0,"",($O21/30)*'MF Rents'!EP21*'MF Rollover'!EM21)</f>
        <v/>
      </c>
      <c r="EO21" s="149" t="str">
        <f>IF($B21=0,"",($O21/30)*'MF Rents'!EQ21*'MF Rollover'!EN21)</f>
        <v/>
      </c>
      <c r="EP21" s="149" t="str">
        <f>IF($B21=0,"",($O21/30)*'MF Rents'!ER21*'MF Rollover'!EO21)</f>
        <v/>
      </c>
      <c r="EQ21" s="149" t="str">
        <f>IF($B21=0,"",($O21/30)*'MF Rents'!ES21*'MF Rollover'!EP21)</f>
        <v/>
      </c>
      <c r="ER21" s="149" t="str">
        <f>IF($B21=0,"",($O21/30)*'MF Rents'!ET21*'MF Rollover'!EQ21)</f>
        <v/>
      </c>
      <c r="ES21" s="149" t="str">
        <f>IF($B21=0,"",($O21/30)*'MF Rents'!EU21*'MF Rollover'!ER21)</f>
        <v/>
      </c>
      <c r="ET21" s="149" t="str">
        <f>IF($B21=0,"",($O21/30)*'MF Rents'!EV21*'MF Rollover'!ES21)</f>
        <v/>
      </c>
      <c r="EU21" s="149" t="str">
        <f>IF($B21=0,"",($O21/30)*'MF Rents'!EW21*'MF Rollover'!ET21)</f>
        <v/>
      </c>
      <c r="EV21" s="149" t="str">
        <f>IF($B21=0,"",($O21/30)*'MF Rents'!EX21*'MF Rollover'!EU21)</f>
        <v/>
      </c>
      <c r="EW21" s="149" t="str">
        <f>IF($B21=0,"",($O21/30)*'MF Rents'!EY21*'MF Rollover'!EV21)</f>
        <v/>
      </c>
      <c r="EX21" s="149" t="str">
        <f>IF($B21=0,"",($O21/30)*'MF Rents'!EZ21*'MF Rollover'!EW21)</f>
        <v/>
      </c>
      <c r="EY21" s="149" t="str">
        <f>IF($B21=0,"",($O21/30)*'MF Rents'!FA21*'MF Rollover'!EX21)</f>
        <v/>
      </c>
      <c r="EZ21" s="149" t="str">
        <f>IF($B21=0,"",($O21/30)*'MF Rents'!FB21*'MF Rollover'!EY21)</f>
        <v/>
      </c>
      <c r="FA21" s="149" t="str">
        <f>IF($B21=0,"",($O21/30)*'MF Rents'!FC21*'MF Rollover'!EZ21)</f>
        <v/>
      </c>
      <c r="FB21" s="149" t="str">
        <f>IF($B21=0,"",($O21/30)*'MF Rents'!FD21*'MF Rollover'!FA21)</f>
        <v/>
      </c>
      <c r="FC21" s="149" t="str">
        <f>IF($B21=0,"",($O21/30)*'MF Rents'!FE21*'MF Rollover'!FB21)</f>
        <v/>
      </c>
      <c r="FD21" s="149" t="str">
        <f>IF($B21=0,"",($O21/30)*'MF Rents'!FF21*'MF Rollover'!FC21)</f>
        <v/>
      </c>
      <c r="FE21" s="149" t="str">
        <f>IF($B21=0,"",($O21/30)*'MF Rents'!FG21*'MF Rollover'!FD21)</f>
        <v/>
      </c>
      <c r="FF21" s="149" t="str">
        <f>IF($B21=0,"",($O21/30)*'MF Rents'!FH21*'MF Rollover'!FE21)</f>
        <v/>
      </c>
      <c r="FG21" s="149" t="str">
        <f>IF($B21=0,"",($O21/30)*'MF Rents'!FI21*'MF Rollover'!FF21)</f>
        <v/>
      </c>
      <c r="FH21" s="149" t="str">
        <f>IF($B21=0,"",($O21/30)*'MF Rents'!FJ21*'MF Rollover'!FG21)</f>
        <v/>
      </c>
      <c r="FI21" s="149" t="str">
        <f>IF($B21=0,"",($O21/30)*'MF Rents'!FK21*'MF Rollover'!FH21)</f>
        <v/>
      </c>
      <c r="FJ21" s="149" t="str">
        <f>IF($B21=0,"",($O21/30)*'MF Rents'!FL21*'MF Rollover'!FI21)</f>
        <v/>
      </c>
      <c r="FK21" s="149" t="str">
        <f>IF($B21=0,"",($O21/30)*'MF Rents'!FM21*'MF Rollover'!FJ21)</f>
        <v/>
      </c>
      <c r="FL21" s="149" t="str">
        <f>IF($B21=0,"",($O21/30)*'MF Rents'!FN21*'MF Rollover'!FK21)</f>
        <v/>
      </c>
      <c r="FM21" s="149" t="str">
        <f>IF($B21=0,"",($O21/30)*'MF Rents'!FO21*'MF Rollover'!FL21)</f>
        <v/>
      </c>
      <c r="FN21" s="149" t="str">
        <f>IF($B21=0,"",($O21/30)*'MF Rents'!FP21*'MF Rollover'!FM21)</f>
        <v/>
      </c>
      <c r="FO21" s="149" t="str">
        <f>IF($B21=0,"",($O21/30)*'MF Rents'!FQ21*'MF Rollover'!FN21)</f>
        <v/>
      </c>
      <c r="FP21" s="149" t="str">
        <f>IF($B21=0,"",($O21/30)*'MF Rents'!FR21*'MF Rollover'!FO21)</f>
        <v/>
      </c>
      <c r="FQ21" s="149" t="str">
        <f>IF($B21=0,"",($O21/30)*'MF Rents'!FS21*'MF Rollover'!FP21)</f>
        <v/>
      </c>
      <c r="FR21" s="149" t="str">
        <f>IF($B21=0,"",($O21/30)*'MF Rents'!FT21*'MF Rollover'!FQ21)</f>
        <v/>
      </c>
      <c r="FS21" s="149" t="str">
        <f>IF($B21=0,"",($O21/30)*'MF Rents'!FU21*'MF Rollover'!FR21)</f>
        <v/>
      </c>
      <c r="FT21" s="149" t="str">
        <f>IF($B21=0,"",($O21/30)*'MF Rents'!FV21*'MF Rollover'!FS21)</f>
        <v/>
      </c>
      <c r="FU21" s="149" t="str">
        <f>IF($B21=0,"",($O21/30)*'MF Rents'!FW21*'MF Rollover'!FT21)</f>
        <v/>
      </c>
      <c r="FV21" s="149" t="str">
        <f>IF($B21=0,"",($O21/30)*'MF Rents'!FX21*'MF Rollover'!FU21)</f>
        <v/>
      </c>
      <c r="FW21" s="149" t="str">
        <f>IF($B21=0,"",($O21/30)*'MF Rents'!FY21*'MF Rollover'!FV21)</f>
        <v/>
      </c>
      <c r="FX21" s="149" t="str">
        <f>IF($B21=0,"",($O21/30)*'MF Rents'!FZ21*'MF Rollover'!FW21)</f>
        <v/>
      </c>
      <c r="FY21" s="149" t="str">
        <f>IF($B21=0,"",($O21/30)*'MF Rents'!GA21*'MF Rollover'!FX21)</f>
        <v/>
      </c>
      <c r="FZ21" s="149" t="str">
        <f>IF($B21=0,"",($O21/30)*'MF Rents'!GB21*'MF Rollover'!FY21)</f>
        <v/>
      </c>
      <c r="GA21" s="149" t="str">
        <f>IF($B21=0,"",($O21/30)*'MF Rents'!GC21*'MF Rollover'!FZ21)</f>
        <v/>
      </c>
      <c r="GB21" s="149" t="str">
        <f>IF($B21=0,"",($O21/30)*'MF Rents'!GD21*'MF Rollover'!GA21)</f>
        <v/>
      </c>
      <c r="GC21" s="149" t="str">
        <f>IF($B21=0,"",($O21/30)*'MF Rents'!GE21*'MF Rollover'!GB21)</f>
        <v/>
      </c>
      <c r="GD21" s="149" t="str">
        <f>IF($B21=0,"",($O21/30)*'MF Rents'!GF21*'MF Rollover'!GC21)</f>
        <v/>
      </c>
      <c r="GE21" s="149" t="str">
        <f>IF($B21=0,"",($O21/30)*'MF Rents'!GG21*'MF Rollover'!GD21)</f>
        <v/>
      </c>
      <c r="GF21" s="149" t="str">
        <f>IF($B21=0,"",($O21/30)*'MF Rents'!GH21*'MF Rollover'!GE21)</f>
        <v/>
      </c>
      <c r="GG21" s="149" t="str">
        <f>IF($B21=0,"",($O21/30)*'MF Rents'!GI21*'MF Rollover'!GF21)</f>
        <v/>
      </c>
      <c r="GH21" s="149" t="str">
        <f>IF($B21=0,"",($O21/30)*'MF Rents'!GJ21*'MF Rollover'!GG21)</f>
        <v/>
      </c>
      <c r="GI21" s="149" t="str">
        <f>IF($B21=0,"",($O21/30)*'MF Rents'!GK21*'MF Rollover'!GH21)</f>
        <v/>
      </c>
      <c r="GJ21" s="149" t="str">
        <f>IF($B21=0,"",($O21/30)*'MF Rents'!GL21*'MF Rollover'!GI21)</f>
        <v/>
      </c>
      <c r="GK21" s="149" t="str">
        <f>IF($B21=0,"",($O21/30)*'MF Rents'!GM21*'MF Rollover'!GJ21)</f>
        <v/>
      </c>
      <c r="GL21" s="149" t="str">
        <f>IF($B21=0,"",($O21/30)*'MF Rents'!GN21*'MF Rollover'!GK21)</f>
        <v/>
      </c>
      <c r="GM21" s="149" t="str">
        <f>IF($B21=0,"",($O21/30)*'MF Rents'!GO21*'MF Rollover'!GL21)</f>
        <v/>
      </c>
      <c r="GN21" s="149" t="str">
        <f>IF($B21=0,"",($O21/30)*'MF Rents'!GP21*'MF Rollover'!GM21)</f>
        <v/>
      </c>
      <c r="GO21" s="149" t="str">
        <f>IF($B21=0,"",($O21/30)*'MF Rents'!GQ21*'MF Rollover'!GN21)</f>
        <v/>
      </c>
      <c r="GP21" s="149" t="str">
        <f>IF($B21=0,"",($O21/30)*'MF Rents'!GR21*'MF Rollover'!GO21)</f>
        <v/>
      </c>
    </row>
    <row r="22" spans="2:198" x14ac:dyDescent="0.3">
      <c r="B22" s="184">
        <f>'MF Rent Roll'!B21</f>
        <v>0</v>
      </c>
      <c r="C22" s="171">
        <f>'MF Rent Roll'!C21</f>
        <v>0</v>
      </c>
      <c r="D22" s="172">
        <f>'MF Rent Roll'!D21</f>
        <v>0</v>
      </c>
      <c r="E22" s="172">
        <f>'MF Rent Roll'!E21</f>
        <v>0</v>
      </c>
      <c r="F22" s="173">
        <f>'MF Rent Roll'!F21</f>
        <v>0</v>
      </c>
      <c r="G22" s="174">
        <f>'MF Rent Roll'!G21</f>
        <v>0</v>
      </c>
      <c r="H22" s="176">
        <f>'MF Rent Roll'!J21</f>
        <v>0</v>
      </c>
      <c r="I22" s="174">
        <f>'MF Rent Roll'!K21</f>
        <v>0</v>
      </c>
      <c r="J22" s="177">
        <f>'MF Rent Roll'!L21</f>
        <v>0</v>
      </c>
      <c r="K22" s="178">
        <f>'MF Rent Roll'!M21</f>
        <v>0</v>
      </c>
      <c r="L22" s="174">
        <f>'MF Rent Roll'!N21</f>
        <v>0</v>
      </c>
      <c r="M22" s="179">
        <f>'MF Rent Roll'!O21</f>
        <v>0</v>
      </c>
      <c r="N22" s="180" t="str">
        <f>'MF Rent Roll'!P21</f>
        <v/>
      </c>
      <c r="O22" s="181" t="str">
        <f>'MF Rent Roll'!Q21</f>
        <v/>
      </c>
      <c r="P22" s="104" t="str">
        <f>'MF Rent Roll'!R21</f>
        <v/>
      </c>
      <c r="S22" s="149" t="str">
        <f>IF($B22=0,"",($O22/30)*'MF Rents'!U22*'MF Rollover'!R22)</f>
        <v/>
      </c>
      <c r="T22" s="149" t="str">
        <f>IF($B22=0,"",($O22/30)*'MF Rents'!V22*'MF Rollover'!S22)</f>
        <v/>
      </c>
      <c r="U22" s="149" t="str">
        <f>IF($B22=0,"",($O22/30)*'MF Rents'!W22*'MF Rollover'!T22)</f>
        <v/>
      </c>
      <c r="V22" s="149" t="str">
        <f>IF($B22=0,"",($O22/30)*'MF Rents'!X22*'MF Rollover'!U22)</f>
        <v/>
      </c>
      <c r="W22" s="149" t="str">
        <f>IF($B22=0,"",($O22/30)*'MF Rents'!Y22*'MF Rollover'!V22)</f>
        <v/>
      </c>
      <c r="X22" s="149" t="str">
        <f>IF($B22=0,"",($O22/30)*'MF Rents'!Z22*'MF Rollover'!W22)</f>
        <v/>
      </c>
      <c r="Y22" s="149" t="str">
        <f>IF($B22=0,"",($O22/30)*'MF Rents'!AA22*'MF Rollover'!X22)</f>
        <v/>
      </c>
      <c r="Z22" s="149" t="str">
        <f>IF($B22=0,"",($O22/30)*'MF Rents'!AB22*'MF Rollover'!Y22)</f>
        <v/>
      </c>
      <c r="AA22" s="149" t="str">
        <f>IF($B22=0,"",($O22/30)*'MF Rents'!AC22*'MF Rollover'!Z22)</f>
        <v/>
      </c>
      <c r="AB22" s="149" t="str">
        <f>IF($B22=0,"",($O22/30)*'MF Rents'!AD22*'MF Rollover'!AA22)</f>
        <v/>
      </c>
      <c r="AC22" s="149" t="str">
        <f>IF($B22=0,"",($O22/30)*'MF Rents'!AE22*'MF Rollover'!AB22)</f>
        <v/>
      </c>
      <c r="AD22" s="149" t="str">
        <f>IF($B22=0,"",($O22/30)*'MF Rents'!AF22*'MF Rollover'!AC22)</f>
        <v/>
      </c>
      <c r="AE22" s="149" t="str">
        <f>IF($B22=0,"",($O22/30)*'MF Rents'!AG22*'MF Rollover'!AD22)</f>
        <v/>
      </c>
      <c r="AF22" s="149" t="str">
        <f>IF($B22=0,"",($O22/30)*'MF Rents'!AH22*'MF Rollover'!AE22)</f>
        <v/>
      </c>
      <c r="AG22" s="149" t="str">
        <f>IF($B22=0,"",($O22/30)*'MF Rents'!AI22*'MF Rollover'!AF22)</f>
        <v/>
      </c>
      <c r="AH22" s="149" t="str">
        <f>IF($B22=0,"",($O22/30)*'MF Rents'!AJ22*'MF Rollover'!AG22)</f>
        <v/>
      </c>
      <c r="AI22" s="149" t="str">
        <f>IF($B22=0,"",($O22/30)*'MF Rents'!AK22*'MF Rollover'!AH22)</f>
        <v/>
      </c>
      <c r="AJ22" s="149" t="str">
        <f>IF($B22=0,"",($O22/30)*'MF Rents'!AL22*'MF Rollover'!AI22)</f>
        <v/>
      </c>
      <c r="AK22" s="149" t="str">
        <f>IF($B22=0,"",($O22/30)*'MF Rents'!AM22*'MF Rollover'!AJ22)</f>
        <v/>
      </c>
      <c r="AL22" s="149" t="str">
        <f>IF($B22=0,"",($O22/30)*'MF Rents'!AN22*'MF Rollover'!AK22)</f>
        <v/>
      </c>
      <c r="AM22" s="149" t="str">
        <f>IF($B22=0,"",($O22/30)*'MF Rents'!AO22*'MF Rollover'!AL22)</f>
        <v/>
      </c>
      <c r="AN22" s="149" t="str">
        <f>IF($B22=0,"",($O22/30)*'MF Rents'!AP22*'MF Rollover'!AM22)</f>
        <v/>
      </c>
      <c r="AO22" s="149" t="str">
        <f>IF($B22=0,"",($O22/30)*'MF Rents'!AQ22*'MF Rollover'!AN22)</f>
        <v/>
      </c>
      <c r="AP22" s="149" t="str">
        <f>IF($B22=0,"",($O22/30)*'MF Rents'!AR22*'MF Rollover'!AO22)</f>
        <v/>
      </c>
      <c r="AQ22" s="149" t="str">
        <f>IF($B22=0,"",($O22/30)*'MF Rents'!AS22*'MF Rollover'!AP22)</f>
        <v/>
      </c>
      <c r="AR22" s="149" t="str">
        <f>IF($B22=0,"",($O22/30)*'MF Rents'!AT22*'MF Rollover'!AQ22)</f>
        <v/>
      </c>
      <c r="AS22" s="149" t="str">
        <f>IF($B22=0,"",($O22/30)*'MF Rents'!AU22*'MF Rollover'!AR22)</f>
        <v/>
      </c>
      <c r="AT22" s="149" t="str">
        <f>IF($B22=0,"",($O22/30)*'MF Rents'!AV22*'MF Rollover'!AS22)</f>
        <v/>
      </c>
      <c r="AU22" s="149" t="str">
        <f>IF($B22=0,"",($O22/30)*'MF Rents'!AW22*'MF Rollover'!AT22)</f>
        <v/>
      </c>
      <c r="AV22" s="149" t="str">
        <f>IF($B22=0,"",($O22/30)*'MF Rents'!AX22*'MF Rollover'!AU22)</f>
        <v/>
      </c>
      <c r="AW22" s="149" t="str">
        <f>IF($B22=0,"",($O22/30)*'MF Rents'!AY22*'MF Rollover'!AV22)</f>
        <v/>
      </c>
      <c r="AX22" s="149" t="str">
        <f>IF($B22=0,"",($O22/30)*'MF Rents'!AZ22*'MF Rollover'!AW22)</f>
        <v/>
      </c>
      <c r="AY22" s="149" t="str">
        <f>IF($B22=0,"",($O22/30)*'MF Rents'!BA22*'MF Rollover'!AX22)</f>
        <v/>
      </c>
      <c r="AZ22" s="149" t="str">
        <f>IF($B22=0,"",($O22/30)*'MF Rents'!BB22*'MF Rollover'!AY22)</f>
        <v/>
      </c>
      <c r="BA22" s="149" t="str">
        <f>IF($B22=0,"",($O22/30)*'MF Rents'!BC22*'MF Rollover'!AZ22)</f>
        <v/>
      </c>
      <c r="BB22" s="149" t="str">
        <f>IF($B22=0,"",($O22/30)*'MF Rents'!BD22*'MF Rollover'!BA22)</f>
        <v/>
      </c>
      <c r="BC22" s="149" t="str">
        <f>IF($B22=0,"",($O22/30)*'MF Rents'!BE22*'MF Rollover'!BB22)</f>
        <v/>
      </c>
      <c r="BD22" s="149" t="str">
        <f>IF($B22=0,"",($O22/30)*'MF Rents'!BF22*'MF Rollover'!BC22)</f>
        <v/>
      </c>
      <c r="BE22" s="149" t="str">
        <f>IF($B22=0,"",($O22/30)*'MF Rents'!BG22*'MF Rollover'!BD22)</f>
        <v/>
      </c>
      <c r="BF22" s="149" t="str">
        <f>IF($B22=0,"",($O22/30)*'MF Rents'!BH22*'MF Rollover'!BE22)</f>
        <v/>
      </c>
      <c r="BG22" s="149" t="str">
        <f>IF($B22=0,"",($O22/30)*'MF Rents'!BI22*'MF Rollover'!BF22)</f>
        <v/>
      </c>
      <c r="BH22" s="149" t="str">
        <f>IF($B22=0,"",($O22/30)*'MF Rents'!BJ22*'MF Rollover'!BG22)</f>
        <v/>
      </c>
      <c r="BI22" s="149" t="str">
        <f>IF($B22=0,"",($O22/30)*'MF Rents'!BK22*'MF Rollover'!BH22)</f>
        <v/>
      </c>
      <c r="BJ22" s="149" t="str">
        <f>IF($B22=0,"",($O22/30)*'MF Rents'!BL22*'MF Rollover'!BI22)</f>
        <v/>
      </c>
      <c r="BK22" s="149" t="str">
        <f>IF($B22=0,"",($O22/30)*'MF Rents'!BM22*'MF Rollover'!BJ22)</f>
        <v/>
      </c>
      <c r="BL22" s="149" t="str">
        <f>IF($B22=0,"",($O22/30)*'MF Rents'!BN22*'MF Rollover'!BK22)</f>
        <v/>
      </c>
      <c r="BM22" s="149" t="str">
        <f>IF($B22=0,"",($O22/30)*'MF Rents'!BO22*'MF Rollover'!BL22)</f>
        <v/>
      </c>
      <c r="BN22" s="149" t="str">
        <f>IF($B22=0,"",($O22/30)*'MF Rents'!BP22*'MF Rollover'!BM22)</f>
        <v/>
      </c>
      <c r="BO22" s="149" t="str">
        <f>IF($B22=0,"",($O22/30)*'MF Rents'!BQ22*'MF Rollover'!BN22)</f>
        <v/>
      </c>
      <c r="BP22" s="149" t="str">
        <f>IF($B22=0,"",($O22/30)*'MF Rents'!BR22*'MF Rollover'!BO22)</f>
        <v/>
      </c>
      <c r="BQ22" s="149" t="str">
        <f>IF($B22=0,"",($O22/30)*'MF Rents'!BS22*'MF Rollover'!BP22)</f>
        <v/>
      </c>
      <c r="BR22" s="149" t="str">
        <f>IF($B22=0,"",($O22/30)*'MF Rents'!BT22*'MF Rollover'!BQ22)</f>
        <v/>
      </c>
      <c r="BS22" s="149" t="str">
        <f>IF($B22=0,"",($O22/30)*'MF Rents'!BU22*'MF Rollover'!BR22)</f>
        <v/>
      </c>
      <c r="BT22" s="149" t="str">
        <f>IF($B22=0,"",($O22/30)*'MF Rents'!BV22*'MF Rollover'!BS22)</f>
        <v/>
      </c>
      <c r="BU22" s="149" t="str">
        <f>IF($B22=0,"",($O22/30)*'MF Rents'!BW22*'MF Rollover'!BT22)</f>
        <v/>
      </c>
      <c r="BV22" s="149" t="str">
        <f>IF($B22=0,"",($O22/30)*'MF Rents'!BX22*'MF Rollover'!BU22)</f>
        <v/>
      </c>
      <c r="BW22" s="149" t="str">
        <f>IF($B22=0,"",($O22/30)*'MF Rents'!BY22*'MF Rollover'!BV22)</f>
        <v/>
      </c>
      <c r="BX22" s="149" t="str">
        <f>IF($B22=0,"",($O22/30)*'MF Rents'!BZ22*'MF Rollover'!BW22)</f>
        <v/>
      </c>
      <c r="BY22" s="149" t="str">
        <f>IF($B22=0,"",($O22/30)*'MF Rents'!CA22*'MF Rollover'!BX22)</f>
        <v/>
      </c>
      <c r="BZ22" s="149" t="str">
        <f>IF($B22=0,"",($O22/30)*'MF Rents'!CB22*'MF Rollover'!BY22)</f>
        <v/>
      </c>
      <c r="CA22" s="149" t="str">
        <f>IF($B22=0,"",($O22/30)*'MF Rents'!CC22*'MF Rollover'!BZ22)</f>
        <v/>
      </c>
      <c r="CB22" s="149" t="str">
        <f>IF($B22=0,"",($O22/30)*'MF Rents'!CD22*'MF Rollover'!CA22)</f>
        <v/>
      </c>
      <c r="CC22" s="149" t="str">
        <f>IF($B22=0,"",($O22/30)*'MF Rents'!CE22*'MF Rollover'!CB22)</f>
        <v/>
      </c>
      <c r="CD22" s="149" t="str">
        <f>IF($B22=0,"",($O22/30)*'MF Rents'!CF22*'MF Rollover'!CC22)</f>
        <v/>
      </c>
      <c r="CE22" s="149" t="str">
        <f>IF($B22=0,"",($O22/30)*'MF Rents'!CG22*'MF Rollover'!CD22)</f>
        <v/>
      </c>
      <c r="CF22" s="149" t="str">
        <f>IF($B22=0,"",($O22/30)*'MF Rents'!CH22*'MF Rollover'!CE22)</f>
        <v/>
      </c>
      <c r="CG22" s="149" t="str">
        <f>IF($B22=0,"",($O22/30)*'MF Rents'!CI22*'MF Rollover'!CF22)</f>
        <v/>
      </c>
      <c r="CH22" s="149" t="str">
        <f>IF($B22=0,"",($O22/30)*'MF Rents'!CJ22*'MF Rollover'!CG22)</f>
        <v/>
      </c>
      <c r="CI22" s="149" t="str">
        <f>IF($B22=0,"",($O22/30)*'MF Rents'!CK22*'MF Rollover'!CH22)</f>
        <v/>
      </c>
      <c r="CJ22" s="149" t="str">
        <f>IF($B22=0,"",($O22/30)*'MF Rents'!CL22*'MF Rollover'!CI22)</f>
        <v/>
      </c>
      <c r="CK22" s="149" t="str">
        <f>IF($B22=0,"",($O22/30)*'MF Rents'!CM22*'MF Rollover'!CJ22)</f>
        <v/>
      </c>
      <c r="CL22" s="149" t="str">
        <f>IF($B22=0,"",($O22/30)*'MF Rents'!CN22*'MF Rollover'!CK22)</f>
        <v/>
      </c>
      <c r="CM22" s="149" t="str">
        <f>IF($B22=0,"",($O22/30)*'MF Rents'!CO22*'MF Rollover'!CL22)</f>
        <v/>
      </c>
      <c r="CN22" s="149" t="str">
        <f>IF($B22=0,"",($O22/30)*'MF Rents'!CP22*'MF Rollover'!CM22)</f>
        <v/>
      </c>
      <c r="CO22" s="149" t="str">
        <f>IF($B22=0,"",($O22/30)*'MF Rents'!CQ22*'MF Rollover'!CN22)</f>
        <v/>
      </c>
      <c r="CP22" s="149" t="str">
        <f>IF($B22=0,"",($O22/30)*'MF Rents'!CR22*'MF Rollover'!CO22)</f>
        <v/>
      </c>
      <c r="CQ22" s="149" t="str">
        <f>IF($B22=0,"",($O22/30)*'MF Rents'!CS22*'MF Rollover'!CP22)</f>
        <v/>
      </c>
      <c r="CR22" s="149" t="str">
        <f>IF($B22=0,"",($O22/30)*'MF Rents'!CT22*'MF Rollover'!CQ22)</f>
        <v/>
      </c>
      <c r="CS22" s="149" t="str">
        <f>IF($B22=0,"",($O22/30)*'MF Rents'!CU22*'MF Rollover'!CR22)</f>
        <v/>
      </c>
      <c r="CT22" s="149" t="str">
        <f>IF($B22=0,"",($O22/30)*'MF Rents'!CV22*'MF Rollover'!CS22)</f>
        <v/>
      </c>
      <c r="CU22" s="149" t="str">
        <f>IF($B22=0,"",($O22/30)*'MF Rents'!CW22*'MF Rollover'!CT22)</f>
        <v/>
      </c>
      <c r="CV22" s="149" t="str">
        <f>IF($B22=0,"",($O22/30)*'MF Rents'!CX22*'MF Rollover'!CU22)</f>
        <v/>
      </c>
      <c r="CW22" s="149" t="str">
        <f>IF($B22=0,"",($O22/30)*'MF Rents'!CY22*'MF Rollover'!CV22)</f>
        <v/>
      </c>
      <c r="CX22" s="149" t="str">
        <f>IF($B22=0,"",($O22/30)*'MF Rents'!CZ22*'MF Rollover'!CW22)</f>
        <v/>
      </c>
      <c r="CY22" s="149" t="str">
        <f>IF($B22=0,"",($O22/30)*'MF Rents'!DA22*'MF Rollover'!CX22)</f>
        <v/>
      </c>
      <c r="CZ22" s="149" t="str">
        <f>IF($B22=0,"",($O22/30)*'MF Rents'!DB22*'MF Rollover'!CY22)</f>
        <v/>
      </c>
      <c r="DA22" s="149" t="str">
        <f>IF($B22=0,"",($O22/30)*'MF Rents'!DC22*'MF Rollover'!CZ22)</f>
        <v/>
      </c>
      <c r="DB22" s="149" t="str">
        <f>IF($B22=0,"",($O22/30)*'MF Rents'!DD22*'MF Rollover'!DA22)</f>
        <v/>
      </c>
      <c r="DC22" s="149" t="str">
        <f>IF($B22=0,"",($O22/30)*'MF Rents'!DE22*'MF Rollover'!DB22)</f>
        <v/>
      </c>
      <c r="DD22" s="149" t="str">
        <f>IF($B22=0,"",($O22/30)*'MF Rents'!DF22*'MF Rollover'!DC22)</f>
        <v/>
      </c>
      <c r="DE22" s="149" t="str">
        <f>IF($B22=0,"",($O22/30)*'MF Rents'!DG22*'MF Rollover'!DD22)</f>
        <v/>
      </c>
      <c r="DF22" s="149" t="str">
        <f>IF($B22=0,"",($O22/30)*'MF Rents'!DH22*'MF Rollover'!DE22)</f>
        <v/>
      </c>
      <c r="DG22" s="149" t="str">
        <f>IF($B22=0,"",($O22/30)*'MF Rents'!DI22*'MF Rollover'!DF22)</f>
        <v/>
      </c>
      <c r="DH22" s="149" t="str">
        <f>IF($B22=0,"",($O22/30)*'MF Rents'!DJ22*'MF Rollover'!DG22)</f>
        <v/>
      </c>
      <c r="DI22" s="149" t="str">
        <f>IF($B22=0,"",($O22/30)*'MF Rents'!DK22*'MF Rollover'!DH22)</f>
        <v/>
      </c>
      <c r="DJ22" s="149" t="str">
        <f>IF($B22=0,"",($O22/30)*'MF Rents'!DL22*'MF Rollover'!DI22)</f>
        <v/>
      </c>
      <c r="DK22" s="149" t="str">
        <f>IF($B22=0,"",($O22/30)*'MF Rents'!DM22*'MF Rollover'!DJ22)</f>
        <v/>
      </c>
      <c r="DL22" s="149" t="str">
        <f>IF($B22=0,"",($O22/30)*'MF Rents'!DN22*'MF Rollover'!DK22)</f>
        <v/>
      </c>
      <c r="DM22" s="149" t="str">
        <f>IF($B22=0,"",($O22/30)*'MF Rents'!DO22*'MF Rollover'!DL22)</f>
        <v/>
      </c>
      <c r="DN22" s="149" t="str">
        <f>IF($B22=0,"",($O22/30)*'MF Rents'!DP22*'MF Rollover'!DM22)</f>
        <v/>
      </c>
      <c r="DO22" s="149" t="str">
        <f>IF($B22=0,"",($O22/30)*'MF Rents'!DQ22*'MF Rollover'!DN22)</f>
        <v/>
      </c>
      <c r="DP22" s="149" t="str">
        <f>IF($B22=0,"",($O22/30)*'MF Rents'!DR22*'MF Rollover'!DO22)</f>
        <v/>
      </c>
      <c r="DQ22" s="149" t="str">
        <f>IF($B22=0,"",($O22/30)*'MF Rents'!DS22*'MF Rollover'!DP22)</f>
        <v/>
      </c>
      <c r="DR22" s="149" t="str">
        <f>IF($B22=0,"",($O22/30)*'MF Rents'!DT22*'MF Rollover'!DQ22)</f>
        <v/>
      </c>
      <c r="DS22" s="149" t="str">
        <f>IF($B22=0,"",($O22/30)*'MF Rents'!DU22*'MF Rollover'!DR22)</f>
        <v/>
      </c>
      <c r="DT22" s="149" t="str">
        <f>IF($B22=0,"",($O22/30)*'MF Rents'!DV22*'MF Rollover'!DS22)</f>
        <v/>
      </c>
      <c r="DU22" s="149" t="str">
        <f>IF($B22=0,"",($O22/30)*'MF Rents'!DW22*'MF Rollover'!DT22)</f>
        <v/>
      </c>
      <c r="DV22" s="149" t="str">
        <f>IF($B22=0,"",($O22/30)*'MF Rents'!DX22*'MF Rollover'!DU22)</f>
        <v/>
      </c>
      <c r="DW22" s="149" t="str">
        <f>IF($B22=0,"",($O22/30)*'MF Rents'!DY22*'MF Rollover'!DV22)</f>
        <v/>
      </c>
      <c r="DX22" s="149" t="str">
        <f>IF($B22=0,"",($O22/30)*'MF Rents'!DZ22*'MF Rollover'!DW22)</f>
        <v/>
      </c>
      <c r="DY22" s="149" t="str">
        <f>IF($B22=0,"",($O22/30)*'MF Rents'!EA22*'MF Rollover'!DX22)</f>
        <v/>
      </c>
      <c r="DZ22" s="149" t="str">
        <f>IF($B22=0,"",($O22/30)*'MF Rents'!EB22*'MF Rollover'!DY22)</f>
        <v/>
      </c>
      <c r="EA22" s="149" t="str">
        <f>IF($B22=0,"",($O22/30)*'MF Rents'!EC22*'MF Rollover'!DZ22)</f>
        <v/>
      </c>
      <c r="EB22" s="149" t="str">
        <f>IF($B22=0,"",($O22/30)*'MF Rents'!ED22*'MF Rollover'!EA22)</f>
        <v/>
      </c>
      <c r="EC22" s="149" t="str">
        <f>IF($B22=0,"",($O22/30)*'MF Rents'!EE22*'MF Rollover'!EB22)</f>
        <v/>
      </c>
      <c r="ED22" s="149" t="str">
        <f>IF($B22=0,"",($O22/30)*'MF Rents'!EF22*'MF Rollover'!EC22)</f>
        <v/>
      </c>
      <c r="EE22" s="149" t="str">
        <f>IF($B22=0,"",($O22/30)*'MF Rents'!EG22*'MF Rollover'!ED22)</f>
        <v/>
      </c>
      <c r="EF22" s="149" t="str">
        <f>IF($B22=0,"",($O22/30)*'MF Rents'!EH22*'MF Rollover'!EE22)</f>
        <v/>
      </c>
      <c r="EG22" s="149" t="str">
        <f>IF($B22=0,"",($O22/30)*'MF Rents'!EI22*'MF Rollover'!EF22)</f>
        <v/>
      </c>
      <c r="EH22" s="149" t="str">
        <f>IF($B22=0,"",($O22/30)*'MF Rents'!EJ22*'MF Rollover'!EG22)</f>
        <v/>
      </c>
      <c r="EI22" s="149" t="str">
        <f>IF($B22=0,"",($O22/30)*'MF Rents'!EK22*'MF Rollover'!EH22)</f>
        <v/>
      </c>
      <c r="EJ22" s="149" t="str">
        <f>IF($B22=0,"",($O22/30)*'MF Rents'!EL22*'MF Rollover'!EI22)</f>
        <v/>
      </c>
      <c r="EK22" s="149" t="str">
        <f>IF($B22=0,"",($O22/30)*'MF Rents'!EM22*'MF Rollover'!EJ22)</f>
        <v/>
      </c>
      <c r="EL22" s="149" t="str">
        <f>IF($B22=0,"",($O22/30)*'MF Rents'!EN22*'MF Rollover'!EK22)</f>
        <v/>
      </c>
      <c r="EM22" s="149" t="str">
        <f>IF($B22=0,"",($O22/30)*'MF Rents'!EO22*'MF Rollover'!EL22)</f>
        <v/>
      </c>
      <c r="EN22" s="149" t="str">
        <f>IF($B22=0,"",($O22/30)*'MF Rents'!EP22*'MF Rollover'!EM22)</f>
        <v/>
      </c>
      <c r="EO22" s="149" t="str">
        <f>IF($B22=0,"",($O22/30)*'MF Rents'!EQ22*'MF Rollover'!EN22)</f>
        <v/>
      </c>
      <c r="EP22" s="149" t="str">
        <f>IF($B22=0,"",($O22/30)*'MF Rents'!ER22*'MF Rollover'!EO22)</f>
        <v/>
      </c>
      <c r="EQ22" s="149" t="str">
        <f>IF($B22=0,"",($O22/30)*'MF Rents'!ES22*'MF Rollover'!EP22)</f>
        <v/>
      </c>
      <c r="ER22" s="149" t="str">
        <f>IF($B22=0,"",($O22/30)*'MF Rents'!ET22*'MF Rollover'!EQ22)</f>
        <v/>
      </c>
      <c r="ES22" s="149" t="str">
        <f>IF($B22=0,"",($O22/30)*'MF Rents'!EU22*'MF Rollover'!ER22)</f>
        <v/>
      </c>
      <c r="ET22" s="149" t="str">
        <f>IF($B22=0,"",($O22/30)*'MF Rents'!EV22*'MF Rollover'!ES22)</f>
        <v/>
      </c>
      <c r="EU22" s="149" t="str">
        <f>IF($B22=0,"",($O22/30)*'MF Rents'!EW22*'MF Rollover'!ET22)</f>
        <v/>
      </c>
      <c r="EV22" s="149" t="str">
        <f>IF($B22=0,"",($O22/30)*'MF Rents'!EX22*'MF Rollover'!EU22)</f>
        <v/>
      </c>
      <c r="EW22" s="149" t="str">
        <f>IF($B22=0,"",($O22/30)*'MF Rents'!EY22*'MF Rollover'!EV22)</f>
        <v/>
      </c>
      <c r="EX22" s="149" t="str">
        <f>IF($B22=0,"",($O22/30)*'MF Rents'!EZ22*'MF Rollover'!EW22)</f>
        <v/>
      </c>
      <c r="EY22" s="149" t="str">
        <f>IF($B22=0,"",($O22/30)*'MF Rents'!FA22*'MF Rollover'!EX22)</f>
        <v/>
      </c>
      <c r="EZ22" s="149" t="str">
        <f>IF($B22=0,"",($O22/30)*'MF Rents'!FB22*'MF Rollover'!EY22)</f>
        <v/>
      </c>
      <c r="FA22" s="149" t="str">
        <f>IF($B22=0,"",($O22/30)*'MF Rents'!FC22*'MF Rollover'!EZ22)</f>
        <v/>
      </c>
      <c r="FB22" s="149" t="str">
        <f>IF($B22=0,"",($O22/30)*'MF Rents'!FD22*'MF Rollover'!FA22)</f>
        <v/>
      </c>
      <c r="FC22" s="149" t="str">
        <f>IF($B22=0,"",($O22/30)*'MF Rents'!FE22*'MF Rollover'!FB22)</f>
        <v/>
      </c>
      <c r="FD22" s="149" t="str">
        <f>IF($B22=0,"",($O22/30)*'MF Rents'!FF22*'MF Rollover'!FC22)</f>
        <v/>
      </c>
      <c r="FE22" s="149" t="str">
        <f>IF($B22=0,"",($O22/30)*'MF Rents'!FG22*'MF Rollover'!FD22)</f>
        <v/>
      </c>
      <c r="FF22" s="149" t="str">
        <f>IF($B22=0,"",($O22/30)*'MF Rents'!FH22*'MF Rollover'!FE22)</f>
        <v/>
      </c>
      <c r="FG22" s="149" t="str">
        <f>IF($B22=0,"",($O22/30)*'MF Rents'!FI22*'MF Rollover'!FF22)</f>
        <v/>
      </c>
      <c r="FH22" s="149" t="str">
        <f>IF($B22=0,"",($O22/30)*'MF Rents'!FJ22*'MF Rollover'!FG22)</f>
        <v/>
      </c>
      <c r="FI22" s="149" t="str">
        <f>IF($B22=0,"",($O22/30)*'MF Rents'!FK22*'MF Rollover'!FH22)</f>
        <v/>
      </c>
      <c r="FJ22" s="149" t="str">
        <f>IF($B22=0,"",($O22/30)*'MF Rents'!FL22*'MF Rollover'!FI22)</f>
        <v/>
      </c>
      <c r="FK22" s="149" t="str">
        <f>IF($B22=0,"",($O22/30)*'MF Rents'!FM22*'MF Rollover'!FJ22)</f>
        <v/>
      </c>
      <c r="FL22" s="149" t="str">
        <f>IF($B22=0,"",($O22/30)*'MF Rents'!FN22*'MF Rollover'!FK22)</f>
        <v/>
      </c>
      <c r="FM22" s="149" t="str">
        <f>IF($B22=0,"",($O22/30)*'MF Rents'!FO22*'MF Rollover'!FL22)</f>
        <v/>
      </c>
      <c r="FN22" s="149" t="str">
        <f>IF($B22=0,"",($O22/30)*'MF Rents'!FP22*'MF Rollover'!FM22)</f>
        <v/>
      </c>
      <c r="FO22" s="149" t="str">
        <f>IF($B22=0,"",($O22/30)*'MF Rents'!FQ22*'MF Rollover'!FN22)</f>
        <v/>
      </c>
      <c r="FP22" s="149" t="str">
        <f>IF($B22=0,"",($O22/30)*'MF Rents'!FR22*'MF Rollover'!FO22)</f>
        <v/>
      </c>
      <c r="FQ22" s="149" t="str">
        <f>IF($B22=0,"",($O22/30)*'MF Rents'!FS22*'MF Rollover'!FP22)</f>
        <v/>
      </c>
      <c r="FR22" s="149" t="str">
        <f>IF($B22=0,"",($O22/30)*'MF Rents'!FT22*'MF Rollover'!FQ22)</f>
        <v/>
      </c>
      <c r="FS22" s="149" t="str">
        <f>IF($B22=0,"",($O22/30)*'MF Rents'!FU22*'MF Rollover'!FR22)</f>
        <v/>
      </c>
      <c r="FT22" s="149" t="str">
        <f>IF($B22=0,"",($O22/30)*'MF Rents'!FV22*'MF Rollover'!FS22)</f>
        <v/>
      </c>
      <c r="FU22" s="149" t="str">
        <f>IF($B22=0,"",($O22/30)*'MF Rents'!FW22*'MF Rollover'!FT22)</f>
        <v/>
      </c>
      <c r="FV22" s="149" t="str">
        <f>IF($B22=0,"",($O22/30)*'MF Rents'!FX22*'MF Rollover'!FU22)</f>
        <v/>
      </c>
      <c r="FW22" s="149" t="str">
        <f>IF($B22=0,"",($O22/30)*'MF Rents'!FY22*'MF Rollover'!FV22)</f>
        <v/>
      </c>
      <c r="FX22" s="149" t="str">
        <f>IF($B22=0,"",($O22/30)*'MF Rents'!FZ22*'MF Rollover'!FW22)</f>
        <v/>
      </c>
      <c r="FY22" s="149" t="str">
        <f>IF($B22=0,"",($O22/30)*'MF Rents'!GA22*'MF Rollover'!FX22)</f>
        <v/>
      </c>
      <c r="FZ22" s="149" t="str">
        <f>IF($B22=0,"",($O22/30)*'MF Rents'!GB22*'MF Rollover'!FY22)</f>
        <v/>
      </c>
      <c r="GA22" s="149" t="str">
        <f>IF($B22=0,"",($O22/30)*'MF Rents'!GC22*'MF Rollover'!FZ22)</f>
        <v/>
      </c>
      <c r="GB22" s="149" t="str">
        <f>IF($B22=0,"",($O22/30)*'MF Rents'!GD22*'MF Rollover'!GA22)</f>
        <v/>
      </c>
      <c r="GC22" s="149" t="str">
        <f>IF($B22=0,"",($O22/30)*'MF Rents'!GE22*'MF Rollover'!GB22)</f>
        <v/>
      </c>
      <c r="GD22" s="149" t="str">
        <f>IF($B22=0,"",($O22/30)*'MF Rents'!GF22*'MF Rollover'!GC22)</f>
        <v/>
      </c>
      <c r="GE22" s="149" t="str">
        <f>IF($B22=0,"",($O22/30)*'MF Rents'!GG22*'MF Rollover'!GD22)</f>
        <v/>
      </c>
      <c r="GF22" s="149" t="str">
        <f>IF($B22=0,"",($O22/30)*'MF Rents'!GH22*'MF Rollover'!GE22)</f>
        <v/>
      </c>
      <c r="GG22" s="149" t="str">
        <f>IF($B22=0,"",($O22/30)*'MF Rents'!GI22*'MF Rollover'!GF22)</f>
        <v/>
      </c>
      <c r="GH22" s="149" t="str">
        <f>IF($B22=0,"",($O22/30)*'MF Rents'!GJ22*'MF Rollover'!GG22)</f>
        <v/>
      </c>
      <c r="GI22" s="149" t="str">
        <f>IF($B22=0,"",($O22/30)*'MF Rents'!GK22*'MF Rollover'!GH22)</f>
        <v/>
      </c>
      <c r="GJ22" s="149" t="str">
        <f>IF($B22=0,"",($O22/30)*'MF Rents'!GL22*'MF Rollover'!GI22)</f>
        <v/>
      </c>
      <c r="GK22" s="149" t="str">
        <f>IF($B22=0,"",($O22/30)*'MF Rents'!GM22*'MF Rollover'!GJ22)</f>
        <v/>
      </c>
      <c r="GL22" s="149" t="str">
        <f>IF($B22=0,"",($O22/30)*'MF Rents'!GN22*'MF Rollover'!GK22)</f>
        <v/>
      </c>
      <c r="GM22" s="149" t="str">
        <f>IF($B22=0,"",($O22/30)*'MF Rents'!GO22*'MF Rollover'!GL22)</f>
        <v/>
      </c>
      <c r="GN22" s="149" t="str">
        <f>IF($B22=0,"",($O22/30)*'MF Rents'!GP22*'MF Rollover'!GM22)</f>
        <v/>
      </c>
      <c r="GO22" s="149" t="str">
        <f>IF($B22=0,"",($O22/30)*'MF Rents'!GQ22*'MF Rollover'!GN22)</f>
        <v/>
      </c>
      <c r="GP22" s="149" t="str">
        <f>IF($B22=0,"",($O22/30)*'MF Rents'!GR22*'MF Rollover'!GO22)</f>
        <v/>
      </c>
    </row>
    <row r="23" spans="2:198" x14ac:dyDescent="0.3">
      <c r="B23" s="184">
        <f>'MF Rent Roll'!B22</f>
        <v>0</v>
      </c>
      <c r="C23" s="171">
        <f>'MF Rent Roll'!C22</f>
        <v>0</v>
      </c>
      <c r="D23" s="172">
        <f>'MF Rent Roll'!D22</f>
        <v>0</v>
      </c>
      <c r="E23" s="172">
        <f>'MF Rent Roll'!E22</f>
        <v>0</v>
      </c>
      <c r="F23" s="173">
        <f>'MF Rent Roll'!F22</f>
        <v>0</v>
      </c>
      <c r="G23" s="174">
        <f>'MF Rent Roll'!G22</f>
        <v>0</v>
      </c>
      <c r="H23" s="176">
        <f>'MF Rent Roll'!J22</f>
        <v>0</v>
      </c>
      <c r="I23" s="174">
        <f>'MF Rent Roll'!K22</f>
        <v>0</v>
      </c>
      <c r="J23" s="177">
        <f>'MF Rent Roll'!L22</f>
        <v>0</v>
      </c>
      <c r="K23" s="178">
        <f>'MF Rent Roll'!M22</f>
        <v>0</v>
      </c>
      <c r="L23" s="174">
        <f>'MF Rent Roll'!N22</f>
        <v>0</v>
      </c>
      <c r="M23" s="179">
        <f>'MF Rent Roll'!O22</f>
        <v>0</v>
      </c>
      <c r="N23" s="180" t="str">
        <f>'MF Rent Roll'!P22</f>
        <v/>
      </c>
      <c r="O23" s="181" t="str">
        <f>'MF Rent Roll'!Q22</f>
        <v/>
      </c>
      <c r="P23" s="104" t="str">
        <f>'MF Rent Roll'!R22</f>
        <v/>
      </c>
      <c r="S23" s="149" t="str">
        <f>IF($B23=0,"",($O23/30)*'MF Rents'!U23*'MF Rollover'!R23)</f>
        <v/>
      </c>
      <c r="T23" s="149" t="str">
        <f>IF($B23=0,"",($O23/30)*'MF Rents'!V23*'MF Rollover'!S23)</f>
        <v/>
      </c>
      <c r="U23" s="149" t="str">
        <f>IF($B23=0,"",($O23/30)*'MF Rents'!W23*'MF Rollover'!T23)</f>
        <v/>
      </c>
      <c r="V23" s="149" t="str">
        <f>IF($B23=0,"",($O23/30)*'MF Rents'!X23*'MF Rollover'!U23)</f>
        <v/>
      </c>
      <c r="W23" s="149" t="str">
        <f>IF($B23=0,"",($O23/30)*'MF Rents'!Y23*'MF Rollover'!V23)</f>
        <v/>
      </c>
      <c r="X23" s="149" t="str">
        <f>IF($B23=0,"",($O23/30)*'MF Rents'!Z23*'MF Rollover'!W23)</f>
        <v/>
      </c>
      <c r="Y23" s="149" t="str">
        <f>IF($B23=0,"",($O23/30)*'MF Rents'!AA23*'MF Rollover'!X23)</f>
        <v/>
      </c>
      <c r="Z23" s="149" t="str">
        <f>IF($B23=0,"",($O23/30)*'MF Rents'!AB23*'MF Rollover'!Y23)</f>
        <v/>
      </c>
      <c r="AA23" s="149" t="str">
        <f>IF($B23=0,"",($O23/30)*'MF Rents'!AC23*'MF Rollover'!Z23)</f>
        <v/>
      </c>
      <c r="AB23" s="149" t="str">
        <f>IF($B23=0,"",($O23/30)*'MF Rents'!AD23*'MF Rollover'!AA23)</f>
        <v/>
      </c>
      <c r="AC23" s="149" t="str">
        <f>IF($B23=0,"",($O23/30)*'MF Rents'!AE23*'MF Rollover'!AB23)</f>
        <v/>
      </c>
      <c r="AD23" s="149" t="str">
        <f>IF($B23=0,"",($O23/30)*'MF Rents'!AF23*'MF Rollover'!AC23)</f>
        <v/>
      </c>
      <c r="AE23" s="149" t="str">
        <f>IF($B23=0,"",($O23/30)*'MF Rents'!AG23*'MF Rollover'!AD23)</f>
        <v/>
      </c>
      <c r="AF23" s="149" t="str">
        <f>IF($B23=0,"",($O23/30)*'MF Rents'!AH23*'MF Rollover'!AE23)</f>
        <v/>
      </c>
      <c r="AG23" s="149" t="str">
        <f>IF($B23=0,"",($O23/30)*'MF Rents'!AI23*'MF Rollover'!AF23)</f>
        <v/>
      </c>
      <c r="AH23" s="149" t="str">
        <f>IF($B23=0,"",($O23/30)*'MF Rents'!AJ23*'MF Rollover'!AG23)</f>
        <v/>
      </c>
      <c r="AI23" s="149" t="str">
        <f>IF($B23=0,"",($O23/30)*'MF Rents'!AK23*'MF Rollover'!AH23)</f>
        <v/>
      </c>
      <c r="AJ23" s="149" t="str">
        <f>IF($B23=0,"",($O23/30)*'MF Rents'!AL23*'MF Rollover'!AI23)</f>
        <v/>
      </c>
      <c r="AK23" s="149" t="str">
        <f>IF($B23=0,"",($O23/30)*'MF Rents'!AM23*'MF Rollover'!AJ23)</f>
        <v/>
      </c>
      <c r="AL23" s="149" t="str">
        <f>IF($B23=0,"",($O23/30)*'MF Rents'!AN23*'MF Rollover'!AK23)</f>
        <v/>
      </c>
      <c r="AM23" s="149" t="str">
        <f>IF($B23=0,"",($O23/30)*'MF Rents'!AO23*'MF Rollover'!AL23)</f>
        <v/>
      </c>
      <c r="AN23" s="149" t="str">
        <f>IF($B23=0,"",($O23/30)*'MF Rents'!AP23*'MF Rollover'!AM23)</f>
        <v/>
      </c>
      <c r="AO23" s="149" t="str">
        <f>IF($B23=0,"",($O23/30)*'MF Rents'!AQ23*'MF Rollover'!AN23)</f>
        <v/>
      </c>
      <c r="AP23" s="149" t="str">
        <f>IF($B23=0,"",($O23/30)*'MF Rents'!AR23*'MF Rollover'!AO23)</f>
        <v/>
      </c>
      <c r="AQ23" s="149" t="str">
        <f>IF($B23=0,"",($O23/30)*'MF Rents'!AS23*'MF Rollover'!AP23)</f>
        <v/>
      </c>
      <c r="AR23" s="149" t="str">
        <f>IF($B23=0,"",($O23/30)*'MF Rents'!AT23*'MF Rollover'!AQ23)</f>
        <v/>
      </c>
      <c r="AS23" s="149" t="str">
        <f>IF($B23=0,"",($O23/30)*'MF Rents'!AU23*'MF Rollover'!AR23)</f>
        <v/>
      </c>
      <c r="AT23" s="149" t="str">
        <f>IF($B23=0,"",($O23/30)*'MF Rents'!AV23*'MF Rollover'!AS23)</f>
        <v/>
      </c>
      <c r="AU23" s="149" t="str">
        <f>IF($B23=0,"",($O23/30)*'MF Rents'!AW23*'MF Rollover'!AT23)</f>
        <v/>
      </c>
      <c r="AV23" s="149" t="str">
        <f>IF($B23=0,"",($O23/30)*'MF Rents'!AX23*'MF Rollover'!AU23)</f>
        <v/>
      </c>
      <c r="AW23" s="149" t="str">
        <f>IF($B23=0,"",($O23/30)*'MF Rents'!AY23*'MF Rollover'!AV23)</f>
        <v/>
      </c>
      <c r="AX23" s="149" t="str">
        <f>IF($B23=0,"",($O23/30)*'MF Rents'!AZ23*'MF Rollover'!AW23)</f>
        <v/>
      </c>
      <c r="AY23" s="149" t="str">
        <f>IF($B23=0,"",($O23/30)*'MF Rents'!BA23*'MF Rollover'!AX23)</f>
        <v/>
      </c>
      <c r="AZ23" s="149" t="str">
        <f>IF($B23=0,"",($O23/30)*'MF Rents'!BB23*'MF Rollover'!AY23)</f>
        <v/>
      </c>
      <c r="BA23" s="149" t="str">
        <f>IF($B23=0,"",($O23/30)*'MF Rents'!BC23*'MF Rollover'!AZ23)</f>
        <v/>
      </c>
      <c r="BB23" s="149" t="str">
        <f>IF($B23=0,"",($O23/30)*'MF Rents'!BD23*'MF Rollover'!BA23)</f>
        <v/>
      </c>
      <c r="BC23" s="149" t="str">
        <f>IF($B23=0,"",($O23/30)*'MF Rents'!BE23*'MF Rollover'!BB23)</f>
        <v/>
      </c>
      <c r="BD23" s="149" t="str">
        <f>IF($B23=0,"",($O23/30)*'MF Rents'!BF23*'MF Rollover'!BC23)</f>
        <v/>
      </c>
      <c r="BE23" s="149" t="str">
        <f>IF($B23=0,"",($O23/30)*'MF Rents'!BG23*'MF Rollover'!BD23)</f>
        <v/>
      </c>
      <c r="BF23" s="149" t="str">
        <f>IF($B23=0,"",($O23/30)*'MF Rents'!BH23*'MF Rollover'!BE23)</f>
        <v/>
      </c>
      <c r="BG23" s="149" t="str">
        <f>IF($B23=0,"",($O23/30)*'MF Rents'!BI23*'MF Rollover'!BF23)</f>
        <v/>
      </c>
      <c r="BH23" s="149" t="str">
        <f>IF($B23=0,"",($O23/30)*'MF Rents'!BJ23*'MF Rollover'!BG23)</f>
        <v/>
      </c>
      <c r="BI23" s="149" t="str">
        <f>IF($B23=0,"",($O23/30)*'MF Rents'!BK23*'MF Rollover'!BH23)</f>
        <v/>
      </c>
      <c r="BJ23" s="149" t="str">
        <f>IF($B23=0,"",($O23/30)*'MF Rents'!BL23*'MF Rollover'!BI23)</f>
        <v/>
      </c>
      <c r="BK23" s="149" t="str">
        <f>IF($B23=0,"",($O23/30)*'MF Rents'!BM23*'MF Rollover'!BJ23)</f>
        <v/>
      </c>
      <c r="BL23" s="149" t="str">
        <f>IF($B23=0,"",($O23/30)*'MF Rents'!BN23*'MF Rollover'!BK23)</f>
        <v/>
      </c>
      <c r="BM23" s="149" t="str">
        <f>IF($B23=0,"",($O23/30)*'MF Rents'!BO23*'MF Rollover'!BL23)</f>
        <v/>
      </c>
      <c r="BN23" s="149" t="str">
        <f>IF($B23=0,"",($O23/30)*'MF Rents'!BP23*'MF Rollover'!BM23)</f>
        <v/>
      </c>
      <c r="BO23" s="149" t="str">
        <f>IF($B23=0,"",($O23/30)*'MF Rents'!BQ23*'MF Rollover'!BN23)</f>
        <v/>
      </c>
      <c r="BP23" s="149" t="str">
        <f>IF($B23=0,"",($O23/30)*'MF Rents'!BR23*'MF Rollover'!BO23)</f>
        <v/>
      </c>
      <c r="BQ23" s="149" t="str">
        <f>IF($B23=0,"",($O23/30)*'MF Rents'!BS23*'MF Rollover'!BP23)</f>
        <v/>
      </c>
      <c r="BR23" s="149" t="str">
        <f>IF($B23=0,"",($O23/30)*'MF Rents'!BT23*'MF Rollover'!BQ23)</f>
        <v/>
      </c>
      <c r="BS23" s="149" t="str">
        <f>IF($B23=0,"",($O23/30)*'MF Rents'!BU23*'MF Rollover'!BR23)</f>
        <v/>
      </c>
      <c r="BT23" s="149" t="str">
        <f>IF($B23=0,"",($O23/30)*'MF Rents'!BV23*'MF Rollover'!BS23)</f>
        <v/>
      </c>
      <c r="BU23" s="149" t="str">
        <f>IF($B23=0,"",($O23/30)*'MF Rents'!BW23*'MF Rollover'!BT23)</f>
        <v/>
      </c>
      <c r="BV23" s="149" t="str">
        <f>IF($B23=0,"",($O23/30)*'MF Rents'!BX23*'MF Rollover'!BU23)</f>
        <v/>
      </c>
      <c r="BW23" s="149" t="str">
        <f>IF($B23=0,"",($O23/30)*'MF Rents'!BY23*'MF Rollover'!BV23)</f>
        <v/>
      </c>
      <c r="BX23" s="149" t="str">
        <f>IF($B23=0,"",($O23/30)*'MF Rents'!BZ23*'MF Rollover'!BW23)</f>
        <v/>
      </c>
      <c r="BY23" s="149" t="str">
        <f>IF($B23=0,"",($O23/30)*'MF Rents'!CA23*'MF Rollover'!BX23)</f>
        <v/>
      </c>
      <c r="BZ23" s="149" t="str">
        <f>IF($B23=0,"",($O23/30)*'MF Rents'!CB23*'MF Rollover'!BY23)</f>
        <v/>
      </c>
      <c r="CA23" s="149" t="str">
        <f>IF($B23=0,"",($O23/30)*'MF Rents'!CC23*'MF Rollover'!BZ23)</f>
        <v/>
      </c>
      <c r="CB23" s="149" t="str">
        <f>IF($B23=0,"",($O23/30)*'MF Rents'!CD23*'MF Rollover'!CA23)</f>
        <v/>
      </c>
      <c r="CC23" s="149" t="str">
        <f>IF($B23=0,"",($O23/30)*'MF Rents'!CE23*'MF Rollover'!CB23)</f>
        <v/>
      </c>
      <c r="CD23" s="149" t="str">
        <f>IF($B23=0,"",($O23/30)*'MF Rents'!CF23*'MF Rollover'!CC23)</f>
        <v/>
      </c>
      <c r="CE23" s="149" t="str">
        <f>IF($B23=0,"",($O23/30)*'MF Rents'!CG23*'MF Rollover'!CD23)</f>
        <v/>
      </c>
      <c r="CF23" s="149" t="str">
        <f>IF($B23=0,"",($O23/30)*'MF Rents'!CH23*'MF Rollover'!CE23)</f>
        <v/>
      </c>
      <c r="CG23" s="149" t="str">
        <f>IF($B23=0,"",($O23/30)*'MF Rents'!CI23*'MF Rollover'!CF23)</f>
        <v/>
      </c>
      <c r="CH23" s="149" t="str">
        <f>IF($B23=0,"",($O23/30)*'MF Rents'!CJ23*'MF Rollover'!CG23)</f>
        <v/>
      </c>
      <c r="CI23" s="149" t="str">
        <f>IF($B23=0,"",($O23/30)*'MF Rents'!CK23*'MF Rollover'!CH23)</f>
        <v/>
      </c>
      <c r="CJ23" s="149" t="str">
        <f>IF($B23=0,"",($O23/30)*'MF Rents'!CL23*'MF Rollover'!CI23)</f>
        <v/>
      </c>
      <c r="CK23" s="149" t="str">
        <f>IF($B23=0,"",($O23/30)*'MF Rents'!CM23*'MF Rollover'!CJ23)</f>
        <v/>
      </c>
      <c r="CL23" s="149" t="str">
        <f>IF($B23=0,"",($O23/30)*'MF Rents'!CN23*'MF Rollover'!CK23)</f>
        <v/>
      </c>
      <c r="CM23" s="149" t="str">
        <f>IF($B23=0,"",($O23/30)*'MF Rents'!CO23*'MF Rollover'!CL23)</f>
        <v/>
      </c>
      <c r="CN23" s="149" t="str">
        <f>IF($B23=0,"",($O23/30)*'MF Rents'!CP23*'MF Rollover'!CM23)</f>
        <v/>
      </c>
      <c r="CO23" s="149" t="str">
        <f>IF($B23=0,"",($O23/30)*'MF Rents'!CQ23*'MF Rollover'!CN23)</f>
        <v/>
      </c>
      <c r="CP23" s="149" t="str">
        <f>IF($B23=0,"",($O23/30)*'MF Rents'!CR23*'MF Rollover'!CO23)</f>
        <v/>
      </c>
      <c r="CQ23" s="149" t="str">
        <f>IF($B23=0,"",($O23/30)*'MF Rents'!CS23*'MF Rollover'!CP23)</f>
        <v/>
      </c>
      <c r="CR23" s="149" t="str">
        <f>IF($B23=0,"",($O23/30)*'MF Rents'!CT23*'MF Rollover'!CQ23)</f>
        <v/>
      </c>
      <c r="CS23" s="149" t="str">
        <f>IF($B23=0,"",($O23/30)*'MF Rents'!CU23*'MF Rollover'!CR23)</f>
        <v/>
      </c>
      <c r="CT23" s="149" t="str">
        <f>IF($B23=0,"",($O23/30)*'MF Rents'!CV23*'MF Rollover'!CS23)</f>
        <v/>
      </c>
      <c r="CU23" s="149" t="str">
        <f>IF($B23=0,"",($O23/30)*'MF Rents'!CW23*'MF Rollover'!CT23)</f>
        <v/>
      </c>
      <c r="CV23" s="149" t="str">
        <f>IF($B23=0,"",($O23/30)*'MF Rents'!CX23*'MF Rollover'!CU23)</f>
        <v/>
      </c>
      <c r="CW23" s="149" t="str">
        <f>IF($B23=0,"",($O23/30)*'MF Rents'!CY23*'MF Rollover'!CV23)</f>
        <v/>
      </c>
      <c r="CX23" s="149" t="str">
        <f>IF($B23=0,"",($O23/30)*'MF Rents'!CZ23*'MF Rollover'!CW23)</f>
        <v/>
      </c>
      <c r="CY23" s="149" t="str">
        <f>IF($B23=0,"",($O23/30)*'MF Rents'!DA23*'MF Rollover'!CX23)</f>
        <v/>
      </c>
      <c r="CZ23" s="149" t="str">
        <f>IF($B23=0,"",($O23/30)*'MF Rents'!DB23*'MF Rollover'!CY23)</f>
        <v/>
      </c>
      <c r="DA23" s="149" t="str">
        <f>IF($B23=0,"",($O23/30)*'MF Rents'!DC23*'MF Rollover'!CZ23)</f>
        <v/>
      </c>
      <c r="DB23" s="149" t="str">
        <f>IF($B23=0,"",($O23/30)*'MF Rents'!DD23*'MF Rollover'!DA23)</f>
        <v/>
      </c>
      <c r="DC23" s="149" t="str">
        <f>IF($B23=0,"",($O23/30)*'MF Rents'!DE23*'MF Rollover'!DB23)</f>
        <v/>
      </c>
      <c r="DD23" s="149" t="str">
        <f>IF($B23=0,"",($O23/30)*'MF Rents'!DF23*'MF Rollover'!DC23)</f>
        <v/>
      </c>
      <c r="DE23" s="149" t="str">
        <f>IF($B23=0,"",($O23/30)*'MF Rents'!DG23*'MF Rollover'!DD23)</f>
        <v/>
      </c>
      <c r="DF23" s="149" t="str">
        <f>IF($B23=0,"",($O23/30)*'MF Rents'!DH23*'MF Rollover'!DE23)</f>
        <v/>
      </c>
      <c r="DG23" s="149" t="str">
        <f>IF($B23=0,"",($O23/30)*'MF Rents'!DI23*'MF Rollover'!DF23)</f>
        <v/>
      </c>
      <c r="DH23" s="149" t="str">
        <f>IF($B23=0,"",($O23/30)*'MF Rents'!DJ23*'MF Rollover'!DG23)</f>
        <v/>
      </c>
      <c r="DI23" s="149" t="str">
        <f>IF($B23=0,"",($O23/30)*'MF Rents'!DK23*'MF Rollover'!DH23)</f>
        <v/>
      </c>
      <c r="DJ23" s="149" t="str">
        <f>IF($B23=0,"",($O23/30)*'MF Rents'!DL23*'MF Rollover'!DI23)</f>
        <v/>
      </c>
      <c r="DK23" s="149" t="str">
        <f>IF($B23=0,"",($O23/30)*'MF Rents'!DM23*'MF Rollover'!DJ23)</f>
        <v/>
      </c>
      <c r="DL23" s="149" t="str">
        <f>IF($B23=0,"",($O23/30)*'MF Rents'!DN23*'MF Rollover'!DK23)</f>
        <v/>
      </c>
      <c r="DM23" s="149" t="str">
        <f>IF($B23=0,"",($O23/30)*'MF Rents'!DO23*'MF Rollover'!DL23)</f>
        <v/>
      </c>
      <c r="DN23" s="149" t="str">
        <f>IF($B23=0,"",($O23/30)*'MF Rents'!DP23*'MF Rollover'!DM23)</f>
        <v/>
      </c>
      <c r="DO23" s="149" t="str">
        <f>IF($B23=0,"",($O23/30)*'MF Rents'!DQ23*'MF Rollover'!DN23)</f>
        <v/>
      </c>
      <c r="DP23" s="149" t="str">
        <f>IF($B23=0,"",($O23/30)*'MF Rents'!DR23*'MF Rollover'!DO23)</f>
        <v/>
      </c>
      <c r="DQ23" s="149" t="str">
        <f>IF($B23=0,"",($O23/30)*'MF Rents'!DS23*'MF Rollover'!DP23)</f>
        <v/>
      </c>
      <c r="DR23" s="149" t="str">
        <f>IF($B23=0,"",($O23/30)*'MF Rents'!DT23*'MF Rollover'!DQ23)</f>
        <v/>
      </c>
      <c r="DS23" s="149" t="str">
        <f>IF($B23=0,"",($O23/30)*'MF Rents'!DU23*'MF Rollover'!DR23)</f>
        <v/>
      </c>
      <c r="DT23" s="149" t="str">
        <f>IF($B23=0,"",($O23/30)*'MF Rents'!DV23*'MF Rollover'!DS23)</f>
        <v/>
      </c>
      <c r="DU23" s="149" t="str">
        <f>IF($B23=0,"",($O23/30)*'MF Rents'!DW23*'MF Rollover'!DT23)</f>
        <v/>
      </c>
      <c r="DV23" s="149" t="str">
        <f>IF($B23=0,"",($O23/30)*'MF Rents'!DX23*'MF Rollover'!DU23)</f>
        <v/>
      </c>
      <c r="DW23" s="149" t="str">
        <f>IF($B23=0,"",($O23/30)*'MF Rents'!DY23*'MF Rollover'!DV23)</f>
        <v/>
      </c>
      <c r="DX23" s="149" t="str">
        <f>IF($B23=0,"",($O23/30)*'MF Rents'!DZ23*'MF Rollover'!DW23)</f>
        <v/>
      </c>
      <c r="DY23" s="149" t="str">
        <f>IF($B23=0,"",($O23/30)*'MF Rents'!EA23*'MF Rollover'!DX23)</f>
        <v/>
      </c>
      <c r="DZ23" s="149" t="str">
        <f>IF($B23=0,"",($O23/30)*'MF Rents'!EB23*'MF Rollover'!DY23)</f>
        <v/>
      </c>
      <c r="EA23" s="149" t="str">
        <f>IF($B23=0,"",($O23/30)*'MF Rents'!EC23*'MF Rollover'!DZ23)</f>
        <v/>
      </c>
      <c r="EB23" s="149" t="str">
        <f>IF($B23=0,"",($O23/30)*'MF Rents'!ED23*'MF Rollover'!EA23)</f>
        <v/>
      </c>
      <c r="EC23" s="149" t="str">
        <f>IF($B23=0,"",($O23/30)*'MF Rents'!EE23*'MF Rollover'!EB23)</f>
        <v/>
      </c>
      <c r="ED23" s="149" t="str">
        <f>IF($B23=0,"",($O23/30)*'MF Rents'!EF23*'MF Rollover'!EC23)</f>
        <v/>
      </c>
      <c r="EE23" s="149" t="str">
        <f>IF($B23=0,"",($O23/30)*'MF Rents'!EG23*'MF Rollover'!ED23)</f>
        <v/>
      </c>
      <c r="EF23" s="149" t="str">
        <f>IF($B23=0,"",($O23/30)*'MF Rents'!EH23*'MF Rollover'!EE23)</f>
        <v/>
      </c>
      <c r="EG23" s="149" t="str">
        <f>IF($B23=0,"",($O23/30)*'MF Rents'!EI23*'MF Rollover'!EF23)</f>
        <v/>
      </c>
      <c r="EH23" s="149" t="str">
        <f>IF($B23=0,"",($O23/30)*'MF Rents'!EJ23*'MF Rollover'!EG23)</f>
        <v/>
      </c>
      <c r="EI23" s="149" t="str">
        <f>IF($B23=0,"",($O23/30)*'MF Rents'!EK23*'MF Rollover'!EH23)</f>
        <v/>
      </c>
      <c r="EJ23" s="149" t="str">
        <f>IF($B23=0,"",($O23/30)*'MF Rents'!EL23*'MF Rollover'!EI23)</f>
        <v/>
      </c>
      <c r="EK23" s="149" t="str">
        <f>IF($B23=0,"",($O23/30)*'MF Rents'!EM23*'MF Rollover'!EJ23)</f>
        <v/>
      </c>
      <c r="EL23" s="149" t="str">
        <f>IF($B23=0,"",($O23/30)*'MF Rents'!EN23*'MF Rollover'!EK23)</f>
        <v/>
      </c>
      <c r="EM23" s="149" t="str">
        <f>IF($B23=0,"",($O23/30)*'MF Rents'!EO23*'MF Rollover'!EL23)</f>
        <v/>
      </c>
      <c r="EN23" s="149" t="str">
        <f>IF($B23=0,"",($O23/30)*'MF Rents'!EP23*'MF Rollover'!EM23)</f>
        <v/>
      </c>
      <c r="EO23" s="149" t="str">
        <f>IF($B23=0,"",($O23/30)*'MF Rents'!EQ23*'MF Rollover'!EN23)</f>
        <v/>
      </c>
      <c r="EP23" s="149" t="str">
        <f>IF($B23=0,"",($O23/30)*'MF Rents'!ER23*'MF Rollover'!EO23)</f>
        <v/>
      </c>
      <c r="EQ23" s="149" t="str">
        <f>IF($B23=0,"",($O23/30)*'MF Rents'!ES23*'MF Rollover'!EP23)</f>
        <v/>
      </c>
      <c r="ER23" s="149" t="str">
        <f>IF($B23=0,"",($O23/30)*'MF Rents'!ET23*'MF Rollover'!EQ23)</f>
        <v/>
      </c>
      <c r="ES23" s="149" t="str">
        <f>IF($B23=0,"",($O23/30)*'MF Rents'!EU23*'MF Rollover'!ER23)</f>
        <v/>
      </c>
      <c r="ET23" s="149" t="str">
        <f>IF($B23=0,"",($O23/30)*'MF Rents'!EV23*'MF Rollover'!ES23)</f>
        <v/>
      </c>
      <c r="EU23" s="149" t="str">
        <f>IF($B23=0,"",($O23/30)*'MF Rents'!EW23*'MF Rollover'!ET23)</f>
        <v/>
      </c>
      <c r="EV23" s="149" t="str">
        <f>IF($B23=0,"",($O23/30)*'MF Rents'!EX23*'MF Rollover'!EU23)</f>
        <v/>
      </c>
      <c r="EW23" s="149" t="str">
        <f>IF($B23=0,"",($O23/30)*'MF Rents'!EY23*'MF Rollover'!EV23)</f>
        <v/>
      </c>
      <c r="EX23" s="149" t="str">
        <f>IF($B23=0,"",($O23/30)*'MF Rents'!EZ23*'MF Rollover'!EW23)</f>
        <v/>
      </c>
      <c r="EY23" s="149" t="str">
        <f>IF($B23=0,"",($O23/30)*'MF Rents'!FA23*'MF Rollover'!EX23)</f>
        <v/>
      </c>
      <c r="EZ23" s="149" t="str">
        <f>IF($B23=0,"",($O23/30)*'MF Rents'!FB23*'MF Rollover'!EY23)</f>
        <v/>
      </c>
      <c r="FA23" s="149" t="str">
        <f>IF($B23=0,"",($O23/30)*'MF Rents'!FC23*'MF Rollover'!EZ23)</f>
        <v/>
      </c>
      <c r="FB23" s="149" t="str">
        <f>IF($B23=0,"",($O23/30)*'MF Rents'!FD23*'MF Rollover'!FA23)</f>
        <v/>
      </c>
      <c r="FC23" s="149" t="str">
        <f>IF($B23=0,"",($O23/30)*'MF Rents'!FE23*'MF Rollover'!FB23)</f>
        <v/>
      </c>
      <c r="FD23" s="149" t="str">
        <f>IF($B23=0,"",($O23/30)*'MF Rents'!FF23*'MF Rollover'!FC23)</f>
        <v/>
      </c>
      <c r="FE23" s="149" t="str">
        <f>IF($B23=0,"",($O23/30)*'MF Rents'!FG23*'MF Rollover'!FD23)</f>
        <v/>
      </c>
      <c r="FF23" s="149" t="str">
        <f>IF($B23=0,"",($O23/30)*'MF Rents'!FH23*'MF Rollover'!FE23)</f>
        <v/>
      </c>
      <c r="FG23" s="149" t="str">
        <f>IF($B23=0,"",($O23/30)*'MF Rents'!FI23*'MF Rollover'!FF23)</f>
        <v/>
      </c>
      <c r="FH23" s="149" t="str">
        <f>IF($B23=0,"",($O23/30)*'MF Rents'!FJ23*'MF Rollover'!FG23)</f>
        <v/>
      </c>
      <c r="FI23" s="149" t="str">
        <f>IF($B23=0,"",($O23/30)*'MF Rents'!FK23*'MF Rollover'!FH23)</f>
        <v/>
      </c>
      <c r="FJ23" s="149" t="str">
        <f>IF($B23=0,"",($O23/30)*'MF Rents'!FL23*'MF Rollover'!FI23)</f>
        <v/>
      </c>
      <c r="FK23" s="149" t="str">
        <f>IF($B23=0,"",($O23/30)*'MF Rents'!FM23*'MF Rollover'!FJ23)</f>
        <v/>
      </c>
      <c r="FL23" s="149" t="str">
        <f>IF($B23=0,"",($O23/30)*'MF Rents'!FN23*'MF Rollover'!FK23)</f>
        <v/>
      </c>
      <c r="FM23" s="149" t="str">
        <f>IF($B23=0,"",($O23/30)*'MF Rents'!FO23*'MF Rollover'!FL23)</f>
        <v/>
      </c>
      <c r="FN23" s="149" t="str">
        <f>IF($B23=0,"",($O23/30)*'MF Rents'!FP23*'MF Rollover'!FM23)</f>
        <v/>
      </c>
      <c r="FO23" s="149" t="str">
        <f>IF($B23=0,"",($O23/30)*'MF Rents'!FQ23*'MF Rollover'!FN23)</f>
        <v/>
      </c>
      <c r="FP23" s="149" t="str">
        <f>IF($B23=0,"",($O23/30)*'MF Rents'!FR23*'MF Rollover'!FO23)</f>
        <v/>
      </c>
      <c r="FQ23" s="149" t="str">
        <f>IF($B23=0,"",($O23/30)*'MF Rents'!FS23*'MF Rollover'!FP23)</f>
        <v/>
      </c>
      <c r="FR23" s="149" t="str">
        <f>IF($B23=0,"",($O23/30)*'MF Rents'!FT23*'MF Rollover'!FQ23)</f>
        <v/>
      </c>
      <c r="FS23" s="149" t="str">
        <f>IF($B23=0,"",($O23/30)*'MF Rents'!FU23*'MF Rollover'!FR23)</f>
        <v/>
      </c>
      <c r="FT23" s="149" t="str">
        <f>IF($B23=0,"",($O23/30)*'MF Rents'!FV23*'MF Rollover'!FS23)</f>
        <v/>
      </c>
      <c r="FU23" s="149" t="str">
        <f>IF($B23=0,"",($O23/30)*'MF Rents'!FW23*'MF Rollover'!FT23)</f>
        <v/>
      </c>
      <c r="FV23" s="149" t="str">
        <f>IF($B23=0,"",($O23/30)*'MF Rents'!FX23*'MF Rollover'!FU23)</f>
        <v/>
      </c>
      <c r="FW23" s="149" t="str">
        <f>IF($B23=0,"",($O23/30)*'MF Rents'!FY23*'MF Rollover'!FV23)</f>
        <v/>
      </c>
      <c r="FX23" s="149" t="str">
        <f>IF($B23=0,"",($O23/30)*'MF Rents'!FZ23*'MF Rollover'!FW23)</f>
        <v/>
      </c>
      <c r="FY23" s="149" t="str">
        <f>IF($B23=0,"",($O23/30)*'MF Rents'!GA23*'MF Rollover'!FX23)</f>
        <v/>
      </c>
      <c r="FZ23" s="149" t="str">
        <f>IF($B23=0,"",($O23/30)*'MF Rents'!GB23*'MF Rollover'!FY23)</f>
        <v/>
      </c>
      <c r="GA23" s="149" t="str">
        <f>IF($B23=0,"",($O23/30)*'MF Rents'!GC23*'MF Rollover'!FZ23)</f>
        <v/>
      </c>
      <c r="GB23" s="149" t="str">
        <f>IF($B23=0,"",($O23/30)*'MF Rents'!GD23*'MF Rollover'!GA23)</f>
        <v/>
      </c>
      <c r="GC23" s="149" t="str">
        <f>IF($B23=0,"",($O23/30)*'MF Rents'!GE23*'MF Rollover'!GB23)</f>
        <v/>
      </c>
      <c r="GD23" s="149" t="str">
        <f>IF($B23=0,"",($O23/30)*'MF Rents'!GF23*'MF Rollover'!GC23)</f>
        <v/>
      </c>
      <c r="GE23" s="149" t="str">
        <f>IF($B23=0,"",($O23/30)*'MF Rents'!GG23*'MF Rollover'!GD23)</f>
        <v/>
      </c>
      <c r="GF23" s="149" t="str">
        <f>IF($B23=0,"",($O23/30)*'MF Rents'!GH23*'MF Rollover'!GE23)</f>
        <v/>
      </c>
      <c r="GG23" s="149" t="str">
        <f>IF($B23=0,"",($O23/30)*'MF Rents'!GI23*'MF Rollover'!GF23)</f>
        <v/>
      </c>
      <c r="GH23" s="149" t="str">
        <f>IF($B23=0,"",($O23/30)*'MF Rents'!GJ23*'MF Rollover'!GG23)</f>
        <v/>
      </c>
      <c r="GI23" s="149" t="str">
        <f>IF($B23=0,"",($O23/30)*'MF Rents'!GK23*'MF Rollover'!GH23)</f>
        <v/>
      </c>
      <c r="GJ23" s="149" t="str">
        <f>IF($B23=0,"",($O23/30)*'MF Rents'!GL23*'MF Rollover'!GI23)</f>
        <v/>
      </c>
      <c r="GK23" s="149" t="str">
        <f>IF($B23=0,"",($O23/30)*'MF Rents'!GM23*'MF Rollover'!GJ23)</f>
        <v/>
      </c>
      <c r="GL23" s="149" t="str">
        <f>IF($B23=0,"",($O23/30)*'MF Rents'!GN23*'MF Rollover'!GK23)</f>
        <v/>
      </c>
      <c r="GM23" s="149" t="str">
        <f>IF($B23=0,"",($O23/30)*'MF Rents'!GO23*'MF Rollover'!GL23)</f>
        <v/>
      </c>
      <c r="GN23" s="149" t="str">
        <f>IF($B23=0,"",($O23/30)*'MF Rents'!GP23*'MF Rollover'!GM23)</f>
        <v/>
      </c>
      <c r="GO23" s="149" t="str">
        <f>IF($B23=0,"",($O23/30)*'MF Rents'!GQ23*'MF Rollover'!GN23)</f>
        <v/>
      </c>
      <c r="GP23" s="149" t="str">
        <f>IF($B23=0,"",($O23/30)*'MF Rents'!GR23*'MF Rollover'!GO23)</f>
        <v/>
      </c>
    </row>
    <row r="24" spans="2:198" x14ac:dyDescent="0.3">
      <c r="B24" s="184">
        <f>'MF Rent Roll'!B23</f>
        <v>0</v>
      </c>
      <c r="C24" s="171">
        <f>'MF Rent Roll'!C23</f>
        <v>0</v>
      </c>
      <c r="D24" s="172">
        <f>'MF Rent Roll'!D23</f>
        <v>0</v>
      </c>
      <c r="E24" s="172">
        <f>'MF Rent Roll'!E23</f>
        <v>0</v>
      </c>
      <c r="F24" s="173">
        <f>'MF Rent Roll'!F23</f>
        <v>0</v>
      </c>
      <c r="G24" s="174">
        <f>'MF Rent Roll'!G23</f>
        <v>0</v>
      </c>
      <c r="H24" s="176">
        <f>'MF Rent Roll'!J23</f>
        <v>0</v>
      </c>
      <c r="I24" s="174">
        <f>'MF Rent Roll'!K23</f>
        <v>0</v>
      </c>
      <c r="J24" s="177">
        <f>'MF Rent Roll'!L23</f>
        <v>0</v>
      </c>
      <c r="K24" s="178">
        <f>'MF Rent Roll'!M23</f>
        <v>0</v>
      </c>
      <c r="L24" s="174">
        <f>'MF Rent Roll'!N23</f>
        <v>0</v>
      </c>
      <c r="M24" s="179">
        <f>'MF Rent Roll'!O23</f>
        <v>0</v>
      </c>
      <c r="N24" s="180" t="str">
        <f>'MF Rent Roll'!P23</f>
        <v/>
      </c>
      <c r="O24" s="181" t="str">
        <f>'MF Rent Roll'!Q23</f>
        <v/>
      </c>
      <c r="P24" s="104" t="str">
        <f>'MF Rent Roll'!R23</f>
        <v/>
      </c>
      <c r="S24" s="149" t="str">
        <f>IF($B24=0,"",($O24/30)*'MF Rents'!U24*'MF Rollover'!R24)</f>
        <v/>
      </c>
      <c r="T24" s="149" t="str">
        <f>IF($B24=0,"",($O24/30)*'MF Rents'!V24*'MF Rollover'!S24)</f>
        <v/>
      </c>
      <c r="U24" s="149" t="str">
        <f>IF($B24=0,"",($O24/30)*'MF Rents'!W24*'MF Rollover'!T24)</f>
        <v/>
      </c>
      <c r="V24" s="149" t="str">
        <f>IF($B24=0,"",($O24/30)*'MF Rents'!X24*'MF Rollover'!U24)</f>
        <v/>
      </c>
      <c r="W24" s="149" t="str">
        <f>IF($B24=0,"",($O24/30)*'MF Rents'!Y24*'MF Rollover'!V24)</f>
        <v/>
      </c>
      <c r="X24" s="149" t="str">
        <f>IF($B24=0,"",($O24/30)*'MF Rents'!Z24*'MF Rollover'!W24)</f>
        <v/>
      </c>
      <c r="Y24" s="149" t="str">
        <f>IF($B24=0,"",($O24/30)*'MF Rents'!AA24*'MF Rollover'!X24)</f>
        <v/>
      </c>
      <c r="Z24" s="149" t="str">
        <f>IF($B24=0,"",($O24/30)*'MF Rents'!AB24*'MF Rollover'!Y24)</f>
        <v/>
      </c>
      <c r="AA24" s="149" t="str">
        <f>IF($B24=0,"",($O24/30)*'MF Rents'!AC24*'MF Rollover'!Z24)</f>
        <v/>
      </c>
      <c r="AB24" s="149" t="str">
        <f>IF($B24=0,"",($O24/30)*'MF Rents'!AD24*'MF Rollover'!AA24)</f>
        <v/>
      </c>
      <c r="AC24" s="149" t="str">
        <f>IF($B24=0,"",($O24/30)*'MF Rents'!AE24*'MF Rollover'!AB24)</f>
        <v/>
      </c>
      <c r="AD24" s="149" t="str">
        <f>IF($B24=0,"",($O24/30)*'MF Rents'!AF24*'MF Rollover'!AC24)</f>
        <v/>
      </c>
      <c r="AE24" s="149" t="str">
        <f>IF($B24=0,"",($O24/30)*'MF Rents'!AG24*'MF Rollover'!AD24)</f>
        <v/>
      </c>
      <c r="AF24" s="149" t="str">
        <f>IF($B24=0,"",($O24/30)*'MF Rents'!AH24*'MF Rollover'!AE24)</f>
        <v/>
      </c>
      <c r="AG24" s="149" t="str">
        <f>IF($B24=0,"",($O24/30)*'MF Rents'!AI24*'MF Rollover'!AF24)</f>
        <v/>
      </c>
      <c r="AH24" s="149" t="str">
        <f>IF($B24=0,"",($O24/30)*'MF Rents'!AJ24*'MF Rollover'!AG24)</f>
        <v/>
      </c>
      <c r="AI24" s="149" t="str">
        <f>IF($B24=0,"",($O24/30)*'MF Rents'!AK24*'MF Rollover'!AH24)</f>
        <v/>
      </c>
      <c r="AJ24" s="149" t="str">
        <f>IF($B24=0,"",($O24/30)*'MF Rents'!AL24*'MF Rollover'!AI24)</f>
        <v/>
      </c>
      <c r="AK24" s="149" t="str">
        <f>IF($B24=0,"",($O24/30)*'MF Rents'!AM24*'MF Rollover'!AJ24)</f>
        <v/>
      </c>
      <c r="AL24" s="149" t="str">
        <f>IF($B24=0,"",($O24/30)*'MF Rents'!AN24*'MF Rollover'!AK24)</f>
        <v/>
      </c>
      <c r="AM24" s="149" t="str">
        <f>IF($B24=0,"",($O24/30)*'MF Rents'!AO24*'MF Rollover'!AL24)</f>
        <v/>
      </c>
      <c r="AN24" s="149" t="str">
        <f>IF($B24=0,"",($O24/30)*'MF Rents'!AP24*'MF Rollover'!AM24)</f>
        <v/>
      </c>
      <c r="AO24" s="149" t="str">
        <f>IF($B24=0,"",($O24/30)*'MF Rents'!AQ24*'MF Rollover'!AN24)</f>
        <v/>
      </c>
      <c r="AP24" s="149" t="str">
        <f>IF($B24=0,"",($O24/30)*'MF Rents'!AR24*'MF Rollover'!AO24)</f>
        <v/>
      </c>
      <c r="AQ24" s="149" t="str">
        <f>IF($B24=0,"",($O24/30)*'MF Rents'!AS24*'MF Rollover'!AP24)</f>
        <v/>
      </c>
      <c r="AR24" s="149" t="str">
        <f>IF($B24=0,"",($O24/30)*'MF Rents'!AT24*'MF Rollover'!AQ24)</f>
        <v/>
      </c>
      <c r="AS24" s="149" t="str">
        <f>IF($B24=0,"",($O24/30)*'MF Rents'!AU24*'MF Rollover'!AR24)</f>
        <v/>
      </c>
      <c r="AT24" s="149" t="str">
        <f>IF($B24=0,"",($O24/30)*'MF Rents'!AV24*'MF Rollover'!AS24)</f>
        <v/>
      </c>
      <c r="AU24" s="149" t="str">
        <f>IF($B24=0,"",($O24/30)*'MF Rents'!AW24*'MF Rollover'!AT24)</f>
        <v/>
      </c>
      <c r="AV24" s="149" t="str">
        <f>IF($B24=0,"",($O24/30)*'MF Rents'!AX24*'MF Rollover'!AU24)</f>
        <v/>
      </c>
      <c r="AW24" s="149" t="str">
        <f>IF($B24=0,"",($O24/30)*'MF Rents'!AY24*'MF Rollover'!AV24)</f>
        <v/>
      </c>
      <c r="AX24" s="149" t="str">
        <f>IF($B24=0,"",($O24/30)*'MF Rents'!AZ24*'MF Rollover'!AW24)</f>
        <v/>
      </c>
      <c r="AY24" s="149" t="str">
        <f>IF($B24=0,"",($O24/30)*'MF Rents'!BA24*'MF Rollover'!AX24)</f>
        <v/>
      </c>
      <c r="AZ24" s="149" t="str">
        <f>IF($B24=0,"",($O24/30)*'MF Rents'!BB24*'MF Rollover'!AY24)</f>
        <v/>
      </c>
      <c r="BA24" s="149" t="str">
        <f>IF($B24=0,"",($O24/30)*'MF Rents'!BC24*'MF Rollover'!AZ24)</f>
        <v/>
      </c>
      <c r="BB24" s="149" t="str">
        <f>IF($B24=0,"",($O24/30)*'MF Rents'!BD24*'MF Rollover'!BA24)</f>
        <v/>
      </c>
      <c r="BC24" s="149" t="str">
        <f>IF($B24=0,"",($O24/30)*'MF Rents'!BE24*'MF Rollover'!BB24)</f>
        <v/>
      </c>
      <c r="BD24" s="149" t="str">
        <f>IF($B24=0,"",($O24/30)*'MF Rents'!BF24*'MF Rollover'!BC24)</f>
        <v/>
      </c>
      <c r="BE24" s="149" t="str">
        <f>IF($B24=0,"",($O24/30)*'MF Rents'!BG24*'MF Rollover'!BD24)</f>
        <v/>
      </c>
      <c r="BF24" s="149" t="str">
        <f>IF($B24=0,"",($O24/30)*'MF Rents'!BH24*'MF Rollover'!BE24)</f>
        <v/>
      </c>
      <c r="BG24" s="149" t="str">
        <f>IF($B24=0,"",($O24/30)*'MF Rents'!BI24*'MF Rollover'!BF24)</f>
        <v/>
      </c>
      <c r="BH24" s="149" t="str">
        <f>IF($B24=0,"",($O24/30)*'MF Rents'!BJ24*'MF Rollover'!BG24)</f>
        <v/>
      </c>
      <c r="BI24" s="149" t="str">
        <f>IF($B24=0,"",($O24/30)*'MF Rents'!BK24*'MF Rollover'!BH24)</f>
        <v/>
      </c>
      <c r="BJ24" s="149" t="str">
        <f>IF($B24=0,"",($O24/30)*'MF Rents'!BL24*'MF Rollover'!BI24)</f>
        <v/>
      </c>
      <c r="BK24" s="149" t="str">
        <f>IF($B24=0,"",($O24/30)*'MF Rents'!BM24*'MF Rollover'!BJ24)</f>
        <v/>
      </c>
      <c r="BL24" s="149" t="str">
        <f>IF($B24=0,"",($O24/30)*'MF Rents'!BN24*'MF Rollover'!BK24)</f>
        <v/>
      </c>
      <c r="BM24" s="149" t="str">
        <f>IF($B24=0,"",($O24/30)*'MF Rents'!BO24*'MF Rollover'!BL24)</f>
        <v/>
      </c>
      <c r="BN24" s="149" t="str">
        <f>IF($B24=0,"",($O24/30)*'MF Rents'!BP24*'MF Rollover'!BM24)</f>
        <v/>
      </c>
      <c r="BO24" s="149" t="str">
        <f>IF($B24=0,"",($O24/30)*'MF Rents'!BQ24*'MF Rollover'!BN24)</f>
        <v/>
      </c>
      <c r="BP24" s="149" t="str">
        <f>IF($B24=0,"",($O24/30)*'MF Rents'!BR24*'MF Rollover'!BO24)</f>
        <v/>
      </c>
      <c r="BQ24" s="149" t="str">
        <f>IF($B24=0,"",($O24/30)*'MF Rents'!BS24*'MF Rollover'!BP24)</f>
        <v/>
      </c>
      <c r="BR24" s="149" t="str">
        <f>IF($B24=0,"",($O24/30)*'MF Rents'!BT24*'MF Rollover'!BQ24)</f>
        <v/>
      </c>
      <c r="BS24" s="149" t="str">
        <f>IF($B24=0,"",($O24/30)*'MF Rents'!BU24*'MF Rollover'!BR24)</f>
        <v/>
      </c>
      <c r="BT24" s="149" t="str">
        <f>IF($B24=0,"",($O24/30)*'MF Rents'!BV24*'MF Rollover'!BS24)</f>
        <v/>
      </c>
      <c r="BU24" s="149" t="str">
        <f>IF($B24=0,"",($O24/30)*'MF Rents'!BW24*'MF Rollover'!BT24)</f>
        <v/>
      </c>
      <c r="BV24" s="149" t="str">
        <f>IF($B24=0,"",($O24/30)*'MF Rents'!BX24*'MF Rollover'!BU24)</f>
        <v/>
      </c>
      <c r="BW24" s="149" t="str">
        <f>IF($B24=0,"",($O24/30)*'MF Rents'!BY24*'MF Rollover'!BV24)</f>
        <v/>
      </c>
      <c r="BX24" s="149" t="str">
        <f>IF($B24=0,"",($O24/30)*'MF Rents'!BZ24*'MF Rollover'!BW24)</f>
        <v/>
      </c>
      <c r="BY24" s="149" t="str">
        <f>IF($B24=0,"",($O24/30)*'MF Rents'!CA24*'MF Rollover'!BX24)</f>
        <v/>
      </c>
      <c r="BZ24" s="149" t="str">
        <f>IF($B24=0,"",($O24/30)*'MF Rents'!CB24*'MF Rollover'!BY24)</f>
        <v/>
      </c>
      <c r="CA24" s="149" t="str">
        <f>IF($B24=0,"",($O24/30)*'MF Rents'!CC24*'MF Rollover'!BZ24)</f>
        <v/>
      </c>
      <c r="CB24" s="149" t="str">
        <f>IF($B24=0,"",($O24/30)*'MF Rents'!CD24*'MF Rollover'!CA24)</f>
        <v/>
      </c>
      <c r="CC24" s="149" t="str">
        <f>IF($B24=0,"",($O24/30)*'MF Rents'!CE24*'MF Rollover'!CB24)</f>
        <v/>
      </c>
      <c r="CD24" s="149" t="str">
        <f>IF($B24=0,"",($O24/30)*'MF Rents'!CF24*'MF Rollover'!CC24)</f>
        <v/>
      </c>
      <c r="CE24" s="149" t="str">
        <f>IF($B24=0,"",($O24/30)*'MF Rents'!CG24*'MF Rollover'!CD24)</f>
        <v/>
      </c>
      <c r="CF24" s="149" t="str">
        <f>IF($B24=0,"",($O24/30)*'MF Rents'!CH24*'MF Rollover'!CE24)</f>
        <v/>
      </c>
      <c r="CG24" s="149" t="str">
        <f>IF($B24=0,"",($O24/30)*'MF Rents'!CI24*'MF Rollover'!CF24)</f>
        <v/>
      </c>
      <c r="CH24" s="149" t="str">
        <f>IF($B24=0,"",($O24/30)*'MF Rents'!CJ24*'MF Rollover'!CG24)</f>
        <v/>
      </c>
      <c r="CI24" s="149" t="str">
        <f>IF($B24=0,"",($O24/30)*'MF Rents'!CK24*'MF Rollover'!CH24)</f>
        <v/>
      </c>
      <c r="CJ24" s="149" t="str">
        <f>IF($B24=0,"",($O24/30)*'MF Rents'!CL24*'MF Rollover'!CI24)</f>
        <v/>
      </c>
      <c r="CK24" s="149" t="str">
        <f>IF($B24=0,"",($O24/30)*'MF Rents'!CM24*'MF Rollover'!CJ24)</f>
        <v/>
      </c>
      <c r="CL24" s="149" t="str">
        <f>IF($B24=0,"",($O24/30)*'MF Rents'!CN24*'MF Rollover'!CK24)</f>
        <v/>
      </c>
      <c r="CM24" s="149" t="str">
        <f>IF($B24=0,"",($O24/30)*'MF Rents'!CO24*'MF Rollover'!CL24)</f>
        <v/>
      </c>
      <c r="CN24" s="149" t="str">
        <f>IF($B24=0,"",($O24/30)*'MF Rents'!CP24*'MF Rollover'!CM24)</f>
        <v/>
      </c>
      <c r="CO24" s="149" t="str">
        <f>IF($B24=0,"",($O24/30)*'MF Rents'!CQ24*'MF Rollover'!CN24)</f>
        <v/>
      </c>
      <c r="CP24" s="149" t="str">
        <f>IF($B24=0,"",($O24/30)*'MF Rents'!CR24*'MF Rollover'!CO24)</f>
        <v/>
      </c>
      <c r="CQ24" s="149" t="str">
        <f>IF($B24=0,"",($O24/30)*'MF Rents'!CS24*'MF Rollover'!CP24)</f>
        <v/>
      </c>
      <c r="CR24" s="149" t="str">
        <f>IF($B24=0,"",($O24/30)*'MF Rents'!CT24*'MF Rollover'!CQ24)</f>
        <v/>
      </c>
      <c r="CS24" s="149" t="str">
        <f>IF($B24=0,"",($O24/30)*'MF Rents'!CU24*'MF Rollover'!CR24)</f>
        <v/>
      </c>
      <c r="CT24" s="149" t="str">
        <f>IF($B24=0,"",($O24/30)*'MF Rents'!CV24*'MF Rollover'!CS24)</f>
        <v/>
      </c>
      <c r="CU24" s="149" t="str">
        <f>IF($B24=0,"",($O24/30)*'MF Rents'!CW24*'MF Rollover'!CT24)</f>
        <v/>
      </c>
      <c r="CV24" s="149" t="str">
        <f>IF($B24=0,"",($O24/30)*'MF Rents'!CX24*'MF Rollover'!CU24)</f>
        <v/>
      </c>
      <c r="CW24" s="149" t="str">
        <f>IF($B24=0,"",($O24/30)*'MF Rents'!CY24*'MF Rollover'!CV24)</f>
        <v/>
      </c>
      <c r="CX24" s="149" t="str">
        <f>IF($B24=0,"",($O24/30)*'MF Rents'!CZ24*'MF Rollover'!CW24)</f>
        <v/>
      </c>
      <c r="CY24" s="149" t="str">
        <f>IF($B24=0,"",($O24/30)*'MF Rents'!DA24*'MF Rollover'!CX24)</f>
        <v/>
      </c>
      <c r="CZ24" s="149" t="str">
        <f>IF($B24=0,"",($O24/30)*'MF Rents'!DB24*'MF Rollover'!CY24)</f>
        <v/>
      </c>
      <c r="DA24" s="149" t="str">
        <f>IF($B24=0,"",($O24/30)*'MF Rents'!DC24*'MF Rollover'!CZ24)</f>
        <v/>
      </c>
      <c r="DB24" s="149" t="str">
        <f>IF($B24=0,"",($O24/30)*'MF Rents'!DD24*'MF Rollover'!DA24)</f>
        <v/>
      </c>
      <c r="DC24" s="149" t="str">
        <f>IF($B24=0,"",($O24/30)*'MF Rents'!DE24*'MF Rollover'!DB24)</f>
        <v/>
      </c>
      <c r="DD24" s="149" t="str">
        <f>IF($B24=0,"",($O24/30)*'MF Rents'!DF24*'MF Rollover'!DC24)</f>
        <v/>
      </c>
      <c r="DE24" s="149" t="str">
        <f>IF($B24=0,"",($O24/30)*'MF Rents'!DG24*'MF Rollover'!DD24)</f>
        <v/>
      </c>
      <c r="DF24" s="149" t="str">
        <f>IF($B24=0,"",($O24/30)*'MF Rents'!DH24*'MF Rollover'!DE24)</f>
        <v/>
      </c>
      <c r="DG24" s="149" t="str">
        <f>IF($B24=0,"",($O24/30)*'MF Rents'!DI24*'MF Rollover'!DF24)</f>
        <v/>
      </c>
      <c r="DH24" s="149" t="str">
        <f>IF($B24=0,"",($O24/30)*'MF Rents'!DJ24*'MF Rollover'!DG24)</f>
        <v/>
      </c>
      <c r="DI24" s="149" t="str">
        <f>IF($B24=0,"",($O24/30)*'MF Rents'!DK24*'MF Rollover'!DH24)</f>
        <v/>
      </c>
      <c r="DJ24" s="149" t="str">
        <f>IF($B24=0,"",($O24/30)*'MF Rents'!DL24*'MF Rollover'!DI24)</f>
        <v/>
      </c>
      <c r="DK24" s="149" t="str">
        <f>IF($B24=0,"",($O24/30)*'MF Rents'!DM24*'MF Rollover'!DJ24)</f>
        <v/>
      </c>
      <c r="DL24" s="149" t="str">
        <f>IF($B24=0,"",($O24/30)*'MF Rents'!DN24*'MF Rollover'!DK24)</f>
        <v/>
      </c>
      <c r="DM24" s="149" t="str">
        <f>IF($B24=0,"",($O24/30)*'MF Rents'!DO24*'MF Rollover'!DL24)</f>
        <v/>
      </c>
      <c r="DN24" s="149" t="str">
        <f>IF($B24=0,"",($O24/30)*'MF Rents'!DP24*'MF Rollover'!DM24)</f>
        <v/>
      </c>
      <c r="DO24" s="149" t="str">
        <f>IF($B24=0,"",($O24/30)*'MF Rents'!DQ24*'MF Rollover'!DN24)</f>
        <v/>
      </c>
      <c r="DP24" s="149" t="str">
        <f>IF($B24=0,"",($O24/30)*'MF Rents'!DR24*'MF Rollover'!DO24)</f>
        <v/>
      </c>
      <c r="DQ24" s="149" t="str">
        <f>IF($B24=0,"",($O24/30)*'MF Rents'!DS24*'MF Rollover'!DP24)</f>
        <v/>
      </c>
      <c r="DR24" s="149" t="str">
        <f>IF($B24=0,"",($O24/30)*'MF Rents'!DT24*'MF Rollover'!DQ24)</f>
        <v/>
      </c>
      <c r="DS24" s="149" t="str">
        <f>IF($B24=0,"",($O24/30)*'MF Rents'!DU24*'MF Rollover'!DR24)</f>
        <v/>
      </c>
      <c r="DT24" s="149" t="str">
        <f>IF($B24=0,"",($O24/30)*'MF Rents'!DV24*'MF Rollover'!DS24)</f>
        <v/>
      </c>
      <c r="DU24" s="149" t="str">
        <f>IF($B24=0,"",($O24/30)*'MF Rents'!DW24*'MF Rollover'!DT24)</f>
        <v/>
      </c>
      <c r="DV24" s="149" t="str">
        <f>IF($B24=0,"",($O24/30)*'MF Rents'!DX24*'MF Rollover'!DU24)</f>
        <v/>
      </c>
      <c r="DW24" s="149" t="str">
        <f>IF($B24=0,"",($O24/30)*'MF Rents'!DY24*'MF Rollover'!DV24)</f>
        <v/>
      </c>
      <c r="DX24" s="149" t="str">
        <f>IF($B24=0,"",($O24/30)*'MF Rents'!DZ24*'MF Rollover'!DW24)</f>
        <v/>
      </c>
      <c r="DY24" s="149" t="str">
        <f>IF($B24=0,"",($O24/30)*'MF Rents'!EA24*'MF Rollover'!DX24)</f>
        <v/>
      </c>
      <c r="DZ24" s="149" t="str">
        <f>IF($B24=0,"",($O24/30)*'MF Rents'!EB24*'MF Rollover'!DY24)</f>
        <v/>
      </c>
      <c r="EA24" s="149" t="str">
        <f>IF($B24=0,"",($O24/30)*'MF Rents'!EC24*'MF Rollover'!DZ24)</f>
        <v/>
      </c>
      <c r="EB24" s="149" t="str">
        <f>IF($B24=0,"",($O24/30)*'MF Rents'!ED24*'MF Rollover'!EA24)</f>
        <v/>
      </c>
      <c r="EC24" s="149" t="str">
        <f>IF($B24=0,"",($O24/30)*'MF Rents'!EE24*'MF Rollover'!EB24)</f>
        <v/>
      </c>
      <c r="ED24" s="149" t="str">
        <f>IF($B24=0,"",($O24/30)*'MF Rents'!EF24*'MF Rollover'!EC24)</f>
        <v/>
      </c>
      <c r="EE24" s="149" t="str">
        <f>IF($B24=0,"",($O24/30)*'MF Rents'!EG24*'MF Rollover'!ED24)</f>
        <v/>
      </c>
      <c r="EF24" s="149" t="str">
        <f>IF($B24=0,"",($O24/30)*'MF Rents'!EH24*'MF Rollover'!EE24)</f>
        <v/>
      </c>
      <c r="EG24" s="149" t="str">
        <f>IF($B24=0,"",($O24/30)*'MF Rents'!EI24*'MF Rollover'!EF24)</f>
        <v/>
      </c>
      <c r="EH24" s="149" t="str">
        <f>IF($B24=0,"",($O24/30)*'MF Rents'!EJ24*'MF Rollover'!EG24)</f>
        <v/>
      </c>
      <c r="EI24" s="149" t="str">
        <f>IF($B24=0,"",($O24/30)*'MF Rents'!EK24*'MF Rollover'!EH24)</f>
        <v/>
      </c>
      <c r="EJ24" s="149" t="str">
        <f>IF($B24=0,"",($O24/30)*'MF Rents'!EL24*'MF Rollover'!EI24)</f>
        <v/>
      </c>
      <c r="EK24" s="149" t="str">
        <f>IF($B24=0,"",($O24/30)*'MF Rents'!EM24*'MF Rollover'!EJ24)</f>
        <v/>
      </c>
      <c r="EL24" s="149" t="str">
        <f>IF($B24=0,"",($O24/30)*'MF Rents'!EN24*'MF Rollover'!EK24)</f>
        <v/>
      </c>
      <c r="EM24" s="149" t="str">
        <f>IF($B24=0,"",($O24/30)*'MF Rents'!EO24*'MF Rollover'!EL24)</f>
        <v/>
      </c>
      <c r="EN24" s="149" t="str">
        <f>IF($B24=0,"",($O24/30)*'MF Rents'!EP24*'MF Rollover'!EM24)</f>
        <v/>
      </c>
      <c r="EO24" s="149" t="str">
        <f>IF($B24=0,"",($O24/30)*'MF Rents'!EQ24*'MF Rollover'!EN24)</f>
        <v/>
      </c>
      <c r="EP24" s="149" t="str">
        <f>IF($B24=0,"",($O24/30)*'MF Rents'!ER24*'MF Rollover'!EO24)</f>
        <v/>
      </c>
      <c r="EQ24" s="149" t="str">
        <f>IF($B24=0,"",($O24/30)*'MF Rents'!ES24*'MF Rollover'!EP24)</f>
        <v/>
      </c>
      <c r="ER24" s="149" t="str">
        <f>IF($B24=0,"",($O24/30)*'MF Rents'!ET24*'MF Rollover'!EQ24)</f>
        <v/>
      </c>
      <c r="ES24" s="149" t="str">
        <f>IF($B24=0,"",($O24/30)*'MF Rents'!EU24*'MF Rollover'!ER24)</f>
        <v/>
      </c>
      <c r="ET24" s="149" t="str">
        <f>IF($B24=0,"",($O24/30)*'MF Rents'!EV24*'MF Rollover'!ES24)</f>
        <v/>
      </c>
      <c r="EU24" s="149" t="str">
        <f>IF($B24=0,"",($O24/30)*'MF Rents'!EW24*'MF Rollover'!ET24)</f>
        <v/>
      </c>
      <c r="EV24" s="149" t="str">
        <f>IF($B24=0,"",($O24/30)*'MF Rents'!EX24*'MF Rollover'!EU24)</f>
        <v/>
      </c>
      <c r="EW24" s="149" t="str">
        <f>IF($B24=0,"",($O24/30)*'MF Rents'!EY24*'MF Rollover'!EV24)</f>
        <v/>
      </c>
      <c r="EX24" s="149" t="str">
        <f>IF($B24=0,"",($O24/30)*'MF Rents'!EZ24*'MF Rollover'!EW24)</f>
        <v/>
      </c>
      <c r="EY24" s="149" t="str">
        <f>IF($B24=0,"",($O24/30)*'MF Rents'!FA24*'MF Rollover'!EX24)</f>
        <v/>
      </c>
      <c r="EZ24" s="149" t="str">
        <f>IF($B24=0,"",($O24/30)*'MF Rents'!FB24*'MF Rollover'!EY24)</f>
        <v/>
      </c>
      <c r="FA24" s="149" t="str">
        <f>IF($B24=0,"",($O24/30)*'MF Rents'!FC24*'MF Rollover'!EZ24)</f>
        <v/>
      </c>
      <c r="FB24" s="149" t="str">
        <f>IF($B24=0,"",($O24/30)*'MF Rents'!FD24*'MF Rollover'!FA24)</f>
        <v/>
      </c>
      <c r="FC24" s="149" t="str">
        <f>IF($B24=0,"",($O24/30)*'MF Rents'!FE24*'MF Rollover'!FB24)</f>
        <v/>
      </c>
      <c r="FD24" s="149" t="str">
        <f>IF($B24=0,"",($O24/30)*'MF Rents'!FF24*'MF Rollover'!FC24)</f>
        <v/>
      </c>
      <c r="FE24" s="149" t="str">
        <f>IF($B24=0,"",($O24/30)*'MF Rents'!FG24*'MF Rollover'!FD24)</f>
        <v/>
      </c>
      <c r="FF24" s="149" t="str">
        <f>IF($B24=0,"",($O24/30)*'MF Rents'!FH24*'MF Rollover'!FE24)</f>
        <v/>
      </c>
      <c r="FG24" s="149" t="str">
        <f>IF($B24=0,"",($O24/30)*'MF Rents'!FI24*'MF Rollover'!FF24)</f>
        <v/>
      </c>
      <c r="FH24" s="149" t="str">
        <f>IF($B24=0,"",($O24/30)*'MF Rents'!FJ24*'MF Rollover'!FG24)</f>
        <v/>
      </c>
      <c r="FI24" s="149" t="str">
        <f>IF($B24=0,"",($O24/30)*'MF Rents'!FK24*'MF Rollover'!FH24)</f>
        <v/>
      </c>
      <c r="FJ24" s="149" t="str">
        <f>IF($B24=0,"",($O24/30)*'MF Rents'!FL24*'MF Rollover'!FI24)</f>
        <v/>
      </c>
      <c r="FK24" s="149" t="str">
        <f>IF($B24=0,"",($O24/30)*'MF Rents'!FM24*'MF Rollover'!FJ24)</f>
        <v/>
      </c>
      <c r="FL24" s="149" t="str">
        <f>IF($B24=0,"",($O24/30)*'MF Rents'!FN24*'MF Rollover'!FK24)</f>
        <v/>
      </c>
      <c r="FM24" s="149" t="str">
        <f>IF($B24=0,"",($O24/30)*'MF Rents'!FO24*'MF Rollover'!FL24)</f>
        <v/>
      </c>
      <c r="FN24" s="149" t="str">
        <f>IF($B24=0,"",($O24/30)*'MF Rents'!FP24*'MF Rollover'!FM24)</f>
        <v/>
      </c>
      <c r="FO24" s="149" t="str">
        <f>IF($B24=0,"",($O24/30)*'MF Rents'!FQ24*'MF Rollover'!FN24)</f>
        <v/>
      </c>
      <c r="FP24" s="149" t="str">
        <f>IF($B24=0,"",($O24/30)*'MF Rents'!FR24*'MF Rollover'!FO24)</f>
        <v/>
      </c>
      <c r="FQ24" s="149" t="str">
        <f>IF($B24=0,"",($O24/30)*'MF Rents'!FS24*'MF Rollover'!FP24)</f>
        <v/>
      </c>
      <c r="FR24" s="149" t="str">
        <f>IF($B24=0,"",($O24/30)*'MF Rents'!FT24*'MF Rollover'!FQ24)</f>
        <v/>
      </c>
      <c r="FS24" s="149" t="str">
        <f>IF($B24=0,"",($O24/30)*'MF Rents'!FU24*'MF Rollover'!FR24)</f>
        <v/>
      </c>
      <c r="FT24" s="149" t="str">
        <f>IF($B24=0,"",($O24/30)*'MF Rents'!FV24*'MF Rollover'!FS24)</f>
        <v/>
      </c>
      <c r="FU24" s="149" t="str">
        <f>IF($B24=0,"",($O24/30)*'MF Rents'!FW24*'MF Rollover'!FT24)</f>
        <v/>
      </c>
      <c r="FV24" s="149" t="str">
        <f>IF($B24=0,"",($O24/30)*'MF Rents'!FX24*'MF Rollover'!FU24)</f>
        <v/>
      </c>
      <c r="FW24" s="149" t="str">
        <f>IF($B24=0,"",($O24/30)*'MF Rents'!FY24*'MF Rollover'!FV24)</f>
        <v/>
      </c>
      <c r="FX24" s="149" t="str">
        <f>IF($B24=0,"",($O24/30)*'MF Rents'!FZ24*'MF Rollover'!FW24)</f>
        <v/>
      </c>
      <c r="FY24" s="149" t="str">
        <f>IF($B24=0,"",($O24/30)*'MF Rents'!GA24*'MF Rollover'!FX24)</f>
        <v/>
      </c>
      <c r="FZ24" s="149" t="str">
        <f>IF($B24=0,"",($O24/30)*'MF Rents'!GB24*'MF Rollover'!FY24)</f>
        <v/>
      </c>
      <c r="GA24" s="149" t="str">
        <f>IF($B24=0,"",($O24/30)*'MF Rents'!GC24*'MF Rollover'!FZ24)</f>
        <v/>
      </c>
      <c r="GB24" s="149" t="str">
        <f>IF($B24=0,"",($O24/30)*'MF Rents'!GD24*'MF Rollover'!GA24)</f>
        <v/>
      </c>
      <c r="GC24" s="149" t="str">
        <f>IF($B24=0,"",($O24/30)*'MF Rents'!GE24*'MF Rollover'!GB24)</f>
        <v/>
      </c>
      <c r="GD24" s="149" t="str">
        <f>IF($B24=0,"",($O24/30)*'MF Rents'!GF24*'MF Rollover'!GC24)</f>
        <v/>
      </c>
      <c r="GE24" s="149" t="str">
        <f>IF($B24=0,"",($O24/30)*'MF Rents'!GG24*'MF Rollover'!GD24)</f>
        <v/>
      </c>
      <c r="GF24" s="149" t="str">
        <f>IF($B24=0,"",($O24/30)*'MF Rents'!GH24*'MF Rollover'!GE24)</f>
        <v/>
      </c>
      <c r="GG24" s="149" t="str">
        <f>IF($B24=0,"",($O24/30)*'MF Rents'!GI24*'MF Rollover'!GF24)</f>
        <v/>
      </c>
      <c r="GH24" s="149" t="str">
        <f>IF($B24=0,"",($O24/30)*'MF Rents'!GJ24*'MF Rollover'!GG24)</f>
        <v/>
      </c>
      <c r="GI24" s="149" t="str">
        <f>IF($B24=0,"",($O24/30)*'MF Rents'!GK24*'MF Rollover'!GH24)</f>
        <v/>
      </c>
      <c r="GJ24" s="149" t="str">
        <f>IF($B24=0,"",($O24/30)*'MF Rents'!GL24*'MF Rollover'!GI24)</f>
        <v/>
      </c>
      <c r="GK24" s="149" t="str">
        <f>IF($B24=0,"",($O24/30)*'MF Rents'!GM24*'MF Rollover'!GJ24)</f>
        <v/>
      </c>
      <c r="GL24" s="149" t="str">
        <f>IF($B24=0,"",($O24/30)*'MF Rents'!GN24*'MF Rollover'!GK24)</f>
        <v/>
      </c>
      <c r="GM24" s="149" t="str">
        <f>IF($B24=0,"",($O24/30)*'MF Rents'!GO24*'MF Rollover'!GL24)</f>
        <v/>
      </c>
      <c r="GN24" s="149" t="str">
        <f>IF($B24=0,"",($O24/30)*'MF Rents'!GP24*'MF Rollover'!GM24)</f>
        <v/>
      </c>
      <c r="GO24" s="149" t="str">
        <f>IF($B24=0,"",($O24/30)*'MF Rents'!GQ24*'MF Rollover'!GN24)</f>
        <v/>
      </c>
      <c r="GP24" s="149" t="str">
        <f>IF($B24=0,"",($O24/30)*'MF Rents'!GR24*'MF Rollover'!GO24)</f>
        <v/>
      </c>
    </row>
    <row r="25" spans="2:198" x14ac:dyDescent="0.3">
      <c r="B25" s="184">
        <f>'MF Rent Roll'!B24</f>
        <v>0</v>
      </c>
      <c r="C25" s="171">
        <f>'MF Rent Roll'!C24</f>
        <v>0</v>
      </c>
      <c r="D25" s="172">
        <f>'MF Rent Roll'!D24</f>
        <v>0</v>
      </c>
      <c r="E25" s="172">
        <f>'MF Rent Roll'!E24</f>
        <v>0</v>
      </c>
      <c r="F25" s="173">
        <f>'MF Rent Roll'!F24</f>
        <v>0</v>
      </c>
      <c r="G25" s="174">
        <f>'MF Rent Roll'!G24</f>
        <v>0</v>
      </c>
      <c r="H25" s="176">
        <f>'MF Rent Roll'!J24</f>
        <v>0</v>
      </c>
      <c r="I25" s="174">
        <f>'MF Rent Roll'!K24</f>
        <v>0</v>
      </c>
      <c r="J25" s="177">
        <f>'MF Rent Roll'!L24</f>
        <v>0</v>
      </c>
      <c r="K25" s="178">
        <f>'MF Rent Roll'!M24</f>
        <v>0</v>
      </c>
      <c r="L25" s="174">
        <f>'MF Rent Roll'!N24</f>
        <v>0</v>
      </c>
      <c r="M25" s="179">
        <f>'MF Rent Roll'!O24</f>
        <v>0</v>
      </c>
      <c r="N25" s="180" t="str">
        <f>'MF Rent Roll'!P24</f>
        <v/>
      </c>
      <c r="O25" s="181" t="str">
        <f>'MF Rent Roll'!Q24</f>
        <v/>
      </c>
      <c r="P25" s="104" t="str">
        <f>'MF Rent Roll'!R24</f>
        <v/>
      </c>
      <c r="S25" s="149" t="str">
        <f>IF($B25=0,"",($O25/30)*'MF Rents'!U25*'MF Rollover'!R25)</f>
        <v/>
      </c>
      <c r="T25" s="149" t="str">
        <f>IF($B25=0,"",($O25/30)*'MF Rents'!V25*'MF Rollover'!S25)</f>
        <v/>
      </c>
      <c r="U25" s="149" t="str">
        <f>IF($B25=0,"",($O25/30)*'MF Rents'!W25*'MF Rollover'!T25)</f>
        <v/>
      </c>
      <c r="V25" s="149" t="str">
        <f>IF($B25=0,"",($O25/30)*'MF Rents'!X25*'MF Rollover'!U25)</f>
        <v/>
      </c>
      <c r="W25" s="149" t="str">
        <f>IF($B25=0,"",($O25/30)*'MF Rents'!Y25*'MF Rollover'!V25)</f>
        <v/>
      </c>
      <c r="X25" s="149" t="str">
        <f>IF($B25=0,"",($O25/30)*'MF Rents'!Z25*'MF Rollover'!W25)</f>
        <v/>
      </c>
      <c r="Y25" s="149" t="str">
        <f>IF($B25=0,"",($O25/30)*'MF Rents'!AA25*'MF Rollover'!X25)</f>
        <v/>
      </c>
      <c r="Z25" s="149" t="str">
        <f>IF($B25=0,"",($O25/30)*'MF Rents'!AB25*'MF Rollover'!Y25)</f>
        <v/>
      </c>
      <c r="AA25" s="149" t="str">
        <f>IF($B25=0,"",($O25/30)*'MF Rents'!AC25*'MF Rollover'!Z25)</f>
        <v/>
      </c>
      <c r="AB25" s="149" t="str">
        <f>IF($B25=0,"",($O25/30)*'MF Rents'!AD25*'MF Rollover'!AA25)</f>
        <v/>
      </c>
      <c r="AC25" s="149" t="str">
        <f>IF($B25=0,"",($O25/30)*'MF Rents'!AE25*'MF Rollover'!AB25)</f>
        <v/>
      </c>
      <c r="AD25" s="149" t="str">
        <f>IF($B25=0,"",($O25/30)*'MF Rents'!AF25*'MF Rollover'!AC25)</f>
        <v/>
      </c>
      <c r="AE25" s="149" t="str">
        <f>IF($B25=0,"",($O25/30)*'MF Rents'!AG25*'MF Rollover'!AD25)</f>
        <v/>
      </c>
      <c r="AF25" s="149" t="str">
        <f>IF($B25=0,"",($O25/30)*'MF Rents'!AH25*'MF Rollover'!AE25)</f>
        <v/>
      </c>
      <c r="AG25" s="149" t="str">
        <f>IF($B25=0,"",($O25/30)*'MF Rents'!AI25*'MF Rollover'!AF25)</f>
        <v/>
      </c>
      <c r="AH25" s="149" t="str">
        <f>IF($B25=0,"",($O25/30)*'MF Rents'!AJ25*'MF Rollover'!AG25)</f>
        <v/>
      </c>
      <c r="AI25" s="149" t="str">
        <f>IF($B25=0,"",($O25/30)*'MF Rents'!AK25*'MF Rollover'!AH25)</f>
        <v/>
      </c>
      <c r="AJ25" s="149" t="str">
        <f>IF($B25=0,"",($O25/30)*'MF Rents'!AL25*'MF Rollover'!AI25)</f>
        <v/>
      </c>
      <c r="AK25" s="149" t="str">
        <f>IF($B25=0,"",($O25/30)*'MF Rents'!AM25*'MF Rollover'!AJ25)</f>
        <v/>
      </c>
      <c r="AL25" s="149" t="str">
        <f>IF($B25=0,"",($O25/30)*'MF Rents'!AN25*'MF Rollover'!AK25)</f>
        <v/>
      </c>
      <c r="AM25" s="149" t="str">
        <f>IF($B25=0,"",($O25/30)*'MF Rents'!AO25*'MF Rollover'!AL25)</f>
        <v/>
      </c>
      <c r="AN25" s="149" t="str">
        <f>IF($B25=0,"",($O25/30)*'MF Rents'!AP25*'MF Rollover'!AM25)</f>
        <v/>
      </c>
      <c r="AO25" s="149" t="str">
        <f>IF($B25=0,"",($O25/30)*'MF Rents'!AQ25*'MF Rollover'!AN25)</f>
        <v/>
      </c>
      <c r="AP25" s="149" t="str">
        <f>IF($B25=0,"",($O25/30)*'MF Rents'!AR25*'MF Rollover'!AO25)</f>
        <v/>
      </c>
      <c r="AQ25" s="149" t="str">
        <f>IF($B25=0,"",($O25/30)*'MF Rents'!AS25*'MF Rollover'!AP25)</f>
        <v/>
      </c>
      <c r="AR25" s="149" t="str">
        <f>IF($B25=0,"",($O25/30)*'MF Rents'!AT25*'MF Rollover'!AQ25)</f>
        <v/>
      </c>
      <c r="AS25" s="149" t="str">
        <f>IF($B25=0,"",($O25/30)*'MF Rents'!AU25*'MF Rollover'!AR25)</f>
        <v/>
      </c>
      <c r="AT25" s="149" t="str">
        <f>IF($B25=0,"",($O25/30)*'MF Rents'!AV25*'MF Rollover'!AS25)</f>
        <v/>
      </c>
      <c r="AU25" s="149" t="str">
        <f>IF($B25=0,"",($O25/30)*'MF Rents'!AW25*'MF Rollover'!AT25)</f>
        <v/>
      </c>
      <c r="AV25" s="149" t="str">
        <f>IF($B25=0,"",($O25/30)*'MF Rents'!AX25*'MF Rollover'!AU25)</f>
        <v/>
      </c>
      <c r="AW25" s="149" t="str">
        <f>IF($B25=0,"",($O25/30)*'MF Rents'!AY25*'MF Rollover'!AV25)</f>
        <v/>
      </c>
      <c r="AX25" s="149" t="str">
        <f>IF($B25=0,"",($O25/30)*'MF Rents'!AZ25*'MF Rollover'!AW25)</f>
        <v/>
      </c>
      <c r="AY25" s="149" t="str">
        <f>IF($B25=0,"",($O25/30)*'MF Rents'!BA25*'MF Rollover'!AX25)</f>
        <v/>
      </c>
      <c r="AZ25" s="149" t="str">
        <f>IF($B25=0,"",($O25/30)*'MF Rents'!BB25*'MF Rollover'!AY25)</f>
        <v/>
      </c>
      <c r="BA25" s="149" t="str">
        <f>IF($B25=0,"",($O25/30)*'MF Rents'!BC25*'MF Rollover'!AZ25)</f>
        <v/>
      </c>
      <c r="BB25" s="149" t="str">
        <f>IF($B25=0,"",($O25/30)*'MF Rents'!BD25*'MF Rollover'!BA25)</f>
        <v/>
      </c>
      <c r="BC25" s="149" t="str">
        <f>IF($B25=0,"",($O25/30)*'MF Rents'!BE25*'MF Rollover'!BB25)</f>
        <v/>
      </c>
      <c r="BD25" s="149" t="str">
        <f>IF($B25=0,"",($O25/30)*'MF Rents'!BF25*'MF Rollover'!BC25)</f>
        <v/>
      </c>
      <c r="BE25" s="149" t="str">
        <f>IF($B25=0,"",($O25/30)*'MF Rents'!BG25*'MF Rollover'!BD25)</f>
        <v/>
      </c>
      <c r="BF25" s="149" t="str">
        <f>IF($B25=0,"",($O25/30)*'MF Rents'!BH25*'MF Rollover'!BE25)</f>
        <v/>
      </c>
      <c r="BG25" s="149" t="str">
        <f>IF($B25=0,"",($O25/30)*'MF Rents'!BI25*'MF Rollover'!BF25)</f>
        <v/>
      </c>
      <c r="BH25" s="149" t="str">
        <f>IF($B25=0,"",($O25/30)*'MF Rents'!BJ25*'MF Rollover'!BG25)</f>
        <v/>
      </c>
      <c r="BI25" s="149" t="str">
        <f>IF($B25=0,"",($O25/30)*'MF Rents'!BK25*'MF Rollover'!BH25)</f>
        <v/>
      </c>
      <c r="BJ25" s="149" t="str">
        <f>IF($B25=0,"",($O25/30)*'MF Rents'!BL25*'MF Rollover'!BI25)</f>
        <v/>
      </c>
      <c r="BK25" s="149" t="str">
        <f>IF($B25=0,"",($O25/30)*'MF Rents'!BM25*'MF Rollover'!BJ25)</f>
        <v/>
      </c>
      <c r="BL25" s="149" t="str">
        <f>IF($B25=0,"",($O25/30)*'MF Rents'!BN25*'MF Rollover'!BK25)</f>
        <v/>
      </c>
      <c r="BM25" s="149" t="str">
        <f>IF($B25=0,"",($O25/30)*'MF Rents'!BO25*'MF Rollover'!BL25)</f>
        <v/>
      </c>
      <c r="BN25" s="149" t="str">
        <f>IF($B25=0,"",($O25/30)*'MF Rents'!BP25*'MF Rollover'!BM25)</f>
        <v/>
      </c>
      <c r="BO25" s="149" t="str">
        <f>IF($B25=0,"",($O25/30)*'MF Rents'!BQ25*'MF Rollover'!BN25)</f>
        <v/>
      </c>
      <c r="BP25" s="149" t="str">
        <f>IF($B25=0,"",($O25/30)*'MF Rents'!BR25*'MF Rollover'!BO25)</f>
        <v/>
      </c>
      <c r="BQ25" s="149" t="str">
        <f>IF($B25=0,"",($O25/30)*'MF Rents'!BS25*'MF Rollover'!BP25)</f>
        <v/>
      </c>
      <c r="BR25" s="149" t="str">
        <f>IF($B25=0,"",($O25/30)*'MF Rents'!BT25*'MF Rollover'!BQ25)</f>
        <v/>
      </c>
      <c r="BS25" s="149" t="str">
        <f>IF($B25=0,"",($O25/30)*'MF Rents'!BU25*'MF Rollover'!BR25)</f>
        <v/>
      </c>
      <c r="BT25" s="149" t="str">
        <f>IF($B25=0,"",($O25/30)*'MF Rents'!BV25*'MF Rollover'!BS25)</f>
        <v/>
      </c>
      <c r="BU25" s="149" t="str">
        <f>IF($B25=0,"",($O25/30)*'MF Rents'!BW25*'MF Rollover'!BT25)</f>
        <v/>
      </c>
      <c r="BV25" s="149" t="str">
        <f>IF($B25=0,"",($O25/30)*'MF Rents'!BX25*'MF Rollover'!BU25)</f>
        <v/>
      </c>
      <c r="BW25" s="149" t="str">
        <f>IF($B25=0,"",($O25/30)*'MF Rents'!BY25*'MF Rollover'!BV25)</f>
        <v/>
      </c>
      <c r="BX25" s="149" t="str">
        <f>IF($B25=0,"",($O25/30)*'MF Rents'!BZ25*'MF Rollover'!BW25)</f>
        <v/>
      </c>
      <c r="BY25" s="149" t="str">
        <f>IF($B25=0,"",($O25/30)*'MF Rents'!CA25*'MF Rollover'!BX25)</f>
        <v/>
      </c>
      <c r="BZ25" s="149" t="str">
        <f>IF($B25=0,"",($O25/30)*'MF Rents'!CB25*'MF Rollover'!BY25)</f>
        <v/>
      </c>
      <c r="CA25" s="149" t="str">
        <f>IF($B25=0,"",($O25/30)*'MF Rents'!CC25*'MF Rollover'!BZ25)</f>
        <v/>
      </c>
      <c r="CB25" s="149" t="str">
        <f>IF($B25=0,"",($O25/30)*'MF Rents'!CD25*'MF Rollover'!CA25)</f>
        <v/>
      </c>
      <c r="CC25" s="149" t="str">
        <f>IF($B25=0,"",($O25/30)*'MF Rents'!CE25*'MF Rollover'!CB25)</f>
        <v/>
      </c>
      <c r="CD25" s="149" t="str">
        <f>IF($B25=0,"",($O25/30)*'MF Rents'!CF25*'MF Rollover'!CC25)</f>
        <v/>
      </c>
      <c r="CE25" s="149" t="str">
        <f>IF($B25=0,"",($O25/30)*'MF Rents'!CG25*'MF Rollover'!CD25)</f>
        <v/>
      </c>
      <c r="CF25" s="149" t="str">
        <f>IF($B25=0,"",($O25/30)*'MF Rents'!CH25*'MF Rollover'!CE25)</f>
        <v/>
      </c>
      <c r="CG25" s="149" t="str">
        <f>IF($B25=0,"",($O25/30)*'MF Rents'!CI25*'MF Rollover'!CF25)</f>
        <v/>
      </c>
      <c r="CH25" s="149" t="str">
        <f>IF($B25=0,"",($O25/30)*'MF Rents'!CJ25*'MF Rollover'!CG25)</f>
        <v/>
      </c>
      <c r="CI25" s="149" t="str">
        <f>IF($B25=0,"",($O25/30)*'MF Rents'!CK25*'MF Rollover'!CH25)</f>
        <v/>
      </c>
      <c r="CJ25" s="149" t="str">
        <f>IF($B25=0,"",($O25/30)*'MF Rents'!CL25*'MF Rollover'!CI25)</f>
        <v/>
      </c>
      <c r="CK25" s="149" t="str">
        <f>IF($B25=0,"",($O25/30)*'MF Rents'!CM25*'MF Rollover'!CJ25)</f>
        <v/>
      </c>
      <c r="CL25" s="149" t="str">
        <f>IF($B25=0,"",($O25/30)*'MF Rents'!CN25*'MF Rollover'!CK25)</f>
        <v/>
      </c>
      <c r="CM25" s="149" t="str">
        <f>IF($B25=0,"",($O25/30)*'MF Rents'!CO25*'MF Rollover'!CL25)</f>
        <v/>
      </c>
      <c r="CN25" s="149" t="str">
        <f>IF($B25=0,"",($O25/30)*'MF Rents'!CP25*'MF Rollover'!CM25)</f>
        <v/>
      </c>
      <c r="CO25" s="149" t="str">
        <f>IF($B25=0,"",($O25/30)*'MF Rents'!CQ25*'MF Rollover'!CN25)</f>
        <v/>
      </c>
      <c r="CP25" s="149" t="str">
        <f>IF($B25=0,"",($O25/30)*'MF Rents'!CR25*'MF Rollover'!CO25)</f>
        <v/>
      </c>
      <c r="CQ25" s="149" t="str">
        <f>IF($B25=0,"",($O25/30)*'MF Rents'!CS25*'MF Rollover'!CP25)</f>
        <v/>
      </c>
      <c r="CR25" s="149" t="str">
        <f>IF($B25=0,"",($O25/30)*'MF Rents'!CT25*'MF Rollover'!CQ25)</f>
        <v/>
      </c>
      <c r="CS25" s="149" t="str">
        <f>IF($B25=0,"",($O25/30)*'MF Rents'!CU25*'MF Rollover'!CR25)</f>
        <v/>
      </c>
      <c r="CT25" s="149" t="str">
        <f>IF($B25=0,"",($O25/30)*'MF Rents'!CV25*'MF Rollover'!CS25)</f>
        <v/>
      </c>
      <c r="CU25" s="149" t="str">
        <f>IF($B25=0,"",($O25/30)*'MF Rents'!CW25*'MF Rollover'!CT25)</f>
        <v/>
      </c>
      <c r="CV25" s="149" t="str">
        <f>IF($B25=0,"",($O25/30)*'MF Rents'!CX25*'MF Rollover'!CU25)</f>
        <v/>
      </c>
      <c r="CW25" s="149" t="str">
        <f>IF($B25=0,"",($O25/30)*'MF Rents'!CY25*'MF Rollover'!CV25)</f>
        <v/>
      </c>
      <c r="CX25" s="149" t="str">
        <f>IF($B25=0,"",($O25/30)*'MF Rents'!CZ25*'MF Rollover'!CW25)</f>
        <v/>
      </c>
      <c r="CY25" s="149" t="str">
        <f>IF($B25=0,"",($O25/30)*'MF Rents'!DA25*'MF Rollover'!CX25)</f>
        <v/>
      </c>
      <c r="CZ25" s="149" t="str">
        <f>IF($B25=0,"",($O25/30)*'MF Rents'!DB25*'MF Rollover'!CY25)</f>
        <v/>
      </c>
      <c r="DA25" s="149" t="str">
        <f>IF($B25=0,"",($O25/30)*'MF Rents'!DC25*'MF Rollover'!CZ25)</f>
        <v/>
      </c>
      <c r="DB25" s="149" t="str">
        <f>IF($B25=0,"",($O25/30)*'MF Rents'!DD25*'MF Rollover'!DA25)</f>
        <v/>
      </c>
      <c r="DC25" s="149" t="str">
        <f>IF($B25=0,"",($O25/30)*'MF Rents'!DE25*'MF Rollover'!DB25)</f>
        <v/>
      </c>
      <c r="DD25" s="149" t="str">
        <f>IF($B25=0,"",($O25/30)*'MF Rents'!DF25*'MF Rollover'!DC25)</f>
        <v/>
      </c>
      <c r="DE25" s="149" t="str">
        <f>IF($B25=0,"",($O25/30)*'MF Rents'!DG25*'MF Rollover'!DD25)</f>
        <v/>
      </c>
      <c r="DF25" s="149" t="str">
        <f>IF($B25=0,"",($O25/30)*'MF Rents'!DH25*'MF Rollover'!DE25)</f>
        <v/>
      </c>
      <c r="DG25" s="149" t="str">
        <f>IF($B25=0,"",($O25/30)*'MF Rents'!DI25*'MF Rollover'!DF25)</f>
        <v/>
      </c>
      <c r="DH25" s="149" t="str">
        <f>IF($B25=0,"",($O25/30)*'MF Rents'!DJ25*'MF Rollover'!DG25)</f>
        <v/>
      </c>
      <c r="DI25" s="149" t="str">
        <f>IF($B25=0,"",($O25/30)*'MF Rents'!DK25*'MF Rollover'!DH25)</f>
        <v/>
      </c>
      <c r="DJ25" s="149" t="str">
        <f>IF($B25=0,"",($O25/30)*'MF Rents'!DL25*'MF Rollover'!DI25)</f>
        <v/>
      </c>
      <c r="DK25" s="149" t="str">
        <f>IF($B25=0,"",($O25/30)*'MF Rents'!DM25*'MF Rollover'!DJ25)</f>
        <v/>
      </c>
      <c r="DL25" s="149" t="str">
        <f>IF($B25=0,"",($O25/30)*'MF Rents'!DN25*'MF Rollover'!DK25)</f>
        <v/>
      </c>
      <c r="DM25" s="149" t="str">
        <f>IF($B25=0,"",($O25/30)*'MF Rents'!DO25*'MF Rollover'!DL25)</f>
        <v/>
      </c>
      <c r="DN25" s="149" t="str">
        <f>IF($B25=0,"",($O25/30)*'MF Rents'!DP25*'MF Rollover'!DM25)</f>
        <v/>
      </c>
      <c r="DO25" s="149" t="str">
        <f>IF($B25=0,"",($O25/30)*'MF Rents'!DQ25*'MF Rollover'!DN25)</f>
        <v/>
      </c>
      <c r="DP25" s="149" t="str">
        <f>IF($B25=0,"",($O25/30)*'MF Rents'!DR25*'MF Rollover'!DO25)</f>
        <v/>
      </c>
      <c r="DQ25" s="149" t="str">
        <f>IF($B25=0,"",($O25/30)*'MF Rents'!DS25*'MF Rollover'!DP25)</f>
        <v/>
      </c>
      <c r="DR25" s="149" t="str">
        <f>IF($B25=0,"",($O25/30)*'MF Rents'!DT25*'MF Rollover'!DQ25)</f>
        <v/>
      </c>
      <c r="DS25" s="149" t="str">
        <f>IF($B25=0,"",($O25/30)*'MF Rents'!DU25*'MF Rollover'!DR25)</f>
        <v/>
      </c>
      <c r="DT25" s="149" t="str">
        <f>IF($B25=0,"",($O25/30)*'MF Rents'!DV25*'MF Rollover'!DS25)</f>
        <v/>
      </c>
      <c r="DU25" s="149" t="str">
        <f>IF($B25=0,"",($O25/30)*'MF Rents'!DW25*'MF Rollover'!DT25)</f>
        <v/>
      </c>
      <c r="DV25" s="149" t="str">
        <f>IF($B25=0,"",($O25/30)*'MF Rents'!DX25*'MF Rollover'!DU25)</f>
        <v/>
      </c>
      <c r="DW25" s="149" t="str">
        <f>IF($B25=0,"",($O25/30)*'MF Rents'!DY25*'MF Rollover'!DV25)</f>
        <v/>
      </c>
      <c r="DX25" s="149" t="str">
        <f>IF($B25=0,"",($O25/30)*'MF Rents'!DZ25*'MF Rollover'!DW25)</f>
        <v/>
      </c>
      <c r="DY25" s="149" t="str">
        <f>IF($B25=0,"",($O25/30)*'MF Rents'!EA25*'MF Rollover'!DX25)</f>
        <v/>
      </c>
      <c r="DZ25" s="149" t="str">
        <f>IF($B25=0,"",($O25/30)*'MF Rents'!EB25*'MF Rollover'!DY25)</f>
        <v/>
      </c>
      <c r="EA25" s="149" t="str">
        <f>IF($B25=0,"",($O25/30)*'MF Rents'!EC25*'MF Rollover'!DZ25)</f>
        <v/>
      </c>
      <c r="EB25" s="149" t="str">
        <f>IF($B25=0,"",($O25/30)*'MF Rents'!ED25*'MF Rollover'!EA25)</f>
        <v/>
      </c>
      <c r="EC25" s="149" t="str">
        <f>IF($B25=0,"",($O25/30)*'MF Rents'!EE25*'MF Rollover'!EB25)</f>
        <v/>
      </c>
      <c r="ED25" s="149" t="str">
        <f>IF($B25=0,"",($O25/30)*'MF Rents'!EF25*'MF Rollover'!EC25)</f>
        <v/>
      </c>
      <c r="EE25" s="149" t="str">
        <f>IF($B25=0,"",($O25/30)*'MF Rents'!EG25*'MF Rollover'!ED25)</f>
        <v/>
      </c>
      <c r="EF25" s="149" t="str">
        <f>IF($B25=0,"",($O25/30)*'MF Rents'!EH25*'MF Rollover'!EE25)</f>
        <v/>
      </c>
      <c r="EG25" s="149" t="str">
        <f>IF($B25=0,"",($O25/30)*'MF Rents'!EI25*'MF Rollover'!EF25)</f>
        <v/>
      </c>
      <c r="EH25" s="149" t="str">
        <f>IF($B25=0,"",($O25/30)*'MF Rents'!EJ25*'MF Rollover'!EG25)</f>
        <v/>
      </c>
      <c r="EI25" s="149" t="str">
        <f>IF($B25=0,"",($O25/30)*'MF Rents'!EK25*'MF Rollover'!EH25)</f>
        <v/>
      </c>
      <c r="EJ25" s="149" t="str">
        <f>IF($B25=0,"",($O25/30)*'MF Rents'!EL25*'MF Rollover'!EI25)</f>
        <v/>
      </c>
      <c r="EK25" s="149" t="str">
        <f>IF($B25=0,"",($O25/30)*'MF Rents'!EM25*'MF Rollover'!EJ25)</f>
        <v/>
      </c>
      <c r="EL25" s="149" t="str">
        <f>IF($B25=0,"",($O25/30)*'MF Rents'!EN25*'MF Rollover'!EK25)</f>
        <v/>
      </c>
      <c r="EM25" s="149" t="str">
        <f>IF($B25=0,"",($O25/30)*'MF Rents'!EO25*'MF Rollover'!EL25)</f>
        <v/>
      </c>
      <c r="EN25" s="149" t="str">
        <f>IF($B25=0,"",($O25/30)*'MF Rents'!EP25*'MF Rollover'!EM25)</f>
        <v/>
      </c>
      <c r="EO25" s="149" t="str">
        <f>IF($B25=0,"",($O25/30)*'MF Rents'!EQ25*'MF Rollover'!EN25)</f>
        <v/>
      </c>
      <c r="EP25" s="149" t="str">
        <f>IF($B25=0,"",($O25/30)*'MF Rents'!ER25*'MF Rollover'!EO25)</f>
        <v/>
      </c>
      <c r="EQ25" s="149" t="str">
        <f>IF($B25=0,"",($O25/30)*'MF Rents'!ES25*'MF Rollover'!EP25)</f>
        <v/>
      </c>
      <c r="ER25" s="149" t="str">
        <f>IF($B25=0,"",($O25/30)*'MF Rents'!ET25*'MF Rollover'!EQ25)</f>
        <v/>
      </c>
      <c r="ES25" s="149" t="str">
        <f>IF($B25=0,"",($O25/30)*'MF Rents'!EU25*'MF Rollover'!ER25)</f>
        <v/>
      </c>
      <c r="ET25" s="149" t="str">
        <f>IF($B25=0,"",($O25/30)*'MF Rents'!EV25*'MF Rollover'!ES25)</f>
        <v/>
      </c>
      <c r="EU25" s="149" t="str">
        <f>IF($B25=0,"",($O25/30)*'MF Rents'!EW25*'MF Rollover'!ET25)</f>
        <v/>
      </c>
      <c r="EV25" s="149" t="str">
        <f>IF($B25=0,"",($O25/30)*'MF Rents'!EX25*'MF Rollover'!EU25)</f>
        <v/>
      </c>
      <c r="EW25" s="149" t="str">
        <f>IF($B25=0,"",($O25/30)*'MF Rents'!EY25*'MF Rollover'!EV25)</f>
        <v/>
      </c>
      <c r="EX25" s="149" t="str">
        <f>IF($B25=0,"",($O25/30)*'MF Rents'!EZ25*'MF Rollover'!EW25)</f>
        <v/>
      </c>
      <c r="EY25" s="149" t="str">
        <f>IF($B25=0,"",($O25/30)*'MF Rents'!FA25*'MF Rollover'!EX25)</f>
        <v/>
      </c>
      <c r="EZ25" s="149" t="str">
        <f>IF($B25=0,"",($O25/30)*'MF Rents'!FB25*'MF Rollover'!EY25)</f>
        <v/>
      </c>
      <c r="FA25" s="149" t="str">
        <f>IF($B25=0,"",($O25/30)*'MF Rents'!FC25*'MF Rollover'!EZ25)</f>
        <v/>
      </c>
      <c r="FB25" s="149" t="str">
        <f>IF($B25=0,"",($O25/30)*'MF Rents'!FD25*'MF Rollover'!FA25)</f>
        <v/>
      </c>
      <c r="FC25" s="149" t="str">
        <f>IF($B25=0,"",($O25/30)*'MF Rents'!FE25*'MF Rollover'!FB25)</f>
        <v/>
      </c>
      <c r="FD25" s="149" t="str">
        <f>IF($B25=0,"",($O25/30)*'MF Rents'!FF25*'MF Rollover'!FC25)</f>
        <v/>
      </c>
      <c r="FE25" s="149" t="str">
        <f>IF($B25=0,"",($O25/30)*'MF Rents'!FG25*'MF Rollover'!FD25)</f>
        <v/>
      </c>
      <c r="FF25" s="149" t="str">
        <f>IF($B25=0,"",($O25/30)*'MF Rents'!FH25*'MF Rollover'!FE25)</f>
        <v/>
      </c>
      <c r="FG25" s="149" t="str">
        <f>IF($B25=0,"",($O25/30)*'MF Rents'!FI25*'MF Rollover'!FF25)</f>
        <v/>
      </c>
      <c r="FH25" s="149" t="str">
        <f>IF($B25=0,"",($O25/30)*'MF Rents'!FJ25*'MF Rollover'!FG25)</f>
        <v/>
      </c>
      <c r="FI25" s="149" t="str">
        <f>IF($B25=0,"",($O25/30)*'MF Rents'!FK25*'MF Rollover'!FH25)</f>
        <v/>
      </c>
      <c r="FJ25" s="149" t="str">
        <f>IF($B25=0,"",($O25/30)*'MF Rents'!FL25*'MF Rollover'!FI25)</f>
        <v/>
      </c>
      <c r="FK25" s="149" t="str">
        <f>IF($B25=0,"",($O25/30)*'MF Rents'!FM25*'MF Rollover'!FJ25)</f>
        <v/>
      </c>
      <c r="FL25" s="149" t="str">
        <f>IF($B25=0,"",($O25/30)*'MF Rents'!FN25*'MF Rollover'!FK25)</f>
        <v/>
      </c>
      <c r="FM25" s="149" t="str">
        <f>IF($B25=0,"",($O25/30)*'MF Rents'!FO25*'MF Rollover'!FL25)</f>
        <v/>
      </c>
      <c r="FN25" s="149" t="str">
        <f>IF($B25=0,"",($O25/30)*'MF Rents'!FP25*'MF Rollover'!FM25)</f>
        <v/>
      </c>
      <c r="FO25" s="149" t="str">
        <f>IF($B25=0,"",($O25/30)*'MF Rents'!FQ25*'MF Rollover'!FN25)</f>
        <v/>
      </c>
      <c r="FP25" s="149" t="str">
        <f>IF($B25=0,"",($O25/30)*'MF Rents'!FR25*'MF Rollover'!FO25)</f>
        <v/>
      </c>
      <c r="FQ25" s="149" t="str">
        <f>IF($B25=0,"",($O25/30)*'MF Rents'!FS25*'MF Rollover'!FP25)</f>
        <v/>
      </c>
      <c r="FR25" s="149" t="str">
        <f>IF($B25=0,"",($O25/30)*'MF Rents'!FT25*'MF Rollover'!FQ25)</f>
        <v/>
      </c>
      <c r="FS25" s="149" t="str">
        <f>IF($B25=0,"",($O25/30)*'MF Rents'!FU25*'MF Rollover'!FR25)</f>
        <v/>
      </c>
      <c r="FT25" s="149" t="str">
        <f>IF($B25=0,"",($O25/30)*'MF Rents'!FV25*'MF Rollover'!FS25)</f>
        <v/>
      </c>
      <c r="FU25" s="149" t="str">
        <f>IF($B25=0,"",($O25/30)*'MF Rents'!FW25*'MF Rollover'!FT25)</f>
        <v/>
      </c>
      <c r="FV25" s="149" t="str">
        <f>IF($B25=0,"",($O25/30)*'MF Rents'!FX25*'MF Rollover'!FU25)</f>
        <v/>
      </c>
      <c r="FW25" s="149" t="str">
        <f>IF($B25=0,"",($O25/30)*'MF Rents'!FY25*'MF Rollover'!FV25)</f>
        <v/>
      </c>
      <c r="FX25" s="149" t="str">
        <f>IF($B25=0,"",($O25/30)*'MF Rents'!FZ25*'MF Rollover'!FW25)</f>
        <v/>
      </c>
      <c r="FY25" s="149" t="str">
        <f>IF($B25=0,"",($O25/30)*'MF Rents'!GA25*'MF Rollover'!FX25)</f>
        <v/>
      </c>
      <c r="FZ25" s="149" t="str">
        <f>IF($B25=0,"",($O25/30)*'MF Rents'!GB25*'MF Rollover'!FY25)</f>
        <v/>
      </c>
      <c r="GA25" s="149" t="str">
        <f>IF($B25=0,"",($O25/30)*'MF Rents'!GC25*'MF Rollover'!FZ25)</f>
        <v/>
      </c>
      <c r="GB25" s="149" t="str">
        <f>IF($B25=0,"",($O25/30)*'MF Rents'!GD25*'MF Rollover'!GA25)</f>
        <v/>
      </c>
      <c r="GC25" s="149" t="str">
        <f>IF($B25=0,"",($O25/30)*'MF Rents'!GE25*'MF Rollover'!GB25)</f>
        <v/>
      </c>
      <c r="GD25" s="149" t="str">
        <f>IF($B25=0,"",($O25/30)*'MF Rents'!GF25*'MF Rollover'!GC25)</f>
        <v/>
      </c>
      <c r="GE25" s="149" t="str">
        <f>IF($B25=0,"",($O25/30)*'MF Rents'!GG25*'MF Rollover'!GD25)</f>
        <v/>
      </c>
      <c r="GF25" s="149" t="str">
        <f>IF($B25=0,"",($O25/30)*'MF Rents'!GH25*'MF Rollover'!GE25)</f>
        <v/>
      </c>
      <c r="GG25" s="149" t="str">
        <f>IF($B25=0,"",($O25/30)*'MF Rents'!GI25*'MF Rollover'!GF25)</f>
        <v/>
      </c>
      <c r="GH25" s="149" t="str">
        <f>IF($B25=0,"",($O25/30)*'MF Rents'!GJ25*'MF Rollover'!GG25)</f>
        <v/>
      </c>
      <c r="GI25" s="149" t="str">
        <f>IF($B25=0,"",($O25/30)*'MF Rents'!GK25*'MF Rollover'!GH25)</f>
        <v/>
      </c>
      <c r="GJ25" s="149" t="str">
        <f>IF($B25=0,"",($O25/30)*'MF Rents'!GL25*'MF Rollover'!GI25)</f>
        <v/>
      </c>
      <c r="GK25" s="149" t="str">
        <f>IF($B25=0,"",($O25/30)*'MF Rents'!GM25*'MF Rollover'!GJ25)</f>
        <v/>
      </c>
      <c r="GL25" s="149" t="str">
        <f>IF($B25=0,"",($O25/30)*'MF Rents'!GN25*'MF Rollover'!GK25)</f>
        <v/>
      </c>
      <c r="GM25" s="149" t="str">
        <f>IF($B25=0,"",($O25/30)*'MF Rents'!GO25*'MF Rollover'!GL25)</f>
        <v/>
      </c>
      <c r="GN25" s="149" t="str">
        <f>IF($B25=0,"",($O25/30)*'MF Rents'!GP25*'MF Rollover'!GM25)</f>
        <v/>
      </c>
      <c r="GO25" s="149" t="str">
        <f>IF($B25=0,"",($O25/30)*'MF Rents'!GQ25*'MF Rollover'!GN25)</f>
        <v/>
      </c>
      <c r="GP25" s="149" t="str">
        <f>IF($B25=0,"",($O25/30)*'MF Rents'!GR25*'MF Rollover'!GO25)</f>
        <v/>
      </c>
    </row>
    <row r="26" spans="2:198" x14ac:dyDescent="0.3">
      <c r="B26" s="184">
        <f>'MF Rent Roll'!B25</f>
        <v>0</v>
      </c>
      <c r="C26" s="171">
        <f>'MF Rent Roll'!C25</f>
        <v>0</v>
      </c>
      <c r="D26" s="172">
        <f>'MF Rent Roll'!D25</f>
        <v>0</v>
      </c>
      <c r="E26" s="172">
        <f>'MF Rent Roll'!E25</f>
        <v>0</v>
      </c>
      <c r="F26" s="173">
        <f>'MF Rent Roll'!F25</f>
        <v>0</v>
      </c>
      <c r="G26" s="174">
        <f>'MF Rent Roll'!G25</f>
        <v>0</v>
      </c>
      <c r="H26" s="176">
        <f>'MF Rent Roll'!J25</f>
        <v>0</v>
      </c>
      <c r="I26" s="174">
        <f>'MF Rent Roll'!K25</f>
        <v>0</v>
      </c>
      <c r="J26" s="177">
        <f>'MF Rent Roll'!L25</f>
        <v>0</v>
      </c>
      <c r="K26" s="178">
        <f>'MF Rent Roll'!M25</f>
        <v>0</v>
      </c>
      <c r="L26" s="174">
        <f>'MF Rent Roll'!N25</f>
        <v>0</v>
      </c>
      <c r="M26" s="179">
        <f>'MF Rent Roll'!O25</f>
        <v>0</v>
      </c>
      <c r="N26" s="180" t="str">
        <f>'MF Rent Roll'!P25</f>
        <v/>
      </c>
      <c r="O26" s="181" t="str">
        <f>'MF Rent Roll'!Q25</f>
        <v/>
      </c>
      <c r="P26" s="104" t="str">
        <f>'MF Rent Roll'!R25</f>
        <v/>
      </c>
      <c r="S26" s="149" t="str">
        <f>IF($B26=0,"",($O26/30)*'MF Rents'!U26*'MF Rollover'!R26)</f>
        <v/>
      </c>
      <c r="T26" s="149" t="str">
        <f>IF($B26=0,"",($O26/30)*'MF Rents'!V26*'MF Rollover'!S26)</f>
        <v/>
      </c>
      <c r="U26" s="149" t="str">
        <f>IF($B26=0,"",($O26/30)*'MF Rents'!W26*'MF Rollover'!T26)</f>
        <v/>
      </c>
      <c r="V26" s="149" t="str">
        <f>IF($B26=0,"",($O26/30)*'MF Rents'!X26*'MF Rollover'!U26)</f>
        <v/>
      </c>
      <c r="W26" s="149" t="str">
        <f>IF($B26=0,"",($O26/30)*'MF Rents'!Y26*'MF Rollover'!V26)</f>
        <v/>
      </c>
      <c r="X26" s="149" t="str">
        <f>IF($B26=0,"",($O26/30)*'MF Rents'!Z26*'MF Rollover'!W26)</f>
        <v/>
      </c>
      <c r="Y26" s="149" t="str">
        <f>IF($B26=0,"",($O26/30)*'MF Rents'!AA26*'MF Rollover'!X26)</f>
        <v/>
      </c>
      <c r="Z26" s="149" t="str">
        <f>IF($B26=0,"",($O26/30)*'MF Rents'!AB26*'MF Rollover'!Y26)</f>
        <v/>
      </c>
      <c r="AA26" s="149" t="str">
        <f>IF($B26=0,"",($O26/30)*'MF Rents'!AC26*'MF Rollover'!Z26)</f>
        <v/>
      </c>
      <c r="AB26" s="149" t="str">
        <f>IF($B26=0,"",($O26/30)*'MF Rents'!AD26*'MF Rollover'!AA26)</f>
        <v/>
      </c>
      <c r="AC26" s="149" t="str">
        <f>IF($B26=0,"",($O26/30)*'MF Rents'!AE26*'MF Rollover'!AB26)</f>
        <v/>
      </c>
      <c r="AD26" s="149" t="str">
        <f>IF($B26=0,"",($O26/30)*'MF Rents'!AF26*'MF Rollover'!AC26)</f>
        <v/>
      </c>
      <c r="AE26" s="149" t="str">
        <f>IF($B26=0,"",($O26/30)*'MF Rents'!AG26*'MF Rollover'!AD26)</f>
        <v/>
      </c>
      <c r="AF26" s="149" t="str">
        <f>IF($B26=0,"",($O26/30)*'MF Rents'!AH26*'MF Rollover'!AE26)</f>
        <v/>
      </c>
      <c r="AG26" s="149" t="str">
        <f>IF($B26=0,"",($O26/30)*'MF Rents'!AI26*'MF Rollover'!AF26)</f>
        <v/>
      </c>
      <c r="AH26" s="149" t="str">
        <f>IF($B26=0,"",($O26/30)*'MF Rents'!AJ26*'MF Rollover'!AG26)</f>
        <v/>
      </c>
      <c r="AI26" s="149" t="str">
        <f>IF($B26=0,"",($O26/30)*'MF Rents'!AK26*'MF Rollover'!AH26)</f>
        <v/>
      </c>
      <c r="AJ26" s="149" t="str">
        <f>IF($B26=0,"",($O26/30)*'MF Rents'!AL26*'MF Rollover'!AI26)</f>
        <v/>
      </c>
      <c r="AK26" s="149" t="str">
        <f>IF($B26=0,"",($O26/30)*'MF Rents'!AM26*'MF Rollover'!AJ26)</f>
        <v/>
      </c>
      <c r="AL26" s="149" t="str">
        <f>IF($B26=0,"",($O26/30)*'MF Rents'!AN26*'MF Rollover'!AK26)</f>
        <v/>
      </c>
      <c r="AM26" s="149" t="str">
        <f>IF($B26=0,"",($O26/30)*'MF Rents'!AO26*'MF Rollover'!AL26)</f>
        <v/>
      </c>
      <c r="AN26" s="149" t="str">
        <f>IF($B26=0,"",($O26/30)*'MF Rents'!AP26*'MF Rollover'!AM26)</f>
        <v/>
      </c>
      <c r="AO26" s="149" t="str">
        <f>IF($B26=0,"",($O26/30)*'MF Rents'!AQ26*'MF Rollover'!AN26)</f>
        <v/>
      </c>
      <c r="AP26" s="149" t="str">
        <f>IF($B26=0,"",($O26/30)*'MF Rents'!AR26*'MF Rollover'!AO26)</f>
        <v/>
      </c>
      <c r="AQ26" s="149" t="str">
        <f>IF($B26=0,"",($O26/30)*'MF Rents'!AS26*'MF Rollover'!AP26)</f>
        <v/>
      </c>
      <c r="AR26" s="149" t="str">
        <f>IF($B26=0,"",($O26/30)*'MF Rents'!AT26*'MF Rollover'!AQ26)</f>
        <v/>
      </c>
      <c r="AS26" s="149" t="str">
        <f>IF($B26=0,"",($O26/30)*'MF Rents'!AU26*'MF Rollover'!AR26)</f>
        <v/>
      </c>
      <c r="AT26" s="149" t="str">
        <f>IF($B26=0,"",($O26/30)*'MF Rents'!AV26*'MF Rollover'!AS26)</f>
        <v/>
      </c>
      <c r="AU26" s="149" t="str">
        <f>IF($B26=0,"",($O26/30)*'MF Rents'!AW26*'MF Rollover'!AT26)</f>
        <v/>
      </c>
      <c r="AV26" s="149" t="str">
        <f>IF($B26=0,"",($O26/30)*'MF Rents'!AX26*'MF Rollover'!AU26)</f>
        <v/>
      </c>
      <c r="AW26" s="149" t="str">
        <f>IF($B26=0,"",($O26/30)*'MF Rents'!AY26*'MF Rollover'!AV26)</f>
        <v/>
      </c>
      <c r="AX26" s="149" t="str">
        <f>IF($B26=0,"",($O26/30)*'MF Rents'!AZ26*'MF Rollover'!AW26)</f>
        <v/>
      </c>
      <c r="AY26" s="149" t="str">
        <f>IF($B26=0,"",($O26/30)*'MF Rents'!BA26*'MF Rollover'!AX26)</f>
        <v/>
      </c>
      <c r="AZ26" s="149" t="str">
        <f>IF($B26=0,"",($O26/30)*'MF Rents'!BB26*'MF Rollover'!AY26)</f>
        <v/>
      </c>
      <c r="BA26" s="149" t="str">
        <f>IF($B26=0,"",($O26/30)*'MF Rents'!BC26*'MF Rollover'!AZ26)</f>
        <v/>
      </c>
      <c r="BB26" s="149" t="str">
        <f>IF($B26=0,"",($O26/30)*'MF Rents'!BD26*'MF Rollover'!BA26)</f>
        <v/>
      </c>
      <c r="BC26" s="149" t="str">
        <f>IF($B26=0,"",($O26/30)*'MF Rents'!BE26*'MF Rollover'!BB26)</f>
        <v/>
      </c>
      <c r="BD26" s="149" t="str">
        <f>IF($B26=0,"",($O26/30)*'MF Rents'!BF26*'MF Rollover'!BC26)</f>
        <v/>
      </c>
      <c r="BE26" s="149" t="str">
        <f>IF($B26=0,"",($O26/30)*'MF Rents'!BG26*'MF Rollover'!BD26)</f>
        <v/>
      </c>
      <c r="BF26" s="149" t="str">
        <f>IF($B26=0,"",($O26/30)*'MF Rents'!BH26*'MF Rollover'!BE26)</f>
        <v/>
      </c>
      <c r="BG26" s="149" t="str">
        <f>IF($B26=0,"",($O26/30)*'MF Rents'!BI26*'MF Rollover'!BF26)</f>
        <v/>
      </c>
      <c r="BH26" s="149" t="str">
        <f>IF($B26=0,"",($O26/30)*'MF Rents'!BJ26*'MF Rollover'!BG26)</f>
        <v/>
      </c>
      <c r="BI26" s="149" t="str">
        <f>IF($B26=0,"",($O26/30)*'MF Rents'!BK26*'MF Rollover'!BH26)</f>
        <v/>
      </c>
      <c r="BJ26" s="149" t="str">
        <f>IF($B26=0,"",($O26/30)*'MF Rents'!BL26*'MF Rollover'!BI26)</f>
        <v/>
      </c>
      <c r="BK26" s="149" t="str">
        <f>IF($B26=0,"",($O26/30)*'MF Rents'!BM26*'MF Rollover'!BJ26)</f>
        <v/>
      </c>
      <c r="BL26" s="149" t="str">
        <f>IF($B26=0,"",($O26/30)*'MF Rents'!BN26*'MF Rollover'!BK26)</f>
        <v/>
      </c>
      <c r="BM26" s="149" t="str">
        <f>IF($B26=0,"",($O26/30)*'MF Rents'!BO26*'MF Rollover'!BL26)</f>
        <v/>
      </c>
      <c r="BN26" s="149" t="str">
        <f>IF($B26=0,"",($O26/30)*'MF Rents'!BP26*'MF Rollover'!BM26)</f>
        <v/>
      </c>
      <c r="BO26" s="149" t="str">
        <f>IF($B26=0,"",($O26/30)*'MF Rents'!BQ26*'MF Rollover'!BN26)</f>
        <v/>
      </c>
      <c r="BP26" s="149" t="str">
        <f>IF($B26=0,"",($O26/30)*'MF Rents'!BR26*'MF Rollover'!BO26)</f>
        <v/>
      </c>
      <c r="BQ26" s="149" t="str">
        <f>IF($B26=0,"",($O26/30)*'MF Rents'!BS26*'MF Rollover'!BP26)</f>
        <v/>
      </c>
      <c r="BR26" s="149" t="str">
        <f>IF($B26=0,"",($O26/30)*'MF Rents'!BT26*'MF Rollover'!BQ26)</f>
        <v/>
      </c>
      <c r="BS26" s="149" t="str">
        <f>IF($B26=0,"",($O26/30)*'MF Rents'!BU26*'MF Rollover'!BR26)</f>
        <v/>
      </c>
      <c r="BT26" s="149" t="str">
        <f>IF($B26=0,"",($O26/30)*'MF Rents'!BV26*'MF Rollover'!BS26)</f>
        <v/>
      </c>
      <c r="BU26" s="149" t="str">
        <f>IF($B26=0,"",($O26/30)*'MF Rents'!BW26*'MF Rollover'!BT26)</f>
        <v/>
      </c>
      <c r="BV26" s="149" t="str">
        <f>IF($B26=0,"",($O26/30)*'MF Rents'!BX26*'MF Rollover'!BU26)</f>
        <v/>
      </c>
      <c r="BW26" s="149" t="str">
        <f>IF($B26=0,"",($O26/30)*'MF Rents'!BY26*'MF Rollover'!BV26)</f>
        <v/>
      </c>
      <c r="BX26" s="149" t="str">
        <f>IF($B26=0,"",($O26/30)*'MF Rents'!BZ26*'MF Rollover'!BW26)</f>
        <v/>
      </c>
      <c r="BY26" s="149" t="str">
        <f>IF($B26=0,"",($O26/30)*'MF Rents'!CA26*'MF Rollover'!BX26)</f>
        <v/>
      </c>
      <c r="BZ26" s="149" t="str">
        <f>IF($B26=0,"",($O26/30)*'MF Rents'!CB26*'MF Rollover'!BY26)</f>
        <v/>
      </c>
      <c r="CA26" s="149" t="str">
        <f>IF($B26=0,"",($O26/30)*'MF Rents'!CC26*'MF Rollover'!BZ26)</f>
        <v/>
      </c>
      <c r="CB26" s="149" t="str">
        <f>IF($B26=0,"",($O26/30)*'MF Rents'!CD26*'MF Rollover'!CA26)</f>
        <v/>
      </c>
      <c r="CC26" s="149" t="str">
        <f>IF($B26=0,"",($O26/30)*'MF Rents'!CE26*'MF Rollover'!CB26)</f>
        <v/>
      </c>
      <c r="CD26" s="149" t="str">
        <f>IF($B26=0,"",($O26/30)*'MF Rents'!CF26*'MF Rollover'!CC26)</f>
        <v/>
      </c>
      <c r="CE26" s="149" t="str">
        <f>IF($B26=0,"",($O26/30)*'MF Rents'!CG26*'MF Rollover'!CD26)</f>
        <v/>
      </c>
      <c r="CF26" s="149" t="str">
        <f>IF($B26=0,"",($O26/30)*'MF Rents'!CH26*'MF Rollover'!CE26)</f>
        <v/>
      </c>
      <c r="CG26" s="149" t="str">
        <f>IF($B26=0,"",($O26/30)*'MF Rents'!CI26*'MF Rollover'!CF26)</f>
        <v/>
      </c>
      <c r="CH26" s="149" t="str">
        <f>IF($B26=0,"",($O26/30)*'MF Rents'!CJ26*'MF Rollover'!CG26)</f>
        <v/>
      </c>
      <c r="CI26" s="149" t="str">
        <f>IF($B26=0,"",($O26/30)*'MF Rents'!CK26*'MF Rollover'!CH26)</f>
        <v/>
      </c>
      <c r="CJ26" s="149" t="str">
        <f>IF($B26=0,"",($O26/30)*'MF Rents'!CL26*'MF Rollover'!CI26)</f>
        <v/>
      </c>
      <c r="CK26" s="149" t="str">
        <f>IF($B26=0,"",($O26/30)*'MF Rents'!CM26*'MF Rollover'!CJ26)</f>
        <v/>
      </c>
      <c r="CL26" s="149" t="str">
        <f>IF($B26=0,"",($O26/30)*'MF Rents'!CN26*'MF Rollover'!CK26)</f>
        <v/>
      </c>
      <c r="CM26" s="149" t="str">
        <f>IF($B26=0,"",($O26/30)*'MF Rents'!CO26*'MF Rollover'!CL26)</f>
        <v/>
      </c>
      <c r="CN26" s="149" t="str">
        <f>IF($B26=0,"",($O26/30)*'MF Rents'!CP26*'MF Rollover'!CM26)</f>
        <v/>
      </c>
      <c r="CO26" s="149" t="str">
        <f>IF($B26=0,"",($O26/30)*'MF Rents'!CQ26*'MF Rollover'!CN26)</f>
        <v/>
      </c>
      <c r="CP26" s="149" t="str">
        <f>IF($B26=0,"",($O26/30)*'MF Rents'!CR26*'MF Rollover'!CO26)</f>
        <v/>
      </c>
      <c r="CQ26" s="149" t="str">
        <f>IF($B26=0,"",($O26/30)*'MF Rents'!CS26*'MF Rollover'!CP26)</f>
        <v/>
      </c>
      <c r="CR26" s="149" t="str">
        <f>IF($B26=0,"",($O26/30)*'MF Rents'!CT26*'MF Rollover'!CQ26)</f>
        <v/>
      </c>
      <c r="CS26" s="149" t="str">
        <f>IF($B26=0,"",($O26/30)*'MF Rents'!CU26*'MF Rollover'!CR26)</f>
        <v/>
      </c>
      <c r="CT26" s="149" t="str">
        <f>IF($B26=0,"",($O26/30)*'MF Rents'!CV26*'MF Rollover'!CS26)</f>
        <v/>
      </c>
      <c r="CU26" s="149" t="str">
        <f>IF($B26=0,"",($O26/30)*'MF Rents'!CW26*'MF Rollover'!CT26)</f>
        <v/>
      </c>
      <c r="CV26" s="149" t="str">
        <f>IF($B26=0,"",($O26/30)*'MF Rents'!CX26*'MF Rollover'!CU26)</f>
        <v/>
      </c>
      <c r="CW26" s="149" t="str">
        <f>IF($B26=0,"",($O26/30)*'MF Rents'!CY26*'MF Rollover'!CV26)</f>
        <v/>
      </c>
      <c r="CX26" s="149" t="str">
        <f>IF($B26=0,"",($O26/30)*'MF Rents'!CZ26*'MF Rollover'!CW26)</f>
        <v/>
      </c>
      <c r="CY26" s="149" t="str">
        <f>IF($B26=0,"",($O26/30)*'MF Rents'!DA26*'MF Rollover'!CX26)</f>
        <v/>
      </c>
      <c r="CZ26" s="149" t="str">
        <f>IF($B26=0,"",($O26/30)*'MF Rents'!DB26*'MF Rollover'!CY26)</f>
        <v/>
      </c>
      <c r="DA26" s="149" t="str">
        <f>IF($B26=0,"",($O26/30)*'MF Rents'!DC26*'MF Rollover'!CZ26)</f>
        <v/>
      </c>
      <c r="DB26" s="149" t="str">
        <f>IF($B26=0,"",($O26/30)*'MF Rents'!DD26*'MF Rollover'!DA26)</f>
        <v/>
      </c>
      <c r="DC26" s="149" t="str">
        <f>IF($B26=0,"",($O26/30)*'MF Rents'!DE26*'MF Rollover'!DB26)</f>
        <v/>
      </c>
      <c r="DD26" s="149" t="str">
        <f>IF($B26=0,"",($O26/30)*'MF Rents'!DF26*'MF Rollover'!DC26)</f>
        <v/>
      </c>
      <c r="DE26" s="149" t="str">
        <f>IF($B26=0,"",($O26/30)*'MF Rents'!DG26*'MF Rollover'!DD26)</f>
        <v/>
      </c>
      <c r="DF26" s="149" t="str">
        <f>IF($B26=0,"",($O26/30)*'MF Rents'!DH26*'MF Rollover'!DE26)</f>
        <v/>
      </c>
      <c r="DG26" s="149" t="str">
        <f>IF($B26=0,"",($O26/30)*'MF Rents'!DI26*'MF Rollover'!DF26)</f>
        <v/>
      </c>
      <c r="DH26" s="149" t="str">
        <f>IF($B26=0,"",($O26/30)*'MF Rents'!DJ26*'MF Rollover'!DG26)</f>
        <v/>
      </c>
      <c r="DI26" s="149" t="str">
        <f>IF($B26=0,"",($O26/30)*'MF Rents'!DK26*'MF Rollover'!DH26)</f>
        <v/>
      </c>
      <c r="DJ26" s="149" t="str">
        <f>IF($B26=0,"",($O26/30)*'MF Rents'!DL26*'MF Rollover'!DI26)</f>
        <v/>
      </c>
      <c r="DK26" s="149" t="str">
        <f>IF($B26=0,"",($O26/30)*'MF Rents'!DM26*'MF Rollover'!DJ26)</f>
        <v/>
      </c>
      <c r="DL26" s="149" t="str">
        <f>IF($B26=0,"",($O26/30)*'MF Rents'!DN26*'MF Rollover'!DK26)</f>
        <v/>
      </c>
      <c r="DM26" s="149" t="str">
        <f>IF($B26=0,"",($O26/30)*'MF Rents'!DO26*'MF Rollover'!DL26)</f>
        <v/>
      </c>
      <c r="DN26" s="149" t="str">
        <f>IF($B26=0,"",($O26/30)*'MF Rents'!DP26*'MF Rollover'!DM26)</f>
        <v/>
      </c>
      <c r="DO26" s="149" t="str">
        <f>IF($B26=0,"",($O26/30)*'MF Rents'!DQ26*'MF Rollover'!DN26)</f>
        <v/>
      </c>
      <c r="DP26" s="149" t="str">
        <f>IF($B26=0,"",($O26/30)*'MF Rents'!DR26*'MF Rollover'!DO26)</f>
        <v/>
      </c>
      <c r="DQ26" s="149" t="str">
        <f>IF($B26=0,"",($O26/30)*'MF Rents'!DS26*'MF Rollover'!DP26)</f>
        <v/>
      </c>
      <c r="DR26" s="149" t="str">
        <f>IF($B26=0,"",($O26/30)*'MF Rents'!DT26*'MF Rollover'!DQ26)</f>
        <v/>
      </c>
      <c r="DS26" s="149" t="str">
        <f>IF($B26=0,"",($O26/30)*'MF Rents'!DU26*'MF Rollover'!DR26)</f>
        <v/>
      </c>
      <c r="DT26" s="149" t="str">
        <f>IF($B26=0,"",($O26/30)*'MF Rents'!DV26*'MF Rollover'!DS26)</f>
        <v/>
      </c>
      <c r="DU26" s="149" t="str">
        <f>IF($B26=0,"",($O26/30)*'MF Rents'!DW26*'MF Rollover'!DT26)</f>
        <v/>
      </c>
      <c r="DV26" s="149" t="str">
        <f>IF($B26=0,"",($O26/30)*'MF Rents'!DX26*'MF Rollover'!DU26)</f>
        <v/>
      </c>
      <c r="DW26" s="149" t="str">
        <f>IF($B26=0,"",($O26/30)*'MF Rents'!DY26*'MF Rollover'!DV26)</f>
        <v/>
      </c>
      <c r="DX26" s="149" t="str">
        <f>IF($B26=0,"",($O26/30)*'MF Rents'!DZ26*'MF Rollover'!DW26)</f>
        <v/>
      </c>
      <c r="DY26" s="149" t="str">
        <f>IF($B26=0,"",($O26/30)*'MF Rents'!EA26*'MF Rollover'!DX26)</f>
        <v/>
      </c>
      <c r="DZ26" s="149" t="str">
        <f>IF($B26=0,"",($O26/30)*'MF Rents'!EB26*'MF Rollover'!DY26)</f>
        <v/>
      </c>
      <c r="EA26" s="149" t="str">
        <f>IF($B26=0,"",($O26/30)*'MF Rents'!EC26*'MF Rollover'!DZ26)</f>
        <v/>
      </c>
      <c r="EB26" s="149" t="str">
        <f>IF($B26=0,"",($O26/30)*'MF Rents'!ED26*'MF Rollover'!EA26)</f>
        <v/>
      </c>
      <c r="EC26" s="149" t="str">
        <f>IF($B26=0,"",($O26/30)*'MF Rents'!EE26*'MF Rollover'!EB26)</f>
        <v/>
      </c>
      <c r="ED26" s="149" t="str">
        <f>IF($B26=0,"",($O26/30)*'MF Rents'!EF26*'MF Rollover'!EC26)</f>
        <v/>
      </c>
      <c r="EE26" s="149" t="str">
        <f>IF($B26=0,"",($O26/30)*'MF Rents'!EG26*'MF Rollover'!ED26)</f>
        <v/>
      </c>
      <c r="EF26" s="149" t="str">
        <f>IF($B26=0,"",($O26/30)*'MF Rents'!EH26*'MF Rollover'!EE26)</f>
        <v/>
      </c>
      <c r="EG26" s="149" t="str">
        <f>IF($B26=0,"",($O26/30)*'MF Rents'!EI26*'MF Rollover'!EF26)</f>
        <v/>
      </c>
      <c r="EH26" s="149" t="str">
        <f>IF($B26=0,"",($O26/30)*'MF Rents'!EJ26*'MF Rollover'!EG26)</f>
        <v/>
      </c>
      <c r="EI26" s="149" t="str">
        <f>IF($B26=0,"",($O26/30)*'MF Rents'!EK26*'MF Rollover'!EH26)</f>
        <v/>
      </c>
      <c r="EJ26" s="149" t="str">
        <f>IF($B26=0,"",($O26/30)*'MF Rents'!EL26*'MF Rollover'!EI26)</f>
        <v/>
      </c>
      <c r="EK26" s="149" t="str">
        <f>IF($B26=0,"",($O26/30)*'MF Rents'!EM26*'MF Rollover'!EJ26)</f>
        <v/>
      </c>
      <c r="EL26" s="149" t="str">
        <f>IF($B26=0,"",($O26/30)*'MF Rents'!EN26*'MF Rollover'!EK26)</f>
        <v/>
      </c>
      <c r="EM26" s="149" t="str">
        <f>IF($B26=0,"",($O26/30)*'MF Rents'!EO26*'MF Rollover'!EL26)</f>
        <v/>
      </c>
      <c r="EN26" s="149" t="str">
        <f>IF($B26=0,"",($O26/30)*'MF Rents'!EP26*'MF Rollover'!EM26)</f>
        <v/>
      </c>
      <c r="EO26" s="149" t="str">
        <f>IF($B26=0,"",($O26/30)*'MF Rents'!EQ26*'MF Rollover'!EN26)</f>
        <v/>
      </c>
      <c r="EP26" s="149" t="str">
        <f>IF($B26=0,"",($O26/30)*'MF Rents'!ER26*'MF Rollover'!EO26)</f>
        <v/>
      </c>
      <c r="EQ26" s="149" t="str">
        <f>IF($B26=0,"",($O26/30)*'MF Rents'!ES26*'MF Rollover'!EP26)</f>
        <v/>
      </c>
      <c r="ER26" s="149" t="str">
        <f>IF($B26=0,"",($O26/30)*'MF Rents'!ET26*'MF Rollover'!EQ26)</f>
        <v/>
      </c>
      <c r="ES26" s="149" t="str">
        <f>IF($B26=0,"",($O26/30)*'MF Rents'!EU26*'MF Rollover'!ER26)</f>
        <v/>
      </c>
      <c r="ET26" s="149" t="str">
        <f>IF($B26=0,"",($O26/30)*'MF Rents'!EV26*'MF Rollover'!ES26)</f>
        <v/>
      </c>
      <c r="EU26" s="149" t="str">
        <f>IF($B26=0,"",($O26/30)*'MF Rents'!EW26*'MF Rollover'!ET26)</f>
        <v/>
      </c>
      <c r="EV26" s="149" t="str">
        <f>IF($B26=0,"",($O26/30)*'MF Rents'!EX26*'MF Rollover'!EU26)</f>
        <v/>
      </c>
      <c r="EW26" s="149" t="str">
        <f>IF($B26=0,"",($O26/30)*'MF Rents'!EY26*'MF Rollover'!EV26)</f>
        <v/>
      </c>
      <c r="EX26" s="149" t="str">
        <f>IF($B26=0,"",($O26/30)*'MF Rents'!EZ26*'MF Rollover'!EW26)</f>
        <v/>
      </c>
      <c r="EY26" s="149" t="str">
        <f>IF($B26=0,"",($O26/30)*'MF Rents'!FA26*'MF Rollover'!EX26)</f>
        <v/>
      </c>
      <c r="EZ26" s="149" t="str">
        <f>IF($B26=0,"",($O26/30)*'MF Rents'!FB26*'MF Rollover'!EY26)</f>
        <v/>
      </c>
      <c r="FA26" s="149" t="str">
        <f>IF($B26=0,"",($O26/30)*'MF Rents'!FC26*'MF Rollover'!EZ26)</f>
        <v/>
      </c>
      <c r="FB26" s="149" t="str">
        <f>IF($B26=0,"",($O26/30)*'MF Rents'!FD26*'MF Rollover'!FA26)</f>
        <v/>
      </c>
      <c r="FC26" s="149" t="str">
        <f>IF($B26=0,"",($O26/30)*'MF Rents'!FE26*'MF Rollover'!FB26)</f>
        <v/>
      </c>
      <c r="FD26" s="149" t="str">
        <f>IF($B26=0,"",($O26/30)*'MF Rents'!FF26*'MF Rollover'!FC26)</f>
        <v/>
      </c>
      <c r="FE26" s="149" t="str">
        <f>IF($B26=0,"",($O26/30)*'MF Rents'!FG26*'MF Rollover'!FD26)</f>
        <v/>
      </c>
      <c r="FF26" s="149" t="str">
        <f>IF($B26=0,"",($O26/30)*'MF Rents'!FH26*'MF Rollover'!FE26)</f>
        <v/>
      </c>
      <c r="FG26" s="149" t="str">
        <f>IF($B26=0,"",($O26/30)*'MF Rents'!FI26*'MF Rollover'!FF26)</f>
        <v/>
      </c>
      <c r="FH26" s="149" t="str">
        <f>IF($B26=0,"",($O26/30)*'MF Rents'!FJ26*'MF Rollover'!FG26)</f>
        <v/>
      </c>
      <c r="FI26" s="149" t="str">
        <f>IF($B26=0,"",($O26/30)*'MF Rents'!FK26*'MF Rollover'!FH26)</f>
        <v/>
      </c>
      <c r="FJ26" s="149" t="str">
        <f>IF($B26=0,"",($O26/30)*'MF Rents'!FL26*'MF Rollover'!FI26)</f>
        <v/>
      </c>
      <c r="FK26" s="149" t="str">
        <f>IF($B26=0,"",($O26/30)*'MF Rents'!FM26*'MF Rollover'!FJ26)</f>
        <v/>
      </c>
      <c r="FL26" s="149" t="str">
        <f>IF($B26=0,"",($O26/30)*'MF Rents'!FN26*'MF Rollover'!FK26)</f>
        <v/>
      </c>
      <c r="FM26" s="149" t="str">
        <f>IF($B26=0,"",($O26/30)*'MF Rents'!FO26*'MF Rollover'!FL26)</f>
        <v/>
      </c>
      <c r="FN26" s="149" t="str">
        <f>IF($B26=0,"",($O26/30)*'MF Rents'!FP26*'MF Rollover'!FM26)</f>
        <v/>
      </c>
      <c r="FO26" s="149" t="str">
        <f>IF($B26=0,"",($O26/30)*'MF Rents'!FQ26*'MF Rollover'!FN26)</f>
        <v/>
      </c>
      <c r="FP26" s="149" t="str">
        <f>IF($B26=0,"",($O26/30)*'MF Rents'!FR26*'MF Rollover'!FO26)</f>
        <v/>
      </c>
      <c r="FQ26" s="149" t="str">
        <f>IF($B26=0,"",($O26/30)*'MF Rents'!FS26*'MF Rollover'!FP26)</f>
        <v/>
      </c>
      <c r="FR26" s="149" t="str">
        <f>IF($B26=0,"",($O26/30)*'MF Rents'!FT26*'MF Rollover'!FQ26)</f>
        <v/>
      </c>
      <c r="FS26" s="149" t="str">
        <f>IF($B26=0,"",($O26/30)*'MF Rents'!FU26*'MF Rollover'!FR26)</f>
        <v/>
      </c>
      <c r="FT26" s="149" t="str">
        <f>IF($B26=0,"",($O26/30)*'MF Rents'!FV26*'MF Rollover'!FS26)</f>
        <v/>
      </c>
      <c r="FU26" s="149" t="str">
        <f>IF($B26=0,"",($O26/30)*'MF Rents'!FW26*'MF Rollover'!FT26)</f>
        <v/>
      </c>
      <c r="FV26" s="149" t="str">
        <f>IF($B26=0,"",($O26/30)*'MF Rents'!FX26*'MF Rollover'!FU26)</f>
        <v/>
      </c>
      <c r="FW26" s="149" t="str">
        <f>IF($B26=0,"",($O26/30)*'MF Rents'!FY26*'MF Rollover'!FV26)</f>
        <v/>
      </c>
      <c r="FX26" s="149" t="str">
        <f>IF($B26=0,"",($O26/30)*'MF Rents'!FZ26*'MF Rollover'!FW26)</f>
        <v/>
      </c>
      <c r="FY26" s="149" t="str">
        <f>IF($B26=0,"",($O26/30)*'MF Rents'!GA26*'MF Rollover'!FX26)</f>
        <v/>
      </c>
      <c r="FZ26" s="149" t="str">
        <f>IF($B26=0,"",($O26/30)*'MF Rents'!GB26*'MF Rollover'!FY26)</f>
        <v/>
      </c>
      <c r="GA26" s="149" t="str">
        <f>IF($B26=0,"",($O26/30)*'MF Rents'!GC26*'MF Rollover'!FZ26)</f>
        <v/>
      </c>
      <c r="GB26" s="149" t="str">
        <f>IF($B26=0,"",($O26/30)*'MF Rents'!GD26*'MF Rollover'!GA26)</f>
        <v/>
      </c>
      <c r="GC26" s="149" t="str">
        <f>IF($B26=0,"",($O26/30)*'MF Rents'!GE26*'MF Rollover'!GB26)</f>
        <v/>
      </c>
      <c r="GD26" s="149" t="str">
        <f>IF($B26=0,"",($O26/30)*'MF Rents'!GF26*'MF Rollover'!GC26)</f>
        <v/>
      </c>
      <c r="GE26" s="149" t="str">
        <f>IF($B26=0,"",($O26/30)*'MF Rents'!GG26*'MF Rollover'!GD26)</f>
        <v/>
      </c>
      <c r="GF26" s="149" t="str">
        <f>IF($B26=0,"",($O26/30)*'MF Rents'!GH26*'MF Rollover'!GE26)</f>
        <v/>
      </c>
      <c r="GG26" s="149" t="str">
        <f>IF($B26=0,"",($O26/30)*'MF Rents'!GI26*'MF Rollover'!GF26)</f>
        <v/>
      </c>
      <c r="GH26" s="149" t="str">
        <f>IF($B26=0,"",($O26/30)*'MF Rents'!GJ26*'MF Rollover'!GG26)</f>
        <v/>
      </c>
      <c r="GI26" s="149" t="str">
        <f>IF($B26=0,"",($O26/30)*'MF Rents'!GK26*'MF Rollover'!GH26)</f>
        <v/>
      </c>
      <c r="GJ26" s="149" t="str">
        <f>IF($B26=0,"",($O26/30)*'MF Rents'!GL26*'MF Rollover'!GI26)</f>
        <v/>
      </c>
      <c r="GK26" s="149" t="str">
        <f>IF($B26=0,"",($O26/30)*'MF Rents'!GM26*'MF Rollover'!GJ26)</f>
        <v/>
      </c>
      <c r="GL26" s="149" t="str">
        <f>IF($B26=0,"",($O26/30)*'MF Rents'!GN26*'MF Rollover'!GK26)</f>
        <v/>
      </c>
      <c r="GM26" s="149" t="str">
        <f>IF($B26=0,"",($O26/30)*'MF Rents'!GO26*'MF Rollover'!GL26)</f>
        <v/>
      </c>
      <c r="GN26" s="149" t="str">
        <f>IF($B26=0,"",($O26/30)*'MF Rents'!GP26*'MF Rollover'!GM26)</f>
        <v/>
      </c>
      <c r="GO26" s="149" t="str">
        <f>IF($B26=0,"",($O26/30)*'MF Rents'!GQ26*'MF Rollover'!GN26)</f>
        <v/>
      </c>
      <c r="GP26" s="149" t="str">
        <f>IF($B26=0,"",($O26/30)*'MF Rents'!GR26*'MF Rollover'!GO26)</f>
        <v/>
      </c>
    </row>
    <row r="27" spans="2:198" x14ac:dyDescent="0.3">
      <c r="B27" s="184">
        <f>'MF Rent Roll'!B26</f>
        <v>0</v>
      </c>
      <c r="C27" s="171">
        <f>'MF Rent Roll'!C26</f>
        <v>0</v>
      </c>
      <c r="D27" s="172">
        <f>'MF Rent Roll'!D26</f>
        <v>0</v>
      </c>
      <c r="E27" s="172">
        <f>'MF Rent Roll'!E26</f>
        <v>0</v>
      </c>
      <c r="F27" s="173">
        <f>'MF Rent Roll'!F26</f>
        <v>0</v>
      </c>
      <c r="G27" s="174">
        <f>'MF Rent Roll'!G26</f>
        <v>0</v>
      </c>
      <c r="H27" s="176">
        <f>'MF Rent Roll'!J26</f>
        <v>0</v>
      </c>
      <c r="I27" s="174">
        <f>'MF Rent Roll'!K26</f>
        <v>0</v>
      </c>
      <c r="J27" s="177">
        <f>'MF Rent Roll'!L26</f>
        <v>0</v>
      </c>
      <c r="K27" s="178">
        <f>'MF Rent Roll'!M26</f>
        <v>0</v>
      </c>
      <c r="L27" s="174">
        <f>'MF Rent Roll'!N26</f>
        <v>0</v>
      </c>
      <c r="M27" s="179">
        <f>'MF Rent Roll'!O26</f>
        <v>0</v>
      </c>
      <c r="N27" s="180" t="str">
        <f>'MF Rent Roll'!P26</f>
        <v/>
      </c>
      <c r="O27" s="181" t="str">
        <f>'MF Rent Roll'!Q26</f>
        <v/>
      </c>
      <c r="P27" s="104" t="str">
        <f>'MF Rent Roll'!R26</f>
        <v/>
      </c>
      <c r="S27" s="149" t="str">
        <f>IF($B27=0,"",($O27/30)*'MF Rents'!U27*'MF Rollover'!R27)</f>
        <v/>
      </c>
      <c r="T27" s="149" t="str">
        <f>IF($B27=0,"",($O27/30)*'MF Rents'!V27*'MF Rollover'!S27)</f>
        <v/>
      </c>
      <c r="U27" s="149" t="str">
        <f>IF($B27=0,"",($O27/30)*'MF Rents'!W27*'MF Rollover'!T27)</f>
        <v/>
      </c>
      <c r="V27" s="149" t="str">
        <f>IF($B27=0,"",($O27/30)*'MF Rents'!X27*'MF Rollover'!U27)</f>
        <v/>
      </c>
      <c r="W27" s="149" t="str">
        <f>IF($B27=0,"",($O27/30)*'MF Rents'!Y27*'MF Rollover'!V27)</f>
        <v/>
      </c>
      <c r="X27" s="149" t="str">
        <f>IF($B27=0,"",($O27/30)*'MF Rents'!Z27*'MF Rollover'!W27)</f>
        <v/>
      </c>
      <c r="Y27" s="149" t="str">
        <f>IF($B27=0,"",($O27/30)*'MF Rents'!AA27*'MF Rollover'!X27)</f>
        <v/>
      </c>
      <c r="Z27" s="149" t="str">
        <f>IF($B27=0,"",($O27/30)*'MF Rents'!AB27*'MF Rollover'!Y27)</f>
        <v/>
      </c>
      <c r="AA27" s="149" t="str">
        <f>IF($B27=0,"",($O27/30)*'MF Rents'!AC27*'MF Rollover'!Z27)</f>
        <v/>
      </c>
      <c r="AB27" s="149" t="str">
        <f>IF($B27=0,"",($O27/30)*'MF Rents'!AD27*'MF Rollover'!AA27)</f>
        <v/>
      </c>
      <c r="AC27" s="149" t="str">
        <f>IF($B27=0,"",($O27/30)*'MF Rents'!AE27*'MF Rollover'!AB27)</f>
        <v/>
      </c>
      <c r="AD27" s="149" t="str">
        <f>IF($B27=0,"",($O27/30)*'MF Rents'!AF27*'MF Rollover'!AC27)</f>
        <v/>
      </c>
      <c r="AE27" s="149" t="str">
        <f>IF($B27=0,"",($O27/30)*'MF Rents'!AG27*'MF Rollover'!AD27)</f>
        <v/>
      </c>
      <c r="AF27" s="149" t="str">
        <f>IF($B27=0,"",($O27/30)*'MF Rents'!AH27*'MF Rollover'!AE27)</f>
        <v/>
      </c>
      <c r="AG27" s="149" t="str">
        <f>IF($B27=0,"",($O27/30)*'MF Rents'!AI27*'MF Rollover'!AF27)</f>
        <v/>
      </c>
      <c r="AH27" s="149" t="str">
        <f>IF($B27=0,"",($O27/30)*'MF Rents'!AJ27*'MF Rollover'!AG27)</f>
        <v/>
      </c>
      <c r="AI27" s="149" t="str">
        <f>IF($B27=0,"",($O27/30)*'MF Rents'!AK27*'MF Rollover'!AH27)</f>
        <v/>
      </c>
      <c r="AJ27" s="149" t="str">
        <f>IF($B27=0,"",($O27/30)*'MF Rents'!AL27*'MF Rollover'!AI27)</f>
        <v/>
      </c>
      <c r="AK27" s="149" t="str">
        <f>IF($B27=0,"",($O27/30)*'MF Rents'!AM27*'MF Rollover'!AJ27)</f>
        <v/>
      </c>
      <c r="AL27" s="149" t="str">
        <f>IF($B27=0,"",($O27/30)*'MF Rents'!AN27*'MF Rollover'!AK27)</f>
        <v/>
      </c>
      <c r="AM27" s="149" t="str">
        <f>IF($B27=0,"",($O27/30)*'MF Rents'!AO27*'MF Rollover'!AL27)</f>
        <v/>
      </c>
      <c r="AN27" s="149" t="str">
        <f>IF($B27=0,"",($O27/30)*'MF Rents'!AP27*'MF Rollover'!AM27)</f>
        <v/>
      </c>
      <c r="AO27" s="149" t="str">
        <f>IF($B27=0,"",($O27/30)*'MF Rents'!AQ27*'MF Rollover'!AN27)</f>
        <v/>
      </c>
      <c r="AP27" s="149" t="str">
        <f>IF($B27=0,"",($O27/30)*'MF Rents'!AR27*'MF Rollover'!AO27)</f>
        <v/>
      </c>
      <c r="AQ27" s="149" t="str">
        <f>IF($B27=0,"",($O27/30)*'MF Rents'!AS27*'MF Rollover'!AP27)</f>
        <v/>
      </c>
      <c r="AR27" s="149" t="str">
        <f>IF($B27=0,"",($O27/30)*'MF Rents'!AT27*'MF Rollover'!AQ27)</f>
        <v/>
      </c>
      <c r="AS27" s="149" t="str">
        <f>IF($B27=0,"",($O27/30)*'MF Rents'!AU27*'MF Rollover'!AR27)</f>
        <v/>
      </c>
      <c r="AT27" s="149" t="str">
        <f>IF($B27=0,"",($O27/30)*'MF Rents'!AV27*'MF Rollover'!AS27)</f>
        <v/>
      </c>
      <c r="AU27" s="149" t="str">
        <f>IF($B27=0,"",($O27/30)*'MF Rents'!AW27*'MF Rollover'!AT27)</f>
        <v/>
      </c>
      <c r="AV27" s="149" t="str">
        <f>IF($B27=0,"",($O27/30)*'MF Rents'!AX27*'MF Rollover'!AU27)</f>
        <v/>
      </c>
      <c r="AW27" s="149" t="str">
        <f>IF($B27=0,"",($O27/30)*'MF Rents'!AY27*'MF Rollover'!AV27)</f>
        <v/>
      </c>
      <c r="AX27" s="149" t="str">
        <f>IF($B27=0,"",($O27/30)*'MF Rents'!AZ27*'MF Rollover'!AW27)</f>
        <v/>
      </c>
      <c r="AY27" s="149" t="str">
        <f>IF($B27=0,"",($O27/30)*'MF Rents'!BA27*'MF Rollover'!AX27)</f>
        <v/>
      </c>
      <c r="AZ27" s="149" t="str">
        <f>IF($B27=0,"",($O27/30)*'MF Rents'!BB27*'MF Rollover'!AY27)</f>
        <v/>
      </c>
      <c r="BA27" s="149" t="str">
        <f>IF($B27=0,"",($O27/30)*'MF Rents'!BC27*'MF Rollover'!AZ27)</f>
        <v/>
      </c>
      <c r="BB27" s="149" t="str">
        <f>IF($B27=0,"",($O27/30)*'MF Rents'!BD27*'MF Rollover'!BA27)</f>
        <v/>
      </c>
      <c r="BC27" s="149" t="str">
        <f>IF($B27=0,"",($O27/30)*'MF Rents'!BE27*'MF Rollover'!BB27)</f>
        <v/>
      </c>
      <c r="BD27" s="149" t="str">
        <f>IF($B27=0,"",($O27/30)*'MF Rents'!BF27*'MF Rollover'!BC27)</f>
        <v/>
      </c>
      <c r="BE27" s="149" t="str">
        <f>IF($B27=0,"",($O27/30)*'MF Rents'!BG27*'MF Rollover'!BD27)</f>
        <v/>
      </c>
      <c r="BF27" s="149" t="str">
        <f>IF($B27=0,"",($O27/30)*'MF Rents'!BH27*'MF Rollover'!BE27)</f>
        <v/>
      </c>
      <c r="BG27" s="149" t="str">
        <f>IF($B27=0,"",($O27/30)*'MF Rents'!BI27*'MF Rollover'!BF27)</f>
        <v/>
      </c>
      <c r="BH27" s="149" t="str">
        <f>IF($B27=0,"",($O27/30)*'MF Rents'!BJ27*'MF Rollover'!BG27)</f>
        <v/>
      </c>
      <c r="BI27" s="149" t="str">
        <f>IF($B27=0,"",($O27/30)*'MF Rents'!BK27*'MF Rollover'!BH27)</f>
        <v/>
      </c>
      <c r="BJ27" s="149" t="str">
        <f>IF($B27=0,"",($O27/30)*'MF Rents'!BL27*'MF Rollover'!BI27)</f>
        <v/>
      </c>
      <c r="BK27" s="149" t="str">
        <f>IF($B27=0,"",($O27/30)*'MF Rents'!BM27*'MF Rollover'!BJ27)</f>
        <v/>
      </c>
      <c r="BL27" s="149" t="str">
        <f>IF($B27=0,"",($O27/30)*'MF Rents'!BN27*'MF Rollover'!BK27)</f>
        <v/>
      </c>
      <c r="BM27" s="149" t="str">
        <f>IF($B27=0,"",($O27/30)*'MF Rents'!BO27*'MF Rollover'!BL27)</f>
        <v/>
      </c>
      <c r="BN27" s="149" t="str">
        <f>IF($B27=0,"",($O27/30)*'MF Rents'!BP27*'MF Rollover'!BM27)</f>
        <v/>
      </c>
      <c r="BO27" s="149" t="str">
        <f>IF($B27=0,"",($O27/30)*'MF Rents'!BQ27*'MF Rollover'!BN27)</f>
        <v/>
      </c>
      <c r="BP27" s="149" t="str">
        <f>IF($B27=0,"",($O27/30)*'MF Rents'!BR27*'MF Rollover'!BO27)</f>
        <v/>
      </c>
      <c r="BQ27" s="149" t="str">
        <f>IF($B27=0,"",($O27/30)*'MF Rents'!BS27*'MF Rollover'!BP27)</f>
        <v/>
      </c>
      <c r="BR27" s="149" t="str">
        <f>IF($B27=0,"",($O27/30)*'MF Rents'!BT27*'MF Rollover'!BQ27)</f>
        <v/>
      </c>
      <c r="BS27" s="149" t="str">
        <f>IF($B27=0,"",($O27/30)*'MF Rents'!BU27*'MF Rollover'!BR27)</f>
        <v/>
      </c>
      <c r="BT27" s="149" t="str">
        <f>IF($B27=0,"",($O27/30)*'MF Rents'!BV27*'MF Rollover'!BS27)</f>
        <v/>
      </c>
      <c r="BU27" s="149" t="str">
        <f>IF($B27=0,"",($O27/30)*'MF Rents'!BW27*'MF Rollover'!BT27)</f>
        <v/>
      </c>
      <c r="BV27" s="149" t="str">
        <f>IF($B27=0,"",($O27/30)*'MF Rents'!BX27*'MF Rollover'!BU27)</f>
        <v/>
      </c>
      <c r="BW27" s="149" t="str">
        <f>IF($B27=0,"",($O27/30)*'MF Rents'!BY27*'MF Rollover'!BV27)</f>
        <v/>
      </c>
      <c r="BX27" s="149" t="str">
        <f>IF($B27=0,"",($O27/30)*'MF Rents'!BZ27*'MF Rollover'!BW27)</f>
        <v/>
      </c>
      <c r="BY27" s="149" t="str">
        <f>IF($B27=0,"",($O27/30)*'MF Rents'!CA27*'MF Rollover'!BX27)</f>
        <v/>
      </c>
      <c r="BZ27" s="149" t="str">
        <f>IF($B27=0,"",($O27/30)*'MF Rents'!CB27*'MF Rollover'!BY27)</f>
        <v/>
      </c>
      <c r="CA27" s="149" t="str">
        <f>IF($B27=0,"",($O27/30)*'MF Rents'!CC27*'MF Rollover'!BZ27)</f>
        <v/>
      </c>
      <c r="CB27" s="149" t="str">
        <f>IF($B27=0,"",($O27/30)*'MF Rents'!CD27*'MF Rollover'!CA27)</f>
        <v/>
      </c>
      <c r="CC27" s="149" t="str">
        <f>IF($B27=0,"",($O27/30)*'MF Rents'!CE27*'MF Rollover'!CB27)</f>
        <v/>
      </c>
      <c r="CD27" s="149" t="str">
        <f>IF($B27=0,"",($O27/30)*'MF Rents'!CF27*'MF Rollover'!CC27)</f>
        <v/>
      </c>
      <c r="CE27" s="149" t="str">
        <f>IF($B27=0,"",($O27/30)*'MF Rents'!CG27*'MF Rollover'!CD27)</f>
        <v/>
      </c>
      <c r="CF27" s="149" t="str">
        <f>IF($B27=0,"",($O27/30)*'MF Rents'!CH27*'MF Rollover'!CE27)</f>
        <v/>
      </c>
      <c r="CG27" s="149" t="str">
        <f>IF($B27=0,"",($O27/30)*'MF Rents'!CI27*'MF Rollover'!CF27)</f>
        <v/>
      </c>
      <c r="CH27" s="149" t="str">
        <f>IF($B27=0,"",($O27/30)*'MF Rents'!CJ27*'MF Rollover'!CG27)</f>
        <v/>
      </c>
      <c r="CI27" s="149" t="str">
        <f>IF($B27=0,"",($O27/30)*'MF Rents'!CK27*'MF Rollover'!CH27)</f>
        <v/>
      </c>
      <c r="CJ27" s="149" t="str">
        <f>IF($B27=0,"",($O27/30)*'MF Rents'!CL27*'MF Rollover'!CI27)</f>
        <v/>
      </c>
      <c r="CK27" s="149" t="str">
        <f>IF($B27=0,"",($O27/30)*'MF Rents'!CM27*'MF Rollover'!CJ27)</f>
        <v/>
      </c>
      <c r="CL27" s="149" t="str">
        <f>IF($B27=0,"",($O27/30)*'MF Rents'!CN27*'MF Rollover'!CK27)</f>
        <v/>
      </c>
      <c r="CM27" s="149" t="str">
        <f>IF($B27=0,"",($O27/30)*'MF Rents'!CO27*'MF Rollover'!CL27)</f>
        <v/>
      </c>
      <c r="CN27" s="149" t="str">
        <f>IF($B27=0,"",($O27/30)*'MF Rents'!CP27*'MF Rollover'!CM27)</f>
        <v/>
      </c>
      <c r="CO27" s="149" t="str">
        <f>IF($B27=0,"",($O27/30)*'MF Rents'!CQ27*'MF Rollover'!CN27)</f>
        <v/>
      </c>
      <c r="CP27" s="149" t="str">
        <f>IF($B27=0,"",($O27/30)*'MF Rents'!CR27*'MF Rollover'!CO27)</f>
        <v/>
      </c>
      <c r="CQ27" s="149" t="str">
        <f>IF($B27=0,"",($O27/30)*'MF Rents'!CS27*'MF Rollover'!CP27)</f>
        <v/>
      </c>
      <c r="CR27" s="149" t="str">
        <f>IF($B27=0,"",($O27/30)*'MF Rents'!CT27*'MF Rollover'!CQ27)</f>
        <v/>
      </c>
      <c r="CS27" s="149" t="str">
        <f>IF($B27=0,"",($O27/30)*'MF Rents'!CU27*'MF Rollover'!CR27)</f>
        <v/>
      </c>
      <c r="CT27" s="149" t="str">
        <f>IF($B27=0,"",($O27/30)*'MF Rents'!CV27*'MF Rollover'!CS27)</f>
        <v/>
      </c>
      <c r="CU27" s="149" t="str">
        <f>IF($B27=0,"",($O27/30)*'MF Rents'!CW27*'MF Rollover'!CT27)</f>
        <v/>
      </c>
      <c r="CV27" s="149" t="str">
        <f>IF($B27=0,"",($O27/30)*'MF Rents'!CX27*'MF Rollover'!CU27)</f>
        <v/>
      </c>
      <c r="CW27" s="149" t="str">
        <f>IF($B27=0,"",($O27/30)*'MF Rents'!CY27*'MF Rollover'!CV27)</f>
        <v/>
      </c>
      <c r="CX27" s="149" t="str">
        <f>IF($B27=0,"",($O27/30)*'MF Rents'!CZ27*'MF Rollover'!CW27)</f>
        <v/>
      </c>
      <c r="CY27" s="149" t="str">
        <f>IF($B27=0,"",($O27/30)*'MF Rents'!DA27*'MF Rollover'!CX27)</f>
        <v/>
      </c>
      <c r="CZ27" s="149" t="str">
        <f>IF($B27=0,"",($O27/30)*'MF Rents'!DB27*'MF Rollover'!CY27)</f>
        <v/>
      </c>
      <c r="DA27" s="149" t="str">
        <f>IF($B27=0,"",($O27/30)*'MF Rents'!DC27*'MF Rollover'!CZ27)</f>
        <v/>
      </c>
      <c r="DB27" s="149" t="str">
        <f>IF($B27=0,"",($O27/30)*'MF Rents'!DD27*'MF Rollover'!DA27)</f>
        <v/>
      </c>
      <c r="DC27" s="149" t="str">
        <f>IF($B27=0,"",($O27/30)*'MF Rents'!DE27*'MF Rollover'!DB27)</f>
        <v/>
      </c>
      <c r="DD27" s="149" t="str">
        <f>IF($B27=0,"",($O27/30)*'MF Rents'!DF27*'MF Rollover'!DC27)</f>
        <v/>
      </c>
      <c r="DE27" s="149" t="str">
        <f>IF($B27=0,"",($O27/30)*'MF Rents'!DG27*'MF Rollover'!DD27)</f>
        <v/>
      </c>
      <c r="DF27" s="149" t="str">
        <f>IF($B27=0,"",($O27/30)*'MF Rents'!DH27*'MF Rollover'!DE27)</f>
        <v/>
      </c>
      <c r="DG27" s="149" t="str">
        <f>IF($B27=0,"",($O27/30)*'MF Rents'!DI27*'MF Rollover'!DF27)</f>
        <v/>
      </c>
      <c r="DH27" s="149" t="str">
        <f>IF($B27=0,"",($O27/30)*'MF Rents'!DJ27*'MF Rollover'!DG27)</f>
        <v/>
      </c>
      <c r="DI27" s="149" t="str">
        <f>IF($B27=0,"",($O27/30)*'MF Rents'!DK27*'MF Rollover'!DH27)</f>
        <v/>
      </c>
      <c r="DJ27" s="149" t="str">
        <f>IF($B27=0,"",($O27/30)*'MF Rents'!DL27*'MF Rollover'!DI27)</f>
        <v/>
      </c>
      <c r="DK27" s="149" t="str">
        <f>IF($B27=0,"",($O27/30)*'MF Rents'!DM27*'MF Rollover'!DJ27)</f>
        <v/>
      </c>
      <c r="DL27" s="149" t="str">
        <f>IF($B27=0,"",($O27/30)*'MF Rents'!DN27*'MF Rollover'!DK27)</f>
        <v/>
      </c>
      <c r="DM27" s="149" t="str">
        <f>IF($B27=0,"",($O27/30)*'MF Rents'!DO27*'MF Rollover'!DL27)</f>
        <v/>
      </c>
      <c r="DN27" s="149" t="str">
        <f>IF($B27=0,"",($O27/30)*'MF Rents'!DP27*'MF Rollover'!DM27)</f>
        <v/>
      </c>
      <c r="DO27" s="149" t="str">
        <f>IF($B27=0,"",($O27/30)*'MF Rents'!DQ27*'MF Rollover'!DN27)</f>
        <v/>
      </c>
      <c r="DP27" s="149" t="str">
        <f>IF($B27=0,"",($O27/30)*'MF Rents'!DR27*'MF Rollover'!DO27)</f>
        <v/>
      </c>
      <c r="DQ27" s="149" t="str">
        <f>IF($B27=0,"",($O27/30)*'MF Rents'!DS27*'MF Rollover'!DP27)</f>
        <v/>
      </c>
      <c r="DR27" s="149" t="str">
        <f>IF($B27=0,"",($O27/30)*'MF Rents'!DT27*'MF Rollover'!DQ27)</f>
        <v/>
      </c>
      <c r="DS27" s="149" t="str">
        <f>IF($B27=0,"",($O27/30)*'MF Rents'!DU27*'MF Rollover'!DR27)</f>
        <v/>
      </c>
      <c r="DT27" s="149" t="str">
        <f>IF($B27=0,"",($O27/30)*'MF Rents'!DV27*'MF Rollover'!DS27)</f>
        <v/>
      </c>
      <c r="DU27" s="149" t="str">
        <f>IF($B27=0,"",($O27/30)*'MF Rents'!DW27*'MF Rollover'!DT27)</f>
        <v/>
      </c>
      <c r="DV27" s="149" t="str">
        <f>IF($B27=0,"",($O27/30)*'MF Rents'!DX27*'MF Rollover'!DU27)</f>
        <v/>
      </c>
      <c r="DW27" s="149" t="str">
        <f>IF($B27=0,"",($O27/30)*'MF Rents'!DY27*'MF Rollover'!DV27)</f>
        <v/>
      </c>
      <c r="DX27" s="149" t="str">
        <f>IF($B27=0,"",($O27/30)*'MF Rents'!DZ27*'MF Rollover'!DW27)</f>
        <v/>
      </c>
      <c r="DY27" s="149" t="str">
        <f>IF($B27=0,"",($O27/30)*'MF Rents'!EA27*'MF Rollover'!DX27)</f>
        <v/>
      </c>
      <c r="DZ27" s="149" t="str">
        <f>IF($B27=0,"",($O27/30)*'MF Rents'!EB27*'MF Rollover'!DY27)</f>
        <v/>
      </c>
      <c r="EA27" s="149" t="str">
        <f>IF($B27=0,"",($O27/30)*'MF Rents'!EC27*'MF Rollover'!DZ27)</f>
        <v/>
      </c>
      <c r="EB27" s="149" t="str">
        <f>IF($B27=0,"",($O27/30)*'MF Rents'!ED27*'MF Rollover'!EA27)</f>
        <v/>
      </c>
      <c r="EC27" s="149" t="str">
        <f>IF($B27=0,"",($O27/30)*'MF Rents'!EE27*'MF Rollover'!EB27)</f>
        <v/>
      </c>
      <c r="ED27" s="149" t="str">
        <f>IF($B27=0,"",($O27/30)*'MF Rents'!EF27*'MF Rollover'!EC27)</f>
        <v/>
      </c>
      <c r="EE27" s="149" t="str">
        <f>IF($B27=0,"",($O27/30)*'MF Rents'!EG27*'MF Rollover'!ED27)</f>
        <v/>
      </c>
      <c r="EF27" s="149" t="str">
        <f>IF($B27=0,"",($O27/30)*'MF Rents'!EH27*'MF Rollover'!EE27)</f>
        <v/>
      </c>
      <c r="EG27" s="149" t="str">
        <f>IF($B27=0,"",($O27/30)*'MF Rents'!EI27*'MF Rollover'!EF27)</f>
        <v/>
      </c>
      <c r="EH27" s="149" t="str">
        <f>IF($B27=0,"",($O27/30)*'MF Rents'!EJ27*'MF Rollover'!EG27)</f>
        <v/>
      </c>
      <c r="EI27" s="149" t="str">
        <f>IF($B27=0,"",($O27/30)*'MF Rents'!EK27*'MF Rollover'!EH27)</f>
        <v/>
      </c>
      <c r="EJ27" s="149" t="str">
        <f>IF($B27=0,"",($O27/30)*'MF Rents'!EL27*'MF Rollover'!EI27)</f>
        <v/>
      </c>
      <c r="EK27" s="149" t="str">
        <f>IF($B27=0,"",($O27/30)*'MF Rents'!EM27*'MF Rollover'!EJ27)</f>
        <v/>
      </c>
      <c r="EL27" s="149" t="str">
        <f>IF($B27=0,"",($O27/30)*'MF Rents'!EN27*'MF Rollover'!EK27)</f>
        <v/>
      </c>
      <c r="EM27" s="149" t="str">
        <f>IF($B27=0,"",($O27/30)*'MF Rents'!EO27*'MF Rollover'!EL27)</f>
        <v/>
      </c>
      <c r="EN27" s="149" t="str">
        <f>IF($B27=0,"",($O27/30)*'MF Rents'!EP27*'MF Rollover'!EM27)</f>
        <v/>
      </c>
      <c r="EO27" s="149" t="str">
        <f>IF($B27=0,"",($O27/30)*'MF Rents'!EQ27*'MF Rollover'!EN27)</f>
        <v/>
      </c>
      <c r="EP27" s="149" t="str">
        <f>IF($B27=0,"",($O27/30)*'MF Rents'!ER27*'MF Rollover'!EO27)</f>
        <v/>
      </c>
      <c r="EQ27" s="149" t="str">
        <f>IF($B27=0,"",($O27/30)*'MF Rents'!ES27*'MF Rollover'!EP27)</f>
        <v/>
      </c>
      <c r="ER27" s="149" t="str">
        <f>IF($B27=0,"",($O27/30)*'MF Rents'!ET27*'MF Rollover'!EQ27)</f>
        <v/>
      </c>
      <c r="ES27" s="149" t="str">
        <f>IF($B27=0,"",($O27/30)*'MF Rents'!EU27*'MF Rollover'!ER27)</f>
        <v/>
      </c>
      <c r="ET27" s="149" t="str">
        <f>IF($B27=0,"",($O27/30)*'MF Rents'!EV27*'MF Rollover'!ES27)</f>
        <v/>
      </c>
      <c r="EU27" s="149" t="str">
        <f>IF($B27=0,"",($O27/30)*'MF Rents'!EW27*'MF Rollover'!ET27)</f>
        <v/>
      </c>
      <c r="EV27" s="149" t="str">
        <f>IF($B27=0,"",($O27/30)*'MF Rents'!EX27*'MF Rollover'!EU27)</f>
        <v/>
      </c>
      <c r="EW27" s="149" t="str">
        <f>IF($B27=0,"",($O27/30)*'MF Rents'!EY27*'MF Rollover'!EV27)</f>
        <v/>
      </c>
      <c r="EX27" s="149" t="str">
        <f>IF($B27=0,"",($O27/30)*'MF Rents'!EZ27*'MF Rollover'!EW27)</f>
        <v/>
      </c>
      <c r="EY27" s="149" t="str">
        <f>IF($B27=0,"",($O27/30)*'MF Rents'!FA27*'MF Rollover'!EX27)</f>
        <v/>
      </c>
      <c r="EZ27" s="149" t="str">
        <f>IF($B27=0,"",($O27/30)*'MF Rents'!FB27*'MF Rollover'!EY27)</f>
        <v/>
      </c>
      <c r="FA27" s="149" t="str">
        <f>IF($B27=0,"",($O27/30)*'MF Rents'!FC27*'MF Rollover'!EZ27)</f>
        <v/>
      </c>
      <c r="FB27" s="149" t="str">
        <f>IF($B27=0,"",($O27/30)*'MF Rents'!FD27*'MF Rollover'!FA27)</f>
        <v/>
      </c>
      <c r="FC27" s="149" t="str">
        <f>IF($B27=0,"",($O27/30)*'MF Rents'!FE27*'MF Rollover'!FB27)</f>
        <v/>
      </c>
      <c r="FD27" s="149" t="str">
        <f>IF($B27=0,"",($O27/30)*'MF Rents'!FF27*'MF Rollover'!FC27)</f>
        <v/>
      </c>
      <c r="FE27" s="149" t="str">
        <f>IF($B27=0,"",($O27/30)*'MF Rents'!FG27*'MF Rollover'!FD27)</f>
        <v/>
      </c>
      <c r="FF27" s="149" t="str">
        <f>IF($B27=0,"",($O27/30)*'MF Rents'!FH27*'MF Rollover'!FE27)</f>
        <v/>
      </c>
      <c r="FG27" s="149" t="str">
        <f>IF($B27=0,"",($O27/30)*'MF Rents'!FI27*'MF Rollover'!FF27)</f>
        <v/>
      </c>
      <c r="FH27" s="149" t="str">
        <f>IF($B27=0,"",($O27/30)*'MF Rents'!FJ27*'MF Rollover'!FG27)</f>
        <v/>
      </c>
      <c r="FI27" s="149" t="str">
        <f>IF($B27=0,"",($O27/30)*'MF Rents'!FK27*'MF Rollover'!FH27)</f>
        <v/>
      </c>
      <c r="FJ27" s="149" t="str">
        <f>IF($B27=0,"",($O27/30)*'MF Rents'!FL27*'MF Rollover'!FI27)</f>
        <v/>
      </c>
      <c r="FK27" s="149" t="str">
        <f>IF($B27=0,"",($O27/30)*'MF Rents'!FM27*'MF Rollover'!FJ27)</f>
        <v/>
      </c>
      <c r="FL27" s="149" t="str">
        <f>IF($B27=0,"",($O27/30)*'MF Rents'!FN27*'MF Rollover'!FK27)</f>
        <v/>
      </c>
      <c r="FM27" s="149" t="str">
        <f>IF($B27=0,"",($O27/30)*'MF Rents'!FO27*'MF Rollover'!FL27)</f>
        <v/>
      </c>
      <c r="FN27" s="149" t="str">
        <f>IF($B27=0,"",($O27/30)*'MF Rents'!FP27*'MF Rollover'!FM27)</f>
        <v/>
      </c>
      <c r="FO27" s="149" t="str">
        <f>IF($B27=0,"",($O27/30)*'MF Rents'!FQ27*'MF Rollover'!FN27)</f>
        <v/>
      </c>
      <c r="FP27" s="149" t="str">
        <f>IF($B27=0,"",($O27/30)*'MF Rents'!FR27*'MF Rollover'!FO27)</f>
        <v/>
      </c>
      <c r="FQ27" s="149" t="str">
        <f>IF($B27=0,"",($O27/30)*'MF Rents'!FS27*'MF Rollover'!FP27)</f>
        <v/>
      </c>
      <c r="FR27" s="149" t="str">
        <f>IF($B27=0,"",($O27/30)*'MF Rents'!FT27*'MF Rollover'!FQ27)</f>
        <v/>
      </c>
      <c r="FS27" s="149" t="str">
        <f>IF($B27=0,"",($O27/30)*'MF Rents'!FU27*'MF Rollover'!FR27)</f>
        <v/>
      </c>
      <c r="FT27" s="149" t="str">
        <f>IF($B27=0,"",($O27/30)*'MF Rents'!FV27*'MF Rollover'!FS27)</f>
        <v/>
      </c>
      <c r="FU27" s="149" t="str">
        <f>IF($B27=0,"",($O27/30)*'MF Rents'!FW27*'MF Rollover'!FT27)</f>
        <v/>
      </c>
      <c r="FV27" s="149" t="str">
        <f>IF($B27=0,"",($O27/30)*'MF Rents'!FX27*'MF Rollover'!FU27)</f>
        <v/>
      </c>
      <c r="FW27" s="149" t="str">
        <f>IF($B27=0,"",($O27/30)*'MF Rents'!FY27*'MF Rollover'!FV27)</f>
        <v/>
      </c>
      <c r="FX27" s="149" t="str">
        <f>IF($B27=0,"",($O27/30)*'MF Rents'!FZ27*'MF Rollover'!FW27)</f>
        <v/>
      </c>
      <c r="FY27" s="149" t="str">
        <f>IF($B27=0,"",($O27/30)*'MF Rents'!GA27*'MF Rollover'!FX27)</f>
        <v/>
      </c>
      <c r="FZ27" s="149" t="str">
        <f>IF($B27=0,"",($O27/30)*'MF Rents'!GB27*'MF Rollover'!FY27)</f>
        <v/>
      </c>
      <c r="GA27" s="149" t="str">
        <f>IF($B27=0,"",($O27/30)*'MF Rents'!GC27*'MF Rollover'!FZ27)</f>
        <v/>
      </c>
      <c r="GB27" s="149" t="str">
        <f>IF($B27=0,"",($O27/30)*'MF Rents'!GD27*'MF Rollover'!GA27)</f>
        <v/>
      </c>
      <c r="GC27" s="149" t="str">
        <f>IF($B27=0,"",($O27/30)*'MF Rents'!GE27*'MF Rollover'!GB27)</f>
        <v/>
      </c>
      <c r="GD27" s="149" t="str">
        <f>IF($B27=0,"",($O27/30)*'MF Rents'!GF27*'MF Rollover'!GC27)</f>
        <v/>
      </c>
      <c r="GE27" s="149" t="str">
        <f>IF($B27=0,"",($O27/30)*'MF Rents'!GG27*'MF Rollover'!GD27)</f>
        <v/>
      </c>
      <c r="GF27" s="149" t="str">
        <f>IF($B27=0,"",($O27/30)*'MF Rents'!GH27*'MF Rollover'!GE27)</f>
        <v/>
      </c>
      <c r="GG27" s="149" t="str">
        <f>IF($B27=0,"",($O27/30)*'MF Rents'!GI27*'MF Rollover'!GF27)</f>
        <v/>
      </c>
      <c r="GH27" s="149" t="str">
        <f>IF($B27=0,"",($O27/30)*'MF Rents'!GJ27*'MF Rollover'!GG27)</f>
        <v/>
      </c>
      <c r="GI27" s="149" t="str">
        <f>IF($B27=0,"",($O27/30)*'MF Rents'!GK27*'MF Rollover'!GH27)</f>
        <v/>
      </c>
      <c r="GJ27" s="149" t="str">
        <f>IF($B27=0,"",($O27/30)*'MF Rents'!GL27*'MF Rollover'!GI27)</f>
        <v/>
      </c>
      <c r="GK27" s="149" t="str">
        <f>IF($B27=0,"",($O27/30)*'MF Rents'!GM27*'MF Rollover'!GJ27)</f>
        <v/>
      </c>
      <c r="GL27" s="149" t="str">
        <f>IF($B27=0,"",($O27/30)*'MF Rents'!GN27*'MF Rollover'!GK27)</f>
        <v/>
      </c>
      <c r="GM27" s="149" t="str">
        <f>IF($B27=0,"",($O27/30)*'MF Rents'!GO27*'MF Rollover'!GL27)</f>
        <v/>
      </c>
      <c r="GN27" s="149" t="str">
        <f>IF($B27=0,"",($O27/30)*'MF Rents'!GP27*'MF Rollover'!GM27)</f>
        <v/>
      </c>
      <c r="GO27" s="149" t="str">
        <f>IF($B27=0,"",($O27/30)*'MF Rents'!GQ27*'MF Rollover'!GN27)</f>
        <v/>
      </c>
      <c r="GP27" s="149" t="str">
        <f>IF($B27=0,"",($O27/30)*'MF Rents'!GR27*'MF Rollover'!GO27)</f>
        <v/>
      </c>
    </row>
    <row r="28" spans="2:198" x14ac:dyDescent="0.3">
      <c r="B28" s="184">
        <f>'MF Rent Roll'!B27</f>
        <v>0</v>
      </c>
      <c r="C28" s="171">
        <f>'MF Rent Roll'!C27</f>
        <v>0</v>
      </c>
      <c r="D28" s="172">
        <f>'MF Rent Roll'!D27</f>
        <v>0</v>
      </c>
      <c r="E28" s="172">
        <f>'MF Rent Roll'!E27</f>
        <v>0</v>
      </c>
      <c r="F28" s="173">
        <f>'MF Rent Roll'!F27</f>
        <v>0</v>
      </c>
      <c r="G28" s="174">
        <f>'MF Rent Roll'!G27</f>
        <v>0</v>
      </c>
      <c r="H28" s="176">
        <f>'MF Rent Roll'!J27</f>
        <v>0</v>
      </c>
      <c r="I28" s="174">
        <f>'MF Rent Roll'!K27</f>
        <v>0</v>
      </c>
      <c r="J28" s="177">
        <f>'MF Rent Roll'!L27</f>
        <v>0</v>
      </c>
      <c r="K28" s="178">
        <f>'MF Rent Roll'!M27</f>
        <v>0</v>
      </c>
      <c r="L28" s="174">
        <f>'MF Rent Roll'!N27</f>
        <v>0</v>
      </c>
      <c r="M28" s="179">
        <f>'MF Rent Roll'!O27</f>
        <v>0</v>
      </c>
      <c r="N28" s="180" t="str">
        <f>'MF Rent Roll'!P27</f>
        <v/>
      </c>
      <c r="O28" s="181" t="str">
        <f>'MF Rent Roll'!Q27</f>
        <v/>
      </c>
      <c r="P28" s="104" t="str">
        <f>'MF Rent Roll'!R27</f>
        <v/>
      </c>
      <c r="S28" s="149" t="str">
        <f>IF($B28=0,"",($O28/30)*'MF Rents'!U28*'MF Rollover'!R28)</f>
        <v/>
      </c>
      <c r="T28" s="149" t="str">
        <f>IF($B28=0,"",($O28/30)*'MF Rents'!V28*'MF Rollover'!S28)</f>
        <v/>
      </c>
      <c r="U28" s="149" t="str">
        <f>IF($B28=0,"",($O28/30)*'MF Rents'!W28*'MF Rollover'!T28)</f>
        <v/>
      </c>
      <c r="V28" s="149" t="str">
        <f>IF($B28=0,"",($O28/30)*'MF Rents'!X28*'MF Rollover'!U28)</f>
        <v/>
      </c>
      <c r="W28" s="149" t="str">
        <f>IF($B28=0,"",($O28/30)*'MF Rents'!Y28*'MF Rollover'!V28)</f>
        <v/>
      </c>
      <c r="X28" s="149" t="str">
        <f>IF($B28=0,"",($O28/30)*'MF Rents'!Z28*'MF Rollover'!W28)</f>
        <v/>
      </c>
      <c r="Y28" s="149" t="str">
        <f>IF($B28=0,"",($O28/30)*'MF Rents'!AA28*'MF Rollover'!X28)</f>
        <v/>
      </c>
      <c r="Z28" s="149" t="str">
        <f>IF($B28=0,"",($O28/30)*'MF Rents'!AB28*'MF Rollover'!Y28)</f>
        <v/>
      </c>
      <c r="AA28" s="149" t="str">
        <f>IF($B28=0,"",($O28/30)*'MF Rents'!AC28*'MF Rollover'!Z28)</f>
        <v/>
      </c>
      <c r="AB28" s="149" t="str">
        <f>IF($B28=0,"",($O28/30)*'MF Rents'!AD28*'MF Rollover'!AA28)</f>
        <v/>
      </c>
      <c r="AC28" s="149" t="str">
        <f>IF($B28=0,"",($O28/30)*'MF Rents'!AE28*'MF Rollover'!AB28)</f>
        <v/>
      </c>
      <c r="AD28" s="149" t="str">
        <f>IF($B28=0,"",($O28/30)*'MF Rents'!AF28*'MF Rollover'!AC28)</f>
        <v/>
      </c>
      <c r="AE28" s="149" t="str">
        <f>IF($B28=0,"",($O28/30)*'MF Rents'!AG28*'MF Rollover'!AD28)</f>
        <v/>
      </c>
      <c r="AF28" s="149" t="str">
        <f>IF($B28=0,"",($O28/30)*'MF Rents'!AH28*'MF Rollover'!AE28)</f>
        <v/>
      </c>
      <c r="AG28" s="149" t="str">
        <f>IF($B28=0,"",($O28/30)*'MF Rents'!AI28*'MF Rollover'!AF28)</f>
        <v/>
      </c>
      <c r="AH28" s="149" t="str">
        <f>IF($B28=0,"",($O28/30)*'MF Rents'!AJ28*'MF Rollover'!AG28)</f>
        <v/>
      </c>
      <c r="AI28" s="149" t="str">
        <f>IF($B28=0,"",($O28/30)*'MF Rents'!AK28*'MF Rollover'!AH28)</f>
        <v/>
      </c>
      <c r="AJ28" s="149" t="str">
        <f>IF($B28=0,"",($O28/30)*'MF Rents'!AL28*'MF Rollover'!AI28)</f>
        <v/>
      </c>
      <c r="AK28" s="149" t="str">
        <f>IF($B28=0,"",($O28/30)*'MF Rents'!AM28*'MF Rollover'!AJ28)</f>
        <v/>
      </c>
      <c r="AL28" s="149" t="str">
        <f>IF($B28=0,"",($O28/30)*'MF Rents'!AN28*'MF Rollover'!AK28)</f>
        <v/>
      </c>
      <c r="AM28" s="149" t="str">
        <f>IF($B28=0,"",($O28/30)*'MF Rents'!AO28*'MF Rollover'!AL28)</f>
        <v/>
      </c>
      <c r="AN28" s="149" t="str">
        <f>IF($B28=0,"",($O28/30)*'MF Rents'!AP28*'MF Rollover'!AM28)</f>
        <v/>
      </c>
      <c r="AO28" s="149" t="str">
        <f>IF($B28=0,"",($O28/30)*'MF Rents'!AQ28*'MF Rollover'!AN28)</f>
        <v/>
      </c>
      <c r="AP28" s="149" t="str">
        <f>IF($B28=0,"",($O28/30)*'MF Rents'!AR28*'MF Rollover'!AO28)</f>
        <v/>
      </c>
      <c r="AQ28" s="149" t="str">
        <f>IF($B28=0,"",($O28/30)*'MF Rents'!AS28*'MF Rollover'!AP28)</f>
        <v/>
      </c>
      <c r="AR28" s="149" t="str">
        <f>IF($B28=0,"",($O28/30)*'MF Rents'!AT28*'MF Rollover'!AQ28)</f>
        <v/>
      </c>
      <c r="AS28" s="149" t="str">
        <f>IF($B28=0,"",($O28/30)*'MF Rents'!AU28*'MF Rollover'!AR28)</f>
        <v/>
      </c>
      <c r="AT28" s="149" t="str">
        <f>IF($B28=0,"",($O28/30)*'MF Rents'!AV28*'MF Rollover'!AS28)</f>
        <v/>
      </c>
      <c r="AU28" s="149" t="str">
        <f>IF($B28=0,"",($O28/30)*'MF Rents'!AW28*'MF Rollover'!AT28)</f>
        <v/>
      </c>
      <c r="AV28" s="149" t="str">
        <f>IF($B28=0,"",($O28/30)*'MF Rents'!AX28*'MF Rollover'!AU28)</f>
        <v/>
      </c>
      <c r="AW28" s="149" t="str">
        <f>IF($B28=0,"",($O28/30)*'MF Rents'!AY28*'MF Rollover'!AV28)</f>
        <v/>
      </c>
      <c r="AX28" s="149" t="str">
        <f>IF($B28=0,"",($O28/30)*'MF Rents'!AZ28*'MF Rollover'!AW28)</f>
        <v/>
      </c>
      <c r="AY28" s="149" t="str">
        <f>IF($B28=0,"",($O28/30)*'MF Rents'!BA28*'MF Rollover'!AX28)</f>
        <v/>
      </c>
      <c r="AZ28" s="149" t="str">
        <f>IF($B28=0,"",($O28/30)*'MF Rents'!BB28*'MF Rollover'!AY28)</f>
        <v/>
      </c>
      <c r="BA28" s="149" t="str">
        <f>IF($B28=0,"",($O28/30)*'MF Rents'!BC28*'MF Rollover'!AZ28)</f>
        <v/>
      </c>
      <c r="BB28" s="149" t="str">
        <f>IF($B28=0,"",($O28/30)*'MF Rents'!BD28*'MF Rollover'!BA28)</f>
        <v/>
      </c>
      <c r="BC28" s="149" t="str">
        <f>IF($B28=0,"",($O28/30)*'MF Rents'!BE28*'MF Rollover'!BB28)</f>
        <v/>
      </c>
      <c r="BD28" s="149" t="str">
        <f>IF($B28=0,"",($O28/30)*'MF Rents'!BF28*'MF Rollover'!BC28)</f>
        <v/>
      </c>
      <c r="BE28" s="149" t="str">
        <f>IF($B28=0,"",($O28/30)*'MF Rents'!BG28*'MF Rollover'!BD28)</f>
        <v/>
      </c>
      <c r="BF28" s="149" t="str">
        <f>IF($B28=0,"",($O28/30)*'MF Rents'!BH28*'MF Rollover'!BE28)</f>
        <v/>
      </c>
      <c r="BG28" s="149" t="str">
        <f>IF($B28=0,"",($O28/30)*'MF Rents'!BI28*'MF Rollover'!BF28)</f>
        <v/>
      </c>
      <c r="BH28" s="149" t="str">
        <f>IF($B28=0,"",($O28/30)*'MF Rents'!BJ28*'MF Rollover'!BG28)</f>
        <v/>
      </c>
      <c r="BI28" s="149" t="str">
        <f>IF($B28=0,"",($O28/30)*'MF Rents'!BK28*'MF Rollover'!BH28)</f>
        <v/>
      </c>
      <c r="BJ28" s="149" t="str">
        <f>IF($B28=0,"",($O28/30)*'MF Rents'!BL28*'MF Rollover'!BI28)</f>
        <v/>
      </c>
      <c r="BK28" s="149" t="str">
        <f>IF($B28=0,"",($O28/30)*'MF Rents'!BM28*'MF Rollover'!BJ28)</f>
        <v/>
      </c>
      <c r="BL28" s="149" t="str">
        <f>IF($B28=0,"",($O28/30)*'MF Rents'!BN28*'MF Rollover'!BK28)</f>
        <v/>
      </c>
      <c r="BM28" s="149" t="str">
        <f>IF($B28=0,"",($O28/30)*'MF Rents'!BO28*'MF Rollover'!BL28)</f>
        <v/>
      </c>
      <c r="BN28" s="149" t="str">
        <f>IF($B28=0,"",($O28/30)*'MF Rents'!BP28*'MF Rollover'!BM28)</f>
        <v/>
      </c>
      <c r="BO28" s="149" t="str">
        <f>IF($B28=0,"",($O28/30)*'MF Rents'!BQ28*'MF Rollover'!BN28)</f>
        <v/>
      </c>
      <c r="BP28" s="149" t="str">
        <f>IF($B28=0,"",($O28/30)*'MF Rents'!BR28*'MF Rollover'!BO28)</f>
        <v/>
      </c>
      <c r="BQ28" s="149" t="str">
        <f>IF($B28=0,"",($O28/30)*'MF Rents'!BS28*'MF Rollover'!BP28)</f>
        <v/>
      </c>
      <c r="BR28" s="149" t="str">
        <f>IF($B28=0,"",($O28/30)*'MF Rents'!BT28*'MF Rollover'!BQ28)</f>
        <v/>
      </c>
      <c r="BS28" s="149" t="str">
        <f>IF($B28=0,"",($O28/30)*'MF Rents'!BU28*'MF Rollover'!BR28)</f>
        <v/>
      </c>
      <c r="BT28" s="149" t="str">
        <f>IF($B28=0,"",($O28/30)*'MF Rents'!BV28*'MF Rollover'!BS28)</f>
        <v/>
      </c>
      <c r="BU28" s="149" t="str">
        <f>IF($B28=0,"",($O28/30)*'MF Rents'!BW28*'MF Rollover'!BT28)</f>
        <v/>
      </c>
      <c r="BV28" s="149" t="str">
        <f>IF($B28=0,"",($O28/30)*'MF Rents'!BX28*'MF Rollover'!BU28)</f>
        <v/>
      </c>
      <c r="BW28" s="149" t="str">
        <f>IF($B28=0,"",($O28/30)*'MF Rents'!BY28*'MF Rollover'!BV28)</f>
        <v/>
      </c>
      <c r="BX28" s="149" t="str">
        <f>IF($B28=0,"",($O28/30)*'MF Rents'!BZ28*'MF Rollover'!BW28)</f>
        <v/>
      </c>
      <c r="BY28" s="149" t="str">
        <f>IF($B28=0,"",($O28/30)*'MF Rents'!CA28*'MF Rollover'!BX28)</f>
        <v/>
      </c>
      <c r="BZ28" s="149" t="str">
        <f>IF($B28=0,"",($O28/30)*'MF Rents'!CB28*'MF Rollover'!BY28)</f>
        <v/>
      </c>
      <c r="CA28" s="149" t="str">
        <f>IF($B28=0,"",($O28/30)*'MF Rents'!CC28*'MF Rollover'!BZ28)</f>
        <v/>
      </c>
      <c r="CB28" s="149" t="str">
        <f>IF($B28=0,"",($O28/30)*'MF Rents'!CD28*'MF Rollover'!CA28)</f>
        <v/>
      </c>
      <c r="CC28" s="149" t="str">
        <f>IF($B28=0,"",($O28/30)*'MF Rents'!CE28*'MF Rollover'!CB28)</f>
        <v/>
      </c>
      <c r="CD28" s="149" t="str">
        <f>IF($B28=0,"",($O28/30)*'MF Rents'!CF28*'MF Rollover'!CC28)</f>
        <v/>
      </c>
      <c r="CE28" s="149" t="str">
        <f>IF($B28=0,"",($O28/30)*'MF Rents'!CG28*'MF Rollover'!CD28)</f>
        <v/>
      </c>
      <c r="CF28" s="149" t="str">
        <f>IF($B28=0,"",($O28/30)*'MF Rents'!CH28*'MF Rollover'!CE28)</f>
        <v/>
      </c>
      <c r="CG28" s="149" t="str">
        <f>IF($B28=0,"",($O28/30)*'MF Rents'!CI28*'MF Rollover'!CF28)</f>
        <v/>
      </c>
      <c r="CH28" s="149" t="str">
        <f>IF($B28=0,"",($O28/30)*'MF Rents'!CJ28*'MF Rollover'!CG28)</f>
        <v/>
      </c>
      <c r="CI28" s="149" t="str">
        <f>IF($B28=0,"",($O28/30)*'MF Rents'!CK28*'MF Rollover'!CH28)</f>
        <v/>
      </c>
      <c r="CJ28" s="149" t="str">
        <f>IF($B28=0,"",($O28/30)*'MF Rents'!CL28*'MF Rollover'!CI28)</f>
        <v/>
      </c>
      <c r="CK28" s="149" t="str">
        <f>IF($B28=0,"",($O28/30)*'MF Rents'!CM28*'MF Rollover'!CJ28)</f>
        <v/>
      </c>
      <c r="CL28" s="149" t="str">
        <f>IF($B28=0,"",($O28/30)*'MF Rents'!CN28*'MF Rollover'!CK28)</f>
        <v/>
      </c>
      <c r="CM28" s="149" t="str">
        <f>IF($B28=0,"",($O28/30)*'MF Rents'!CO28*'MF Rollover'!CL28)</f>
        <v/>
      </c>
      <c r="CN28" s="149" t="str">
        <f>IF($B28=0,"",($O28/30)*'MF Rents'!CP28*'MF Rollover'!CM28)</f>
        <v/>
      </c>
      <c r="CO28" s="149" t="str">
        <f>IF($B28=0,"",($O28/30)*'MF Rents'!CQ28*'MF Rollover'!CN28)</f>
        <v/>
      </c>
      <c r="CP28" s="149" t="str">
        <f>IF($B28=0,"",($O28/30)*'MF Rents'!CR28*'MF Rollover'!CO28)</f>
        <v/>
      </c>
      <c r="CQ28" s="149" t="str">
        <f>IF($B28=0,"",($O28/30)*'MF Rents'!CS28*'MF Rollover'!CP28)</f>
        <v/>
      </c>
      <c r="CR28" s="149" t="str">
        <f>IF($B28=0,"",($O28/30)*'MF Rents'!CT28*'MF Rollover'!CQ28)</f>
        <v/>
      </c>
      <c r="CS28" s="149" t="str">
        <f>IF($B28=0,"",($O28/30)*'MF Rents'!CU28*'MF Rollover'!CR28)</f>
        <v/>
      </c>
      <c r="CT28" s="149" t="str">
        <f>IF($B28=0,"",($O28/30)*'MF Rents'!CV28*'MF Rollover'!CS28)</f>
        <v/>
      </c>
      <c r="CU28" s="149" t="str">
        <f>IF($B28=0,"",($O28/30)*'MF Rents'!CW28*'MF Rollover'!CT28)</f>
        <v/>
      </c>
      <c r="CV28" s="149" t="str">
        <f>IF($B28=0,"",($O28/30)*'MF Rents'!CX28*'MF Rollover'!CU28)</f>
        <v/>
      </c>
      <c r="CW28" s="149" t="str">
        <f>IF($B28=0,"",($O28/30)*'MF Rents'!CY28*'MF Rollover'!CV28)</f>
        <v/>
      </c>
      <c r="CX28" s="149" t="str">
        <f>IF($B28=0,"",($O28/30)*'MF Rents'!CZ28*'MF Rollover'!CW28)</f>
        <v/>
      </c>
      <c r="CY28" s="149" t="str">
        <f>IF($B28=0,"",($O28/30)*'MF Rents'!DA28*'MF Rollover'!CX28)</f>
        <v/>
      </c>
      <c r="CZ28" s="149" t="str">
        <f>IF($B28=0,"",($O28/30)*'MF Rents'!DB28*'MF Rollover'!CY28)</f>
        <v/>
      </c>
      <c r="DA28" s="149" t="str">
        <f>IF($B28=0,"",($O28/30)*'MF Rents'!DC28*'MF Rollover'!CZ28)</f>
        <v/>
      </c>
      <c r="DB28" s="149" t="str">
        <f>IF($B28=0,"",($O28/30)*'MF Rents'!DD28*'MF Rollover'!DA28)</f>
        <v/>
      </c>
      <c r="DC28" s="149" t="str">
        <f>IF($B28=0,"",($O28/30)*'MF Rents'!DE28*'MF Rollover'!DB28)</f>
        <v/>
      </c>
      <c r="DD28" s="149" t="str">
        <f>IF($B28=0,"",($O28/30)*'MF Rents'!DF28*'MF Rollover'!DC28)</f>
        <v/>
      </c>
      <c r="DE28" s="149" t="str">
        <f>IF($B28=0,"",($O28/30)*'MF Rents'!DG28*'MF Rollover'!DD28)</f>
        <v/>
      </c>
      <c r="DF28" s="149" t="str">
        <f>IF($B28=0,"",($O28/30)*'MF Rents'!DH28*'MF Rollover'!DE28)</f>
        <v/>
      </c>
      <c r="DG28" s="149" t="str">
        <f>IF($B28=0,"",($O28/30)*'MF Rents'!DI28*'MF Rollover'!DF28)</f>
        <v/>
      </c>
      <c r="DH28" s="149" t="str">
        <f>IF($B28=0,"",($O28/30)*'MF Rents'!DJ28*'MF Rollover'!DG28)</f>
        <v/>
      </c>
      <c r="DI28" s="149" t="str">
        <f>IF($B28=0,"",($O28/30)*'MF Rents'!DK28*'MF Rollover'!DH28)</f>
        <v/>
      </c>
      <c r="DJ28" s="149" t="str">
        <f>IF($B28=0,"",($O28/30)*'MF Rents'!DL28*'MF Rollover'!DI28)</f>
        <v/>
      </c>
      <c r="DK28" s="149" t="str">
        <f>IF($B28=0,"",($O28/30)*'MF Rents'!DM28*'MF Rollover'!DJ28)</f>
        <v/>
      </c>
      <c r="DL28" s="149" t="str">
        <f>IF($B28=0,"",($O28/30)*'MF Rents'!DN28*'MF Rollover'!DK28)</f>
        <v/>
      </c>
      <c r="DM28" s="149" t="str">
        <f>IF($B28=0,"",($O28/30)*'MF Rents'!DO28*'MF Rollover'!DL28)</f>
        <v/>
      </c>
      <c r="DN28" s="149" t="str">
        <f>IF($B28=0,"",($O28/30)*'MF Rents'!DP28*'MF Rollover'!DM28)</f>
        <v/>
      </c>
      <c r="DO28" s="149" t="str">
        <f>IF($B28=0,"",($O28/30)*'MF Rents'!DQ28*'MF Rollover'!DN28)</f>
        <v/>
      </c>
      <c r="DP28" s="149" t="str">
        <f>IF($B28=0,"",($O28/30)*'MF Rents'!DR28*'MF Rollover'!DO28)</f>
        <v/>
      </c>
      <c r="DQ28" s="149" t="str">
        <f>IF($B28=0,"",($O28/30)*'MF Rents'!DS28*'MF Rollover'!DP28)</f>
        <v/>
      </c>
      <c r="DR28" s="149" t="str">
        <f>IF($B28=0,"",($O28/30)*'MF Rents'!DT28*'MF Rollover'!DQ28)</f>
        <v/>
      </c>
      <c r="DS28" s="149" t="str">
        <f>IF($B28=0,"",($O28/30)*'MF Rents'!DU28*'MF Rollover'!DR28)</f>
        <v/>
      </c>
      <c r="DT28" s="149" t="str">
        <f>IF($B28=0,"",($O28/30)*'MF Rents'!DV28*'MF Rollover'!DS28)</f>
        <v/>
      </c>
      <c r="DU28" s="149" t="str">
        <f>IF($B28=0,"",($O28/30)*'MF Rents'!DW28*'MF Rollover'!DT28)</f>
        <v/>
      </c>
      <c r="DV28" s="149" t="str">
        <f>IF($B28=0,"",($O28/30)*'MF Rents'!DX28*'MF Rollover'!DU28)</f>
        <v/>
      </c>
      <c r="DW28" s="149" t="str">
        <f>IF($B28=0,"",($O28/30)*'MF Rents'!DY28*'MF Rollover'!DV28)</f>
        <v/>
      </c>
      <c r="DX28" s="149" t="str">
        <f>IF($B28=0,"",($O28/30)*'MF Rents'!DZ28*'MF Rollover'!DW28)</f>
        <v/>
      </c>
      <c r="DY28" s="149" t="str">
        <f>IF($B28=0,"",($O28/30)*'MF Rents'!EA28*'MF Rollover'!DX28)</f>
        <v/>
      </c>
      <c r="DZ28" s="149" t="str">
        <f>IF($B28=0,"",($O28/30)*'MF Rents'!EB28*'MF Rollover'!DY28)</f>
        <v/>
      </c>
      <c r="EA28" s="149" t="str">
        <f>IF($B28=0,"",($O28/30)*'MF Rents'!EC28*'MF Rollover'!DZ28)</f>
        <v/>
      </c>
      <c r="EB28" s="149" t="str">
        <f>IF($B28=0,"",($O28/30)*'MF Rents'!ED28*'MF Rollover'!EA28)</f>
        <v/>
      </c>
      <c r="EC28" s="149" t="str">
        <f>IF($B28=0,"",($O28/30)*'MF Rents'!EE28*'MF Rollover'!EB28)</f>
        <v/>
      </c>
      <c r="ED28" s="149" t="str">
        <f>IF($B28=0,"",($O28/30)*'MF Rents'!EF28*'MF Rollover'!EC28)</f>
        <v/>
      </c>
      <c r="EE28" s="149" t="str">
        <f>IF($B28=0,"",($O28/30)*'MF Rents'!EG28*'MF Rollover'!ED28)</f>
        <v/>
      </c>
      <c r="EF28" s="149" t="str">
        <f>IF($B28=0,"",($O28/30)*'MF Rents'!EH28*'MF Rollover'!EE28)</f>
        <v/>
      </c>
      <c r="EG28" s="149" t="str">
        <f>IF($B28=0,"",($O28/30)*'MF Rents'!EI28*'MF Rollover'!EF28)</f>
        <v/>
      </c>
      <c r="EH28" s="149" t="str">
        <f>IF($B28=0,"",($O28/30)*'MF Rents'!EJ28*'MF Rollover'!EG28)</f>
        <v/>
      </c>
      <c r="EI28" s="149" t="str">
        <f>IF($B28=0,"",($O28/30)*'MF Rents'!EK28*'MF Rollover'!EH28)</f>
        <v/>
      </c>
      <c r="EJ28" s="149" t="str">
        <f>IF($B28=0,"",($O28/30)*'MF Rents'!EL28*'MF Rollover'!EI28)</f>
        <v/>
      </c>
      <c r="EK28" s="149" t="str">
        <f>IF($B28=0,"",($O28/30)*'MF Rents'!EM28*'MF Rollover'!EJ28)</f>
        <v/>
      </c>
      <c r="EL28" s="149" t="str">
        <f>IF($B28=0,"",($O28/30)*'MF Rents'!EN28*'MF Rollover'!EK28)</f>
        <v/>
      </c>
      <c r="EM28" s="149" t="str">
        <f>IF($B28=0,"",($O28/30)*'MF Rents'!EO28*'MF Rollover'!EL28)</f>
        <v/>
      </c>
      <c r="EN28" s="149" t="str">
        <f>IF($B28=0,"",($O28/30)*'MF Rents'!EP28*'MF Rollover'!EM28)</f>
        <v/>
      </c>
      <c r="EO28" s="149" t="str">
        <f>IF($B28=0,"",($O28/30)*'MF Rents'!EQ28*'MF Rollover'!EN28)</f>
        <v/>
      </c>
      <c r="EP28" s="149" t="str">
        <f>IF($B28=0,"",($O28/30)*'MF Rents'!ER28*'MF Rollover'!EO28)</f>
        <v/>
      </c>
      <c r="EQ28" s="149" t="str">
        <f>IF($B28=0,"",($O28/30)*'MF Rents'!ES28*'MF Rollover'!EP28)</f>
        <v/>
      </c>
      <c r="ER28" s="149" t="str">
        <f>IF($B28=0,"",($O28/30)*'MF Rents'!ET28*'MF Rollover'!EQ28)</f>
        <v/>
      </c>
      <c r="ES28" s="149" t="str">
        <f>IF($B28=0,"",($O28/30)*'MF Rents'!EU28*'MF Rollover'!ER28)</f>
        <v/>
      </c>
      <c r="ET28" s="149" t="str">
        <f>IF($B28=0,"",($O28/30)*'MF Rents'!EV28*'MF Rollover'!ES28)</f>
        <v/>
      </c>
      <c r="EU28" s="149" t="str">
        <f>IF($B28=0,"",($O28/30)*'MF Rents'!EW28*'MF Rollover'!ET28)</f>
        <v/>
      </c>
      <c r="EV28" s="149" t="str">
        <f>IF($B28=0,"",($O28/30)*'MF Rents'!EX28*'MF Rollover'!EU28)</f>
        <v/>
      </c>
      <c r="EW28" s="149" t="str">
        <f>IF($B28=0,"",($O28/30)*'MF Rents'!EY28*'MF Rollover'!EV28)</f>
        <v/>
      </c>
      <c r="EX28" s="149" t="str">
        <f>IF($B28=0,"",($O28/30)*'MF Rents'!EZ28*'MF Rollover'!EW28)</f>
        <v/>
      </c>
      <c r="EY28" s="149" t="str">
        <f>IF($B28=0,"",($O28/30)*'MF Rents'!FA28*'MF Rollover'!EX28)</f>
        <v/>
      </c>
      <c r="EZ28" s="149" t="str">
        <f>IF($B28=0,"",($O28/30)*'MF Rents'!FB28*'MF Rollover'!EY28)</f>
        <v/>
      </c>
      <c r="FA28" s="149" t="str">
        <f>IF($B28=0,"",($O28/30)*'MF Rents'!FC28*'MF Rollover'!EZ28)</f>
        <v/>
      </c>
      <c r="FB28" s="149" t="str">
        <f>IF($B28=0,"",($O28/30)*'MF Rents'!FD28*'MF Rollover'!FA28)</f>
        <v/>
      </c>
      <c r="FC28" s="149" t="str">
        <f>IF($B28=0,"",($O28/30)*'MF Rents'!FE28*'MF Rollover'!FB28)</f>
        <v/>
      </c>
      <c r="FD28" s="149" t="str">
        <f>IF($B28=0,"",($O28/30)*'MF Rents'!FF28*'MF Rollover'!FC28)</f>
        <v/>
      </c>
      <c r="FE28" s="149" t="str">
        <f>IF($B28=0,"",($O28/30)*'MF Rents'!FG28*'MF Rollover'!FD28)</f>
        <v/>
      </c>
      <c r="FF28" s="149" t="str">
        <f>IF($B28=0,"",($O28/30)*'MF Rents'!FH28*'MF Rollover'!FE28)</f>
        <v/>
      </c>
      <c r="FG28" s="149" t="str">
        <f>IF($B28=0,"",($O28/30)*'MF Rents'!FI28*'MF Rollover'!FF28)</f>
        <v/>
      </c>
      <c r="FH28" s="149" t="str">
        <f>IF($B28=0,"",($O28/30)*'MF Rents'!FJ28*'MF Rollover'!FG28)</f>
        <v/>
      </c>
      <c r="FI28" s="149" t="str">
        <f>IF($B28=0,"",($O28/30)*'MF Rents'!FK28*'MF Rollover'!FH28)</f>
        <v/>
      </c>
      <c r="FJ28" s="149" t="str">
        <f>IF($B28=0,"",($O28/30)*'MF Rents'!FL28*'MF Rollover'!FI28)</f>
        <v/>
      </c>
      <c r="FK28" s="149" t="str">
        <f>IF($B28=0,"",($O28/30)*'MF Rents'!FM28*'MF Rollover'!FJ28)</f>
        <v/>
      </c>
      <c r="FL28" s="149" t="str">
        <f>IF($B28=0,"",($O28/30)*'MF Rents'!FN28*'MF Rollover'!FK28)</f>
        <v/>
      </c>
      <c r="FM28" s="149" t="str">
        <f>IF($B28=0,"",($O28/30)*'MF Rents'!FO28*'MF Rollover'!FL28)</f>
        <v/>
      </c>
      <c r="FN28" s="149" t="str">
        <f>IF($B28=0,"",($O28/30)*'MF Rents'!FP28*'MF Rollover'!FM28)</f>
        <v/>
      </c>
      <c r="FO28" s="149" t="str">
        <f>IF($B28=0,"",($O28/30)*'MF Rents'!FQ28*'MF Rollover'!FN28)</f>
        <v/>
      </c>
      <c r="FP28" s="149" t="str">
        <f>IF($B28=0,"",($O28/30)*'MF Rents'!FR28*'MF Rollover'!FO28)</f>
        <v/>
      </c>
      <c r="FQ28" s="149" t="str">
        <f>IF($B28=0,"",($O28/30)*'MF Rents'!FS28*'MF Rollover'!FP28)</f>
        <v/>
      </c>
      <c r="FR28" s="149" t="str">
        <f>IF($B28=0,"",($O28/30)*'MF Rents'!FT28*'MF Rollover'!FQ28)</f>
        <v/>
      </c>
      <c r="FS28" s="149" t="str">
        <f>IF($B28=0,"",($O28/30)*'MF Rents'!FU28*'MF Rollover'!FR28)</f>
        <v/>
      </c>
      <c r="FT28" s="149" t="str">
        <f>IF($B28=0,"",($O28/30)*'MF Rents'!FV28*'MF Rollover'!FS28)</f>
        <v/>
      </c>
      <c r="FU28" s="149" t="str">
        <f>IF($B28=0,"",($O28/30)*'MF Rents'!FW28*'MF Rollover'!FT28)</f>
        <v/>
      </c>
      <c r="FV28" s="149" t="str">
        <f>IF($B28=0,"",($O28/30)*'MF Rents'!FX28*'MF Rollover'!FU28)</f>
        <v/>
      </c>
      <c r="FW28" s="149" t="str">
        <f>IF($B28=0,"",($O28/30)*'MF Rents'!FY28*'MF Rollover'!FV28)</f>
        <v/>
      </c>
      <c r="FX28" s="149" t="str">
        <f>IF($B28=0,"",($O28/30)*'MF Rents'!FZ28*'MF Rollover'!FW28)</f>
        <v/>
      </c>
      <c r="FY28" s="149" t="str">
        <f>IF($B28=0,"",($O28/30)*'MF Rents'!GA28*'MF Rollover'!FX28)</f>
        <v/>
      </c>
      <c r="FZ28" s="149" t="str">
        <f>IF($B28=0,"",($O28/30)*'MF Rents'!GB28*'MF Rollover'!FY28)</f>
        <v/>
      </c>
      <c r="GA28" s="149" t="str">
        <f>IF($B28=0,"",($O28/30)*'MF Rents'!GC28*'MF Rollover'!FZ28)</f>
        <v/>
      </c>
      <c r="GB28" s="149" t="str">
        <f>IF($B28=0,"",($O28/30)*'MF Rents'!GD28*'MF Rollover'!GA28)</f>
        <v/>
      </c>
      <c r="GC28" s="149" t="str">
        <f>IF($B28=0,"",($O28/30)*'MF Rents'!GE28*'MF Rollover'!GB28)</f>
        <v/>
      </c>
      <c r="GD28" s="149" t="str">
        <f>IF($B28=0,"",($O28/30)*'MF Rents'!GF28*'MF Rollover'!GC28)</f>
        <v/>
      </c>
      <c r="GE28" s="149" t="str">
        <f>IF($B28=0,"",($O28/30)*'MF Rents'!GG28*'MF Rollover'!GD28)</f>
        <v/>
      </c>
      <c r="GF28" s="149" t="str">
        <f>IF($B28=0,"",($O28/30)*'MF Rents'!GH28*'MF Rollover'!GE28)</f>
        <v/>
      </c>
      <c r="GG28" s="149" t="str">
        <f>IF($B28=0,"",($O28/30)*'MF Rents'!GI28*'MF Rollover'!GF28)</f>
        <v/>
      </c>
      <c r="GH28" s="149" t="str">
        <f>IF($B28=0,"",($O28/30)*'MF Rents'!GJ28*'MF Rollover'!GG28)</f>
        <v/>
      </c>
      <c r="GI28" s="149" t="str">
        <f>IF($B28=0,"",($O28/30)*'MF Rents'!GK28*'MF Rollover'!GH28)</f>
        <v/>
      </c>
      <c r="GJ28" s="149" t="str">
        <f>IF($B28=0,"",($O28/30)*'MF Rents'!GL28*'MF Rollover'!GI28)</f>
        <v/>
      </c>
      <c r="GK28" s="149" t="str">
        <f>IF($B28=0,"",($O28/30)*'MF Rents'!GM28*'MF Rollover'!GJ28)</f>
        <v/>
      </c>
      <c r="GL28" s="149" t="str">
        <f>IF($B28=0,"",($O28/30)*'MF Rents'!GN28*'MF Rollover'!GK28)</f>
        <v/>
      </c>
      <c r="GM28" s="149" t="str">
        <f>IF($B28=0,"",($O28/30)*'MF Rents'!GO28*'MF Rollover'!GL28)</f>
        <v/>
      </c>
      <c r="GN28" s="149" t="str">
        <f>IF($B28=0,"",($O28/30)*'MF Rents'!GP28*'MF Rollover'!GM28)</f>
        <v/>
      </c>
      <c r="GO28" s="149" t="str">
        <f>IF($B28=0,"",($O28/30)*'MF Rents'!GQ28*'MF Rollover'!GN28)</f>
        <v/>
      </c>
      <c r="GP28" s="149" t="str">
        <f>IF($B28=0,"",($O28/30)*'MF Rents'!GR28*'MF Rollover'!GO28)</f>
        <v/>
      </c>
    </row>
    <row r="29" spans="2:198" x14ac:dyDescent="0.3">
      <c r="B29" s="184">
        <f>'MF Rent Roll'!B28</f>
        <v>0</v>
      </c>
      <c r="C29" s="171">
        <f>'MF Rent Roll'!C28</f>
        <v>0</v>
      </c>
      <c r="D29" s="172">
        <f>'MF Rent Roll'!D28</f>
        <v>0</v>
      </c>
      <c r="E29" s="172">
        <f>'MF Rent Roll'!E28</f>
        <v>0</v>
      </c>
      <c r="F29" s="173">
        <f>'MF Rent Roll'!F28</f>
        <v>0</v>
      </c>
      <c r="G29" s="174">
        <f>'MF Rent Roll'!G28</f>
        <v>0</v>
      </c>
      <c r="H29" s="176">
        <f>'MF Rent Roll'!J28</f>
        <v>0</v>
      </c>
      <c r="I29" s="174">
        <f>'MF Rent Roll'!K28</f>
        <v>0</v>
      </c>
      <c r="J29" s="177">
        <f>'MF Rent Roll'!L28</f>
        <v>0</v>
      </c>
      <c r="K29" s="178">
        <f>'MF Rent Roll'!M28</f>
        <v>0</v>
      </c>
      <c r="L29" s="174">
        <f>'MF Rent Roll'!N28</f>
        <v>0</v>
      </c>
      <c r="M29" s="179">
        <f>'MF Rent Roll'!O28</f>
        <v>0</v>
      </c>
      <c r="N29" s="180" t="str">
        <f>'MF Rent Roll'!P28</f>
        <v/>
      </c>
      <c r="O29" s="181" t="str">
        <f>'MF Rent Roll'!Q28</f>
        <v/>
      </c>
      <c r="P29" s="104" t="str">
        <f>'MF Rent Roll'!R28</f>
        <v/>
      </c>
      <c r="S29" s="149" t="str">
        <f>IF($B29=0,"",($O29/30)*'MF Rents'!U29*'MF Rollover'!R29)</f>
        <v/>
      </c>
      <c r="T29" s="149" t="str">
        <f>IF($B29=0,"",($O29/30)*'MF Rents'!V29*'MF Rollover'!S29)</f>
        <v/>
      </c>
      <c r="U29" s="149" t="str">
        <f>IF($B29=0,"",($O29/30)*'MF Rents'!W29*'MF Rollover'!T29)</f>
        <v/>
      </c>
      <c r="V29" s="149" t="str">
        <f>IF($B29=0,"",($O29/30)*'MF Rents'!X29*'MF Rollover'!U29)</f>
        <v/>
      </c>
      <c r="W29" s="149" t="str">
        <f>IF($B29=0,"",($O29/30)*'MF Rents'!Y29*'MF Rollover'!V29)</f>
        <v/>
      </c>
      <c r="X29" s="149" t="str">
        <f>IF($B29=0,"",($O29/30)*'MF Rents'!Z29*'MF Rollover'!W29)</f>
        <v/>
      </c>
      <c r="Y29" s="149" t="str">
        <f>IF($B29=0,"",($O29/30)*'MF Rents'!AA29*'MF Rollover'!X29)</f>
        <v/>
      </c>
      <c r="Z29" s="149" t="str">
        <f>IF($B29=0,"",($O29/30)*'MF Rents'!AB29*'MF Rollover'!Y29)</f>
        <v/>
      </c>
      <c r="AA29" s="149" t="str">
        <f>IF($B29=0,"",($O29/30)*'MF Rents'!AC29*'MF Rollover'!Z29)</f>
        <v/>
      </c>
      <c r="AB29" s="149" t="str">
        <f>IF($B29=0,"",($O29/30)*'MF Rents'!AD29*'MF Rollover'!AA29)</f>
        <v/>
      </c>
      <c r="AC29" s="149" t="str">
        <f>IF($B29=0,"",($O29/30)*'MF Rents'!AE29*'MF Rollover'!AB29)</f>
        <v/>
      </c>
      <c r="AD29" s="149" t="str">
        <f>IF($B29=0,"",($O29/30)*'MF Rents'!AF29*'MF Rollover'!AC29)</f>
        <v/>
      </c>
      <c r="AE29" s="149" t="str">
        <f>IF($B29=0,"",($O29/30)*'MF Rents'!AG29*'MF Rollover'!AD29)</f>
        <v/>
      </c>
      <c r="AF29" s="149" t="str">
        <f>IF($B29=0,"",($O29/30)*'MF Rents'!AH29*'MF Rollover'!AE29)</f>
        <v/>
      </c>
      <c r="AG29" s="149" t="str">
        <f>IF($B29=0,"",($O29/30)*'MF Rents'!AI29*'MF Rollover'!AF29)</f>
        <v/>
      </c>
      <c r="AH29" s="149" t="str">
        <f>IF($B29=0,"",($O29/30)*'MF Rents'!AJ29*'MF Rollover'!AG29)</f>
        <v/>
      </c>
      <c r="AI29" s="149" t="str">
        <f>IF($B29=0,"",($O29/30)*'MF Rents'!AK29*'MF Rollover'!AH29)</f>
        <v/>
      </c>
      <c r="AJ29" s="149" t="str">
        <f>IF($B29=0,"",($O29/30)*'MF Rents'!AL29*'MF Rollover'!AI29)</f>
        <v/>
      </c>
      <c r="AK29" s="149" t="str">
        <f>IF($B29=0,"",($O29/30)*'MF Rents'!AM29*'MF Rollover'!AJ29)</f>
        <v/>
      </c>
      <c r="AL29" s="149" t="str">
        <f>IF($B29=0,"",($O29/30)*'MF Rents'!AN29*'MF Rollover'!AK29)</f>
        <v/>
      </c>
      <c r="AM29" s="149" t="str">
        <f>IF($B29=0,"",($O29/30)*'MF Rents'!AO29*'MF Rollover'!AL29)</f>
        <v/>
      </c>
      <c r="AN29" s="149" t="str">
        <f>IF($B29=0,"",($O29/30)*'MF Rents'!AP29*'MF Rollover'!AM29)</f>
        <v/>
      </c>
      <c r="AO29" s="149" t="str">
        <f>IF($B29=0,"",($O29/30)*'MF Rents'!AQ29*'MF Rollover'!AN29)</f>
        <v/>
      </c>
      <c r="AP29" s="149" t="str">
        <f>IF($B29=0,"",($O29/30)*'MF Rents'!AR29*'MF Rollover'!AO29)</f>
        <v/>
      </c>
      <c r="AQ29" s="149" t="str">
        <f>IF($B29=0,"",($O29/30)*'MF Rents'!AS29*'MF Rollover'!AP29)</f>
        <v/>
      </c>
      <c r="AR29" s="149" t="str">
        <f>IF($B29=0,"",($O29/30)*'MF Rents'!AT29*'MF Rollover'!AQ29)</f>
        <v/>
      </c>
      <c r="AS29" s="149" t="str">
        <f>IF($B29=0,"",($O29/30)*'MF Rents'!AU29*'MF Rollover'!AR29)</f>
        <v/>
      </c>
      <c r="AT29" s="149" t="str">
        <f>IF($B29=0,"",($O29/30)*'MF Rents'!AV29*'MF Rollover'!AS29)</f>
        <v/>
      </c>
      <c r="AU29" s="149" t="str">
        <f>IF($B29=0,"",($O29/30)*'MF Rents'!AW29*'MF Rollover'!AT29)</f>
        <v/>
      </c>
      <c r="AV29" s="149" t="str">
        <f>IF($B29=0,"",($O29/30)*'MF Rents'!AX29*'MF Rollover'!AU29)</f>
        <v/>
      </c>
      <c r="AW29" s="149" t="str">
        <f>IF($B29=0,"",($O29/30)*'MF Rents'!AY29*'MF Rollover'!AV29)</f>
        <v/>
      </c>
      <c r="AX29" s="149" t="str">
        <f>IF($B29=0,"",($O29/30)*'MF Rents'!AZ29*'MF Rollover'!AW29)</f>
        <v/>
      </c>
      <c r="AY29" s="149" t="str">
        <f>IF($B29=0,"",($O29/30)*'MF Rents'!BA29*'MF Rollover'!AX29)</f>
        <v/>
      </c>
      <c r="AZ29" s="149" t="str">
        <f>IF($B29=0,"",($O29/30)*'MF Rents'!BB29*'MF Rollover'!AY29)</f>
        <v/>
      </c>
      <c r="BA29" s="149" t="str">
        <f>IF($B29=0,"",($O29/30)*'MF Rents'!BC29*'MF Rollover'!AZ29)</f>
        <v/>
      </c>
      <c r="BB29" s="149" t="str">
        <f>IF($B29=0,"",($O29/30)*'MF Rents'!BD29*'MF Rollover'!BA29)</f>
        <v/>
      </c>
      <c r="BC29" s="149" t="str">
        <f>IF($B29=0,"",($O29/30)*'MF Rents'!BE29*'MF Rollover'!BB29)</f>
        <v/>
      </c>
      <c r="BD29" s="149" t="str">
        <f>IF($B29=0,"",($O29/30)*'MF Rents'!BF29*'MF Rollover'!BC29)</f>
        <v/>
      </c>
      <c r="BE29" s="149" t="str">
        <f>IF($B29=0,"",($O29/30)*'MF Rents'!BG29*'MF Rollover'!BD29)</f>
        <v/>
      </c>
      <c r="BF29" s="149" t="str">
        <f>IF($B29=0,"",($O29/30)*'MF Rents'!BH29*'MF Rollover'!BE29)</f>
        <v/>
      </c>
      <c r="BG29" s="149" t="str">
        <f>IF($B29=0,"",($O29/30)*'MF Rents'!BI29*'MF Rollover'!BF29)</f>
        <v/>
      </c>
      <c r="BH29" s="149" t="str">
        <f>IF($B29=0,"",($O29/30)*'MF Rents'!BJ29*'MF Rollover'!BG29)</f>
        <v/>
      </c>
      <c r="BI29" s="149" t="str">
        <f>IF($B29=0,"",($O29/30)*'MF Rents'!BK29*'MF Rollover'!BH29)</f>
        <v/>
      </c>
      <c r="BJ29" s="149" t="str">
        <f>IF($B29=0,"",($O29/30)*'MF Rents'!BL29*'MF Rollover'!BI29)</f>
        <v/>
      </c>
      <c r="BK29" s="149" t="str">
        <f>IF($B29=0,"",($O29/30)*'MF Rents'!BM29*'MF Rollover'!BJ29)</f>
        <v/>
      </c>
      <c r="BL29" s="149" t="str">
        <f>IF($B29=0,"",($O29/30)*'MF Rents'!BN29*'MF Rollover'!BK29)</f>
        <v/>
      </c>
      <c r="BM29" s="149" t="str">
        <f>IF($B29=0,"",($O29/30)*'MF Rents'!BO29*'MF Rollover'!BL29)</f>
        <v/>
      </c>
      <c r="BN29" s="149" t="str">
        <f>IF($B29=0,"",($O29/30)*'MF Rents'!BP29*'MF Rollover'!BM29)</f>
        <v/>
      </c>
      <c r="BO29" s="149" t="str">
        <f>IF($B29=0,"",($O29/30)*'MF Rents'!BQ29*'MF Rollover'!BN29)</f>
        <v/>
      </c>
      <c r="BP29" s="149" t="str">
        <f>IF($B29=0,"",($O29/30)*'MF Rents'!BR29*'MF Rollover'!BO29)</f>
        <v/>
      </c>
      <c r="BQ29" s="149" t="str">
        <f>IF($B29=0,"",($O29/30)*'MF Rents'!BS29*'MF Rollover'!BP29)</f>
        <v/>
      </c>
      <c r="BR29" s="149" t="str">
        <f>IF($B29=0,"",($O29/30)*'MF Rents'!BT29*'MF Rollover'!BQ29)</f>
        <v/>
      </c>
      <c r="BS29" s="149" t="str">
        <f>IF($B29=0,"",($O29/30)*'MF Rents'!BU29*'MF Rollover'!BR29)</f>
        <v/>
      </c>
      <c r="BT29" s="149" t="str">
        <f>IF($B29=0,"",($O29/30)*'MF Rents'!BV29*'MF Rollover'!BS29)</f>
        <v/>
      </c>
      <c r="BU29" s="149" t="str">
        <f>IF($B29=0,"",($O29/30)*'MF Rents'!BW29*'MF Rollover'!BT29)</f>
        <v/>
      </c>
      <c r="BV29" s="149" t="str">
        <f>IF($B29=0,"",($O29/30)*'MF Rents'!BX29*'MF Rollover'!BU29)</f>
        <v/>
      </c>
      <c r="BW29" s="149" t="str">
        <f>IF($B29=0,"",($O29/30)*'MF Rents'!BY29*'MF Rollover'!BV29)</f>
        <v/>
      </c>
      <c r="BX29" s="149" t="str">
        <f>IF($B29=0,"",($O29/30)*'MF Rents'!BZ29*'MF Rollover'!BW29)</f>
        <v/>
      </c>
      <c r="BY29" s="149" t="str">
        <f>IF($B29=0,"",($O29/30)*'MF Rents'!CA29*'MF Rollover'!BX29)</f>
        <v/>
      </c>
      <c r="BZ29" s="149" t="str">
        <f>IF($B29=0,"",($O29/30)*'MF Rents'!CB29*'MF Rollover'!BY29)</f>
        <v/>
      </c>
      <c r="CA29" s="149" t="str">
        <f>IF($B29=0,"",($O29/30)*'MF Rents'!CC29*'MF Rollover'!BZ29)</f>
        <v/>
      </c>
      <c r="CB29" s="149" t="str">
        <f>IF($B29=0,"",($O29/30)*'MF Rents'!CD29*'MF Rollover'!CA29)</f>
        <v/>
      </c>
      <c r="CC29" s="149" t="str">
        <f>IF($B29=0,"",($O29/30)*'MF Rents'!CE29*'MF Rollover'!CB29)</f>
        <v/>
      </c>
      <c r="CD29" s="149" t="str">
        <f>IF($B29=0,"",($O29/30)*'MF Rents'!CF29*'MF Rollover'!CC29)</f>
        <v/>
      </c>
      <c r="CE29" s="149" t="str">
        <f>IF($B29=0,"",($O29/30)*'MF Rents'!CG29*'MF Rollover'!CD29)</f>
        <v/>
      </c>
      <c r="CF29" s="149" t="str">
        <f>IF($B29=0,"",($O29/30)*'MF Rents'!CH29*'MF Rollover'!CE29)</f>
        <v/>
      </c>
      <c r="CG29" s="149" t="str">
        <f>IF($B29=0,"",($O29/30)*'MF Rents'!CI29*'MF Rollover'!CF29)</f>
        <v/>
      </c>
      <c r="CH29" s="149" t="str">
        <f>IF($B29=0,"",($O29/30)*'MF Rents'!CJ29*'MF Rollover'!CG29)</f>
        <v/>
      </c>
      <c r="CI29" s="149" t="str">
        <f>IF($B29=0,"",($O29/30)*'MF Rents'!CK29*'MF Rollover'!CH29)</f>
        <v/>
      </c>
      <c r="CJ29" s="149" t="str">
        <f>IF($B29=0,"",($O29/30)*'MF Rents'!CL29*'MF Rollover'!CI29)</f>
        <v/>
      </c>
      <c r="CK29" s="149" t="str">
        <f>IF($B29=0,"",($O29/30)*'MF Rents'!CM29*'MF Rollover'!CJ29)</f>
        <v/>
      </c>
      <c r="CL29" s="149" t="str">
        <f>IF($B29=0,"",($O29/30)*'MF Rents'!CN29*'MF Rollover'!CK29)</f>
        <v/>
      </c>
      <c r="CM29" s="149" t="str">
        <f>IF($B29=0,"",($O29/30)*'MF Rents'!CO29*'MF Rollover'!CL29)</f>
        <v/>
      </c>
      <c r="CN29" s="149" t="str">
        <f>IF($B29=0,"",($O29/30)*'MF Rents'!CP29*'MF Rollover'!CM29)</f>
        <v/>
      </c>
      <c r="CO29" s="149" t="str">
        <f>IF($B29=0,"",($O29/30)*'MF Rents'!CQ29*'MF Rollover'!CN29)</f>
        <v/>
      </c>
      <c r="CP29" s="149" t="str">
        <f>IF($B29=0,"",($O29/30)*'MF Rents'!CR29*'MF Rollover'!CO29)</f>
        <v/>
      </c>
      <c r="CQ29" s="149" t="str">
        <f>IF($B29=0,"",($O29/30)*'MF Rents'!CS29*'MF Rollover'!CP29)</f>
        <v/>
      </c>
      <c r="CR29" s="149" t="str">
        <f>IF($B29=0,"",($O29/30)*'MF Rents'!CT29*'MF Rollover'!CQ29)</f>
        <v/>
      </c>
      <c r="CS29" s="149" t="str">
        <f>IF($B29=0,"",($O29/30)*'MF Rents'!CU29*'MF Rollover'!CR29)</f>
        <v/>
      </c>
      <c r="CT29" s="149" t="str">
        <f>IF($B29=0,"",($O29/30)*'MF Rents'!CV29*'MF Rollover'!CS29)</f>
        <v/>
      </c>
      <c r="CU29" s="149" t="str">
        <f>IF($B29=0,"",($O29/30)*'MF Rents'!CW29*'MF Rollover'!CT29)</f>
        <v/>
      </c>
      <c r="CV29" s="149" t="str">
        <f>IF($B29=0,"",($O29/30)*'MF Rents'!CX29*'MF Rollover'!CU29)</f>
        <v/>
      </c>
      <c r="CW29" s="149" t="str">
        <f>IF($B29=0,"",($O29/30)*'MF Rents'!CY29*'MF Rollover'!CV29)</f>
        <v/>
      </c>
      <c r="CX29" s="149" t="str">
        <f>IF($B29=0,"",($O29/30)*'MF Rents'!CZ29*'MF Rollover'!CW29)</f>
        <v/>
      </c>
      <c r="CY29" s="149" t="str">
        <f>IF($B29=0,"",($O29/30)*'MF Rents'!DA29*'MF Rollover'!CX29)</f>
        <v/>
      </c>
      <c r="CZ29" s="149" t="str">
        <f>IF($B29=0,"",($O29/30)*'MF Rents'!DB29*'MF Rollover'!CY29)</f>
        <v/>
      </c>
      <c r="DA29" s="149" t="str">
        <f>IF($B29=0,"",($O29/30)*'MF Rents'!DC29*'MF Rollover'!CZ29)</f>
        <v/>
      </c>
      <c r="DB29" s="149" t="str">
        <f>IF($B29=0,"",($O29/30)*'MF Rents'!DD29*'MF Rollover'!DA29)</f>
        <v/>
      </c>
      <c r="DC29" s="149" t="str">
        <f>IF($B29=0,"",($O29/30)*'MF Rents'!DE29*'MF Rollover'!DB29)</f>
        <v/>
      </c>
      <c r="DD29" s="149" t="str">
        <f>IF($B29=0,"",($O29/30)*'MF Rents'!DF29*'MF Rollover'!DC29)</f>
        <v/>
      </c>
      <c r="DE29" s="149" t="str">
        <f>IF($B29=0,"",($O29/30)*'MF Rents'!DG29*'MF Rollover'!DD29)</f>
        <v/>
      </c>
      <c r="DF29" s="149" t="str">
        <f>IF($B29=0,"",($O29/30)*'MF Rents'!DH29*'MF Rollover'!DE29)</f>
        <v/>
      </c>
      <c r="DG29" s="149" t="str">
        <f>IF($B29=0,"",($O29/30)*'MF Rents'!DI29*'MF Rollover'!DF29)</f>
        <v/>
      </c>
      <c r="DH29" s="149" t="str">
        <f>IF($B29=0,"",($O29/30)*'MF Rents'!DJ29*'MF Rollover'!DG29)</f>
        <v/>
      </c>
      <c r="DI29" s="149" t="str">
        <f>IF($B29=0,"",($O29/30)*'MF Rents'!DK29*'MF Rollover'!DH29)</f>
        <v/>
      </c>
      <c r="DJ29" s="149" t="str">
        <f>IF($B29=0,"",($O29/30)*'MF Rents'!DL29*'MF Rollover'!DI29)</f>
        <v/>
      </c>
      <c r="DK29" s="149" t="str">
        <f>IF($B29=0,"",($O29/30)*'MF Rents'!DM29*'MF Rollover'!DJ29)</f>
        <v/>
      </c>
      <c r="DL29" s="149" t="str">
        <f>IF($B29=0,"",($O29/30)*'MF Rents'!DN29*'MF Rollover'!DK29)</f>
        <v/>
      </c>
      <c r="DM29" s="149" t="str">
        <f>IF($B29=0,"",($O29/30)*'MF Rents'!DO29*'MF Rollover'!DL29)</f>
        <v/>
      </c>
      <c r="DN29" s="149" t="str">
        <f>IF($B29=0,"",($O29/30)*'MF Rents'!DP29*'MF Rollover'!DM29)</f>
        <v/>
      </c>
      <c r="DO29" s="149" t="str">
        <f>IF($B29=0,"",($O29/30)*'MF Rents'!DQ29*'MF Rollover'!DN29)</f>
        <v/>
      </c>
      <c r="DP29" s="149" t="str">
        <f>IF($B29=0,"",($O29/30)*'MF Rents'!DR29*'MF Rollover'!DO29)</f>
        <v/>
      </c>
      <c r="DQ29" s="149" t="str">
        <f>IF($B29=0,"",($O29/30)*'MF Rents'!DS29*'MF Rollover'!DP29)</f>
        <v/>
      </c>
      <c r="DR29" s="149" t="str">
        <f>IF($B29=0,"",($O29/30)*'MF Rents'!DT29*'MF Rollover'!DQ29)</f>
        <v/>
      </c>
      <c r="DS29" s="149" t="str">
        <f>IF($B29=0,"",($O29/30)*'MF Rents'!DU29*'MF Rollover'!DR29)</f>
        <v/>
      </c>
      <c r="DT29" s="149" t="str">
        <f>IF($B29=0,"",($O29/30)*'MF Rents'!DV29*'MF Rollover'!DS29)</f>
        <v/>
      </c>
      <c r="DU29" s="149" t="str">
        <f>IF($B29=0,"",($O29/30)*'MF Rents'!DW29*'MF Rollover'!DT29)</f>
        <v/>
      </c>
      <c r="DV29" s="149" t="str">
        <f>IF($B29=0,"",($O29/30)*'MF Rents'!DX29*'MF Rollover'!DU29)</f>
        <v/>
      </c>
      <c r="DW29" s="149" t="str">
        <f>IF($B29=0,"",($O29/30)*'MF Rents'!DY29*'MF Rollover'!DV29)</f>
        <v/>
      </c>
      <c r="DX29" s="149" t="str">
        <f>IF($B29=0,"",($O29/30)*'MF Rents'!DZ29*'MF Rollover'!DW29)</f>
        <v/>
      </c>
      <c r="DY29" s="149" t="str">
        <f>IF($B29=0,"",($O29/30)*'MF Rents'!EA29*'MF Rollover'!DX29)</f>
        <v/>
      </c>
      <c r="DZ29" s="149" t="str">
        <f>IF($B29=0,"",($O29/30)*'MF Rents'!EB29*'MF Rollover'!DY29)</f>
        <v/>
      </c>
      <c r="EA29" s="149" t="str">
        <f>IF($B29=0,"",($O29/30)*'MF Rents'!EC29*'MF Rollover'!DZ29)</f>
        <v/>
      </c>
      <c r="EB29" s="149" t="str">
        <f>IF($B29=0,"",($O29/30)*'MF Rents'!ED29*'MF Rollover'!EA29)</f>
        <v/>
      </c>
      <c r="EC29" s="149" t="str">
        <f>IF($B29=0,"",($O29/30)*'MF Rents'!EE29*'MF Rollover'!EB29)</f>
        <v/>
      </c>
      <c r="ED29" s="149" t="str">
        <f>IF($B29=0,"",($O29/30)*'MF Rents'!EF29*'MF Rollover'!EC29)</f>
        <v/>
      </c>
      <c r="EE29" s="149" t="str">
        <f>IF($B29=0,"",($O29/30)*'MF Rents'!EG29*'MF Rollover'!ED29)</f>
        <v/>
      </c>
      <c r="EF29" s="149" t="str">
        <f>IF($B29=0,"",($O29/30)*'MF Rents'!EH29*'MF Rollover'!EE29)</f>
        <v/>
      </c>
      <c r="EG29" s="149" t="str">
        <f>IF($B29=0,"",($O29/30)*'MF Rents'!EI29*'MF Rollover'!EF29)</f>
        <v/>
      </c>
      <c r="EH29" s="149" t="str">
        <f>IF($B29=0,"",($O29/30)*'MF Rents'!EJ29*'MF Rollover'!EG29)</f>
        <v/>
      </c>
      <c r="EI29" s="149" t="str">
        <f>IF($B29=0,"",($O29/30)*'MF Rents'!EK29*'MF Rollover'!EH29)</f>
        <v/>
      </c>
      <c r="EJ29" s="149" t="str">
        <f>IF($B29=0,"",($O29/30)*'MF Rents'!EL29*'MF Rollover'!EI29)</f>
        <v/>
      </c>
      <c r="EK29" s="149" t="str">
        <f>IF($B29=0,"",($O29/30)*'MF Rents'!EM29*'MF Rollover'!EJ29)</f>
        <v/>
      </c>
      <c r="EL29" s="149" t="str">
        <f>IF($B29=0,"",($O29/30)*'MF Rents'!EN29*'MF Rollover'!EK29)</f>
        <v/>
      </c>
      <c r="EM29" s="149" t="str">
        <f>IF($B29=0,"",($O29/30)*'MF Rents'!EO29*'MF Rollover'!EL29)</f>
        <v/>
      </c>
      <c r="EN29" s="149" t="str">
        <f>IF($B29=0,"",($O29/30)*'MF Rents'!EP29*'MF Rollover'!EM29)</f>
        <v/>
      </c>
      <c r="EO29" s="149" t="str">
        <f>IF($B29=0,"",($O29/30)*'MF Rents'!EQ29*'MF Rollover'!EN29)</f>
        <v/>
      </c>
      <c r="EP29" s="149" t="str">
        <f>IF($B29=0,"",($O29/30)*'MF Rents'!ER29*'MF Rollover'!EO29)</f>
        <v/>
      </c>
      <c r="EQ29" s="149" t="str">
        <f>IF($B29=0,"",($O29/30)*'MF Rents'!ES29*'MF Rollover'!EP29)</f>
        <v/>
      </c>
      <c r="ER29" s="149" t="str">
        <f>IF($B29=0,"",($O29/30)*'MF Rents'!ET29*'MF Rollover'!EQ29)</f>
        <v/>
      </c>
      <c r="ES29" s="149" t="str">
        <f>IF($B29=0,"",($O29/30)*'MF Rents'!EU29*'MF Rollover'!ER29)</f>
        <v/>
      </c>
      <c r="ET29" s="149" t="str">
        <f>IF($B29=0,"",($O29/30)*'MF Rents'!EV29*'MF Rollover'!ES29)</f>
        <v/>
      </c>
      <c r="EU29" s="149" t="str">
        <f>IF($B29=0,"",($O29/30)*'MF Rents'!EW29*'MF Rollover'!ET29)</f>
        <v/>
      </c>
      <c r="EV29" s="149" t="str">
        <f>IF($B29=0,"",($O29/30)*'MF Rents'!EX29*'MF Rollover'!EU29)</f>
        <v/>
      </c>
      <c r="EW29" s="149" t="str">
        <f>IF($B29=0,"",($O29/30)*'MF Rents'!EY29*'MF Rollover'!EV29)</f>
        <v/>
      </c>
      <c r="EX29" s="149" t="str">
        <f>IF($B29=0,"",($O29/30)*'MF Rents'!EZ29*'MF Rollover'!EW29)</f>
        <v/>
      </c>
      <c r="EY29" s="149" t="str">
        <f>IF($B29=0,"",($O29/30)*'MF Rents'!FA29*'MF Rollover'!EX29)</f>
        <v/>
      </c>
      <c r="EZ29" s="149" t="str">
        <f>IF($B29=0,"",($O29/30)*'MF Rents'!FB29*'MF Rollover'!EY29)</f>
        <v/>
      </c>
      <c r="FA29" s="149" t="str">
        <f>IF($B29=0,"",($O29/30)*'MF Rents'!FC29*'MF Rollover'!EZ29)</f>
        <v/>
      </c>
      <c r="FB29" s="149" t="str">
        <f>IF($B29=0,"",($O29/30)*'MF Rents'!FD29*'MF Rollover'!FA29)</f>
        <v/>
      </c>
      <c r="FC29" s="149" t="str">
        <f>IF($B29=0,"",($O29/30)*'MF Rents'!FE29*'MF Rollover'!FB29)</f>
        <v/>
      </c>
      <c r="FD29" s="149" t="str">
        <f>IF($B29=0,"",($O29/30)*'MF Rents'!FF29*'MF Rollover'!FC29)</f>
        <v/>
      </c>
      <c r="FE29" s="149" t="str">
        <f>IF($B29=0,"",($O29/30)*'MF Rents'!FG29*'MF Rollover'!FD29)</f>
        <v/>
      </c>
      <c r="FF29" s="149" t="str">
        <f>IF($B29=0,"",($O29/30)*'MF Rents'!FH29*'MF Rollover'!FE29)</f>
        <v/>
      </c>
      <c r="FG29" s="149" t="str">
        <f>IF($B29=0,"",($O29/30)*'MF Rents'!FI29*'MF Rollover'!FF29)</f>
        <v/>
      </c>
      <c r="FH29" s="149" t="str">
        <f>IF($B29=0,"",($O29/30)*'MF Rents'!FJ29*'MF Rollover'!FG29)</f>
        <v/>
      </c>
      <c r="FI29" s="149" t="str">
        <f>IF($B29=0,"",($O29/30)*'MF Rents'!FK29*'MF Rollover'!FH29)</f>
        <v/>
      </c>
      <c r="FJ29" s="149" t="str">
        <f>IF($B29=0,"",($O29/30)*'MF Rents'!FL29*'MF Rollover'!FI29)</f>
        <v/>
      </c>
      <c r="FK29" s="149" t="str">
        <f>IF($B29=0,"",($O29/30)*'MF Rents'!FM29*'MF Rollover'!FJ29)</f>
        <v/>
      </c>
      <c r="FL29" s="149" t="str">
        <f>IF($B29=0,"",($O29/30)*'MF Rents'!FN29*'MF Rollover'!FK29)</f>
        <v/>
      </c>
      <c r="FM29" s="149" t="str">
        <f>IF($B29=0,"",($O29/30)*'MF Rents'!FO29*'MF Rollover'!FL29)</f>
        <v/>
      </c>
      <c r="FN29" s="149" t="str">
        <f>IF($B29=0,"",($O29/30)*'MF Rents'!FP29*'MF Rollover'!FM29)</f>
        <v/>
      </c>
      <c r="FO29" s="149" t="str">
        <f>IF($B29=0,"",($O29/30)*'MF Rents'!FQ29*'MF Rollover'!FN29)</f>
        <v/>
      </c>
      <c r="FP29" s="149" t="str">
        <f>IF($B29=0,"",($O29/30)*'MF Rents'!FR29*'MF Rollover'!FO29)</f>
        <v/>
      </c>
      <c r="FQ29" s="149" t="str">
        <f>IF($B29=0,"",($O29/30)*'MF Rents'!FS29*'MF Rollover'!FP29)</f>
        <v/>
      </c>
      <c r="FR29" s="149" t="str">
        <f>IF($B29=0,"",($O29/30)*'MF Rents'!FT29*'MF Rollover'!FQ29)</f>
        <v/>
      </c>
      <c r="FS29" s="149" t="str">
        <f>IF($B29=0,"",($O29/30)*'MF Rents'!FU29*'MF Rollover'!FR29)</f>
        <v/>
      </c>
      <c r="FT29" s="149" t="str">
        <f>IF($B29=0,"",($O29/30)*'MF Rents'!FV29*'MF Rollover'!FS29)</f>
        <v/>
      </c>
      <c r="FU29" s="149" t="str">
        <f>IF($B29=0,"",($O29/30)*'MF Rents'!FW29*'MF Rollover'!FT29)</f>
        <v/>
      </c>
      <c r="FV29" s="149" t="str">
        <f>IF($B29=0,"",($O29/30)*'MF Rents'!FX29*'MF Rollover'!FU29)</f>
        <v/>
      </c>
      <c r="FW29" s="149" t="str">
        <f>IF($B29=0,"",($O29/30)*'MF Rents'!FY29*'MF Rollover'!FV29)</f>
        <v/>
      </c>
      <c r="FX29" s="149" t="str">
        <f>IF($B29=0,"",($O29/30)*'MF Rents'!FZ29*'MF Rollover'!FW29)</f>
        <v/>
      </c>
      <c r="FY29" s="149" t="str">
        <f>IF($B29=0,"",($O29/30)*'MF Rents'!GA29*'MF Rollover'!FX29)</f>
        <v/>
      </c>
      <c r="FZ29" s="149" t="str">
        <f>IF($B29=0,"",($O29/30)*'MF Rents'!GB29*'MF Rollover'!FY29)</f>
        <v/>
      </c>
      <c r="GA29" s="149" t="str">
        <f>IF($B29=0,"",($O29/30)*'MF Rents'!GC29*'MF Rollover'!FZ29)</f>
        <v/>
      </c>
      <c r="GB29" s="149" t="str">
        <f>IF($B29=0,"",($O29/30)*'MF Rents'!GD29*'MF Rollover'!GA29)</f>
        <v/>
      </c>
      <c r="GC29" s="149" t="str">
        <f>IF($B29=0,"",($O29/30)*'MF Rents'!GE29*'MF Rollover'!GB29)</f>
        <v/>
      </c>
      <c r="GD29" s="149" t="str">
        <f>IF($B29=0,"",($O29/30)*'MF Rents'!GF29*'MF Rollover'!GC29)</f>
        <v/>
      </c>
      <c r="GE29" s="149" t="str">
        <f>IF($B29=0,"",($O29/30)*'MF Rents'!GG29*'MF Rollover'!GD29)</f>
        <v/>
      </c>
      <c r="GF29" s="149" t="str">
        <f>IF($B29=0,"",($O29/30)*'MF Rents'!GH29*'MF Rollover'!GE29)</f>
        <v/>
      </c>
      <c r="GG29" s="149" t="str">
        <f>IF($B29=0,"",($O29/30)*'MF Rents'!GI29*'MF Rollover'!GF29)</f>
        <v/>
      </c>
      <c r="GH29" s="149" t="str">
        <f>IF($B29=0,"",($O29/30)*'MF Rents'!GJ29*'MF Rollover'!GG29)</f>
        <v/>
      </c>
      <c r="GI29" s="149" t="str">
        <f>IF($B29=0,"",($O29/30)*'MF Rents'!GK29*'MF Rollover'!GH29)</f>
        <v/>
      </c>
      <c r="GJ29" s="149" t="str">
        <f>IF($B29=0,"",($O29/30)*'MF Rents'!GL29*'MF Rollover'!GI29)</f>
        <v/>
      </c>
      <c r="GK29" s="149" t="str">
        <f>IF($B29=0,"",($O29/30)*'MF Rents'!GM29*'MF Rollover'!GJ29)</f>
        <v/>
      </c>
      <c r="GL29" s="149" t="str">
        <f>IF($B29=0,"",($O29/30)*'MF Rents'!GN29*'MF Rollover'!GK29)</f>
        <v/>
      </c>
      <c r="GM29" s="149" t="str">
        <f>IF($B29=0,"",($O29/30)*'MF Rents'!GO29*'MF Rollover'!GL29)</f>
        <v/>
      </c>
      <c r="GN29" s="149" t="str">
        <f>IF($B29=0,"",($O29/30)*'MF Rents'!GP29*'MF Rollover'!GM29)</f>
        <v/>
      </c>
      <c r="GO29" s="149" t="str">
        <f>IF($B29=0,"",($O29/30)*'MF Rents'!GQ29*'MF Rollover'!GN29)</f>
        <v/>
      </c>
      <c r="GP29" s="149" t="str">
        <f>IF($B29=0,"",($O29/30)*'MF Rents'!GR29*'MF Rollover'!GO29)</f>
        <v/>
      </c>
    </row>
    <row r="30" spans="2:198" x14ac:dyDescent="0.3">
      <c r="B30" s="184">
        <f>'MF Rent Roll'!B29</f>
        <v>0</v>
      </c>
      <c r="C30" s="171">
        <f>'MF Rent Roll'!C29</f>
        <v>0</v>
      </c>
      <c r="D30" s="172">
        <f>'MF Rent Roll'!D29</f>
        <v>0</v>
      </c>
      <c r="E30" s="172">
        <f>'MF Rent Roll'!E29</f>
        <v>0</v>
      </c>
      <c r="F30" s="173">
        <f>'MF Rent Roll'!F29</f>
        <v>0</v>
      </c>
      <c r="G30" s="174">
        <f>'MF Rent Roll'!G29</f>
        <v>0</v>
      </c>
      <c r="H30" s="176">
        <f>'MF Rent Roll'!J29</f>
        <v>0</v>
      </c>
      <c r="I30" s="174">
        <f>'MF Rent Roll'!K29</f>
        <v>0</v>
      </c>
      <c r="J30" s="177">
        <f>'MF Rent Roll'!L29</f>
        <v>0</v>
      </c>
      <c r="K30" s="178">
        <f>'MF Rent Roll'!M29</f>
        <v>0</v>
      </c>
      <c r="L30" s="174">
        <f>'MF Rent Roll'!N29</f>
        <v>0</v>
      </c>
      <c r="M30" s="179">
        <f>'MF Rent Roll'!O29</f>
        <v>0</v>
      </c>
      <c r="N30" s="180" t="str">
        <f>'MF Rent Roll'!P29</f>
        <v/>
      </c>
      <c r="O30" s="181" t="str">
        <f>'MF Rent Roll'!Q29</f>
        <v/>
      </c>
      <c r="P30" s="104" t="str">
        <f>'MF Rent Roll'!R29</f>
        <v/>
      </c>
      <c r="S30" s="149" t="str">
        <f>IF($B30=0,"",($O30/30)*'MF Rents'!U30*'MF Rollover'!R30)</f>
        <v/>
      </c>
      <c r="T30" s="149" t="str">
        <f>IF($B30=0,"",($O30/30)*'MF Rents'!V30*'MF Rollover'!S30)</f>
        <v/>
      </c>
      <c r="U30" s="149" t="str">
        <f>IF($B30=0,"",($O30/30)*'MF Rents'!W30*'MF Rollover'!T30)</f>
        <v/>
      </c>
      <c r="V30" s="149" t="str">
        <f>IF($B30=0,"",($O30/30)*'MF Rents'!X30*'MF Rollover'!U30)</f>
        <v/>
      </c>
      <c r="W30" s="149" t="str">
        <f>IF($B30=0,"",($O30/30)*'MF Rents'!Y30*'MF Rollover'!V30)</f>
        <v/>
      </c>
      <c r="X30" s="149" t="str">
        <f>IF($B30=0,"",($O30/30)*'MF Rents'!Z30*'MF Rollover'!W30)</f>
        <v/>
      </c>
      <c r="Y30" s="149" t="str">
        <f>IF($B30=0,"",($O30/30)*'MF Rents'!AA30*'MF Rollover'!X30)</f>
        <v/>
      </c>
      <c r="Z30" s="149" t="str">
        <f>IF($B30=0,"",($O30/30)*'MF Rents'!AB30*'MF Rollover'!Y30)</f>
        <v/>
      </c>
      <c r="AA30" s="149" t="str">
        <f>IF($B30=0,"",($O30/30)*'MF Rents'!AC30*'MF Rollover'!Z30)</f>
        <v/>
      </c>
      <c r="AB30" s="149" t="str">
        <f>IF($B30=0,"",($O30/30)*'MF Rents'!AD30*'MF Rollover'!AA30)</f>
        <v/>
      </c>
      <c r="AC30" s="149" t="str">
        <f>IF($B30=0,"",($O30/30)*'MF Rents'!AE30*'MF Rollover'!AB30)</f>
        <v/>
      </c>
      <c r="AD30" s="149" t="str">
        <f>IF($B30=0,"",($O30/30)*'MF Rents'!AF30*'MF Rollover'!AC30)</f>
        <v/>
      </c>
      <c r="AE30" s="149" t="str">
        <f>IF($B30=0,"",($O30/30)*'MF Rents'!AG30*'MF Rollover'!AD30)</f>
        <v/>
      </c>
      <c r="AF30" s="149" t="str">
        <f>IF($B30=0,"",($O30/30)*'MF Rents'!AH30*'MF Rollover'!AE30)</f>
        <v/>
      </c>
      <c r="AG30" s="149" t="str">
        <f>IF($B30=0,"",($O30/30)*'MF Rents'!AI30*'MF Rollover'!AF30)</f>
        <v/>
      </c>
      <c r="AH30" s="149" t="str">
        <f>IF($B30=0,"",($O30/30)*'MF Rents'!AJ30*'MF Rollover'!AG30)</f>
        <v/>
      </c>
      <c r="AI30" s="149" t="str">
        <f>IF($B30=0,"",($O30/30)*'MF Rents'!AK30*'MF Rollover'!AH30)</f>
        <v/>
      </c>
      <c r="AJ30" s="149" t="str">
        <f>IF($B30=0,"",($O30/30)*'MF Rents'!AL30*'MF Rollover'!AI30)</f>
        <v/>
      </c>
      <c r="AK30" s="149" t="str">
        <f>IF($B30=0,"",($O30/30)*'MF Rents'!AM30*'MF Rollover'!AJ30)</f>
        <v/>
      </c>
      <c r="AL30" s="149" t="str">
        <f>IF($B30=0,"",($O30/30)*'MF Rents'!AN30*'MF Rollover'!AK30)</f>
        <v/>
      </c>
      <c r="AM30" s="149" t="str">
        <f>IF($B30=0,"",($O30/30)*'MF Rents'!AO30*'MF Rollover'!AL30)</f>
        <v/>
      </c>
      <c r="AN30" s="149" t="str">
        <f>IF($B30=0,"",($O30/30)*'MF Rents'!AP30*'MF Rollover'!AM30)</f>
        <v/>
      </c>
      <c r="AO30" s="149" t="str">
        <f>IF($B30=0,"",($O30/30)*'MF Rents'!AQ30*'MF Rollover'!AN30)</f>
        <v/>
      </c>
      <c r="AP30" s="149" t="str">
        <f>IF($B30=0,"",($O30/30)*'MF Rents'!AR30*'MF Rollover'!AO30)</f>
        <v/>
      </c>
      <c r="AQ30" s="149" t="str">
        <f>IF($B30=0,"",($O30/30)*'MF Rents'!AS30*'MF Rollover'!AP30)</f>
        <v/>
      </c>
      <c r="AR30" s="149" t="str">
        <f>IF($B30=0,"",($O30/30)*'MF Rents'!AT30*'MF Rollover'!AQ30)</f>
        <v/>
      </c>
      <c r="AS30" s="149" t="str">
        <f>IF($B30=0,"",($O30/30)*'MF Rents'!AU30*'MF Rollover'!AR30)</f>
        <v/>
      </c>
      <c r="AT30" s="149" t="str">
        <f>IF($B30=0,"",($O30/30)*'MF Rents'!AV30*'MF Rollover'!AS30)</f>
        <v/>
      </c>
      <c r="AU30" s="149" t="str">
        <f>IF($B30=0,"",($O30/30)*'MF Rents'!AW30*'MF Rollover'!AT30)</f>
        <v/>
      </c>
      <c r="AV30" s="149" t="str">
        <f>IF($B30=0,"",($O30/30)*'MF Rents'!AX30*'MF Rollover'!AU30)</f>
        <v/>
      </c>
      <c r="AW30" s="149" t="str">
        <f>IF($B30=0,"",($O30/30)*'MF Rents'!AY30*'MF Rollover'!AV30)</f>
        <v/>
      </c>
      <c r="AX30" s="149" t="str">
        <f>IF($B30=0,"",($O30/30)*'MF Rents'!AZ30*'MF Rollover'!AW30)</f>
        <v/>
      </c>
      <c r="AY30" s="149" t="str">
        <f>IF($B30=0,"",($O30/30)*'MF Rents'!BA30*'MF Rollover'!AX30)</f>
        <v/>
      </c>
      <c r="AZ30" s="149" t="str">
        <f>IF($B30=0,"",($O30/30)*'MF Rents'!BB30*'MF Rollover'!AY30)</f>
        <v/>
      </c>
      <c r="BA30" s="149" t="str">
        <f>IF($B30=0,"",($O30/30)*'MF Rents'!BC30*'MF Rollover'!AZ30)</f>
        <v/>
      </c>
      <c r="BB30" s="149" t="str">
        <f>IF($B30=0,"",($O30/30)*'MF Rents'!BD30*'MF Rollover'!BA30)</f>
        <v/>
      </c>
      <c r="BC30" s="149" t="str">
        <f>IF($B30=0,"",($O30/30)*'MF Rents'!BE30*'MF Rollover'!BB30)</f>
        <v/>
      </c>
      <c r="BD30" s="149" t="str">
        <f>IF($B30=0,"",($O30/30)*'MF Rents'!BF30*'MF Rollover'!BC30)</f>
        <v/>
      </c>
      <c r="BE30" s="149" t="str">
        <f>IF($B30=0,"",($O30/30)*'MF Rents'!BG30*'MF Rollover'!BD30)</f>
        <v/>
      </c>
      <c r="BF30" s="149" t="str">
        <f>IF($B30=0,"",($O30/30)*'MF Rents'!BH30*'MF Rollover'!BE30)</f>
        <v/>
      </c>
      <c r="BG30" s="149" t="str">
        <f>IF($B30=0,"",($O30/30)*'MF Rents'!BI30*'MF Rollover'!BF30)</f>
        <v/>
      </c>
      <c r="BH30" s="149" t="str">
        <f>IF($B30=0,"",($O30/30)*'MF Rents'!BJ30*'MF Rollover'!BG30)</f>
        <v/>
      </c>
      <c r="BI30" s="149" t="str">
        <f>IF($B30=0,"",($O30/30)*'MF Rents'!BK30*'MF Rollover'!BH30)</f>
        <v/>
      </c>
      <c r="BJ30" s="149" t="str">
        <f>IF($B30=0,"",($O30/30)*'MF Rents'!BL30*'MF Rollover'!BI30)</f>
        <v/>
      </c>
      <c r="BK30" s="149" t="str">
        <f>IF($B30=0,"",($O30/30)*'MF Rents'!BM30*'MF Rollover'!BJ30)</f>
        <v/>
      </c>
      <c r="BL30" s="149" t="str">
        <f>IF($B30=0,"",($O30/30)*'MF Rents'!BN30*'MF Rollover'!BK30)</f>
        <v/>
      </c>
      <c r="BM30" s="149" t="str">
        <f>IF($B30=0,"",($O30/30)*'MF Rents'!BO30*'MF Rollover'!BL30)</f>
        <v/>
      </c>
      <c r="BN30" s="149" t="str">
        <f>IF($B30=0,"",($O30/30)*'MF Rents'!BP30*'MF Rollover'!BM30)</f>
        <v/>
      </c>
      <c r="BO30" s="149" t="str">
        <f>IF($B30=0,"",($O30/30)*'MF Rents'!BQ30*'MF Rollover'!BN30)</f>
        <v/>
      </c>
      <c r="BP30" s="149" t="str">
        <f>IF($B30=0,"",($O30/30)*'MF Rents'!BR30*'MF Rollover'!BO30)</f>
        <v/>
      </c>
      <c r="BQ30" s="149" t="str">
        <f>IF($B30=0,"",($O30/30)*'MF Rents'!BS30*'MF Rollover'!BP30)</f>
        <v/>
      </c>
      <c r="BR30" s="149" t="str">
        <f>IF($B30=0,"",($O30/30)*'MF Rents'!BT30*'MF Rollover'!BQ30)</f>
        <v/>
      </c>
      <c r="BS30" s="149" t="str">
        <f>IF($B30=0,"",($O30/30)*'MF Rents'!BU30*'MF Rollover'!BR30)</f>
        <v/>
      </c>
      <c r="BT30" s="149" t="str">
        <f>IF($B30=0,"",($O30/30)*'MF Rents'!BV30*'MF Rollover'!BS30)</f>
        <v/>
      </c>
      <c r="BU30" s="149" t="str">
        <f>IF($B30=0,"",($O30/30)*'MF Rents'!BW30*'MF Rollover'!BT30)</f>
        <v/>
      </c>
      <c r="BV30" s="149" t="str">
        <f>IF($B30=0,"",($O30/30)*'MF Rents'!BX30*'MF Rollover'!BU30)</f>
        <v/>
      </c>
      <c r="BW30" s="149" t="str">
        <f>IF($B30=0,"",($O30/30)*'MF Rents'!BY30*'MF Rollover'!BV30)</f>
        <v/>
      </c>
      <c r="BX30" s="149" t="str">
        <f>IF($B30=0,"",($O30/30)*'MF Rents'!BZ30*'MF Rollover'!BW30)</f>
        <v/>
      </c>
      <c r="BY30" s="149" t="str">
        <f>IF($B30=0,"",($O30/30)*'MF Rents'!CA30*'MF Rollover'!BX30)</f>
        <v/>
      </c>
      <c r="BZ30" s="149" t="str">
        <f>IF($B30=0,"",($O30/30)*'MF Rents'!CB30*'MF Rollover'!BY30)</f>
        <v/>
      </c>
      <c r="CA30" s="149" t="str">
        <f>IF($B30=0,"",($O30/30)*'MF Rents'!CC30*'MF Rollover'!BZ30)</f>
        <v/>
      </c>
      <c r="CB30" s="149" t="str">
        <f>IF($B30=0,"",($O30/30)*'MF Rents'!CD30*'MF Rollover'!CA30)</f>
        <v/>
      </c>
      <c r="CC30" s="149" t="str">
        <f>IF($B30=0,"",($O30/30)*'MF Rents'!CE30*'MF Rollover'!CB30)</f>
        <v/>
      </c>
      <c r="CD30" s="149" t="str">
        <f>IF($B30=0,"",($O30/30)*'MF Rents'!CF30*'MF Rollover'!CC30)</f>
        <v/>
      </c>
      <c r="CE30" s="149" t="str">
        <f>IF($B30=0,"",($O30/30)*'MF Rents'!CG30*'MF Rollover'!CD30)</f>
        <v/>
      </c>
      <c r="CF30" s="149" t="str">
        <f>IF($B30=0,"",($O30/30)*'MF Rents'!CH30*'MF Rollover'!CE30)</f>
        <v/>
      </c>
      <c r="CG30" s="149" t="str">
        <f>IF($B30=0,"",($O30/30)*'MF Rents'!CI30*'MF Rollover'!CF30)</f>
        <v/>
      </c>
      <c r="CH30" s="149" t="str">
        <f>IF($B30=0,"",($O30/30)*'MF Rents'!CJ30*'MF Rollover'!CG30)</f>
        <v/>
      </c>
      <c r="CI30" s="149" t="str">
        <f>IF($B30=0,"",($O30/30)*'MF Rents'!CK30*'MF Rollover'!CH30)</f>
        <v/>
      </c>
      <c r="CJ30" s="149" t="str">
        <f>IF($B30=0,"",($O30/30)*'MF Rents'!CL30*'MF Rollover'!CI30)</f>
        <v/>
      </c>
      <c r="CK30" s="149" t="str">
        <f>IF($B30=0,"",($O30/30)*'MF Rents'!CM30*'MF Rollover'!CJ30)</f>
        <v/>
      </c>
      <c r="CL30" s="149" t="str">
        <f>IF($B30=0,"",($O30/30)*'MF Rents'!CN30*'MF Rollover'!CK30)</f>
        <v/>
      </c>
      <c r="CM30" s="149" t="str">
        <f>IF($B30=0,"",($O30/30)*'MF Rents'!CO30*'MF Rollover'!CL30)</f>
        <v/>
      </c>
      <c r="CN30" s="149" t="str">
        <f>IF($B30=0,"",($O30/30)*'MF Rents'!CP30*'MF Rollover'!CM30)</f>
        <v/>
      </c>
      <c r="CO30" s="149" t="str">
        <f>IF($B30=0,"",($O30/30)*'MF Rents'!CQ30*'MF Rollover'!CN30)</f>
        <v/>
      </c>
      <c r="CP30" s="149" t="str">
        <f>IF($B30=0,"",($O30/30)*'MF Rents'!CR30*'MF Rollover'!CO30)</f>
        <v/>
      </c>
      <c r="CQ30" s="149" t="str">
        <f>IF($B30=0,"",($O30/30)*'MF Rents'!CS30*'MF Rollover'!CP30)</f>
        <v/>
      </c>
      <c r="CR30" s="149" t="str">
        <f>IF($B30=0,"",($O30/30)*'MF Rents'!CT30*'MF Rollover'!CQ30)</f>
        <v/>
      </c>
      <c r="CS30" s="149" t="str">
        <f>IF($B30=0,"",($O30/30)*'MF Rents'!CU30*'MF Rollover'!CR30)</f>
        <v/>
      </c>
      <c r="CT30" s="149" t="str">
        <f>IF($B30=0,"",($O30/30)*'MF Rents'!CV30*'MF Rollover'!CS30)</f>
        <v/>
      </c>
      <c r="CU30" s="149" t="str">
        <f>IF($B30=0,"",($O30/30)*'MF Rents'!CW30*'MF Rollover'!CT30)</f>
        <v/>
      </c>
      <c r="CV30" s="149" t="str">
        <f>IF($B30=0,"",($O30/30)*'MF Rents'!CX30*'MF Rollover'!CU30)</f>
        <v/>
      </c>
      <c r="CW30" s="149" t="str">
        <f>IF($B30=0,"",($O30/30)*'MF Rents'!CY30*'MF Rollover'!CV30)</f>
        <v/>
      </c>
      <c r="CX30" s="149" t="str">
        <f>IF($B30=0,"",($O30/30)*'MF Rents'!CZ30*'MF Rollover'!CW30)</f>
        <v/>
      </c>
      <c r="CY30" s="149" t="str">
        <f>IF($B30=0,"",($O30/30)*'MF Rents'!DA30*'MF Rollover'!CX30)</f>
        <v/>
      </c>
      <c r="CZ30" s="149" t="str">
        <f>IF($B30=0,"",($O30/30)*'MF Rents'!DB30*'MF Rollover'!CY30)</f>
        <v/>
      </c>
      <c r="DA30" s="149" t="str">
        <f>IF($B30=0,"",($O30/30)*'MF Rents'!DC30*'MF Rollover'!CZ30)</f>
        <v/>
      </c>
      <c r="DB30" s="149" t="str">
        <f>IF($B30=0,"",($O30/30)*'MF Rents'!DD30*'MF Rollover'!DA30)</f>
        <v/>
      </c>
      <c r="DC30" s="149" t="str">
        <f>IF($B30=0,"",($O30/30)*'MF Rents'!DE30*'MF Rollover'!DB30)</f>
        <v/>
      </c>
      <c r="DD30" s="149" t="str">
        <f>IF($B30=0,"",($O30/30)*'MF Rents'!DF30*'MF Rollover'!DC30)</f>
        <v/>
      </c>
      <c r="DE30" s="149" t="str">
        <f>IF($B30=0,"",($O30/30)*'MF Rents'!DG30*'MF Rollover'!DD30)</f>
        <v/>
      </c>
      <c r="DF30" s="149" t="str">
        <f>IF($B30=0,"",($O30/30)*'MF Rents'!DH30*'MF Rollover'!DE30)</f>
        <v/>
      </c>
      <c r="DG30" s="149" t="str">
        <f>IF($B30=0,"",($O30/30)*'MF Rents'!DI30*'MF Rollover'!DF30)</f>
        <v/>
      </c>
      <c r="DH30" s="149" t="str">
        <f>IF($B30=0,"",($O30/30)*'MF Rents'!DJ30*'MF Rollover'!DG30)</f>
        <v/>
      </c>
      <c r="DI30" s="149" t="str">
        <f>IF($B30=0,"",($O30/30)*'MF Rents'!DK30*'MF Rollover'!DH30)</f>
        <v/>
      </c>
      <c r="DJ30" s="149" t="str">
        <f>IF($B30=0,"",($O30/30)*'MF Rents'!DL30*'MF Rollover'!DI30)</f>
        <v/>
      </c>
      <c r="DK30" s="149" t="str">
        <f>IF($B30=0,"",($O30/30)*'MF Rents'!DM30*'MF Rollover'!DJ30)</f>
        <v/>
      </c>
      <c r="DL30" s="149" t="str">
        <f>IF($B30=0,"",($O30/30)*'MF Rents'!DN30*'MF Rollover'!DK30)</f>
        <v/>
      </c>
      <c r="DM30" s="149" t="str">
        <f>IF($B30=0,"",($O30/30)*'MF Rents'!DO30*'MF Rollover'!DL30)</f>
        <v/>
      </c>
      <c r="DN30" s="149" t="str">
        <f>IF($B30=0,"",($O30/30)*'MF Rents'!DP30*'MF Rollover'!DM30)</f>
        <v/>
      </c>
      <c r="DO30" s="149" t="str">
        <f>IF($B30=0,"",($O30/30)*'MF Rents'!DQ30*'MF Rollover'!DN30)</f>
        <v/>
      </c>
      <c r="DP30" s="149" t="str">
        <f>IF($B30=0,"",($O30/30)*'MF Rents'!DR30*'MF Rollover'!DO30)</f>
        <v/>
      </c>
      <c r="DQ30" s="149" t="str">
        <f>IF($B30=0,"",($O30/30)*'MF Rents'!DS30*'MF Rollover'!DP30)</f>
        <v/>
      </c>
      <c r="DR30" s="149" t="str">
        <f>IF($B30=0,"",($O30/30)*'MF Rents'!DT30*'MF Rollover'!DQ30)</f>
        <v/>
      </c>
      <c r="DS30" s="149" t="str">
        <f>IF($B30=0,"",($O30/30)*'MF Rents'!DU30*'MF Rollover'!DR30)</f>
        <v/>
      </c>
      <c r="DT30" s="149" t="str">
        <f>IF($B30=0,"",($O30/30)*'MF Rents'!DV30*'MF Rollover'!DS30)</f>
        <v/>
      </c>
      <c r="DU30" s="149" t="str">
        <f>IF($B30=0,"",($O30/30)*'MF Rents'!DW30*'MF Rollover'!DT30)</f>
        <v/>
      </c>
      <c r="DV30" s="149" t="str">
        <f>IF($B30=0,"",($O30/30)*'MF Rents'!DX30*'MF Rollover'!DU30)</f>
        <v/>
      </c>
      <c r="DW30" s="149" t="str">
        <f>IF($B30=0,"",($O30/30)*'MF Rents'!DY30*'MF Rollover'!DV30)</f>
        <v/>
      </c>
      <c r="DX30" s="149" t="str">
        <f>IF($B30=0,"",($O30/30)*'MF Rents'!DZ30*'MF Rollover'!DW30)</f>
        <v/>
      </c>
      <c r="DY30" s="149" t="str">
        <f>IF($B30=0,"",($O30/30)*'MF Rents'!EA30*'MF Rollover'!DX30)</f>
        <v/>
      </c>
      <c r="DZ30" s="149" t="str">
        <f>IF($B30=0,"",($O30/30)*'MF Rents'!EB30*'MF Rollover'!DY30)</f>
        <v/>
      </c>
      <c r="EA30" s="149" t="str">
        <f>IF($B30=0,"",($O30/30)*'MF Rents'!EC30*'MF Rollover'!DZ30)</f>
        <v/>
      </c>
      <c r="EB30" s="149" t="str">
        <f>IF($B30=0,"",($O30/30)*'MF Rents'!ED30*'MF Rollover'!EA30)</f>
        <v/>
      </c>
      <c r="EC30" s="149" t="str">
        <f>IF($B30=0,"",($O30/30)*'MF Rents'!EE30*'MF Rollover'!EB30)</f>
        <v/>
      </c>
      <c r="ED30" s="149" t="str">
        <f>IF($B30=0,"",($O30/30)*'MF Rents'!EF30*'MF Rollover'!EC30)</f>
        <v/>
      </c>
      <c r="EE30" s="149" t="str">
        <f>IF($B30=0,"",($O30/30)*'MF Rents'!EG30*'MF Rollover'!ED30)</f>
        <v/>
      </c>
      <c r="EF30" s="149" t="str">
        <f>IF($B30=0,"",($O30/30)*'MF Rents'!EH30*'MF Rollover'!EE30)</f>
        <v/>
      </c>
      <c r="EG30" s="149" t="str">
        <f>IF($B30=0,"",($O30/30)*'MF Rents'!EI30*'MF Rollover'!EF30)</f>
        <v/>
      </c>
      <c r="EH30" s="149" t="str">
        <f>IF($B30=0,"",($O30/30)*'MF Rents'!EJ30*'MF Rollover'!EG30)</f>
        <v/>
      </c>
      <c r="EI30" s="149" t="str">
        <f>IF($B30=0,"",($O30/30)*'MF Rents'!EK30*'MF Rollover'!EH30)</f>
        <v/>
      </c>
      <c r="EJ30" s="149" t="str">
        <f>IF($B30=0,"",($O30/30)*'MF Rents'!EL30*'MF Rollover'!EI30)</f>
        <v/>
      </c>
      <c r="EK30" s="149" t="str">
        <f>IF($B30=0,"",($O30/30)*'MF Rents'!EM30*'MF Rollover'!EJ30)</f>
        <v/>
      </c>
      <c r="EL30" s="149" t="str">
        <f>IF($B30=0,"",($O30/30)*'MF Rents'!EN30*'MF Rollover'!EK30)</f>
        <v/>
      </c>
      <c r="EM30" s="149" t="str">
        <f>IF($B30=0,"",($O30/30)*'MF Rents'!EO30*'MF Rollover'!EL30)</f>
        <v/>
      </c>
      <c r="EN30" s="149" t="str">
        <f>IF($B30=0,"",($O30/30)*'MF Rents'!EP30*'MF Rollover'!EM30)</f>
        <v/>
      </c>
      <c r="EO30" s="149" t="str">
        <f>IF($B30=0,"",($O30/30)*'MF Rents'!EQ30*'MF Rollover'!EN30)</f>
        <v/>
      </c>
      <c r="EP30" s="149" t="str">
        <f>IF($B30=0,"",($O30/30)*'MF Rents'!ER30*'MF Rollover'!EO30)</f>
        <v/>
      </c>
      <c r="EQ30" s="149" t="str">
        <f>IF($B30=0,"",($O30/30)*'MF Rents'!ES30*'MF Rollover'!EP30)</f>
        <v/>
      </c>
      <c r="ER30" s="149" t="str">
        <f>IF($B30=0,"",($O30/30)*'MF Rents'!ET30*'MF Rollover'!EQ30)</f>
        <v/>
      </c>
      <c r="ES30" s="149" t="str">
        <f>IF($B30=0,"",($O30/30)*'MF Rents'!EU30*'MF Rollover'!ER30)</f>
        <v/>
      </c>
      <c r="ET30" s="149" t="str">
        <f>IF($B30=0,"",($O30/30)*'MF Rents'!EV30*'MF Rollover'!ES30)</f>
        <v/>
      </c>
      <c r="EU30" s="149" t="str">
        <f>IF($B30=0,"",($O30/30)*'MF Rents'!EW30*'MF Rollover'!ET30)</f>
        <v/>
      </c>
      <c r="EV30" s="149" t="str">
        <f>IF($B30=0,"",($O30/30)*'MF Rents'!EX30*'MF Rollover'!EU30)</f>
        <v/>
      </c>
      <c r="EW30" s="149" t="str">
        <f>IF($B30=0,"",($O30/30)*'MF Rents'!EY30*'MF Rollover'!EV30)</f>
        <v/>
      </c>
      <c r="EX30" s="149" t="str">
        <f>IF($B30=0,"",($O30/30)*'MF Rents'!EZ30*'MF Rollover'!EW30)</f>
        <v/>
      </c>
      <c r="EY30" s="149" t="str">
        <f>IF($B30=0,"",($O30/30)*'MF Rents'!FA30*'MF Rollover'!EX30)</f>
        <v/>
      </c>
      <c r="EZ30" s="149" t="str">
        <f>IF($B30=0,"",($O30/30)*'MF Rents'!FB30*'MF Rollover'!EY30)</f>
        <v/>
      </c>
      <c r="FA30" s="149" t="str">
        <f>IF($B30=0,"",($O30/30)*'MF Rents'!FC30*'MF Rollover'!EZ30)</f>
        <v/>
      </c>
      <c r="FB30" s="149" t="str">
        <f>IF($B30=0,"",($O30/30)*'MF Rents'!FD30*'MF Rollover'!FA30)</f>
        <v/>
      </c>
      <c r="FC30" s="149" t="str">
        <f>IF($B30=0,"",($O30/30)*'MF Rents'!FE30*'MF Rollover'!FB30)</f>
        <v/>
      </c>
      <c r="FD30" s="149" t="str">
        <f>IF($B30=0,"",($O30/30)*'MF Rents'!FF30*'MF Rollover'!FC30)</f>
        <v/>
      </c>
      <c r="FE30" s="149" t="str">
        <f>IF($B30=0,"",($O30/30)*'MF Rents'!FG30*'MF Rollover'!FD30)</f>
        <v/>
      </c>
      <c r="FF30" s="149" t="str">
        <f>IF($B30=0,"",($O30/30)*'MF Rents'!FH30*'MF Rollover'!FE30)</f>
        <v/>
      </c>
      <c r="FG30" s="149" t="str">
        <f>IF($B30=0,"",($O30/30)*'MF Rents'!FI30*'MF Rollover'!FF30)</f>
        <v/>
      </c>
      <c r="FH30" s="149" t="str">
        <f>IF($B30=0,"",($O30/30)*'MF Rents'!FJ30*'MF Rollover'!FG30)</f>
        <v/>
      </c>
      <c r="FI30" s="149" t="str">
        <f>IF($B30=0,"",($O30/30)*'MF Rents'!FK30*'MF Rollover'!FH30)</f>
        <v/>
      </c>
      <c r="FJ30" s="149" t="str">
        <f>IF($B30=0,"",($O30/30)*'MF Rents'!FL30*'MF Rollover'!FI30)</f>
        <v/>
      </c>
      <c r="FK30" s="149" t="str">
        <f>IF($B30=0,"",($O30/30)*'MF Rents'!FM30*'MF Rollover'!FJ30)</f>
        <v/>
      </c>
      <c r="FL30" s="149" t="str">
        <f>IF($B30=0,"",($O30/30)*'MF Rents'!FN30*'MF Rollover'!FK30)</f>
        <v/>
      </c>
      <c r="FM30" s="149" t="str">
        <f>IF($B30=0,"",($O30/30)*'MF Rents'!FO30*'MF Rollover'!FL30)</f>
        <v/>
      </c>
      <c r="FN30" s="149" t="str">
        <f>IF($B30=0,"",($O30/30)*'MF Rents'!FP30*'MF Rollover'!FM30)</f>
        <v/>
      </c>
      <c r="FO30" s="149" t="str">
        <f>IF($B30=0,"",($O30/30)*'MF Rents'!FQ30*'MF Rollover'!FN30)</f>
        <v/>
      </c>
      <c r="FP30" s="149" t="str">
        <f>IF($B30=0,"",($O30/30)*'MF Rents'!FR30*'MF Rollover'!FO30)</f>
        <v/>
      </c>
      <c r="FQ30" s="149" t="str">
        <f>IF($B30=0,"",($O30/30)*'MF Rents'!FS30*'MF Rollover'!FP30)</f>
        <v/>
      </c>
      <c r="FR30" s="149" t="str">
        <f>IF($B30=0,"",($O30/30)*'MF Rents'!FT30*'MF Rollover'!FQ30)</f>
        <v/>
      </c>
      <c r="FS30" s="149" t="str">
        <f>IF($B30=0,"",($O30/30)*'MF Rents'!FU30*'MF Rollover'!FR30)</f>
        <v/>
      </c>
      <c r="FT30" s="149" t="str">
        <f>IF($B30=0,"",($O30/30)*'MF Rents'!FV30*'MF Rollover'!FS30)</f>
        <v/>
      </c>
      <c r="FU30" s="149" t="str">
        <f>IF($B30=0,"",($O30/30)*'MF Rents'!FW30*'MF Rollover'!FT30)</f>
        <v/>
      </c>
      <c r="FV30" s="149" t="str">
        <f>IF($B30=0,"",($O30/30)*'MF Rents'!FX30*'MF Rollover'!FU30)</f>
        <v/>
      </c>
      <c r="FW30" s="149" t="str">
        <f>IF($B30=0,"",($O30/30)*'MF Rents'!FY30*'MF Rollover'!FV30)</f>
        <v/>
      </c>
      <c r="FX30" s="149" t="str">
        <f>IF($B30=0,"",($O30/30)*'MF Rents'!FZ30*'MF Rollover'!FW30)</f>
        <v/>
      </c>
      <c r="FY30" s="149" t="str">
        <f>IF($B30=0,"",($O30/30)*'MF Rents'!GA30*'MF Rollover'!FX30)</f>
        <v/>
      </c>
      <c r="FZ30" s="149" t="str">
        <f>IF($B30=0,"",($O30/30)*'MF Rents'!GB30*'MF Rollover'!FY30)</f>
        <v/>
      </c>
      <c r="GA30" s="149" t="str">
        <f>IF($B30=0,"",($O30/30)*'MF Rents'!GC30*'MF Rollover'!FZ30)</f>
        <v/>
      </c>
      <c r="GB30" s="149" t="str">
        <f>IF($B30=0,"",($O30/30)*'MF Rents'!GD30*'MF Rollover'!GA30)</f>
        <v/>
      </c>
      <c r="GC30" s="149" t="str">
        <f>IF($B30=0,"",($O30/30)*'MF Rents'!GE30*'MF Rollover'!GB30)</f>
        <v/>
      </c>
      <c r="GD30" s="149" t="str">
        <f>IF($B30=0,"",($O30/30)*'MF Rents'!GF30*'MF Rollover'!GC30)</f>
        <v/>
      </c>
      <c r="GE30" s="149" t="str">
        <f>IF($B30=0,"",($O30/30)*'MF Rents'!GG30*'MF Rollover'!GD30)</f>
        <v/>
      </c>
      <c r="GF30" s="149" t="str">
        <f>IF($B30=0,"",($O30/30)*'MF Rents'!GH30*'MF Rollover'!GE30)</f>
        <v/>
      </c>
      <c r="GG30" s="149" t="str">
        <f>IF($B30=0,"",($O30/30)*'MF Rents'!GI30*'MF Rollover'!GF30)</f>
        <v/>
      </c>
      <c r="GH30" s="149" t="str">
        <f>IF($B30=0,"",($O30/30)*'MF Rents'!GJ30*'MF Rollover'!GG30)</f>
        <v/>
      </c>
      <c r="GI30" s="149" t="str">
        <f>IF($B30=0,"",($O30/30)*'MF Rents'!GK30*'MF Rollover'!GH30)</f>
        <v/>
      </c>
      <c r="GJ30" s="149" t="str">
        <f>IF($B30=0,"",($O30/30)*'MF Rents'!GL30*'MF Rollover'!GI30)</f>
        <v/>
      </c>
      <c r="GK30" s="149" t="str">
        <f>IF($B30=0,"",($O30/30)*'MF Rents'!GM30*'MF Rollover'!GJ30)</f>
        <v/>
      </c>
      <c r="GL30" s="149" t="str">
        <f>IF($B30=0,"",($O30/30)*'MF Rents'!GN30*'MF Rollover'!GK30)</f>
        <v/>
      </c>
      <c r="GM30" s="149" t="str">
        <f>IF($B30=0,"",($O30/30)*'MF Rents'!GO30*'MF Rollover'!GL30)</f>
        <v/>
      </c>
      <c r="GN30" s="149" t="str">
        <f>IF($B30=0,"",($O30/30)*'MF Rents'!GP30*'MF Rollover'!GM30)</f>
        <v/>
      </c>
      <c r="GO30" s="149" t="str">
        <f>IF($B30=0,"",($O30/30)*'MF Rents'!GQ30*'MF Rollover'!GN30)</f>
        <v/>
      </c>
      <c r="GP30" s="149" t="str">
        <f>IF($B30=0,"",($O30/30)*'MF Rents'!GR30*'MF Rollover'!GO30)</f>
        <v/>
      </c>
    </row>
    <row r="31" spans="2:198" x14ac:dyDescent="0.3">
      <c r="B31" s="184">
        <f>'MF Rent Roll'!B30</f>
        <v>0</v>
      </c>
      <c r="C31" s="171">
        <f>'MF Rent Roll'!C30</f>
        <v>0</v>
      </c>
      <c r="D31" s="172">
        <f>'MF Rent Roll'!D30</f>
        <v>0</v>
      </c>
      <c r="E31" s="172">
        <f>'MF Rent Roll'!E30</f>
        <v>0</v>
      </c>
      <c r="F31" s="173">
        <f>'MF Rent Roll'!F30</f>
        <v>0</v>
      </c>
      <c r="G31" s="174">
        <f>'MF Rent Roll'!G30</f>
        <v>0</v>
      </c>
      <c r="H31" s="176">
        <f>'MF Rent Roll'!J30</f>
        <v>0</v>
      </c>
      <c r="I31" s="174">
        <f>'MF Rent Roll'!K30</f>
        <v>0</v>
      </c>
      <c r="J31" s="177">
        <f>'MF Rent Roll'!L30</f>
        <v>0</v>
      </c>
      <c r="K31" s="178">
        <f>'MF Rent Roll'!M30</f>
        <v>0</v>
      </c>
      <c r="L31" s="174">
        <f>'MF Rent Roll'!N30</f>
        <v>0</v>
      </c>
      <c r="M31" s="179">
        <f>'MF Rent Roll'!O30</f>
        <v>0</v>
      </c>
      <c r="N31" s="180" t="str">
        <f>'MF Rent Roll'!P30</f>
        <v/>
      </c>
      <c r="O31" s="181" t="str">
        <f>'MF Rent Roll'!Q30</f>
        <v/>
      </c>
      <c r="P31" s="104" t="str">
        <f>'MF Rent Roll'!R30</f>
        <v/>
      </c>
      <c r="S31" s="149" t="str">
        <f>IF($B31=0,"",($O31/30)*'MF Rents'!U31*'MF Rollover'!R31)</f>
        <v/>
      </c>
      <c r="T31" s="149" t="str">
        <f>IF($B31=0,"",($O31/30)*'MF Rents'!V31*'MF Rollover'!S31)</f>
        <v/>
      </c>
      <c r="U31" s="149" t="str">
        <f>IF($B31=0,"",($O31/30)*'MF Rents'!W31*'MF Rollover'!T31)</f>
        <v/>
      </c>
      <c r="V31" s="149" t="str">
        <f>IF($B31=0,"",($O31/30)*'MF Rents'!X31*'MF Rollover'!U31)</f>
        <v/>
      </c>
      <c r="W31" s="149" t="str">
        <f>IF($B31=0,"",($O31/30)*'MF Rents'!Y31*'MF Rollover'!V31)</f>
        <v/>
      </c>
      <c r="X31" s="149" t="str">
        <f>IF($B31=0,"",($O31/30)*'MF Rents'!Z31*'MF Rollover'!W31)</f>
        <v/>
      </c>
      <c r="Y31" s="149" t="str">
        <f>IF($B31=0,"",($O31/30)*'MF Rents'!AA31*'MF Rollover'!X31)</f>
        <v/>
      </c>
      <c r="Z31" s="149" t="str">
        <f>IF($B31=0,"",($O31/30)*'MF Rents'!AB31*'MF Rollover'!Y31)</f>
        <v/>
      </c>
      <c r="AA31" s="149" t="str">
        <f>IF($B31=0,"",($O31/30)*'MF Rents'!AC31*'MF Rollover'!Z31)</f>
        <v/>
      </c>
      <c r="AB31" s="149" t="str">
        <f>IF($B31=0,"",($O31/30)*'MF Rents'!AD31*'MF Rollover'!AA31)</f>
        <v/>
      </c>
      <c r="AC31" s="149" t="str">
        <f>IF($B31=0,"",($O31/30)*'MF Rents'!AE31*'MF Rollover'!AB31)</f>
        <v/>
      </c>
      <c r="AD31" s="149" t="str">
        <f>IF($B31=0,"",($O31/30)*'MF Rents'!AF31*'MF Rollover'!AC31)</f>
        <v/>
      </c>
      <c r="AE31" s="149" t="str">
        <f>IF($B31=0,"",($O31/30)*'MF Rents'!AG31*'MF Rollover'!AD31)</f>
        <v/>
      </c>
      <c r="AF31" s="149" t="str">
        <f>IF($B31=0,"",($O31/30)*'MF Rents'!AH31*'MF Rollover'!AE31)</f>
        <v/>
      </c>
      <c r="AG31" s="149" t="str">
        <f>IF($B31=0,"",($O31/30)*'MF Rents'!AI31*'MF Rollover'!AF31)</f>
        <v/>
      </c>
      <c r="AH31" s="149" t="str">
        <f>IF($B31=0,"",($O31/30)*'MF Rents'!AJ31*'MF Rollover'!AG31)</f>
        <v/>
      </c>
      <c r="AI31" s="149" t="str">
        <f>IF($B31=0,"",($O31/30)*'MF Rents'!AK31*'MF Rollover'!AH31)</f>
        <v/>
      </c>
      <c r="AJ31" s="149" t="str">
        <f>IF($B31=0,"",($O31/30)*'MF Rents'!AL31*'MF Rollover'!AI31)</f>
        <v/>
      </c>
      <c r="AK31" s="149" t="str">
        <f>IF($B31=0,"",($O31/30)*'MF Rents'!AM31*'MF Rollover'!AJ31)</f>
        <v/>
      </c>
      <c r="AL31" s="149" t="str">
        <f>IF($B31=0,"",($O31/30)*'MF Rents'!AN31*'MF Rollover'!AK31)</f>
        <v/>
      </c>
      <c r="AM31" s="149" t="str">
        <f>IF($B31=0,"",($O31/30)*'MF Rents'!AO31*'MF Rollover'!AL31)</f>
        <v/>
      </c>
      <c r="AN31" s="149" t="str">
        <f>IF($B31=0,"",($O31/30)*'MF Rents'!AP31*'MF Rollover'!AM31)</f>
        <v/>
      </c>
      <c r="AO31" s="149" t="str">
        <f>IF($B31=0,"",($O31/30)*'MF Rents'!AQ31*'MF Rollover'!AN31)</f>
        <v/>
      </c>
      <c r="AP31" s="149" t="str">
        <f>IF($B31=0,"",($O31/30)*'MF Rents'!AR31*'MF Rollover'!AO31)</f>
        <v/>
      </c>
      <c r="AQ31" s="149" t="str">
        <f>IF($B31=0,"",($O31/30)*'MF Rents'!AS31*'MF Rollover'!AP31)</f>
        <v/>
      </c>
      <c r="AR31" s="149" t="str">
        <f>IF($B31=0,"",($O31/30)*'MF Rents'!AT31*'MF Rollover'!AQ31)</f>
        <v/>
      </c>
      <c r="AS31" s="149" t="str">
        <f>IF($B31=0,"",($O31/30)*'MF Rents'!AU31*'MF Rollover'!AR31)</f>
        <v/>
      </c>
      <c r="AT31" s="149" t="str">
        <f>IF($B31=0,"",($O31/30)*'MF Rents'!AV31*'MF Rollover'!AS31)</f>
        <v/>
      </c>
      <c r="AU31" s="149" t="str">
        <f>IF($B31=0,"",($O31/30)*'MF Rents'!AW31*'MF Rollover'!AT31)</f>
        <v/>
      </c>
      <c r="AV31" s="149" t="str">
        <f>IF($B31=0,"",($O31/30)*'MF Rents'!AX31*'MF Rollover'!AU31)</f>
        <v/>
      </c>
      <c r="AW31" s="149" t="str">
        <f>IF($B31=0,"",($O31/30)*'MF Rents'!AY31*'MF Rollover'!AV31)</f>
        <v/>
      </c>
      <c r="AX31" s="149" t="str">
        <f>IF($B31=0,"",($O31/30)*'MF Rents'!AZ31*'MF Rollover'!AW31)</f>
        <v/>
      </c>
      <c r="AY31" s="149" t="str">
        <f>IF($B31=0,"",($O31/30)*'MF Rents'!BA31*'MF Rollover'!AX31)</f>
        <v/>
      </c>
      <c r="AZ31" s="149" t="str">
        <f>IF($B31=0,"",($O31/30)*'MF Rents'!BB31*'MF Rollover'!AY31)</f>
        <v/>
      </c>
      <c r="BA31" s="149" t="str">
        <f>IF($B31=0,"",($O31/30)*'MF Rents'!BC31*'MF Rollover'!AZ31)</f>
        <v/>
      </c>
      <c r="BB31" s="149" t="str">
        <f>IF($B31=0,"",($O31/30)*'MF Rents'!BD31*'MF Rollover'!BA31)</f>
        <v/>
      </c>
      <c r="BC31" s="149" t="str">
        <f>IF($B31=0,"",($O31/30)*'MF Rents'!BE31*'MF Rollover'!BB31)</f>
        <v/>
      </c>
      <c r="BD31" s="149" t="str">
        <f>IF($B31=0,"",($O31/30)*'MF Rents'!BF31*'MF Rollover'!BC31)</f>
        <v/>
      </c>
      <c r="BE31" s="149" t="str">
        <f>IF($B31=0,"",($O31/30)*'MF Rents'!BG31*'MF Rollover'!BD31)</f>
        <v/>
      </c>
      <c r="BF31" s="149" t="str">
        <f>IF($B31=0,"",($O31/30)*'MF Rents'!BH31*'MF Rollover'!BE31)</f>
        <v/>
      </c>
      <c r="BG31" s="149" t="str">
        <f>IF($B31=0,"",($O31/30)*'MF Rents'!BI31*'MF Rollover'!BF31)</f>
        <v/>
      </c>
      <c r="BH31" s="149" t="str">
        <f>IF($B31=0,"",($O31/30)*'MF Rents'!BJ31*'MF Rollover'!BG31)</f>
        <v/>
      </c>
      <c r="BI31" s="149" t="str">
        <f>IF($B31=0,"",($O31/30)*'MF Rents'!BK31*'MF Rollover'!BH31)</f>
        <v/>
      </c>
      <c r="BJ31" s="149" t="str">
        <f>IF($B31=0,"",($O31/30)*'MF Rents'!BL31*'MF Rollover'!BI31)</f>
        <v/>
      </c>
      <c r="BK31" s="149" t="str">
        <f>IF($B31=0,"",($O31/30)*'MF Rents'!BM31*'MF Rollover'!BJ31)</f>
        <v/>
      </c>
      <c r="BL31" s="149" t="str">
        <f>IF($B31=0,"",($O31/30)*'MF Rents'!BN31*'MF Rollover'!BK31)</f>
        <v/>
      </c>
      <c r="BM31" s="149" t="str">
        <f>IF($B31=0,"",($O31/30)*'MF Rents'!BO31*'MF Rollover'!BL31)</f>
        <v/>
      </c>
      <c r="BN31" s="149" t="str">
        <f>IF($B31=0,"",($O31/30)*'MF Rents'!BP31*'MF Rollover'!BM31)</f>
        <v/>
      </c>
      <c r="BO31" s="149" t="str">
        <f>IF($B31=0,"",($O31/30)*'MF Rents'!BQ31*'MF Rollover'!BN31)</f>
        <v/>
      </c>
      <c r="BP31" s="149" t="str">
        <f>IF($B31=0,"",($O31/30)*'MF Rents'!BR31*'MF Rollover'!BO31)</f>
        <v/>
      </c>
      <c r="BQ31" s="149" t="str">
        <f>IF($B31=0,"",($O31/30)*'MF Rents'!BS31*'MF Rollover'!BP31)</f>
        <v/>
      </c>
      <c r="BR31" s="149" t="str">
        <f>IF($B31=0,"",($O31/30)*'MF Rents'!BT31*'MF Rollover'!BQ31)</f>
        <v/>
      </c>
      <c r="BS31" s="149" t="str">
        <f>IF($B31=0,"",($O31/30)*'MF Rents'!BU31*'MF Rollover'!BR31)</f>
        <v/>
      </c>
      <c r="BT31" s="149" t="str">
        <f>IF($B31=0,"",($O31/30)*'MF Rents'!BV31*'MF Rollover'!BS31)</f>
        <v/>
      </c>
      <c r="BU31" s="149" t="str">
        <f>IF($B31=0,"",($O31/30)*'MF Rents'!BW31*'MF Rollover'!BT31)</f>
        <v/>
      </c>
      <c r="BV31" s="149" t="str">
        <f>IF($B31=0,"",($O31/30)*'MF Rents'!BX31*'MF Rollover'!BU31)</f>
        <v/>
      </c>
      <c r="BW31" s="149" t="str">
        <f>IF($B31=0,"",($O31/30)*'MF Rents'!BY31*'MF Rollover'!BV31)</f>
        <v/>
      </c>
      <c r="BX31" s="149" t="str">
        <f>IF($B31=0,"",($O31/30)*'MF Rents'!BZ31*'MF Rollover'!BW31)</f>
        <v/>
      </c>
      <c r="BY31" s="149" t="str">
        <f>IF($B31=0,"",($O31/30)*'MF Rents'!CA31*'MF Rollover'!BX31)</f>
        <v/>
      </c>
      <c r="BZ31" s="149" t="str">
        <f>IF($B31=0,"",($O31/30)*'MF Rents'!CB31*'MF Rollover'!BY31)</f>
        <v/>
      </c>
      <c r="CA31" s="149" t="str">
        <f>IF($B31=0,"",($O31/30)*'MF Rents'!CC31*'MF Rollover'!BZ31)</f>
        <v/>
      </c>
      <c r="CB31" s="149" t="str">
        <f>IF($B31=0,"",($O31/30)*'MF Rents'!CD31*'MF Rollover'!CA31)</f>
        <v/>
      </c>
      <c r="CC31" s="149" t="str">
        <f>IF($B31=0,"",($O31/30)*'MF Rents'!CE31*'MF Rollover'!CB31)</f>
        <v/>
      </c>
      <c r="CD31" s="149" t="str">
        <f>IF($B31=0,"",($O31/30)*'MF Rents'!CF31*'MF Rollover'!CC31)</f>
        <v/>
      </c>
      <c r="CE31" s="149" t="str">
        <f>IF($B31=0,"",($O31/30)*'MF Rents'!CG31*'MF Rollover'!CD31)</f>
        <v/>
      </c>
      <c r="CF31" s="149" t="str">
        <f>IF($B31=0,"",($O31/30)*'MF Rents'!CH31*'MF Rollover'!CE31)</f>
        <v/>
      </c>
      <c r="CG31" s="149" t="str">
        <f>IF($B31=0,"",($O31/30)*'MF Rents'!CI31*'MF Rollover'!CF31)</f>
        <v/>
      </c>
      <c r="CH31" s="149" t="str">
        <f>IF($B31=0,"",($O31/30)*'MF Rents'!CJ31*'MF Rollover'!CG31)</f>
        <v/>
      </c>
      <c r="CI31" s="149" t="str">
        <f>IF($B31=0,"",($O31/30)*'MF Rents'!CK31*'MF Rollover'!CH31)</f>
        <v/>
      </c>
      <c r="CJ31" s="149" t="str">
        <f>IF($B31=0,"",($O31/30)*'MF Rents'!CL31*'MF Rollover'!CI31)</f>
        <v/>
      </c>
      <c r="CK31" s="149" t="str">
        <f>IF($B31=0,"",($O31/30)*'MF Rents'!CM31*'MF Rollover'!CJ31)</f>
        <v/>
      </c>
      <c r="CL31" s="149" t="str">
        <f>IF($B31=0,"",($O31/30)*'MF Rents'!CN31*'MF Rollover'!CK31)</f>
        <v/>
      </c>
      <c r="CM31" s="149" t="str">
        <f>IF($B31=0,"",($O31/30)*'MF Rents'!CO31*'MF Rollover'!CL31)</f>
        <v/>
      </c>
      <c r="CN31" s="149" t="str">
        <f>IF($B31=0,"",($O31/30)*'MF Rents'!CP31*'MF Rollover'!CM31)</f>
        <v/>
      </c>
      <c r="CO31" s="149" t="str">
        <f>IF($B31=0,"",($O31/30)*'MF Rents'!CQ31*'MF Rollover'!CN31)</f>
        <v/>
      </c>
      <c r="CP31" s="149" t="str">
        <f>IF($B31=0,"",($O31/30)*'MF Rents'!CR31*'MF Rollover'!CO31)</f>
        <v/>
      </c>
      <c r="CQ31" s="149" t="str">
        <f>IF($B31=0,"",($O31/30)*'MF Rents'!CS31*'MF Rollover'!CP31)</f>
        <v/>
      </c>
      <c r="CR31" s="149" t="str">
        <f>IF($B31=0,"",($O31/30)*'MF Rents'!CT31*'MF Rollover'!CQ31)</f>
        <v/>
      </c>
      <c r="CS31" s="149" t="str">
        <f>IF($B31=0,"",($O31/30)*'MF Rents'!CU31*'MF Rollover'!CR31)</f>
        <v/>
      </c>
      <c r="CT31" s="149" t="str">
        <f>IF($B31=0,"",($O31/30)*'MF Rents'!CV31*'MF Rollover'!CS31)</f>
        <v/>
      </c>
      <c r="CU31" s="149" t="str">
        <f>IF($B31=0,"",($O31/30)*'MF Rents'!CW31*'MF Rollover'!CT31)</f>
        <v/>
      </c>
      <c r="CV31" s="149" t="str">
        <f>IF($B31=0,"",($O31/30)*'MF Rents'!CX31*'MF Rollover'!CU31)</f>
        <v/>
      </c>
      <c r="CW31" s="149" t="str">
        <f>IF($B31=0,"",($O31/30)*'MF Rents'!CY31*'MF Rollover'!CV31)</f>
        <v/>
      </c>
      <c r="CX31" s="149" t="str">
        <f>IF($B31=0,"",($O31/30)*'MF Rents'!CZ31*'MF Rollover'!CW31)</f>
        <v/>
      </c>
      <c r="CY31" s="149" t="str">
        <f>IF($B31=0,"",($O31/30)*'MF Rents'!DA31*'MF Rollover'!CX31)</f>
        <v/>
      </c>
      <c r="CZ31" s="149" t="str">
        <f>IF($B31=0,"",($O31/30)*'MF Rents'!DB31*'MF Rollover'!CY31)</f>
        <v/>
      </c>
      <c r="DA31" s="149" t="str">
        <f>IF($B31=0,"",($O31/30)*'MF Rents'!DC31*'MF Rollover'!CZ31)</f>
        <v/>
      </c>
      <c r="DB31" s="149" t="str">
        <f>IF($B31=0,"",($O31/30)*'MF Rents'!DD31*'MF Rollover'!DA31)</f>
        <v/>
      </c>
      <c r="DC31" s="149" t="str">
        <f>IF($B31=0,"",($O31/30)*'MF Rents'!DE31*'MF Rollover'!DB31)</f>
        <v/>
      </c>
      <c r="DD31" s="149" t="str">
        <f>IF($B31=0,"",($O31/30)*'MF Rents'!DF31*'MF Rollover'!DC31)</f>
        <v/>
      </c>
      <c r="DE31" s="149" t="str">
        <f>IF($B31=0,"",($O31/30)*'MF Rents'!DG31*'MF Rollover'!DD31)</f>
        <v/>
      </c>
      <c r="DF31" s="149" t="str">
        <f>IF($B31=0,"",($O31/30)*'MF Rents'!DH31*'MF Rollover'!DE31)</f>
        <v/>
      </c>
      <c r="DG31" s="149" t="str">
        <f>IF($B31=0,"",($O31/30)*'MF Rents'!DI31*'MF Rollover'!DF31)</f>
        <v/>
      </c>
      <c r="DH31" s="149" t="str">
        <f>IF($B31=0,"",($O31/30)*'MF Rents'!DJ31*'MF Rollover'!DG31)</f>
        <v/>
      </c>
      <c r="DI31" s="149" t="str">
        <f>IF($B31=0,"",($O31/30)*'MF Rents'!DK31*'MF Rollover'!DH31)</f>
        <v/>
      </c>
      <c r="DJ31" s="149" t="str">
        <f>IF($B31=0,"",($O31/30)*'MF Rents'!DL31*'MF Rollover'!DI31)</f>
        <v/>
      </c>
      <c r="DK31" s="149" t="str">
        <f>IF($B31=0,"",($O31/30)*'MF Rents'!DM31*'MF Rollover'!DJ31)</f>
        <v/>
      </c>
      <c r="DL31" s="149" t="str">
        <f>IF($B31=0,"",($O31/30)*'MF Rents'!DN31*'MF Rollover'!DK31)</f>
        <v/>
      </c>
      <c r="DM31" s="149" t="str">
        <f>IF($B31=0,"",($O31/30)*'MF Rents'!DO31*'MF Rollover'!DL31)</f>
        <v/>
      </c>
      <c r="DN31" s="149" t="str">
        <f>IF($B31=0,"",($O31/30)*'MF Rents'!DP31*'MF Rollover'!DM31)</f>
        <v/>
      </c>
      <c r="DO31" s="149" t="str">
        <f>IF($B31=0,"",($O31/30)*'MF Rents'!DQ31*'MF Rollover'!DN31)</f>
        <v/>
      </c>
      <c r="DP31" s="149" t="str">
        <f>IF($B31=0,"",($O31/30)*'MF Rents'!DR31*'MF Rollover'!DO31)</f>
        <v/>
      </c>
      <c r="DQ31" s="149" t="str">
        <f>IF($B31=0,"",($O31/30)*'MF Rents'!DS31*'MF Rollover'!DP31)</f>
        <v/>
      </c>
      <c r="DR31" s="149" t="str">
        <f>IF($B31=0,"",($O31/30)*'MF Rents'!DT31*'MF Rollover'!DQ31)</f>
        <v/>
      </c>
      <c r="DS31" s="149" t="str">
        <f>IF($B31=0,"",($O31/30)*'MF Rents'!DU31*'MF Rollover'!DR31)</f>
        <v/>
      </c>
      <c r="DT31" s="149" t="str">
        <f>IF($B31=0,"",($O31/30)*'MF Rents'!DV31*'MF Rollover'!DS31)</f>
        <v/>
      </c>
      <c r="DU31" s="149" t="str">
        <f>IF($B31=0,"",($O31/30)*'MF Rents'!DW31*'MF Rollover'!DT31)</f>
        <v/>
      </c>
      <c r="DV31" s="149" t="str">
        <f>IF($B31=0,"",($O31/30)*'MF Rents'!DX31*'MF Rollover'!DU31)</f>
        <v/>
      </c>
      <c r="DW31" s="149" t="str">
        <f>IF($B31=0,"",($O31/30)*'MF Rents'!DY31*'MF Rollover'!DV31)</f>
        <v/>
      </c>
      <c r="DX31" s="149" t="str">
        <f>IF($B31=0,"",($O31/30)*'MF Rents'!DZ31*'MF Rollover'!DW31)</f>
        <v/>
      </c>
      <c r="DY31" s="149" t="str">
        <f>IF($B31=0,"",($O31/30)*'MF Rents'!EA31*'MF Rollover'!DX31)</f>
        <v/>
      </c>
      <c r="DZ31" s="149" t="str">
        <f>IF($B31=0,"",($O31/30)*'MF Rents'!EB31*'MF Rollover'!DY31)</f>
        <v/>
      </c>
      <c r="EA31" s="149" t="str">
        <f>IF($B31=0,"",($O31/30)*'MF Rents'!EC31*'MF Rollover'!DZ31)</f>
        <v/>
      </c>
      <c r="EB31" s="149" t="str">
        <f>IF($B31=0,"",($O31/30)*'MF Rents'!ED31*'MF Rollover'!EA31)</f>
        <v/>
      </c>
      <c r="EC31" s="149" t="str">
        <f>IF($B31=0,"",($O31/30)*'MF Rents'!EE31*'MF Rollover'!EB31)</f>
        <v/>
      </c>
      <c r="ED31" s="149" t="str">
        <f>IF($B31=0,"",($O31/30)*'MF Rents'!EF31*'MF Rollover'!EC31)</f>
        <v/>
      </c>
      <c r="EE31" s="149" t="str">
        <f>IF($B31=0,"",($O31/30)*'MF Rents'!EG31*'MF Rollover'!ED31)</f>
        <v/>
      </c>
      <c r="EF31" s="149" t="str">
        <f>IF($B31=0,"",($O31/30)*'MF Rents'!EH31*'MF Rollover'!EE31)</f>
        <v/>
      </c>
      <c r="EG31" s="149" t="str">
        <f>IF($B31=0,"",($O31/30)*'MF Rents'!EI31*'MF Rollover'!EF31)</f>
        <v/>
      </c>
      <c r="EH31" s="149" t="str">
        <f>IF($B31=0,"",($O31/30)*'MF Rents'!EJ31*'MF Rollover'!EG31)</f>
        <v/>
      </c>
      <c r="EI31" s="149" t="str">
        <f>IF($B31=0,"",($O31/30)*'MF Rents'!EK31*'MF Rollover'!EH31)</f>
        <v/>
      </c>
      <c r="EJ31" s="149" t="str">
        <f>IF($B31=0,"",($O31/30)*'MF Rents'!EL31*'MF Rollover'!EI31)</f>
        <v/>
      </c>
      <c r="EK31" s="149" t="str">
        <f>IF($B31=0,"",($O31/30)*'MF Rents'!EM31*'MF Rollover'!EJ31)</f>
        <v/>
      </c>
      <c r="EL31" s="149" t="str">
        <f>IF($B31=0,"",($O31/30)*'MF Rents'!EN31*'MF Rollover'!EK31)</f>
        <v/>
      </c>
      <c r="EM31" s="149" t="str">
        <f>IF($B31=0,"",($O31/30)*'MF Rents'!EO31*'MF Rollover'!EL31)</f>
        <v/>
      </c>
      <c r="EN31" s="149" t="str">
        <f>IF($B31=0,"",($O31/30)*'MF Rents'!EP31*'MF Rollover'!EM31)</f>
        <v/>
      </c>
      <c r="EO31" s="149" t="str">
        <f>IF($B31=0,"",($O31/30)*'MF Rents'!EQ31*'MF Rollover'!EN31)</f>
        <v/>
      </c>
      <c r="EP31" s="149" t="str">
        <f>IF($B31=0,"",($O31/30)*'MF Rents'!ER31*'MF Rollover'!EO31)</f>
        <v/>
      </c>
      <c r="EQ31" s="149" t="str">
        <f>IF($B31=0,"",($O31/30)*'MF Rents'!ES31*'MF Rollover'!EP31)</f>
        <v/>
      </c>
      <c r="ER31" s="149" t="str">
        <f>IF($B31=0,"",($O31/30)*'MF Rents'!ET31*'MF Rollover'!EQ31)</f>
        <v/>
      </c>
      <c r="ES31" s="149" t="str">
        <f>IF($B31=0,"",($O31/30)*'MF Rents'!EU31*'MF Rollover'!ER31)</f>
        <v/>
      </c>
      <c r="ET31" s="149" t="str">
        <f>IF($B31=0,"",($O31/30)*'MF Rents'!EV31*'MF Rollover'!ES31)</f>
        <v/>
      </c>
      <c r="EU31" s="149" t="str">
        <f>IF($B31=0,"",($O31/30)*'MF Rents'!EW31*'MF Rollover'!ET31)</f>
        <v/>
      </c>
      <c r="EV31" s="149" t="str">
        <f>IF($B31=0,"",($O31/30)*'MF Rents'!EX31*'MF Rollover'!EU31)</f>
        <v/>
      </c>
      <c r="EW31" s="149" t="str">
        <f>IF($B31=0,"",($O31/30)*'MF Rents'!EY31*'MF Rollover'!EV31)</f>
        <v/>
      </c>
      <c r="EX31" s="149" t="str">
        <f>IF($B31=0,"",($O31/30)*'MF Rents'!EZ31*'MF Rollover'!EW31)</f>
        <v/>
      </c>
      <c r="EY31" s="149" t="str">
        <f>IF($B31=0,"",($O31/30)*'MF Rents'!FA31*'MF Rollover'!EX31)</f>
        <v/>
      </c>
      <c r="EZ31" s="149" t="str">
        <f>IF($B31=0,"",($O31/30)*'MF Rents'!FB31*'MF Rollover'!EY31)</f>
        <v/>
      </c>
      <c r="FA31" s="149" t="str">
        <f>IF($B31=0,"",($O31/30)*'MF Rents'!FC31*'MF Rollover'!EZ31)</f>
        <v/>
      </c>
      <c r="FB31" s="149" t="str">
        <f>IF($B31=0,"",($O31/30)*'MF Rents'!FD31*'MF Rollover'!FA31)</f>
        <v/>
      </c>
      <c r="FC31" s="149" t="str">
        <f>IF($B31=0,"",($O31/30)*'MF Rents'!FE31*'MF Rollover'!FB31)</f>
        <v/>
      </c>
      <c r="FD31" s="149" t="str">
        <f>IF($B31=0,"",($O31/30)*'MF Rents'!FF31*'MF Rollover'!FC31)</f>
        <v/>
      </c>
      <c r="FE31" s="149" t="str">
        <f>IF($B31=0,"",($O31/30)*'MF Rents'!FG31*'MF Rollover'!FD31)</f>
        <v/>
      </c>
      <c r="FF31" s="149" t="str">
        <f>IF($B31=0,"",($O31/30)*'MF Rents'!FH31*'MF Rollover'!FE31)</f>
        <v/>
      </c>
      <c r="FG31" s="149" t="str">
        <f>IF($B31=0,"",($O31/30)*'MF Rents'!FI31*'MF Rollover'!FF31)</f>
        <v/>
      </c>
      <c r="FH31" s="149" t="str">
        <f>IF($B31=0,"",($O31/30)*'MF Rents'!FJ31*'MF Rollover'!FG31)</f>
        <v/>
      </c>
      <c r="FI31" s="149" t="str">
        <f>IF($B31=0,"",($O31/30)*'MF Rents'!FK31*'MF Rollover'!FH31)</f>
        <v/>
      </c>
      <c r="FJ31" s="149" t="str">
        <f>IF($B31=0,"",($O31/30)*'MF Rents'!FL31*'MF Rollover'!FI31)</f>
        <v/>
      </c>
      <c r="FK31" s="149" t="str">
        <f>IF($B31=0,"",($O31/30)*'MF Rents'!FM31*'MF Rollover'!FJ31)</f>
        <v/>
      </c>
      <c r="FL31" s="149" t="str">
        <f>IF($B31=0,"",($O31/30)*'MF Rents'!FN31*'MF Rollover'!FK31)</f>
        <v/>
      </c>
      <c r="FM31" s="149" t="str">
        <f>IF($B31=0,"",($O31/30)*'MF Rents'!FO31*'MF Rollover'!FL31)</f>
        <v/>
      </c>
      <c r="FN31" s="149" t="str">
        <f>IF($B31=0,"",($O31/30)*'MF Rents'!FP31*'MF Rollover'!FM31)</f>
        <v/>
      </c>
      <c r="FO31" s="149" t="str">
        <f>IF($B31=0,"",($O31/30)*'MF Rents'!FQ31*'MF Rollover'!FN31)</f>
        <v/>
      </c>
      <c r="FP31" s="149" t="str">
        <f>IF($B31=0,"",($O31/30)*'MF Rents'!FR31*'MF Rollover'!FO31)</f>
        <v/>
      </c>
      <c r="FQ31" s="149" t="str">
        <f>IF($B31=0,"",($O31/30)*'MF Rents'!FS31*'MF Rollover'!FP31)</f>
        <v/>
      </c>
      <c r="FR31" s="149" t="str">
        <f>IF($B31=0,"",($O31/30)*'MF Rents'!FT31*'MF Rollover'!FQ31)</f>
        <v/>
      </c>
      <c r="FS31" s="149" t="str">
        <f>IF($B31=0,"",($O31/30)*'MF Rents'!FU31*'MF Rollover'!FR31)</f>
        <v/>
      </c>
      <c r="FT31" s="149" t="str">
        <f>IF($B31=0,"",($O31/30)*'MF Rents'!FV31*'MF Rollover'!FS31)</f>
        <v/>
      </c>
      <c r="FU31" s="149" t="str">
        <f>IF($B31=0,"",($O31/30)*'MF Rents'!FW31*'MF Rollover'!FT31)</f>
        <v/>
      </c>
      <c r="FV31" s="149" t="str">
        <f>IF($B31=0,"",($O31/30)*'MF Rents'!FX31*'MF Rollover'!FU31)</f>
        <v/>
      </c>
      <c r="FW31" s="149" t="str">
        <f>IF($B31=0,"",($O31/30)*'MF Rents'!FY31*'MF Rollover'!FV31)</f>
        <v/>
      </c>
      <c r="FX31" s="149" t="str">
        <f>IF($B31=0,"",($O31/30)*'MF Rents'!FZ31*'MF Rollover'!FW31)</f>
        <v/>
      </c>
      <c r="FY31" s="149" t="str">
        <f>IF($B31=0,"",($O31/30)*'MF Rents'!GA31*'MF Rollover'!FX31)</f>
        <v/>
      </c>
      <c r="FZ31" s="149" t="str">
        <f>IF($B31=0,"",($O31/30)*'MF Rents'!GB31*'MF Rollover'!FY31)</f>
        <v/>
      </c>
      <c r="GA31" s="149" t="str">
        <f>IF($B31=0,"",($O31/30)*'MF Rents'!GC31*'MF Rollover'!FZ31)</f>
        <v/>
      </c>
      <c r="GB31" s="149" t="str">
        <f>IF($B31=0,"",($O31/30)*'MF Rents'!GD31*'MF Rollover'!GA31)</f>
        <v/>
      </c>
      <c r="GC31" s="149" t="str">
        <f>IF($B31=0,"",($O31/30)*'MF Rents'!GE31*'MF Rollover'!GB31)</f>
        <v/>
      </c>
      <c r="GD31" s="149" t="str">
        <f>IF($B31=0,"",($O31/30)*'MF Rents'!GF31*'MF Rollover'!GC31)</f>
        <v/>
      </c>
      <c r="GE31" s="149" t="str">
        <f>IF($B31=0,"",($O31/30)*'MF Rents'!GG31*'MF Rollover'!GD31)</f>
        <v/>
      </c>
      <c r="GF31" s="149" t="str">
        <f>IF($B31=0,"",($O31/30)*'MF Rents'!GH31*'MF Rollover'!GE31)</f>
        <v/>
      </c>
      <c r="GG31" s="149" t="str">
        <f>IF($B31=0,"",($O31/30)*'MF Rents'!GI31*'MF Rollover'!GF31)</f>
        <v/>
      </c>
      <c r="GH31" s="149" t="str">
        <f>IF($B31=0,"",($O31/30)*'MF Rents'!GJ31*'MF Rollover'!GG31)</f>
        <v/>
      </c>
      <c r="GI31" s="149" t="str">
        <f>IF($B31=0,"",($O31/30)*'MF Rents'!GK31*'MF Rollover'!GH31)</f>
        <v/>
      </c>
      <c r="GJ31" s="149" t="str">
        <f>IF($B31=0,"",($O31/30)*'MF Rents'!GL31*'MF Rollover'!GI31)</f>
        <v/>
      </c>
      <c r="GK31" s="149" t="str">
        <f>IF($B31=0,"",($O31/30)*'MF Rents'!GM31*'MF Rollover'!GJ31)</f>
        <v/>
      </c>
      <c r="GL31" s="149" t="str">
        <f>IF($B31=0,"",($O31/30)*'MF Rents'!GN31*'MF Rollover'!GK31)</f>
        <v/>
      </c>
      <c r="GM31" s="149" t="str">
        <f>IF($B31=0,"",($O31/30)*'MF Rents'!GO31*'MF Rollover'!GL31)</f>
        <v/>
      </c>
      <c r="GN31" s="149" t="str">
        <f>IF($B31=0,"",($O31/30)*'MF Rents'!GP31*'MF Rollover'!GM31)</f>
        <v/>
      </c>
      <c r="GO31" s="149" t="str">
        <f>IF($B31=0,"",($O31/30)*'MF Rents'!GQ31*'MF Rollover'!GN31)</f>
        <v/>
      </c>
      <c r="GP31" s="149" t="str">
        <f>IF($B31=0,"",($O31/30)*'MF Rents'!GR31*'MF Rollover'!GO31)</f>
        <v/>
      </c>
    </row>
    <row r="32" spans="2:198" x14ac:dyDescent="0.3">
      <c r="B32" s="184">
        <f>'MF Rent Roll'!B31</f>
        <v>0</v>
      </c>
      <c r="C32" s="171">
        <f>'MF Rent Roll'!C31</f>
        <v>0</v>
      </c>
      <c r="D32" s="172">
        <f>'MF Rent Roll'!D31</f>
        <v>0</v>
      </c>
      <c r="E32" s="172">
        <f>'MF Rent Roll'!E31</f>
        <v>0</v>
      </c>
      <c r="F32" s="173">
        <f>'MF Rent Roll'!F31</f>
        <v>0</v>
      </c>
      <c r="G32" s="174">
        <f>'MF Rent Roll'!G31</f>
        <v>0</v>
      </c>
      <c r="H32" s="176">
        <f>'MF Rent Roll'!J31</f>
        <v>0</v>
      </c>
      <c r="I32" s="174">
        <f>'MF Rent Roll'!K31</f>
        <v>0</v>
      </c>
      <c r="J32" s="177">
        <f>'MF Rent Roll'!L31</f>
        <v>0</v>
      </c>
      <c r="K32" s="178">
        <f>'MF Rent Roll'!M31</f>
        <v>0</v>
      </c>
      <c r="L32" s="174">
        <f>'MF Rent Roll'!N31</f>
        <v>0</v>
      </c>
      <c r="M32" s="179">
        <f>'MF Rent Roll'!O31</f>
        <v>0</v>
      </c>
      <c r="N32" s="180" t="str">
        <f>'MF Rent Roll'!P31</f>
        <v/>
      </c>
      <c r="O32" s="181" t="str">
        <f>'MF Rent Roll'!Q31</f>
        <v/>
      </c>
      <c r="P32" s="104" t="str">
        <f>'MF Rent Roll'!R31</f>
        <v/>
      </c>
      <c r="S32" s="149" t="str">
        <f>IF($B32=0,"",($O32/30)*'MF Rents'!U32*'MF Rollover'!R32)</f>
        <v/>
      </c>
      <c r="T32" s="149" t="str">
        <f>IF($B32=0,"",($O32/30)*'MF Rents'!V32*'MF Rollover'!S32)</f>
        <v/>
      </c>
      <c r="U32" s="149" t="str">
        <f>IF($B32=0,"",($O32/30)*'MF Rents'!W32*'MF Rollover'!T32)</f>
        <v/>
      </c>
      <c r="V32" s="149" t="str">
        <f>IF($B32=0,"",($O32/30)*'MF Rents'!X32*'MF Rollover'!U32)</f>
        <v/>
      </c>
      <c r="W32" s="149" t="str">
        <f>IF($B32=0,"",($O32/30)*'MF Rents'!Y32*'MF Rollover'!V32)</f>
        <v/>
      </c>
      <c r="X32" s="149" t="str">
        <f>IF($B32=0,"",($O32/30)*'MF Rents'!Z32*'MF Rollover'!W32)</f>
        <v/>
      </c>
      <c r="Y32" s="149" t="str">
        <f>IF($B32=0,"",($O32/30)*'MF Rents'!AA32*'MF Rollover'!X32)</f>
        <v/>
      </c>
      <c r="Z32" s="149" t="str">
        <f>IF($B32=0,"",($O32/30)*'MF Rents'!AB32*'MF Rollover'!Y32)</f>
        <v/>
      </c>
      <c r="AA32" s="149" t="str">
        <f>IF($B32=0,"",($O32/30)*'MF Rents'!AC32*'MF Rollover'!Z32)</f>
        <v/>
      </c>
      <c r="AB32" s="149" t="str">
        <f>IF($B32=0,"",($O32/30)*'MF Rents'!AD32*'MF Rollover'!AA32)</f>
        <v/>
      </c>
      <c r="AC32" s="149" t="str">
        <f>IF($B32=0,"",($O32/30)*'MF Rents'!AE32*'MF Rollover'!AB32)</f>
        <v/>
      </c>
      <c r="AD32" s="149" t="str">
        <f>IF($B32=0,"",($O32/30)*'MF Rents'!AF32*'MF Rollover'!AC32)</f>
        <v/>
      </c>
      <c r="AE32" s="149" t="str">
        <f>IF($B32=0,"",($O32/30)*'MF Rents'!AG32*'MF Rollover'!AD32)</f>
        <v/>
      </c>
      <c r="AF32" s="149" t="str">
        <f>IF($B32=0,"",($O32/30)*'MF Rents'!AH32*'MF Rollover'!AE32)</f>
        <v/>
      </c>
      <c r="AG32" s="149" t="str">
        <f>IF($B32=0,"",($O32/30)*'MF Rents'!AI32*'MF Rollover'!AF32)</f>
        <v/>
      </c>
      <c r="AH32" s="149" t="str">
        <f>IF($B32=0,"",($O32/30)*'MF Rents'!AJ32*'MF Rollover'!AG32)</f>
        <v/>
      </c>
      <c r="AI32" s="149" t="str">
        <f>IF($B32=0,"",($O32/30)*'MF Rents'!AK32*'MF Rollover'!AH32)</f>
        <v/>
      </c>
      <c r="AJ32" s="149" t="str">
        <f>IF($B32=0,"",($O32/30)*'MF Rents'!AL32*'MF Rollover'!AI32)</f>
        <v/>
      </c>
      <c r="AK32" s="149" t="str">
        <f>IF($B32=0,"",($O32/30)*'MF Rents'!AM32*'MF Rollover'!AJ32)</f>
        <v/>
      </c>
      <c r="AL32" s="149" t="str">
        <f>IF($B32=0,"",($O32/30)*'MF Rents'!AN32*'MF Rollover'!AK32)</f>
        <v/>
      </c>
      <c r="AM32" s="149" t="str">
        <f>IF($B32=0,"",($O32/30)*'MF Rents'!AO32*'MF Rollover'!AL32)</f>
        <v/>
      </c>
      <c r="AN32" s="149" t="str">
        <f>IF($B32=0,"",($O32/30)*'MF Rents'!AP32*'MF Rollover'!AM32)</f>
        <v/>
      </c>
      <c r="AO32" s="149" t="str">
        <f>IF($B32=0,"",($O32/30)*'MF Rents'!AQ32*'MF Rollover'!AN32)</f>
        <v/>
      </c>
      <c r="AP32" s="149" t="str">
        <f>IF($B32=0,"",($O32/30)*'MF Rents'!AR32*'MF Rollover'!AO32)</f>
        <v/>
      </c>
      <c r="AQ32" s="149" t="str">
        <f>IF($B32=0,"",($O32/30)*'MF Rents'!AS32*'MF Rollover'!AP32)</f>
        <v/>
      </c>
      <c r="AR32" s="149" t="str">
        <f>IF($B32=0,"",($O32/30)*'MF Rents'!AT32*'MF Rollover'!AQ32)</f>
        <v/>
      </c>
      <c r="AS32" s="149" t="str">
        <f>IF($B32=0,"",($O32/30)*'MF Rents'!AU32*'MF Rollover'!AR32)</f>
        <v/>
      </c>
      <c r="AT32" s="149" t="str">
        <f>IF($B32=0,"",($O32/30)*'MF Rents'!AV32*'MF Rollover'!AS32)</f>
        <v/>
      </c>
      <c r="AU32" s="149" t="str">
        <f>IF($B32=0,"",($O32/30)*'MF Rents'!AW32*'MF Rollover'!AT32)</f>
        <v/>
      </c>
      <c r="AV32" s="149" t="str">
        <f>IF($B32=0,"",($O32/30)*'MF Rents'!AX32*'MF Rollover'!AU32)</f>
        <v/>
      </c>
      <c r="AW32" s="149" t="str">
        <f>IF($B32=0,"",($O32/30)*'MF Rents'!AY32*'MF Rollover'!AV32)</f>
        <v/>
      </c>
      <c r="AX32" s="149" t="str">
        <f>IF($B32=0,"",($O32/30)*'MF Rents'!AZ32*'MF Rollover'!AW32)</f>
        <v/>
      </c>
      <c r="AY32" s="149" t="str">
        <f>IF($B32=0,"",($O32/30)*'MF Rents'!BA32*'MF Rollover'!AX32)</f>
        <v/>
      </c>
      <c r="AZ32" s="149" t="str">
        <f>IF($B32=0,"",($O32/30)*'MF Rents'!BB32*'MF Rollover'!AY32)</f>
        <v/>
      </c>
      <c r="BA32" s="149" t="str">
        <f>IF($B32=0,"",($O32/30)*'MF Rents'!BC32*'MF Rollover'!AZ32)</f>
        <v/>
      </c>
      <c r="BB32" s="149" t="str">
        <f>IF($B32=0,"",($O32/30)*'MF Rents'!BD32*'MF Rollover'!BA32)</f>
        <v/>
      </c>
      <c r="BC32" s="149" t="str">
        <f>IF($B32=0,"",($O32/30)*'MF Rents'!BE32*'MF Rollover'!BB32)</f>
        <v/>
      </c>
      <c r="BD32" s="149" t="str">
        <f>IF($B32=0,"",($O32/30)*'MF Rents'!BF32*'MF Rollover'!BC32)</f>
        <v/>
      </c>
      <c r="BE32" s="149" t="str">
        <f>IF($B32=0,"",($O32/30)*'MF Rents'!BG32*'MF Rollover'!BD32)</f>
        <v/>
      </c>
      <c r="BF32" s="149" t="str">
        <f>IF($B32=0,"",($O32/30)*'MF Rents'!BH32*'MF Rollover'!BE32)</f>
        <v/>
      </c>
      <c r="BG32" s="149" t="str">
        <f>IF($B32=0,"",($O32/30)*'MF Rents'!BI32*'MF Rollover'!BF32)</f>
        <v/>
      </c>
      <c r="BH32" s="149" t="str">
        <f>IF($B32=0,"",($O32/30)*'MF Rents'!BJ32*'MF Rollover'!BG32)</f>
        <v/>
      </c>
      <c r="BI32" s="149" t="str">
        <f>IF($B32=0,"",($O32/30)*'MF Rents'!BK32*'MF Rollover'!BH32)</f>
        <v/>
      </c>
      <c r="BJ32" s="149" t="str">
        <f>IF($B32=0,"",($O32/30)*'MF Rents'!BL32*'MF Rollover'!BI32)</f>
        <v/>
      </c>
      <c r="BK32" s="149" t="str">
        <f>IF($B32=0,"",($O32/30)*'MF Rents'!BM32*'MF Rollover'!BJ32)</f>
        <v/>
      </c>
      <c r="BL32" s="149" t="str">
        <f>IF($B32=0,"",($O32/30)*'MF Rents'!BN32*'MF Rollover'!BK32)</f>
        <v/>
      </c>
      <c r="BM32" s="149" t="str">
        <f>IF($B32=0,"",($O32/30)*'MF Rents'!BO32*'MF Rollover'!BL32)</f>
        <v/>
      </c>
      <c r="BN32" s="149" t="str">
        <f>IF($B32=0,"",($O32/30)*'MF Rents'!BP32*'MF Rollover'!BM32)</f>
        <v/>
      </c>
      <c r="BO32" s="149" t="str">
        <f>IF($B32=0,"",($O32/30)*'MF Rents'!BQ32*'MF Rollover'!BN32)</f>
        <v/>
      </c>
      <c r="BP32" s="149" t="str">
        <f>IF($B32=0,"",($O32/30)*'MF Rents'!BR32*'MF Rollover'!BO32)</f>
        <v/>
      </c>
      <c r="BQ32" s="149" t="str">
        <f>IF($B32=0,"",($O32/30)*'MF Rents'!BS32*'MF Rollover'!BP32)</f>
        <v/>
      </c>
      <c r="BR32" s="149" t="str">
        <f>IF($B32=0,"",($O32/30)*'MF Rents'!BT32*'MF Rollover'!BQ32)</f>
        <v/>
      </c>
      <c r="BS32" s="149" t="str">
        <f>IF($B32=0,"",($O32/30)*'MF Rents'!BU32*'MF Rollover'!BR32)</f>
        <v/>
      </c>
      <c r="BT32" s="149" t="str">
        <f>IF($B32=0,"",($O32/30)*'MF Rents'!BV32*'MF Rollover'!BS32)</f>
        <v/>
      </c>
      <c r="BU32" s="149" t="str">
        <f>IF($B32=0,"",($O32/30)*'MF Rents'!BW32*'MF Rollover'!BT32)</f>
        <v/>
      </c>
      <c r="BV32" s="149" t="str">
        <f>IF($B32=0,"",($O32/30)*'MF Rents'!BX32*'MF Rollover'!BU32)</f>
        <v/>
      </c>
      <c r="BW32" s="149" t="str">
        <f>IF($B32=0,"",($O32/30)*'MF Rents'!BY32*'MF Rollover'!BV32)</f>
        <v/>
      </c>
      <c r="BX32" s="149" t="str">
        <f>IF($B32=0,"",($O32/30)*'MF Rents'!BZ32*'MF Rollover'!BW32)</f>
        <v/>
      </c>
      <c r="BY32" s="149" t="str">
        <f>IF($B32=0,"",($O32/30)*'MF Rents'!CA32*'MF Rollover'!BX32)</f>
        <v/>
      </c>
      <c r="BZ32" s="149" t="str">
        <f>IF($B32=0,"",($O32/30)*'MF Rents'!CB32*'MF Rollover'!BY32)</f>
        <v/>
      </c>
      <c r="CA32" s="149" t="str">
        <f>IF($B32=0,"",($O32/30)*'MF Rents'!CC32*'MF Rollover'!BZ32)</f>
        <v/>
      </c>
      <c r="CB32" s="149" t="str">
        <f>IF($B32=0,"",($O32/30)*'MF Rents'!CD32*'MF Rollover'!CA32)</f>
        <v/>
      </c>
      <c r="CC32" s="149" t="str">
        <f>IF($B32=0,"",($O32/30)*'MF Rents'!CE32*'MF Rollover'!CB32)</f>
        <v/>
      </c>
      <c r="CD32" s="149" t="str">
        <f>IF($B32=0,"",($O32/30)*'MF Rents'!CF32*'MF Rollover'!CC32)</f>
        <v/>
      </c>
      <c r="CE32" s="149" t="str">
        <f>IF($B32=0,"",($O32/30)*'MF Rents'!CG32*'MF Rollover'!CD32)</f>
        <v/>
      </c>
      <c r="CF32" s="149" t="str">
        <f>IF($B32=0,"",($O32/30)*'MF Rents'!CH32*'MF Rollover'!CE32)</f>
        <v/>
      </c>
      <c r="CG32" s="149" t="str">
        <f>IF($B32=0,"",($O32/30)*'MF Rents'!CI32*'MF Rollover'!CF32)</f>
        <v/>
      </c>
      <c r="CH32" s="149" t="str">
        <f>IF($B32=0,"",($O32/30)*'MF Rents'!CJ32*'MF Rollover'!CG32)</f>
        <v/>
      </c>
      <c r="CI32" s="149" t="str">
        <f>IF($B32=0,"",($O32/30)*'MF Rents'!CK32*'MF Rollover'!CH32)</f>
        <v/>
      </c>
      <c r="CJ32" s="149" t="str">
        <f>IF($B32=0,"",($O32/30)*'MF Rents'!CL32*'MF Rollover'!CI32)</f>
        <v/>
      </c>
      <c r="CK32" s="149" t="str">
        <f>IF($B32=0,"",($O32/30)*'MF Rents'!CM32*'MF Rollover'!CJ32)</f>
        <v/>
      </c>
      <c r="CL32" s="149" t="str">
        <f>IF($B32=0,"",($O32/30)*'MF Rents'!CN32*'MF Rollover'!CK32)</f>
        <v/>
      </c>
      <c r="CM32" s="149" t="str">
        <f>IF($B32=0,"",($O32/30)*'MF Rents'!CO32*'MF Rollover'!CL32)</f>
        <v/>
      </c>
      <c r="CN32" s="149" t="str">
        <f>IF($B32=0,"",($O32/30)*'MF Rents'!CP32*'MF Rollover'!CM32)</f>
        <v/>
      </c>
      <c r="CO32" s="149" t="str">
        <f>IF($B32=0,"",($O32/30)*'MF Rents'!CQ32*'MF Rollover'!CN32)</f>
        <v/>
      </c>
      <c r="CP32" s="149" t="str">
        <f>IF($B32=0,"",($O32/30)*'MF Rents'!CR32*'MF Rollover'!CO32)</f>
        <v/>
      </c>
      <c r="CQ32" s="149" t="str">
        <f>IF($B32=0,"",($O32/30)*'MF Rents'!CS32*'MF Rollover'!CP32)</f>
        <v/>
      </c>
      <c r="CR32" s="149" t="str">
        <f>IF($B32=0,"",($O32/30)*'MF Rents'!CT32*'MF Rollover'!CQ32)</f>
        <v/>
      </c>
      <c r="CS32" s="149" t="str">
        <f>IF($B32=0,"",($O32/30)*'MF Rents'!CU32*'MF Rollover'!CR32)</f>
        <v/>
      </c>
      <c r="CT32" s="149" t="str">
        <f>IF($B32=0,"",($O32/30)*'MF Rents'!CV32*'MF Rollover'!CS32)</f>
        <v/>
      </c>
      <c r="CU32" s="149" t="str">
        <f>IF($B32=0,"",($O32/30)*'MF Rents'!CW32*'MF Rollover'!CT32)</f>
        <v/>
      </c>
      <c r="CV32" s="149" t="str">
        <f>IF($B32=0,"",($O32/30)*'MF Rents'!CX32*'MF Rollover'!CU32)</f>
        <v/>
      </c>
      <c r="CW32" s="149" t="str">
        <f>IF($B32=0,"",($O32/30)*'MF Rents'!CY32*'MF Rollover'!CV32)</f>
        <v/>
      </c>
      <c r="CX32" s="149" t="str">
        <f>IF($B32=0,"",($O32/30)*'MF Rents'!CZ32*'MF Rollover'!CW32)</f>
        <v/>
      </c>
      <c r="CY32" s="149" t="str">
        <f>IF($B32=0,"",($O32/30)*'MF Rents'!DA32*'MF Rollover'!CX32)</f>
        <v/>
      </c>
      <c r="CZ32" s="149" t="str">
        <f>IF($B32=0,"",($O32/30)*'MF Rents'!DB32*'MF Rollover'!CY32)</f>
        <v/>
      </c>
      <c r="DA32" s="149" t="str">
        <f>IF($B32=0,"",($O32/30)*'MF Rents'!DC32*'MF Rollover'!CZ32)</f>
        <v/>
      </c>
      <c r="DB32" s="149" t="str">
        <f>IF($B32=0,"",($O32/30)*'MF Rents'!DD32*'MF Rollover'!DA32)</f>
        <v/>
      </c>
      <c r="DC32" s="149" t="str">
        <f>IF($B32=0,"",($O32/30)*'MF Rents'!DE32*'MF Rollover'!DB32)</f>
        <v/>
      </c>
      <c r="DD32" s="149" t="str">
        <f>IF($B32=0,"",($O32/30)*'MF Rents'!DF32*'MF Rollover'!DC32)</f>
        <v/>
      </c>
      <c r="DE32" s="149" t="str">
        <f>IF($B32=0,"",($O32/30)*'MF Rents'!DG32*'MF Rollover'!DD32)</f>
        <v/>
      </c>
      <c r="DF32" s="149" t="str">
        <f>IF($B32=0,"",($O32/30)*'MF Rents'!DH32*'MF Rollover'!DE32)</f>
        <v/>
      </c>
      <c r="DG32" s="149" t="str">
        <f>IF($B32=0,"",($O32/30)*'MF Rents'!DI32*'MF Rollover'!DF32)</f>
        <v/>
      </c>
      <c r="DH32" s="149" t="str">
        <f>IF($B32=0,"",($O32/30)*'MF Rents'!DJ32*'MF Rollover'!DG32)</f>
        <v/>
      </c>
      <c r="DI32" s="149" t="str">
        <f>IF($B32=0,"",($O32/30)*'MF Rents'!DK32*'MF Rollover'!DH32)</f>
        <v/>
      </c>
      <c r="DJ32" s="149" t="str">
        <f>IF($B32=0,"",($O32/30)*'MF Rents'!DL32*'MF Rollover'!DI32)</f>
        <v/>
      </c>
      <c r="DK32" s="149" t="str">
        <f>IF($B32=0,"",($O32/30)*'MF Rents'!DM32*'MF Rollover'!DJ32)</f>
        <v/>
      </c>
      <c r="DL32" s="149" t="str">
        <f>IF($B32=0,"",($O32/30)*'MF Rents'!DN32*'MF Rollover'!DK32)</f>
        <v/>
      </c>
      <c r="DM32" s="149" t="str">
        <f>IF($B32=0,"",($O32/30)*'MF Rents'!DO32*'MF Rollover'!DL32)</f>
        <v/>
      </c>
      <c r="DN32" s="149" t="str">
        <f>IF($B32=0,"",($O32/30)*'MF Rents'!DP32*'MF Rollover'!DM32)</f>
        <v/>
      </c>
      <c r="DO32" s="149" t="str">
        <f>IF($B32=0,"",($O32/30)*'MF Rents'!DQ32*'MF Rollover'!DN32)</f>
        <v/>
      </c>
      <c r="DP32" s="149" t="str">
        <f>IF($B32=0,"",($O32/30)*'MF Rents'!DR32*'MF Rollover'!DO32)</f>
        <v/>
      </c>
      <c r="DQ32" s="149" t="str">
        <f>IF($B32=0,"",($O32/30)*'MF Rents'!DS32*'MF Rollover'!DP32)</f>
        <v/>
      </c>
      <c r="DR32" s="149" t="str">
        <f>IF($B32=0,"",($O32/30)*'MF Rents'!DT32*'MF Rollover'!DQ32)</f>
        <v/>
      </c>
      <c r="DS32" s="149" t="str">
        <f>IF($B32=0,"",($O32/30)*'MF Rents'!DU32*'MF Rollover'!DR32)</f>
        <v/>
      </c>
      <c r="DT32" s="149" t="str">
        <f>IF($B32=0,"",($O32/30)*'MF Rents'!DV32*'MF Rollover'!DS32)</f>
        <v/>
      </c>
      <c r="DU32" s="149" t="str">
        <f>IF($B32=0,"",($O32/30)*'MF Rents'!DW32*'MF Rollover'!DT32)</f>
        <v/>
      </c>
      <c r="DV32" s="149" t="str">
        <f>IF($B32=0,"",($O32/30)*'MF Rents'!DX32*'MF Rollover'!DU32)</f>
        <v/>
      </c>
      <c r="DW32" s="149" t="str">
        <f>IF($B32=0,"",($O32/30)*'MF Rents'!DY32*'MF Rollover'!DV32)</f>
        <v/>
      </c>
      <c r="DX32" s="149" t="str">
        <f>IF($B32=0,"",($O32/30)*'MF Rents'!DZ32*'MF Rollover'!DW32)</f>
        <v/>
      </c>
      <c r="DY32" s="149" t="str">
        <f>IF($B32=0,"",($O32/30)*'MF Rents'!EA32*'MF Rollover'!DX32)</f>
        <v/>
      </c>
      <c r="DZ32" s="149" t="str">
        <f>IF($B32=0,"",($O32/30)*'MF Rents'!EB32*'MF Rollover'!DY32)</f>
        <v/>
      </c>
      <c r="EA32" s="149" t="str">
        <f>IF($B32=0,"",($O32/30)*'MF Rents'!EC32*'MF Rollover'!DZ32)</f>
        <v/>
      </c>
      <c r="EB32" s="149" t="str">
        <f>IF($B32=0,"",($O32/30)*'MF Rents'!ED32*'MF Rollover'!EA32)</f>
        <v/>
      </c>
      <c r="EC32" s="149" t="str">
        <f>IF($B32=0,"",($O32/30)*'MF Rents'!EE32*'MF Rollover'!EB32)</f>
        <v/>
      </c>
      <c r="ED32" s="149" t="str">
        <f>IF($B32=0,"",($O32/30)*'MF Rents'!EF32*'MF Rollover'!EC32)</f>
        <v/>
      </c>
      <c r="EE32" s="149" t="str">
        <f>IF($B32=0,"",($O32/30)*'MF Rents'!EG32*'MF Rollover'!ED32)</f>
        <v/>
      </c>
      <c r="EF32" s="149" t="str">
        <f>IF($B32=0,"",($O32/30)*'MF Rents'!EH32*'MF Rollover'!EE32)</f>
        <v/>
      </c>
      <c r="EG32" s="149" t="str">
        <f>IF($B32=0,"",($O32/30)*'MF Rents'!EI32*'MF Rollover'!EF32)</f>
        <v/>
      </c>
      <c r="EH32" s="149" t="str">
        <f>IF($B32=0,"",($O32/30)*'MF Rents'!EJ32*'MF Rollover'!EG32)</f>
        <v/>
      </c>
      <c r="EI32" s="149" t="str">
        <f>IF($B32=0,"",($O32/30)*'MF Rents'!EK32*'MF Rollover'!EH32)</f>
        <v/>
      </c>
      <c r="EJ32" s="149" t="str">
        <f>IF($B32=0,"",($O32/30)*'MF Rents'!EL32*'MF Rollover'!EI32)</f>
        <v/>
      </c>
      <c r="EK32" s="149" t="str">
        <f>IF($B32=0,"",($O32/30)*'MF Rents'!EM32*'MF Rollover'!EJ32)</f>
        <v/>
      </c>
      <c r="EL32" s="149" t="str">
        <f>IF($B32=0,"",($O32/30)*'MF Rents'!EN32*'MF Rollover'!EK32)</f>
        <v/>
      </c>
      <c r="EM32" s="149" t="str">
        <f>IF($B32=0,"",($O32/30)*'MF Rents'!EO32*'MF Rollover'!EL32)</f>
        <v/>
      </c>
      <c r="EN32" s="149" t="str">
        <f>IF($B32=0,"",($O32/30)*'MF Rents'!EP32*'MF Rollover'!EM32)</f>
        <v/>
      </c>
      <c r="EO32" s="149" t="str">
        <f>IF($B32=0,"",($O32/30)*'MF Rents'!EQ32*'MF Rollover'!EN32)</f>
        <v/>
      </c>
      <c r="EP32" s="149" t="str">
        <f>IF($B32=0,"",($O32/30)*'MF Rents'!ER32*'MF Rollover'!EO32)</f>
        <v/>
      </c>
      <c r="EQ32" s="149" t="str">
        <f>IF($B32=0,"",($O32/30)*'MF Rents'!ES32*'MF Rollover'!EP32)</f>
        <v/>
      </c>
      <c r="ER32" s="149" t="str">
        <f>IF($B32=0,"",($O32/30)*'MF Rents'!ET32*'MF Rollover'!EQ32)</f>
        <v/>
      </c>
      <c r="ES32" s="149" t="str">
        <f>IF($B32=0,"",($O32/30)*'MF Rents'!EU32*'MF Rollover'!ER32)</f>
        <v/>
      </c>
      <c r="ET32" s="149" t="str">
        <f>IF($B32=0,"",($O32/30)*'MF Rents'!EV32*'MF Rollover'!ES32)</f>
        <v/>
      </c>
      <c r="EU32" s="149" t="str">
        <f>IF($B32=0,"",($O32/30)*'MF Rents'!EW32*'MF Rollover'!ET32)</f>
        <v/>
      </c>
      <c r="EV32" s="149" t="str">
        <f>IF($B32=0,"",($O32/30)*'MF Rents'!EX32*'MF Rollover'!EU32)</f>
        <v/>
      </c>
      <c r="EW32" s="149" t="str">
        <f>IF($B32=0,"",($O32/30)*'MF Rents'!EY32*'MF Rollover'!EV32)</f>
        <v/>
      </c>
      <c r="EX32" s="149" t="str">
        <f>IF($B32=0,"",($O32/30)*'MF Rents'!EZ32*'MF Rollover'!EW32)</f>
        <v/>
      </c>
      <c r="EY32" s="149" t="str">
        <f>IF($B32=0,"",($O32/30)*'MF Rents'!FA32*'MF Rollover'!EX32)</f>
        <v/>
      </c>
      <c r="EZ32" s="149" t="str">
        <f>IF($B32=0,"",($O32/30)*'MF Rents'!FB32*'MF Rollover'!EY32)</f>
        <v/>
      </c>
      <c r="FA32" s="149" t="str">
        <f>IF($B32=0,"",($O32/30)*'MF Rents'!FC32*'MF Rollover'!EZ32)</f>
        <v/>
      </c>
      <c r="FB32" s="149" t="str">
        <f>IF($B32=0,"",($O32/30)*'MF Rents'!FD32*'MF Rollover'!FA32)</f>
        <v/>
      </c>
      <c r="FC32" s="149" t="str">
        <f>IF($B32=0,"",($O32/30)*'MF Rents'!FE32*'MF Rollover'!FB32)</f>
        <v/>
      </c>
      <c r="FD32" s="149" t="str">
        <f>IF($B32=0,"",($O32/30)*'MF Rents'!FF32*'MF Rollover'!FC32)</f>
        <v/>
      </c>
      <c r="FE32" s="149" t="str">
        <f>IF($B32=0,"",($O32/30)*'MF Rents'!FG32*'MF Rollover'!FD32)</f>
        <v/>
      </c>
      <c r="FF32" s="149" t="str">
        <f>IF($B32=0,"",($O32/30)*'MF Rents'!FH32*'MF Rollover'!FE32)</f>
        <v/>
      </c>
      <c r="FG32" s="149" t="str">
        <f>IF($B32=0,"",($O32/30)*'MF Rents'!FI32*'MF Rollover'!FF32)</f>
        <v/>
      </c>
      <c r="FH32" s="149" t="str">
        <f>IF($B32=0,"",($O32/30)*'MF Rents'!FJ32*'MF Rollover'!FG32)</f>
        <v/>
      </c>
      <c r="FI32" s="149" t="str">
        <f>IF($B32=0,"",($O32/30)*'MF Rents'!FK32*'MF Rollover'!FH32)</f>
        <v/>
      </c>
      <c r="FJ32" s="149" t="str">
        <f>IF($B32=0,"",($O32/30)*'MF Rents'!FL32*'MF Rollover'!FI32)</f>
        <v/>
      </c>
      <c r="FK32" s="149" t="str">
        <f>IF($B32=0,"",($O32/30)*'MF Rents'!FM32*'MF Rollover'!FJ32)</f>
        <v/>
      </c>
      <c r="FL32" s="149" t="str">
        <f>IF($B32=0,"",($O32/30)*'MF Rents'!FN32*'MF Rollover'!FK32)</f>
        <v/>
      </c>
      <c r="FM32" s="149" t="str">
        <f>IF($B32=0,"",($O32/30)*'MF Rents'!FO32*'MF Rollover'!FL32)</f>
        <v/>
      </c>
      <c r="FN32" s="149" t="str">
        <f>IF($B32=0,"",($O32/30)*'MF Rents'!FP32*'MF Rollover'!FM32)</f>
        <v/>
      </c>
      <c r="FO32" s="149" t="str">
        <f>IF($B32=0,"",($O32/30)*'MF Rents'!FQ32*'MF Rollover'!FN32)</f>
        <v/>
      </c>
      <c r="FP32" s="149" t="str">
        <f>IF($B32=0,"",($O32/30)*'MF Rents'!FR32*'MF Rollover'!FO32)</f>
        <v/>
      </c>
      <c r="FQ32" s="149" t="str">
        <f>IF($B32=0,"",($O32/30)*'MF Rents'!FS32*'MF Rollover'!FP32)</f>
        <v/>
      </c>
      <c r="FR32" s="149" t="str">
        <f>IF($B32=0,"",($O32/30)*'MF Rents'!FT32*'MF Rollover'!FQ32)</f>
        <v/>
      </c>
      <c r="FS32" s="149" t="str">
        <f>IF($B32=0,"",($O32/30)*'MF Rents'!FU32*'MF Rollover'!FR32)</f>
        <v/>
      </c>
      <c r="FT32" s="149" t="str">
        <f>IF($B32=0,"",($O32/30)*'MF Rents'!FV32*'MF Rollover'!FS32)</f>
        <v/>
      </c>
      <c r="FU32" s="149" t="str">
        <f>IF($B32=0,"",($O32/30)*'MF Rents'!FW32*'MF Rollover'!FT32)</f>
        <v/>
      </c>
      <c r="FV32" s="149" t="str">
        <f>IF($B32=0,"",($O32/30)*'MF Rents'!FX32*'MF Rollover'!FU32)</f>
        <v/>
      </c>
      <c r="FW32" s="149" t="str">
        <f>IF($B32=0,"",($O32/30)*'MF Rents'!FY32*'MF Rollover'!FV32)</f>
        <v/>
      </c>
      <c r="FX32" s="149" t="str">
        <f>IF($B32=0,"",($O32/30)*'MF Rents'!FZ32*'MF Rollover'!FW32)</f>
        <v/>
      </c>
      <c r="FY32" s="149" t="str">
        <f>IF($B32=0,"",($O32/30)*'MF Rents'!GA32*'MF Rollover'!FX32)</f>
        <v/>
      </c>
      <c r="FZ32" s="149" t="str">
        <f>IF($B32=0,"",($O32/30)*'MF Rents'!GB32*'MF Rollover'!FY32)</f>
        <v/>
      </c>
      <c r="GA32" s="149" t="str">
        <f>IF($B32=0,"",($O32/30)*'MF Rents'!GC32*'MF Rollover'!FZ32)</f>
        <v/>
      </c>
      <c r="GB32" s="149" t="str">
        <f>IF($B32=0,"",($O32/30)*'MF Rents'!GD32*'MF Rollover'!GA32)</f>
        <v/>
      </c>
      <c r="GC32" s="149" t="str">
        <f>IF($B32=0,"",($O32/30)*'MF Rents'!GE32*'MF Rollover'!GB32)</f>
        <v/>
      </c>
      <c r="GD32" s="149" t="str">
        <f>IF($B32=0,"",($O32/30)*'MF Rents'!GF32*'MF Rollover'!GC32)</f>
        <v/>
      </c>
      <c r="GE32" s="149" t="str">
        <f>IF($B32=0,"",($O32/30)*'MF Rents'!GG32*'MF Rollover'!GD32)</f>
        <v/>
      </c>
      <c r="GF32" s="149" t="str">
        <f>IF($B32=0,"",($O32/30)*'MF Rents'!GH32*'MF Rollover'!GE32)</f>
        <v/>
      </c>
      <c r="GG32" s="149" t="str">
        <f>IF($B32=0,"",($O32/30)*'MF Rents'!GI32*'MF Rollover'!GF32)</f>
        <v/>
      </c>
      <c r="GH32" s="149" t="str">
        <f>IF($B32=0,"",($O32/30)*'MF Rents'!GJ32*'MF Rollover'!GG32)</f>
        <v/>
      </c>
      <c r="GI32" s="149" t="str">
        <f>IF($B32=0,"",($O32/30)*'MF Rents'!GK32*'MF Rollover'!GH32)</f>
        <v/>
      </c>
      <c r="GJ32" s="149" t="str">
        <f>IF($B32=0,"",($O32/30)*'MF Rents'!GL32*'MF Rollover'!GI32)</f>
        <v/>
      </c>
      <c r="GK32" s="149" t="str">
        <f>IF($B32=0,"",($O32/30)*'MF Rents'!GM32*'MF Rollover'!GJ32)</f>
        <v/>
      </c>
      <c r="GL32" s="149" t="str">
        <f>IF($B32=0,"",($O32/30)*'MF Rents'!GN32*'MF Rollover'!GK32)</f>
        <v/>
      </c>
      <c r="GM32" s="149" t="str">
        <f>IF($B32=0,"",($O32/30)*'MF Rents'!GO32*'MF Rollover'!GL32)</f>
        <v/>
      </c>
      <c r="GN32" s="149" t="str">
        <f>IF($B32=0,"",($O32/30)*'MF Rents'!GP32*'MF Rollover'!GM32)</f>
        <v/>
      </c>
      <c r="GO32" s="149" t="str">
        <f>IF($B32=0,"",($O32/30)*'MF Rents'!GQ32*'MF Rollover'!GN32)</f>
        <v/>
      </c>
      <c r="GP32" s="149" t="str">
        <f>IF($B32=0,"",($O32/30)*'MF Rents'!GR32*'MF Rollover'!GO32)</f>
        <v/>
      </c>
    </row>
    <row r="33" spans="2:198" x14ac:dyDescent="0.3">
      <c r="B33" s="184">
        <f>'MF Rent Roll'!B32</f>
        <v>0</v>
      </c>
      <c r="C33" s="171">
        <f>'MF Rent Roll'!C32</f>
        <v>0</v>
      </c>
      <c r="D33" s="172">
        <f>'MF Rent Roll'!D32</f>
        <v>0</v>
      </c>
      <c r="E33" s="172">
        <f>'MF Rent Roll'!E32</f>
        <v>0</v>
      </c>
      <c r="F33" s="173">
        <f>'MF Rent Roll'!F32</f>
        <v>0</v>
      </c>
      <c r="G33" s="174">
        <f>'MF Rent Roll'!G32</f>
        <v>0</v>
      </c>
      <c r="H33" s="176">
        <f>'MF Rent Roll'!J32</f>
        <v>0</v>
      </c>
      <c r="I33" s="174">
        <f>'MF Rent Roll'!K32</f>
        <v>0</v>
      </c>
      <c r="J33" s="177">
        <f>'MF Rent Roll'!L32</f>
        <v>0</v>
      </c>
      <c r="K33" s="178">
        <f>'MF Rent Roll'!M32</f>
        <v>0</v>
      </c>
      <c r="L33" s="174">
        <f>'MF Rent Roll'!N32</f>
        <v>0</v>
      </c>
      <c r="M33" s="179">
        <f>'MF Rent Roll'!O32</f>
        <v>0</v>
      </c>
      <c r="N33" s="180" t="str">
        <f>'MF Rent Roll'!P32</f>
        <v/>
      </c>
      <c r="O33" s="181" t="str">
        <f>'MF Rent Roll'!Q32</f>
        <v/>
      </c>
      <c r="P33" s="104" t="str">
        <f>'MF Rent Roll'!R32</f>
        <v/>
      </c>
      <c r="S33" s="149" t="str">
        <f>IF($B33=0,"",($O33/30)*'MF Rents'!U33*'MF Rollover'!R33)</f>
        <v/>
      </c>
      <c r="T33" s="149" t="str">
        <f>IF($B33=0,"",($O33/30)*'MF Rents'!V33*'MF Rollover'!S33)</f>
        <v/>
      </c>
      <c r="U33" s="149" t="str">
        <f>IF($B33=0,"",($O33/30)*'MF Rents'!W33*'MF Rollover'!T33)</f>
        <v/>
      </c>
      <c r="V33" s="149" t="str">
        <f>IF($B33=0,"",($O33/30)*'MF Rents'!X33*'MF Rollover'!U33)</f>
        <v/>
      </c>
      <c r="W33" s="149" t="str">
        <f>IF($B33=0,"",($O33/30)*'MF Rents'!Y33*'MF Rollover'!V33)</f>
        <v/>
      </c>
      <c r="X33" s="149" t="str">
        <f>IF($B33=0,"",($O33/30)*'MF Rents'!Z33*'MF Rollover'!W33)</f>
        <v/>
      </c>
      <c r="Y33" s="149" t="str">
        <f>IF($B33=0,"",($O33/30)*'MF Rents'!AA33*'MF Rollover'!X33)</f>
        <v/>
      </c>
      <c r="Z33" s="149" t="str">
        <f>IF($B33=0,"",($O33/30)*'MF Rents'!AB33*'MF Rollover'!Y33)</f>
        <v/>
      </c>
      <c r="AA33" s="149" t="str">
        <f>IF($B33=0,"",($O33/30)*'MF Rents'!AC33*'MF Rollover'!Z33)</f>
        <v/>
      </c>
      <c r="AB33" s="149" t="str">
        <f>IF($B33=0,"",($O33/30)*'MF Rents'!AD33*'MF Rollover'!AA33)</f>
        <v/>
      </c>
      <c r="AC33" s="149" t="str">
        <f>IF($B33=0,"",($O33/30)*'MF Rents'!AE33*'MF Rollover'!AB33)</f>
        <v/>
      </c>
      <c r="AD33" s="149" t="str">
        <f>IF($B33=0,"",($O33/30)*'MF Rents'!AF33*'MF Rollover'!AC33)</f>
        <v/>
      </c>
      <c r="AE33" s="149" t="str">
        <f>IF($B33=0,"",($O33/30)*'MF Rents'!AG33*'MF Rollover'!AD33)</f>
        <v/>
      </c>
      <c r="AF33" s="149" t="str">
        <f>IF($B33=0,"",($O33/30)*'MF Rents'!AH33*'MF Rollover'!AE33)</f>
        <v/>
      </c>
      <c r="AG33" s="149" t="str">
        <f>IF($B33=0,"",($O33/30)*'MF Rents'!AI33*'MF Rollover'!AF33)</f>
        <v/>
      </c>
      <c r="AH33" s="149" t="str">
        <f>IF($B33=0,"",($O33/30)*'MF Rents'!AJ33*'MF Rollover'!AG33)</f>
        <v/>
      </c>
      <c r="AI33" s="149" t="str">
        <f>IF($B33=0,"",($O33/30)*'MF Rents'!AK33*'MF Rollover'!AH33)</f>
        <v/>
      </c>
      <c r="AJ33" s="149" t="str">
        <f>IF($B33=0,"",($O33/30)*'MF Rents'!AL33*'MF Rollover'!AI33)</f>
        <v/>
      </c>
      <c r="AK33" s="149" t="str">
        <f>IF($B33=0,"",($O33/30)*'MF Rents'!AM33*'MF Rollover'!AJ33)</f>
        <v/>
      </c>
      <c r="AL33" s="149" t="str">
        <f>IF($B33=0,"",($O33/30)*'MF Rents'!AN33*'MF Rollover'!AK33)</f>
        <v/>
      </c>
      <c r="AM33" s="149" t="str">
        <f>IF($B33=0,"",($O33/30)*'MF Rents'!AO33*'MF Rollover'!AL33)</f>
        <v/>
      </c>
      <c r="AN33" s="149" t="str">
        <f>IF($B33=0,"",($O33/30)*'MF Rents'!AP33*'MF Rollover'!AM33)</f>
        <v/>
      </c>
      <c r="AO33" s="149" t="str">
        <f>IF($B33=0,"",($O33/30)*'MF Rents'!AQ33*'MF Rollover'!AN33)</f>
        <v/>
      </c>
      <c r="AP33" s="149" t="str">
        <f>IF($B33=0,"",($O33/30)*'MF Rents'!AR33*'MF Rollover'!AO33)</f>
        <v/>
      </c>
      <c r="AQ33" s="149" t="str">
        <f>IF($B33=0,"",($O33/30)*'MF Rents'!AS33*'MF Rollover'!AP33)</f>
        <v/>
      </c>
      <c r="AR33" s="149" t="str">
        <f>IF($B33=0,"",($O33/30)*'MF Rents'!AT33*'MF Rollover'!AQ33)</f>
        <v/>
      </c>
      <c r="AS33" s="149" t="str">
        <f>IF($B33=0,"",($O33/30)*'MF Rents'!AU33*'MF Rollover'!AR33)</f>
        <v/>
      </c>
      <c r="AT33" s="149" t="str">
        <f>IF($B33=0,"",($O33/30)*'MF Rents'!AV33*'MF Rollover'!AS33)</f>
        <v/>
      </c>
      <c r="AU33" s="149" t="str">
        <f>IF($B33=0,"",($O33/30)*'MF Rents'!AW33*'MF Rollover'!AT33)</f>
        <v/>
      </c>
      <c r="AV33" s="149" t="str">
        <f>IF($B33=0,"",($O33/30)*'MF Rents'!AX33*'MF Rollover'!AU33)</f>
        <v/>
      </c>
      <c r="AW33" s="149" t="str">
        <f>IF($B33=0,"",($O33/30)*'MF Rents'!AY33*'MF Rollover'!AV33)</f>
        <v/>
      </c>
      <c r="AX33" s="149" t="str">
        <f>IF($B33=0,"",($O33/30)*'MF Rents'!AZ33*'MF Rollover'!AW33)</f>
        <v/>
      </c>
      <c r="AY33" s="149" t="str">
        <f>IF($B33=0,"",($O33/30)*'MF Rents'!BA33*'MF Rollover'!AX33)</f>
        <v/>
      </c>
      <c r="AZ33" s="149" t="str">
        <f>IF($B33=0,"",($O33/30)*'MF Rents'!BB33*'MF Rollover'!AY33)</f>
        <v/>
      </c>
      <c r="BA33" s="149" t="str">
        <f>IF($B33=0,"",($O33/30)*'MF Rents'!BC33*'MF Rollover'!AZ33)</f>
        <v/>
      </c>
      <c r="BB33" s="149" t="str">
        <f>IF($B33=0,"",($O33/30)*'MF Rents'!BD33*'MF Rollover'!BA33)</f>
        <v/>
      </c>
      <c r="BC33" s="149" t="str">
        <f>IF($B33=0,"",($O33/30)*'MF Rents'!BE33*'MF Rollover'!BB33)</f>
        <v/>
      </c>
      <c r="BD33" s="149" t="str">
        <f>IF($B33=0,"",($O33/30)*'MF Rents'!BF33*'MF Rollover'!BC33)</f>
        <v/>
      </c>
      <c r="BE33" s="149" t="str">
        <f>IF($B33=0,"",($O33/30)*'MF Rents'!BG33*'MF Rollover'!BD33)</f>
        <v/>
      </c>
      <c r="BF33" s="149" t="str">
        <f>IF($B33=0,"",($O33/30)*'MF Rents'!BH33*'MF Rollover'!BE33)</f>
        <v/>
      </c>
      <c r="BG33" s="149" t="str">
        <f>IF($B33=0,"",($O33/30)*'MF Rents'!BI33*'MF Rollover'!BF33)</f>
        <v/>
      </c>
      <c r="BH33" s="149" t="str">
        <f>IF($B33=0,"",($O33/30)*'MF Rents'!BJ33*'MF Rollover'!BG33)</f>
        <v/>
      </c>
      <c r="BI33" s="149" t="str">
        <f>IF($B33=0,"",($O33/30)*'MF Rents'!BK33*'MF Rollover'!BH33)</f>
        <v/>
      </c>
      <c r="BJ33" s="149" t="str">
        <f>IF($B33=0,"",($O33/30)*'MF Rents'!BL33*'MF Rollover'!BI33)</f>
        <v/>
      </c>
      <c r="BK33" s="149" t="str">
        <f>IF($B33=0,"",($O33/30)*'MF Rents'!BM33*'MF Rollover'!BJ33)</f>
        <v/>
      </c>
      <c r="BL33" s="149" t="str">
        <f>IF($B33=0,"",($O33/30)*'MF Rents'!BN33*'MF Rollover'!BK33)</f>
        <v/>
      </c>
      <c r="BM33" s="149" t="str">
        <f>IF($B33=0,"",($O33/30)*'MF Rents'!BO33*'MF Rollover'!BL33)</f>
        <v/>
      </c>
      <c r="BN33" s="149" t="str">
        <f>IF($B33=0,"",($O33/30)*'MF Rents'!BP33*'MF Rollover'!BM33)</f>
        <v/>
      </c>
      <c r="BO33" s="149" t="str">
        <f>IF($B33=0,"",($O33/30)*'MF Rents'!BQ33*'MF Rollover'!BN33)</f>
        <v/>
      </c>
      <c r="BP33" s="149" t="str">
        <f>IF($B33=0,"",($O33/30)*'MF Rents'!BR33*'MF Rollover'!BO33)</f>
        <v/>
      </c>
      <c r="BQ33" s="149" t="str">
        <f>IF($B33=0,"",($O33/30)*'MF Rents'!BS33*'MF Rollover'!BP33)</f>
        <v/>
      </c>
      <c r="BR33" s="149" t="str">
        <f>IF($B33=0,"",($O33/30)*'MF Rents'!BT33*'MF Rollover'!BQ33)</f>
        <v/>
      </c>
      <c r="BS33" s="149" t="str">
        <f>IF($B33=0,"",($O33/30)*'MF Rents'!BU33*'MF Rollover'!BR33)</f>
        <v/>
      </c>
      <c r="BT33" s="149" t="str">
        <f>IF($B33=0,"",($O33/30)*'MF Rents'!BV33*'MF Rollover'!BS33)</f>
        <v/>
      </c>
      <c r="BU33" s="149" t="str">
        <f>IF($B33=0,"",($O33/30)*'MF Rents'!BW33*'MF Rollover'!BT33)</f>
        <v/>
      </c>
      <c r="BV33" s="149" t="str">
        <f>IF($B33=0,"",($O33/30)*'MF Rents'!BX33*'MF Rollover'!BU33)</f>
        <v/>
      </c>
      <c r="BW33" s="149" t="str">
        <f>IF($B33=0,"",($O33/30)*'MF Rents'!BY33*'MF Rollover'!BV33)</f>
        <v/>
      </c>
      <c r="BX33" s="149" t="str">
        <f>IF($B33=0,"",($O33/30)*'MF Rents'!BZ33*'MF Rollover'!BW33)</f>
        <v/>
      </c>
      <c r="BY33" s="149" t="str">
        <f>IF($B33=0,"",($O33/30)*'MF Rents'!CA33*'MF Rollover'!BX33)</f>
        <v/>
      </c>
      <c r="BZ33" s="149" t="str">
        <f>IF($B33=0,"",($O33/30)*'MF Rents'!CB33*'MF Rollover'!BY33)</f>
        <v/>
      </c>
      <c r="CA33" s="149" t="str">
        <f>IF($B33=0,"",($O33/30)*'MF Rents'!CC33*'MF Rollover'!BZ33)</f>
        <v/>
      </c>
      <c r="CB33" s="149" t="str">
        <f>IF($B33=0,"",($O33/30)*'MF Rents'!CD33*'MF Rollover'!CA33)</f>
        <v/>
      </c>
      <c r="CC33" s="149" t="str">
        <f>IF($B33=0,"",($O33/30)*'MF Rents'!CE33*'MF Rollover'!CB33)</f>
        <v/>
      </c>
      <c r="CD33" s="149" t="str">
        <f>IF($B33=0,"",($O33/30)*'MF Rents'!CF33*'MF Rollover'!CC33)</f>
        <v/>
      </c>
      <c r="CE33" s="149" t="str">
        <f>IF($B33=0,"",($O33/30)*'MF Rents'!CG33*'MF Rollover'!CD33)</f>
        <v/>
      </c>
      <c r="CF33" s="149" t="str">
        <f>IF($B33=0,"",($O33/30)*'MF Rents'!CH33*'MF Rollover'!CE33)</f>
        <v/>
      </c>
      <c r="CG33" s="149" t="str">
        <f>IF($B33=0,"",($O33/30)*'MF Rents'!CI33*'MF Rollover'!CF33)</f>
        <v/>
      </c>
      <c r="CH33" s="149" t="str">
        <f>IF($B33=0,"",($O33/30)*'MF Rents'!CJ33*'MF Rollover'!CG33)</f>
        <v/>
      </c>
      <c r="CI33" s="149" t="str">
        <f>IF($B33=0,"",($O33/30)*'MF Rents'!CK33*'MF Rollover'!CH33)</f>
        <v/>
      </c>
      <c r="CJ33" s="149" t="str">
        <f>IF($B33=0,"",($O33/30)*'MF Rents'!CL33*'MF Rollover'!CI33)</f>
        <v/>
      </c>
      <c r="CK33" s="149" t="str">
        <f>IF($B33=0,"",($O33/30)*'MF Rents'!CM33*'MF Rollover'!CJ33)</f>
        <v/>
      </c>
      <c r="CL33" s="149" t="str">
        <f>IF($B33=0,"",($O33/30)*'MF Rents'!CN33*'MF Rollover'!CK33)</f>
        <v/>
      </c>
      <c r="CM33" s="149" t="str">
        <f>IF($B33=0,"",($O33/30)*'MF Rents'!CO33*'MF Rollover'!CL33)</f>
        <v/>
      </c>
      <c r="CN33" s="149" t="str">
        <f>IF($B33=0,"",($O33/30)*'MF Rents'!CP33*'MF Rollover'!CM33)</f>
        <v/>
      </c>
      <c r="CO33" s="149" t="str">
        <f>IF($B33=0,"",($O33/30)*'MF Rents'!CQ33*'MF Rollover'!CN33)</f>
        <v/>
      </c>
      <c r="CP33" s="149" t="str">
        <f>IF($B33=0,"",($O33/30)*'MF Rents'!CR33*'MF Rollover'!CO33)</f>
        <v/>
      </c>
      <c r="CQ33" s="149" t="str">
        <f>IF($B33=0,"",($O33/30)*'MF Rents'!CS33*'MF Rollover'!CP33)</f>
        <v/>
      </c>
      <c r="CR33" s="149" t="str">
        <f>IF($B33=0,"",($O33/30)*'MF Rents'!CT33*'MF Rollover'!CQ33)</f>
        <v/>
      </c>
      <c r="CS33" s="149" t="str">
        <f>IF($B33=0,"",($O33/30)*'MF Rents'!CU33*'MF Rollover'!CR33)</f>
        <v/>
      </c>
      <c r="CT33" s="149" t="str">
        <f>IF($B33=0,"",($O33/30)*'MF Rents'!CV33*'MF Rollover'!CS33)</f>
        <v/>
      </c>
      <c r="CU33" s="149" t="str">
        <f>IF($B33=0,"",($O33/30)*'MF Rents'!CW33*'MF Rollover'!CT33)</f>
        <v/>
      </c>
      <c r="CV33" s="149" t="str">
        <f>IF($B33=0,"",($O33/30)*'MF Rents'!CX33*'MF Rollover'!CU33)</f>
        <v/>
      </c>
      <c r="CW33" s="149" t="str">
        <f>IF($B33=0,"",($O33/30)*'MF Rents'!CY33*'MF Rollover'!CV33)</f>
        <v/>
      </c>
      <c r="CX33" s="149" t="str">
        <f>IF($B33=0,"",($O33/30)*'MF Rents'!CZ33*'MF Rollover'!CW33)</f>
        <v/>
      </c>
      <c r="CY33" s="149" t="str">
        <f>IF($B33=0,"",($O33/30)*'MF Rents'!DA33*'MF Rollover'!CX33)</f>
        <v/>
      </c>
      <c r="CZ33" s="149" t="str">
        <f>IF($B33=0,"",($O33/30)*'MF Rents'!DB33*'MF Rollover'!CY33)</f>
        <v/>
      </c>
      <c r="DA33" s="149" t="str">
        <f>IF($B33=0,"",($O33/30)*'MF Rents'!DC33*'MF Rollover'!CZ33)</f>
        <v/>
      </c>
      <c r="DB33" s="149" t="str">
        <f>IF($B33=0,"",($O33/30)*'MF Rents'!DD33*'MF Rollover'!DA33)</f>
        <v/>
      </c>
      <c r="DC33" s="149" t="str">
        <f>IF($B33=0,"",($O33/30)*'MF Rents'!DE33*'MF Rollover'!DB33)</f>
        <v/>
      </c>
      <c r="DD33" s="149" t="str">
        <f>IF($B33=0,"",($O33/30)*'MF Rents'!DF33*'MF Rollover'!DC33)</f>
        <v/>
      </c>
      <c r="DE33" s="149" t="str">
        <f>IF($B33=0,"",($O33/30)*'MF Rents'!DG33*'MF Rollover'!DD33)</f>
        <v/>
      </c>
      <c r="DF33" s="149" t="str">
        <f>IF($B33=0,"",($O33/30)*'MF Rents'!DH33*'MF Rollover'!DE33)</f>
        <v/>
      </c>
      <c r="DG33" s="149" t="str">
        <f>IF($B33=0,"",($O33/30)*'MF Rents'!DI33*'MF Rollover'!DF33)</f>
        <v/>
      </c>
      <c r="DH33" s="149" t="str">
        <f>IF($B33=0,"",($O33/30)*'MF Rents'!DJ33*'MF Rollover'!DG33)</f>
        <v/>
      </c>
      <c r="DI33" s="149" t="str">
        <f>IF($B33=0,"",($O33/30)*'MF Rents'!DK33*'MF Rollover'!DH33)</f>
        <v/>
      </c>
      <c r="DJ33" s="149" t="str">
        <f>IF($B33=0,"",($O33/30)*'MF Rents'!DL33*'MF Rollover'!DI33)</f>
        <v/>
      </c>
      <c r="DK33" s="149" t="str">
        <f>IF($B33=0,"",($O33/30)*'MF Rents'!DM33*'MF Rollover'!DJ33)</f>
        <v/>
      </c>
      <c r="DL33" s="149" t="str">
        <f>IF($B33=0,"",($O33/30)*'MF Rents'!DN33*'MF Rollover'!DK33)</f>
        <v/>
      </c>
      <c r="DM33" s="149" t="str">
        <f>IF($B33=0,"",($O33/30)*'MF Rents'!DO33*'MF Rollover'!DL33)</f>
        <v/>
      </c>
      <c r="DN33" s="149" t="str">
        <f>IF($B33=0,"",($O33/30)*'MF Rents'!DP33*'MF Rollover'!DM33)</f>
        <v/>
      </c>
      <c r="DO33" s="149" t="str">
        <f>IF($B33=0,"",($O33/30)*'MF Rents'!DQ33*'MF Rollover'!DN33)</f>
        <v/>
      </c>
      <c r="DP33" s="149" t="str">
        <f>IF($B33=0,"",($O33/30)*'MF Rents'!DR33*'MF Rollover'!DO33)</f>
        <v/>
      </c>
      <c r="DQ33" s="149" t="str">
        <f>IF($B33=0,"",($O33/30)*'MF Rents'!DS33*'MF Rollover'!DP33)</f>
        <v/>
      </c>
      <c r="DR33" s="149" t="str">
        <f>IF($B33=0,"",($O33/30)*'MF Rents'!DT33*'MF Rollover'!DQ33)</f>
        <v/>
      </c>
      <c r="DS33" s="149" t="str">
        <f>IF($B33=0,"",($O33/30)*'MF Rents'!DU33*'MF Rollover'!DR33)</f>
        <v/>
      </c>
      <c r="DT33" s="149" t="str">
        <f>IF($B33=0,"",($O33/30)*'MF Rents'!DV33*'MF Rollover'!DS33)</f>
        <v/>
      </c>
      <c r="DU33" s="149" t="str">
        <f>IF($B33=0,"",($O33/30)*'MF Rents'!DW33*'MF Rollover'!DT33)</f>
        <v/>
      </c>
      <c r="DV33" s="149" t="str">
        <f>IF($B33=0,"",($O33/30)*'MF Rents'!DX33*'MF Rollover'!DU33)</f>
        <v/>
      </c>
      <c r="DW33" s="149" t="str">
        <f>IF($B33=0,"",($O33/30)*'MF Rents'!DY33*'MF Rollover'!DV33)</f>
        <v/>
      </c>
      <c r="DX33" s="149" t="str">
        <f>IF($B33=0,"",($O33/30)*'MF Rents'!DZ33*'MF Rollover'!DW33)</f>
        <v/>
      </c>
      <c r="DY33" s="149" t="str">
        <f>IF($B33=0,"",($O33/30)*'MF Rents'!EA33*'MF Rollover'!DX33)</f>
        <v/>
      </c>
      <c r="DZ33" s="149" t="str">
        <f>IF($B33=0,"",($O33/30)*'MF Rents'!EB33*'MF Rollover'!DY33)</f>
        <v/>
      </c>
      <c r="EA33" s="149" t="str">
        <f>IF($B33=0,"",($O33/30)*'MF Rents'!EC33*'MF Rollover'!DZ33)</f>
        <v/>
      </c>
      <c r="EB33" s="149" t="str">
        <f>IF($B33=0,"",($O33/30)*'MF Rents'!ED33*'MF Rollover'!EA33)</f>
        <v/>
      </c>
      <c r="EC33" s="149" t="str">
        <f>IF($B33=0,"",($O33/30)*'MF Rents'!EE33*'MF Rollover'!EB33)</f>
        <v/>
      </c>
      <c r="ED33" s="149" t="str">
        <f>IF($B33=0,"",($O33/30)*'MF Rents'!EF33*'MF Rollover'!EC33)</f>
        <v/>
      </c>
      <c r="EE33" s="149" t="str">
        <f>IF($B33=0,"",($O33/30)*'MF Rents'!EG33*'MF Rollover'!ED33)</f>
        <v/>
      </c>
      <c r="EF33" s="149" t="str">
        <f>IF($B33=0,"",($O33/30)*'MF Rents'!EH33*'MF Rollover'!EE33)</f>
        <v/>
      </c>
      <c r="EG33" s="149" t="str">
        <f>IF($B33=0,"",($O33/30)*'MF Rents'!EI33*'MF Rollover'!EF33)</f>
        <v/>
      </c>
      <c r="EH33" s="149" t="str">
        <f>IF($B33=0,"",($O33/30)*'MF Rents'!EJ33*'MF Rollover'!EG33)</f>
        <v/>
      </c>
      <c r="EI33" s="149" t="str">
        <f>IF($B33=0,"",($O33/30)*'MF Rents'!EK33*'MF Rollover'!EH33)</f>
        <v/>
      </c>
      <c r="EJ33" s="149" t="str">
        <f>IF($B33=0,"",($O33/30)*'MF Rents'!EL33*'MF Rollover'!EI33)</f>
        <v/>
      </c>
      <c r="EK33" s="149" t="str">
        <f>IF($B33=0,"",($O33/30)*'MF Rents'!EM33*'MF Rollover'!EJ33)</f>
        <v/>
      </c>
      <c r="EL33" s="149" t="str">
        <f>IF($B33=0,"",($O33/30)*'MF Rents'!EN33*'MF Rollover'!EK33)</f>
        <v/>
      </c>
      <c r="EM33" s="149" t="str">
        <f>IF($B33=0,"",($O33/30)*'MF Rents'!EO33*'MF Rollover'!EL33)</f>
        <v/>
      </c>
      <c r="EN33" s="149" t="str">
        <f>IF($B33=0,"",($O33/30)*'MF Rents'!EP33*'MF Rollover'!EM33)</f>
        <v/>
      </c>
      <c r="EO33" s="149" t="str">
        <f>IF($B33=0,"",($O33/30)*'MF Rents'!EQ33*'MF Rollover'!EN33)</f>
        <v/>
      </c>
      <c r="EP33" s="149" t="str">
        <f>IF($B33=0,"",($O33/30)*'MF Rents'!ER33*'MF Rollover'!EO33)</f>
        <v/>
      </c>
      <c r="EQ33" s="149" t="str">
        <f>IF($B33=0,"",($O33/30)*'MF Rents'!ES33*'MF Rollover'!EP33)</f>
        <v/>
      </c>
      <c r="ER33" s="149" t="str">
        <f>IF($B33=0,"",($O33/30)*'MF Rents'!ET33*'MF Rollover'!EQ33)</f>
        <v/>
      </c>
      <c r="ES33" s="149" t="str">
        <f>IF($B33=0,"",($O33/30)*'MF Rents'!EU33*'MF Rollover'!ER33)</f>
        <v/>
      </c>
      <c r="ET33" s="149" t="str">
        <f>IF($B33=0,"",($O33/30)*'MF Rents'!EV33*'MF Rollover'!ES33)</f>
        <v/>
      </c>
      <c r="EU33" s="149" t="str">
        <f>IF($B33=0,"",($O33/30)*'MF Rents'!EW33*'MF Rollover'!ET33)</f>
        <v/>
      </c>
      <c r="EV33" s="149" t="str">
        <f>IF($B33=0,"",($O33/30)*'MF Rents'!EX33*'MF Rollover'!EU33)</f>
        <v/>
      </c>
      <c r="EW33" s="149" t="str">
        <f>IF($B33=0,"",($O33/30)*'MF Rents'!EY33*'MF Rollover'!EV33)</f>
        <v/>
      </c>
      <c r="EX33" s="149" t="str">
        <f>IF($B33=0,"",($O33/30)*'MF Rents'!EZ33*'MF Rollover'!EW33)</f>
        <v/>
      </c>
      <c r="EY33" s="149" t="str">
        <f>IF($B33=0,"",($O33/30)*'MF Rents'!FA33*'MF Rollover'!EX33)</f>
        <v/>
      </c>
      <c r="EZ33" s="149" t="str">
        <f>IF($B33=0,"",($O33/30)*'MF Rents'!FB33*'MF Rollover'!EY33)</f>
        <v/>
      </c>
      <c r="FA33" s="149" t="str">
        <f>IF($B33=0,"",($O33/30)*'MF Rents'!FC33*'MF Rollover'!EZ33)</f>
        <v/>
      </c>
      <c r="FB33" s="149" t="str">
        <f>IF($B33=0,"",($O33/30)*'MF Rents'!FD33*'MF Rollover'!FA33)</f>
        <v/>
      </c>
      <c r="FC33" s="149" t="str">
        <f>IF($B33=0,"",($O33/30)*'MF Rents'!FE33*'MF Rollover'!FB33)</f>
        <v/>
      </c>
      <c r="FD33" s="149" t="str">
        <f>IF($B33=0,"",($O33/30)*'MF Rents'!FF33*'MF Rollover'!FC33)</f>
        <v/>
      </c>
      <c r="FE33" s="149" t="str">
        <f>IF($B33=0,"",($O33/30)*'MF Rents'!FG33*'MF Rollover'!FD33)</f>
        <v/>
      </c>
      <c r="FF33" s="149" t="str">
        <f>IF($B33=0,"",($O33/30)*'MF Rents'!FH33*'MF Rollover'!FE33)</f>
        <v/>
      </c>
      <c r="FG33" s="149" t="str">
        <f>IF($B33=0,"",($O33/30)*'MF Rents'!FI33*'MF Rollover'!FF33)</f>
        <v/>
      </c>
      <c r="FH33" s="149" t="str">
        <f>IF($B33=0,"",($O33/30)*'MF Rents'!FJ33*'MF Rollover'!FG33)</f>
        <v/>
      </c>
      <c r="FI33" s="149" t="str">
        <f>IF($B33=0,"",($O33/30)*'MF Rents'!FK33*'MF Rollover'!FH33)</f>
        <v/>
      </c>
      <c r="FJ33" s="149" t="str">
        <f>IF($B33=0,"",($O33/30)*'MF Rents'!FL33*'MF Rollover'!FI33)</f>
        <v/>
      </c>
      <c r="FK33" s="149" t="str">
        <f>IF($B33=0,"",($O33/30)*'MF Rents'!FM33*'MF Rollover'!FJ33)</f>
        <v/>
      </c>
      <c r="FL33" s="149" t="str">
        <f>IF($B33=0,"",($O33/30)*'MF Rents'!FN33*'MF Rollover'!FK33)</f>
        <v/>
      </c>
      <c r="FM33" s="149" t="str">
        <f>IF($B33=0,"",($O33/30)*'MF Rents'!FO33*'MF Rollover'!FL33)</f>
        <v/>
      </c>
      <c r="FN33" s="149" t="str">
        <f>IF($B33=0,"",($O33/30)*'MF Rents'!FP33*'MF Rollover'!FM33)</f>
        <v/>
      </c>
      <c r="FO33" s="149" t="str">
        <f>IF($B33=0,"",($O33/30)*'MF Rents'!FQ33*'MF Rollover'!FN33)</f>
        <v/>
      </c>
      <c r="FP33" s="149" t="str">
        <f>IF($B33=0,"",($O33/30)*'MF Rents'!FR33*'MF Rollover'!FO33)</f>
        <v/>
      </c>
      <c r="FQ33" s="149" t="str">
        <f>IF($B33=0,"",($O33/30)*'MF Rents'!FS33*'MF Rollover'!FP33)</f>
        <v/>
      </c>
      <c r="FR33" s="149" t="str">
        <f>IF($B33=0,"",($O33/30)*'MF Rents'!FT33*'MF Rollover'!FQ33)</f>
        <v/>
      </c>
      <c r="FS33" s="149" t="str">
        <f>IF($B33=0,"",($O33/30)*'MF Rents'!FU33*'MF Rollover'!FR33)</f>
        <v/>
      </c>
      <c r="FT33" s="149" t="str">
        <f>IF($B33=0,"",($O33/30)*'MF Rents'!FV33*'MF Rollover'!FS33)</f>
        <v/>
      </c>
      <c r="FU33" s="149" t="str">
        <f>IF($B33=0,"",($O33/30)*'MF Rents'!FW33*'MF Rollover'!FT33)</f>
        <v/>
      </c>
      <c r="FV33" s="149" t="str">
        <f>IF($B33=0,"",($O33/30)*'MF Rents'!FX33*'MF Rollover'!FU33)</f>
        <v/>
      </c>
      <c r="FW33" s="149" t="str">
        <f>IF($B33=0,"",($O33/30)*'MF Rents'!FY33*'MF Rollover'!FV33)</f>
        <v/>
      </c>
      <c r="FX33" s="149" t="str">
        <f>IF($B33=0,"",($O33/30)*'MF Rents'!FZ33*'MF Rollover'!FW33)</f>
        <v/>
      </c>
      <c r="FY33" s="149" t="str">
        <f>IF($B33=0,"",($O33/30)*'MF Rents'!GA33*'MF Rollover'!FX33)</f>
        <v/>
      </c>
      <c r="FZ33" s="149" t="str">
        <f>IF($B33=0,"",($O33/30)*'MF Rents'!GB33*'MF Rollover'!FY33)</f>
        <v/>
      </c>
      <c r="GA33" s="149" t="str">
        <f>IF($B33=0,"",($O33/30)*'MF Rents'!GC33*'MF Rollover'!FZ33)</f>
        <v/>
      </c>
      <c r="GB33" s="149" t="str">
        <f>IF($B33=0,"",($O33/30)*'MF Rents'!GD33*'MF Rollover'!GA33)</f>
        <v/>
      </c>
      <c r="GC33" s="149" t="str">
        <f>IF($B33=0,"",($O33/30)*'MF Rents'!GE33*'MF Rollover'!GB33)</f>
        <v/>
      </c>
      <c r="GD33" s="149" t="str">
        <f>IF($B33=0,"",($O33/30)*'MF Rents'!GF33*'MF Rollover'!GC33)</f>
        <v/>
      </c>
      <c r="GE33" s="149" t="str">
        <f>IF($B33=0,"",($O33/30)*'MF Rents'!GG33*'MF Rollover'!GD33)</f>
        <v/>
      </c>
      <c r="GF33" s="149" t="str">
        <f>IF($B33=0,"",($O33/30)*'MF Rents'!GH33*'MF Rollover'!GE33)</f>
        <v/>
      </c>
      <c r="GG33" s="149" t="str">
        <f>IF($B33=0,"",($O33/30)*'MF Rents'!GI33*'MF Rollover'!GF33)</f>
        <v/>
      </c>
      <c r="GH33" s="149" t="str">
        <f>IF($B33=0,"",($O33/30)*'MF Rents'!GJ33*'MF Rollover'!GG33)</f>
        <v/>
      </c>
      <c r="GI33" s="149" t="str">
        <f>IF($B33=0,"",($O33/30)*'MF Rents'!GK33*'MF Rollover'!GH33)</f>
        <v/>
      </c>
      <c r="GJ33" s="149" t="str">
        <f>IF($B33=0,"",($O33/30)*'MF Rents'!GL33*'MF Rollover'!GI33)</f>
        <v/>
      </c>
      <c r="GK33" s="149" t="str">
        <f>IF($B33=0,"",($O33/30)*'MF Rents'!GM33*'MF Rollover'!GJ33)</f>
        <v/>
      </c>
      <c r="GL33" s="149" t="str">
        <f>IF($B33=0,"",($O33/30)*'MF Rents'!GN33*'MF Rollover'!GK33)</f>
        <v/>
      </c>
      <c r="GM33" s="149" t="str">
        <f>IF($B33=0,"",($O33/30)*'MF Rents'!GO33*'MF Rollover'!GL33)</f>
        <v/>
      </c>
      <c r="GN33" s="149" t="str">
        <f>IF($B33=0,"",($O33/30)*'MF Rents'!GP33*'MF Rollover'!GM33)</f>
        <v/>
      </c>
      <c r="GO33" s="149" t="str">
        <f>IF($B33=0,"",($O33/30)*'MF Rents'!GQ33*'MF Rollover'!GN33)</f>
        <v/>
      </c>
      <c r="GP33" s="149" t="str">
        <f>IF($B33=0,"",($O33/30)*'MF Rents'!GR33*'MF Rollover'!GO33)</f>
        <v/>
      </c>
    </row>
    <row r="34" spans="2:198" x14ac:dyDescent="0.3">
      <c r="B34" s="184">
        <f>'MF Rent Roll'!B33</f>
        <v>0</v>
      </c>
      <c r="C34" s="171">
        <f>'MF Rent Roll'!C33</f>
        <v>0</v>
      </c>
      <c r="D34" s="172">
        <f>'MF Rent Roll'!D33</f>
        <v>0</v>
      </c>
      <c r="E34" s="172">
        <f>'MF Rent Roll'!E33</f>
        <v>0</v>
      </c>
      <c r="F34" s="173">
        <f>'MF Rent Roll'!F33</f>
        <v>0</v>
      </c>
      <c r="G34" s="174">
        <f>'MF Rent Roll'!G33</f>
        <v>0</v>
      </c>
      <c r="H34" s="176">
        <f>'MF Rent Roll'!J33</f>
        <v>0</v>
      </c>
      <c r="I34" s="174">
        <f>'MF Rent Roll'!K33</f>
        <v>0</v>
      </c>
      <c r="J34" s="177">
        <f>'MF Rent Roll'!L33</f>
        <v>0</v>
      </c>
      <c r="K34" s="178">
        <f>'MF Rent Roll'!M33</f>
        <v>0</v>
      </c>
      <c r="L34" s="174">
        <f>'MF Rent Roll'!N33</f>
        <v>0</v>
      </c>
      <c r="M34" s="179">
        <f>'MF Rent Roll'!O33</f>
        <v>0</v>
      </c>
      <c r="N34" s="180" t="str">
        <f>'MF Rent Roll'!P33</f>
        <v/>
      </c>
      <c r="O34" s="181" t="str">
        <f>'MF Rent Roll'!Q33</f>
        <v/>
      </c>
      <c r="P34" s="104" t="str">
        <f>'MF Rent Roll'!R33</f>
        <v/>
      </c>
      <c r="S34" s="149" t="str">
        <f>IF($B34=0,"",($O34/30)*'MF Rents'!U34*'MF Rollover'!R34)</f>
        <v/>
      </c>
      <c r="T34" s="149" t="str">
        <f>IF($B34=0,"",($O34/30)*'MF Rents'!V34*'MF Rollover'!S34)</f>
        <v/>
      </c>
      <c r="U34" s="149" t="str">
        <f>IF($B34=0,"",($O34/30)*'MF Rents'!W34*'MF Rollover'!T34)</f>
        <v/>
      </c>
      <c r="V34" s="149" t="str">
        <f>IF($B34=0,"",($O34/30)*'MF Rents'!X34*'MF Rollover'!U34)</f>
        <v/>
      </c>
      <c r="W34" s="149" t="str">
        <f>IF($B34=0,"",($O34/30)*'MF Rents'!Y34*'MF Rollover'!V34)</f>
        <v/>
      </c>
      <c r="X34" s="149" t="str">
        <f>IF($B34=0,"",($O34/30)*'MF Rents'!Z34*'MF Rollover'!W34)</f>
        <v/>
      </c>
      <c r="Y34" s="149" t="str">
        <f>IF($B34=0,"",($O34/30)*'MF Rents'!AA34*'MF Rollover'!X34)</f>
        <v/>
      </c>
      <c r="Z34" s="149" t="str">
        <f>IF($B34=0,"",($O34/30)*'MF Rents'!AB34*'MF Rollover'!Y34)</f>
        <v/>
      </c>
      <c r="AA34" s="149" t="str">
        <f>IF($B34=0,"",($O34/30)*'MF Rents'!AC34*'MF Rollover'!Z34)</f>
        <v/>
      </c>
      <c r="AB34" s="149" t="str">
        <f>IF($B34=0,"",($O34/30)*'MF Rents'!AD34*'MF Rollover'!AA34)</f>
        <v/>
      </c>
      <c r="AC34" s="149" t="str">
        <f>IF($B34=0,"",($O34/30)*'MF Rents'!AE34*'MF Rollover'!AB34)</f>
        <v/>
      </c>
      <c r="AD34" s="149" t="str">
        <f>IF($B34=0,"",($O34/30)*'MF Rents'!AF34*'MF Rollover'!AC34)</f>
        <v/>
      </c>
      <c r="AE34" s="149" t="str">
        <f>IF($B34=0,"",($O34/30)*'MF Rents'!AG34*'MF Rollover'!AD34)</f>
        <v/>
      </c>
      <c r="AF34" s="149" t="str">
        <f>IF($B34=0,"",($O34/30)*'MF Rents'!AH34*'MF Rollover'!AE34)</f>
        <v/>
      </c>
      <c r="AG34" s="149" t="str">
        <f>IF($B34=0,"",($O34/30)*'MF Rents'!AI34*'MF Rollover'!AF34)</f>
        <v/>
      </c>
      <c r="AH34" s="149" t="str">
        <f>IF($B34=0,"",($O34/30)*'MF Rents'!AJ34*'MF Rollover'!AG34)</f>
        <v/>
      </c>
      <c r="AI34" s="149" t="str">
        <f>IF($B34=0,"",($O34/30)*'MF Rents'!AK34*'MF Rollover'!AH34)</f>
        <v/>
      </c>
      <c r="AJ34" s="149" t="str">
        <f>IF($B34=0,"",($O34/30)*'MF Rents'!AL34*'MF Rollover'!AI34)</f>
        <v/>
      </c>
      <c r="AK34" s="149" t="str">
        <f>IF($B34=0,"",($O34/30)*'MF Rents'!AM34*'MF Rollover'!AJ34)</f>
        <v/>
      </c>
      <c r="AL34" s="149" t="str">
        <f>IF($B34=0,"",($O34/30)*'MF Rents'!AN34*'MF Rollover'!AK34)</f>
        <v/>
      </c>
      <c r="AM34" s="149" t="str">
        <f>IF($B34=0,"",($O34/30)*'MF Rents'!AO34*'MF Rollover'!AL34)</f>
        <v/>
      </c>
      <c r="AN34" s="149" t="str">
        <f>IF($B34=0,"",($O34/30)*'MF Rents'!AP34*'MF Rollover'!AM34)</f>
        <v/>
      </c>
      <c r="AO34" s="149" t="str">
        <f>IF($B34=0,"",($O34/30)*'MF Rents'!AQ34*'MF Rollover'!AN34)</f>
        <v/>
      </c>
      <c r="AP34" s="149" t="str">
        <f>IF($B34=0,"",($O34/30)*'MF Rents'!AR34*'MF Rollover'!AO34)</f>
        <v/>
      </c>
      <c r="AQ34" s="149" t="str">
        <f>IF($B34=0,"",($O34/30)*'MF Rents'!AS34*'MF Rollover'!AP34)</f>
        <v/>
      </c>
      <c r="AR34" s="149" t="str">
        <f>IF($B34=0,"",($O34/30)*'MF Rents'!AT34*'MF Rollover'!AQ34)</f>
        <v/>
      </c>
      <c r="AS34" s="149" t="str">
        <f>IF($B34=0,"",($O34/30)*'MF Rents'!AU34*'MF Rollover'!AR34)</f>
        <v/>
      </c>
      <c r="AT34" s="149" t="str">
        <f>IF($B34=0,"",($O34/30)*'MF Rents'!AV34*'MF Rollover'!AS34)</f>
        <v/>
      </c>
      <c r="AU34" s="149" t="str">
        <f>IF($B34=0,"",($O34/30)*'MF Rents'!AW34*'MF Rollover'!AT34)</f>
        <v/>
      </c>
      <c r="AV34" s="149" t="str">
        <f>IF($B34=0,"",($O34/30)*'MF Rents'!AX34*'MF Rollover'!AU34)</f>
        <v/>
      </c>
      <c r="AW34" s="149" t="str">
        <f>IF($B34=0,"",($O34/30)*'MF Rents'!AY34*'MF Rollover'!AV34)</f>
        <v/>
      </c>
      <c r="AX34" s="149" t="str">
        <f>IF($B34=0,"",($O34/30)*'MF Rents'!AZ34*'MF Rollover'!AW34)</f>
        <v/>
      </c>
      <c r="AY34" s="149" t="str">
        <f>IF($B34=0,"",($O34/30)*'MF Rents'!BA34*'MF Rollover'!AX34)</f>
        <v/>
      </c>
      <c r="AZ34" s="149" t="str">
        <f>IF($B34=0,"",($O34/30)*'MF Rents'!BB34*'MF Rollover'!AY34)</f>
        <v/>
      </c>
      <c r="BA34" s="149" t="str">
        <f>IF($B34=0,"",($O34/30)*'MF Rents'!BC34*'MF Rollover'!AZ34)</f>
        <v/>
      </c>
      <c r="BB34" s="149" t="str">
        <f>IF($B34=0,"",($O34/30)*'MF Rents'!BD34*'MF Rollover'!BA34)</f>
        <v/>
      </c>
      <c r="BC34" s="149" t="str">
        <f>IF($B34=0,"",($O34/30)*'MF Rents'!BE34*'MF Rollover'!BB34)</f>
        <v/>
      </c>
      <c r="BD34" s="149" t="str">
        <f>IF($B34=0,"",($O34/30)*'MF Rents'!BF34*'MF Rollover'!BC34)</f>
        <v/>
      </c>
      <c r="BE34" s="149" t="str">
        <f>IF($B34=0,"",($O34/30)*'MF Rents'!BG34*'MF Rollover'!BD34)</f>
        <v/>
      </c>
      <c r="BF34" s="149" t="str">
        <f>IF($B34=0,"",($O34/30)*'MF Rents'!BH34*'MF Rollover'!BE34)</f>
        <v/>
      </c>
      <c r="BG34" s="149" t="str">
        <f>IF($B34=0,"",($O34/30)*'MF Rents'!BI34*'MF Rollover'!BF34)</f>
        <v/>
      </c>
      <c r="BH34" s="149" t="str">
        <f>IF($B34=0,"",($O34/30)*'MF Rents'!BJ34*'MF Rollover'!BG34)</f>
        <v/>
      </c>
      <c r="BI34" s="149" t="str">
        <f>IF($B34=0,"",($O34/30)*'MF Rents'!BK34*'MF Rollover'!BH34)</f>
        <v/>
      </c>
      <c r="BJ34" s="149" t="str">
        <f>IF($B34=0,"",($O34/30)*'MF Rents'!BL34*'MF Rollover'!BI34)</f>
        <v/>
      </c>
      <c r="BK34" s="149" t="str">
        <f>IF($B34=0,"",($O34/30)*'MF Rents'!BM34*'MF Rollover'!BJ34)</f>
        <v/>
      </c>
      <c r="BL34" s="149" t="str">
        <f>IF($B34=0,"",($O34/30)*'MF Rents'!BN34*'MF Rollover'!BK34)</f>
        <v/>
      </c>
      <c r="BM34" s="149" t="str">
        <f>IF($B34=0,"",($O34/30)*'MF Rents'!BO34*'MF Rollover'!BL34)</f>
        <v/>
      </c>
      <c r="BN34" s="149" t="str">
        <f>IF($B34=0,"",($O34/30)*'MF Rents'!BP34*'MF Rollover'!BM34)</f>
        <v/>
      </c>
      <c r="BO34" s="149" t="str">
        <f>IF($B34=0,"",($O34/30)*'MF Rents'!BQ34*'MF Rollover'!BN34)</f>
        <v/>
      </c>
      <c r="BP34" s="149" t="str">
        <f>IF($B34=0,"",($O34/30)*'MF Rents'!BR34*'MF Rollover'!BO34)</f>
        <v/>
      </c>
      <c r="BQ34" s="149" t="str">
        <f>IF($B34=0,"",($O34/30)*'MF Rents'!BS34*'MF Rollover'!BP34)</f>
        <v/>
      </c>
      <c r="BR34" s="149" t="str">
        <f>IF($B34=0,"",($O34/30)*'MF Rents'!BT34*'MF Rollover'!BQ34)</f>
        <v/>
      </c>
      <c r="BS34" s="149" t="str">
        <f>IF($B34=0,"",($O34/30)*'MF Rents'!BU34*'MF Rollover'!BR34)</f>
        <v/>
      </c>
      <c r="BT34" s="149" t="str">
        <f>IF($B34=0,"",($O34/30)*'MF Rents'!BV34*'MF Rollover'!BS34)</f>
        <v/>
      </c>
      <c r="BU34" s="149" t="str">
        <f>IF($B34=0,"",($O34/30)*'MF Rents'!BW34*'MF Rollover'!BT34)</f>
        <v/>
      </c>
      <c r="BV34" s="149" t="str">
        <f>IF($B34=0,"",($O34/30)*'MF Rents'!BX34*'MF Rollover'!BU34)</f>
        <v/>
      </c>
      <c r="BW34" s="149" t="str">
        <f>IF($B34=0,"",($O34/30)*'MF Rents'!BY34*'MF Rollover'!BV34)</f>
        <v/>
      </c>
      <c r="BX34" s="149" t="str">
        <f>IF($B34=0,"",($O34/30)*'MF Rents'!BZ34*'MF Rollover'!BW34)</f>
        <v/>
      </c>
      <c r="BY34" s="149" t="str">
        <f>IF($B34=0,"",($O34/30)*'MF Rents'!CA34*'MF Rollover'!BX34)</f>
        <v/>
      </c>
      <c r="BZ34" s="149" t="str">
        <f>IF($B34=0,"",($O34/30)*'MF Rents'!CB34*'MF Rollover'!BY34)</f>
        <v/>
      </c>
      <c r="CA34" s="149" t="str">
        <f>IF($B34=0,"",($O34/30)*'MF Rents'!CC34*'MF Rollover'!BZ34)</f>
        <v/>
      </c>
      <c r="CB34" s="149" t="str">
        <f>IF($B34=0,"",($O34/30)*'MF Rents'!CD34*'MF Rollover'!CA34)</f>
        <v/>
      </c>
      <c r="CC34" s="149" t="str">
        <f>IF($B34=0,"",($O34/30)*'MF Rents'!CE34*'MF Rollover'!CB34)</f>
        <v/>
      </c>
      <c r="CD34" s="149" t="str">
        <f>IF($B34=0,"",($O34/30)*'MF Rents'!CF34*'MF Rollover'!CC34)</f>
        <v/>
      </c>
      <c r="CE34" s="149" t="str">
        <f>IF($B34=0,"",($O34/30)*'MF Rents'!CG34*'MF Rollover'!CD34)</f>
        <v/>
      </c>
      <c r="CF34" s="149" t="str">
        <f>IF($B34=0,"",($O34/30)*'MF Rents'!CH34*'MF Rollover'!CE34)</f>
        <v/>
      </c>
      <c r="CG34" s="149" t="str">
        <f>IF($B34=0,"",($O34/30)*'MF Rents'!CI34*'MF Rollover'!CF34)</f>
        <v/>
      </c>
      <c r="CH34" s="149" t="str">
        <f>IF($B34=0,"",($O34/30)*'MF Rents'!CJ34*'MF Rollover'!CG34)</f>
        <v/>
      </c>
      <c r="CI34" s="149" t="str">
        <f>IF($B34=0,"",($O34/30)*'MF Rents'!CK34*'MF Rollover'!CH34)</f>
        <v/>
      </c>
      <c r="CJ34" s="149" t="str">
        <f>IF($B34=0,"",($O34/30)*'MF Rents'!CL34*'MF Rollover'!CI34)</f>
        <v/>
      </c>
      <c r="CK34" s="149" t="str">
        <f>IF($B34=0,"",($O34/30)*'MF Rents'!CM34*'MF Rollover'!CJ34)</f>
        <v/>
      </c>
      <c r="CL34" s="149" t="str">
        <f>IF($B34=0,"",($O34/30)*'MF Rents'!CN34*'MF Rollover'!CK34)</f>
        <v/>
      </c>
      <c r="CM34" s="149" t="str">
        <f>IF($B34=0,"",($O34/30)*'MF Rents'!CO34*'MF Rollover'!CL34)</f>
        <v/>
      </c>
      <c r="CN34" s="149" t="str">
        <f>IF($B34=0,"",($O34/30)*'MF Rents'!CP34*'MF Rollover'!CM34)</f>
        <v/>
      </c>
      <c r="CO34" s="149" t="str">
        <f>IF($B34=0,"",($O34/30)*'MF Rents'!CQ34*'MF Rollover'!CN34)</f>
        <v/>
      </c>
      <c r="CP34" s="149" t="str">
        <f>IF($B34=0,"",($O34/30)*'MF Rents'!CR34*'MF Rollover'!CO34)</f>
        <v/>
      </c>
      <c r="CQ34" s="149" t="str">
        <f>IF($B34=0,"",($O34/30)*'MF Rents'!CS34*'MF Rollover'!CP34)</f>
        <v/>
      </c>
      <c r="CR34" s="149" t="str">
        <f>IF($B34=0,"",($O34/30)*'MF Rents'!CT34*'MF Rollover'!CQ34)</f>
        <v/>
      </c>
      <c r="CS34" s="149" t="str">
        <f>IF($B34=0,"",($O34/30)*'MF Rents'!CU34*'MF Rollover'!CR34)</f>
        <v/>
      </c>
      <c r="CT34" s="149" t="str">
        <f>IF($B34=0,"",($O34/30)*'MF Rents'!CV34*'MF Rollover'!CS34)</f>
        <v/>
      </c>
      <c r="CU34" s="149" t="str">
        <f>IF($B34=0,"",($O34/30)*'MF Rents'!CW34*'MF Rollover'!CT34)</f>
        <v/>
      </c>
      <c r="CV34" s="149" t="str">
        <f>IF($B34=0,"",($O34/30)*'MF Rents'!CX34*'MF Rollover'!CU34)</f>
        <v/>
      </c>
      <c r="CW34" s="149" t="str">
        <f>IF($B34=0,"",($O34/30)*'MF Rents'!CY34*'MF Rollover'!CV34)</f>
        <v/>
      </c>
      <c r="CX34" s="149" t="str">
        <f>IF($B34=0,"",($O34/30)*'MF Rents'!CZ34*'MF Rollover'!CW34)</f>
        <v/>
      </c>
      <c r="CY34" s="149" t="str">
        <f>IF($B34=0,"",($O34/30)*'MF Rents'!DA34*'MF Rollover'!CX34)</f>
        <v/>
      </c>
      <c r="CZ34" s="149" t="str">
        <f>IF($B34=0,"",($O34/30)*'MF Rents'!DB34*'MF Rollover'!CY34)</f>
        <v/>
      </c>
      <c r="DA34" s="149" t="str">
        <f>IF($B34=0,"",($O34/30)*'MF Rents'!DC34*'MF Rollover'!CZ34)</f>
        <v/>
      </c>
      <c r="DB34" s="149" t="str">
        <f>IF($B34=0,"",($O34/30)*'MF Rents'!DD34*'MF Rollover'!DA34)</f>
        <v/>
      </c>
      <c r="DC34" s="149" t="str">
        <f>IF($B34=0,"",($O34/30)*'MF Rents'!DE34*'MF Rollover'!DB34)</f>
        <v/>
      </c>
      <c r="DD34" s="149" t="str">
        <f>IF($B34=0,"",($O34/30)*'MF Rents'!DF34*'MF Rollover'!DC34)</f>
        <v/>
      </c>
      <c r="DE34" s="149" t="str">
        <f>IF($B34=0,"",($O34/30)*'MF Rents'!DG34*'MF Rollover'!DD34)</f>
        <v/>
      </c>
      <c r="DF34" s="149" t="str">
        <f>IF($B34=0,"",($O34/30)*'MF Rents'!DH34*'MF Rollover'!DE34)</f>
        <v/>
      </c>
      <c r="DG34" s="149" t="str">
        <f>IF($B34=0,"",($O34/30)*'MF Rents'!DI34*'MF Rollover'!DF34)</f>
        <v/>
      </c>
      <c r="DH34" s="149" t="str">
        <f>IF($B34=0,"",($O34/30)*'MF Rents'!DJ34*'MF Rollover'!DG34)</f>
        <v/>
      </c>
      <c r="DI34" s="149" t="str">
        <f>IF($B34=0,"",($O34/30)*'MF Rents'!DK34*'MF Rollover'!DH34)</f>
        <v/>
      </c>
      <c r="DJ34" s="149" t="str">
        <f>IF($B34=0,"",($O34/30)*'MF Rents'!DL34*'MF Rollover'!DI34)</f>
        <v/>
      </c>
      <c r="DK34" s="149" t="str">
        <f>IF($B34=0,"",($O34/30)*'MF Rents'!DM34*'MF Rollover'!DJ34)</f>
        <v/>
      </c>
      <c r="DL34" s="149" t="str">
        <f>IF($B34=0,"",($O34/30)*'MF Rents'!DN34*'MF Rollover'!DK34)</f>
        <v/>
      </c>
      <c r="DM34" s="149" t="str">
        <f>IF($B34=0,"",($O34/30)*'MF Rents'!DO34*'MF Rollover'!DL34)</f>
        <v/>
      </c>
      <c r="DN34" s="149" t="str">
        <f>IF($B34=0,"",($O34/30)*'MF Rents'!DP34*'MF Rollover'!DM34)</f>
        <v/>
      </c>
      <c r="DO34" s="149" t="str">
        <f>IF($B34=0,"",($O34/30)*'MF Rents'!DQ34*'MF Rollover'!DN34)</f>
        <v/>
      </c>
      <c r="DP34" s="149" t="str">
        <f>IF($B34=0,"",($O34/30)*'MF Rents'!DR34*'MF Rollover'!DO34)</f>
        <v/>
      </c>
      <c r="DQ34" s="149" t="str">
        <f>IF($B34=0,"",($O34/30)*'MF Rents'!DS34*'MF Rollover'!DP34)</f>
        <v/>
      </c>
      <c r="DR34" s="149" t="str">
        <f>IF($B34=0,"",($O34/30)*'MF Rents'!DT34*'MF Rollover'!DQ34)</f>
        <v/>
      </c>
      <c r="DS34" s="149" t="str">
        <f>IF($B34=0,"",($O34/30)*'MF Rents'!DU34*'MF Rollover'!DR34)</f>
        <v/>
      </c>
      <c r="DT34" s="149" t="str">
        <f>IF($B34=0,"",($O34/30)*'MF Rents'!DV34*'MF Rollover'!DS34)</f>
        <v/>
      </c>
      <c r="DU34" s="149" t="str">
        <f>IF($B34=0,"",($O34/30)*'MF Rents'!DW34*'MF Rollover'!DT34)</f>
        <v/>
      </c>
      <c r="DV34" s="149" t="str">
        <f>IF($B34=0,"",($O34/30)*'MF Rents'!DX34*'MF Rollover'!DU34)</f>
        <v/>
      </c>
      <c r="DW34" s="149" t="str">
        <f>IF($B34=0,"",($O34/30)*'MF Rents'!DY34*'MF Rollover'!DV34)</f>
        <v/>
      </c>
      <c r="DX34" s="149" t="str">
        <f>IF($B34=0,"",($O34/30)*'MF Rents'!DZ34*'MF Rollover'!DW34)</f>
        <v/>
      </c>
      <c r="DY34" s="149" t="str">
        <f>IF($B34=0,"",($O34/30)*'MF Rents'!EA34*'MF Rollover'!DX34)</f>
        <v/>
      </c>
      <c r="DZ34" s="149" t="str">
        <f>IF($B34=0,"",($O34/30)*'MF Rents'!EB34*'MF Rollover'!DY34)</f>
        <v/>
      </c>
      <c r="EA34" s="149" t="str">
        <f>IF($B34=0,"",($O34/30)*'MF Rents'!EC34*'MF Rollover'!DZ34)</f>
        <v/>
      </c>
      <c r="EB34" s="149" t="str">
        <f>IF($B34=0,"",($O34/30)*'MF Rents'!ED34*'MF Rollover'!EA34)</f>
        <v/>
      </c>
      <c r="EC34" s="149" t="str">
        <f>IF($B34=0,"",($O34/30)*'MF Rents'!EE34*'MF Rollover'!EB34)</f>
        <v/>
      </c>
      <c r="ED34" s="149" t="str">
        <f>IF($B34=0,"",($O34/30)*'MF Rents'!EF34*'MF Rollover'!EC34)</f>
        <v/>
      </c>
      <c r="EE34" s="149" t="str">
        <f>IF($B34=0,"",($O34/30)*'MF Rents'!EG34*'MF Rollover'!ED34)</f>
        <v/>
      </c>
      <c r="EF34" s="149" t="str">
        <f>IF($B34=0,"",($O34/30)*'MF Rents'!EH34*'MF Rollover'!EE34)</f>
        <v/>
      </c>
      <c r="EG34" s="149" t="str">
        <f>IF($B34=0,"",($O34/30)*'MF Rents'!EI34*'MF Rollover'!EF34)</f>
        <v/>
      </c>
      <c r="EH34" s="149" t="str">
        <f>IF($B34=0,"",($O34/30)*'MF Rents'!EJ34*'MF Rollover'!EG34)</f>
        <v/>
      </c>
      <c r="EI34" s="149" t="str">
        <f>IF($B34=0,"",($O34/30)*'MF Rents'!EK34*'MF Rollover'!EH34)</f>
        <v/>
      </c>
      <c r="EJ34" s="149" t="str">
        <f>IF($B34=0,"",($O34/30)*'MF Rents'!EL34*'MF Rollover'!EI34)</f>
        <v/>
      </c>
      <c r="EK34" s="149" t="str">
        <f>IF($B34=0,"",($O34/30)*'MF Rents'!EM34*'MF Rollover'!EJ34)</f>
        <v/>
      </c>
      <c r="EL34" s="149" t="str">
        <f>IF($B34=0,"",($O34/30)*'MF Rents'!EN34*'MF Rollover'!EK34)</f>
        <v/>
      </c>
      <c r="EM34" s="149" t="str">
        <f>IF($B34=0,"",($O34/30)*'MF Rents'!EO34*'MF Rollover'!EL34)</f>
        <v/>
      </c>
      <c r="EN34" s="149" t="str">
        <f>IF($B34=0,"",($O34/30)*'MF Rents'!EP34*'MF Rollover'!EM34)</f>
        <v/>
      </c>
      <c r="EO34" s="149" t="str">
        <f>IF($B34=0,"",($O34/30)*'MF Rents'!EQ34*'MF Rollover'!EN34)</f>
        <v/>
      </c>
      <c r="EP34" s="149" t="str">
        <f>IF($B34=0,"",($O34/30)*'MF Rents'!ER34*'MF Rollover'!EO34)</f>
        <v/>
      </c>
      <c r="EQ34" s="149" t="str">
        <f>IF($B34=0,"",($O34/30)*'MF Rents'!ES34*'MF Rollover'!EP34)</f>
        <v/>
      </c>
      <c r="ER34" s="149" t="str">
        <f>IF($B34=0,"",($O34/30)*'MF Rents'!ET34*'MF Rollover'!EQ34)</f>
        <v/>
      </c>
      <c r="ES34" s="149" t="str">
        <f>IF($B34=0,"",($O34/30)*'MF Rents'!EU34*'MF Rollover'!ER34)</f>
        <v/>
      </c>
      <c r="ET34" s="149" t="str">
        <f>IF($B34=0,"",($O34/30)*'MF Rents'!EV34*'MF Rollover'!ES34)</f>
        <v/>
      </c>
      <c r="EU34" s="149" t="str">
        <f>IF($B34=0,"",($O34/30)*'MF Rents'!EW34*'MF Rollover'!ET34)</f>
        <v/>
      </c>
      <c r="EV34" s="149" t="str">
        <f>IF($B34=0,"",($O34/30)*'MF Rents'!EX34*'MF Rollover'!EU34)</f>
        <v/>
      </c>
      <c r="EW34" s="149" t="str">
        <f>IF($B34=0,"",($O34/30)*'MF Rents'!EY34*'MF Rollover'!EV34)</f>
        <v/>
      </c>
      <c r="EX34" s="149" t="str">
        <f>IF($B34=0,"",($O34/30)*'MF Rents'!EZ34*'MF Rollover'!EW34)</f>
        <v/>
      </c>
      <c r="EY34" s="149" t="str">
        <f>IF($B34=0,"",($O34/30)*'MF Rents'!FA34*'MF Rollover'!EX34)</f>
        <v/>
      </c>
      <c r="EZ34" s="149" t="str">
        <f>IF($B34=0,"",($O34/30)*'MF Rents'!FB34*'MF Rollover'!EY34)</f>
        <v/>
      </c>
      <c r="FA34" s="149" t="str">
        <f>IF($B34=0,"",($O34/30)*'MF Rents'!FC34*'MF Rollover'!EZ34)</f>
        <v/>
      </c>
      <c r="FB34" s="149" t="str">
        <f>IF($B34=0,"",($O34/30)*'MF Rents'!FD34*'MF Rollover'!FA34)</f>
        <v/>
      </c>
      <c r="FC34" s="149" t="str">
        <f>IF($B34=0,"",($O34/30)*'MF Rents'!FE34*'MF Rollover'!FB34)</f>
        <v/>
      </c>
      <c r="FD34" s="149" t="str">
        <f>IF($B34=0,"",($O34/30)*'MF Rents'!FF34*'MF Rollover'!FC34)</f>
        <v/>
      </c>
      <c r="FE34" s="149" t="str">
        <f>IF($B34=0,"",($O34/30)*'MF Rents'!FG34*'MF Rollover'!FD34)</f>
        <v/>
      </c>
      <c r="FF34" s="149" t="str">
        <f>IF($B34=0,"",($O34/30)*'MF Rents'!FH34*'MF Rollover'!FE34)</f>
        <v/>
      </c>
      <c r="FG34" s="149" t="str">
        <f>IF($B34=0,"",($O34/30)*'MF Rents'!FI34*'MF Rollover'!FF34)</f>
        <v/>
      </c>
      <c r="FH34" s="149" t="str">
        <f>IF($B34=0,"",($O34/30)*'MF Rents'!FJ34*'MF Rollover'!FG34)</f>
        <v/>
      </c>
      <c r="FI34" s="149" t="str">
        <f>IF($B34=0,"",($O34/30)*'MF Rents'!FK34*'MF Rollover'!FH34)</f>
        <v/>
      </c>
      <c r="FJ34" s="149" t="str">
        <f>IF($B34=0,"",($O34/30)*'MF Rents'!FL34*'MF Rollover'!FI34)</f>
        <v/>
      </c>
      <c r="FK34" s="149" t="str">
        <f>IF($B34=0,"",($O34/30)*'MF Rents'!FM34*'MF Rollover'!FJ34)</f>
        <v/>
      </c>
      <c r="FL34" s="149" t="str">
        <f>IF($B34=0,"",($O34/30)*'MF Rents'!FN34*'MF Rollover'!FK34)</f>
        <v/>
      </c>
      <c r="FM34" s="149" t="str">
        <f>IF($B34=0,"",($O34/30)*'MF Rents'!FO34*'MF Rollover'!FL34)</f>
        <v/>
      </c>
      <c r="FN34" s="149" t="str">
        <f>IF($B34=0,"",($O34/30)*'MF Rents'!FP34*'MF Rollover'!FM34)</f>
        <v/>
      </c>
      <c r="FO34" s="149" t="str">
        <f>IF($B34=0,"",($O34/30)*'MF Rents'!FQ34*'MF Rollover'!FN34)</f>
        <v/>
      </c>
      <c r="FP34" s="149" t="str">
        <f>IF($B34=0,"",($O34/30)*'MF Rents'!FR34*'MF Rollover'!FO34)</f>
        <v/>
      </c>
      <c r="FQ34" s="149" t="str">
        <f>IF($B34=0,"",($O34/30)*'MF Rents'!FS34*'MF Rollover'!FP34)</f>
        <v/>
      </c>
      <c r="FR34" s="149" t="str">
        <f>IF($B34=0,"",($O34/30)*'MF Rents'!FT34*'MF Rollover'!FQ34)</f>
        <v/>
      </c>
      <c r="FS34" s="149" t="str">
        <f>IF($B34=0,"",($O34/30)*'MF Rents'!FU34*'MF Rollover'!FR34)</f>
        <v/>
      </c>
      <c r="FT34" s="149" t="str">
        <f>IF($B34=0,"",($O34/30)*'MF Rents'!FV34*'MF Rollover'!FS34)</f>
        <v/>
      </c>
      <c r="FU34" s="149" t="str">
        <f>IF($B34=0,"",($O34/30)*'MF Rents'!FW34*'MF Rollover'!FT34)</f>
        <v/>
      </c>
      <c r="FV34" s="149" t="str">
        <f>IF($B34=0,"",($O34/30)*'MF Rents'!FX34*'MF Rollover'!FU34)</f>
        <v/>
      </c>
      <c r="FW34" s="149" t="str">
        <f>IF($B34=0,"",($O34/30)*'MF Rents'!FY34*'MF Rollover'!FV34)</f>
        <v/>
      </c>
      <c r="FX34" s="149" t="str">
        <f>IF($B34=0,"",($O34/30)*'MF Rents'!FZ34*'MF Rollover'!FW34)</f>
        <v/>
      </c>
      <c r="FY34" s="149" t="str">
        <f>IF($B34=0,"",($O34/30)*'MF Rents'!GA34*'MF Rollover'!FX34)</f>
        <v/>
      </c>
      <c r="FZ34" s="149" t="str">
        <f>IF($B34=0,"",($O34/30)*'MF Rents'!GB34*'MF Rollover'!FY34)</f>
        <v/>
      </c>
      <c r="GA34" s="149" t="str">
        <f>IF($B34=0,"",($O34/30)*'MF Rents'!GC34*'MF Rollover'!FZ34)</f>
        <v/>
      </c>
      <c r="GB34" s="149" t="str">
        <f>IF($B34=0,"",($O34/30)*'MF Rents'!GD34*'MF Rollover'!GA34)</f>
        <v/>
      </c>
      <c r="GC34" s="149" t="str">
        <f>IF($B34=0,"",($O34/30)*'MF Rents'!GE34*'MF Rollover'!GB34)</f>
        <v/>
      </c>
      <c r="GD34" s="149" t="str">
        <f>IF($B34=0,"",($O34/30)*'MF Rents'!GF34*'MF Rollover'!GC34)</f>
        <v/>
      </c>
      <c r="GE34" s="149" t="str">
        <f>IF($B34=0,"",($O34/30)*'MF Rents'!GG34*'MF Rollover'!GD34)</f>
        <v/>
      </c>
      <c r="GF34" s="149" t="str">
        <f>IF($B34=0,"",($O34/30)*'MF Rents'!GH34*'MF Rollover'!GE34)</f>
        <v/>
      </c>
      <c r="GG34" s="149" t="str">
        <f>IF($B34=0,"",($O34/30)*'MF Rents'!GI34*'MF Rollover'!GF34)</f>
        <v/>
      </c>
      <c r="GH34" s="149" t="str">
        <f>IF($B34=0,"",($O34/30)*'MF Rents'!GJ34*'MF Rollover'!GG34)</f>
        <v/>
      </c>
      <c r="GI34" s="149" t="str">
        <f>IF($B34=0,"",($O34/30)*'MF Rents'!GK34*'MF Rollover'!GH34)</f>
        <v/>
      </c>
      <c r="GJ34" s="149" t="str">
        <f>IF($B34=0,"",($O34/30)*'MF Rents'!GL34*'MF Rollover'!GI34)</f>
        <v/>
      </c>
      <c r="GK34" s="149" t="str">
        <f>IF($B34=0,"",($O34/30)*'MF Rents'!GM34*'MF Rollover'!GJ34)</f>
        <v/>
      </c>
      <c r="GL34" s="149" t="str">
        <f>IF($B34=0,"",($O34/30)*'MF Rents'!GN34*'MF Rollover'!GK34)</f>
        <v/>
      </c>
      <c r="GM34" s="149" t="str">
        <f>IF($B34=0,"",($O34/30)*'MF Rents'!GO34*'MF Rollover'!GL34)</f>
        <v/>
      </c>
      <c r="GN34" s="149" t="str">
        <f>IF($B34=0,"",($O34/30)*'MF Rents'!GP34*'MF Rollover'!GM34)</f>
        <v/>
      </c>
      <c r="GO34" s="149" t="str">
        <f>IF($B34=0,"",($O34/30)*'MF Rents'!GQ34*'MF Rollover'!GN34)</f>
        <v/>
      </c>
      <c r="GP34" s="149" t="str">
        <f>IF($B34=0,"",($O34/30)*'MF Rents'!GR34*'MF Rollover'!GO34)</f>
        <v/>
      </c>
    </row>
    <row r="35" spans="2:198" x14ac:dyDescent="0.3">
      <c r="B35" s="184">
        <f>'MF Rent Roll'!B34</f>
        <v>0</v>
      </c>
      <c r="C35" s="171">
        <f>'MF Rent Roll'!C34</f>
        <v>0</v>
      </c>
      <c r="D35" s="172">
        <f>'MF Rent Roll'!D34</f>
        <v>0</v>
      </c>
      <c r="E35" s="172">
        <f>'MF Rent Roll'!E34</f>
        <v>0</v>
      </c>
      <c r="F35" s="173">
        <f>'MF Rent Roll'!F34</f>
        <v>0</v>
      </c>
      <c r="G35" s="174">
        <f>'MF Rent Roll'!G34</f>
        <v>0</v>
      </c>
      <c r="H35" s="176">
        <f>'MF Rent Roll'!J34</f>
        <v>0</v>
      </c>
      <c r="I35" s="174">
        <f>'MF Rent Roll'!K34</f>
        <v>0</v>
      </c>
      <c r="J35" s="177">
        <f>'MF Rent Roll'!L34</f>
        <v>0</v>
      </c>
      <c r="K35" s="178">
        <f>'MF Rent Roll'!M34</f>
        <v>0</v>
      </c>
      <c r="L35" s="174">
        <f>'MF Rent Roll'!N34</f>
        <v>0</v>
      </c>
      <c r="M35" s="179">
        <f>'MF Rent Roll'!O34</f>
        <v>0</v>
      </c>
      <c r="N35" s="180" t="str">
        <f>'MF Rent Roll'!P34</f>
        <v/>
      </c>
      <c r="O35" s="181" t="str">
        <f>'MF Rent Roll'!Q34</f>
        <v/>
      </c>
      <c r="P35" s="104" t="str">
        <f>'MF Rent Roll'!R34</f>
        <v/>
      </c>
      <c r="S35" s="149" t="str">
        <f>IF($B35=0,"",($O35/30)*'MF Rents'!U35*'MF Rollover'!R35)</f>
        <v/>
      </c>
      <c r="T35" s="149" t="str">
        <f>IF($B35=0,"",($O35/30)*'MF Rents'!V35*'MF Rollover'!S35)</f>
        <v/>
      </c>
      <c r="U35" s="149" t="str">
        <f>IF($B35=0,"",($O35/30)*'MF Rents'!W35*'MF Rollover'!T35)</f>
        <v/>
      </c>
      <c r="V35" s="149" t="str">
        <f>IF($B35=0,"",($O35/30)*'MF Rents'!X35*'MF Rollover'!U35)</f>
        <v/>
      </c>
      <c r="W35" s="149" t="str">
        <f>IF($B35=0,"",($O35/30)*'MF Rents'!Y35*'MF Rollover'!V35)</f>
        <v/>
      </c>
      <c r="X35" s="149" t="str">
        <f>IF($B35=0,"",($O35/30)*'MF Rents'!Z35*'MF Rollover'!W35)</f>
        <v/>
      </c>
      <c r="Y35" s="149" t="str">
        <f>IF($B35=0,"",($O35/30)*'MF Rents'!AA35*'MF Rollover'!X35)</f>
        <v/>
      </c>
      <c r="Z35" s="149" t="str">
        <f>IF($B35=0,"",($O35/30)*'MF Rents'!AB35*'MF Rollover'!Y35)</f>
        <v/>
      </c>
      <c r="AA35" s="149" t="str">
        <f>IF($B35=0,"",($O35/30)*'MF Rents'!AC35*'MF Rollover'!Z35)</f>
        <v/>
      </c>
      <c r="AB35" s="149" t="str">
        <f>IF($B35=0,"",($O35/30)*'MF Rents'!AD35*'MF Rollover'!AA35)</f>
        <v/>
      </c>
      <c r="AC35" s="149" t="str">
        <f>IF($B35=0,"",($O35/30)*'MF Rents'!AE35*'MF Rollover'!AB35)</f>
        <v/>
      </c>
      <c r="AD35" s="149" t="str">
        <f>IF($B35=0,"",($O35/30)*'MF Rents'!AF35*'MF Rollover'!AC35)</f>
        <v/>
      </c>
      <c r="AE35" s="149" t="str">
        <f>IF($B35=0,"",($O35/30)*'MF Rents'!AG35*'MF Rollover'!AD35)</f>
        <v/>
      </c>
      <c r="AF35" s="149" t="str">
        <f>IF($B35=0,"",($O35/30)*'MF Rents'!AH35*'MF Rollover'!AE35)</f>
        <v/>
      </c>
      <c r="AG35" s="149" t="str">
        <f>IF($B35=0,"",($O35/30)*'MF Rents'!AI35*'MF Rollover'!AF35)</f>
        <v/>
      </c>
      <c r="AH35" s="149" t="str">
        <f>IF($B35=0,"",($O35/30)*'MF Rents'!AJ35*'MF Rollover'!AG35)</f>
        <v/>
      </c>
      <c r="AI35" s="149" t="str">
        <f>IF($B35=0,"",($O35/30)*'MF Rents'!AK35*'MF Rollover'!AH35)</f>
        <v/>
      </c>
      <c r="AJ35" s="149" t="str">
        <f>IF($B35=0,"",($O35/30)*'MF Rents'!AL35*'MF Rollover'!AI35)</f>
        <v/>
      </c>
      <c r="AK35" s="149" t="str">
        <f>IF($B35=0,"",($O35/30)*'MF Rents'!AM35*'MF Rollover'!AJ35)</f>
        <v/>
      </c>
      <c r="AL35" s="149" t="str">
        <f>IF($B35=0,"",($O35/30)*'MF Rents'!AN35*'MF Rollover'!AK35)</f>
        <v/>
      </c>
      <c r="AM35" s="149" t="str">
        <f>IF($B35=0,"",($O35/30)*'MF Rents'!AO35*'MF Rollover'!AL35)</f>
        <v/>
      </c>
      <c r="AN35" s="149" t="str">
        <f>IF($B35=0,"",($O35/30)*'MF Rents'!AP35*'MF Rollover'!AM35)</f>
        <v/>
      </c>
      <c r="AO35" s="149" t="str">
        <f>IF($B35=0,"",($O35/30)*'MF Rents'!AQ35*'MF Rollover'!AN35)</f>
        <v/>
      </c>
      <c r="AP35" s="149" t="str">
        <f>IF($B35=0,"",($O35/30)*'MF Rents'!AR35*'MF Rollover'!AO35)</f>
        <v/>
      </c>
      <c r="AQ35" s="149" t="str">
        <f>IF($B35=0,"",($O35/30)*'MF Rents'!AS35*'MF Rollover'!AP35)</f>
        <v/>
      </c>
      <c r="AR35" s="149" t="str">
        <f>IF($B35=0,"",($O35/30)*'MF Rents'!AT35*'MF Rollover'!AQ35)</f>
        <v/>
      </c>
      <c r="AS35" s="149" t="str">
        <f>IF($B35=0,"",($O35/30)*'MF Rents'!AU35*'MF Rollover'!AR35)</f>
        <v/>
      </c>
      <c r="AT35" s="149" t="str">
        <f>IF($B35=0,"",($O35/30)*'MF Rents'!AV35*'MF Rollover'!AS35)</f>
        <v/>
      </c>
      <c r="AU35" s="149" t="str">
        <f>IF($B35=0,"",($O35/30)*'MF Rents'!AW35*'MF Rollover'!AT35)</f>
        <v/>
      </c>
      <c r="AV35" s="149" t="str">
        <f>IF($B35=0,"",($O35/30)*'MF Rents'!AX35*'MF Rollover'!AU35)</f>
        <v/>
      </c>
      <c r="AW35" s="149" t="str">
        <f>IF($B35=0,"",($O35/30)*'MF Rents'!AY35*'MF Rollover'!AV35)</f>
        <v/>
      </c>
      <c r="AX35" s="149" t="str">
        <f>IF($B35=0,"",($O35/30)*'MF Rents'!AZ35*'MF Rollover'!AW35)</f>
        <v/>
      </c>
      <c r="AY35" s="149" t="str">
        <f>IF($B35=0,"",($O35/30)*'MF Rents'!BA35*'MF Rollover'!AX35)</f>
        <v/>
      </c>
      <c r="AZ35" s="149" t="str">
        <f>IF($B35=0,"",($O35/30)*'MF Rents'!BB35*'MF Rollover'!AY35)</f>
        <v/>
      </c>
      <c r="BA35" s="149" t="str">
        <f>IF($B35=0,"",($O35/30)*'MF Rents'!BC35*'MF Rollover'!AZ35)</f>
        <v/>
      </c>
      <c r="BB35" s="149" t="str">
        <f>IF($B35=0,"",($O35/30)*'MF Rents'!BD35*'MF Rollover'!BA35)</f>
        <v/>
      </c>
      <c r="BC35" s="149" t="str">
        <f>IF($B35=0,"",($O35/30)*'MF Rents'!BE35*'MF Rollover'!BB35)</f>
        <v/>
      </c>
      <c r="BD35" s="149" t="str">
        <f>IF($B35=0,"",($O35/30)*'MF Rents'!BF35*'MF Rollover'!BC35)</f>
        <v/>
      </c>
      <c r="BE35" s="149" t="str">
        <f>IF($B35=0,"",($O35/30)*'MF Rents'!BG35*'MF Rollover'!BD35)</f>
        <v/>
      </c>
      <c r="BF35" s="149" t="str">
        <f>IF($B35=0,"",($O35/30)*'MF Rents'!BH35*'MF Rollover'!BE35)</f>
        <v/>
      </c>
      <c r="BG35" s="149" t="str">
        <f>IF($B35=0,"",($O35/30)*'MF Rents'!BI35*'MF Rollover'!BF35)</f>
        <v/>
      </c>
      <c r="BH35" s="149" t="str">
        <f>IF($B35=0,"",($O35/30)*'MF Rents'!BJ35*'MF Rollover'!BG35)</f>
        <v/>
      </c>
      <c r="BI35" s="149" t="str">
        <f>IF($B35=0,"",($O35/30)*'MF Rents'!BK35*'MF Rollover'!BH35)</f>
        <v/>
      </c>
      <c r="BJ35" s="149" t="str">
        <f>IF($B35=0,"",($O35/30)*'MF Rents'!BL35*'MF Rollover'!BI35)</f>
        <v/>
      </c>
      <c r="BK35" s="149" t="str">
        <f>IF($B35=0,"",($O35/30)*'MF Rents'!BM35*'MF Rollover'!BJ35)</f>
        <v/>
      </c>
      <c r="BL35" s="149" t="str">
        <f>IF($B35=0,"",($O35/30)*'MF Rents'!BN35*'MF Rollover'!BK35)</f>
        <v/>
      </c>
      <c r="BM35" s="149" t="str">
        <f>IF($B35=0,"",($O35/30)*'MF Rents'!BO35*'MF Rollover'!BL35)</f>
        <v/>
      </c>
      <c r="BN35" s="149" t="str">
        <f>IF($B35=0,"",($O35/30)*'MF Rents'!BP35*'MF Rollover'!BM35)</f>
        <v/>
      </c>
      <c r="BO35" s="149" t="str">
        <f>IF($B35=0,"",($O35/30)*'MF Rents'!BQ35*'MF Rollover'!BN35)</f>
        <v/>
      </c>
      <c r="BP35" s="149" t="str">
        <f>IF($B35=0,"",($O35/30)*'MF Rents'!BR35*'MF Rollover'!BO35)</f>
        <v/>
      </c>
      <c r="BQ35" s="149" t="str">
        <f>IF($B35=0,"",($O35/30)*'MF Rents'!BS35*'MF Rollover'!BP35)</f>
        <v/>
      </c>
      <c r="BR35" s="149" t="str">
        <f>IF($B35=0,"",($O35/30)*'MF Rents'!BT35*'MF Rollover'!BQ35)</f>
        <v/>
      </c>
      <c r="BS35" s="149" t="str">
        <f>IF($B35=0,"",($O35/30)*'MF Rents'!BU35*'MF Rollover'!BR35)</f>
        <v/>
      </c>
      <c r="BT35" s="149" t="str">
        <f>IF($B35=0,"",($O35/30)*'MF Rents'!BV35*'MF Rollover'!BS35)</f>
        <v/>
      </c>
      <c r="BU35" s="149" t="str">
        <f>IF($B35=0,"",($O35/30)*'MF Rents'!BW35*'MF Rollover'!BT35)</f>
        <v/>
      </c>
      <c r="BV35" s="149" t="str">
        <f>IF($B35=0,"",($O35/30)*'MF Rents'!BX35*'MF Rollover'!BU35)</f>
        <v/>
      </c>
      <c r="BW35" s="149" t="str">
        <f>IF($B35=0,"",($O35/30)*'MF Rents'!BY35*'MF Rollover'!BV35)</f>
        <v/>
      </c>
      <c r="BX35" s="149" t="str">
        <f>IF($B35=0,"",($O35/30)*'MF Rents'!BZ35*'MF Rollover'!BW35)</f>
        <v/>
      </c>
      <c r="BY35" s="149" t="str">
        <f>IF($B35=0,"",($O35/30)*'MF Rents'!CA35*'MF Rollover'!BX35)</f>
        <v/>
      </c>
      <c r="BZ35" s="149" t="str">
        <f>IF($B35=0,"",($O35/30)*'MF Rents'!CB35*'MF Rollover'!BY35)</f>
        <v/>
      </c>
      <c r="CA35" s="149" t="str">
        <f>IF($B35=0,"",($O35/30)*'MF Rents'!CC35*'MF Rollover'!BZ35)</f>
        <v/>
      </c>
      <c r="CB35" s="149" t="str">
        <f>IF($B35=0,"",($O35/30)*'MF Rents'!CD35*'MF Rollover'!CA35)</f>
        <v/>
      </c>
      <c r="CC35" s="149" t="str">
        <f>IF($B35=0,"",($O35/30)*'MF Rents'!CE35*'MF Rollover'!CB35)</f>
        <v/>
      </c>
      <c r="CD35" s="149" t="str">
        <f>IF($B35=0,"",($O35/30)*'MF Rents'!CF35*'MF Rollover'!CC35)</f>
        <v/>
      </c>
      <c r="CE35" s="149" t="str">
        <f>IF($B35=0,"",($O35/30)*'MF Rents'!CG35*'MF Rollover'!CD35)</f>
        <v/>
      </c>
      <c r="CF35" s="149" t="str">
        <f>IF($B35=0,"",($O35/30)*'MF Rents'!CH35*'MF Rollover'!CE35)</f>
        <v/>
      </c>
      <c r="CG35" s="149" t="str">
        <f>IF($B35=0,"",($O35/30)*'MF Rents'!CI35*'MF Rollover'!CF35)</f>
        <v/>
      </c>
      <c r="CH35" s="149" t="str">
        <f>IF($B35=0,"",($O35/30)*'MF Rents'!CJ35*'MF Rollover'!CG35)</f>
        <v/>
      </c>
      <c r="CI35" s="149" t="str">
        <f>IF($B35=0,"",($O35/30)*'MF Rents'!CK35*'MF Rollover'!CH35)</f>
        <v/>
      </c>
      <c r="CJ35" s="149" t="str">
        <f>IF($B35=0,"",($O35/30)*'MF Rents'!CL35*'MF Rollover'!CI35)</f>
        <v/>
      </c>
      <c r="CK35" s="149" t="str">
        <f>IF($B35=0,"",($O35/30)*'MF Rents'!CM35*'MF Rollover'!CJ35)</f>
        <v/>
      </c>
      <c r="CL35" s="149" t="str">
        <f>IF($B35=0,"",($O35/30)*'MF Rents'!CN35*'MF Rollover'!CK35)</f>
        <v/>
      </c>
      <c r="CM35" s="149" t="str">
        <f>IF($B35=0,"",($O35/30)*'MF Rents'!CO35*'MF Rollover'!CL35)</f>
        <v/>
      </c>
      <c r="CN35" s="149" t="str">
        <f>IF($B35=0,"",($O35/30)*'MF Rents'!CP35*'MF Rollover'!CM35)</f>
        <v/>
      </c>
      <c r="CO35" s="149" t="str">
        <f>IF($B35=0,"",($O35/30)*'MF Rents'!CQ35*'MF Rollover'!CN35)</f>
        <v/>
      </c>
      <c r="CP35" s="149" t="str">
        <f>IF($B35=0,"",($O35/30)*'MF Rents'!CR35*'MF Rollover'!CO35)</f>
        <v/>
      </c>
      <c r="CQ35" s="149" t="str">
        <f>IF($B35=0,"",($O35/30)*'MF Rents'!CS35*'MF Rollover'!CP35)</f>
        <v/>
      </c>
      <c r="CR35" s="149" t="str">
        <f>IF($B35=0,"",($O35/30)*'MF Rents'!CT35*'MF Rollover'!CQ35)</f>
        <v/>
      </c>
      <c r="CS35" s="149" t="str">
        <f>IF($B35=0,"",($O35/30)*'MF Rents'!CU35*'MF Rollover'!CR35)</f>
        <v/>
      </c>
      <c r="CT35" s="149" t="str">
        <f>IF($B35=0,"",($O35/30)*'MF Rents'!CV35*'MF Rollover'!CS35)</f>
        <v/>
      </c>
      <c r="CU35" s="149" t="str">
        <f>IF($B35=0,"",($O35/30)*'MF Rents'!CW35*'MF Rollover'!CT35)</f>
        <v/>
      </c>
      <c r="CV35" s="149" t="str">
        <f>IF($B35=0,"",($O35/30)*'MF Rents'!CX35*'MF Rollover'!CU35)</f>
        <v/>
      </c>
      <c r="CW35" s="149" t="str">
        <f>IF($B35=0,"",($O35/30)*'MF Rents'!CY35*'MF Rollover'!CV35)</f>
        <v/>
      </c>
      <c r="CX35" s="149" t="str">
        <f>IF($B35=0,"",($O35/30)*'MF Rents'!CZ35*'MF Rollover'!CW35)</f>
        <v/>
      </c>
      <c r="CY35" s="149" t="str">
        <f>IF($B35=0,"",($O35/30)*'MF Rents'!DA35*'MF Rollover'!CX35)</f>
        <v/>
      </c>
      <c r="CZ35" s="149" t="str">
        <f>IF($B35=0,"",($O35/30)*'MF Rents'!DB35*'MF Rollover'!CY35)</f>
        <v/>
      </c>
      <c r="DA35" s="149" t="str">
        <f>IF($B35=0,"",($O35/30)*'MF Rents'!DC35*'MF Rollover'!CZ35)</f>
        <v/>
      </c>
      <c r="DB35" s="149" t="str">
        <f>IF($B35=0,"",($O35/30)*'MF Rents'!DD35*'MF Rollover'!DA35)</f>
        <v/>
      </c>
      <c r="DC35" s="149" t="str">
        <f>IF($B35=0,"",($O35/30)*'MF Rents'!DE35*'MF Rollover'!DB35)</f>
        <v/>
      </c>
      <c r="DD35" s="149" t="str">
        <f>IF($B35=0,"",($O35/30)*'MF Rents'!DF35*'MF Rollover'!DC35)</f>
        <v/>
      </c>
      <c r="DE35" s="149" t="str">
        <f>IF($B35=0,"",($O35/30)*'MF Rents'!DG35*'MF Rollover'!DD35)</f>
        <v/>
      </c>
      <c r="DF35" s="149" t="str">
        <f>IF($B35=0,"",($O35/30)*'MF Rents'!DH35*'MF Rollover'!DE35)</f>
        <v/>
      </c>
      <c r="DG35" s="149" t="str">
        <f>IF($B35=0,"",($O35/30)*'MF Rents'!DI35*'MF Rollover'!DF35)</f>
        <v/>
      </c>
      <c r="DH35" s="149" t="str">
        <f>IF($B35=0,"",($O35/30)*'MF Rents'!DJ35*'MF Rollover'!DG35)</f>
        <v/>
      </c>
      <c r="DI35" s="149" t="str">
        <f>IF($B35=0,"",($O35/30)*'MF Rents'!DK35*'MF Rollover'!DH35)</f>
        <v/>
      </c>
      <c r="DJ35" s="149" t="str">
        <f>IF($B35=0,"",($O35/30)*'MF Rents'!DL35*'MF Rollover'!DI35)</f>
        <v/>
      </c>
      <c r="DK35" s="149" t="str">
        <f>IF($B35=0,"",($O35/30)*'MF Rents'!DM35*'MF Rollover'!DJ35)</f>
        <v/>
      </c>
      <c r="DL35" s="149" t="str">
        <f>IF($B35=0,"",($O35/30)*'MF Rents'!DN35*'MF Rollover'!DK35)</f>
        <v/>
      </c>
      <c r="DM35" s="149" t="str">
        <f>IF($B35=0,"",($O35/30)*'MF Rents'!DO35*'MF Rollover'!DL35)</f>
        <v/>
      </c>
      <c r="DN35" s="149" t="str">
        <f>IF($B35=0,"",($O35/30)*'MF Rents'!DP35*'MF Rollover'!DM35)</f>
        <v/>
      </c>
      <c r="DO35" s="149" t="str">
        <f>IF($B35=0,"",($O35/30)*'MF Rents'!DQ35*'MF Rollover'!DN35)</f>
        <v/>
      </c>
      <c r="DP35" s="149" t="str">
        <f>IF($B35=0,"",($O35/30)*'MF Rents'!DR35*'MF Rollover'!DO35)</f>
        <v/>
      </c>
      <c r="DQ35" s="149" t="str">
        <f>IF($B35=0,"",($O35/30)*'MF Rents'!DS35*'MF Rollover'!DP35)</f>
        <v/>
      </c>
      <c r="DR35" s="149" t="str">
        <f>IF($B35=0,"",($O35/30)*'MF Rents'!DT35*'MF Rollover'!DQ35)</f>
        <v/>
      </c>
      <c r="DS35" s="149" t="str">
        <f>IF($B35=0,"",($O35/30)*'MF Rents'!DU35*'MF Rollover'!DR35)</f>
        <v/>
      </c>
      <c r="DT35" s="149" t="str">
        <f>IF($B35=0,"",($O35/30)*'MF Rents'!DV35*'MF Rollover'!DS35)</f>
        <v/>
      </c>
      <c r="DU35" s="149" t="str">
        <f>IF($B35=0,"",($O35/30)*'MF Rents'!DW35*'MF Rollover'!DT35)</f>
        <v/>
      </c>
      <c r="DV35" s="149" t="str">
        <f>IF($B35=0,"",($O35/30)*'MF Rents'!DX35*'MF Rollover'!DU35)</f>
        <v/>
      </c>
      <c r="DW35" s="149" t="str">
        <f>IF($B35=0,"",($O35/30)*'MF Rents'!DY35*'MF Rollover'!DV35)</f>
        <v/>
      </c>
      <c r="DX35" s="149" t="str">
        <f>IF($B35=0,"",($O35/30)*'MF Rents'!DZ35*'MF Rollover'!DW35)</f>
        <v/>
      </c>
      <c r="DY35" s="149" t="str">
        <f>IF($B35=0,"",($O35/30)*'MF Rents'!EA35*'MF Rollover'!DX35)</f>
        <v/>
      </c>
      <c r="DZ35" s="149" t="str">
        <f>IF($B35=0,"",($O35/30)*'MF Rents'!EB35*'MF Rollover'!DY35)</f>
        <v/>
      </c>
      <c r="EA35" s="149" t="str">
        <f>IF($B35=0,"",($O35/30)*'MF Rents'!EC35*'MF Rollover'!DZ35)</f>
        <v/>
      </c>
      <c r="EB35" s="149" t="str">
        <f>IF($B35=0,"",($O35/30)*'MF Rents'!ED35*'MF Rollover'!EA35)</f>
        <v/>
      </c>
      <c r="EC35" s="149" t="str">
        <f>IF($B35=0,"",($O35/30)*'MF Rents'!EE35*'MF Rollover'!EB35)</f>
        <v/>
      </c>
      <c r="ED35" s="149" t="str">
        <f>IF($B35=0,"",($O35/30)*'MF Rents'!EF35*'MF Rollover'!EC35)</f>
        <v/>
      </c>
      <c r="EE35" s="149" t="str">
        <f>IF($B35=0,"",($O35/30)*'MF Rents'!EG35*'MF Rollover'!ED35)</f>
        <v/>
      </c>
      <c r="EF35" s="149" t="str">
        <f>IF($B35=0,"",($O35/30)*'MF Rents'!EH35*'MF Rollover'!EE35)</f>
        <v/>
      </c>
      <c r="EG35" s="149" t="str">
        <f>IF($B35=0,"",($O35/30)*'MF Rents'!EI35*'MF Rollover'!EF35)</f>
        <v/>
      </c>
      <c r="EH35" s="149" t="str">
        <f>IF($B35=0,"",($O35/30)*'MF Rents'!EJ35*'MF Rollover'!EG35)</f>
        <v/>
      </c>
      <c r="EI35" s="149" t="str">
        <f>IF($B35=0,"",($O35/30)*'MF Rents'!EK35*'MF Rollover'!EH35)</f>
        <v/>
      </c>
      <c r="EJ35" s="149" t="str">
        <f>IF($B35=0,"",($O35/30)*'MF Rents'!EL35*'MF Rollover'!EI35)</f>
        <v/>
      </c>
      <c r="EK35" s="149" t="str">
        <f>IF($B35=0,"",($O35/30)*'MF Rents'!EM35*'MF Rollover'!EJ35)</f>
        <v/>
      </c>
      <c r="EL35" s="149" t="str">
        <f>IF($B35=0,"",($O35/30)*'MF Rents'!EN35*'MF Rollover'!EK35)</f>
        <v/>
      </c>
      <c r="EM35" s="149" t="str">
        <f>IF($B35=0,"",($O35/30)*'MF Rents'!EO35*'MF Rollover'!EL35)</f>
        <v/>
      </c>
      <c r="EN35" s="149" t="str">
        <f>IF($B35=0,"",($O35/30)*'MF Rents'!EP35*'MF Rollover'!EM35)</f>
        <v/>
      </c>
      <c r="EO35" s="149" t="str">
        <f>IF($B35=0,"",($O35/30)*'MF Rents'!EQ35*'MF Rollover'!EN35)</f>
        <v/>
      </c>
      <c r="EP35" s="149" t="str">
        <f>IF($B35=0,"",($O35/30)*'MF Rents'!ER35*'MF Rollover'!EO35)</f>
        <v/>
      </c>
      <c r="EQ35" s="149" t="str">
        <f>IF($B35=0,"",($O35/30)*'MF Rents'!ES35*'MF Rollover'!EP35)</f>
        <v/>
      </c>
      <c r="ER35" s="149" t="str">
        <f>IF($B35=0,"",($O35/30)*'MF Rents'!ET35*'MF Rollover'!EQ35)</f>
        <v/>
      </c>
      <c r="ES35" s="149" t="str">
        <f>IF($B35=0,"",($O35/30)*'MF Rents'!EU35*'MF Rollover'!ER35)</f>
        <v/>
      </c>
      <c r="ET35" s="149" t="str">
        <f>IF($B35=0,"",($O35/30)*'MF Rents'!EV35*'MF Rollover'!ES35)</f>
        <v/>
      </c>
      <c r="EU35" s="149" t="str">
        <f>IF($B35=0,"",($O35/30)*'MF Rents'!EW35*'MF Rollover'!ET35)</f>
        <v/>
      </c>
      <c r="EV35" s="149" t="str">
        <f>IF($B35=0,"",($O35/30)*'MF Rents'!EX35*'MF Rollover'!EU35)</f>
        <v/>
      </c>
      <c r="EW35" s="149" t="str">
        <f>IF($B35=0,"",($O35/30)*'MF Rents'!EY35*'MF Rollover'!EV35)</f>
        <v/>
      </c>
      <c r="EX35" s="149" t="str">
        <f>IF($B35=0,"",($O35/30)*'MF Rents'!EZ35*'MF Rollover'!EW35)</f>
        <v/>
      </c>
      <c r="EY35" s="149" t="str">
        <f>IF($B35=0,"",($O35/30)*'MF Rents'!FA35*'MF Rollover'!EX35)</f>
        <v/>
      </c>
      <c r="EZ35" s="149" t="str">
        <f>IF($B35=0,"",($O35/30)*'MF Rents'!FB35*'MF Rollover'!EY35)</f>
        <v/>
      </c>
      <c r="FA35" s="149" t="str">
        <f>IF($B35=0,"",($O35/30)*'MF Rents'!FC35*'MF Rollover'!EZ35)</f>
        <v/>
      </c>
      <c r="FB35" s="149" t="str">
        <f>IF($B35=0,"",($O35/30)*'MF Rents'!FD35*'MF Rollover'!FA35)</f>
        <v/>
      </c>
      <c r="FC35" s="149" t="str">
        <f>IF($B35=0,"",($O35/30)*'MF Rents'!FE35*'MF Rollover'!FB35)</f>
        <v/>
      </c>
      <c r="FD35" s="149" t="str">
        <f>IF($B35=0,"",($O35/30)*'MF Rents'!FF35*'MF Rollover'!FC35)</f>
        <v/>
      </c>
      <c r="FE35" s="149" t="str">
        <f>IF($B35=0,"",($O35/30)*'MF Rents'!FG35*'MF Rollover'!FD35)</f>
        <v/>
      </c>
      <c r="FF35" s="149" t="str">
        <f>IF($B35=0,"",($O35/30)*'MF Rents'!FH35*'MF Rollover'!FE35)</f>
        <v/>
      </c>
      <c r="FG35" s="149" t="str">
        <f>IF($B35=0,"",($O35/30)*'MF Rents'!FI35*'MF Rollover'!FF35)</f>
        <v/>
      </c>
      <c r="FH35" s="149" t="str">
        <f>IF($B35=0,"",($O35/30)*'MF Rents'!FJ35*'MF Rollover'!FG35)</f>
        <v/>
      </c>
      <c r="FI35" s="149" t="str">
        <f>IF($B35=0,"",($O35/30)*'MF Rents'!FK35*'MF Rollover'!FH35)</f>
        <v/>
      </c>
      <c r="FJ35" s="149" t="str">
        <f>IF($B35=0,"",($O35/30)*'MF Rents'!FL35*'MF Rollover'!FI35)</f>
        <v/>
      </c>
      <c r="FK35" s="149" t="str">
        <f>IF($B35=0,"",($O35/30)*'MF Rents'!FM35*'MF Rollover'!FJ35)</f>
        <v/>
      </c>
      <c r="FL35" s="149" t="str">
        <f>IF($B35=0,"",($O35/30)*'MF Rents'!FN35*'MF Rollover'!FK35)</f>
        <v/>
      </c>
      <c r="FM35" s="149" t="str">
        <f>IF($B35=0,"",($O35/30)*'MF Rents'!FO35*'MF Rollover'!FL35)</f>
        <v/>
      </c>
      <c r="FN35" s="149" t="str">
        <f>IF($B35=0,"",($O35/30)*'MF Rents'!FP35*'MF Rollover'!FM35)</f>
        <v/>
      </c>
      <c r="FO35" s="149" t="str">
        <f>IF($B35=0,"",($O35/30)*'MF Rents'!FQ35*'MF Rollover'!FN35)</f>
        <v/>
      </c>
      <c r="FP35" s="149" t="str">
        <f>IF($B35=0,"",($O35/30)*'MF Rents'!FR35*'MF Rollover'!FO35)</f>
        <v/>
      </c>
      <c r="FQ35" s="149" t="str">
        <f>IF($B35=0,"",($O35/30)*'MF Rents'!FS35*'MF Rollover'!FP35)</f>
        <v/>
      </c>
      <c r="FR35" s="149" t="str">
        <f>IF($B35=0,"",($O35/30)*'MF Rents'!FT35*'MF Rollover'!FQ35)</f>
        <v/>
      </c>
      <c r="FS35" s="149" t="str">
        <f>IF($B35=0,"",($O35/30)*'MF Rents'!FU35*'MF Rollover'!FR35)</f>
        <v/>
      </c>
      <c r="FT35" s="149" t="str">
        <f>IF($B35=0,"",($O35/30)*'MF Rents'!FV35*'MF Rollover'!FS35)</f>
        <v/>
      </c>
      <c r="FU35" s="149" t="str">
        <f>IF($B35=0,"",($O35/30)*'MF Rents'!FW35*'MF Rollover'!FT35)</f>
        <v/>
      </c>
      <c r="FV35" s="149" t="str">
        <f>IF($B35=0,"",($O35/30)*'MF Rents'!FX35*'MF Rollover'!FU35)</f>
        <v/>
      </c>
      <c r="FW35" s="149" t="str">
        <f>IF($B35=0,"",($O35/30)*'MF Rents'!FY35*'MF Rollover'!FV35)</f>
        <v/>
      </c>
      <c r="FX35" s="149" t="str">
        <f>IF($B35=0,"",($O35/30)*'MF Rents'!FZ35*'MF Rollover'!FW35)</f>
        <v/>
      </c>
      <c r="FY35" s="149" t="str">
        <f>IF($B35=0,"",($O35/30)*'MF Rents'!GA35*'MF Rollover'!FX35)</f>
        <v/>
      </c>
      <c r="FZ35" s="149" t="str">
        <f>IF($B35=0,"",($O35/30)*'MF Rents'!GB35*'MF Rollover'!FY35)</f>
        <v/>
      </c>
      <c r="GA35" s="149" t="str">
        <f>IF($B35=0,"",($O35/30)*'MF Rents'!GC35*'MF Rollover'!FZ35)</f>
        <v/>
      </c>
      <c r="GB35" s="149" t="str">
        <f>IF($B35=0,"",($O35/30)*'MF Rents'!GD35*'MF Rollover'!GA35)</f>
        <v/>
      </c>
      <c r="GC35" s="149" t="str">
        <f>IF($B35=0,"",($O35/30)*'MF Rents'!GE35*'MF Rollover'!GB35)</f>
        <v/>
      </c>
      <c r="GD35" s="149" t="str">
        <f>IF($B35=0,"",($O35/30)*'MF Rents'!GF35*'MF Rollover'!GC35)</f>
        <v/>
      </c>
      <c r="GE35" s="149" t="str">
        <f>IF($B35=0,"",($O35/30)*'MF Rents'!GG35*'MF Rollover'!GD35)</f>
        <v/>
      </c>
      <c r="GF35" s="149" t="str">
        <f>IF($B35=0,"",($O35/30)*'MF Rents'!GH35*'MF Rollover'!GE35)</f>
        <v/>
      </c>
      <c r="GG35" s="149" t="str">
        <f>IF($B35=0,"",($O35/30)*'MF Rents'!GI35*'MF Rollover'!GF35)</f>
        <v/>
      </c>
      <c r="GH35" s="149" t="str">
        <f>IF($B35=0,"",($O35/30)*'MF Rents'!GJ35*'MF Rollover'!GG35)</f>
        <v/>
      </c>
      <c r="GI35" s="149" t="str">
        <f>IF($B35=0,"",($O35/30)*'MF Rents'!GK35*'MF Rollover'!GH35)</f>
        <v/>
      </c>
      <c r="GJ35" s="149" t="str">
        <f>IF($B35=0,"",($O35/30)*'MF Rents'!GL35*'MF Rollover'!GI35)</f>
        <v/>
      </c>
      <c r="GK35" s="149" t="str">
        <f>IF($B35=0,"",($O35/30)*'MF Rents'!GM35*'MF Rollover'!GJ35)</f>
        <v/>
      </c>
      <c r="GL35" s="149" t="str">
        <f>IF($B35=0,"",($O35/30)*'MF Rents'!GN35*'MF Rollover'!GK35)</f>
        <v/>
      </c>
      <c r="GM35" s="149" t="str">
        <f>IF($B35=0,"",($O35/30)*'MF Rents'!GO35*'MF Rollover'!GL35)</f>
        <v/>
      </c>
      <c r="GN35" s="149" t="str">
        <f>IF($B35=0,"",($O35/30)*'MF Rents'!GP35*'MF Rollover'!GM35)</f>
        <v/>
      </c>
      <c r="GO35" s="149" t="str">
        <f>IF($B35=0,"",($O35/30)*'MF Rents'!GQ35*'MF Rollover'!GN35)</f>
        <v/>
      </c>
      <c r="GP35" s="149" t="str">
        <f>IF($B35=0,"",($O35/30)*'MF Rents'!GR35*'MF Rollover'!GO35)</f>
        <v/>
      </c>
    </row>
    <row r="36" spans="2:198" x14ac:dyDescent="0.3">
      <c r="B36" s="184">
        <f>'MF Rent Roll'!B35</f>
        <v>0</v>
      </c>
      <c r="C36" s="171">
        <f>'MF Rent Roll'!C35</f>
        <v>0</v>
      </c>
      <c r="D36" s="172">
        <f>'MF Rent Roll'!D35</f>
        <v>0</v>
      </c>
      <c r="E36" s="172">
        <f>'MF Rent Roll'!E35</f>
        <v>0</v>
      </c>
      <c r="F36" s="173">
        <f>'MF Rent Roll'!F35</f>
        <v>0</v>
      </c>
      <c r="G36" s="174">
        <f>'MF Rent Roll'!G35</f>
        <v>0</v>
      </c>
      <c r="H36" s="176">
        <f>'MF Rent Roll'!J35</f>
        <v>0</v>
      </c>
      <c r="I36" s="174">
        <f>'MF Rent Roll'!K35</f>
        <v>0</v>
      </c>
      <c r="J36" s="177">
        <f>'MF Rent Roll'!L35</f>
        <v>0</v>
      </c>
      <c r="K36" s="178">
        <f>'MF Rent Roll'!M35</f>
        <v>0</v>
      </c>
      <c r="L36" s="174">
        <f>'MF Rent Roll'!N35</f>
        <v>0</v>
      </c>
      <c r="M36" s="179">
        <f>'MF Rent Roll'!O35</f>
        <v>0</v>
      </c>
      <c r="N36" s="180" t="str">
        <f>'MF Rent Roll'!P35</f>
        <v/>
      </c>
      <c r="O36" s="181" t="str">
        <f>'MF Rent Roll'!Q35</f>
        <v/>
      </c>
      <c r="P36" s="104" t="str">
        <f>'MF Rent Roll'!R35</f>
        <v/>
      </c>
      <c r="S36" s="149" t="str">
        <f>IF($B36=0,"",($O36/30)*'MF Rents'!U36*'MF Rollover'!R36)</f>
        <v/>
      </c>
      <c r="T36" s="149" t="str">
        <f>IF($B36=0,"",($O36/30)*'MF Rents'!V36*'MF Rollover'!S36)</f>
        <v/>
      </c>
      <c r="U36" s="149" t="str">
        <f>IF($B36=0,"",($O36/30)*'MF Rents'!W36*'MF Rollover'!T36)</f>
        <v/>
      </c>
      <c r="V36" s="149" t="str">
        <f>IF($B36=0,"",($O36/30)*'MF Rents'!X36*'MF Rollover'!U36)</f>
        <v/>
      </c>
      <c r="W36" s="149" t="str">
        <f>IF($B36=0,"",($O36/30)*'MF Rents'!Y36*'MF Rollover'!V36)</f>
        <v/>
      </c>
      <c r="X36" s="149" t="str">
        <f>IF($B36=0,"",($O36/30)*'MF Rents'!Z36*'MF Rollover'!W36)</f>
        <v/>
      </c>
      <c r="Y36" s="149" t="str">
        <f>IF($B36=0,"",($O36/30)*'MF Rents'!AA36*'MF Rollover'!X36)</f>
        <v/>
      </c>
      <c r="Z36" s="149" t="str">
        <f>IF($B36=0,"",($O36/30)*'MF Rents'!AB36*'MF Rollover'!Y36)</f>
        <v/>
      </c>
      <c r="AA36" s="149" t="str">
        <f>IF($B36=0,"",($O36/30)*'MF Rents'!AC36*'MF Rollover'!Z36)</f>
        <v/>
      </c>
      <c r="AB36" s="149" t="str">
        <f>IF($B36=0,"",($O36/30)*'MF Rents'!AD36*'MF Rollover'!AA36)</f>
        <v/>
      </c>
      <c r="AC36" s="149" t="str">
        <f>IF($B36=0,"",($O36/30)*'MF Rents'!AE36*'MF Rollover'!AB36)</f>
        <v/>
      </c>
      <c r="AD36" s="149" t="str">
        <f>IF($B36=0,"",($O36/30)*'MF Rents'!AF36*'MF Rollover'!AC36)</f>
        <v/>
      </c>
      <c r="AE36" s="149" t="str">
        <f>IF($B36=0,"",($O36/30)*'MF Rents'!AG36*'MF Rollover'!AD36)</f>
        <v/>
      </c>
      <c r="AF36" s="149" t="str">
        <f>IF($B36=0,"",($O36/30)*'MF Rents'!AH36*'MF Rollover'!AE36)</f>
        <v/>
      </c>
      <c r="AG36" s="149" t="str">
        <f>IF($B36=0,"",($O36/30)*'MF Rents'!AI36*'MF Rollover'!AF36)</f>
        <v/>
      </c>
      <c r="AH36" s="149" t="str">
        <f>IF($B36=0,"",($O36/30)*'MF Rents'!AJ36*'MF Rollover'!AG36)</f>
        <v/>
      </c>
      <c r="AI36" s="149" t="str">
        <f>IF($B36=0,"",($O36/30)*'MF Rents'!AK36*'MF Rollover'!AH36)</f>
        <v/>
      </c>
      <c r="AJ36" s="149" t="str">
        <f>IF($B36=0,"",($O36/30)*'MF Rents'!AL36*'MF Rollover'!AI36)</f>
        <v/>
      </c>
      <c r="AK36" s="149" t="str">
        <f>IF($B36=0,"",($O36/30)*'MF Rents'!AM36*'MF Rollover'!AJ36)</f>
        <v/>
      </c>
      <c r="AL36" s="149" t="str">
        <f>IF($B36=0,"",($O36/30)*'MF Rents'!AN36*'MF Rollover'!AK36)</f>
        <v/>
      </c>
      <c r="AM36" s="149" t="str">
        <f>IF($B36=0,"",($O36/30)*'MF Rents'!AO36*'MF Rollover'!AL36)</f>
        <v/>
      </c>
      <c r="AN36" s="149" t="str">
        <f>IF($B36=0,"",($O36/30)*'MF Rents'!AP36*'MF Rollover'!AM36)</f>
        <v/>
      </c>
      <c r="AO36" s="149" t="str">
        <f>IF($B36=0,"",($O36/30)*'MF Rents'!AQ36*'MF Rollover'!AN36)</f>
        <v/>
      </c>
      <c r="AP36" s="149" t="str">
        <f>IF($B36=0,"",($O36/30)*'MF Rents'!AR36*'MF Rollover'!AO36)</f>
        <v/>
      </c>
      <c r="AQ36" s="149" t="str">
        <f>IF($B36=0,"",($O36/30)*'MF Rents'!AS36*'MF Rollover'!AP36)</f>
        <v/>
      </c>
      <c r="AR36" s="149" t="str">
        <f>IF($B36=0,"",($O36/30)*'MF Rents'!AT36*'MF Rollover'!AQ36)</f>
        <v/>
      </c>
      <c r="AS36" s="149" t="str">
        <f>IF($B36=0,"",($O36/30)*'MF Rents'!AU36*'MF Rollover'!AR36)</f>
        <v/>
      </c>
      <c r="AT36" s="149" t="str">
        <f>IF($B36=0,"",($O36/30)*'MF Rents'!AV36*'MF Rollover'!AS36)</f>
        <v/>
      </c>
      <c r="AU36" s="149" t="str">
        <f>IF($B36=0,"",($O36/30)*'MF Rents'!AW36*'MF Rollover'!AT36)</f>
        <v/>
      </c>
      <c r="AV36" s="149" t="str">
        <f>IF($B36=0,"",($O36/30)*'MF Rents'!AX36*'MF Rollover'!AU36)</f>
        <v/>
      </c>
      <c r="AW36" s="149" t="str">
        <f>IF($B36=0,"",($O36/30)*'MF Rents'!AY36*'MF Rollover'!AV36)</f>
        <v/>
      </c>
      <c r="AX36" s="149" t="str">
        <f>IF($B36=0,"",($O36/30)*'MF Rents'!AZ36*'MF Rollover'!AW36)</f>
        <v/>
      </c>
      <c r="AY36" s="149" t="str">
        <f>IF($B36=0,"",($O36/30)*'MF Rents'!BA36*'MF Rollover'!AX36)</f>
        <v/>
      </c>
      <c r="AZ36" s="149" t="str">
        <f>IF($B36=0,"",($O36/30)*'MF Rents'!BB36*'MF Rollover'!AY36)</f>
        <v/>
      </c>
      <c r="BA36" s="149" t="str">
        <f>IF($B36=0,"",($O36/30)*'MF Rents'!BC36*'MF Rollover'!AZ36)</f>
        <v/>
      </c>
      <c r="BB36" s="149" t="str">
        <f>IF($B36=0,"",($O36/30)*'MF Rents'!BD36*'MF Rollover'!BA36)</f>
        <v/>
      </c>
      <c r="BC36" s="149" t="str">
        <f>IF($B36=0,"",($O36/30)*'MF Rents'!BE36*'MF Rollover'!BB36)</f>
        <v/>
      </c>
      <c r="BD36" s="149" t="str">
        <f>IF($B36=0,"",($O36/30)*'MF Rents'!BF36*'MF Rollover'!BC36)</f>
        <v/>
      </c>
      <c r="BE36" s="149" t="str">
        <f>IF($B36=0,"",($O36/30)*'MF Rents'!BG36*'MF Rollover'!BD36)</f>
        <v/>
      </c>
      <c r="BF36" s="149" t="str">
        <f>IF($B36=0,"",($O36/30)*'MF Rents'!BH36*'MF Rollover'!BE36)</f>
        <v/>
      </c>
      <c r="BG36" s="149" t="str">
        <f>IF($B36=0,"",($O36/30)*'MF Rents'!BI36*'MF Rollover'!BF36)</f>
        <v/>
      </c>
      <c r="BH36" s="149" t="str">
        <f>IF($B36=0,"",($O36/30)*'MF Rents'!BJ36*'MF Rollover'!BG36)</f>
        <v/>
      </c>
      <c r="BI36" s="149" t="str">
        <f>IF($B36=0,"",($O36/30)*'MF Rents'!BK36*'MF Rollover'!BH36)</f>
        <v/>
      </c>
      <c r="BJ36" s="149" t="str">
        <f>IF($B36=0,"",($O36/30)*'MF Rents'!BL36*'MF Rollover'!BI36)</f>
        <v/>
      </c>
      <c r="BK36" s="149" t="str">
        <f>IF($B36=0,"",($O36/30)*'MF Rents'!BM36*'MF Rollover'!BJ36)</f>
        <v/>
      </c>
      <c r="BL36" s="149" t="str">
        <f>IF($B36=0,"",($O36/30)*'MF Rents'!BN36*'MF Rollover'!BK36)</f>
        <v/>
      </c>
      <c r="BM36" s="149" t="str">
        <f>IF($B36=0,"",($O36/30)*'MF Rents'!BO36*'MF Rollover'!BL36)</f>
        <v/>
      </c>
      <c r="BN36" s="149" t="str">
        <f>IF($B36=0,"",($O36/30)*'MF Rents'!BP36*'MF Rollover'!BM36)</f>
        <v/>
      </c>
      <c r="BO36" s="149" t="str">
        <f>IF($B36=0,"",($O36/30)*'MF Rents'!BQ36*'MF Rollover'!BN36)</f>
        <v/>
      </c>
      <c r="BP36" s="149" t="str">
        <f>IF($B36=0,"",($O36/30)*'MF Rents'!BR36*'MF Rollover'!BO36)</f>
        <v/>
      </c>
      <c r="BQ36" s="149" t="str">
        <f>IF($B36=0,"",($O36/30)*'MF Rents'!BS36*'MF Rollover'!BP36)</f>
        <v/>
      </c>
      <c r="BR36" s="149" t="str">
        <f>IF($B36=0,"",($O36/30)*'MF Rents'!BT36*'MF Rollover'!BQ36)</f>
        <v/>
      </c>
      <c r="BS36" s="149" t="str">
        <f>IF($B36=0,"",($O36/30)*'MF Rents'!BU36*'MF Rollover'!BR36)</f>
        <v/>
      </c>
      <c r="BT36" s="149" t="str">
        <f>IF($B36=0,"",($O36/30)*'MF Rents'!BV36*'MF Rollover'!BS36)</f>
        <v/>
      </c>
      <c r="BU36" s="149" t="str">
        <f>IF($B36=0,"",($O36/30)*'MF Rents'!BW36*'MF Rollover'!BT36)</f>
        <v/>
      </c>
      <c r="BV36" s="149" t="str">
        <f>IF($B36=0,"",($O36/30)*'MF Rents'!BX36*'MF Rollover'!BU36)</f>
        <v/>
      </c>
      <c r="BW36" s="149" t="str">
        <f>IF($B36=0,"",($O36/30)*'MF Rents'!BY36*'MF Rollover'!BV36)</f>
        <v/>
      </c>
      <c r="BX36" s="149" t="str">
        <f>IF($B36=0,"",($O36/30)*'MF Rents'!BZ36*'MF Rollover'!BW36)</f>
        <v/>
      </c>
      <c r="BY36" s="149" t="str">
        <f>IF($B36=0,"",($O36/30)*'MF Rents'!CA36*'MF Rollover'!BX36)</f>
        <v/>
      </c>
      <c r="BZ36" s="149" t="str">
        <f>IF($B36=0,"",($O36/30)*'MF Rents'!CB36*'MF Rollover'!BY36)</f>
        <v/>
      </c>
      <c r="CA36" s="149" t="str">
        <f>IF($B36=0,"",($O36/30)*'MF Rents'!CC36*'MF Rollover'!BZ36)</f>
        <v/>
      </c>
      <c r="CB36" s="149" t="str">
        <f>IF($B36=0,"",($O36/30)*'MF Rents'!CD36*'MF Rollover'!CA36)</f>
        <v/>
      </c>
      <c r="CC36" s="149" t="str">
        <f>IF($B36=0,"",($O36/30)*'MF Rents'!CE36*'MF Rollover'!CB36)</f>
        <v/>
      </c>
      <c r="CD36" s="149" t="str">
        <f>IF($B36=0,"",($O36/30)*'MF Rents'!CF36*'MF Rollover'!CC36)</f>
        <v/>
      </c>
      <c r="CE36" s="149" t="str">
        <f>IF($B36=0,"",($O36/30)*'MF Rents'!CG36*'MF Rollover'!CD36)</f>
        <v/>
      </c>
      <c r="CF36" s="149" t="str">
        <f>IF($B36=0,"",($O36/30)*'MF Rents'!CH36*'MF Rollover'!CE36)</f>
        <v/>
      </c>
      <c r="CG36" s="149" t="str">
        <f>IF($B36=0,"",($O36/30)*'MF Rents'!CI36*'MF Rollover'!CF36)</f>
        <v/>
      </c>
      <c r="CH36" s="149" t="str">
        <f>IF($B36=0,"",($O36/30)*'MF Rents'!CJ36*'MF Rollover'!CG36)</f>
        <v/>
      </c>
      <c r="CI36" s="149" t="str">
        <f>IF($B36=0,"",($O36/30)*'MF Rents'!CK36*'MF Rollover'!CH36)</f>
        <v/>
      </c>
      <c r="CJ36" s="149" t="str">
        <f>IF($B36=0,"",($O36/30)*'MF Rents'!CL36*'MF Rollover'!CI36)</f>
        <v/>
      </c>
      <c r="CK36" s="149" t="str">
        <f>IF($B36=0,"",($O36/30)*'MF Rents'!CM36*'MF Rollover'!CJ36)</f>
        <v/>
      </c>
      <c r="CL36" s="149" t="str">
        <f>IF($B36=0,"",($O36/30)*'MF Rents'!CN36*'MF Rollover'!CK36)</f>
        <v/>
      </c>
      <c r="CM36" s="149" t="str">
        <f>IF($B36=0,"",($O36/30)*'MF Rents'!CO36*'MF Rollover'!CL36)</f>
        <v/>
      </c>
      <c r="CN36" s="149" t="str">
        <f>IF($B36=0,"",($O36/30)*'MF Rents'!CP36*'MF Rollover'!CM36)</f>
        <v/>
      </c>
      <c r="CO36" s="149" t="str">
        <f>IF($B36=0,"",($O36/30)*'MF Rents'!CQ36*'MF Rollover'!CN36)</f>
        <v/>
      </c>
      <c r="CP36" s="149" t="str">
        <f>IF($B36=0,"",($O36/30)*'MF Rents'!CR36*'MF Rollover'!CO36)</f>
        <v/>
      </c>
      <c r="CQ36" s="149" t="str">
        <f>IF($B36=0,"",($O36/30)*'MF Rents'!CS36*'MF Rollover'!CP36)</f>
        <v/>
      </c>
      <c r="CR36" s="149" t="str">
        <f>IF($B36=0,"",($O36/30)*'MF Rents'!CT36*'MF Rollover'!CQ36)</f>
        <v/>
      </c>
      <c r="CS36" s="149" t="str">
        <f>IF($B36=0,"",($O36/30)*'MF Rents'!CU36*'MF Rollover'!CR36)</f>
        <v/>
      </c>
      <c r="CT36" s="149" t="str">
        <f>IF($B36=0,"",($O36/30)*'MF Rents'!CV36*'MF Rollover'!CS36)</f>
        <v/>
      </c>
      <c r="CU36" s="149" t="str">
        <f>IF($B36=0,"",($O36/30)*'MF Rents'!CW36*'MF Rollover'!CT36)</f>
        <v/>
      </c>
      <c r="CV36" s="149" t="str">
        <f>IF($B36=0,"",($O36/30)*'MF Rents'!CX36*'MF Rollover'!CU36)</f>
        <v/>
      </c>
      <c r="CW36" s="149" t="str">
        <f>IF($B36=0,"",($O36/30)*'MF Rents'!CY36*'MF Rollover'!CV36)</f>
        <v/>
      </c>
      <c r="CX36" s="149" t="str">
        <f>IF($B36=0,"",($O36/30)*'MF Rents'!CZ36*'MF Rollover'!CW36)</f>
        <v/>
      </c>
      <c r="CY36" s="149" t="str">
        <f>IF($B36=0,"",($O36/30)*'MF Rents'!DA36*'MF Rollover'!CX36)</f>
        <v/>
      </c>
      <c r="CZ36" s="149" t="str">
        <f>IF($B36=0,"",($O36/30)*'MF Rents'!DB36*'MF Rollover'!CY36)</f>
        <v/>
      </c>
      <c r="DA36" s="149" t="str">
        <f>IF($B36=0,"",($O36/30)*'MF Rents'!DC36*'MF Rollover'!CZ36)</f>
        <v/>
      </c>
      <c r="DB36" s="149" t="str">
        <f>IF($B36=0,"",($O36/30)*'MF Rents'!DD36*'MF Rollover'!DA36)</f>
        <v/>
      </c>
      <c r="DC36" s="149" t="str">
        <f>IF($B36=0,"",($O36/30)*'MF Rents'!DE36*'MF Rollover'!DB36)</f>
        <v/>
      </c>
      <c r="DD36" s="149" t="str">
        <f>IF($B36=0,"",($O36/30)*'MF Rents'!DF36*'MF Rollover'!DC36)</f>
        <v/>
      </c>
      <c r="DE36" s="149" t="str">
        <f>IF($B36=0,"",($O36/30)*'MF Rents'!DG36*'MF Rollover'!DD36)</f>
        <v/>
      </c>
      <c r="DF36" s="149" t="str">
        <f>IF($B36=0,"",($O36/30)*'MF Rents'!DH36*'MF Rollover'!DE36)</f>
        <v/>
      </c>
      <c r="DG36" s="149" t="str">
        <f>IF($B36=0,"",($O36/30)*'MF Rents'!DI36*'MF Rollover'!DF36)</f>
        <v/>
      </c>
      <c r="DH36" s="149" t="str">
        <f>IF($B36=0,"",($O36/30)*'MF Rents'!DJ36*'MF Rollover'!DG36)</f>
        <v/>
      </c>
      <c r="DI36" s="149" t="str">
        <f>IF($B36=0,"",($O36/30)*'MF Rents'!DK36*'MF Rollover'!DH36)</f>
        <v/>
      </c>
      <c r="DJ36" s="149" t="str">
        <f>IF($B36=0,"",($O36/30)*'MF Rents'!DL36*'MF Rollover'!DI36)</f>
        <v/>
      </c>
      <c r="DK36" s="149" t="str">
        <f>IF($B36=0,"",($O36/30)*'MF Rents'!DM36*'MF Rollover'!DJ36)</f>
        <v/>
      </c>
      <c r="DL36" s="149" t="str">
        <f>IF($B36=0,"",($O36/30)*'MF Rents'!DN36*'MF Rollover'!DK36)</f>
        <v/>
      </c>
      <c r="DM36" s="149" t="str">
        <f>IF($B36=0,"",($O36/30)*'MF Rents'!DO36*'MF Rollover'!DL36)</f>
        <v/>
      </c>
      <c r="DN36" s="149" t="str">
        <f>IF($B36=0,"",($O36/30)*'MF Rents'!DP36*'MF Rollover'!DM36)</f>
        <v/>
      </c>
      <c r="DO36" s="149" t="str">
        <f>IF($B36=0,"",($O36/30)*'MF Rents'!DQ36*'MF Rollover'!DN36)</f>
        <v/>
      </c>
      <c r="DP36" s="149" t="str">
        <f>IF($B36=0,"",($O36/30)*'MF Rents'!DR36*'MF Rollover'!DO36)</f>
        <v/>
      </c>
      <c r="DQ36" s="149" t="str">
        <f>IF($B36=0,"",($O36/30)*'MF Rents'!DS36*'MF Rollover'!DP36)</f>
        <v/>
      </c>
      <c r="DR36" s="149" t="str">
        <f>IF($B36=0,"",($O36/30)*'MF Rents'!DT36*'MF Rollover'!DQ36)</f>
        <v/>
      </c>
      <c r="DS36" s="149" t="str">
        <f>IF($B36=0,"",($O36/30)*'MF Rents'!DU36*'MF Rollover'!DR36)</f>
        <v/>
      </c>
      <c r="DT36" s="149" t="str">
        <f>IF($B36=0,"",($O36/30)*'MF Rents'!DV36*'MF Rollover'!DS36)</f>
        <v/>
      </c>
      <c r="DU36" s="149" t="str">
        <f>IF($B36=0,"",($O36/30)*'MF Rents'!DW36*'MF Rollover'!DT36)</f>
        <v/>
      </c>
      <c r="DV36" s="149" t="str">
        <f>IF($B36=0,"",($O36/30)*'MF Rents'!DX36*'MF Rollover'!DU36)</f>
        <v/>
      </c>
      <c r="DW36" s="149" t="str">
        <f>IF($B36=0,"",($O36/30)*'MF Rents'!DY36*'MF Rollover'!DV36)</f>
        <v/>
      </c>
      <c r="DX36" s="149" t="str">
        <f>IF($B36=0,"",($O36/30)*'MF Rents'!DZ36*'MF Rollover'!DW36)</f>
        <v/>
      </c>
      <c r="DY36" s="149" t="str">
        <f>IF($B36=0,"",($O36/30)*'MF Rents'!EA36*'MF Rollover'!DX36)</f>
        <v/>
      </c>
      <c r="DZ36" s="149" t="str">
        <f>IF($B36=0,"",($O36/30)*'MF Rents'!EB36*'MF Rollover'!DY36)</f>
        <v/>
      </c>
      <c r="EA36" s="149" t="str">
        <f>IF($B36=0,"",($O36/30)*'MF Rents'!EC36*'MF Rollover'!DZ36)</f>
        <v/>
      </c>
      <c r="EB36" s="149" t="str">
        <f>IF($B36=0,"",($O36/30)*'MF Rents'!ED36*'MF Rollover'!EA36)</f>
        <v/>
      </c>
      <c r="EC36" s="149" t="str">
        <f>IF($B36=0,"",($O36/30)*'MF Rents'!EE36*'MF Rollover'!EB36)</f>
        <v/>
      </c>
      <c r="ED36" s="149" t="str">
        <f>IF($B36=0,"",($O36/30)*'MF Rents'!EF36*'MF Rollover'!EC36)</f>
        <v/>
      </c>
      <c r="EE36" s="149" t="str">
        <f>IF($B36=0,"",($O36/30)*'MF Rents'!EG36*'MF Rollover'!ED36)</f>
        <v/>
      </c>
      <c r="EF36" s="149" t="str">
        <f>IF($B36=0,"",($O36/30)*'MF Rents'!EH36*'MF Rollover'!EE36)</f>
        <v/>
      </c>
      <c r="EG36" s="149" t="str">
        <f>IF($B36=0,"",($O36/30)*'MF Rents'!EI36*'MF Rollover'!EF36)</f>
        <v/>
      </c>
      <c r="EH36" s="149" t="str">
        <f>IF($B36=0,"",($O36/30)*'MF Rents'!EJ36*'MF Rollover'!EG36)</f>
        <v/>
      </c>
      <c r="EI36" s="149" t="str">
        <f>IF($B36=0,"",($O36/30)*'MF Rents'!EK36*'MF Rollover'!EH36)</f>
        <v/>
      </c>
      <c r="EJ36" s="149" t="str">
        <f>IF($B36=0,"",($O36/30)*'MF Rents'!EL36*'MF Rollover'!EI36)</f>
        <v/>
      </c>
      <c r="EK36" s="149" t="str">
        <f>IF($B36=0,"",($O36/30)*'MF Rents'!EM36*'MF Rollover'!EJ36)</f>
        <v/>
      </c>
      <c r="EL36" s="149" t="str">
        <f>IF($B36=0,"",($O36/30)*'MF Rents'!EN36*'MF Rollover'!EK36)</f>
        <v/>
      </c>
      <c r="EM36" s="149" t="str">
        <f>IF($B36=0,"",($O36/30)*'MF Rents'!EO36*'MF Rollover'!EL36)</f>
        <v/>
      </c>
      <c r="EN36" s="149" t="str">
        <f>IF($B36=0,"",($O36/30)*'MF Rents'!EP36*'MF Rollover'!EM36)</f>
        <v/>
      </c>
      <c r="EO36" s="149" t="str">
        <f>IF($B36=0,"",($O36/30)*'MF Rents'!EQ36*'MF Rollover'!EN36)</f>
        <v/>
      </c>
      <c r="EP36" s="149" t="str">
        <f>IF($B36=0,"",($O36/30)*'MF Rents'!ER36*'MF Rollover'!EO36)</f>
        <v/>
      </c>
      <c r="EQ36" s="149" t="str">
        <f>IF($B36=0,"",($O36/30)*'MF Rents'!ES36*'MF Rollover'!EP36)</f>
        <v/>
      </c>
      <c r="ER36" s="149" t="str">
        <f>IF($B36=0,"",($O36/30)*'MF Rents'!ET36*'MF Rollover'!EQ36)</f>
        <v/>
      </c>
      <c r="ES36" s="149" t="str">
        <f>IF($B36=0,"",($O36/30)*'MF Rents'!EU36*'MF Rollover'!ER36)</f>
        <v/>
      </c>
      <c r="ET36" s="149" t="str">
        <f>IF($B36=0,"",($O36/30)*'MF Rents'!EV36*'MF Rollover'!ES36)</f>
        <v/>
      </c>
      <c r="EU36" s="149" t="str">
        <f>IF($B36=0,"",($O36/30)*'MF Rents'!EW36*'MF Rollover'!ET36)</f>
        <v/>
      </c>
      <c r="EV36" s="149" t="str">
        <f>IF($B36=0,"",($O36/30)*'MF Rents'!EX36*'MF Rollover'!EU36)</f>
        <v/>
      </c>
      <c r="EW36" s="149" t="str">
        <f>IF($B36=0,"",($O36/30)*'MF Rents'!EY36*'MF Rollover'!EV36)</f>
        <v/>
      </c>
      <c r="EX36" s="149" t="str">
        <f>IF($B36=0,"",($O36/30)*'MF Rents'!EZ36*'MF Rollover'!EW36)</f>
        <v/>
      </c>
      <c r="EY36" s="149" t="str">
        <f>IF($B36=0,"",($O36/30)*'MF Rents'!FA36*'MF Rollover'!EX36)</f>
        <v/>
      </c>
      <c r="EZ36" s="149" t="str">
        <f>IF($B36=0,"",($O36/30)*'MF Rents'!FB36*'MF Rollover'!EY36)</f>
        <v/>
      </c>
      <c r="FA36" s="149" t="str">
        <f>IF($B36=0,"",($O36/30)*'MF Rents'!FC36*'MF Rollover'!EZ36)</f>
        <v/>
      </c>
      <c r="FB36" s="149" t="str">
        <f>IF($B36=0,"",($O36/30)*'MF Rents'!FD36*'MF Rollover'!FA36)</f>
        <v/>
      </c>
      <c r="FC36" s="149" t="str">
        <f>IF($B36=0,"",($O36/30)*'MF Rents'!FE36*'MF Rollover'!FB36)</f>
        <v/>
      </c>
      <c r="FD36" s="149" t="str">
        <f>IF($B36=0,"",($O36/30)*'MF Rents'!FF36*'MF Rollover'!FC36)</f>
        <v/>
      </c>
      <c r="FE36" s="149" t="str">
        <f>IF($B36=0,"",($O36/30)*'MF Rents'!FG36*'MF Rollover'!FD36)</f>
        <v/>
      </c>
      <c r="FF36" s="149" t="str">
        <f>IF($B36=0,"",($O36/30)*'MF Rents'!FH36*'MF Rollover'!FE36)</f>
        <v/>
      </c>
      <c r="FG36" s="149" t="str">
        <f>IF($B36=0,"",($O36/30)*'MF Rents'!FI36*'MF Rollover'!FF36)</f>
        <v/>
      </c>
      <c r="FH36" s="149" t="str">
        <f>IF($B36=0,"",($O36/30)*'MF Rents'!FJ36*'MF Rollover'!FG36)</f>
        <v/>
      </c>
      <c r="FI36" s="149" t="str">
        <f>IF($B36=0,"",($O36/30)*'MF Rents'!FK36*'MF Rollover'!FH36)</f>
        <v/>
      </c>
      <c r="FJ36" s="149" t="str">
        <f>IF($B36=0,"",($O36/30)*'MF Rents'!FL36*'MF Rollover'!FI36)</f>
        <v/>
      </c>
      <c r="FK36" s="149" t="str">
        <f>IF($B36=0,"",($O36/30)*'MF Rents'!FM36*'MF Rollover'!FJ36)</f>
        <v/>
      </c>
      <c r="FL36" s="149" t="str">
        <f>IF($B36=0,"",($O36/30)*'MF Rents'!FN36*'MF Rollover'!FK36)</f>
        <v/>
      </c>
      <c r="FM36" s="149" t="str">
        <f>IF($B36=0,"",($O36/30)*'MF Rents'!FO36*'MF Rollover'!FL36)</f>
        <v/>
      </c>
      <c r="FN36" s="149" t="str">
        <f>IF($B36=0,"",($O36/30)*'MF Rents'!FP36*'MF Rollover'!FM36)</f>
        <v/>
      </c>
      <c r="FO36" s="149" t="str">
        <f>IF($B36=0,"",($O36/30)*'MF Rents'!FQ36*'MF Rollover'!FN36)</f>
        <v/>
      </c>
      <c r="FP36" s="149" t="str">
        <f>IF($B36=0,"",($O36/30)*'MF Rents'!FR36*'MF Rollover'!FO36)</f>
        <v/>
      </c>
      <c r="FQ36" s="149" t="str">
        <f>IF($B36=0,"",($O36/30)*'MF Rents'!FS36*'MF Rollover'!FP36)</f>
        <v/>
      </c>
      <c r="FR36" s="149" t="str">
        <f>IF($B36=0,"",($O36/30)*'MF Rents'!FT36*'MF Rollover'!FQ36)</f>
        <v/>
      </c>
      <c r="FS36" s="149" t="str">
        <f>IF($B36=0,"",($O36/30)*'MF Rents'!FU36*'MF Rollover'!FR36)</f>
        <v/>
      </c>
      <c r="FT36" s="149" t="str">
        <f>IF($B36=0,"",($O36/30)*'MF Rents'!FV36*'MF Rollover'!FS36)</f>
        <v/>
      </c>
      <c r="FU36" s="149" t="str">
        <f>IF($B36=0,"",($O36/30)*'MF Rents'!FW36*'MF Rollover'!FT36)</f>
        <v/>
      </c>
      <c r="FV36" s="149" t="str">
        <f>IF($B36=0,"",($O36/30)*'MF Rents'!FX36*'MF Rollover'!FU36)</f>
        <v/>
      </c>
      <c r="FW36" s="149" t="str">
        <f>IF($B36=0,"",($O36/30)*'MF Rents'!FY36*'MF Rollover'!FV36)</f>
        <v/>
      </c>
      <c r="FX36" s="149" t="str">
        <f>IF($B36=0,"",($O36/30)*'MF Rents'!FZ36*'MF Rollover'!FW36)</f>
        <v/>
      </c>
      <c r="FY36" s="149" t="str">
        <f>IF($B36=0,"",($O36/30)*'MF Rents'!GA36*'MF Rollover'!FX36)</f>
        <v/>
      </c>
      <c r="FZ36" s="149" t="str">
        <f>IF($B36=0,"",($O36/30)*'MF Rents'!GB36*'MF Rollover'!FY36)</f>
        <v/>
      </c>
      <c r="GA36" s="149" t="str">
        <f>IF($B36=0,"",($O36/30)*'MF Rents'!GC36*'MF Rollover'!FZ36)</f>
        <v/>
      </c>
      <c r="GB36" s="149" t="str">
        <f>IF($B36=0,"",($O36/30)*'MF Rents'!GD36*'MF Rollover'!GA36)</f>
        <v/>
      </c>
      <c r="GC36" s="149" t="str">
        <f>IF($B36=0,"",($O36/30)*'MF Rents'!GE36*'MF Rollover'!GB36)</f>
        <v/>
      </c>
      <c r="GD36" s="149" t="str">
        <f>IF($B36=0,"",($O36/30)*'MF Rents'!GF36*'MF Rollover'!GC36)</f>
        <v/>
      </c>
      <c r="GE36" s="149" t="str">
        <f>IF($B36=0,"",($O36/30)*'MF Rents'!GG36*'MF Rollover'!GD36)</f>
        <v/>
      </c>
      <c r="GF36" s="149" t="str">
        <f>IF($B36=0,"",($O36/30)*'MF Rents'!GH36*'MF Rollover'!GE36)</f>
        <v/>
      </c>
      <c r="GG36" s="149" t="str">
        <f>IF($B36=0,"",($O36/30)*'MF Rents'!GI36*'MF Rollover'!GF36)</f>
        <v/>
      </c>
      <c r="GH36" s="149" t="str">
        <f>IF($B36=0,"",($O36/30)*'MF Rents'!GJ36*'MF Rollover'!GG36)</f>
        <v/>
      </c>
      <c r="GI36" s="149" t="str">
        <f>IF($B36=0,"",($O36/30)*'MF Rents'!GK36*'MF Rollover'!GH36)</f>
        <v/>
      </c>
      <c r="GJ36" s="149" t="str">
        <f>IF($B36=0,"",($O36/30)*'MF Rents'!GL36*'MF Rollover'!GI36)</f>
        <v/>
      </c>
      <c r="GK36" s="149" t="str">
        <f>IF($B36=0,"",($O36/30)*'MF Rents'!GM36*'MF Rollover'!GJ36)</f>
        <v/>
      </c>
      <c r="GL36" s="149" t="str">
        <f>IF($B36=0,"",($O36/30)*'MF Rents'!GN36*'MF Rollover'!GK36)</f>
        <v/>
      </c>
      <c r="GM36" s="149" t="str">
        <f>IF($B36=0,"",($O36/30)*'MF Rents'!GO36*'MF Rollover'!GL36)</f>
        <v/>
      </c>
      <c r="GN36" s="149" t="str">
        <f>IF($B36=0,"",($O36/30)*'MF Rents'!GP36*'MF Rollover'!GM36)</f>
        <v/>
      </c>
      <c r="GO36" s="149" t="str">
        <f>IF($B36=0,"",($O36/30)*'MF Rents'!GQ36*'MF Rollover'!GN36)</f>
        <v/>
      </c>
      <c r="GP36" s="149" t="str">
        <f>IF($B36=0,"",($O36/30)*'MF Rents'!GR36*'MF Rollover'!GO36)</f>
        <v/>
      </c>
    </row>
    <row r="37" spans="2:198" x14ac:dyDescent="0.3">
      <c r="B37" s="184">
        <f>'MF Rent Roll'!B36</f>
        <v>0</v>
      </c>
      <c r="C37" s="171">
        <f>'MF Rent Roll'!C36</f>
        <v>0</v>
      </c>
      <c r="D37" s="172">
        <f>'MF Rent Roll'!D36</f>
        <v>0</v>
      </c>
      <c r="E37" s="172">
        <f>'MF Rent Roll'!E36</f>
        <v>0</v>
      </c>
      <c r="F37" s="173">
        <f>'MF Rent Roll'!F36</f>
        <v>0</v>
      </c>
      <c r="G37" s="174">
        <f>'MF Rent Roll'!G36</f>
        <v>0</v>
      </c>
      <c r="H37" s="176">
        <f>'MF Rent Roll'!J36</f>
        <v>0</v>
      </c>
      <c r="I37" s="174">
        <f>'MF Rent Roll'!K36</f>
        <v>0</v>
      </c>
      <c r="J37" s="177">
        <f>'MF Rent Roll'!L36</f>
        <v>0</v>
      </c>
      <c r="K37" s="178">
        <f>'MF Rent Roll'!M36</f>
        <v>0</v>
      </c>
      <c r="L37" s="174">
        <f>'MF Rent Roll'!N36</f>
        <v>0</v>
      </c>
      <c r="M37" s="179">
        <f>'MF Rent Roll'!O36</f>
        <v>0</v>
      </c>
      <c r="N37" s="180" t="str">
        <f>'MF Rent Roll'!P36</f>
        <v/>
      </c>
      <c r="O37" s="181" t="str">
        <f>'MF Rent Roll'!Q36</f>
        <v/>
      </c>
      <c r="P37" s="104" t="str">
        <f>'MF Rent Roll'!R36</f>
        <v/>
      </c>
      <c r="S37" s="149" t="str">
        <f>IF($B37=0,"",($O37/30)*'MF Rents'!U37*'MF Rollover'!R37)</f>
        <v/>
      </c>
      <c r="T37" s="149" t="str">
        <f>IF($B37=0,"",($O37/30)*'MF Rents'!V37*'MF Rollover'!S37)</f>
        <v/>
      </c>
      <c r="U37" s="149" t="str">
        <f>IF($B37=0,"",($O37/30)*'MF Rents'!W37*'MF Rollover'!T37)</f>
        <v/>
      </c>
      <c r="V37" s="149" t="str">
        <f>IF($B37=0,"",($O37/30)*'MF Rents'!X37*'MF Rollover'!U37)</f>
        <v/>
      </c>
      <c r="W37" s="149" t="str">
        <f>IF($B37=0,"",($O37/30)*'MF Rents'!Y37*'MF Rollover'!V37)</f>
        <v/>
      </c>
      <c r="X37" s="149" t="str">
        <f>IF($B37=0,"",($O37/30)*'MF Rents'!Z37*'MF Rollover'!W37)</f>
        <v/>
      </c>
      <c r="Y37" s="149" t="str">
        <f>IF($B37=0,"",($O37/30)*'MF Rents'!AA37*'MF Rollover'!X37)</f>
        <v/>
      </c>
      <c r="Z37" s="149" t="str">
        <f>IF($B37=0,"",($O37/30)*'MF Rents'!AB37*'MF Rollover'!Y37)</f>
        <v/>
      </c>
      <c r="AA37" s="149" t="str">
        <f>IF($B37=0,"",($O37/30)*'MF Rents'!AC37*'MF Rollover'!Z37)</f>
        <v/>
      </c>
      <c r="AB37" s="149" t="str">
        <f>IF($B37=0,"",($O37/30)*'MF Rents'!AD37*'MF Rollover'!AA37)</f>
        <v/>
      </c>
      <c r="AC37" s="149" t="str">
        <f>IF($B37=0,"",($O37/30)*'MF Rents'!AE37*'MF Rollover'!AB37)</f>
        <v/>
      </c>
      <c r="AD37" s="149" t="str">
        <f>IF($B37=0,"",($O37/30)*'MF Rents'!AF37*'MF Rollover'!AC37)</f>
        <v/>
      </c>
      <c r="AE37" s="149" t="str">
        <f>IF($B37=0,"",($O37/30)*'MF Rents'!AG37*'MF Rollover'!AD37)</f>
        <v/>
      </c>
      <c r="AF37" s="149" t="str">
        <f>IF($B37=0,"",($O37/30)*'MF Rents'!AH37*'MF Rollover'!AE37)</f>
        <v/>
      </c>
      <c r="AG37" s="149" t="str">
        <f>IF($B37=0,"",($O37/30)*'MF Rents'!AI37*'MF Rollover'!AF37)</f>
        <v/>
      </c>
      <c r="AH37" s="149" t="str">
        <f>IF($B37=0,"",($O37/30)*'MF Rents'!AJ37*'MF Rollover'!AG37)</f>
        <v/>
      </c>
      <c r="AI37" s="149" t="str">
        <f>IF($B37=0,"",($O37/30)*'MF Rents'!AK37*'MF Rollover'!AH37)</f>
        <v/>
      </c>
      <c r="AJ37" s="149" t="str">
        <f>IF($B37=0,"",($O37/30)*'MF Rents'!AL37*'MF Rollover'!AI37)</f>
        <v/>
      </c>
      <c r="AK37" s="149" t="str">
        <f>IF($B37=0,"",($O37/30)*'MF Rents'!AM37*'MF Rollover'!AJ37)</f>
        <v/>
      </c>
      <c r="AL37" s="149" t="str">
        <f>IF($B37=0,"",($O37/30)*'MF Rents'!AN37*'MF Rollover'!AK37)</f>
        <v/>
      </c>
      <c r="AM37" s="149" t="str">
        <f>IF($B37=0,"",($O37/30)*'MF Rents'!AO37*'MF Rollover'!AL37)</f>
        <v/>
      </c>
      <c r="AN37" s="149" t="str">
        <f>IF($B37=0,"",($O37/30)*'MF Rents'!AP37*'MF Rollover'!AM37)</f>
        <v/>
      </c>
      <c r="AO37" s="149" t="str">
        <f>IF($B37=0,"",($O37/30)*'MF Rents'!AQ37*'MF Rollover'!AN37)</f>
        <v/>
      </c>
      <c r="AP37" s="149" t="str">
        <f>IF($B37=0,"",($O37/30)*'MF Rents'!AR37*'MF Rollover'!AO37)</f>
        <v/>
      </c>
      <c r="AQ37" s="149" t="str">
        <f>IF($B37=0,"",($O37/30)*'MF Rents'!AS37*'MF Rollover'!AP37)</f>
        <v/>
      </c>
      <c r="AR37" s="149" t="str">
        <f>IF($B37=0,"",($O37/30)*'MF Rents'!AT37*'MF Rollover'!AQ37)</f>
        <v/>
      </c>
      <c r="AS37" s="149" t="str">
        <f>IF($B37=0,"",($O37/30)*'MF Rents'!AU37*'MF Rollover'!AR37)</f>
        <v/>
      </c>
      <c r="AT37" s="149" t="str">
        <f>IF($B37=0,"",($O37/30)*'MF Rents'!AV37*'MF Rollover'!AS37)</f>
        <v/>
      </c>
      <c r="AU37" s="149" t="str">
        <f>IF($B37=0,"",($O37/30)*'MF Rents'!AW37*'MF Rollover'!AT37)</f>
        <v/>
      </c>
      <c r="AV37" s="149" t="str">
        <f>IF($B37=0,"",($O37/30)*'MF Rents'!AX37*'MF Rollover'!AU37)</f>
        <v/>
      </c>
      <c r="AW37" s="149" t="str">
        <f>IF($B37=0,"",($O37/30)*'MF Rents'!AY37*'MF Rollover'!AV37)</f>
        <v/>
      </c>
      <c r="AX37" s="149" t="str">
        <f>IF($B37=0,"",($O37/30)*'MF Rents'!AZ37*'MF Rollover'!AW37)</f>
        <v/>
      </c>
      <c r="AY37" s="149" t="str">
        <f>IF($B37=0,"",($O37/30)*'MF Rents'!BA37*'MF Rollover'!AX37)</f>
        <v/>
      </c>
      <c r="AZ37" s="149" t="str">
        <f>IF($B37=0,"",($O37/30)*'MF Rents'!BB37*'MF Rollover'!AY37)</f>
        <v/>
      </c>
      <c r="BA37" s="149" t="str">
        <f>IF($B37=0,"",($O37/30)*'MF Rents'!BC37*'MF Rollover'!AZ37)</f>
        <v/>
      </c>
      <c r="BB37" s="149" t="str">
        <f>IF($B37=0,"",($O37/30)*'MF Rents'!BD37*'MF Rollover'!BA37)</f>
        <v/>
      </c>
      <c r="BC37" s="149" t="str">
        <f>IF($B37=0,"",($O37/30)*'MF Rents'!BE37*'MF Rollover'!BB37)</f>
        <v/>
      </c>
      <c r="BD37" s="149" t="str">
        <f>IF($B37=0,"",($O37/30)*'MF Rents'!BF37*'MF Rollover'!BC37)</f>
        <v/>
      </c>
      <c r="BE37" s="149" t="str">
        <f>IF($B37=0,"",($O37/30)*'MF Rents'!BG37*'MF Rollover'!BD37)</f>
        <v/>
      </c>
      <c r="BF37" s="149" t="str">
        <f>IF($B37=0,"",($O37/30)*'MF Rents'!BH37*'MF Rollover'!BE37)</f>
        <v/>
      </c>
      <c r="BG37" s="149" t="str">
        <f>IF($B37=0,"",($O37/30)*'MF Rents'!BI37*'MF Rollover'!BF37)</f>
        <v/>
      </c>
      <c r="BH37" s="149" t="str">
        <f>IF($B37=0,"",($O37/30)*'MF Rents'!BJ37*'MF Rollover'!BG37)</f>
        <v/>
      </c>
      <c r="BI37" s="149" t="str">
        <f>IF($B37=0,"",($O37/30)*'MF Rents'!BK37*'MF Rollover'!BH37)</f>
        <v/>
      </c>
      <c r="BJ37" s="149" t="str">
        <f>IF($B37=0,"",($O37/30)*'MF Rents'!BL37*'MF Rollover'!BI37)</f>
        <v/>
      </c>
      <c r="BK37" s="149" t="str">
        <f>IF($B37=0,"",($O37/30)*'MF Rents'!BM37*'MF Rollover'!BJ37)</f>
        <v/>
      </c>
      <c r="BL37" s="149" t="str">
        <f>IF($B37=0,"",($O37/30)*'MF Rents'!BN37*'MF Rollover'!BK37)</f>
        <v/>
      </c>
      <c r="BM37" s="149" t="str">
        <f>IF($B37=0,"",($O37/30)*'MF Rents'!BO37*'MF Rollover'!BL37)</f>
        <v/>
      </c>
      <c r="BN37" s="149" t="str">
        <f>IF($B37=0,"",($O37/30)*'MF Rents'!BP37*'MF Rollover'!BM37)</f>
        <v/>
      </c>
      <c r="BO37" s="149" t="str">
        <f>IF($B37=0,"",($O37/30)*'MF Rents'!BQ37*'MF Rollover'!BN37)</f>
        <v/>
      </c>
      <c r="BP37" s="149" t="str">
        <f>IF($B37=0,"",($O37/30)*'MF Rents'!BR37*'MF Rollover'!BO37)</f>
        <v/>
      </c>
      <c r="BQ37" s="149" t="str">
        <f>IF($B37=0,"",($O37/30)*'MF Rents'!BS37*'MF Rollover'!BP37)</f>
        <v/>
      </c>
      <c r="BR37" s="149" t="str">
        <f>IF($B37=0,"",($O37/30)*'MF Rents'!BT37*'MF Rollover'!BQ37)</f>
        <v/>
      </c>
      <c r="BS37" s="149" t="str">
        <f>IF($B37=0,"",($O37/30)*'MF Rents'!BU37*'MF Rollover'!BR37)</f>
        <v/>
      </c>
      <c r="BT37" s="149" t="str">
        <f>IF($B37=0,"",($O37/30)*'MF Rents'!BV37*'MF Rollover'!BS37)</f>
        <v/>
      </c>
      <c r="BU37" s="149" t="str">
        <f>IF($B37=0,"",($O37/30)*'MF Rents'!BW37*'MF Rollover'!BT37)</f>
        <v/>
      </c>
      <c r="BV37" s="149" t="str">
        <f>IF($B37=0,"",($O37/30)*'MF Rents'!BX37*'MF Rollover'!BU37)</f>
        <v/>
      </c>
      <c r="BW37" s="149" t="str">
        <f>IF($B37=0,"",($O37/30)*'MF Rents'!BY37*'MF Rollover'!BV37)</f>
        <v/>
      </c>
      <c r="BX37" s="149" t="str">
        <f>IF($B37=0,"",($O37/30)*'MF Rents'!BZ37*'MF Rollover'!BW37)</f>
        <v/>
      </c>
      <c r="BY37" s="149" t="str">
        <f>IF($B37=0,"",($O37/30)*'MF Rents'!CA37*'MF Rollover'!BX37)</f>
        <v/>
      </c>
      <c r="BZ37" s="149" t="str">
        <f>IF($B37=0,"",($O37/30)*'MF Rents'!CB37*'MF Rollover'!BY37)</f>
        <v/>
      </c>
      <c r="CA37" s="149" t="str">
        <f>IF($B37=0,"",($O37/30)*'MF Rents'!CC37*'MF Rollover'!BZ37)</f>
        <v/>
      </c>
      <c r="CB37" s="149" t="str">
        <f>IF($B37=0,"",($O37/30)*'MF Rents'!CD37*'MF Rollover'!CA37)</f>
        <v/>
      </c>
      <c r="CC37" s="149" t="str">
        <f>IF($B37=0,"",($O37/30)*'MF Rents'!CE37*'MF Rollover'!CB37)</f>
        <v/>
      </c>
      <c r="CD37" s="149" t="str">
        <f>IF($B37=0,"",($O37/30)*'MF Rents'!CF37*'MF Rollover'!CC37)</f>
        <v/>
      </c>
      <c r="CE37" s="149" t="str">
        <f>IF($B37=0,"",($O37/30)*'MF Rents'!CG37*'MF Rollover'!CD37)</f>
        <v/>
      </c>
      <c r="CF37" s="149" t="str">
        <f>IF($B37=0,"",($O37/30)*'MF Rents'!CH37*'MF Rollover'!CE37)</f>
        <v/>
      </c>
      <c r="CG37" s="149" t="str">
        <f>IF($B37=0,"",($O37/30)*'MF Rents'!CI37*'MF Rollover'!CF37)</f>
        <v/>
      </c>
      <c r="CH37" s="149" t="str">
        <f>IF($B37=0,"",($O37/30)*'MF Rents'!CJ37*'MF Rollover'!CG37)</f>
        <v/>
      </c>
      <c r="CI37" s="149" t="str">
        <f>IF($B37=0,"",($O37/30)*'MF Rents'!CK37*'MF Rollover'!CH37)</f>
        <v/>
      </c>
      <c r="CJ37" s="149" t="str">
        <f>IF($B37=0,"",($O37/30)*'MF Rents'!CL37*'MF Rollover'!CI37)</f>
        <v/>
      </c>
      <c r="CK37" s="149" t="str">
        <f>IF($B37=0,"",($O37/30)*'MF Rents'!CM37*'MF Rollover'!CJ37)</f>
        <v/>
      </c>
      <c r="CL37" s="149" t="str">
        <f>IF($B37=0,"",($O37/30)*'MF Rents'!CN37*'MF Rollover'!CK37)</f>
        <v/>
      </c>
      <c r="CM37" s="149" t="str">
        <f>IF($B37=0,"",($O37/30)*'MF Rents'!CO37*'MF Rollover'!CL37)</f>
        <v/>
      </c>
      <c r="CN37" s="149" t="str">
        <f>IF($B37=0,"",($O37/30)*'MF Rents'!CP37*'MF Rollover'!CM37)</f>
        <v/>
      </c>
      <c r="CO37" s="149" t="str">
        <f>IF($B37=0,"",($O37/30)*'MF Rents'!CQ37*'MF Rollover'!CN37)</f>
        <v/>
      </c>
      <c r="CP37" s="149" t="str">
        <f>IF($B37=0,"",($O37/30)*'MF Rents'!CR37*'MF Rollover'!CO37)</f>
        <v/>
      </c>
      <c r="CQ37" s="149" t="str">
        <f>IF($B37=0,"",($O37/30)*'MF Rents'!CS37*'MF Rollover'!CP37)</f>
        <v/>
      </c>
      <c r="CR37" s="149" t="str">
        <f>IF($B37=0,"",($O37/30)*'MF Rents'!CT37*'MF Rollover'!CQ37)</f>
        <v/>
      </c>
      <c r="CS37" s="149" t="str">
        <f>IF($B37=0,"",($O37/30)*'MF Rents'!CU37*'MF Rollover'!CR37)</f>
        <v/>
      </c>
      <c r="CT37" s="149" t="str">
        <f>IF($B37=0,"",($O37/30)*'MF Rents'!CV37*'MF Rollover'!CS37)</f>
        <v/>
      </c>
      <c r="CU37" s="149" t="str">
        <f>IF($B37=0,"",($O37/30)*'MF Rents'!CW37*'MF Rollover'!CT37)</f>
        <v/>
      </c>
      <c r="CV37" s="149" t="str">
        <f>IF($B37=0,"",($O37/30)*'MF Rents'!CX37*'MF Rollover'!CU37)</f>
        <v/>
      </c>
      <c r="CW37" s="149" t="str">
        <f>IF($B37=0,"",($O37/30)*'MF Rents'!CY37*'MF Rollover'!CV37)</f>
        <v/>
      </c>
      <c r="CX37" s="149" t="str">
        <f>IF($B37=0,"",($O37/30)*'MF Rents'!CZ37*'MF Rollover'!CW37)</f>
        <v/>
      </c>
      <c r="CY37" s="149" t="str">
        <f>IF($B37=0,"",($O37/30)*'MF Rents'!DA37*'MF Rollover'!CX37)</f>
        <v/>
      </c>
      <c r="CZ37" s="149" t="str">
        <f>IF($B37=0,"",($O37/30)*'MF Rents'!DB37*'MF Rollover'!CY37)</f>
        <v/>
      </c>
      <c r="DA37" s="149" t="str">
        <f>IF($B37=0,"",($O37/30)*'MF Rents'!DC37*'MF Rollover'!CZ37)</f>
        <v/>
      </c>
      <c r="DB37" s="149" t="str">
        <f>IF($B37=0,"",($O37/30)*'MF Rents'!DD37*'MF Rollover'!DA37)</f>
        <v/>
      </c>
      <c r="DC37" s="149" t="str">
        <f>IF($B37=0,"",($O37/30)*'MF Rents'!DE37*'MF Rollover'!DB37)</f>
        <v/>
      </c>
      <c r="DD37" s="149" t="str">
        <f>IF($B37=0,"",($O37/30)*'MF Rents'!DF37*'MF Rollover'!DC37)</f>
        <v/>
      </c>
      <c r="DE37" s="149" t="str">
        <f>IF($B37=0,"",($O37/30)*'MF Rents'!DG37*'MF Rollover'!DD37)</f>
        <v/>
      </c>
      <c r="DF37" s="149" t="str">
        <f>IF($B37=0,"",($O37/30)*'MF Rents'!DH37*'MF Rollover'!DE37)</f>
        <v/>
      </c>
      <c r="DG37" s="149" t="str">
        <f>IF($B37=0,"",($O37/30)*'MF Rents'!DI37*'MF Rollover'!DF37)</f>
        <v/>
      </c>
      <c r="DH37" s="149" t="str">
        <f>IF($B37=0,"",($O37/30)*'MF Rents'!DJ37*'MF Rollover'!DG37)</f>
        <v/>
      </c>
      <c r="DI37" s="149" t="str">
        <f>IF($B37=0,"",($O37/30)*'MF Rents'!DK37*'MF Rollover'!DH37)</f>
        <v/>
      </c>
      <c r="DJ37" s="149" t="str">
        <f>IF($B37=0,"",($O37/30)*'MF Rents'!DL37*'MF Rollover'!DI37)</f>
        <v/>
      </c>
      <c r="DK37" s="149" t="str">
        <f>IF($B37=0,"",($O37/30)*'MF Rents'!DM37*'MF Rollover'!DJ37)</f>
        <v/>
      </c>
      <c r="DL37" s="149" t="str">
        <f>IF($B37=0,"",($O37/30)*'MF Rents'!DN37*'MF Rollover'!DK37)</f>
        <v/>
      </c>
      <c r="DM37" s="149" t="str">
        <f>IF($B37=0,"",($O37/30)*'MF Rents'!DO37*'MF Rollover'!DL37)</f>
        <v/>
      </c>
      <c r="DN37" s="149" t="str">
        <f>IF($B37=0,"",($O37/30)*'MF Rents'!DP37*'MF Rollover'!DM37)</f>
        <v/>
      </c>
      <c r="DO37" s="149" t="str">
        <f>IF($B37=0,"",($O37/30)*'MF Rents'!DQ37*'MF Rollover'!DN37)</f>
        <v/>
      </c>
      <c r="DP37" s="149" t="str">
        <f>IF($B37=0,"",($O37/30)*'MF Rents'!DR37*'MF Rollover'!DO37)</f>
        <v/>
      </c>
      <c r="DQ37" s="149" t="str">
        <f>IF($B37=0,"",($O37/30)*'MF Rents'!DS37*'MF Rollover'!DP37)</f>
        <v/>
      </c>
      <c r="DR37" s="149" t="str">
        <f>IF($B37=0,"",($O37/30)*'MF Rents'!DT37*'MF Rollover'!DQ37)</f>
        <v/>
      </c>
      <c r="DS37" s="149" t="str">
        <f>IF($B37=0,"",($O37/30)*'MF Rents'!DU37*'MF Rollover'!DR37)</f>
        <v/>
      </c>
      <c r="DT37" s="149" t="str">
        <f>IF($B37=0,"",($O37/30)*'MF Rents'!DV37*'MF Rollover'!DS37)</f>
        <v/>
      </c>
      <c r="DU37" s="149" t="str">
        <f>IF($B37=0,"",($O37/30)*'MF Rents'!DW37*'MF Rollover'!DT37)</f>
        <v/>
      </c>
      <c r="DV37" s="149" t="str">
        <f>IF($B37=0,"",($O37/30)*'MF Rents'!DX37*'MF Rollover'!DU37)</f>
        <v/>
      </c>
      <c r="DW37" s="149" t="str">
        <f>IF($B37=0,"",($O37/30)*'MF Rents'!DY37*'MF Rollover'!DV37)</f>
        <v/>
      </c>
      <c r="DX37" s="149" t="str">
        <f>IF($B37=0,"",($O37/30)*'MF Rents'!DZ37*'MF Rollover'!DW37)</f>
        <v/>
      </c>
      <c r="DY37" s="149" t="str">
        <f>IF($B37=0,"",($O37/30)*'MF Rents'!EA37*'MF Rollover'!DX37)</f>
        <v/>
      </c>
      <c r="DZ37" s="149" t="str">
        <f>IF($B37=0,"",($O37/30)*'MF Rents'!EB37*'MF Rollover'!DY37)</f>
        <v/>
      </c>
      <c r="EA37" s="149" t="str">
        <f>IF($B37=0,"",($O37/30)*'MF Rents'!EC37*'MF Rollover'!DZ37)</f>
        <v/>
      </c>
      <c r="EB37" s="149" t="str">
        <f>IF($B37=0,"",($O37/30)*'MF Rents'!ED37*'MF Rollover'!EA37)</f>
        <v/>
      </c>
      <c r="EC37" s="149" t="str">
        <f>IF($B37=0,"",($O37/30)*'MF Rents'!EE37*'MF Rollover'!EB37)</f>
        <v/>
      </c>
      <c r="ED37" s="149" t="str">
        <f>IF($B37=0,"",($O37/30)*'MF Rents'!EF37*'MF Rollover'!EC37)</f>
        <v/>
      </c>
      <c r="EE37" s="149" t="str">
        <f>IF($B37=0,"",($O37/30)*'MF Rents'!EG37*'MF Rollover'!ED37)</f>
        <v/>
      </c>
      <c r="EF37" s="149" t="str">
        <f>IF($B37=0,"",($O37/30)*'MF Rents'!EH37*'MF Rollover'!EE37)</f>
        <v/>
      </c>
      <c r="EG37" s="149" t="str">
        <f>IF($B37=0,"",($O37/30)*'MF Rents'!EI37*'MF Rollover'!EF37)</f>
        <v/>
      </c>
      <c r="EH37" s="149" t="str">
        <f>IF($B37=0,"",($O37/30)*'MF Rents'!EJ37*'MF Rollover'!EG37)</f>
        <v/>
      </c>
      <c r="EI37" s="149" t="str">
        <f>IF($B37=0,"",($O37/30)*'MF Rents'!EK37*'MF Rollover'!EH37)</f>
        <v/>
      </c>
      <c r="EJ37" s="149" t="str">
        <f>IF($B37=0,"",($O37/30)*'MF Rents'!EL37*'MF Rollover'!EI37)</f>
        <v/>
      </c>
      <c r="EK37" s="149" t="str">
        <f>IF($B37=0,"",($O37/30)*'MF Rents'!EM37*'MF Rollover'!EJ37)</f>
        <v/>
      </c>
      <c r="EL37" s="149" t="str">
        <f>IF($B37=0,"",($O37/30)*'MF Rents'!EN37*'MF Rollover'!EK37)</f>
        <v/>
      </c>
      <c r="EM37" s="149" t="str">
        <f>IF($B37=0,"",($O37/30)*'MF Rents'!EO37*'MF Rollover'!EL37)</f>
        <v/>
      </c>
      <c r="EN37" s="149" t="str">
        <f>IF($B37=0,"",($O37/30)*'MF Rents'!EP37*'MF Rollover'!EM37)</f>
        <v/>
      </c>
      <c r="EO37" s="149" t="str">
        <f>IF($B37=0,"",($O37/30)*'MF Rents'!EQ37*'MF Rollover'!EN37)</f>
        <v/>
      </c>
      <c r="EP37" s="149" t="str">
        <f>IF($B37=0,"",($O37/30)*'MF Rents'!ER37*'MF Rollover'!EO37)</f>
        <v/>
      </c>
      <c r="EQ37" s="149" t="str">
        <f>IF($B37=0,"",($O37/30)*'MF Rents'!ES37*'MF Rollover'!EP37)</f>
        <v/>
      </c>
      <c r="ER37" s="149" t="str">
        <f>IF($B37=0,"",($O37/30)*'MF Rents'!ET37*'MF Rollover'!EQ37)</f>
        <v/>
      </c>
      <c r="ES37" s="149" t="str">
        <f>IF($B37=0,"",($O37/30)*'MF Rents'!EU37*'MF Rollover'!ER37)</f>
        <v/>
      </c>
      <c r="ET37" s="149" t="str">
        <f>IF($B37=0,"",($O37/30)*'MF Rents'!EV37*'MF Rollover'!ES37)</f>
        <v/>
      </c>
      <c r="EU37" s="149" t="str">
        <f>IF($B37=0,"",($O37/30)*'MF Rents'!EW37*'MF Rollover'!ET37)</f>
        <v/>
      </c>
      <c r="EV37" s="149" t="str">
        <f>IF($B37=0,"",($O37/30)*'MF Rents'!EX37*'MF Rollover'!EU37)</f>
        <v/>
      </c>
      <c r="EW37" s="149" t="str">
        <f>IF($B37=0,"",($O37/30)*'MF Rents'!EY37*'MF Rollover'!EV37)</f>
        <v/>
      </c>
      <c r="EX37" s="149" t="str">
        <f>IF($B37=0,"",($O37/30)*'MF Rents'!EZ37*'MF Rollover'!EW37)</f>
        <v/>
      </c>
      <c r="EY37" s="149" t="str">
        <f>IF($B37=0,"",($O37/30)*'MF Rents'!FA37*'MF Rollover'!EX37)</f>
        <v/>
      </c>
      <c r="EZ37" s="149" t="str">
        <f>IF($B37=0,"",($O37/30)*'MF Rents'!FB37*'MF Rollover'!EY37)</f>
        <v/>
      </c>
      <c r="FA37" s="149" t="str">
        <f>IF($B37=0,"",($O37/30)*'MF Rents'!FC37*'MF Rollover'!EZ37)</f>
        <v/>
      </c>
      <c r="FB37" s="149" t="str">
        <f>IF($B37=0,"",($O37/30)*'MF Rents'!FD37*'MF Rollover'!FA37)</f>
        <v/>
      </c>
      <c r="FC37" s="149" t="str">
        <f>IF($B37=0,"",($O37/30)*'MF Rents'!FE37*'MF Rollover'!FB37)</f>
        <v/>
      </c>
      <c r="FD37" s="149" t="str">
        <f>IF($B37=0,"",($O37/30)*'MF Rents'!FF37*'MF Rollover'!FC37)</f>
        <v/>
      </c>
      <c r="FE37" s="149" t="str">
        <f>IF($B37=0,"",($O37/30)*'MF Rents'!FG37*'MF Rollover'!FD37)</f>
        <v/>
      </c>
      <c r="FF37" s="149" t="str">
        <f>IF($B37=0,"",($O37/30)*'MF Rents'!FH37*'MF Rollover'!FE37)</f>
        <v/>
      </c>
      <c r="FG37" s="149" t="str">
        <f>IF($B37=0,"",($O37/30)*'MF Rents'!FI37*'MF Rollover'!FF37)</f>
        <v/>
      </c>
      <c r="FH37" s="149" t="str">
        <f>IF($B37=0,"",($O37/30)*'MF Rents'!FJ37*'MF Rollover'!FG37)</f>
        <v/>
      </c>
      <c r="FI37" s="149" t="str">
        <f>IF($B37=0,"",($O37/30)*'MF Rents'!FK37*'MF Rollover'!FH37)</f>
        <v/>
      </c>
      <c r="FJ37" s="149" t="str">
        <f>IF($B37=0,"",($O37/30)*'MF Rents'!FL37*'MF Rollover'!FI37)</f>
        <v/>
      </c>
      <c r="FK37" s="149" t="str">
        <f>IF($B37=0,"",($O37/30)*'MF Rents'!FM37*'MF Rollover'!FJ37)</f>
        <v/>
      </c>
      <c r="FL37" s="149" t="str">
        <f>IF($B37=0,"",($O37/30)*'MF Rents'!FN37*'MF Rollover'!FK37)</f>
        <v/>
      </c>
      <c r="FM37" s="149" t="str">
        <f>IF($B37=0,"",($O37/30)*'MF Rents'!FO37*'MF Rollover'!FL37)</f>
        <v/>
      </c>
      <c r="FN37" s="149" t="str">
        <f>IF($B37=0,"",($O37/30)*'MF Rents'!FP37*'MF Rollover'!FM37)</f>
        <v/>
      </c>
      <c r="FO37" s="149" t="str">
        <f>IF($B37=0,"",($O37/30)*'MF Rents'!FQ37*'MF Rollover'!FN37)</f>
        <v/>
      </c>
      <c r="FP37" s="149" t="str">
        <f>IF($B37=0,"",($O37/30)*'MF Rents'!FR37*'MF Rollover'!FO37)</f>
        <v/>
      </c>
      <c r="FQ37" s="149" t="str">
        <f>IF($B37=0,"",($O37/30)*'MF Rents'!FS37*'MF Rollover'!FP37)</f>
        <v/>
      </c>
      <c r="FR37" s="149" t="str">
        <f>IF($B37=0,"",($O37/30)*'MF Rents'!FT37*'MF Rollover'!FQ37)</f>
        <v/>
      </c>
      <c r="FS37" s="149" t="str">
        <f>IF($B37=0,"",($O37/30)*'MF Rents'!FU37*'MF Rollover'!FR37)</f>
        <v/>
      </c>
      <c r="FT37" s="149" t="str">
        <f>IF($B37=0,"",($O37/30)*'MF Rents'!FV37*'MF Rollover'!FS37)</f>
        <v/>
      </c>
      <c r="FU37" s="149" t="str">
        <f>IF($B37=0,"",($O37/30)*'MF Rents'!FW37*'MF Rollover'!FT37)</f>
        <v/>
      </c>
      <c r="FV37" s="149" t="str">
        <f>IF($B37=0,"",($O37/30)*'MF Rents'!FX37*'MF Rollover'!FU37)</f>
        <v/>
      </c>
      <c r="FW37" s="149" t="str">
        <f>IF($B37=0,"",($O37/30)*'MF Rents'!FY37*'MF Rollover'!FV37)</f>
        <v/>
      </c>
      <c r="FX37" s="149" t="str">
        <f>IF($B37=0,"",($O37/30)*'MF Rents'!FZ37*'MF Rollover'!FW37)</f>
        <v/>
      </c>
      <c r="FY37" s="149" t="str">
        <f>IF($B37=0,"",($O37/30)*'MF Rents'!GA37*'MF Rollover'!FX37)</f>
        <v/>
      </c>
      <c r="FZ37" s="149" t="str">
        <f>IF($B37=0,"",($O37/30)*'MF Rents'!GB37*'MF Rollover'!FY37)</f>
        <v/>
      </c>
      <c r="GA37" s="149" t="str">
        <f>IF($B37=0,"",($O37/30)*'MF Rents'!GC37*'MF Rollover'!FZ37)</f>
        <v/>
      </c>
      <c r="GB37" s="149" t="str">
        <f>IF($B37=0,"",($O37/30)*'MF Rents'!GD37*'MF Rollover'!GA37)</f>
        <v/>
      </c>
      <c r="GC37" s="149" t="str">
        <f>IF($B37=0,"",($O37/30)*'MF Rents'!GE37*'MF Rollover'!GB37)</f>
        <v/>
      </c>
      <c r="GD37" s="149" t="str">
        <f>IF($B37=0,"",($O37/30)*'MF Rents'!GF37*'MF Rollover'!GC37)</f>
        <v/>
      </c>
      <c r="GE37" s="149" t="str">
        <f>IF($B37=0,"",($O37/30)*'MF Rents'!GG37*'MF Rollover'!GD37)</f>
        <v/>
      </c>
      <c r="GF37" s="149" t="str">
        <f>IF($B37=0,"",($O37/30)*'MF Rents'!GH37*'MF Rollover'!GE37)</f>
        <v/>
      </c>
      <c r="GG37" s="149" t="str">
        <f>IF($B37=0,"",($O37/30)*'MF Rents'!GI37*'MF Rollover'!GF37)</f>
        <v/>
      </c>
      <c r="GH37" s="149" t="str">
        <f>IF($B37=0,"",($O37/30)*'MF Rents'!GJ37*'MF Rollover'!GG37)</f>
        <v/>
      </c>
      <c r="GI37" s="149" t="str">
        <f>IF($B37=0,"",($O37/30)*'MF Rents'!GK37*'MF Rollover'!GH37)</f>
        <v/>
      </c>
      <c r="GJ37" s="149" t="str">
        <f>IF($B37=0,"",($O37/30)*'MF Rents'!GL37*'MF Rollover'!GI37)</f>
        <v/>
      </c>
      <c r="GK37" s="149" t="str">
        <f>IF($B37=0,"",($O37/30)*'MF Rents'!GM37*'MF Rollover'!GJ37)</f>
        <v/>
      </c>
      <c r="GL37" s="149" t="str">
        <f>IF($B37=0,"",($O37/30)*'MF Rents'!GN37*'MF Rollover'!GK37)</f>
        <v/>
      </c>
      <c r="GM37" s="149" t="str">
        <f>IF($B37=0,"",($O37/30)*'MF Rents'!GO37*'MF Rollover'!GL37)</f>
        <v/>
      </c>
      <c r="GN37" s="149" t="str">
        <f>IF($B37=0,"",($O37/30)*'MF Rents'!GP37*'MF Rollover'!GM37)</f>
        <v/>
      </c>
      <c r="GO37" s="149" t="str">
        <f>IF($B37=0,"",($O37/30)*'MF Rents'!GQ37*'MF Rollover'!GN37)</f>
        <v/>
      </c>
      <c r="GP37" s="149" t="str">
        <f>IF($B37=0,"",($O37/30)*'MF Rents'!GR37*'MF Rollover'!GO37)</f>
        <v/>
      </c>
    </row>
    <row r="38" spans="2:198" x14ac:dyDescent="0.3">
      <c r="B38" s="184">
        <f>'MF Rent Roll'!B37</f>
        <v>0</v>
      </c>
      <c r="C38" s="171">
        <f>'MF Rent Roll'!C37</f>
        <v>0</v>
      </c>
      <c r="D38" s="172">
        <f>'MF Rent Roll'!D37</f>
        <v>0</v>
      </c>
      <c r="E38" s="172">
        <f>'MF Rent Roll'!E37</f>
        <v>0</v>
      </c>
      <c r="F38" s="173">
        <f>'MF Rent Roll'!F37</f>
        <v>0</v>
      </c>
      <c r="G38" s="174">
        <f>'MF Rent Roll'!G37</f>
        <v>0</v>
      </c>
      <c r="H38" s="176">
        <f>'MF Rent Roll'!J37</f>
        <v>0</v>
      </c>
      <c r="I38" s="174">
        <f>'MF Rent Roll'!K37</f>
        <v>0</v>
      </c>
      <c r="J38" s="177">
        <f>'MF Rent Roll'!L37</f>
        <v>0</v>
      </c>
      <c r="K38" s="178">
        <f>'MF Rent Roll'!M37</f>
        <v>0</v>
      </c>
      <c r="L38" s="174">
        <f>'MF Rent Roll'!N37</f>
        <v>0</v>
      </c>
      <c r="M38" s="179">
        <f>'MF Rent Roll'!O37</f>
        <v>0</v>
      </c>
      <c r="N38" s="180" t="str">
        <f>'MF Rent Roll'!P37</f>
        <v/>
      </c>
      <c r="O38" s="181" t="str">
        <f>'MF Rent Roll'!Q37</f>
        <v/>
      </c>
      <c r="P38" s="104" t="str">
        <f>'MF Rent Roll'!R37</f>
        <v/>
      </c>
      <c r="S38" s="149" t="str">
        <f>IF($B38=0,"",($O38/30)*'MF Rents'!U38*'MF Rollover'!R38)</f>
        <v/>
      </c>
      <c r="T38" s="149" t="str">
        <f>IF($B38=0,"",($O38/30)*'MF Rents'!V38*'MF Rollover'!S38)</f>
        <v/>
      </c>
      <c r="U38" s="149" t="str">
        <f>IF($B38=0,"",($O38/30)*'MF Rents'!W38*'MF Rollover'!T38)</f>
        <v/>
      </c>
      <c r="V38" s="149" t="str">
        <f>IF($B38=0,"",($O38/30)*'MF Rents'!X38*'MF Rollover'!U38)</f>
        <v/>
      </c>
      <c r="W38" s="149" t="str">
        <f>IF($B38=0,"",($O38/30)*'MF Rents'!Y38*'MF Rollover'!V38)</f>
        <v/>
      </c>
      <c r="X38" s="149" t="str">
        <f>IF($B38=0,"",($O38/30)*'MF Rents'!Z38*'MF Rollover'!W38)</f>
        <v/>
      </c>
      <c r="Y38" s="149" t="str">
        <f>IF($B38=0,"",($O38/30)*'MF Rents'!AA38*'MF Rollover'!X38)</f>
        <v/>
      </c>
      <c r="Z38" s="149" t="str">
        <f>IF($B38=0,"",($O38/30)*'MF Rents'!AB38*'MF Rollover'!Y38)</f>
        <v/>
      </c>
      <c r="AA38" s="149" t="str">
        <f>IF($B38=0,"",($O38/30)*'MF Rents'!AC38*'MF Rollover'!Z38)</f>
        <v/>
      </c>
      <c r="AB38" s="149" t="str">
        <f>IF($B38=0,"",($O38/30)*'MF Rents'!AD38*'MF Rollover'!AA38)</f>
        <v/>
      </c>
      <c r="AC38" s="149" t="str">
        <f>IF($B38=0,"",($O38/30)*'MF Rents'!AE38*'MF Rollover'!AB38)</f>
        <v/>
      </c>
      <c r="AD38" s="149" t="str">
        <f>IF($B38=0,"",($O38/30)*'MF Rents'!AF38*'MF Rollover'!AC38)</f>
        <v/>
      </c>
      <c r="AE38" s="149" t="str">
        <f>IF($B38=0,"",($O38/30)*'MF Rents'!AG38*'MF Rollover'!AD38)</f>
        <v/>
      </c>
      <c r="AF38" s="149" t="str">
        <f>IF($B38=0,"",($O38/30)*'MF Rents'!AH38*'MF Rollover'!AE38)</f>
        <v/>
      </c>
      <c r="AG38" s="149" t="str">
        <f>IF($B38=0,"",($O38/30)*'MF Rents'!AI38*'MF Rollover'!AF38)</f>
        <v/>
      </c>
      <c r="AH38" s="149" t="str">
        <f>IF($B38=0,"",($O38/30)*'MF Rents'!AJ38*'MF Rollover'!AG38)</f>
        <v/>
      </c>
      <c r="AI38" s="149" t="str">
        <f>IF($B38=0,"",($O38/30)*'MF Rents'!AK38*'MF Rollover'!AH38)</f>
        <v/>
      </c>
      <c r="AJ38" s="149" t="str">
        <f>IF($B38=0,"",($O38/30)*'MF Rents'!AL38*'MF Rollover'!AI38)</f>
        <v/>
      </c>
      <c r="AK38" s="149" t="str">
        <f>IF($B38=0,"",($O38/30)*'MF Rents'!AM38*'MF Rollover'!AJ38)</f>
        <v/>
      </c>
      <c r="AL38" s="149" t="str">
        <f>IF($B38=0,"",($O38/30)*'MF Rents'!AN38*'MF Rollover'!AK38)</f>
        <v/>
      </c>
      <c r="AM38" s="149" t="str">
        <f>IF($B38=0,"",($O38/30)*'MF Rents'!AO38*'MF Rollover'!AL38)</f>
        <v/>
      </c>
      <c r="AN38" s="149" t="str">
        <f>IF($B38=0,"",($O38/30)*'MF Rents'!AP38*'MF Rollover'!AM38)</f>
        <v/>
      </c>
      <c r="AO38" s="149" t="str">
        <f>IF($B38=0,"",($O38/30)*'MF Rents'!AQ38*'MF Rollover'!AN38)</f>
        <v/>
      </c>
      <c r="AP38" s="149" t="str">
        <f>IF($B38=0,"",($O38/30)*'MF Rents'!AR38*'MF Rollover'!AO38)</f>
        <v/>
      </c>
      <c r="AQ38" s="149" t="str">
        <f>IF($B38=0,"",($O38/30)*'MF Rents'!AS38*'MF Rollover'!AP38)</f>
        <v/>
      </c>
      <c r="AR38" s="149" t="str">
        <f>IF($B38=0,"",($O38/30)*'MF Rents'!AT38*'MF Rollover'!AQ38)</f>
        <v/>
      </c>
      <c r="AS38" s="149" t="str">
        <f>IF($B38=0,"",($O38/30)*'MF Rents'!AU38*'MF Rollover'!AR38)</f>
        <v/>
      </c>
      <c r="AT38" s="149" t="str">
        <f>IF($B38=0,"",($O38/30)*'MF Rents'!AV38*'MF Rollover'!AS38)</f>
        <v/>
      </c>
      <c r="AU38" s="149" t="str">
        <f>IF($B38=0,"",($O38/30)*'MF Rents'!AW38*'MF Rollover'!AT38)</f>
        <v/>
      </c>
      <c r="AV38" s="149" t="str">
        <f>IF($B38=0,"",($O38/30)*'MF Rents'!AX38*'MF Rollover'!AU38)</f>
        <v/>
      </c>
      <c r="AW38" s="149" t="str">
        <f>IF($B38=0,"",($O38/30)*'MF Rents'!AY38*'MF Rollover'!AV38)</f>
        <v/>
      </c>
      <c r="AX38" s="149" t="str">
        <f>IF($B38=0,"",($O38/30)*'MF Rents'!AZ38*'MF Rollover'!AW38)</f>
        <v/>
      </c>
      <c r="AY38" s="149" t="str">
        <f>IF($B38=0,"",($O38/30)*'MF Rents'!BA38*'MF Rollover'!AX38)</f>
        <v/>
      </c>
      <c r="AZ38" s="149" t="str">
        <f>IF($B38=0,"",($O38/30)*'MF Rents'!BB38*'MF Rollover'!AY38)</f>
        <v/>
      </c>
      <c r="BA38" s="149" t="str">
        <f>IF($B38=0,"",($O38/30)*'MF Rents'!BC38*'MF Rollover'!AZ38)</f>
        <v/>
      </c>
      <c r="BB38" s="149" t="str">
        <f>IF($B38=0,"",($O38/30)*'MF Rents'!BD38*'MF Rollover'!BA38)</f>
        <v/>
      </c>
      <c r="BC38" s="149" t="str">
        <f>IF($B38=0,"",($O38/30)*'MF Rents'!BE38*'MF Rollover'!BB38)</f>
        <v/>
      </c>
      <c r="BD38" s="149" t="str">
        <f>IF($B38=0,"",($O38/30)*'MF Rents'!BF38*'MF Rollover'!BC38)</f>
        <v/>
      </c>
      <c r="BE38" s="149" t="str">
        <f>IF($B38=0,"",($O38/30)*'MF Rents'!BG38*'MF Rollover'!BD38)</f>
        <v/>
      </c>
      <c r="BF38" s="149" t="str">
        <f>IF($B38=0,"",($O38/30)*'MF Rents'!BH38*'MF Rollover'!BE38)</f>
        <v/>
      </c>
      <c r="BG38" s="149" t="str">
        <f>IF($B38=0,"",($O38/30)*'MF Rents'!BI38*'MF Rollover'!BF38)</f>
        <v/>
      </c>
      <c r="BH38" s="149" t="str">
        <f>IF($B38=0,"",($O38/30)*'MF Rents'!BJ38*'MF Rollover'!BG38)</f>
        <v/>
      </c>
      <c r="BI38" s="149" t="str">
        <f>IF($B38=0,"",($O38/30)*'MF Rents'!BK38*'MF Rollover'!BH38)</f>
        <v/>
      </c>
      <c r="BJ38" s="149" t="str">
        <f>IF($B38=0,"",($O38/30)*'MF Rents'!BL38*'MF Rollover'!BI38)</f>
        <v/>
      </c>
      <c r="BK38" s="149" t="str">
        <f>IF($B38=0,"",($O38/30)*'MF Rents'!BM38*'MF Rollover'!BJ38)</f>
        <v/>
      </c>
      <c r="BL38" s="149" t="str">
        <f>IF($B38=0,"",($O38/30)*'MF Rents'!BN38*'MF Rollover'!BK38)</f>
        <v/>
      </c>
      <c r="BM38" s="149" t="str">
        <f>IF($B38=0,"",($O38/30)*'MF Rents'!BO38*'MF Rollover'!BL38)</f>
        <v/>
      </c>
      <c r="BN38" s="149" t="str">
        <f>IF($B38=0,"",($O38/30)*'MF Rents'!BP38*'MF Rollover'!BM38)</f>
        <v/>
      </c>
      <c r="BO38" s="149" t="str">
        <f>IF($B38=0,"",($O38/30)*'MF Rents'!BQ38*'MF Rollover'!BN38)</f>
        <v/>
      </c>
      <c r="BP38" s="149" t="str">
        <f>IF($B38=0,"",($O38/30)*'MF Rents'!BR38*'MF Rollover'!BO38)</f>
        <v/>
      </c>
      <c r="BQ38" s="149" t="str">
        <f>IF($B38=0,"",($O38/30)*'MF Rents'!BS38*'MF Rollover'!BP38)</f>
        <v/>
      </c>
      <c r="BR38" s="149" t="str">
        <f>IF($B38=0,"",($O38/30)*'MF Rents'!BT38*'MF Rollover'!BQ38)</f>
        <v/>
      </c>
      <c r="BS38" s="149" t="str">
        <f>IF($B38=0,"",($O38/30)*'MF Rents'!BU38*'MF Rollover'!BR38)</f>
        <v/>
      </c>
      <c r="BT38" s="149" t="str">
        <f>IF($B38=0,"",($O38/30)*'MF Rents'!BV38*'MF Rollover'!BS38)</f>
        <v/>
      </c>
      <c r="BU38" s="149" t="str">
        <f>IF($B38=0,"",($O38/30)*'MF Rents'!BW38*'MF Rollover'!BT38)</f>
        <v/>
      </c>
      <c r="BV38" s="149" t="str">
        <f>IF($B38=0,"",($O38/30)*'MF Rents'!BX38*'MF Rollover'!BU38)</f>
        <v/>
      </c>
      <c r="BW38" s="149" t="str">
        <f>IF($B38=0,"",($O38/30)*'MF Rents'!BY38*'MF Rollover'!BV38)</f>
        <v/>
      </c>
      <c r="BX38" s="149" t="str">
        <f>IF($B38=0,"",($O38/30)*'MF Rents'!BZ38*'MF Rollover'!BW38)</f>
        <v/>
      </c>
      <c r="BY38" s="149" t="str">
        <f>IF($B38=0,"",($O38/30)*'MF Rents'!CA38*'MF Rollover'!BX38)</f>
        <v/>
      </c>
      <c r="BZ38" s="149" t="str">
        <f>IF($B38=0,"",($O38/30)*'MF Rents'!CB38*'MF Rollover'!BY38)</f>
        <v/>
      </c>
      <c r="CA38" s="149" t="str">
        <f>IF($B38=0,"",($O38/30)*'MF Rents'!CC38*'MF Rollover'!BZ38)</f>
        <v/>
      </c>
      <c r="CB38" s="149" t="str">
        <f>IF($B38=0,"",($O38/30)*'MF Rents'!CD38*'MF Rollover'!CA38)</f>
        <v/>
      </c>
      <c r="CC38" s="149" t="str">
        <f>IF($B38=0,"",($O38/30)*'MF Rents'!CE38*'MF Rollover'!CB38)</f>
        <v/>
      </c>
      <c r="CD38" s="149" t="str">
        <f>IF($B38=0,"",($O38/30)*'MF Rents'!CF38*'MF Rollover'!CC38)</f>
        <v/>
      </c>
      <c r="CE38" s="149" t="str">
        <f>IF($B38=0,"",($O38/30)*'MF Rents'!CG38*'MF Rollover'!CD38)</f>
        <v/>
      </c>
      <c r="CF38" s="149" t="str">
        <f>IF($B38=0,"",($O38/30)*'MF Rents'!CH38*'MF Rollover'!CE38)</f>
        <v/>
      </c>
      <c r="CG38" s="149" t="str">
        <f>IF($B38=0,"",($O38/30)*'MF Rents'!CI38*'MF Rollover'!CF38)</f>
        <v/>
      </c>
      <c r="CH38" s="149" t="str">
        <f>IF($B38=0,"",($O38/30)*'MF Rents'!CJ38*'MF Rollover'!CG38)</f>
        <v/>
      </c>
      <c r="CI38" s="149" t="str">
        <f>IF($B38=0,"",($O38/30)*'MF Rents'!CK38*'MF Rollover'!CH38)</f>
        <v/>
      </c>
      <c r="CJ38" s="149" t="str">
        <f>IF($B38=0,"",($O38/30)*'MF Rents'!CL38*'MF Rollover'!CI38)</f>
        <v/>
      </c>
      <c r="CK38" s="149" t="str">
        <f>IF($B38=0,"",($O38/30)*'MF Rents'!CM38*'MF Rollover'!CJ38)</f>
        <v/>
      </c>
      <c r="CL38" s="149" t="str">
        <f>IF($B38=0,"",($O38/30)*'MF Rents'!CN38*'MF Rollover'!CK38)</f>
        <v/>
      </c>
      <c r="CM38" s="149" t="str">
        <f>IF($B38=0,"",($O38/30)*'MF Rents'!CO38*'MF Rollover'!CL38)</f>
        <v/>
      </c>
      <c r="CN38" s="149" t="str">
        <f>IF($B38=0,"",($O38/30)*'MF Rents'!CP38*'MF Rollover'!CM38)</f>
        <v/>
      </c>
      <c r="CO38" s="149" t="str">
        <f>IF($B38=0,"",($O38/30)*'MF Rents'!CQ38*'MF Rollover'!CN38)</f>
        <v/>
      </c>
      <c r="CP38" s="149" t="str">
        <f>IF($B38=0,"",($O38/30)*'MF Rents'!CR38*'MF Rollover'!CO38)</f>
        <v/>
      </c>
      <c r="CQ38" s="149" t="str">
        <f>IF($B38=0,"",($O38/30)*'MF Rents'!CS38*'MF Rollover'!CP38)</f>
        <v/>
      </c>
      <c r="CR38" s="149" t="str">
        <f>IF($B38=0,"",($O38/30)*'MF Rents'!CT38*'MF Rollover'!CQ38)</f>
        <v/>
      </c>
      <c r="CS38" s="149" t="str">
        <f>IF($B38=0,"",($O38/30)*'MF Rents'!CU38*'MF Rollover'!CR38)</f>
        <v/>
      </c>
      <c r="CT38" s="149" t="str">
        <f>IF($B38=0,"",($O38/30)*'MF Rents'!CV38*'MF Rollover'!CS38)</f>
        <v/>
      </c>
      <c r="CU38" s="149" t="str">
        <f>IF($B38=0,"",($O38/30)*'MF Rents'!CW38*'MF Rollover'!CT38)</f>
        <v/>
      </c>
      <c r="CV38" s="149" t="str">
        <f>IF($B38=0,"",($O38/30)*'MF Rents'!CX38*'MF Rollover'!CU38)</f>
        <v/>
      </c>
      <c r="CW38" s="149" t="str">
        <f>IF($B38=0,"",($O38/30)*'MF Rents'!CY38*'MF Rollover'!CV38)</f>
        <v/>
      </c>
      <c r="CX38" s="149" t="str">
        <f>IF($B38=0,"",($O38/30)*'MF Rents'!CZ38*'MF Rollover'!CW38)</f>
        <v/>
      </c>
      <c r="CY38" s="149" t="str">
        <f>IF($B38=0,"",($O38/30)*'MF Rents'!DA38*'MF Rollover'!CX38)</f>
        <v/>
      </c>
      <c r="CZ38" s="149" t="str">
        <f>IF($B38=0,"",($O38/30)*'MF Rents'!DB38*'MF Rollover'!CY38)</f>
        <v/>
      </c>
      <c r="DA38" s="149" t="str">
        <f>IF($B38=0,"",($O38/30)*'MF Rents'!DC38*'MF Rollover'!CZ38)</f>
        <v/>
      </c>
      <c r="DB38" s="149" t="str">
        <f>IF($B38=0,"",($O38/30)*'MF Rents'!DD38*'MF Rollover'!DA38)</f>
        <v/>
      </c>
      <c r="DC38" s="149" t="str">
        <f>IF($B38=0,"",($O38/30)*'MF Rents'!DE38*'MF Rollover'!DB38)</f>
        <v/>
      </c>
      <c r="DD38" s="149" t="str">
        <f>IF($B38=0,"",($O38/30)*'MF Rents'!DF38*'MF Rollover'!DC38)</f>
        <v/>
      </c>
      <c r="DE38" s="149" t="str">
        <f>IF($B38=0,"",($O38/30)*'MF Rents'!DG38*'MF Rollover'!DD38)</f>
        <v/>
      </c>
      <c r="DF38" s="149" t="str">
        <f>IF($B38=0,"",($O38/30)*'MF Rents'!DH38*'MF Rollover'!DE38)</f>
        <v/>
      </c>
      <c r="DG38" s="149" t="str">
        <f>IF($B38=0,"",($O38/30)*'MF Rents'!DI38*'MF Rollover'!DF38)</f>
        <v/>
      </c>
      <c r="DH38" s="149" t="str">
        <f>IF($B38=0,"",($O38/30)*'MF Rents'!DJ38*'MF Rollover'!DG38)</f>
        <v/>
      </c>
      <c r="DI38" s="149" t="str">
        <f>IF($B38=0,"",($O38/30)*'MF Rents'!DK38*'MF Rollover'!DH38)</f>
        <v/>
      </c>
      <c r="DJ38" s="149" t="str">
        <f>IF($B38=0,"",($O38/30)*'MF Rents'!DL38*'MF Rollover'!DI38)</f>
        <v/>
      </c>
      <c r="DK38" s="149" t="str">
        <f>IF($B38=0,"",($O38/30)*'MF Rents'!DM38*'MF Rollover'!DJ38)</f>
        <v/>
      </c>
      <c r="DL38" s="149" t="str">
        <f>IF($B38=0,"",($O38/30)*'MF Rents'!DN38*'MF Rollover'!DK38)</f>
        <v/>
      </c>
      <c r="DM38" s="149" t="str">
        <f>IF($B38=0,"",($O38/30)*'MF Rents'!DO38*'MF Rollover'!DL38)</f>
        <v/>
      </c>
      <c r="DN38" s="149" t="str">
        <f>IF($B38=0,"",($O38/30)*'MF Rents'!DP38*'MF Rollover'!DM38)</f>
        <v/>
      </c>
      <c r="DO38" s="149" t="str">
        <f>IF($B38=0,"",($O38/30)*'MF Rents'!DQ38*'MF Rollover'!DN38)</f>
        <v/>
      </c>
      <c r="DP38" s="149" t="str">
        <f>IF($B38=0,"",($O38/30)*'MF Rents'!DR38*'MF Rollover'!DO38)</f>
        <v/>
      </c>
      <c r="DQ38" s="149" t="str">
        <f>IF($B38=0,"",($O38/30)*'MF Rents'!DS38*'MF Rollover'!DP38)</f>
        <v/>
      </c>
      <c r="DR38" s="149" t="str">
        <f>IF($B38=0,"",($O38/30)*'MF Rents'!DT38*'MF Rollover'!DQ38)</f>
        <v/>
      </c>
      <c r="DS38" s="149" t="str">
        <f>IF($B38=0,"",($O38/30)*'MF Rents'!DU38*'MF Rollover'!DR38)</f>
        <v/>
      </c>
      <c r="DT38" s="149" t="str">
        <f>IF($B38=0,"",($O38/30)*'MF Rents'!DV38*'MF Rollover'!DS38)</f>
        <v/>
      </c>
      <c r="DU38" s="149" t="str">
        <f>IF($B38=0,"",($O38/30)*'MF Rents'!DW38*'MF Rollover'!DT38)</f>
        <v/>
      </c>
      <c r="DV38" s="149" t="str">
        <f>IF($B38=0,"",($O38/30)*'MF Rents'!DX38*'MF Rollover'!DU38)</f>
        <v/>
      </c>
      <c r="DW38" s="149" t="str">
        <f>IF($B38=0,"",($O38/30)*'MF Rents'!DY38*'MF Rollover'!DV38)</f>
        <v/>
      </c>
      <c r="DX38" s="149" t="str">
        <f>IF($B38=0,"",($O38/30)*'MF Rents'!DZ38*'MF Rollover'!DW38)</f>
        <v/>
      </c>
      <c r="DY38" s="149" t="str">
        <f>IF($B38=0,"",($O38/30)*'MF Rents'!EA38*'MF Rollover'!DX38)</f>
        <v/>
      </c>
      <c r="DZ38" s="149" t="str">
        <f>IF($B38=0,"",($O38/30)*'MF Rents'!EB38*'MF Rollover'!DY38)</f>
        <v/>
      </c>
      <c r="EA38" s="149" t="str">
        <f>IF($B38=0,"",($O38/30)*'MF Rents'!EC38*'MF Rollover'!DZ38)</f>
        <v/>
      </c>
      <c r="EB38" s="149" t="str">
        <f>IF($B38=0,"",($O38/30)*'MF Rents'!ED38*'MF Rollover'!EA38)</f>
        <v/>
      </c>
      <c r="EC38" s="149" t="str">
        <f>IF($B38=0,"",($O38/30)*'MF Rents'!EE38*'MF Rollover'!EB38)</f>
        <v/>
      </c>
      <c r="ED38" s="149" t="str">
        <f>IF($B38=0,"",($O38/30)*'MF Rents'!EF38*'MF Rollover'!EC38)</f>
        <v/>
      </c>
      <c r="EE38" s="149" t="str">
        <f>IF($B38=0,"",($O38/30)*'MF Rents'!EG38*'MF Rollover'!ED38)</f>
        <v/>
      </c>
      <c r="EF38" s="149" t="str">
        <f>IF($B38=0,"",($O38/30)*'MF Rents'!EH38*'MF Rollover'!EE38)</f>
        <v/>
      </c>
      <c r="EG38" s="149" t="str">
        <f>IF($B38=0,"",($O38/30)*'MF Rents'!EI38*'MF Rollover'!EF38)</f>
        <v/>
      </c>
      <c r="EH38" s="149" t="str">
        <f>IF($B38=0,"",($O38/30)*'MF Rents'!EJ38*'MF Rollover'!EG38)</f>
        <v/>
      </c>
      <c r="EI38" s="149" t="str">
        <f>IF($B38=0,"",($O38/30)*'MF Rents'!EK38*'MF Rollover'!EH38)</f>
        <v/>
      </c>
      <c r="EJ38" s="149" t="str">
        <f>IF($B38=0,"",($O38/30)*'MF Rents'!EL38*'MF Rollover'!EI38)</f>
        <v/>
      </c>
      <c r="EK38" s="149" t="str">
        <f>IF($B38=0,"",($O38/30)*'MF Rents'!EM38*'MF Rollover'!EJ38)</f>
        <v/>
      </c>
      <c r="EL38" s="149" t="str">
        <f>IF($B38=0,"",($O38/30)*'MF Rents'!EN38*'MF Rollover'!EK38)</f>
        <v/>
      </c>
      <c r="EM38" s="149" t="str">
        <f>IF($B38=0,"",($O38/30)*'MF Rents'!EO38*'MF Rollover'!EL38)</f>
        <v/>
      </c>
      <c r="EN38" s="149" t="str">
        <f>IF($B38=0,"",($O38/30)*'MF Rents'!EP38*'MF Rollover'!EM38)</f>
        <v/>
      </c>
      <c r="EO38" s="149" t="str">
        <f>IF($B38=0,"",($O38/30)*'MF Rents'!EQ38*'MF Rollover'!EN38)</f>
        <v/>
      </c>
      <c r="EP38" s="149" t="str">
        <f>IF($B38=0,"",($O38/30)*'MF Rents'!ER38*'MF Rollover'!EO38)</f>
        <v/>
      </c>
      <c r="EQ38" s="149" t="str">
        <f>IF($B38=0,"",($O38/30)*'MF Rents'!ES38*'MF Rollover'!EP38)</f>
        <v/>
      </c>
      <c r="ER38" s="149" t="str">
        <f>IF($B38=0,"",($O38/30)*'MF Rents'!ET38*'MF Rollover'!EQ38)</f>
        <v/>
      </c>
      <c r="ES38" s="149" t="str">
        <f>IF($B38=0,"",($O38/30)*'MF Rents'!EU38*'MF Rollover'!ER38)</f>
        <v/>
      </c>
      <c r="ET38" s="149" t="str">
        <f>IF($B38=0,"",($O38/30)*'MF Rents'!EV38*'MF Rollover'!ES38)</f>
        <v/>
      </c>
      <c r="EU38" s="149" t="str">
        <f>IF($B38=0,"",($O38/30)*'MF Rents'!EW38*'MF Rollover'!ET38)</f>
        <v/>
      </c>
      <c r="EV38" s="149" t="str">
        <f>IF($B38=0,"",($O38/30)*'MF Rents'!EX38*'MF Rollover'!EU38)</f>
        <v/>
      </c>
      <c r="EW38" s="149" t="str">
        <f>IF($B38=0,"",($O38/30)*'MF Rents'!EY38*'MF Rollover'!EV38)</f>
        <v/>
      </c>
      <c r="EX38" s="149" t="str">
        <f>IF($B38=0,"",($O38/30)*'MF Rents'!EZ38*'MF Rollover'!EW38)</f>
        <v/>
      </c>
      <c r="EY38" s="149" t="str">
        <f>IF($B38=0,"",($O38/30)*'MF Rents'!FA38*'MF Rollover'!EX38)</f>
        <v/>
      </c>
      <c r="EZ38" s="149" t="str">
        <f>IF($B38=0,"",($O38/30)*'MF Rents'!FB38*'MF Rollover'!EY38)</f>
        <v/>
      </c>
      <c r="FA38" s="149" t="str">
        <f>IF($B38=0,"",($O38/30)*'MF Rents'!FC38*'MF Rollover'!EZ38)</f>
        <v/>
      </c>
      <c r="FB38" s="149" t="str">
        <f>IF($B38=0,"",($O38/30)*'MF Rents'!FD38*'MF Rollover'!FA38)</f>
        <v/>
      </c>
      <c r="FC38" s="149" t="str">
        <f>IF($B38=0,"",($O38/30)*'MF Rents'!FE38*'MF Rollover'!FB38)</f>
        <v/>
      </c>
      <c r="FD38" s="149" t="str">
        <f>IF($B38=0,"",($O38/30)*'MF Rents'!FF38*'MF Rollover'!FC38)</f>
        <v/>
      </c>
      <c r="FE38" s="149" t="str">
        <f>IF($B38=0,"",($O38/30)*'MF Rents'!FG38*'MF Rollover'!FD38)</f>
        <v/>
      </c>
      <c r="FF38" s="149" t="str">
        <f>IF($B38=0,"",($O38/30)*'MF Rents'!FH38*'MF Rollover'!FE38)</f>
        <v/>
      </c>
      <c r="FG38" s="149" t="str">
        <f>IF($B38=0,"",($O38/30)*'MF Rents'!FI38*'MF Rollover'!FF38)</f>
        <v/>
      </c>
      <c r="FH38" s="149" t="str">
        <f>IF($B38=0,"",($O38/30)*'MF Rents'!FJ38*'MF Rollover'!FG38)</f>
        <v/>
      </c>
      <c r="FI38" s="149" t="str">
        <f>IF($B38=0,"",($O38/30)*'MF Rents'!FK38*'MF Rollover'!FH38)</f>
        <v/>
      </c>
      <c r="FJ38" s="149" t="str">
        <f>IF($B38=0,"",($O38/30)*'MF Rents'!FL38*'MF Rollover'!FI38)</f>
        <v/>
      </c>
      <c r="FK38" s="149" t="str">
        <f>IF($B38=0,"",($O38/30)*'MF Rents'!FM38*'MF Rollover'!FJ38)</f>
        <v/>
      </c>
      <c r="FL38" s="149" t="str">
        <f>IF($B38=0,"",($O38/30)*'MF Rents'!FN38*'MF Rollover'!FK38)</f>
        <v/>
      </c>
      <c r="FM38" s="149" t="str">
        <f>IF($B38=0,"",($O38/30)*'MF Rents'!FO38*'MF Rollover'!FL38)</f>
        <v/>
      </c>
      <c r="FN38" s="149" t="str">
        <f>IF($B38=0,"",($O38/30)*'MF Rents'!FP38*'MF Rollover'!FM38)</f>
        <v/>
      </c>
      <c r="FO38" s="149" t="str">
        <f>IF($B38=0,"",($O38/30)*'MF Rents'!FQ38*'MF Rollover'!FN38)</f>
        <v/>
      </c>
      <c r="FP38" s="149" t="str">
        <f>IF($B38=0,"",($O38/30)*'MF Rents'!FR38*'MF Rollover'!FO38)</f>
        <v/>
      </c>
      <c r="FQ38" s="149" t="str">
        <f>IF($B38=0,"",($O38/30)*'MF Rents'!FS38*'MF Rollover'!FP38)</f>
        <v/>
      </c>
      <c r="FR38" s="149" t="str">
        <f>IF($B38=0,"",($O38/30)*'MF Rents'!FT38*'MF Rollover'!FQ38)</f>
        <v/>
      </c>
      <c r="FS38" s="149" t="str">
        <f>IF($B38=0,"",($O38/30)*'MF Rents'!FU38*'MF Rollover'!FR38)</f>
        <v/>
      </c>
      <c r="FT38" s="149" t="str">
        <f>IF($B38=0,"",($O38/30)*'MF Rents'!FV38*'MF Rollover'!FS38)</f>
        <v/>
      </c>
      <c r="FU38" s="149" t="str">
        <f>IF($B38=0,"",($O38/30)*'MF Rents'!FW38*'MF Rollover'!FT38)</f>
        <v/>
      </c>
      <c r="FV38" s="149" t="str">
        <f>IF($B38=0,"",($O38/30)*'MF Rents'!FX38*'MF Rollover'!FU38)</f>
        <v/>
      </c>
      <c r="FW38" s="149" t="str">
        <f>IF($B38=0,"",($O38/30)*'MF Rents'!FY38*'MF Rollover'!FV38)</f>
        <v/>
      </c>
      <c r="FX38" s="149" t="str">
        <f>IF($B38=0,"",($O38/30)*'MF Rents'!FZ38*'MF Rollover'!FW38)</f>
        <v/>
      </c>
      <c r="FY38" s="149" t="str">
        <f>IF($B38=0,"",($O38/30)*'MF Rents'!GA38*'MF Rollover'!FX38)</f>
        <v/>
      </c>
      <c r="FZ38" s="149" t="str">
        <f>IF($B38=0,"",($O38/30)*'MF Rents'!GB38*'MF Rollover'!FY38)</f>
        <v/>
      </c>
      <c r="GA38" s="149" t="str">
        <f>IF($B38=0,"",($O38/30)*'MF Rents'!GC38*'MF Rollover'!FZ38)</f>
        <v/>
      </c>
      <c r="GB38" s="149" t="str">
        <f>IF($B38=0,"",($O38/30)*'MF Rents'!GD38*'MF Rollover'!GA38)</f>
        <v/>
      </c>
      <c r="GC38" s="149" t="str">
        <f>IF($B38=0,"",($O38/30)*'MF Rents'!GE38*'MF Rollover'!GB38)</f>
        <v/>
      </c>
      <c r="GD38" s="149" t="str">
        <f>IF($B38=0,"",($O38/30)*'MF Rents'!GF38*'MF Rollover'!GC38)</f>
        <v/>
      </c>
      <c r="GE38" s="149" t="str">
        <f>IF($B38=0,"",($O38/30)*'MF Rents'!GG38*'MF Rollover'!GD38)</f>
        <v/>
      </c>
      <c r="GF38" s="149" t="str">
        <f>IF($B38=0,"",($O38/30)*'MF Rents'!GH38*'MF Rollover'!GE38)</f>
        <v/>
      </c>
      <c r="GG38" s="149" t="str">
        <f>IF($B38=0,"",($O38/30)*'MF Rents'!GI38*'MF Rollover'!GF38)</f>
        <v/>
      </c>
      <c r="GH38" s="149" t="str">
        <f>IF($B38=0,"",($O38/30)*'MF Rents'!GJ38*'MF Rollover'!GG38)</f>
        <v/>
      </c>
      <c r="GI38" s="149" t="str">
        <f>IF($B38=0,"",($O38/30)*'MF Rents'!GK38*'MF Rollover'!GH38)</f>
        <v/>
      </c>
      <c r="GJ38" s="149" t="str">
        <f>IF($B38=0,"",($O38/30)*'MF Rents'!GL38*'MF Rollover'!GI38)</f>
        <v/>
      </c>
      <c r="GK38" s="149" t="str">
        <f>IF($B38=0,"",($O38/30)*'MF Rents'!GM38*'MF Rollover'!GJ38)</f>
        <v/>
      </c>
      <c r="GL38" s="149" t="str">
        <f>IF($B38=0,"",($O38/30)*'MF Rents'!GN38*'MF Rollover'!GK38)</f>
        <v/>
      </c>
      <c r="GM38" s="149" t="str">
        <f>IF($B38=0,"",($O38/30)*'MF Rents'!GO38*'MF Rollover'!GL38)</f>
        <v/>
      </c>
      <c r="GN38" s="149" t="str">
        <f>IF($B38=0,"",($O38/30)*'MF Rents'!GP38*'MF Rollover'!GM38)</f>
        <v/>
      </c>
      <c r="GO38" s="149" t="str">
        <f>IF($B38=0,"",($O38/30)*'MF Rents'!GQ38*'MF Rollover'!GN38)</f>
        <v/>
      </c>
      <c r="GP38" s="149" t="str">
        <f>IF($B38=0,"",($O38/30)*'MF Rents'!GR38*'MF Rollover'!GO38)</f>
        <v/>
      </c>
    </row>
    <row r="39" spans="2:198" x14ac:dyDescent="0.3">
      <c r="B39" s="184">
        <f>'MF Rent Roll'!B38</f>
        <v>0</v>
      </c>
      <c r="C39" s="171">
        <f>'MF Rent Roll'!C38</f>
        <v>0</v>
      </c>
      <c r="D39" s="172">
        <f>'MF Rent Roll'!D38</f>
        <v>0</v>
      </c>
      <c r="E39" s="172">
        <f>'MF Rent Roll'!E38</f>
        <v>0</v>
      </c>
      <c r="F39" s="173">
        <f>'MF Rent Roll'!F38</f>
        <v>0</v>
      </c>
      <c r="G39" s="174">
        <f>'MF Rent Roll'!G38</f>
        <v>0</v>
      </c>
      <c r="H39" s="176">
        <f>'MF Rent Roll'!J38</f>
        <v>0</v>
      </c>
      <c r="I39" s="174">
        <f>'MF Rent Roll'!K38</f>
        <v>0</v>
      </c>
      <c r="J39" s="177">
        <f>'MF Rent Roll'!L38</f>
        <v>0</v>
      </c>
      <c r="K39" s="178">
        <f>'MF Rent Roll'!M38</f>
        <v>0</v>
      </c>
      <c r="L39" s="174">
        <f>'MF Rent Roll'!N38</f>
        <v>0</v>
      </c>
      <c r="M39" s="179">
        <f>'MF Rent Roll'!O38</f>
        <v>0</v>
      </c>
      <c r="N39" s="180" t="str">
        <f>'MF Rent Roll'!P38</f>
        <v/>
      </c>
      <c r="O39" s="181" t="str">
        <f>'MF Rent Roll'!Q38</f>
        <v/>
      </c>
      <c r="P39" s="104" t="str">
        <f>'MF Rent Roll'!R38</f>
        <v/>
      </c>
      <c r="S39" s="149" t="str">
        <f>IF($B39=0,"",($O39/30)*'MF Rents'!U39*'MF Rollover'!R39)</f>
        <v/>
      </c>
      <c r="T39" s="149" t="str">
        <f>IF($B39=0,"",($O39/30)*'MF Rents'!V39*'MF Rollover'!S39)</f>
        <v/>
      </c>
      <c r="U39" s="149" t="str">
        <f>IF($B39=0,"",($O39/30)*'MF Rents'!W39*'MF Rollover'!T39)</f>
        <v/>
      </c>
      <c r="V39" s="149" t="str">
        <f>IF($B39=0,"",($O39/30)*'MF Rents'!X39*'MF Rollover'!U39)</f>
        <v/>
      </c>
      <c r="W39" s="149" t="str">
        <f>IF($B39=0,"",($O39/30)*'MF Rents'!Y39*'MF Rollover'!V39)</f>
        <v/>
      </c>
      <c r="X39" s="149" t="str">
        <f>IF($B39=0,"",($O39/30)*'MF Rents'!Z39*'MF Rollover'!W39)</f>
        <v/>
      </c>
      <c r="Y39" s="149" t="str">
        <f>IF($B39=0,"",($O39/30)*'MF Rents'!AA39*'MF Rollover'!X39)</f>
        <v/>
      </c>
      <c r="Z39" s="149" t="str">
        <f>IF($B39=0,"",($O39/30)*'MF Rents'!AB39*'MF Rollover'!Y39)</f>
        <v/>
      </c>
      <c r="AA39" s="149" t="str">
        <f>IF($B39=0,"",($O39/30)*'MF Rents'!AC39*'MF Rollover'!Z39)</f>
        <v/>
      </c>
      <c r="AB39" s="149" t="str">
        <f>IF($B39=0,"",($O39/30)*'MF Rents'!AD39*'MF Rollover'!AA39)</f>
        <v/>
      </c>
      <c r="AC39" s="149" t="str">
        <f>IF($B39=0,"",($O39/30)*'MF Rents'!AE39*'MF Rollover'!AB39)</f>
        <v/>
      </c>
      <c r="AD39" s="149" t="str">
        <f>IF($B39=0,"",($O39/30)*'MF Rents'!AF39*'MF Rollover'!AC39)</f>
        <v/>
      </c>
      <c r="AE39" s="149" t="str">
        <f>IF($B39=0,"",($O39/30)*'MF Rents'!AG39*'MF Rollover'!AD39)</f>
        <v/>
      </c>
      <c r="AF39" s="149" t="str">
        <f>IF($B39=0,"",($O39/30)*'MF Rents'!AH39*'MF Rollover'!AE39)</f>
        <v/>
      </c>
      <c r="AG39" s="149" t="str">
        <f>IF($B39=0,"",($O39/30)*'MF Rents'!AI39*'MF Rollover'!AF39)</f>
        <v/>
      </c>
      <c r="AH39" s="149" t="str">
        <f>IF($B39=0,"",($O39/30)*'MF Rents'!AJ39*'MF Rollover'!AG39)</f>
        <v/>
      </c>
      <c r="AI39" s="149" t="str">
        <f>IF($B39=0,"",($O39/30)*'MF Rents'!AK39*'MF Rollover'!AH39)</f>
        <v/>
      </c>
      <c r="AJ39" s="149" t="str">
        <f>IF($B39=0,"",($O39/30)*'MF Rents'!AL39*'MF Rollover'!AI39)</f>
        <v/>
      </c>
      <c r="AK39" s="149" t="str">
        <f>IF($B39=0,"",($O39/30)*'MF Rents'!AM39*'MF Rollover'!AJ39)</f>
        <v/>
      </c>
      <c r="AL39" s="149" t="str">
        <f>IF($B39=0,"",($O39/30)*'MF Rents'!AN39*'MF Rollover'!AK39)</f>
        <v/>
      </c>
      <c r="AM39" s="149" t="str">
        <f>IF($B39=0,"",($O39/30)*'MF Rents'!AO39*'MF Rollover'!AL39)</f>
        <v/>
      </c>
      <c r="AN39" s="149" t="str">
        <f>IF($B39=0,"",($O39/30)*'MF Rents'!AP39*'MF Rollover'!AM39)</f>
        <v/>
      </c>
      <c r="AO39" s="149" t="str">
        <f>IF($B39=0,"",($O39/30)*'MF Rents'!AQ39*'MF Rollover'!AN39)</f>
        <v/>
      </c>
      <c r="AP39" s="149" t="str">
        <f>IF($B39=0,"",($O39/30)*'MF Rents'!AR39*'MF Rollover'!AO39)</f>
        <v/>
      </c>
      <c r="AQ39" s="149" t="str">
        <f>IF($B39=0,"",($O39/30)*'MF Rents'!AS39*'MF Rollover'!AP39)</f>
        <v/>
      </c>
      <c r="AR39" s="149" t="str">
        <f>IF($B39=0,"",($O39/30)*'MF Rents'!AT39*'MF Rollover'!AQ39)</f>
        <v/>
      </c>
      <c r="AS39" s="149" t="str">
        <f>IF($B39=0,"",($O39/30)*'MF Rents'!AU39*'MF Rollover'!AR39)</f>
        <v/>
      </c>
      <c r="AT39" s="149" t="str">
        <f>IF($B39=0,"",($O39/30)*'MF Rents'!AV39*'MF Rollover'!AS39)</f>
        <v/>
      </c>
      <c r="AU39" s="149" t="str">
        <f>IF($B39=0,"",($O39/30)*'MF Rents'!AW39*'MF Rollover'!AT39)</f>
        <v/>
      </c>
      <c r="AV39" s="149" t="str">
        <f>IF($B39=0,"",($O39/30)*'MF Rents'!AX39*'MF Rollover'!AU39)</f>
        <v/>
      </c>
      <c r="AW39" s="149" t="str">
        <f>IF($B39=0,"",($O39/30)*'MF Rents'!AY39*'MF Rollover'!AV39)</f>
        <v/>
      </c>
      <c r="AX39" s="149" t="str">
        <f>IF($B39=0,"",($O39/30)*'MF Rents'!AZ39*'MF Rollover'!AW39)</f>
        <v/>
      </c>
      <c r="AY39" s="149" t="str">
        <f>IF($B39=0,"",($O39/30)*'MF Rents'!BA39*'MF Rollover'!AX39)</f>
        <v/>
      </c>
      <c r="AZ39" s="149" t="str">
        <f>IF($B39=0,"",($O39/30)*'MF Rents'!BB39*'MF Rollover'!AY39)</f>
        <v/>
      </c>
      <c r="BA39" s="149" t="str">
        <f>IF($B39=0,"",($O39/30)*'MF Rents'!BC39*'MF Rollover'!AZ39)</f>
        <v/>
      </c>
      <c r="BB39" s="149" t="str">
        <f>IF($B39=0,"",($O39/30)*'MF Rents'!BD39*'MF Rollover'!BA39)</f>
        <v/>
      </c>
      <c r="BC39" s="149" t="str">
        <f>IF($B39=0,"",($O39/30)*'MF Rents'!BE39*'MF Rollover'!BB39)</f>
        <v/>
      </c>
      <c r="BD39" s="149" t="str">
        <f>IF($B39=0,"",($O39/30)*'MF Rents'!BF39*'MF Rollover'!BC39)</f>
        <v/>
      </c>
      <c r="BE39" s="149" t="str">
        <f>IF($B39=0,"",($O39/30)*'MF Rents'!BG39*'MF Rollover'!BD39)</f>
        <v/>
      </c>
      <c r="BF39" s="149" t="str">
        <f>IF($B39=0,"",($O39/30)*'MF Rents'!BH39*'MF Rollover'!BE39)</f>
        <v/>
      </c>
      <c r="BG39" s="149" t="str">
        <f>IF($B39=0,"",($O39/30)*'MF Rents'!BI39*'MF Rollover'!BF39)</f>
        <v/>
      </c>
      <c r="BH39" s="149" t="str">
        <f>IF($B39=0,"",($O39/30)*'MF Rents'!BJ39*'MF Rollover'!BG39)</f>
        <v/>
      </c>
      <c r="BI39" s="149" t="str">
        <f>IF($B39=0,"",($O39/30)*'MF Rents'!BK39*'MF Rollover'!BH39)</f>
        <v/>
      </c>
      <c r="BJ39" s="149" t="str">
        <f>IF($B39=0,"",($O39/30)*'MF Rents'!BL39*'MF Rollover'!BI39)</f>
        <v/>
      </c>
      <c r="BK39" s="149" t="str">
        <f>IF($B39=0,"",($O39/30)*'MF Rents'!BM39*'MF Rollover'!BJ39)</f>
        <v/>
      </c>
      <c r="BL39" s="149" t="str">
        <f>IF($B39=0,"",($O39/30)*'MF Rents'!BN39*'MF Rollover'!BK39)</f>
        <v/>
      </c>
      <c r="BM39" s="149" t="str">
        <f>IF($B39=0,"",($O39/30)*'MF Rents'!BO39*'MF Rollover'!BL39)</f>
        <v/>
      </c>
      <c r="BN39" s="149" t="str">
        <f>IF($B39=0,"",($O39/30)*'MF Rents'!BP39*'MF Rollover'!BM39)</f>
        <v/>
      </c>
      <c r="BO39" s="149" t="str">
        <f>IF($B39=0,"",($O39/30)*'MF Rents'!BQ39*'MF Rollover'!BN39)</f>
        <v/>
      </c>
      <c r="BP39" s="149" t="str">
        <f>IF($B39=0,"",($O39/30)*'MF Rents'!BR39*'MF Rollover'!BO39)</f>
        <v/>
      </c>
      <c r="BQ39" s="149" t="str">
        <f>IF($B39=0,"",($O39/30)*'MF Rents'!BS39*'MF Rollover'!BP39)</f>
        <v/>
      </c>
      <c r="BR39" s="149" t="str">
        <f>IF($B39=0,"",($O39/30)*'MF Rents'!BT39*'MF Rollover'!BQ39)</f>
        <v/>
      </c>
      <c r="BS39" s="149" t="str">
        <f>IF($B39=0,"",($O39/30)*'MF Rents'!BU39*'MF Rollover'!BR39)</f>
        <v/>
      </c>
      <c r="BT39" s="149" t="str">
        <f>IF($B39=0,"",($O39/30)*'MF Rents'!BV39*'MF Rollover'!BS39)</f>
        <v/>
      </c>
      <c r="BU39" s="149" t="str">
        <f>IF($B39=0,"",($O39/30)*'MF Rents'!BW39*'MF Rollover'!BT39)</f>
        <v/>
      </c>
      <c r="BV39" s="149" t="str">
        <f>IF($B39=0,"",($O39/30)*'MF Rents'!BX39*'MF Rollover'!BU39)</f>
        <v/>
      </c>
      <c r="BW39" s="149" t="str">
        <f>IF($B39=0,"",($O39/30)*'MF Rents'!BY39*'MF Rollover'!BV39)</f>
        <v/>
      </c>
      <c r="BX39" s="149" t="str">
        <f>IF($B39=0,"",($O39/30)*'MF Rents'!BZ39*'MF Rollover'!BW39)</f>
        <v/>
      </c>
      <c r="BY39" s="149" t="str">
        <f>IF($B39=0,"",($O39/30)*'MF Rents'!CA39*'MF Rollover'!BX39)</f>
        <v/>
      </c>
      <c r="BZ39" s="149" t="str">
        <f>IF($B39=0,"",($O39/30)*'MF Rents'!CB39*'MF Rollover'!BY39)</f>
        <v/>
      </c>
      <c r="CA39" s="149" t="str">
        <f>IF($B39=0,"",($O39/30)*'MF Rents'!CC39*'MF Rollover'!BZ39)</f>
        <v/>
      </c>
      <c r="CB39" s="149" t="str">
        <f>IF($B39=0,"",($O39/30)*'MF Rents'!CD39*'MF Rollover'!CA39)</f>
        <v/>
      </c>
      <c r="CC39" s="149" t="str">
        <f>IF($B39=0,"",($O39/30)*'MF Rents'!CE39*'MF Rollover'!CB39)</f>
        <v/>
      </c>
      <c r="CD39" s="149" t="str">
        <f>IF($B39=0,"",($O39/30)*'MF Rents'!CF39*'MF Rollover'!CC39)</f>
        <v/>
      </c>
      <c r="CE39" s="149" t="str">
        <f>IF($B39=0,"",($O39/30)*'MF Rents'!CG39*'MF Rollover'!CD39)</f>
        <v/>
      </c>
      <c r="CF39" s="149" t="str">
        <f>IF($B39=0,"",($O39/30)*'MF Rents'!CH39*'MF Rollover'!CE39)</f>
        <v/>
      </c>
      <c r="CG39" s="149" t="str">
        <f>IF($B39=0,"",($O39/30)*'MF Rents'!CI39*'MF Rollover'!CF39)</f>
        <v/>
      </c>
      <c r="CH39" s="149" t="str">
        <f>IF($B39=0,"",($O39/30)*'MF Rents'!CJ39*'MF Rollover'!CG39)</f>
        <v/>
      </c>
      <c r="CI39" s="149" t="str">
        <f>IF($B39=0,"",($O39/30)*'MF Rents'!CK39*'MF Rollover'!CH39)</f>
        <v/>
      </c>
      <c r="CJ39" s="149" t="str">
        <f>IF($B39=0,"",($O39/30)*'MF Rents'!CL39*'MF Rollover'!CI39)</f>
        <v/>
      </c>
      <c r="CK39" s="149" t="str">
        <f>IF($B39=0,"",($O39/30)*'MF Rents'!CM39*'MF Rollover'!CJ39)</f>
        <v/>
      </c>
      <c r="CL39" s="149" t="str">
        <f>IF($B39=0,"",($O39/30)*'MF Rents'!CN39*'MF Rollover'!CK39)</f>
        <v/>
      </c>
      <c r="CM39" s="149" t="str">
        <f>IF($B39=0,"",($O39/30)*'MF Rents'!CO39*'MF Rollover'!CL39)</f>
        <v/>
      </c>
      <c r="CN39" s="149" t="str">
        <f>IF($B39=0,"",($O39/30)*'MF Rents'!CP39*'MF Rollover'!CM39)</f>
        <v/>
      </c>
      <c r="CO39" s="149" t="str">
        <f>IF($B39=0,"",($O39/30)*'MF Rents'!CQ39*'MF Rollover'!CN39)</f>
        <v/>
      </c>
      <c r="CP39" s="149" t="str">
        <f>IF($B39=0,"",($O39/30)*'MF Rents'!CR39*'MF Rollover'!CO39)</f>
        <v/>
      </c>
      <c r="CQ39" s="149" t="str">
        <f>IF($B39=0,"",($O39/30)*'MF Rents'!CS39*'MF Rollover'!CP39)</f>
        <v/>
      </c>
      <c r="CR39" s="149" t="str">
        <f>IF($B39=0,"",($O39/30)*'MF Rents'!CT39*'MF Rollover'!CQ39)</f>
        <v/>
      </c>
      <c r="CS39" s="149" t="str">
        <f>IF($B39=0,"",($O39/30)*'MF Rents'!CU39*'MF Rollover'!CR39)</f>
        <v/>
      </c>
      <c r="CT39" s="149" t="str">
        <f>IF($B39=0,"",($O39/30)*'MF Rents'!CV39*'MF Rollover'!CS39)</f>
        <v/>
      </c>
      <c r="CU39" s="149" t="str">
        <f>IF($B39=0,"",($O39/30)*'MF Rents'!CW39*'MF Rollover'!CT39)</f>
        <v/>
      </c>
      <c r="CV39" s="149" t="str">
        <f>IF($B39=0,"",($O39/30)*'MF Rents'!CX39*'MF Rollover'!CU39)</f>
        <v/>
      </c>
      <c r="CW39" s="149" t="str">
        <f>IF($B39=0,"",($O39/30)*'MF Rents'!CY39*'MF Rollover'!CV39)</f>
        <v/>
      </c>
      <c r="CX39" s="149" t="str">
        <f>IF($B39=0,"",($O39/30)*'MF Rents'!CZ39*'MF Rollover'!CW39)</f>
        <v/>
      </c>
      <c r="CY39" s="149" t="str">
        <f>IF($B39=0,"",($O39/30)*'MF Rents'!DA39*'MF Rollover'!CX39)</f>
        <v/>
      </c>
      <c r="CZ39" s="149" t="str">
        <f>IF($B39=0,"",($O39/30)*'MF Rents'!DB39*'MF Rollover'!CY39)</f>
        <v/>
      </c>
      <c r="DA39" s="149" t="str">
        <f>IF($B39=0,"",($O39/30)*'MF Rents'!DC39*'MF Rollover'!CZ39)</f>
        <v/>
      </c>
      <c r="DB39" s="149" t="str">
        <f>IF($B39=0,"",($O39/30)*'MF Rents'!DD39*'MF Rollover'!DA39)</f>
        <v/>
      </c>
      <c r="DC39" s="149" t="str">
        <f>IF($B39=0,"",($O39/30)*'MF Rents'!DE39*'MF Rollover'!DB39)</f>
        <v/>
      </c>
      <c r="DD39" s="149" t="str">
        <f>IF($B39=0,"",($O39/30)*'MF Rents'!DF39*'MF Rollover'!DC39)</f>
        <v/>
      </c>
      <c r="DE39" s="149" t="str">
        <f>IF($B39=0,"",($O39/30)*'MF Rents'!DG39*'MF Rollover'!DD39)</f>
        <v/>
      </c>
      <c r="DF39" s="149" t="str">
        <f>IF($B39=0,"",($O39/30)*'MF Rents'!DH39*'MF Rollover'!DE39)</f>
        <v/>
      </c>
      <c r="DG39" s="149" t="str">
        <f>IF($B39=0,"",($O39/30)*'MF Rents'!DI39*'MF Rollover'!DF39)</f>
        <v/>
      </c>
      <c r="DH39" s="149" t="str">
        <f>IF($B39=0,"",($O39/30)*'MF Rents'!DJ39*'MF Rollover'!DG39)</f>
        <v/>
      </c>
      <c r="DI39" s="149" t="str">
        <f>IF($B39=0,"",($O39/30)*'MF Rents'!DK39*'MF Rollover'!DH39)</f>
        <v/>
      </c>
      <c r="DJ39" s="149" t="str">
        <f>IF($B39=0,"",($O39/30)*'MF Rents'!DL39*'MF Rollover'!DI39)</f>
        <v/>
      </c>
      <c r="DK39" s="149" t="str">
        <f>IF($B39=0,"",($O39/30)*'MF Rents'!DM39*'MF Rollover'!DJ39)</f>
        <v/>
      </c>
      <c r="DL39" s="149" t="str">
        <f>IF($B39=0,"",($O39/30)*'MF Rents'!DN39*'MF Rollover'!DK39)</f>
        <v/>
      </c>
      <c r="DM39" s="149" t="str">
        <f>IF($B39=0,"",($O39/30)*'MF Rents'!DO39*'MF Rollover'!DL39)</f>
        <v/>
      </c>
      <c r="DN39" s="149" t="str">
        <f>IF($B39=0,"",($O39/30)*'MF Rents'!DP39*'MF Rollover'!DM39)</f>
        <v/>
      </c>
      <c r="DO39" s="149" t="str">
        <f>IF($B39=0,"",($O39/30)*'MF Rents'!DQ39*'MF Rollover'!DN39)</f>
        <v/>
      </c>
      <c r="DP39" s="149" t="str">
        <f>IF($B39=0,"",($O39/30)*'MF Rents'!DR39*'MF Rollover'!DO39)</f>
        <v/>
      </c>
      <c r="DQ39" s="149" t="str">
        <f>IF($B39=0,"",($O39/30)*'MF Rents'!DS39*'MF Rollover'!DP39)</f>
        <v/>
      </c>
      <c r="DR39" s="149" t="str">
        <f>IF($B39=0,"",($O39/30)*'MF Rents'!DT39*'MF Rollover'!DQ39)</f>
        <v/>
      </c>
      <c r="DS39" s="149" t="str">
        <f>IF($B39=0,"",($O39/30)*'MF Rents'!DU39*'MF Rollover'!DR39)</f>
        <v/>
      </c>
      <c r="DT39" s="149" t="str">
        <f>IF($B39=0,"",($O39/30)*'MF Rents'!DV39*'MF Rollover'!DS39)</f>
        <v/>
      </c>
      <c r="DU39" s="149" t="str">
        <f>IF($B39=0,"",($O39/30)*'MF Rents'!DW39*'MF Rollover'!DT39)</f>
        <v/>
      </c>
      <c r="DV39" s="149" t="str">
        <f>IF($B39=0,"",($O39/30)*'MF Rents'!DX39*'MF Rollover'!DU39)</f>
        <v/>
      </c>
      <c r="DW39" s="149" t="str">
        <f>IF($B39=0,"",($O39/30)*'MF Rents'!DY39*'MF Rollover'!DV39)</f>
        <v/>
      </c>
      <c r="DX39" s="149" t="str">
        <f>IF($B39=0,"",($O39/30)*'MF Rents'!DZ39*'MF Rollover'!DW39)</f>
        <v/>
      </c>
      <c r="DY39" s="149" t="str">
        <f>IF($B39=0,"",($O39/30)*'MF Rents'!EA39*'MF Rollover'!DX39)</f>
        <v/>
      </c>
      <c r="DZ39" s="149" t="str">
        <f>IF($B39=0,"",($O39/30)*'MF Rents'!EB39*'MF Rollover'!DY39)</f>
        <v/>
      </c>
      <c r="EA39" s="149" t="str">
        <f>IF($B39=0,"",($O39/30)*'MF Rents'!EC39*'MF Rollover'!DZ39)</f>
        <v/>
      </c>
      <c r="EB39" s="149" t="str">
        <f>IF($B39=0,"",($O39/30)*'MF Rents'!ED39*'MF Rollover'!EA39)</f>
        <v/>
      </c>
      <c r="EC39" s="149" t="str">
        <f>IF($B39=0,"",($O39/30)*'MF Rents'!EE39*'MF Rollover'!EB39)</f>
        <v/>
      </c>
      <c r="ED39" s="149" t="str">
        <f>IF($B39=0,"",($O39/30)*'MF Rents'!EF39*'MF Rollover'!EC39)</f>
        <v/>
      </c>
      <c r="EE39" s="149" t="str">
        <f>IF($B39=0,"",($O39/30)*'MF Rents'!EG39*'MF Rollover'!ED39)</f>
        <v/>
      </c>
      <c r="EF39" s="149" t="str">
        <f>IF($B39=0,"",($O39/30)*'MF Rents'!EH39*'MF Rollover'!EE39)</f>
        <v/>
      </c>
      <c r="EG39" s="149" t="str">
        <f>IF($B39=0,"",($O39/30)*'MF Rents'!EI39*'MF Rollover'!EF39)</f>
        <v/>
      </c>
      <c r="EH39" s="149" t="str">
        <f>IF($B39=0,"",($O39/30)*'MF Rents'!EJ39*'MF Rollover'!EG39)</f>
        <v/>
      </c>
      <c r="EI39" s="149" t="str">
        <f>IF($B39=0,"",($O39/30)*'MF Rents'!EK39*'MF Rollover'!EH39)</f>
        <v/>
      </c>
      <c r="EJ39" s="149" t="str">
        <f>IF($B39=0,"",($O39/30)*'MF Rents'!EL39*'MF Rollover'!EI39)</f>
        <v/>
      </c>
      <c r="EK39" s="149" t="str">
        <f>IF($B39=0,"",($O39/30)*'MF Rents'!EM39*'MF Rollover'!EJ39)</f>
        <v/>
      </c>
      <c r="EL39" s="149" t="str">
        <f>IF($B39=0,"",($O39/30)*'MF Rents'!EN39*'MF Rollover'!EK39)</f>
        <v/>
      </c>
      <c r="EM39" s="149" t="str">
        <f>IF($B39=0,"",($O39/30)*'MF Rents'!EO39*'MF Rollover'!EL39)</f>
        <v/>
      </c>
      <c r="EN39" s="149" t="str">
        <f>IF($B39=0,"",($O39/30)*'MF Rents'!EP39*'MF Rollover'!EM39)</f>
        <v/>
      </c>
      <c r="EO39" s="149" t="str">
        <f>IF($B39=0,"",($O39/30)*'MF Rents'!EQ39*'MF Rollover'!EN39)</f>
        <v/>
      </c>
      <c r="EP39" s="149" t="str">
        <f>IF($B39=0,"",($O39/30)*'MF Rents'!ER39*'MF Rollover'!EO39)</f>
        <v/>
      </c>
      <c r="EQ39" s="149" t="str">
        <f>IF($B39=0,"",($O39/30)*'MF Rents'!ES39*'MF Rollover'!EP39)</f>
        <v/>
      </c>
      <c r="ER39" s="149" t="str">
        <f>IF($B39=0,"",($O39/30)*'MF Rents'!ET39*'MF Rollover'!EQ39)</f>
        <v/>
      </c>
      <c r="ES39" s="149" t="str">
        <f>IF($B39=0,"",($O39/30)*'MF Rents'!EU39*'MF Rollover'!ER39)</f>
        <v/>
      </c>
      <c r="ET39" s="149" t="str">
        <f>IF($B39=0,"",($O39/30)*'MF Rents'!EV39*'MF Rollover'!ES39)</f>
        <v/>
      </c>
      <c r="EU39" s="149" t="str">
        <f>IF($B39=0,"",($O39/30)*'MF Rents'!EW39*'MF Rollover'!ET39)</f>
        <v/>
      </c>
      <c r="EV39" s="149" t="str">
        <f>IF($B39=0,"",($O39/30)*'MF Rents'!EX39*'MF Rollover'!EU39)</f>
        <v/>
      </c>
      <c r="EW39" s="149" t="str">
        <f>IF($B39=0,"",($O39/30)*'MF Rents'!EY39*'MF Rollover'!EV39)</f>
        <v/>
      </c>
      <c r="EX39" s="149" t="str">
        <f>IF($B39=0,"",($O39/30)*'MF Rents'!EZ39*'MF Rollover'!EW39)</f>
        <v/>
      </c>
      <c r="EY39" s="149" t="str">
        <f>IF($B39=0,"",($O39/30)*'MF Rents'!FA39*'MF Rollover'!EX39)</f>
        <v/>
      </c>
      <c r="EZ39" s="149" t="str">
        <f>IF($B39=0,"",($O39/30)*'MF Rents'!FB39*'MF Rollover'!EY39)</f>
        <v/>
      </c>
      <c r="FA39" s="149" t="str">
        <f>IF($B39=0,"",($O39/30)*'MF Rents'!FC39*'MF Rollover'!EZ39)</f>
        <v/>
      </c>
      <c r="FB39" s="149" t="str">
        <f>IF($B39=0,"",($O39/30)*'MF Rents'!FD39*'MF Rollover'!FA39)</f>
        <v/>
      </c>
      <c r="FC39" s="149" t="str">
        <f>IF($B39=0,"",($O39/30)*'MF Rents'!FE39*'MF Rollover'!FB39)</f>
        <v/>
      </c>
      <c r="FD39" s="149" t="str">
        <f>IF($B39=0,"",($O39/30)*'MF Rents'!FF39*'MF Rollover'!FC39)</f>
        <v/>
      </c>
      <c r="FE39" s="149" t="str">
        <f>IF($B39=0,"",($O39/30)*'MF Rents'!FG39*'MF Rollover'!FD39)</f>
        <v/>
      </c>
      <c r="FF39" s="149" t="str">
        <f>IF($B39=0,"",($O39/30)*'MF Rents'!FH39*'MF Rollover'!FE39)</f>
        <v/>
      </c>
      <c r="FG39" s="149" t="str">
        <f>IF($B39=0,"",($O39/30)*'MF Rents'!FI39*'MF Rollover'!FF39)</f>
        <v/>
      </c>
      <c r="FH39" s="149" t="str">
        <f>IF($B39=0,"",($O39/30)*'MF Rents'!FJ39*'MF Rollover'!FG39)</f>
        <v/>
      </c>
      <c r="FI39" s="149" t="str">
        <f>IF($B39=0,"",($O39/30)*'MF Rents'!FK39*'MF Rollover'!FH39)</f>
        <v/>
      </c>
      <c r="FJ39" s="149" t="str">
        <f>IF($B39=0,"",($O39/30)*'MF Rents'!FL39*'MF Rollover'!FI39)</f>
        <v/>
      </c>
      <c r="FK39" s="149" t="str">
        <f>IF($B39=0,"",($O39/30)*'MF Rents'!FM39*'MF Rollover'!FJ39)</f>
        <v/>
      </c>
      <c r="FL39" s="149" t="str">
        <f>IF($B39=0,"",($O39/30)*'MF Rents'!FN39*'MF Rollover'!FK39)</f>
        <v/>
      </c>
      <c r="FM39" s="149" t="str">
        <f>IF($B39=0,"",($O39/30)*'MF Rents'!FO39*'MF Rollover'!FL39)</f>
        <v/>
      </c>
      <c r="FN39" s="149" t="str">
        <f>IF($B39=0,"",($O39/30)*'MF Rents'!FP39*'MF Rollover'!FM39)</f>
        <v/>
      </c>
      <c r="FO39" s="149" t="str">
        <f>IF($B39=0,"",($O39/30)*'MF Rents'!FQ39*'MF Rollover'!FN39)</f>
        <v/>
      </c>
      <c r="FP39" s="149" t="str">
        <f>IF($B39=0,"",($O39/30)*'MF Rents'!FR39*'MF Rollover'!FO39)</f>
        <v/>
      </c>
      <c r="FQ39" s="149" t="str">
        <f>IF($B39=0,"",($O39/30)*'MF Rents'!FS39*'MF Rollover'!FP39)</f>
        <v/>
      </c>
      <c r="FR39" s="149" t="str">
        <f>IF($B39=0,"",($O39/30)*'MF Rents'!FT39*'MF Rollover'!FQ39)</f>
        <v/>
      </c>
      <c r="FS39" s="149" t="str">
        <f>IF($B39=0,"",($O39/30)*'MF Rents'!FU39*'MF Rollover'!FR39)</f>
        <v/>
      </c>
      <c r="FT39" s="149" t="str">
        <f>IF($B39=0,"",($O39/30)*'MF Rents'!FV39*'MF Rollover'!FS39)</f>
        <v/>
      </c>
      <c r="FU39" s="149" t="str">
        <f>IF($B39=0,"",($O39/30)*'MF Rents'!FW39*'MF Rollover'!FT39)</f>
        <v/>
      </c>
      <c r="FV39" s="149" t="str">
        <f>IF($B39=0,"",($O39/30)*'MF Rents'!FX39*'MF Rollover'!FU39)</f>
        <v/>
      </c>
      <c r="FW39" s="149" t="str">
        <f>IF($B39=0,"",($O39/30)*'MF Rents'!FY39*'MF Rollover'!FV39)</f>
        <v/>
      </c>
      <c r="FX39" s="149" t="str">
        <f>IF($B39=0,"",($O39/30)*'MF Rents'!FZ39*'MF Rollover'!FW39)</f>
        <v/>
      </c>
      <c r="FY39" s="149" t="str">
        <f>IF($B39=0,"",($O39/30)*'MF Rents'!GA39*'MF Rollover'!FX39)</f>
        <v/>
      </c>
      <c r="FZ39" s="149" t="str">
        <f>IF($B39=0,"",($O39/30)*'MF Rents'!GB39*'MF Rollover'!FY39)</f>
        <v/>
      </c>
      <c r="GA39" s="149" t="str">
        <f>IF($B39=0,"",($O39/30)*'MF Rents'!GC39*'MF Rollover'!FZ39)</f>
        <v/>
      </c>
      <c r="GB39" s="149" t="str">
        <f>IF($B39=0,"",($O39/30)*'MF Rents'!GD39*'MF Rollover'!GA39)</f>
        <v/>
      </c>
      <c r="GC39" s="149" t="str">
        <f>IF($B39=0,"",($O39/30)*'MF Rents'!GE39*'MF Rollover'!GB39)</f>
        <v/>
      </c>
      <c r="GD39" s="149" t="str">
        <f>IF($B39=0,"",($O39/30)*'MF Rents'!GF39*'MF Rollover'!GC39)</f>
        <v/>
      </c>
      <c r="GE39" s="149" t="str">
        <f>IF($B39=0,"",($O39/30)*'MF Rents'!GG39*'MF Rollover'!GD39)</f>
        <v/>
      </c>
      <c r="GF39" s="149" t="str">
        <f>IF($B39=0,"",($O39/30)*'MF Rents'!GH39*'MF Rollover'!GE39)</f>
        <v/>
      </c>
      <c r="GG39" s="149" t="str">
        <f>IF($B39=0,"",($O39/30)*'MF Rents'!GI39*'MF Rollover'!GF39)</f>
        <v/>
      </c>
      <c r="GH39" s="149" t="str">
        <f>IF($B39=0,"",($O39/30)*'MF Rents'!GJ39*'MF Rollover'!GG39)</f>
        <v/>
      </c>
      <c r="GI39" s="149" t="str">
        <f>IF($B39=0,"",($O39/30)*'MF Rents'!GK39*'MF Rollover'!GH39)</f>
        <v/>
      </c>
      <c r="GJ39" s="149" t="str">
        <f>IF($B39=0,"",($O39/30)*'MF Rents'!GL39*'MF Rollover'!GI39)</f>
        <v/>
      </c>
      <c r="GK39" s="149" t="str">
        <f>IF($B39=0,"",($O39/30)*'MF Rents'!GM39*'MF Rollover'!GJ39)</f>
        <v/>
      </c>
      <c r="GL39" s="149" t="str">
        <f>IF($B39=0,"",($O39/30)*'MF Rents'!GN39*'MF Rollover'!GK39)</f>
        <v/>
      </c>
      <c r="GM39" s="149" t="str">
        <f>IF($B39=0,"",($O39/30)*'MF Rents'!GO39*'MF Rollover'!GL39)</f>
        <v/>
      </c>
      <c r="GN39" s="149" t="str">
        <f>IF($B39=0,"",($O39/30)*'MF Rents'!GP39*'MF Rollover'!GM39)</f>
        <v/>
      </c>
      <c r="GO39" s="149" t="str">
        <f>IF($B39=0,"",($O39/30)*'MF Rents'!GQ39*'MF Rollover'!GN39)</f>
        <v/>
      </c>
      <c r="GP39" s="149" t="str">
        <f>IF($B39=0,"",($O39/30)*'MF Rents'!GR39*'MF Rollover'!GO39)</f>
        <v/>
      </c>
    </row>
    <row r="40" spans="2:198" x14ac:dyDescent="0.3">
      <c r="R40" s="89" t="s">
        <v>174</v>
      </c>
      <c r="S40" s="149">
        <f>MAX(S41,S42)</f>
        <v>7459.2</v>
      </c>
      <c r="T40" s="149">
        <f t="shared" ref="T40:CE40" si="9">MAX(T41,T42)</f>
        <v>7459.2</v>
      </c>
      <c r="U40" s="149">
        <f t="shared" si="9"/>
        <v>7459.2</v>
      </c>
      <c r="V40" s="149">
        <f t="shared" si="9"/>
        <v>7459.2</v>
      </c>
      <c r="W40" s="149">
        <f t="shared" si="9"/>
        <v>7459.2</v>
      </c>
      <c r="X40" s="149">
        <f t="shared" si="9"/>
        <v>7459.2</v>
      </c>
      <c r="Y40" s="149">
        <f t="shared" si="9"/>
        <v>7459.2</v>
      </c>
      <c r="Z40" s="149">
        <f t="shared" si="9"/>
        <v>7459.2</v>
      </c>
      <c r="AA40" s="149">
        <f t="shared" si="9"/>
        <v>7459.2</v>
      </c>
      <c r="AB40" s="149">
        <f t="shared" si="9"/>
        <v>7459.2</v>
      </c>
      <c r="AC40" s="149">
        <f t="shared" si="9"/>
        <v>7459.2</v>
      </c>
      <c r="AD40" s="149">
        <f t="shared" si="9"/>
        <v>7459.2</v>
      </c>
      <c r="AE40" s="149">
        <f t="shared" si="9"/>
        <v>32179.559999999998</v>
      </c>
      <c r="AF40" s="149">
        <f t="shared" si="9"/>
        <v>7960.847999999999</v>
      </c>
      <c r="AG40" s="149">
        <f t="shared" si="9"/>
        <v>7960.847999999999</v>
      </c>
      <c r="AH40" s="149">
        <f t="shared" si="9"/>
        <v>8194.7039999999997</v>
      </c>
      <c r="AI40" s="149">
        <f t="shared" si="9"/>
        <v>8194.7039999999997</v>
      </c>
      <c r="AJ40" s="149">
        <f t="shared" si="9"/>
        <v>8194.7039999999997</v>
      </c>
      <c r="AK40" s="149">
        <f t="shared" si="9"/>
        <v>8428.56</v>
      </c>
      <c r="AL40" s="149">
        <f t="shared" si="9"/>
        <v>8428.56</v>
      </c>
      <c r="AM40" s="149">
        <f t="shared" si="9"/>
        <v>8428.56</v>
      </c>
      <c r="AN40" s="149">
        <f t="shared" si="9"/>
        <v>8545.4880000000012</v>
      </c>
      <c r="AO40" s="149">
        <f t="shared" si="9"/>
        <v>8545.4880000000012</v>
      </c>
      <c r="AP40" s="149">
        <f t="shared" si="9"/>
        <v>8545.4880000000012</v>
      </c>
      <c r="AQ40" s="149">
        <f t="shared" si="9"/>
        <v>36123.809399999991</v>
      </c>
      <c r="AR40" s="149">
        <f t="shared" si="9"/>
        <v>8911.0341599999974</v>
      </c>
      <c r="AS40" s="149">
        <f t="shared" si="9"/>
        <v>8911.0341599999974</v>
      </c>
      <c r="AT40" s="149">
        <f t="shared" si="9"/>
        <v>8911.0341599999974</v>
      </c>
      <c r="AU40" s="149">
        <f t="shared" si="9"/>
        <v>8911.0341599999974</v>
      </c>
      <c r="AV40" s="149">
        <f t="shared" si="9"/>
        <v>8911.0341599999974</v>
      </c>
      <c r="AW40" s="149">
        <f t="shared" si="9"/>
        <v>8911.0341599999974</v>
      </c>
      <c r="AX40" s="149">
        <f t="shared" si="9"/>
        <v>8911.0341599999974</v>
      </c>
      <c r="AY40" s="149">
        <f t="shared" si="9"/>
        <v>8911.0341599999974</v>
      </c>
      <c r="AZ40" s="149">
        <f t="shared" si="9"/>
        <v>8911.0341599999974</v>
      </c>
      <c r="BA40" s="149">
        <f t="shared" si="9"/>
        <v>8911.0341599999974</v>
      </c>
      <c r="BB40" s="149">
        <f t="shared" si="9"/>
        <v>8911.0341599999974</v>
      </c>
      <c r="BC40" s="149">
        <f t="shared" si="9"/>
        <v>36665.666540999984</v>
      </c>
      <c r="BD40" s="149">
        <f t="shared" si="9"/>
        <v>9044.6996723999964</v>
      </c>
      <c r="BE40" s="149">
        <f t="shared" si="9"/>
        <v>9044.6996723999964</v>
      </c>
      <c r="BF40" s="149">
        <f t="shared" si="9"/>
        <v>9044.6996723999964</v>
      </c>
      <c r="BG40" s="149">
        <f t="shared" si="9"/>
        <v>9044.6996723999964</v>
      </c>
      <c r="BH40" s="149">
        <f t="shared" si="9"/>
        <v>9044.6996723999964</v>
      </c>
      <c r="BI40" s="149">
        <f t="shared" si="9"/>
        <v>9044.6996723999964</v>
      </c>
      <c r="BJ40" s="149">
        <f t="shared" si="9"/>
        <v>9044.6996723999964</v>
      </c>
      <c r="BK40" s="149">
        <f t="shared" si="9"/>
        <v>9044.6996723999964</v>
      </c>
      <c r="BL40" s="149">
        <f t="shared" si="9"/>
        <v>9044.6996723999964</v>
      </c>
      <c r="BM40" s="149">
        <f t="shared" si="9"/>
        <v>9044.6996723999964</v>
      </c>
      <c r="BN40" s="149">
        <f t="shared" si="9"/>
        <v>9044.6996723999964</v>
      </c>
      <c r="BO40" s="149">
        <f t="shared" si="9"/>
        <v>37215.651539114981</v>
      </c>
      <c r="BP40" s="149">
        <f t="shared" si="9"/>
        <v>9180.3701674859949</v>
      </c>
      <c r="BQ40" s="149">
        <f t="shared" si="9"/>
        <v>9180.3701674859949</v>
      </c>
      <c r="BR40" s="149">
        <f t="shared" si="9"/>
        <v>9180.3701674859949</v>
      </c>
      <c r="BS40" s="149">
        <f t="shared" si="9"/>
        <v>9180.3701674859949</v>
      </c>
      <c r="BT40" s="149">
        <f t="shared" si="9"/>
        <v>9180.3701674859949</v>
      </c>
      <c r="BU40" s="149">
        <f t="shared" si="9"/>
        <v>9180.3701674859949</v>
      </c>
      <c r="BV40" s="149">
        <f t="shared" si="9"/>
        <v>9180.3701674859949</v>
      </c>
      <c r="BW40" s="149">
        <f t="shared" si="9"/>
        <v>9180.3701674859949</v>
      </c>
      <c r="BX40" s="149">
        <f t="shared" si="9"/>
        <v>9180.3701674859949</v>
      </c>
      <c r="BY40" s="149">
        <f t="shared" si="9"/>
        <v>9180.3701674859949</v>
      </c>
      <c r="BZ40" s="149">
        <f t="shared" si="9"/>
        <v>9180.3701674859949</v>
      </c>
      <c r="CA40" s="149">
        <f t="shared" si="9"/>
        <v>37773.886312201699</v>
      </c>
      <c r="CB40" s="149">
        <f t="shared" si="9"/>
        <v>9318.0757199982854</v>
      </c>
      <c r="CC40" s="149">
        <f t="shared" si="9"/>
        <v>9318.0757199982854</v>
      </c>
      <c r="CD40" s="149">
        <f t="shared" si="9"/>
        <v>9318.0757199982854</v>
      </c>
      <c r="CE40" s="149">
        <f t="shared" si="9"/>
        <v>9318.0757199982854</v>
      </c>
      <c r="CF40" s="149">
        <f t="shared" ref="CF40:EQ40" si="10">MAX(CF41,CF42)</f>
        <v>9318.0757199982854</v>
      </c>
      <c r="CG40" s="149">
        <f t="shared" si="10"/>
        <v>9318.0757199982854</v>
      </c>
      <c r="CH40" s="149">
        <f t="shared" si="10"/>
        <v>9318.0757199982854</v>
      </c>
      <c r="CI40" s="149">
        <f t="shared" si="10"/>
        <v>9318.0757199982854</v>
      </c>
      <c r="CJ40" s="149">
        <f t="shared" si="10"/>
        <v>9318.0757199982854</v>
      </c>
      <c r="CK40" s="149">
        <f t="shared" si="10"/>
        <v>9318.0757199982854</v>
      </c>
      <c r="CL40" s="149">
        <f t="shared" si="10"/>
        <v>9318.0757199982854</v>
      </c>
      <c r="CM40" s="149">
        <f t="shared" si="10"/>
        <v>38340.49460688472</v>
      </c>
      <c r="CN40" s="149">
        <f t="shared" si="10"/>
        <v>9457.846855798256</v>
      </c>
      <c r="CO40" s="149">
        <f t="shared" si="10"/>
        <v>9457.846855798256</v>
      </c>
      <c r="CP40" s="149">
        <f t="shared" si="10"/>
        <v>9457.846855798256</v>
      </c>
      <c r="CQ40" s="149">
        <f t="shared" si="10"/>
        <v>9457.846855798256</v>
      </c>
      <c r="CR40" s="149">
        <f t="shared" si="10"/>
        <v>9457.846855798256</v>
      </c>
      <c r="CS40" s="149">
        <f t="shared" si="10"/>
        <v>9457.846855798256</v>
      </c>
      <c r="CT40" s="149">
        <f t="shared" si="10"/>
        <v>9457.846855798256</v>
      </c>
      <c r="CU40" s="149">
        <f t="shared" si="10"/>
        <v>9457.846855798256</v>
      </c>
      <c r="CV40" s="149">
        <f t="shared" si="10"/>
        <v>9457.846855798256</v>
      </c>
      <c r="CW40" s="149">
        <f t="shared" si="10"/>
        <v>9457.846855798256</v>
      </c>
      <c r="CX40" s="149">
        <f t="shared" si="10"/>
        <v>9457.846855798256</v>
      </c>
      <c r="CY40" s="149">
        <f t="shared" si="10"/>
        <v>38915.602025987988</v>
      </c>
      <c r="CZ40" s="149">
        <f t="shared" si="10"/>
        <v>9599.714558635229</v>
      </c>
      <c r="DA40" s="149">
        <f t="shared" si="10"/>
        <v>9599.714558635229</v>
      </c>
      <c r="DB40" s="149">
        <f t="shared" si="10"/>
        <v>9599.714558635229</v>
      </c>
      <c r="DC40" s="149">
        <f t="shared" si="10"/>
        <v>9599.714558635229</v>
      </c>
      <c r="DD40" s="149">
        <f t="shared" si="10"/>
        <v>9599.714558635229</v>
      </c>
      <c r="DE40" s="149">
        <f t="shared" si="10"/>
        <v>9599.714558635229</v>
      </c>
      <c r="DF40" s="149">
        <f t="shared" si="10"/>
        <v>9599.714558635229</v>
      </c>
      <c r="DG40" s="149">
        <f t="shared" si="10"/>
        <v>9599.714558635229</v>
      </c>
      <c r="DH40" s="149">
        <f t="shared" si="10"/>
        <v>9599.714558635229</v>
      </c>
      <c r="DI40" s="149">
        <f t="shared" si="10"/>
        <v>9599.714558635229</v>
      </c>
      <c r="DJ40" s="149">
        <f t="shared" si="10"/>
        <v>9599.714558635229</v>
      </c>
      <c r="DK40" s="149">
        <f t="shared" si="10"/>
        <v>39499.336056377797</v>
      </c>
      <c r="DL40" s="149">
        <f t="shared" si="10"/>
        <v>9743.7102770147558</v>
      </c>
      <c r="DM40" s="149">
        <f t="shared" si="10"/>
        <v>9743.7102770147558</v>
      </c>
      <c r="DN40" s="149">
        <f t="shared" si="10"/>
        <v>9743.7102770147558</v>
      </c>
      <c r="DO40" s="149">
        <f t="shared" si="10"/>
        <v>9743.7102770147558</v>
      </c>
      <c r="DP40" s="149">
        <f t="shared" si="10"/>
        <v>9743.7102770147558</v>
      </c>
      <c r="DQ40" s="149">
        <f t="shared" si="10"/>
        <v>9743.7102770147558</v>
      </c>
      <c r="DR40" s="149">
        <f t="shared" si="10"/>
        <v>9743.7102770147558</v>
      </c>
      <c r="DS40" s="149">
        <f t="shared" si="10"/>
        <v>9743.7102770147558</v>
      </c>
      <c r="DT40" s="149">
        <f t="shared" si="10"/>
        <v>9743.7102770147558</v>
      </c>
      <c r="DU40" s="149">
        <f t="shared" si="10"/>
        <v>9743.7102770147558</v>
      </c>
      <c r="DV40" s="149">
        <f t="shared" si="10"/>
        <v>9743.7102770147558</v>
      </c>
      <c r="DW40" s="149">
        <f t="shared" si="10"/>
        <v>40091.826097223464</v>
      </c>
      <c r="DX40" s="149">
        <f t="shared" si="10"/>
        <v>9889.8659311699757</v>
      </c>
      <c r="DY40" s="149">
        <f t="shared" si="10"/>
        <v>9889.8659311699757</v>
      </c>
      <c r="DZ40" s="149">
        <f t="shared" si="10"/>
        <v>9889.8659311699757</v>
      </c>
      <c r="EA40" s="149">
        <f t="shared" si="10"/>
        <v>9889.8659311699757</v>
      </c>
      <c r="EB40" s="149">
        <f t="shared" si="10"/>
        <v>9889.8659311699757</v>
      </c>
      <c r="EC40" s="149">
        <f t="shared" si="10"/>
        <v>9889.8659311699757</v>
      </c>
      <c r="ED40" s="149">
        <f t="shared" si="10"/>
        <v>9889.8659311699757</v>
      </c>
      <c r="EE40" s="149">
        <f t="shared" si="10"/>
        <v>9889.8659311699757</v>
      </c>
      <c r="EF40" s="149">
        <f t="shared" si="10"/>
        <v>9889.8659311699757</v>
      </c>
      <c r="EG40" s="149">
        <f t="shared" si="10"/>
        <v>9889.8659311699757</v>
      </c>
      <c r="EH40" s="149">
        <f t="shared" si="10"/>
        <v>9889.8659311699757</v>
      </c>
      <c r="EI40" s="149">
        <f t="shared" si="10"/>
        <v>40693.203488681807</v>
      </c>
      <c r="EJ40" s="149">
        <f t="shared" si="10"/>
        <v>10038.213920137523</v>
      </c>
      <c r="EK40" s="149">
        <f t="shared" si="10"/>
        <v>10038.213920137523</v>
      </c>
      <c r="EL40" s="149">
        <f t="shared" si="10"/>
        <v>10038.213920137523</v>
      </c>
      <c r="EM40" s="149">
        <f t="shared" si="10"/>
        <v>10038.213920137523</v>
      </c>
      <c r="EN40" s="149">
        <f t="shared" si="10"/>
        <v>10038.213920137523</v>
      </c>
      <c r="EO40" s="149">
        <f t="shared" si="10"/>
        <v>10038.213920137523</v>
      </c>
      <c r="EP40" s="149">
        <f t="shared" si="10"/>
        <v>10038.213920137523</v>
      </c>
      <c r="EQ40" s="149">
        <f t="shared" si="10"/>
        <v>10038.213920137523</v>
      </c>
      <c r="ER40" s="149">
        <f t="shared" ref="ER40:GP40" si="11">MAX(ER41,ER42)</f>
        <v>10038.213920137523</v>
      </c>
      <c r="ES40" s="149">
        <f t="shared" si="11"/>
        <v>10038.213920137523</v>
      </c>
      <c r="ET40" s="149">
        <f t="shared" si="11"/>
        <v>10038.213920137523</v>
      </c>
      <c r="EU40" s="149">
        <f t="shared" si="11"/>
        <v>41303.601541012031</v>
      </c>
      <c r="EV40" s="149">
        <f t="shared" si="11"/>
        <v>10188.787128939586</v>
      </c>
      <c r="EW40" s="149">
        <f t="shared" si="11"/>
        <v>10188.787128939586</v>
      </c>
      <c r="EX40" s="149">
        <f t="shared" si="11"/>
        <v>10188.787128939586</v>
      </c>
      <c r="EY40" s="149">
        <f t="shared" si="11"/>
        <v>10188.787128939586</v>
      </c>
      <c r="EZ40" s="149">
        <f t="shared" si="11"/>
        <v>10188.787128939586</v>
      </c>
      <c r="FA40" s="149">
        <f t="shared" si="11"/>
        <v>10188.787128939586</v>
      </c>
      <c r="FB40" s="149">
        <f t="shared" si="11"/>
        <v>10188.787128939586</v>
      </c>
      <c r="FC40" s="149">
        <f t="shared" si="11"/>
        <v>10188.787128939586</v>
      </c>
      <c r="FD40" s="149">
        <f t="shared" si="11"/>
        <v>10188.787128939586</v>
      </c>
      <c r="FE40" s="149">
        <f t="shared" si="11"/>
        <v>10188.787128939586</v>
      </c>
      <c r="FF40" s="149">
        <f t="shared" si="11"/>
        <v>10188.787128939586</v>
      </c>
      <c r="FG40" s="149">
        <f t="shared" si="11"/>
        <v>41923.155564127199</v>
      </c>
      <c r="FH40" s="149">
        <f t="shared" si="11"/>
        <v>10341.618935873677</v>
      </c>
      <c r="FI40" s="149">
        <f t="shared" si="11"/>
        <v>10341.618935873677</v>
      </c>
      <c r="FJ40" s="149">
        <f t="shared" si="11"/>
        <v>10341.618935873677</v>
      </c>
      <c r="FK40" s="149">
        <f t="shared" si="11"/>
        <v>10341.618935873677</v>
      </c>
      <c r="FL40" s="149">
        <f t="shared" si="11"/>
        <v>10341.618935873677</v>
      </c>
      <c r="FM40" s="149">
        <f t="shared" si="11"/>
        <v>10341.618935873677</v>
      </c>
      <c r="FN40" s="149">
        <f t="shared" si="11"/>
        <v>10341.618935873677</v>
      </c>
      <c r="FO40" s="149">
        <f t="shared" si="11"/>
        <v>10341.618935873677</v>
      </c>
      <c r="FP40" s="149">
        <f t="shared" si="11"/>
        <v>10341.618935873677</v>
      </c>
      <c r="FQ40" s="149">
        <f t="shared" si="11"/>
        <v>10341.618935873677</v>
      </c>
      <c r="FR40" s="149">
        <f t="shared" si="11"/>
        <v>10341.618935873677</v>
      </c>
      <c r="FS40" s="149">
        <f t="shared" si="11"/>
        <v>42552.002897589111</v>
      </c>
      <c r="FT40" s="149">
        <f t="shared" si="11"/>
        <v>10496.743219911783</v>
      </c>
      <c r="FU40" s="149">
        <f t="shared" si="11"/>
        <v>10496.743219911783</v>
      </c>
      <c r="FV40" s="149">
        <f t="shared" si="11"/>
        <v>10496.743219911783</v>
      </c>
      <c r="FW40" s="149">
        <f t="shared" si="11"/>
        <v>10496.743219911783</v>
      </c>
      <c r="FX40" s="149">
        <f t="shared" si="11"/>
        <v>10496.743219911783</v>
      </c>
      <c r="FY40" s="149">
        <f t="shared" si="11"/>
        <v>10496.743219911783</v>
      </c>
      <c r="FZ40" s="149">
        <f t="shared" si="11"/>
        <v>10496.743219911783</v>
      </c>
      <c r="GA40" s="149">
        <f t="shared" si="11"/>
        <v>10496.743219911783</v>
      </c>
      <c r="GB40" s="149">
        <f t="shared" si="11"/>
        <v>10496.743219911783</v>
      </c>
      <c r="GC40" s="149">
        <f t="shared" si="11"/>
        <v>10496.743219911783</v>
      </c>
      <c r="GD40" s="149">
        <f t="shared" si="11"/>
        <v>10496.743219911783</v>
      </c>
      <c r="GE40" s="149">
        <f t="shared" si="11"/>
        <v>43190.282941052938</v>
      </c>
      <c r="GF40" s="149">
        <f t="shared" si="11"/>
        <v>10654.194368210456</v>
      </c>
      <c r="GG40" s="149">
        <f t="shared" si="11"/>
        <v>10654.194368210456</v>
      </c>
      <c r="GH40" s="149">
        <f t="shared" si="11"/>
        <v>10654.194368210456</v>
      </c>
      <c r="GI40" s="149">
        <f t="shared" si="11"/>
        <v>10654.194368210456</v>
      </c>
      <c r="GJ40" s="149">
        <f t="shared" si="11"/>
        <v>10654.194368210456</v>
      </c>
      <c r="GK40" s="149">
        <f t="shared" si="11"/>
        <v>10654.194368210456</v>
      </c>
      <c r="GL40" s="149">
        <f t="shared" si="11"/>
        <v>10654.194368210456</v>
      </c>
      <c r="GM40" s="149">
        <f t="shared" si="11"/>
        <v>10654.194368210456</v>
      </c>
      <c r="GN40" s="149">
        <f t="shared" si="11"/>
        <v>10654.194368210456</v>
      </c>
      <c r="GO40" s="149">
        <f t="shared" si="11"/>
        <v>10654.194368210456</v>
      </c>
      <c r="GP40" s="149">
        <f t="shared" si="11"/>
        <v>10654.194368210456</v>
      </c>
    </row>
    <row r="41" spans="2:198" x14ac:dyDescent="0.3">
      <c r="R41" s="89" t="s">
        <v>181</v>
      </c>
      <c r="S41" s="149">
        <f>'Property Summary'!$H$15*'MF Rents'!U40</f>
        <v>7459.2</v>
      </c>
      <c r="T41" s="149">
        <f>'Property Summary'!$H$15*'MF Rents'!V40</f>
        <v>7459.2</v>
      </c>
      <c r="U41" s="149">
        <f>'Property Summary'!$H$15*'MF Rents'!W40</f>
        <v>7459.2</v>
      </c>
      <c r="V41" s="149">
        <f>'Property Summary'!$H$15*'MF Rents'!X40</f>
        <v>7459.2</v>
      </c>
      <c r="W41" s="149">
        <f>'Property Summary'!$H$15*'MF Rents'!Y40</f>
        <v>7459.2</v>
      </c>
      <c r="X41" s="149">
        <f>'Property Summary'!$H$15*'MF Rents'!Z40</f>
        <v>7459.2</v>
      </c>
      <c r="Y41" s="149">
        <f>'Property Summary'!$H$15*'MF Rents'!AA40</f>
        <v>7459.2</v>
      </c>
      <c r="Z41" s="149">
        <f>'Property Summary'!$H$15*'MF Rents'!AB40</f>
        <v>7459.2</v>
      </c>
      <c r="AA41" s="149">
        <f>'Property Summary'!$H$15*'MF Rents'!AC40</f>
        <v>7459.2</v>
      </c>
      <c r="AB41" s="149">
        <f>'Property Summary'!$H$15*'MF Rents'!AD40</f>
        <v>7459.2</v>
      </c>
      <c r="AC41" s="149">
        <f>'Property Summary'!$H$15*'MF Rents'!AE40</f>
        <v>7459.2</v>
      </c>
      <c r="AD41" s="149">
        <f>'Property Summary'!$H$15*'MF Rents'!AF40</f>
        <v>7459.2</v>
      </c>
      <c r="AE41" s="149">
        <f>'Property Summary'!$H$15*'MF Rents'!AG40</f>
        <v>7960.847999999999</v>
      </c>
      <c r="AF41" s="149">
        <f>'Property Summary'!$H$15*'MF Rents'!AH40</f>
        <v>7960.847999999999</v>
      </c>
      <c r="AG41" s="149">
        <f>'Property Summary'!$H$15*'MF Rents'!AI40</f>
        <v>7960.847999999999</v>
      </c>
      <c r="AH41" s="149">
        <f>'Property Summary'!$H$15*'MF Rents'!AJ40</f>
        <v>8194.7039999999997</v>
      </c>
      <c r="AI41" s="149">
        <f>'Property Summary'!$H$15*'MF Rents'!AK40</f>
        <v>8194.7039999999997</v>
      </c>
      <c r="AJ41" s="149">
        <f>'Property Summary'!$H$15*'MF Rents'!AL40</f>
        <v>8194.7039999999997</v>
      </c>
      <c r="AK41" s="149">
        <f>'Property Summary'!$H$15*'MF Rents'!AM40</f>
        <v>8428.56</v>
      </c>
      <c r="AL41" s="149">
        <f>'Property Summary'!$H$15*'MF Rents'!AN40</f>
        <v>8428.56</v>
      </c>
      <c r="AM41" s="149">
        <f>'Property Summary'!$H$15*'MF Rents'!AO40</f>
        <v>8428.56</v>
      </c>
      <c r="AN41" s="149">
        <f>'Property Summary'!$H$15*'MF Rents'!AP40</f>
        <v>8545.4880000000012</v>
      </c>
      <c r="AO41" s="149">
        <f>'Property Summary'!$H$15*'MF Rents'!AQ40</f>
        <v>8545.4880000000012</v>
      </c>
      <c r="AP41" s="149">
        <f>'Property Summary'!$H$15*'MF Rents'!AR40</f>
        <v>8545.4880000000012</v>
      </c>
      <c r="AQ41" s="149">
        <f>'Property Summary'!$H$15*'MF Rents'!AS40</f>
        <v>8911.0341599999974</v>
      </c>
      <c r="AR41" s="149">
        <f>'Property Summary'!$H$15*'MF Rents'!AT40</f>
        <v>8911.0341599999974</v>
      </c>
      <c r="AS41" s="149">
        <f>'Property Summary'!$H$15*'MF Rents'!AU40</f>
        <v>8911.0341599999974</v>
      </c>
      <c r="AT41" s="149">
        <f>'Property Summary'!$H$15*'MF Rents'!AV40</f>
        <v>8911.0341599999974</v>
      </c>
      <c r="AU41" s="149">
        <f>'Property Summary'!$H$15*'MF Rents'!AW40</f>
        <v>8911.0341599999974</v>
      </c>
      <c r="AV41" s="149">
        <f>'Property Summary'!$H$15*'MF Rents'!AX40</f>
        <v>8911.0341599999974</v>
      </c>
      <c r="AW41" s="149">
        <f>'Property Summary'!$H$15*'MF Rents'!AY40</f>
        <v>8911.0341599999974</v>
      </c>
      <c r="AX41" s="149">
        <f>'Property Summary'!$H$15*'MF Rents'!AZ40</f>
        <v>8911.0341599999974</v>
      </c>
      <c r="AY41" s="149">
        <f>'Property Summary'!$H$15*'MF Rents'!BA40</f>
        <v>8911.0341599999974</v>
      </c>
      <c r="AZ41" s="149">
        <f>'Property Summary'!$H$15*'MF Rents'!BB40</f>
        <v>8911.0341599999974</v>
      </c>
      <c r="BA41" s="149">
        <f>'Property Summary'!$H$15*'MF Rents'!BC40</f>
        <v>8911.0341599999974</v>
      </c>
      <c r="BB41" s="149">
        <f>'Property Summary'!$H$15*'MF Rents'!BD40</f>
        <v>8911.0341599999974</v>
      </c>
      <c r="BC41" s="149">
        <f>'Property Summary'!$H$15*'MF Rents'!BE40</f>
        <v>9044.6996723999964</v>
      </c>
      <c r="BD41" s="149">
        <f>'Property Summary'!$H$15*'MF Rents'!BF40</f>
        <v>9044.6996723999964</v>
      </c>
      <c r="BE41" s="149">
        <f>'Property Summary'!$H$15*'MF Rents'!BG40</f>
        <v>9044.6996723999964</v>
      </c>
      <c r="BF41" s="149">
        <f>'Property Summary'!$H$15*'MF Rents'!BH40</f>
        <v>9044.6996723999964</v>
      </c>
      <c r="BG41" s="149">
        <f>'Property Summary'!$H$15*'MF Rents'!BI40</f>
        <v>9044.6996723999964</v>
      </c>
      <c r="BH41" s="149">
        <f>'Property Summary'!$H$15*'MF Rents'!BJ40</f>
        <v>9044.6996723999964</v>
      </c>
      <c r="BI41" s="149">
        <f>'Property Summary'!$H$15*'MF Rents'!BK40</f>
        <v>9044.6996723999964</v>
      </c>
      <c r="BJ41" s="149">
        <f>'Property Summary'!$H$15*'MF Rents'!BL40</f>
        <v>9044.6996723999964</v>
      </c>
      <c r="BK41" s="149">
        <f>'Property Summary'!$H$15*'MF Rents'!BM40</f>
        <v>9044.6996723999964</v>
      </c>
      <c r="BL41" s="149">
        <f>'Property Summary'!$H$15*'MF Rents'!BN40</f>
        <v>9044.6996723999964</v>
      </c>
      <c r="BM41" s="149">
        <f>'Property Summary'!$H$15*'MF Rents'!BO40</f>
        <v>9044.6996723999964</v>
      </c>
      <c r="BN41" s="149">
        <f>'Property Summary'!$H$15*'MF Rents'!BP40</f>
        <v>9044.6996723999964</v>
      </c>
      <c r="BO41" s="149">
        <f>'Property Summary'!$H$15*'MF Rents'!BQ40</f>
        <v>9180.3701674859949</v>
      </c>
      <c r="BP41" s="149">
        <f>'Property Summary'!$H$15*'MF Rents'!BR40</f>
        <v>9180.3701674859949</v>
      </c>
      <c r="BQ41" s="149">
        <f>'Property Summary'!$H$15*'MF Rents'!BS40</f>
        <v>9180.3701674859949</v>
      </c>
      <c r="BR41" s="149">
        <f>'Property Summary'!$H$15*'MF Rents'!BT40</f>
        <v>9180.3701674859949</v>
      </c>
      <c r="BS41" s="149">
        <f>'Property Summary'!$H$15*'MF Rents'!BU40</f>
        <v>9180.3701674859949</v>
      </c>
      <c r="BT41" s="149">
        <f>'Property Summary'!$H$15*'MF Rents'!BV40</f>
        <v>9180.3701674859949</v>
      </c>
      <c r="BU41" s="149">
        <f>'Property Summary'!$H$15*'MF Rents'!BW40</f>
        <v>9180.3701674859949</v>
      </c>
      <c r="BV41" s="149">
        <f>'Property Summary'!$H$15*'MF Rents'!BX40</f>
        <v>9180.3701674859949</v>
      </c>
      <c r="BW41" s="149">
        <f>'Property Summary'!$H$15*'MF Rents'!BY40</f>
        <v>9180.3701674859949</v>
      </c>
      <c r="BX41" s="149">
        <f>'Property Summary'!$H$15*'MF Rents'!BZ40</f>
        <v>9180.3701674859949</v>
      </c>
      <c r="BY41" s="149">
        <f>'Property Summary'!$H$15*'MF Rents'!CA40</f>
        <v>9180.3701674859949</v>
      </c>
      <c r="BZ41" s="149">
        <f>'Property Summary'!$H$15*'MF Rents'!CB40</f>
        <v>9180.3701674859949</v>
      </c>
      <c r="CA41" s="149">
        <f>'Property Summary'!$H$15*'MF Rents'!CC40</f>
        <v>9318.0757199982854</v>
      </c>
      <c r="CB41" s="149">
        <f>'Property Summary'!$H$15*'MF Rents'!CD40</f>
        <v>9318.0757199982854</v>
      </c>
      <c r="CC41" s="149">
        <f>'Property Summary'!$H$15*'MF Rents'!CE40</f>
        <v>9318.0757199982854</v>
      </c>
      <c r="CD41" s="149">
        <f>'Property Summary'!$H$15*'MF Rents'!CF40</f>
        <v>9318.0757199982854</v>
      </c>
      <c r="CE41" s="149">
        <f>'Property Summary'!$H$15*'MF Rents'!CG40</f>
        <v>9318.0757199982854</v>
      </c>
      <c r="CF41" s="149">
        <f>'Property Summary'!$H$15*'MF Rents'!CH40</f>
        <v>9318.0757199982854</v>
      </c>
      <c r="CG41" s="149">
        <f>'Property Summary'!$H$15*'MF Rents'!CI40</f>
        <v>9318.0757199982854</v>
      </c>
      <c r="CH41" s="149">
        <f>'Property Summary'!$H$15*'MF Rents'!CJ40</f>
        <v>9318.0757199982854</v>
      </c>
      <c r="CI41" s="149">
        <f>'Property Summary'!$H$15*'MF Rents'!CK40</f>
        <v>9318.0757199982854</v>
      </c>
      <c r="CJ41" s="149">
        <f>'Property Summary'!$H$15*'MF Rents'!CL40</f>
        <v>9318.0757199982854</v>
      </c>
      <c r="CK41" s="149">
        <f>'Property Summary'!$H$15*'MF Rents'!CM40</f>
        <v>9318.0757199982854</v>
      </c>
      <c r="CL41" s="149">
        <f>'Property Summary'!$H$15*'MF Rents'!CN40</f>
        <v>9318.0757199982854</v>
      </c>
      <c r="CM41" s="149">
        <f>'Property Summary'!$H$15*'MF Rents'!CO40</f>
        <v>9457.846855798256</v>
      </c>
      <c r="CN41" s="149">
        <f>'Property Summary'!$H$15*'MF Rents'!CP40</f>
        <v>9457.846855798256</v>
      </c>
      <c r="CO41" s="149">
        <f>'Property Summary'!$H$15*'MF Rents'!CQ40</f>
        <v>9457.846855798256</v>
      </c>
      <c r="CP41" s="149">
        <f>'Property Summary'!$H$15*'MF Rents'!CR40</f>
        <v>9457.846855798256</v>
      </c>
      <c r="CQ41" s="149">
        <f>'Property Summary'!$H$15*'MF Rents'!CS40</f>
        <v>9457.846855798256</v>
      </c>
      <c r="CR41" s="149">
        <f>'Property Summary'!$H$15*'MF Rents'!CT40</f>
        <v>9457.846855798256</v>
      </c>
      <c r="CS41" s="149">
        <f>'Property Summary'!$H$15*'MF Rents'!CU40</f>
        <v>9457.846855798256</v>
      </c>
      <c r="CT41" s="149">
        <f>'Property Summary'!$H$15*'MF Rents'!CV40</f>
        <v>9457.846855798256</v>
      </c>
      <c r="CU41" s="149">
        <f>'Property Summary'!$H$15*'MF Rents'!CW40</f>
        <v>9457.846855798256</v>
      </c>
      <c r="CV41" s="149">
        <f>'Property Summary'!$H$15*'MF Rents'!CX40</f>
        <v>9457.846855798256</v>
      </c>
      <c r="CW41" s="149">
        <f>'Property Summary'!$H$15*'MF Rents'!CY40</f>
        <v>9457.846855798256</v>
      </c>
      <c r="CX41" s="149">
        <f>'Property Summary'!$H$15*'MF Rents'!CZ40</f>
        <v>9457.846855798256</v>
      </c>
      <c r="CY41" s="149">
        <f>'Property Summary'!$H$15*'MF Rents'!DA40</f>
        <v>9599.714558635229</v>
      </c>
      <c r="CZ41" s="149">
        <f>'Property Summary'!$H$15*'MF Rents'!DB40</f>
        <v>9599.714558635229</v>
      </c>
      <c r="DA41" s="149">
        <f>'Property Summary'!$H$15*'MF Rents'!DC40</f>
        <v>9599.714558635229</v>
      </c>
      <c r="DB41" s="149">
        <f>'Property Summary'!$H$15*'MF Rents'!DD40</f>
        <v>9599.714558635229</v>
      </c>
      <c r="DC41" s="149">
        <f>'Property Summary'!$H$15*'MF Rents'!DE40</f>
        <v>9599.714558635229</v>
      </c>
      <c r="DD41" s="149">
        <f>'Property Summary'!$H$15*'MF Rents'!DF40</f>
        <v>9599.714558635229</v>
      </c>
      <c r="DE41" s="149">
        <f>'Property Summary'!$H$15*'MF Rents'!DG40</f>
        <v>9599.714558635229</v>
      </c>
      <c r="DF41" s="149">
        <f>'Property Summary'!$H$15*'MF Rents'!DH40</f>
        <v>9599.714558635229</v>
      </c>
      <c r="DG41" s="149">
        <f>'Property Summary'!$H$15*'MF Rents'!DI40</f>
        <v>9599.714558635229</v>
      </c>
      <c r="DH41" s="149">
        <f>'Property Summary'!$H$15*'MF Rents'!DJ40</f>
        <v>9599.714558635229</v>
      </c>
      <c r="DI41" s="149">
        <f>'Property Summary'!$H$15*'MF Rents'!DK40</f>
        <v>9599.714558635229</v>
      </c>
      <c r="DJ41" s="149">
        <f>'Property Summary'!$H$15*'MF Rents'!DL40</f>
        <v>9599.714558635229</v>
      </c>
      <c r="DK41" s="149">
        <f>'Property Summary'!$H$15*'MF Rents'!DM40</f>
        <v>9743.7102770147558</v>
      </c>
      <c r="DL41" s="149">
        <f>'Property Summary'!$H$15*'MF Rents'!DN40</f>
        <v>9743.7102770147558</v>
      </c>
      <c r="DM41" s="149">
        <f>'Property Summary'!$H$15*'MF Rents'!DO40</f>
        <v>9743.7102770147558</v>
      </c>
      <c r="DN41" s="149">
        <f>'Property Summary'!$H$15*'MF Rents'!DP40</f>
        <v>9743.7102770147558</v>
      </c>
      <c r="DO41" s="149">
        <f>'Property Summary'!$H$15*'MF Rents'!DQ40</f>
        <v>9743.7102770147558</v>
      </c>
      <c r="DP41" s="149">
        <f>'Property Summary'!$H$15*'MF Rents'!DR40</f>
        <v>9743.7102770147558</v>
      </c>
      <c r="DQ41" s="149">
        <f>'Property Summary'!$H$15*'MF Rents'!DS40</f>
        <v>9743.7102770147558</v>
      </c>
      <c r="DR41" s="149">
        <f>'Property Summary'!$H$15*'MF Rents'!DT40</f>
        <v>9743.7102770147558</v>
      </c>
      <c r="DS41" s="149">
        <f>'Property Summary'!$H$15*'MF Rents'!DU40</f>
        <v>9743.7102770147558</v>
      </c>
      <c r="DT41" s="149">
        <f>'Property Summary'!$H$15*'MF Rents'!DV40</f>
        <v>9743.7102770147558</v>
      </c>
      <c r="DU41" s="149">
        <f>'Property Summary'!$H$15*'MF Rents'!DW40</f>
        <v>9743.7102770147558</v>
      </c>
      <c r="DV41" s="149">
        <f>'Property Summary'!$H$15*'MF Rents'!DX40</f>
        <v>9743.7102770147558</v>
      </c>
      <c r="DW41" s="149">
        <f>'Property Summary'!$H$15*'MF Rents'!DY40</f>
        <v>9889.8659311699757</v>
      </c>
      <c r="DX41" s="149">
        <f>'Property Summary'!$H$15*'MF Rents'!DZ40</f>
        <v>9889.8659311699757</v>
      </c>
      <c r="DY41" s="149">
        <f>'Property Summary'!$H$15*'MF Rents'!EA40</f>
        <v>9889.8659311699757</v>
      </c>
      <c r="DZ41" s="149">
        <f>'Property Summary'!$H$15*'MF Rents'!EB40</f>
        <v>9889.8659311699757</v>
      </c>
      <c r="EA41" s="149">
        <f>'Property Summary'!$H$15*'MF Rents'!EC40</f>
        <v>9889.8659311699757</v>
      </c>
      <c r="EB41" s="149">
        <f>'Property Summary'!$H$15*'MF Rents'!ED40</f>
        <v>9889.8659311699757</v>
      </c>
      <c r="EC41" s="149">
        <f>'Property Summary'!$H$15*'MF Rents'!EE40</f>
        <v>9889.8659311699757</v>
      </c>
      <c r="ED41" s="149">
        <f>'Property Summary'!$H$15*'MF Rents'!EF40</f>
        <v>9889.8659311699757</v>
      </c>
      <c r="EE41" s="149">
        <f>'Property Summary'!$H$15*'MF Rents'!EG40</f>
        <v>9889.8659311699757</v>
      </c>
      <c r="EF41" s="149">
        <f>'Property Summary'!$H$15*'MF Rents'!EH40</f>
        <v>9889.8659311699757</v>
      </c>
      <c r="EG41" s="149">
        <f>'Property Summary'!$H$15*'MF Rents'!EI40</f>
        <v>9889.8659311699757</v>
      </c>
      <c r="EH41" s="149">
        <f>'Property Summary'!$H$15*'MF Rents'!EJ40</f>
        <v>9889.8659311699757</v>
      </c>
      <c r="EI41" s="149">
        <f>'Property Summary'!$H$15*'MF Rents'!EK40</f>
        <v>10038.213920137523</v>
      </c>
      <c r="EJ41" s="149">
        <f>'Property Summary'!$H$15*'MF Rents'!EL40</f>
        <v>10038.213920137523</v>
      </c>
      <c r="EK41" s="149">
        <f>'Property Summary'!$H$15*'MF Rents'!EM40</f>
        <v>10038.213920137523</v>
      </c>
      <c r="EL41" s="149">
        <f>'Property Summary'!$H$15*'MF Rents'!EN40</f>
        <v>10038.213920137523</v>
      </c>
      <c r="EM41" s="149">
        <f>'Property Summary'!$H$15*'MF Rents'!EO40</f>
        <v>10038.213920137523</v>
      </c>
      <c r="EN41" s="149">
        <f>'Property Summary'!$H$15*'MF Rents'!EP40</f>
        <v>10038.213920137523</v>
      </c>
      <c r="EO41" s="149">
        <f>'Property Summary'!$H$15*'MF Rents'!EQ40</f>
        <v>10038.213920137523</v>
      </c>
      <c r="EP41" s="149">
        <f>'Property Summary'!$H$15*'MF Rents'!ER40</f>
        <v>10038.213920137523</v>
      </c>
      <c r="EQ41" s="149">
        <f>'Property Summary'!$H$15*'MF Rents'!ES40</f>
        <v>10038.213920137523</v>
      </c>
      <c r="ER41" s="149">
        <f>'Property Summary'!$H$15*'MF Rents'!ET40</f>
        <v>10038.213920137523</v>
      </c>
      <c r="ES41" s="149">
        <f>'Property Summary'!$H$15*'MF Rents'!EU40</f>
        <v>10038.213920137523</v>
      </c>
      <c r="ET41" s="149">
        <f>'Property Summary'!$H$15*'MF Rents'!EV40</f>
        <v>10038.213920137523</v>
      </c>
      <c r="EU41" s="149">
        <f>'Property Summary'!$H$15*'MF Rents'!EW40</f>
        <v>10188.787128939586</v>
      </c>
      <c r="EV41" s="149">
        <f>'Property Summary'!$H$15*'MF Rents'!EX40</f>
        <v>10188.787128939586</v>
      </c>
      <c r="EW41" s="149">
        <f>'Property Summary'!$H$15*'MF Rents'!EY40</f>
        <v>10188.787128939586</v>
      </c>
      <c r="EX41" s="149">
        <f>'Property Summary'!$H$15*'MF Rents'!EZ40</f>
        <v>10188.787128939586</v>
      </c>
      <c r="EY41" s="149">
        <f>'Property Summary'!$H$15*'MF Rents'!FA40</f>
        <v>10188.787128939586</v>
      </c>
      <c r="EZ41" s="149">
        <f>'Property Summary'!$H$15*'MF Rents'!FB40</f>
        <v>10188.787128939586</v>
      </c>
      <c r="FA41" s="149">
        <f>'Property Summary'!$H$15*'MF Rents'!FC40</f>
        <v>10188.787128939586</v>
      </c>
      <c r="FB41" s="149">
        <f>'Property Summary'!$H$15*'MF Rents'!FD40</f>
        <v>10188.787128939586</v>
      </c>
      <c r="FC41" s="149">
        <f>'Property Summary'!$H$15*'MF Rents'!FE40</f>
        <v>10188.787128939586</v>
      </c>
      <c r="FD41" s="149">
        <f>'Property Summary'!$H$15*'MF Rents'!FF40</f>
        <v>10188.787128939586</v>
      </c>
      <c r="FE41" s="149">
        <f>'Property Summary'!$H$15*'MF Rents'!FG40</f>
        <v>10188.787128939586</v>
      </c>
      <c r="FF41" s="149">
        <f>'Property Summary'!$H$15*'MF Rents'!FH40</f>
        <v>10188.787128939586</v>
      </c>
      <c r="FG41" s="149">
        <f>'Property Summary'!$H$15*'MF Rents'!FI40</f>
        <v>10341.618935873677</v>
      </c>
      <c r="FH41" s="149">
        <f>'Property Summary'!$H$15*'MF Rents'!FJ40</f>
        <v>10341.618935873677</v>
      </c>
      <c r="FI41" s="149">
        <f>'Property Summary'!$H$15*'MF Rents'!FK40</f>
        <v>10341.618935873677</v>
      </c>
      <c r="FJ41" s="149">
        <f>'Property Summary'!$H$15*'MF Rents'!FL40</f>
        <v>10341.618935873677</v>
      </c>
      <c r="FK41" s="149">
        <f>'Property Summary'!$H$15*'MF Rents'!FM40</f>
        <v>10341.618935873677</v>
      </c>
      <c r="FL41" s="149">
        <f>'Property Summary'!$H$15*'MF Rents'!FN40</f>
        <v>10341.618935873677</v>
      </c>
      <c r="FM41" s="149">
        <f>'Property Summary'!$H$15*'MF Rents'!FO40</f>
        <v>10341.618935873677</v>
      </c>
      <c r="FN41" s="149">
        <f>'Property Summary'!$H$15*'MF Rents'!FP40</f>
        <v>10341.618935873677</v>
      </c>
      <c r="FO41" s="149">
        <f>'Property Summary'!$H$15*'MF Rents'!FQ40</f>
        <v>10341.618935873677</v>
      </c>
      <c r="FP41" s="149">
        <f>'Property Summary'!$H$15*'MF Rents'!FR40</f>
        <v>10341.618935873677</v>
      </c>
      <c r="FQ41" s="149">
        <f>'Property Summary'!$H$15*'MF Rents'!FS40</f>
        <v>10341.618935873677</v>
      </c>
      <c r="FR41" s="149">
        <f>'Property Summary'!$H$15*'MF Rents'!FT40</f>
        <v>10341.618935873677</v>
      </c>
      <c r="FS41" s="149">
        <f>'Property Summary'!$H$15*'MF Rents'!FU40</f>
        <v>10496.743219911783</v>
      </c>
      <c r="FT41" s="149">
        <f>'Property Summary'!$H$15*'MF Rents'!FV40</f>
        <v>10496.743219911783</v>
      </c>
      <c r="FU41" s="149">
        <f>'Property Summary'!$H$15*'MF Rents'!FW40</f>
        <v>10496.743219911783</v>
      </c>
      <c r="FV41" s="149">
        <f>'Property Summary'!$H$15*'MF Rents'!FX40</f>
        <v>10496.743219911783</v>
      </c>
      <c r="FW41" s="149">
        <f>'Property Summary'!$H$15*'MF Rents'!FY40</f>
        <v>10496.743219911783</v>
      </c>
      <c r="FX41" s="149">
        <f>'Property Summary'!$H$15*'MF Rents'!FZ40</f>
        <v>10496.743219911783</v>
      </c>
      <c r="FY41" s="149">
        <f>'Property Summary'!$H$15*'MF Rents'!GA40</f>
        <v>10496.743219911783</v>
      </c>
      <c r="FZ41" s="149">
        <f>'Property Summary'!$H$15*'MF Rents'!GB40</f>
        <v>10496.743219911783</v>
      </c>
      <c r="GA41" s="149">
        <f>'Property Summary'!$H$15*'MF Rents'!GC40</f>
        <v>10496.743219911783</v>
      </c>
      <c r="GB41" s="149">
        <f>'Property Summary'!$H$15*'MF Rents'!GD40</f>
        <v>10496.743219911783</v>
      </c>
      <c r="GC41" s="149">
        <f>'Property Summary'!$H$15*'MF Rents'!GE40</f>
        <v>10496.743219911783</v>
      </c>
      <c r="GD41" s="149">
        <f>'Property Summary'!$H$15*'MF Rents'!GF40</f>
        <v>10496.743219911783</v>
      </c>
      <c r="GE41" s="149">
        <f>'Property Summary'!$H$15*'MF Rents'!GG40</f>
        <v>10654.194368210456</v>
      </c>
      <c r="GF41" s="149">
        <f>'Property Summary'!$H$15*'MF Rents'!GH40</f>
        <v>10654.194368210456</v>
      </c>
      <c r="GG41" s="149">
        <f>'Property Summary'!$H$15*'MF Rents'!GI40</f>
        <v>10654.194368210456</v>
      </c>
      <c r="GH41" s="149">
        <f>'Property Summary'!$H$15*'MF Rents'!GJ40</f>
        <v>10654.194368210456</v>
      </c>
      <c r="GI41" s="149">
        <f>'Property Summary'!$H$15*'MF Rents'!GK40</f>
        <v>10654.194368210456</v>
      </c>
      <c r="GJ41" s="149">
        <f>'Property Summary'!$H$15*'MF Rents'!GL40</f>
        <v>10654.194368210456</v>
      </c>
      <c r="GK41" s="149">
        <f>'Property Summary'!$H$15*'MF Rents'!GM40</f>
        <v>10654.194368210456</v>
      </c>
      <c r="GL41" s="149">
        <f>'Property Summary'!$H$15*'MF Rents'!GN40</f>
        <v>10654.194368210456</v>
      </c>
      <c r="GM41" s="149">
        <f>'Property Summary'!$H$15*'MF Rents'!GO40</f>
        <v>10654.194368210456</v>
      </c>
      <c r="GN41" s="149">
        <f>'Property Summary'!$H$15*'MF Rents'!GP40</f>
        <v>10654.194368210456</v>
      </c>
      <c r="GO41" s="149">
        <f>'Property Summary'!$H$15*'MF Rents'!GQ40</f>
        <v>10654.194368210456</v>
      </c>
      <c r="GP41" s="149">
        <f>'Property Summary'!$H$15*'MF Rents'!GR40</f>
        <v>10654.194368210456</v>
      </c>
    </row>
    <row r="42" spans="2:198" x14ac:dyDescent="0.3">
      <c r="R42" s="89" t="s">
        <v>182</v>
      </c>
      <c r="S42" s="149">
        <f>SUM(S6:S39)</f>
        <v>0</v>
      </c>
      <c r="T42" s="149">
        <f t="shared" ref="T42:CE42" si="12">SUM(T6:T39)</f>
        <v>0</v>
      </c>
      <c r="U42" s="149">
        <f t="shared" si="12"/>
        <v>0</v>
      </c>
      <c r="V42" s="149">
        <f t="shared" si="12"/>
        <v>0</v>
      </c>
      <c r="W42" s="149">
        <f t="shared" si="12"/>
        <v>0</v>
      </c>
      <c r="X42" s="149">
        <f t="shared" si="12"/>
        <v>0</v>
      </c>
      <c r="Y42" s="149">
        <f t="shared" si="12"/>
        <v>0</v>
      </c>
      <c r="Z42" s="149">
        <f t="shared" si="12"/>
        <v>0</v>
      </c>
      <c r="AA42" s="149">
        <f t="shared" si="12"/>
        <v>0</v>
      </c>
      <c r="AB42" s="149">
        <f t="shared" si="12"/>
        <v>0</v>
      </c>
      <c r="AC42" s="149">
        <f t="shared" si="12"/>
        <v>0</v>
      </c>
      <c r="AD42" s="149">
        <f t="shared" si="12"/>
        <v>0</v>
      </c>
      <c r="AE42" s="149">
        <f t="shared" si="12"/>
        <v>32179.559999999998</v>
      </c>
      <c r="AF42" s="149">
        <f t="shared" si="12"/>
        <v>0</v>
      </c>
      <c r="AG42" s="149">
        <f t="shared" si="12"/>
        <v>0</v>
      </c>
      <c r="AH42" s="149">
        <f t="shared" si="12"/>
        <v>0</v>
      </c>
      <c r="AI42" s="149">
        <f t="shared" si="12"/>
        <v>0</v>
      </c>
      <c r="AJ42" s="149">
        <f t="shared" si="12"/>
        <v>0</v>
      </c>
      <c r="AK42" s="149">
        <f t="shared" si="12"/>
        <v>0</v>
      </c>
      <c r="AL42" s="149">
        <f t="shared" si="12"/>
        <v>0</v>
      </c>
      <c r="AM42" s="149">
        <f t="shared" si="12"/>
        <v>0</v>
      </c>
      <c r="AN42" s="149">
        <f t="shared" si="12"/>
        <v>0</v>
      </c>
      <c r="AO42" s="149">
        <f t="shared" si="12"/>
        <v>0</v>
      </c>
      <c r="AP42" s="149">
        <f t="shared" si="12"/>
        <v>0</v>
      </c>
      <c r="AQ42" s="149">
        <f t="shared" si="12"/>
        <v>36123.809399999991</v>
      </c>
      <c r="AR42" s="149">
        <f t="shared" si="12"/>
        <v>0</v>
      </c>
      <c r="AS42" s="149">
        <f t="shared" si="12"/>
        <v>0</v>
      </c>
      <c r="AT42" s="149">
        <f t="shared" si="12"/>
        <v>0</v>
      </c>
      <c r="AU42" s="149">
        <f t="shared" si="12"/>
        <v>0</v>
      </c>
      <c r="AV42" s="149">
        <f t="shared" si="12"/>
        <v>0</v>
      </c>
      <c r="AW42" s="149">
        <f t="shared" si="12"/>
        <v>0</v>
      </c>
      <c r="AX42" s="149">
        <f t="shared" si="12"/>
        <v>0</v>
      </c>
      <c r="AY42" s="149">
        <f t="shared" si="12"/>
        <v>0</v>
      </c>
      <c r="AZ42" s="149">
        <f t="shared" si="12"/>
        <v>0</v>
      </c>
      <c r="BA42" s="149">
        <f t="shared" si="12"/>
        <v>0</v>
      </c>
      <c r="BB42" s="149">
        <f t="shared" si="12"/>
        <v>0</v>
      </c>
      <c r="BC42" s="149">
        <f t="shared" si="12"/>
        <v>36665.666540999984</v>
      </c>
      <c r="BD42" s="149">
        <f t="shared" si="12"/>
        <v>0</v>
      </c>
      <c r="BE42" s="149">
        <f t="shared" si="12"/>
        <v>0</v>
      </c>
      <c r="BF42" s="149">
        <f t="shared" si="12"/>
        <v>0</v>
      </c>
      <c r="BG42" s="149">
        <f t="shared" si="12"/>
        <v>0</v>
      </c>
      <c r="BH42" s="149">
        <f t="shared" si="12"/>
        <v>0</v>
      </c>
      <c r="BI42" s="149">
        <f t="shared" si="12"/>
        <v>0</v>
      </c>
      <c r="BJ42" s="149">
        <f t="shared" si="12"/>
        <v>0</v>
      </c>
      <c r="BK42" s="149">
        <f t="shared" si="12"/>
        <v>0</v>
      </c>
      <c r="BL42" s="149">
        <f t="shared" si="12"/>
        <v>0</v>
      </c>
      <c r="BM42" s="149">
        <f t="shared" si="12"/>
        <v>0</v>
      </c>
      <c r="BN42" s="149">
        <f t="shared" si="12"/>
        <v>0</v>
      </c>
      <c r="BO42" s="149">
        <f t="shared" si="12"/>
        <v>37215.651539114981</v>
      </c>
      <c r="BP42" s="149">
        <f t="shared" si="12"/>
        <v>0</v>
      </c>
      <c r="BQ42" s="149">
        <f t="shared" si="12"/>
        <v>0</v>
      </c>
      <c r="BR42" s="149">
        <f t="shared" si="12"/>
        <v>0</v>
      </c>
      <c r="BS42" s="149">
        <f t="shared" si="12"/>
        <v>0</v>
      </c>
      <c r="BT42" s="149">
        <f t="shared" si="12"/>
        <v>0</v>
      </c>
      <c r="BU42" s="149">
        <f t="shared" si="12"/>
        <v>0</v>
      </c>
      <c r="BV42" s="149">
        <f t="shared" si="12"/>
        <v>0</v>
      </c>
      <c r="BW42" s="149">
        <f t="shared" si="12"/>
        <v>0</v>
      </c>
      <c r="BX42" s="149">
        <f t="shared" si="12"/>
        <v>0</v>
      </c>
      <c r="BY42" s="149">
        <f t="shared" si="12"/>
        <v>0</v>
      </c>
      <c r="BZ42" s="149">
        <f t="shared" si="12"/>
        <v>0</v>
      </c>
      <c r="CA42" s="149">
        <f t="shared" si="12"/>
        <v>37773.886312201699</v>
      </c>
      <c r="CB42" s="149">
        <f t="shared" si="12"/>
        <v>0</v>
      </c>
      <c r="CC42" s="149">
        <f t="shared" si="12"/>
        <v>0</v>
      </c>
      <c r="CD42" s="149">
        <f t="shared" si="12"/>
        <v>0</v>
      </c>
      <c r="CE42" s="149">
        <f t="shared" si="12"/>
        <v>0</v>
      </c>
      <c r="CF42" s="149">
        <f t="shared" ref="CF42:EQ42" si="13">SUM(CF6:CF39)</f>
        <v>0</v>
      </c>
      <c r="CG42" s="149">
        <f t="shared" si="13"/>
        <v>0</v>
      </c>
      <c r="CH42" s="149">
        <f t="shared" si="13"/>
        <v>0</v>
      </c>
      <c r="CI42" s="149">
        <f t="shared" si="13"/>
        <v>0</v>
      </c>
      <c r="CJ42" s="149">
        <f t="shared" si="13"/>
        <v>0</v>
      </c>
      <c r="CK42" s="149">
        <f t="shared" si="13"/>
        <v>0</v>
      </c>
      <c r="CL42" s="149">
        <f t="shared" si="13"/>
        <v>0</v>
      </c>
      <c r="CM42" s="149">
        <f t="shared" si="13"/>
        <v>38340.49460688472</v>
      </c>
      <c r="CN42" s="149">
        <f t="shared" si="13"/>
        <v>0</v>
      </c>
      <c r="CO42" s="149">
        <f t="shared" si="13"/>
        <v>0</v>
      </c>
      <c r="CP42" s="149">
        <f t="shared" si="13"/>
        <v>0</v>
      </c>
      <c r="CQ42" s="149">
        <f t="shared" si="13"/>
        <v>0</v>
      </c>
      <c r="CR42" s="149">
        <f t="shared" si="13"/>
        <v>0</v>
      </c>
      <c r="CS42" s="149">
        <f t="shared" si="13"/>
        <v>0</v>
      </c>
      <c r="CT42" s="149">
        <f t="shared" si="13"/>
        <v>0</v>
      </c>
      <c r="CU42" s="149">
        <f t="shared" si="13"/>
        <v>0</v>
      </c>
      <c r="CV42" s="149">
        <f t="shared" si="13"/>
        <v>0</v>
      </c>
      <c r="CW42" s="149">
        <f t="shared" si="13"/>
        <v>0</v>
      </c>
      <c r="CX42" s="149">
        <f t="shared" si="13"/>
        <v>0</v>
      </c>
      <c r="CY42" s="149">
        <f t="shared" si="13"/>
        <v>38915.602025987988</v>
      </c>
      <c r="CZ42" s="149">
        <f t="shared" si="13"/>
        <v>0</v>
      </c>
      <c r="DA42" s="149">
        <f t="shared" si="13"/>
        <v>0</v>
      </c>
      <c r="DB42" s="149">
        <f t="shared" si="13"/>
        <v>0</v>
      </c>
      <c r="DC42" s="149">
        <f t="shared" si="13"/>
        <v>0</v>
      </c>
      <c r="DD42" s="149">
        <f t="shared" si="13"/>
        <v>0</v>
      </c>
      <c r="DE42" s="149">
        <f t="shared" si="13"/>
        <v>0</v>
      </c>
      <c r="DF42" s="149">
        <f t="shared" si="13"/>
        <v>0</v>
      </c>
      <c r="DG42" s="149">
        <f t="shared" si="13"/>
        <v>0</v>
      </c>
      <c r="DH42" s="149">
        <f t="shared" si="13"/>
        <v>0</v>
      </c>
      <c r="DI42" s="149">
        <f t="shared" si="13"/>
        <v>0</v>
      </c>
      <c r="DJ42" s="149">
        <f t="shared" si="13"/>
        <v>0</v>
      </c>
      <c r="DK42" s="149">
        <f t="shared" si="13"/>
        <v>39499.336056377797</v>
      </c>
      <c r="DL42" s="149">
        <f t="shared" si="13"/>
        <v>0</v>
      </c>
      <c r="DM42" s="149">
        <f t="shared" si="13"/>
        <v>0</v>
      </c>
      <c r="DN42" s="149">
        <f t="shared" si="13"/>
        <v>0</v>
      </c>
      <c r="DO42" s="149">
        <f t="shared" si="13"/>
        <v>0</v>
      </c>
      <c r="DP42" s="149">
        <f t="shared" si="13"/>
        <v>0</v>
      </c>
      <c r="DQ42" s="149">
        <f t="shared" si="13"/>
        <v>0</v>
      </c>
      <c r="DR42" s="149">
        <f t="shared" si="13"/>
        <v>0</v>
      </c>
      <c r="DS42" s="149">
        <f t="shared" si="13"/>
        <v>0</v>
      </c>
      <c r="DT42" s="149">
        <f t="shared" si="13"/>
        <v>0</v>
      </c>
      <c r="DU42" s="149">
        <f t="shared" si="13"/>
        <v>0</v>
      </c>
      <c r="DV42" s="149">
        <f t="shared" si="13"/>
        <v>0</v>
      </c>
      <c r="DW42" s="149">
        <f t="shared" si="13"/>
        <v>40091.826097223464</v>
      </c>
      <c r="DX42" s="149">
        <f t="shared" si="13"/>
        <v>0</v>
      </c>
      <c r="DY42" s="149">
        <f t="shared" si="13"/>
        <v>0</v>
      </c>
      <c r="DZ42" s="149">
        <f t="shared" si="13"/>
        <v>0</v>
      </c>
      <c r="EA42" s="149">
        <f t="shared" si="13"/>
        <v>0</v>
      </c>
      <c r="EB42" s="149">
        <f t="shared" si="13"/>
        <v>0</v>
      </c>
      <c r="EC42" s="149">
        <f t="shared" si="13"/>
        <v>0</v>
      </c>
      <c r="ED42" s="149">
        <f t="shared" si="13"/>
        <v>0</v>
      </c>
      <c r="EE42" s="149">
        <f t="shared" si="13"/>
        <v>0</v>
      </c>
      <c r="EF42" s="149">
        <f t="shared" si="13"/>
        <v>0</v>
      </c>
      <c r="EG42" s="149">
        <f t="shared" si="13"/>
        <v>0</v>
      </c>
      <c r="EH42" s="149">
        <f t="shared" si="13"/>
        <v>0</v>
      </c>
      <c r="EI42" s="149">
        <f t="shared" si="13"/>
        <v>40693.203488681807</v>
      </c>
      <c r="EJ42" s="149">
        <f t="shared" si="13"/>
        <v>0</v>
      </c>
      <c r="EK42" s="149">
        <f t="shared" si="13"/>
        <v>0</v>
      </c>
      <c r="EL42" s="149">
        <f t="shared" si="13"/>
        <v>0</v>
      </c>
      <c r="EM42" s="149">
        <f t="shared" si="13"/>
        <v>0</v>
      </c>
      <c r="EN42" s="149">
        <f t="shared" si="13"/>
        <v>0</v>
      </c>
      <c r="EO42" s="149">
        <f t="shared" si="13"/>
        <v>0</v>
      </c>
      <c r="EP42" s="149">
        <f t="shared" si="13"/>
        <v>0</v>
      </c>
      <c r="EQ42" s="149">
        <f t="shared" si="13"/>
        <v>0</v>
      </c>
      <c r="ER42" s="149">
        <f t="shared" ref="ER42:GP42" si="14">SUM(ER6:ER39)</f>
        <v>0</v>
      </c>
      <c r="ES42" s="149">
        <f t="shared" si="14"/>
        <v>0</v>
      </c>
      <c r="ET42" s="149">
        <f t="shared" si="14"/>
        <v>0</v>
      </c>
      <c r="EU42" s="149">
        <f t="shared" si="14"/>
        <v>41303.601541012031</v>
      </c>
      <c r="EV42" s="149">
        <f t="shared" si="14"/>
        <v>0</v>
      </c>
      <c r="EW42" s="149">
        <f t="shared" si="14"/>
        <v>0</v>
      </c>
      <c r="EX42" s="149">
        <f t="shared" si="14"/>
        <v>0</v>
      </c>
      <c r="EY42" s="149">
        <f t="shared" si="14"/>
        <v>0</v>
      </c>
      <c r="EZ42" s="149">
        <f t="shared" si="14"/>
        <v>0</v>
      </c>
      <c r="FA42" s="149">
        <f t="shared" si="14"/>
        <v>0</v>
      </c>
      <c r="FB42" s="149">
        <f t="shared" si="14"/>
        <v>0</v>
      </c>
      <c r="FC42" s="149">
        <f t="shared" si="14"/>
        <v>0</v>
      </c>
      <c r="FD42" s="149">
        <f t="shared" si="14"/>
        <v>0</v>
      </c>
      <c r="FE42" s="149">
        <f t="shared" si="14"/>
        <v>0</v>
      </c>
      <c r="FF42" s="149">
        <f t="shared" si="14"/>
        <v>0</v>
      </c>
      <c r="FG42" s="149">
        <f t="shared" si="14"/>
        <v>41923.155564127199</v>
      </c>
      <c r="FH42" s="149">
        <f t="shared" si="14"/>
        <v>0</v>
      </c>
      <c r="FI42" s="149">
        <f t="shared" si="14"/>
        <v>0</v>
      </c>
      <c r="FJ42" s="149">
        <f t="shared" si="14"/>
        <v>0</v>
      </c>
      <c r="FK42" s="149">
        <f t="shared" si="14"/>
        <v>0</v>
      </c>
      <c r="FL42" s="149">
        <f t="shared" si="14"/>
        <v>0</v>
      </c>
      <c r="FM42" s="149">
        <f t="shared" si="14"/>
        <v>0</v>
      </c>
      <c r="FN42" s="149">
        <f t="shared" si="14"/>
        <v>0</v>
      </c>
      <c r="FO42" s="149">
        <f t="shared" si="14"/>
        <v>0</v>
      </c>
      <c r="FP42" s="149">
        <f t="shared" si="14"/>
        <v>0</v>
      </c>
      <c r="FQ42" s="149">
        <f t="shared" si="14"/>
        <v>0</v>
      </c>
      <c r="FR42" s="149">
        <f t="shared" si="14"/>
        <v>0</v>
      </c>
      <c r="FS42" s="149">
        <f t="shared" si="14"/>
        <v>42552.002897589111</v>
      </c>
      <c r="FT42" s="149">
        <f t="shared" si="14"/>
        <v>0</v>
      </c>
      <c r="FU42" s="149">
        <f t="shared" si="14"/>
        <v>0</v>
      </c>
      <c r="FV42" s="149">
        <f t="shared" si="14"/>
        <v>0</v>
      </c>
      <c r="FW42" s="149">
        <f t="shared" si="14"/>
        <v>0</v>
      </c>
      <c r="FX42" s="149">
        <f t="shared" si="14"/>
        <v>0</v>
      </c>
      <c r="FY42" s="149">
        <f t="shared" si="14"/>
        <v>0</v>
      </c>
      <c r="FZ42" s="149">
        <f t="shared" si="14"/>
        <v>0</v>
      </c>
      <c r="GA42" s="149">
        <f t="shared" si="14"/>
        <v>0</v>
      </c>
      <c r="GB42" s="149">
        <f t="shared" si="14"/>
        <v>0</v>
      </c>
      <c r="GC42" s="149">
        <f t="shared" si="14"/>
        <v>0</v>
      </c>
      <c r="GD42" s="149">
        <f t="shared" si="14"/>
        <v>0</v>
      </c>
      <c r="GE42" s="149">
        <f t="shared" si="14"/>
        <v>43190.282941052938</v>
      </c>
      <c r="GF42" s="149">
        <f t="shared" si="14"/>
        <v>0</v>
      </c>
      <c r="GG42" s="149">
        <f t="shared" si="14"/>
        <v>0</v>
      </c>
      <c r="GH42" s="149">
        <f t="shared" si="14"/>
        <v>0</v>
      </c>
      <c r="GI42" s="149">
        <f t="shared" si="14"/>
        <v>0</v>
      </c>
      <c r="GJ42" s="149">
        <f t="shared" si="14"/>
        <v>0</v>
      </c>
      <c r="GK42" s="149">
        <f t="shared" si="14"/>
        <v>0</v>
      </c>
      <c r="GL42" s="149">
        <f t="shared" si="14"/>
        <v>0</v>
      </c>
      <c r="GM42" s="149">
        <f t="shared" si="14"/>
        <v>0</v>
      </c>
      <c r="GN42" s="149">
        <f t="shared" si="14"/>
        <v>0</v>
      </c>
      <c r="GO42" s="149">
        <f t="shared" si="14"/>
        <v>0</v>
      </c>
      <c r="GP42" s="149">
        <f t="shared" si="14"/>
        <v>0</v>
      </c>
    </row>
  </sheetData>
  <mergeCells count="1">
    <mergeCell ref="N4:P4"/>
  </mergeCells>
  <conditionalFormatting sqref="S6:GP39">
    <cfRule type="expression" dxfId="1" priority="1">
      <formula>S6=TRUE</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GP40"/>
  <sheetViews>
    <sheetView workbookViewId="0"/>
  </sheetViews>
  <sheetFormatPr defaultColWidth="9.109375" defaultRowHeight="14.4" x14ac:dyDescent="0.3"/>
  <cols>
    <col min="2" max="2" width="12.88671875" style="185" customWidth="1"/>
    <col min="3" max="3" width="12.88671875" style="89" customWidth="1"/>
    <col min="4" max="4" width="5.6640625" style="89" bestFit="1" customWidth="1"/>
    <col min="5" max="5" width="6.44140625" style="89" bestFit="1" customWidth="1"/>
    <col min="6" max="6" width="8.109375" style="89" bestFit="1" customWidth="1"/>
    <col min="7" max="7" width="9.5546875" style="89" bestFit="1" customWidth="1"/>
    <col min="8" max="8" width="10.88671875" style="89" bestFit="1" customWidth="1"/>
    <col min="9" max="9" width="10.88671875" style="89" customWidth="1"/>
    <col min="10" max="10" width="11.44140625" style="89" customWidth="1"/>
    <col min="11" max="11" width="17" style="89" customWidth="1"/>
    <col min="12" max="12" width="13.5546875" style="89" customWidth="1"/>
    <col min="13" max="13" width="10.88671875" style="89" bestFit="1" customWidth="1"/>
    <col min="14" max="14" width="13.5546875" style="89" bestFit="1" customWidth="1"/>
    <col min="15" max="16" width="10.88671875" style="89" bestFit="1" customWidth="1"/>
    <col min="17" max="18" width="9.109375" style="89"/>
    <col min="19" max="19" width="9.33203125" style="89" bestFit="1" customWidth="1"/>
    <col min="20" max="20" width="9.6640625" style="89" bestFit="1" customWidth="1"/>
    <col min="21" max="21" width="9.88671875" style="89" bestFit="1" customWidth="1"/>
    <col min="22" max="22" width="9.5546875" style="89" bestFit="1" customWidth="1"/>
    <col min="23" max="23" width="10.109375" style="89" bestFit="1" customWidth="1"/>
    <col min="24" max="24" width="9.44140625" style="89" bestFit="1" customWidth="1"/>
    <col min="25" max="25" width="8.88671875" style="89" bestFit="1" customWidth="1"/>
    <col min="26" max="26" width="9.88671875" style="89" bestFit="1" customWidth="1"/>
    <col min="27" max="27" width="9.6640625" style="89" bestFit="1" customWidth="1"/>
    <col min="28" max="28" width="9.44140625" style="89" bestFit="1" customWidth="1"/>
    <col min="29" max="29" width="10" style="89" bestFit="1" customWidth="1"/>
    <col min="30" max="30" width="9.6640625" style="89" bestFit="1" customWidth="1"/>
    <col min="31" max="31" width="9.33203125" style="89" bestFit="1" customWidth="1"/>
    <col min="32" max="32" width="9.6640625" style="89" bestFit="1" customWidth="1"/>
    <col min="33" max="33" width="9.88671875" style="89" bestFit="1" customWidth="1"/>
    <col min="34" max="34" width="9.5546875" style="89" bestFit="1" customWidth="1"/>
    <col min="35" max="35" width="10.109375" style="89" bestFit="1" customWidth="1"/>
    <col min="36" max="36" width="9.44140625" style="89" bestFit="1" customWidth="1"/>
    <col min="37" max="37" width="8.88671875" style="89" bestFit="1" customWidth="1"/>
    <col min="38" max="38" width="9.88671875" style="89" bestFit="1" customWidth="1"/>
    <col min="39" max="39" width="9.6640625" style="89" bestFit="1" customWidth="1"/>
    <col min="40" max="40" width="9.44140625" style="89" bestFit="1" customWidth="1"/>
    <col min="41" max="41" width="10" style="89" bestFit="1" customWidth="1"/>
    <col min="42" max="42" width="9.6640625" style="89" bestFit="1" customWidth="1"/>
    <col min="43" max="43" width="9.33203125" style="89" bestFit="1" customWidth="1"/>
    <col min="44" max="44" width="9.6640625" style="89" bestFit="1" customWidth="1"/>
    <col min="45" max="45" width="9.88671875" style="89" bestFit="1" customWidth="1"/>
    <col min="46" max="46" width="9.5546875" style="89" bestFit="1" customWidth="1"/>
    <col min="47" max="47" width="10.109375" style="89" bestFit="1" customWidth="1"/>
    <col min="48" max="48" width="9.44140625" style="89" bestFit="1" customWidth="1"/>
    <col min="49" max="49" width="8.88671875" style="89" bestFit="1" customWidth="1"/>
    <col min="50" max="50" width="9.88671875" style="89" bestFit="1" customWidth="1"/>
    <col min="51" max="51" width="9.6640625" style="89" bestFit="1" customWidth="1"/>
    <col min="52" max="52" width="9.44140625" style="89" bestFit="1" customWidth="1"/>
    <col min="53" max="53" width="10" style="89" bestFit="1" customWidth="1"/>
    <col min="54" max="54" width="9.6640625" style="89" bestFit="1" customWidth="1"/>
    <col min="55" max="55" width="9.33203125" style="89" bestFit="1" customWidth="1"/>
    <col min="56" max="56" width="9.6640625" style="89" bestFit="1" customWidth="1"/>
    <col min="57" max="57" width="9.88671875" style="89" bestFit="1" customWidth="1"/>
    <col min="58" max="58" width="9.5546875" style="89" bestFit="1" customWidth="1"/>
    <col min="59" max="59" width="10.109375" style="89" bestFit="1" customWidth="1"/>
    <col min="60" max="60" width="9.44140625" style="89" bestFit="1" customWidth="1"/>
    <col min="61" max="61" width="8.88671875" style="89" bestFit="1" customWidth="1"/>
    <col min="62" max="62" width="9.88671875" style="89" bestFit="1" customWidth="1"/>
    <col min="63" max="63" width="9.6640625" style="89" bestFit="1" customWidth="1"/>
    <col min="64" max="64" width="9.44140625" style="89" bestFit="1" customWidth="1"/>
    <col min="65" max="65" width="10" style="89" bestFit="1" customWidth="1"/>
    <col min="66" max="66" width="9.6640625" style="89" bestFit="1" customWidth="1"/>
    <col min="67" max="67" width="9.33203125" style="89" bestFit="1" customWidth="1"/>
    <col min="68" max="68" width="9.6640625" style="89" bestFit="1" customWidth="1"/>
    <col min="69" max="69" width="9.88671875" style="89" bestFit="1" customWidth="1"/>
    <col min="70" max="70" width="9.5546875" style="89" bestFit="1" customWidth="1"/>
    <col min="71" max="71" width="10.109375" style="89" bestFit="1" customWidth="1"/>
    <col min="72" max="72" width="9.44140625" style="89" bestFit="1" customWidth="1"/>
    <col min="73" max="73" width="8.88671875" style="89" bestFit="1" customWidth="1"/>
    <col min="74" max="74" width="9.88671875" style="89" bestFit="1" customWidth="1"/>
    <col min="75" max="75" width="9.6640625" style="89" bestFit="1" customWidth="1"/>
    <col min="76" max="76" width="9.44140625" style="89" bestFit="1" customWidth="1"/>
    <col min="77" max="77" width="10" style="89" bestFit="1" customWidth="1"/>
    <col min="78" max="78" width="9.6640625" style="89" bestFit="1" customWidth="1"/>
    <col min="79" max="79" width="9.33203125" style="89" bestFit="1" customWidth="1"/>
    <col min="80" max="80" width="9.6640625" style="89" bestFit="1" customWidth="1"/>
    <col min="81" max="81" width="9.88671875" style="89" bestFit="1" customWidth="1"/>
    <col min="82" max="82" width="9.5546875" style="89" bestFit="1" customWidth="1"/>
    <col min="83" max="83" width="10.109375" style="89" bestFit="1" customWidth="1"/>
    <col min="84" max="84" width="9.44140625" style="89" bestFit="1" customWidth="1"/>
    <col min="85" max="85" width="8.88671875" style="89" bestFit="1" customWidth="1"/>
    <col min="86" max="86" width="9.88671875" style="89" bestFit="1" customWidth="1"/>
    <col min="87" max="87" width="9.6640625" style="89" bestFit="1" customWidth="1"/>
    <col min="88" max="88" width="9.44140625" style="89" bestFit="1" customWidth="1"/>
    <col min="89" max="89" width="10" style="89" bestFit="1" customWidth="1"/>
    <col min="90" max="90" width="9.6640625" style="89" bestFit="1" customWidth="1"/>
    <col min="91" max="91" width="9.33203125" style="89" bestFit="1" customWidth="1"/>
    <col min="92" max="92" width="9.6640625" style="89" bestFit="1" customWidth="1"/>
    <col min="93" max="93" width="9.88671875" style="89" bestFit="1" customWidth="1"/>
    <col min="94" max="94" width="9.5546875" style="89" bestFit="1" customWidth="1"/>
    <col min="95" max="95" width="10.109375" style="89" bestFit="1" customWidth="1"/>
    <col min="96" max="96" width="9.44140625" style="89" bestFit="1" customWidth="1"/>
    <col min="97" max="97" width="8.88671875" style="89" bestFit="1" customWidth="1"/>
    <col min="98" max="98" width="9.88671875" style="89" bestFit="1" customWidth="1"/>
    <col min="99" max="99" width="9.6640625" style="89" bestFit="1" customWidth="1"/>
    <col min="100" max="100" width="9.44140625" style="89" bestFit="1" customWidth="1"/>
    <col min="101" max="101" width="10" style="89" bestFit="1" customWidth="1"/>
    <col min="102" max="102" width="9.6640625" style="89" bestFit="1" customWidth="1"/>
    <col min="103" max="103" width="9.33203125" style="89" bestFit="1" customWidth="1"/>
    <col min="104" max="104" width="9.6640625" style="89" bestFit="1" customWidth="1"/>
    <col min="105" max="105" width="9.88671875" style="89" bestFit="1" customWidth="1"/>
    <col min="106" max="106" width="9.5546875" style="89" bestFit="1" customWidth="1"/>
    <col min="107" max="107" width="10.109375" style="89" bestFit="1" customWidth="1"/>
    <col min="108" max="108" width="9.44140625" style="89" bestFit="1" customWidth="1"/>
    <col min="109" max="109" width="8.88671875" style="89" bestFit="1" customWidth="1"/>
    <col min="110" max="110" width="9.88671875" style="89" bestFit="1" customWidth="1"/>
    <col min="111" max="111" width="9.6640625" style="89" bestFit="1" customWidth="1"/>
    <col min="112" max="112" width="9.44140625" style="89" bestFit="1" customWidth="1"/>
    <col min="113" max="113" width="10" style="89" bestFit="1" customWidth="1"/>
    <col min="114" max="114" width="9.6640625" style="89" bestFit="1" customWidth="1"/>
    <col min="115" max="115" width="9.33203125" style="89" bestFit="1" customWidth="1"/>
    <col min="116" max="116" width="9.6640625" style="89" bestFit="1" customWidth="1"/>
    <col min="117" max="117" width="9.88671875" style="89" bestFit="1" customWidth="1"/>
    <col min="118" max="118" width="9.5546875" style="89" bestFit="1" customWidth="1"/>
    <col min="119" max="119" width="10.109375" style="89" bestFit="1" customWidth="1"/>
    <col min="120" max="120" width="9.44140625" style="89" bestFit="1" customWidth="1"/>
    <col min="121" max="121" width="8.88671875" style="89" bestFit="1" customWidth="1"/>
    <col min="122" max="122" width="9.88671875" style="89" bestFit="1" customWidth="1"/>
    <col min="123" max="123" width="9.6640625" style="89" bestFit="1" customWidth="1"/>
    <col min="124" max="124" width="9.44140625" style="89" bestFit="1" customWidth="1"/>
    <col min="125" max="125" width="10" style="89" bestFit="1" customWidth="1"/>
    <col min="126" max="126" width="9.6640625" style="89" bestFit="1" customWidth="1"/>
    <col min="127" max="127" width="9.33203125" style="89" bestFit="1" customWidth="1"/>
    <col min="128" max="128" width="9.6640625" style="89" bestFit="1" customWidth="1"/>
    <col min="129" max="129" width="9.88671875" style="89" bestFit="1" customWidth="1"/>
    <col min="130" max="130" width="9.5546875" style="89" bestFit="1" customWidth="1"/>
    <col min="131" max="131" width="10.109375" style="89" bestFit="1" customWidth="1"/>
    <col min="132" max="132" width="9.44140625" style="89" bestFit="1" customWidth="1"/>
    <col min="133" max="133" width="8.88671875" style="89" bestFit="1" customWidth="1"/>
    <col min="134" max="134" width="9.88671875" style="89" bestFit="1" customWidth="1"/>
    <col min="135" max="135" width="9.6640625" style="89" bestFit="1" customWidth="1"/>
    <col min="136" max="136" width="9.44140625" style="89" bestFit="1" customWidth="1"/>
    <col min="137" max="137" width="10" style="89" bestFit="1" customWidth="1"/>
    <col min="138" max="138" width="9.6640625" style="89" bestFit="1" customWidth="1"/>
    <col min="139" max="139" width="9.33203125" style="89" bestFit="1" customWidth="1"/>
    <col min="140" max="140" width="9.6640625" style="89" bestFit="1" customWidth="1"/>
    <col min="141" max="141" width="9.88671875" style="89" bestFit="1" customWidth="1"/>
    <col min="142" max="142" width="9.5546875" style="89" bestFit="1" customWidth="1"/>
    <col min="143" max="143" width="10.109375" style="89" bestFit="1" customWidth="1"/>
    <col min="144" max="144" width="9.44140625" style="89" bestFit="1" customWidth="1"/>
    <col min="145" max="145" width="8.88671875" style="89" bestFit="1" customWidth="1"/>
    <col min="146" max="146" width="9.88671875" style="89" bestFit="1" customWidth="1"/>
    <col min="147" max="147" width="9.6640625" style="89" bestFit="1" customWidth="1"/>
    <col min="148" max="148" width="9.44140625" style="89" bestFit="1" customWidth="1"/>
    <col min="149" max="149" width="10" style="89" bestFit="1" customWidth="1"/>
    <col min="150" max="150" width="9.6640625" style="89" bestFit="1" customWidth="1"/>
    <col min="151" max="151" width="9.33203125" style="89" bestFit="1" customWidth="1"/>
    <col min="152" max="152" width="9.6640625" style="89" bestFit="1" customWidth="1"/>
    <col min="153" max="153" width="9.88671875" style="89" bestFit="1" customWidth="1"/>
    <col min="154" max="154" width="9.5546875" style="89" bestFit="1" customWidth="1"/>
    <col min="155" max="155" width="10.109375" style="89" bestFit="1" customWidth="1"/>
    <col min="156" max="156" width="9.44140625" style="89" bestFit="1" customWidth="1"/>
    <col min="157" max="157" width="8.88671875" style="89" bestFit="1" customWidth="1"/>
    <col min="158" max="158" width="9.88671875" style="89" bestFit="1" customWidth="1"/>
    <col min="159" max="159" width="9.6640625" style="89" bestFit="1" customWidth="1"/>
    <col min="160" max="160" width="9.44140625" style="89" bestFit="1" customWidth="1"/>
    <col min="161" max="161" width="10" style="89" bestFit="1" customWidth="1"/>
    <col min="162" max="162" width="9.6640625" style="89" bestFit="1" customWidth="1"/>
    <col min="163" max="163" width="9.33203125" style="89" bestFit="1" customWidth="1"/>
    <col min="164" max="164" width="9.6640625" style="89" bestFit="1" customWidth="1"/>
    <col min="165" max="165" width="9.88671875" style="89" bestFit="1" customWidth="1"/>
    <col min="166" max="166" width="9.5546875" style="89" bestFit="1" customWidth="1"/>
    <col min="167" max="167" width="10.109375" style="89" bestFit="1" customWidth="1"/>
    <col min="168" max="168" width="9.44140625" style="89" bestFit="1" customWidth="1"/>
    <col min="169" max="169" width="8.88671875" style="89" bestFit="1" customWidth="1"/>
    <col min="170" max="170" width="9.88671875" style="89" bestFit="1" customWidth="1"/>
    <col min="171" max="171" width="9.6640625" style="89" bestFit="1" customWidth="1"/>
    <col min="172" max="172" width="9.44140625" style="89" bestFit="1" customWidth="1"/>
    <col min="173" max="173" width="10" style="89" bestFit="1" customWidth="1"/>
    <col min="174" max="174" width="9.6640625" style="89" bestFit="1" customWidth="1"/>
    <col min="175" max="175" width="9.33203125" style="89" bestFit="1" customWidth="1"/>
    <col min="176" max="176" width="9.6640625" style="89" bestFit="1" customWidth="1"/>
    <col min="177" max="177" width="9.88671875" style="89" bestFit="1" customWidth="1"/>
    <col min="178" max="178" width="9.5546875" style="89" bestFit="1" customWidth="1"/>
    <col min="179" max="179" width="10.109375" style="89" bestFit="1" customWidth="1"/>
    <col min="180" max="180" width="9.44140625" style="89" bestFit="1" customWidth="1"/>
    <col min="181" max="181" width="8.88671875" style="89" bestFit="1" customWidth="1"/>
    <col min="182" max="182" width="9.88671875" style="89" bestFit="1" customWidth="1"/>
    <col min="183" max="183" width="9.6640625" style="89" bestFit="1" customWidth="1"/>
    <col min="184" max="184" width="9.44140625" style="89" bestFit="1" customWidth="1"/>
    <col min="185" max="185" width="10" style="89" bestFit="1" customWidth="1"/>
    <col min="186" max="186" width="9.6640625" style="89" bestFit="1" customWidth="1"/>
    <col min="187" max="187" width="9.33203125" style="89" bestFit="1" customWidth="1"/>
    <col min="188" max="188" width="9.6640625" style="89" bestFit="1" customWidth="1"/>
    <col min="189" max="189" width="9.88671875" style="89" bestFit="1" customWidth="1"/>
    <col min="190" max="190" width="9.5546875" style="89" bestFit="1" customWidth="1"/>
    <col min="191" max="191" width="10.109375" style="89" bestFit="1" customWidth="1"/>
    <col min="192" max="192" width="9.44140625" style="89" bestFit="1" customWidth="1"/>
    <col min="193" max="193" width="8.88671875" style="89" bestFit="1" customWidth="1"/>
    <col min="194" max="194" width="9.88671875" style="89" bestFit="1" customWidth="1"/>
    <col min="195" max="195" width="9.6640625" style="89" bestFit="1" customWidth="1"/>
    <col min="196" max="196" width="9.44140625" style="89" bestFit="1" customWidth="1"/>
    <col min="197" max="197" width="10" style="89" bestFit="1" customWidth="1"/>
    <col min="198" max="198" width="9.6640625" style="89" bestFit="1" customWidth="1"/>
  </cols>
  <sheetData>
    <row r="3" spans="2:198" ht="15.6" x14ac:dyDescent="0.3">
      <c r="B3" s="74" t="s">
        <v>180</v>
      </c>
      <c r="C3" s="109"/>
      <c r="D3" s="88"/>
      <c r="E3" s="88"/>
      <c r="F3" s="88"/>
      <c r="G3" s="88"/>
      <c r="H3" s="88"/>
      <c r="I3" s="169"/>
      <c r="J3" s="88"/>
      <c r="K3" s="88"/>
      <c r="L3" s="88"/>
      <c r="M3" s="88"/>
      <c r="N3" s="88"/>
      <c r="O3" s="88"/>
      <c r="P3" s="88"/>
      <c r="R3" s="89" t="s">
        <v>46</v>
      </c>
      <c r="S3" s="89">
        <f>ROUNDUP(S4/12,0)</f>
        <v>1</v>
      </c>
      <c r="T3" s="89">
        <f t="shared" ref="T3:CE3" si="0">ROUNDUP(T4/12,0)</f>
        <v>1</v>
      </c>
      <c r="U3" s="89">
        <f t="shared" si="0"/>
        <v>1</v>
      </c>
      <c r="V3" s="89">
        <f t="shared" si="0"/>
        <v>1</v>
      </c>
      <c r="W3" s="89">
        <f t="shared" si="0"/>
        <v>1</v>
      </c>
      <c r="X3" s="89">
        <f t="shared" si="0"/>
        <v>1</v>
      </c>
      <c r="Y3" s="89">
        <f t="shared" si="0"/>
        <v>1</v>
      </c>
      <c r="Z3" s="89">
        <f t="shared" si="0"/>
        <v>1</v>
      </c>
      <c r="AA3" s="89">
        <f t="shared" si="0"/>
        <v>1</v>
      </c>
      <c r="AB3" s="89">
        <f t="shared" si="0"/>
        <v>1</v>
      </c>
      <c r="AC3" s="89">
        <f t="shared" si="0"/>
        <v>1</v>
      </c>
      <c r="AD3" s="89">
        <f t="shared" si="0"/>
        <v>1</v>
      </c>
      <c r="AE3" s="89">
        <f t="shared" si="0"/>
        <v>2</v>
      </c>
      <c r="AF3" s="89">
        <f t="shared" si="0"/>
        <v>2</v>
      </c>
      <c r="AG3" s="89">
        <f t="shared" si="0"/>
        <v>2</v>
      </c>
      <c r="AH3" s="89">
        <f t="shared" si="0"/>
        <v>2</v>
      </c>
      <c r="AI3" s="89">
        <f t="shared" si="0"/>
        <v>2</v>
      </c>
      <c r="AJ3" s="89">
        <f t="shared" si="0"/>
        <v>2</v>
      </c>
      <c r="AK3" s="89">
        <f t="shared" si="0"/>
        <v>2</v>
      </c>
      <c r="AL3" s="89">
        <f t="shared" si="0"/>
        <v>2</v>
      </c>
      <c r="AM3" s="89">
        <f t="shared" si="0"/>
        <v>2</v>
      </c>
      <c r="AN3" s="89">
        <f t="shared" si="0"/>
        <v>2</v>
      </c>
      <c r="AO3" s="89">
        <f t="shared" si="0"/>
        <v>2</v>
      </c>
      <c r="AP3" s="89">
        <f t="shared" si="0"/>
        <v>2</v>
      </c>
      <c r="AQ3" s="89">
        <f t="shared" si="0"/>
        <v>3</v>
      </c>
      <c r="AR3" s="89">
        <f t="shared" si="0"/>
        <v>3</v>
      </c>
      <c r="AS3" s="89">
        <f t="shared" si="0"/>
        <v>3</v>
      </c>
      <c r="AT3" s="89">
        <f t="shared" si="0"/>
        <v>3</v>
      </c>
      <c r="AU3" s="89">
        <f t="shared" si="0"/>
        <v>3</v>
      </c>
      <c r="AV3" s="89">
        <f t="shared" si="0"/>
        <v>3</v>
      </c>
      <c r="AW3" s="89">
        <f t="shared" si="0"/>
        <v>3</v>
      </c>
      <c r="AX3" s="89">
        <f t="shared" si="0"/>
        <v>3</v>
      </c>
      <c r="AY3" s="89">
        <f t="shared" si="0"/>
        <v>3</v>
      </c>
      <c r="AZ3" s="89">
        <f t="shared" si="0"/>
        <v>3</v>
      </c>
      <c r="BA3" s="89">
        <f t="shared" si="0"/>
        <v>3</v>
      </c>
      <c r="BB3" s="89">
        <f t="shared" si="0"/>
        <v>3</v>
      </c>
      <c r="BC3" s="89">
        <f t="shared" si="0"/>
        <v>4</v>
      </c>
      <c r="BD3" s="89">
        <f t="shared" si="0"/>
        <v>4</v>
      </c>
      <c r="BE3" s="89">
        <f t="shared" si="0"/>
        <v>4</v>
      </c>
      <c r="BF3" s="89">
        <f t="shared" si="0"/>
        <v>4</v>
      </c>
      <c r="BG3" s="89">
        <f t="shared" si="0"/>
        <v>4</v>
      </c>
      <c r="BH3" s="89">
        <f t="shared" si="0"/>
        <v>4</v>
      </c>
      <c r="BI3" s="89">
        <f t="shared" si="0"/>
        <v>4</v>
      </c>
      <c r="BJ3" s="89">
        <f t="shared" si="0"/>
        <v>4</v>
      </c>
      <c r="BK3" s="89">
        <f t="shared" si="0"/>
        <v>4</v>
      </c>
      <c r="BL3" s="89">
        <f t="shared" si="0"/>
        <v>4</v>
      </c>
      <c r="BM3" s="89">
        <f t="shared" si="0"/>
        <v>4</v>
      </c>
      <c r="BN3" s="89">
        <f t="shared" si="0"/>
        <v>4</v>
      </c>
      <c r="BO3" s="89">
        <f t="shared" si="0"/>
        <v>5</v>
      </c>
      <c r="BP3" s="89">
        <f t="shared" si="0"/>
        <v>5</v>
      </c>
      <c r="BQ3" s="89">
        <f t="shared" si="0"/>
        <v>5</v>
      </c>
      <c r="BR3" s="89">
        <f t="shared" si="0"/>
        <v>5</v>
      </c>
      <c r="BS3" s="89">
        <f t="shared" si="0"/>
        <v>5</v>
      </c>
      <c r="BT3" s="89">
        <f t="shared" si="0"/>
        <v>5</v>
      </c>
      <c r="BU3" s="89">
        <f t="shared" si="0"/>
        <v>5</v>
      </c>
      <c r="BV3" s="89">
        <f t="shared" si="0"/>
        <v>5</v>
      </c>
      <c r="BW3" s="89">
        <f t="shared" si="0"/>
        <v>5</v>
      </c>
      <c r="BX3" s="89">
        <f t="shared" si="0"/>
        <v>5</v>
      </c>
      <c r="BY3" s="89">
        <f t="shared" si="0"/>
        <v>5</v>
      </c>
      <c r="BZ3" s="89">
        <f t="shared" si="0"/>
        <v>5</v>
      </c>
      <c r="CA3" s="89">
        <f t="shared" si="0"/>
        <v>6</v>
      </c>
      <c r="CB3" s="89">
        <f t="shared" si="0"/>
        <v>6</v>
      </c>
      <c r="CC3" s="89">
        <f t="shared" si="0"/>
        <v>6</v>
      </c>
      <c r="CD3" s="89">
        <f t="shared" si="0"/>
        <v>6</v>
      </c>
      <c r="CE3" s="89">
        <f t="shared" si="0"/>
        <v>6</v>
      </c>
      <c r="CF3" s="89">
        <f t="shared" ref="CF3:EQ3" si="1">ROUNDUP(CF4/12,0)</f>
        <v>6</v>
      </c>
      <c r="CG3" s="89">
        <f t="shared" si="1"/>
        <v>6</v>
      </c>
      <c r="CH3" s="89">
        <f t="shared" si="1"/>
        <v>6</v>
      </c>
      <c r="CI3" s="89">
        <f t="shared" si="1"/>
        <v>6</v>
      </c>
      <c r="CJ3" s="89">
        <f t="shared" si="1"/>
        <v>6</v>
      </c>
      <c r="CK3" s="89">
        <f t="shared" si="1"/>
        <v>6</v>
      </c>
      <c r="CL3" s="89">
        <f t="shared" si="1"/>
        <v>6</v>
      </c>
      <c r="CM3" s="89">
        <f t="shared" si="1"/>
        <v>7</v>
      </c>
      <c r="CN3" s="89">
        <f t="shared" si="1"/>
        <v>7</v>
      </c>
      <c r="CO3" s="89">
        <f t="shared" si="1"/>
        <v>7</v>
      </c>
      <c r="CP3" s="89">
        <f t="shared" si="1"/>
        <v>7</v>
      </c>
      <c r="CQ3" s="89">
        <f t="shared" si="1"/>
        <v>7</v>
      </c>
      <c r="CR3" s="89">
        <f t="shared" si="1"/>
        <v>7</v>
      </c>
      <c r="CS3" s="89">
        <f t="shared" si="1"/>
        <v>7</v>
      </c>
      <c r="CT3" s="89">
        <f t="shared" si="1"/>
        <v>7</v>
      </c>
      <c r="CU3" s="89">
        <f t="shared" si="1"/>
        <v>7</v>
      </c>
      <c r="CV3" s="89">
        <f t="shared" si="1"/>
        <v>7</v>
      </c>
      <c r="CW3" s="89">
        <f t="shared" si="1"/>
        <v>7</v>
      </c>
      <c r="CX3" s="89">
        <f t="shared" si="1"/>
        <v>7</v>
      </c>
      <c r="CY3" s="89">
        <f t="shared" si="1"/>
        <v>8</v>
      </c>
      <c r="CZ3" s="89">
        <f t="shared" si="1"/>
        <v>8</v>
      </c>
      <c r="DA3" s="89">
        <f t="shared" si="1"/>
        <v>8</v>
      </c>
      <c r="DB3" s="89">
        <f t="shared" si="1"/>
        <v>8</v>
      </c>
      <c r="DC3" s="89">
        <f t="shared" si="1"/>
        <v>8</v>
      </c>
      <c r="DD3" s="89">
        <f t="shared" si="1"/>
        <v>8</v>
      </c>
      <c r="DE3" s="89">
        <f t="shared" si="1"/>
        <v>8</v>
      </c>
      <c r="DF3" s="89">
        <f t="shared" si="1"/>
        <v>8</v>
      </c>
      <c r="DG3" s="89">
        <f t="shared" si="1"/>
        <v>8</v>
      </c>
      <c r="DH3" s="89">
        <f t="shared" si="1"/>
        <v>8</v>
      </c>
      <c r="DI3" s="89">
        <f t="shared" si="1"/>
        <v>8</v>
      </c>
      <c r="DJ3" s="89">
        <f t="shared" si="1"/>
        <v>8</v>
      </c>
      <c r="DK3" s="89">
        <f t="shared" si="1"/>
        <v>9</v>
      </c>
      <c r="DL3" s="89">
        <f t="shared" si="1"/>
        <v>9</v>
      </c>
      <c r="DM3" s="89">
        <f t="shared" si="1"/>
        <v>9</v>
      </c>
      <c r="DN3" s="89">
        <f t="shared" si="1"/>
        <v>9</v>
      </c>
      <c r="DO3" s="89">
        <f t="shared" si="1"/>
        <v>9</v>
      </c>
      <c r="DP3" s="89">
        <f t="shared" si="1"/>
        <v>9</v>
      </c>
      <c r="DQ3" s="89">
        <f t="shared" si="1"/>
        <v>9</v>
      </c>
      <c r="DR3" s="89">
        <f t="shared" si="1"/>
        <v>9</v>
      </c>
      <c r="DS3" s="89">
        <f t="shared" si="1"/>
        <v>9</v>
      </c>
      <c r="DT3" s="89">
        <f t="shared" si="1"/>
        <v>9</v>
      </c>
      <c r="DU3" s="89">
        <f t="shared" si="1"/>
        <v>9</v>
      </c>
      <c r="DV3" s="89">
        <f t="shared" si="1"/>
        <v>9</v>
      </c>
      <c r="DW3" s="89">
        <f t="shared" si="1"/>
        <v>10</v>
      </c>
      <c r="DX3" s="89">
        <f t="shared" si="1"/>
        <v>10</v>
      </c>
      <c r="DY3" s="89">
        <f t="shared" si="1"/>
        <v>10</v>
      </c>
      <c r="DZ3" s="89">
        <f t="shared" si="1"/>
        <v>10</v>
      </c>
      <c r="EA3" s="89">
        <f t="shared" si="1"/>
        <v>10</v>
      </c>
      <c r="EB3" s="89">
        <f t="shared" si="1"/>
        <v>10</v>
      </c>
      <c r="EC3" s="89">
        <f t="shared" si="1"/>
        <v>10</v>
      </c>
      <c r="ED3" s="89">
        <f t="shared" si="1"/>
        <v>10</v>
      </c>
      <c r="EE3" s="89">
        <f t="shared" si="1"/>
        <v>10</v>
      </c>
      <c r="EF3" s="89">
        <f t="shared" si="1"/>
        <v>10</v>
      </c>
      <c r="EG3" s="89">
        <f t="shared" si="1"/>
        <v>10</v>
      </c>
      <c r="EH3" s="89">
        <f t="shared" si="1"/>
        <v>10</v>
      </c>
      <c r="EI3" s="89">
        <f t="shared" si="1"/>
        <v>11</v>
      </c>
      <c r="EJ3" s="89">
        <f t="shared" si="1"/>
        <v>11</v>
      </c>
      <c r="EK3" s="89">
        <f t="shared" si="1"/>
        <v>11</v>
      </c>
      <c r="EL3" s="89">
        <f t="shared" si="1"/>
        <v>11</v>
      </c>
      <c r="EM3" s="89">
        <f t="shared" si="1"/>
        <v>11</v>
      </c>
      <c r="EN3" s="89">
        <f t="shared" si="1"/>
        <v>11</v>
      </c>
      <c r="EO3" s="89">
        <f t="shared" si="1"/>
        <v>11</v>
      </c>
      <c r="EP3" s="89">
        <f t="shared" si="1"/>
        <v>11</v>
      </c>
      <c r="EQ3" s="89">
        <f t="shared" si="1"/>
        <v>11</v>
      </c>
      <c r="ER3" s="89">
        <f t="shared" ref="ER3:GP3" si="2">ROUNDUP(ER4/12,0)</f>
        <v>11</v>
      </c>
      <c r="ES3" s="89">
        <f t="shared" si="2"/>
        <v>11</v>
      </c>
      <c r="ET3" s="89">
        <f t="shared" si="2"/>
        <v>11</v>
      </c>
      <c r="EU3" s="89">
        <f t="shared" si="2"/>
        <v>12</v>
      </c>
      <c r="EV3" s="89">
        <f t="shared" si="2"/>
        <v>12</v>
      </c>
      <c r="EW3" s="89">
        <f t="shared" si="2"/>
        <v>12</v>
      </c>
      <c r="EX3" s="89">
        <f t="shared" si="2"/>
        <v>12</v>
      </c>
      <c r="EY3" s="89">
        <f t="shared" si="2"/>
        <v>12</v>
      </c>
      <c r="EZ3" s="89">
        <f t="shared" si="2"/>
        <v>12</v>
      </c>
      <c r="FA3" s="89">
        <f t="shared" si="2"/>
        <v>12</v>
      </c>
      <c r="FB3" s="89">
        <f t="shared" si="2"/>
        <v>12</v>
      </c>
      <c r="FC3" s="89">
        <f t="shared" si="2"/>
        <v>12</v>
      </c>
      <c r="FD3" s="89">
        <f t="shared" si="2"/>
        <v>12</v>
      </c>
      <c r="FE3" s="89">
        <f t="shared" si="2"/>
        <v>12</v>
      </c>
      <c r="FF3" s="89">
        <f t="shared" si="2"/>
        <v>12</v>
      </c>
      <c r="FG3" s="89">
        <f t="shared" si="2"/>
        <v>13</v>
      </c>
      <c r="FH3" s="89">
        <f t="shared" si="2"/>
        <v>13</v>
      </c>
      <c r="FI3" s="89">
        <f t="shared" si="2"/>
        <v>13</v>
      </c>
      <c r="FJ3" s="89">
        <f t="shared" si="2"/>
        <v>13</v>
      </c>
      <c r="FK3" s="89">
        <f t="shared" si="2"/>
        <v>13</v>
      </c>
      <c r="FL3" s="89">
        <f t="shared" si="2"/>
        <v>13</v>
      </c>
      <c r="FM3" s="89">
        <f t="shared" si="2"/>
        <v>13</v>
      </c>
      <c r="FN3" s="89">
        <f t="shared" si="2"/>
        <v>13</v>
      </c>
      <c r="FO3" s="89">
        <f t="shared" si="2"/>
        <v>13</v>
      </c>
      <c r="FP3" s="89">
        <f t="shared" si="2"/>
        <v>13</v>
      </c>
      <c r="FQ3" s="89">
        <f t="shared" si="2"/>
        <v>13</v>
      </c>
      <c r="FR3" s="89">
        <f t="shared" si="2"/>
        <v>13</v>
      </c>
      <c r="FS3" s="89">
        <f t="shared" si="2"/>
        <v>14</v>
      </c>
      <c r="FT3" s="89">
        <f t="shared" si="2"/>
        <v>14</v>
      </c>
      <c r="FU3" s="89">
        <f t="shared" si="2"/>
        <v>14</v>
      </c>
      <c r="FV3" s="89">
        <f t="shared" si="2"/>
        <v>14</v>
      </c>
      <c r="FW3" s="89">
        <f t="shared" si="2"/>
        <v>14</v>
      </c>
      <c r="FX3" s="89">
        <f t="shared" si="2"/>
        <v>14</v>
      </c>
      <c r="FY3" s="89">
        <f t="shared" si="2"/>
        <v>14</v>
      </c>
      <c r="FZ3" s="89">
        <f t="shared" si="2"/>
        <v>14</v>
      </c>
      <c r="GA3" s="89">
        <f t="shared" si="2"/>
        <v>14</v>
      </c>
      <c r="GB3" s="89">
        <f t="shared" si="2"/>
        <v>14</v>
      </c>
      <c r="GC3" s="89">
        <f t="shared" si="2"/>
        <v>14</v>
      </c>
      <c r="GD3" s="89">
        <f t="shared" si="2"/>
        <v>14</v>
      </c>
      <c r="GE3" s="89">
        <f t="shared" si="2"/>
        <v>15</v>
      </c>
      <c r="GF3" s="89">
        <f t="shared" si="2"/>
        <v>15</v>
      </c>
      <c r="GG3" s="89">
        <f t="shared" si="2"/>
        <v>15</v>
      </c>
      <c r="GH3" s="89">
        <f t="shared" si="2"/>
        <v>15</v>
      </c>
      <c r="GI3" s="89">
        <f t="shared" si="2"/>
        <v>15</v>
      </c>
      <c r="GJ3" s="89">
        <f t="shared" si="2"/>
        <v>15</v>
      </c>
      <c r="GK3" s="89">
        <f t="shared" si="2"/>
        <v>15</v>
      </c>
      <c r="GL3" s="89">
        <f t="shared" si="2"/>
        <v>15</v>
      </c>
      <c r="GM3" s="89">
        <f t="shared" si="2"/>
        <v>15</v>
      </c>
      <c r="GN3" s="89">
        <f t="shared" si="2"/>
        <v>15</v>
      </c>
      <c r="GO3" s="89">
        <f t="shared" si="2"/>
        <v>15</v>
      </c>
      <c r="GP3" s="89">
        <f t="shared" si="2"/>
        <v>15</v>
      </c>
    </row>
    <row r="4" spans="2:198" x14ac:dyDescent="0.3">
      <c r="B4" s="68"/>
      <c r="C4" s="122"/>
      <c r="D4" s="88"/>
      <c r="E4" s="88"/>
      <c r="F4" s="88"/>
      <c r="G4" s="88"/>
      <c r="H4" s="88"/>
      <c r="I4" s="88"/>
      <c r="J4" s="88"/>
      <c r="K4" s="88"/>
      <c r="L4" s="88"/>
      <c r="M4" s="88"/>
      <c r="N4" s="295" t="s">
        <v>162</v>
      </c>
      <c r="O4" s="296"/>
      <c r="P4" s="296"/>
      <c r="R4" s="89" t="s">
        <v>167</v>
      </c>
      <c r="S4" s="89">
        <v>1</v>
      </c>
      <c r="T4" s="89">
        <f>S4+1</f>
        <v>2</v>
      </c>
      <c r="U4" s="89">
        <f t="shared" ref="U4:CF4" si="3">T4+1</f>
        <v>3</v>
      </c>
      <c r="V4" s="89">
        <f t="shared" si="3"/>
        <v>4</v>
      </c>
      <c r="W4" s="89">
        <f t="shared" si="3"/>
        <v>5</v>
      </c>
      <c r="X4" s="89">
        <f t="shared" si="3"/>
        <v>6</v>
      </c>
      <c r="Y4" s="89">
        <f t="shared" si="3"/>
        <v>7</v>
      </c>
      <c r="Z4" s="89">
        <f t="shared" si="3"/>
        <v>8</v>
      </c>
      <c r="AA4" s="89">
        <f t="shared" si="3"/>
        <v>9</v>
      </c>
      <c r="AB4" s="89">
        <f t="shared" si="3"/>
        <v>10</v>
      </c>
      <c r="AC4" s="89">
        <f t="shared" si="3"/>
        <v>11</v>
      </c>
      <c r="AD4" s="89">
        <f t="shared" si="3"/>
        <v>12</v>
      </c>
      <c r="AE4" s="89">
        <f t="shared" si="3"/>
        <v>13</v>
      </c>
      <c r="AF4" s="89">
        <f t="shared" si="3"/>
        <v>14</v>
      </c>
      <c r="AG4" s="89">
        <f t="shared" si="3"/>
        <v>15</v>
      </c>
      <c r="AH4" s="89">
        <f t="shared" si="3"/>
        <v>16</v>
      </c>
      <c r="AI4" s="89">
        <f t="shared" si="3"/>
        <v>17</v>
      </c>
      <c r="AJ4" s="89">
        <f t="shared" si="3"/>
        <v>18</v>
      </c>
      <c r="AK4" s="89">
        <f t="shared" si="3"/>
        <v>19</v>
      </c>
      <c r="AL4" s="89">
        <f t="shared" si="3"/>
        <v>20</v>
      </c>
      <c r="AM4" s="89">
        <f t="shared" si="3"/>
        <v>21</v>
      </c>
      <c r="AN4" s="89">
        <f t="shared" si="3"/>
        <v>22</v>
      </c>
      <c r="AO4" s="89">
        <f t="shared" si="3"/>
        <v>23</v>
      </c>
      <c r="AP4" s="89">
        <f t="shared" si="3"/>
        <v>24</v>
      </c>
      <c r="AQ4" s="89">
        <f t="shared" si="3"/>
        <v>25</v>
      </c>
      <c r="AR4" s="89">
        <f t="shared" si="3"/>
        <v>26</v>
      </c>
      <c r="AS4" s="89">
        <f t="shared" si="3"/>
        <v>27</v>
      </c>
      <c r="AT4" s="89">
        <f t="shared" si="3"/>
        <v>28</v>
      </c>
      <c r="AU4" s="89">
        <f t="shared" si="3"/>
        <v>29</v>
      </c>
      <c r="AV4" s="89">
        <f t="shared" si="3"/>
        <v>30</v>
      </c>
      <c r="AW4" s="89">
        <f t="shared" si="3"/>
        <v>31</v>
      </c>
      <c r="AX4" s="89">
        <f t="shared" si="3"/>
        <v>32</v>
      </c>
      <c r="AY4" s="89">
        <f t="shared" si="3"/>
        <v>33</v>
      </c>
      <c r="AZ4" s="89">
        <f t="shared" si="3"/>
        <v>34</v>
      </c>
      <c r="BA4" s="89">
        <f t="shared" si="3"/>
        <v>35</v>
      </c>
      <c r="BB4" s="89">
        <f t="shared" si="3"/>
        <v>36</v>
      </c>
      <c r="BC4" s="89">
        <f t="shared" si="3"/>
        <v>37</v>
      </c>
      <c r="BD4" s="89">
        <f t="shared" si="3"/>
        <v>38</v>
      </c>
      <c r="BE4" s="89">
        <f t="shared" si="3"/>
        <v>39</v>
      </c>
      <c r="BF4" s="89">
        <f t="shared" si="3"/>
        <v>40</v>
      </c>
      <c r="BG4" s="89">
        <f t="shared" si="3"/>
        <v>41</v>
      </c>
      <c r="BH4" s="89">
        <f t="shared" si="3"/>
        <v>42</v>
      </c>
      <c r="BI4" s="89">
        <f t="shared" si="3"/>
        <v>43</v>
      </c>
      <c r="BJ4" s="89">
        <f t="shared" si="3"/>
        <v>44</v>
      </c>
      <c r="BK4" s="89">
        <f t="shared" si="3"/>
        <v>45</v>
      </c>
      <c r="BL4" s="89">
        <f t="shared" si="3"/>
        <v>46</v>
      </c>
      <c r="BM4" s="89">
        <f t="shared" si="3"/>
        <v>47</v>
      </c>
      <c r="BN4" s="89">
        <f t="shared" si="3"/>
        <v>48</v>
      </c>
      <c r="BO4" s="89">
        <f t="shared" si="3"/>
        <v>49</v>
      </c>
      <c r="BP4" s="89">
        <f t="shared" si="3"/>
        <v>50</v>
      </c>
      <c r="BQ4" s="89">
        <f t="shared" si="3"/>
        <v>51</v>
      </c>
      <c r="BR4" s="89">
        <f t="shared" si="3"/>
        <v>52</v>
      </c>
      <c r="BS4" s="89">
        <f t="shared" si="3"/>
        <v>53</v>
      </c>
      <c r="BT4" s="89">
        <f t="shared" si="3"/>
        <v>54</v>
      </c>
      <c r="BU4" s="89">
        <f t="shared" si="3"/>
        <v>55</v>
      </c>
      <c r="BV4" s="89">
        <f t="shared" si="3"/>
        <v>56</v>
      </c>
      <c r="BW4" s="89">
        <f t="shared" si="3"/>
        <v>57</v>
      </c>
      <c r="BX4" s="89">
        <f t="shared" si="3"/>
        <v>58</v>
      </c>
      <c r="BY4" s="89">
        <f t="shared" si="3"/>
        <v>59</v>
      </c>
      <c r="BZ4" s="89">
        <f t="shared" si="3"/>
        <v>60</v>
      </c>
      <c r="CA4" s="89">
        <f t="shared" si="3"/>
        <v>61</v>
      </c>
      <c r="CB4" s="89">
        <f t="shared" si="3"/>
        <v>62</v>
      </c>
      <c r="CC4" s="89">
        <f t="shared" si="3"/>
        <v>63</v>
      </c>
      <c r="CD4" s="89">
        <f t="shared" si="3"/>
        <v>64</v>
      </c>
      <c r="CE4" s="89">
        <f t="shared" si="3"/>
        <v>65</v>
      </c>
      <c r="CF4" s="89">
        <f t="shared" si="3"/>
        <v>66</v>
      </c>
      <c r="CG4" s="89">
        <f t="shared" ref="CG4:ER4" si="4">CF4+1</f>
        <v>67</v>
      </c>
      <c r="CH4" s="89">
        <f t="shared" si="4"/>
        <v>68</v>
      </c>
      <c r="CI4" s="89">
        <f t="shared" si="4"/>
        <v>69</v>
      </c>
      <c r="CJ4" s="89">
        <f t="shared" si="4"/>
        <v>70</v>
      </c>
      <c r="CK4" s="89">
        <f t="shared" si="4"/>
        <v>71</v>
      </c>
      <c r="CL4" s="89">
        <f t="shared" si="4"/>
        <v>72</v>
      </c>
      <c r="CM4" s="89">
        <f t="shared" si="4"/>
        <v>73</v>
      </c>
      <c r="CN4" s="89">
        <f t="shared" si="4"/>
        <v>74</v>
      </c>
      <c r="CO4" s="89">
        <f t="shared" si="4"/>
        <v>75</v>
      </c>
      <c r="CP4" s="89">
        <f t="shared" si="4"/>
        <v>76</v>
      </c>
      <c r="CQ4" s="89">
        <f t="shared" si="4"/>
        <v>77</v>
      </c>
      <c r="CR4" s="89">
        <f t="shared" si="4"/>
        <v>78</v>
      </c>
      <c r="CS4" s="89">
        <f t="shared" si="4"/>
        <v>79</v>
      </c>
      <c r="CT4" s="89">
        <f t="shared" si="4"/>
        <v>80</v>
      </c>
      <c r="CU4" s="89">
        <f t="shared" si="4"/>
        <v>81</v>
      </c>
      <c r="CV4" s="89">
        <f t="shared" si="4"/>
        <v>82</v>
      </c>
      <c r="CW4" s="89">
        <f t="shared" si="4"/>
        <v>83</v>
      </c>
      <c r="CX4" s="89">
        <f t="shared" si="4"/>
        <v>84</v>
      </c>
      <c r="CY4" s="89">
        <f t="shared" si="4"/>
        <v>85</v>
      </c>
      <c r="CZ4" s="89">
        <f t="shared" si="4"/>
        <v>86</v>
      </c>
      <c r="DA4" s="89">
        <f t="shared" si="4"/>
        <v>87</v>
      </c>
      <c r="DB4" s="89">
        <f t="shared" si="4"/>
        <v>88</v>
      </c>
      <c r="DC4" s="89">
        <f t="shared" si="4"/>
        <v>89</v>
      </c>
      <c r="DD4" s="89">
        <f t="shared" si="4"/>
        <v>90</v>
      </c>
      <c r="DE4" s="89">
        <f t="shared" si="4"/>
        <v>91</v>
      </c>
      <c r="DF4" s="89">
        <f t="shared" si="4"/>
        <v>92</v>
      </c>
      <c r="DG4" s="89">
        <f t="shared" si="4"/>
        <v>93</v>
      </c>
      <c r="DH4" s="89">
        <f t="shared" si="4"/>
        <v>94</v>
      </c>
      <c r="DI4" s="89">
        <f t="shared" si="4"/>
        <v>95</v>
      </c>
      <c r="DJ4" s="89">
        <f t="shared" si="4"/>
        <v>96</v>
      </c>
      <c r="DK4" s="89">
        <f t="shared" si="4"/>
        <v>97</v>
      </c>
      <c r="DL4" s="89">
        <f t="shared" si="4"/>
        <v>98</v>
      </c>
      <c r="DM4" s="89">
        <f t="shared" si="4"/>
        <v>99</v>
      </c>
      <c r="DN4" s="89">
        <f t="shared" si="4"/>
        <v>100</v>
      </c>
      <c r="DO4" s="89">
        <f t="shared" si="4"/>
        <v>101</v>
      </c>
      <c r="DP4" s="89">
        <f t="shared" si="4"/>
        <v>102</v>
      </c>
      <c r="DQ4" s="89">
        <f t="shared" si="4"/>
        <v>103</v>
      </c>
      <c r="DR4" s="89">
        <f t="shared" si="4"/>
        <v>104</v>
      </c>
      <c r="DS4" s="89">
        <f t="shared" si="4"/>
        <v>105</v>
      </c>
      <c r="DT4" s="89">
        <f t="shared" si="4"/>
        <v>106</v>
      </c>
      <c r="DU4" s="89">
        <f t="shared" si="4"/>
        <v>107</v>
      </c>
      <c r="DV4" s="89">
        <f t="shared" si="4"/>
        <v>108</v>
      </c>
      <c r="DW4" s="89">
        <f t="shared" si="4"/>
        <v>109</v>
      </c>
      <c r="DX4" s="89">
        <f t="shared" si="4"/>
        <v>110</v>
      </c>
      <c r="DY4" s="89">
        <f t="shared" si="4"/>
        <v>111</v>
      </c>
      <c r="DZ4" s="89">
        <f t="shared" si="4"/>
        <v>112</v>
      </c>
      <c r="EA4" s="89">
        <f t="shared" si="4"/>
        <v>113</v>
      </c>
      <c r="EB4" s="89">
        <f t="shared" si="4"/>
        <v>114</v>
      </c>
      <c r="EC4" s="89">
        <f t="shared" si="4"/>
        <v>115</v>
      </c>
      <c r="ED4" s="89">
        <f t="shared" si="4"/>
        <v>116</v>
      </c>
      <c r="EE4" s="89">
        <f t="shared" si="4"/>
        <v>117</v>
      </c>
      <c r="EF4" s="89">
        <f t="shared" si="4"/>
        <v>118</v>
      </c>
      <c r="EG4" s="89">
        <f t="shared" si="4"/>
        <v>119</v>
      </c>
      <c r="EH4" s="89">
        <f t="shared" si="4"/>
        <v>120</v>
      </c>
      <c r="EI4" s="89">
        <f t="shared" si="4"/>
        <v>121</v>
      </c>
      <c r="EJ4" s="89">
        <f t="shared" si="4"/>
        <v>122</v>
      </c>
      <c r="EK4" s="89">
        <f t="shared" si="4"/>
        <v>123</v>
      </c>
      <c r="EL4" s="89">
        <f t="shared" si="4"/>
        <v>124</v>
      </c>
      <c r="EM4" s="89">
        <f t="shared" si="4"/>
        <v>125</v>
      </c>
      <c r="EN4" s="89">
        <f t="shared" si="4"/>
        <v>126</v>
      </c>
      <c r="EO4" s="89">
        <f t="shared" si="4"/>
        <v>127</v>
      </c>
      <c r="EP4" s="89">
        <f t="shared" si="4"/>
        <v>128</v>
      </c>
      <c r="EQ4" s="89">
        <f t="shared" si="4"/>
        <v>129</v>
      </c>
      <c r="ER4" s="89">
        <f t="shared" si="4"/>
        <v>130</v>
      </c>
      <c r="ES4" s="89">
        <f t="shared" ref="ES4:GP4" si="5">ER4+1</f>
        <v>131</v>
      </c>
      <c r="ET4" s="89">
        <f t="shared" si="5"/>
        <v>132</v>
      </c>
      <c r="EU4" s="89">
        <f t="shared" si="5"/>
        <v>133</v>
      </c>
      <c r="EV4" s="89">
        <f t="shared" si="5"/>
        <v>134</v>
      </c>
      <c r="EW4" s="89">
        <f t="shared" si="5"/>
        <v>135</v>
      </c>
      <c r="EX4" s="89">
        <f t="shared" si="5"/>
        <v>136</v>
      </c>
      <c r="EY4" s="89">
        <f t="shared" si="5"/>
        <v>137</v>
      </c>
      <c r="EZ4" s="89">
        <f t="shared" si="5"/>
        <v>138</v>
      </c>
      <c r="FA4" s="89">
        <f t="shared" si="5"/>
        <v>139</v>
      </c>
      <c r="FB4" s="89">
        <f t="shared" si="5"/>
        <v>140</v>
      </c>
      <c r="FC4" s="89">
        <f t="shared" si="5"/>
        <v>141</v>
      </c>
      <c r="FD4" s="89">
        <f t="shared" si="5"/>
        <v>142</v>
      </c>
      <c r="FE4" s="89">
        <f t="shared" si="5"/>
        <v>143</v>
      </c>
      <c r="FF4" s="89">
        <f t="shared" si="5"/>
        <v>144</v>
      </c>
      <c r="FG4" s="89">
        <f t="shared" si="5"/>
        <v>145</v>
      </c>
      <c r="FH4" s="89">
        <f t="shared" si="5"/>
        <v>146</v>
      </c>
      <c r="FI4" s="89">
        <f t="shared" si="5"/>
        <v>147</v>
      </c>
      <c r="FJ4" s="89">
        <f t="shared" si="5"/>
        <v>148</v>
      </c>
      <c r="FK4" s="89">
        <f t="shared" si="5"/>
        <v>149</v>
      </c>
      <c r="FL4" s="89">
        <f t="shared" si="5"/>
        <v>150</v>
      </c>
      <c r="FM4" s="89">
        <f t="shared" si="5"/>
        <v>151</v>
      </c>
      <c r="FN4" s="89">
        <f t="shared" si="5"/>
        <v>152</v>
      </c>
      <c r="FO4" s="89">
        <f t="shared" si="5"/>
        <v>153</v>
      </c>
      <c r="FP4" s="89">
        <f t="shared" si="5"/>
        <v>154</v>
      </c>
      <c r="FQ4" s="89">
        <f t="shared" si="5"/>
        <v>155</v>
      </c>
      <c r="FR4" s="89">
        <f t="shared" si="5"/>
        <v>156</v>
      </c>
      <c r="FS4" s="89">
        <f t="shared" si="5"/>
        <v>157</v>
      </c>
      <c r="FT4" s="89">
        <f t="shared" si="5"/>
        <v>158</v>
      </c>
      <c r="FU4" s="89">
        <f t="shared" si="5"/>
        <v>159</v>
      </c>
      <c r="FV4" s="89">
        <f t="shared" si="5"/>
        <v>160</v>
      </c>
      <c r="FW4" s="89">
        <f t="shared" si="5"/>
        <v>161</v>
      </c>
      <c r="FX4" s="89">
        <f t="shared" si="5"/>
        <v>162</v>
      </c>
      <c r="FY4" s="89">
        <f t="shared" si="5"/>
        <v>163</v>
      </c>
      <c r="FZ4" s="89">
        <f t="shared" si="5"/>
        <v>164</v>
      </c>
      <c r="GA4" s="89">
        <f t="shared" si="5"/>
        <v>165</v>
      </c>
      <c r="GB4" s="89">
        <f t="shared" si="5"/>
        <v>166</v>
      </c>
      <c r="GC4" s="89">
        <f t="shared" si="5"/>
        <v>167</v>
      </c>
      <c r="GD4" s="89">
        <f t="shared" si="5"/>
        <v>168</v>
      </c>
      <c r="GE4" s="89">
        <f t="shared" si="5"/>
        <v>169</v>
      </c>
      <c r="GF4" s="89">
        <f t="shared" si="5"/>
        <v>170</v>
      </c>
      <c r="GG4" s="89">
        <f t="shared" si="5"/>
        <v>171</v>
      </c>
      <c r="GH4" s="89">
        <f t="shared" si="5"/>
        <v>172</v>
      </c>
      <c r="GI4" s="89">
        <f t="shared" si="5"/>
        <v>173</v>
      </c>
      <c r="GJ4" s="89">
        <f t="shared" si="5"/>
        <v>174</v>
      </c>
      <c r="GK4" s="89">
        <f t="shared" si="5"/>
        <v>175</v>
      </c>
      <c r="GL4" s="89">
        <f t="shared" si="5"/>
        <v>176</v>
      </c>
      <c r="GM4" s="89">
        <f t="shared" si="5"/>
        <v>177</v>
      </c>
      <c r="GN4" s="89">
        <f t="shared" si="5"/>
        <v>178</v>
      </c>
      <c r="GO4" s="89">
        <f t="shared" si="5"/>
        <v>179</v>
      </c>
      <c r="GP4" s="89">
        <f t="shared" si="5"/>
        <v>180</v>
      </c>
    </row>
    <row r="5" spans="2:198" ht="28.8" x14ac:dyDescent="0.3">
      <c r="B5" s="183" t="s">
        <v>148</v>
      </c>
      <c r="C5" s="123" t="s">
        <v>153</v>
      </c>
      <c r="D5" s="123" t="s">
        <v>149</v>
      </c>
      <c r="E5" s="123" t="s">
        <v>150</v>
      </c>
      <c r="F5" s="123" t="s">
        <v>151</v>
      </c>
      <c r="G5" s="123" t="s">
        <v>152</v>
      </c>
      <c r="H5" s="123" t="s">
        <v>154</v>
      </c>
      <c r="I5" s="123" t="s">
        <v>163</v>
      </c>
      <c r="J5" s="123" t="s">
        <v>157</v>
      </c>
      <c r="K5" s="123" t="s">
        <v>158</v>
      </c>
      <c r="L5" s="123" t="s">
        <v>156</v>
      </c>
      <c r="M5" s="123" t="s">
        <v>155</v>
      </c>
      <c r="N5" s="124" t="s">
        <v>159</v>
      </c>
      <c r="O5" s="125" t="s">
        <v>160</v>
      </c>
      <c r="P5" s="125" t="s">
        <v>161</v>
      </c>
      <c r="Q5" s="90"/>
      <c r="R5" s="90" t="s">
        <v>166</v>
      </c>
      <c r="S5" s="170">
        <f>EOMONTH(Analysis_Start,0)</f>
        <v>42400</v>
      </c>
      <c r="T5" s="170">
        <f>EOMONTH(S5,1)</f>
        <v>42429</v>
      </c>
      <c r="U5" s="170">
        <f t="shared" ref="U5:CF5" si="6">EOMONTH(T5,1)</f>
        <v>42460</v>
      </c>
      <c r="V5" s="170">
        <f t="shared" si="6"/>
        <v>42490</v>
      </c>
      <c r="W5" s="170">
        <f t="shared" si="6"/>
        <v>42521</v>
      </c>
      <c r="X5" s="170">
        <f t="shared" si="6"/>
        <v>42551</v>
      </c>
      <c r="Y5" s="170">
        <f t="shared" si="6"/>
        <v>42582</v>
      </c>
      <c r="Z5" s="170">
        <f t="shared" si="6"/>
        <v>42613</v>
      </c>
      <c r="AA5" s="170">
        <f t="shared" si="6"/>
        <v>42643</v>
      </c>
      <c r="AB5" s="170">
        <f t="shared" si="6"/>
        <v>42674</v>
      </c>
      <c r="AC5" s="170">
        <f t="shared" si="6"/>
        <v>42704</v>
      </c>
      <c r="AD5" s="170">
        <f t="shared" si="6"/>
        <v>42735</v>
      </c>
      <c r="AE5" s="170">
        <f t="shared" si="6"/>
        <v>42766</v>
      </c>
      <c r="AF5" s="170">
        <f t="shared" si="6"/>
        <v>42794</v>
      </c>
      <c r="AG5" s="170">
        <f t="shared" si="6"/>
        <v>42825</v>
      </c>
      <c r="AH5" s="170">
        <f t="shared" si="6"/>
        <v>42855</v>
      </c>
      <c r="AI5" s="170">
        <f t="shared" si="6"/>
        <v>42886</v>
      </c>
      <c r="AJ5" s="170">
        <f t="shared" si="6"/>
        <v>42916</v>
      </c>
      <c r="AK5" s="170">
        <f t="shared" si="6"/>
        <v>42947</v>
      </c>
      <c r="AL5" s="170">
        <f t="shared" si="6"/>
        <v>42978</v>
      </c>
      <c r="AM5" s="170">
        <f t="shared" si="6"/>
        <v>43008</v>
      </c>
      <c r="AN5" s="170">
        <f t="shared" si="6"/>
        <v>43039</v>
      </c>
      <c r="AO5" s="170">
        <f t="shared" si="6"/>
        <v>43069</v>
      </c>
      <c r="AP5" s="170">
        <f t="shared" si="6"/>
        <v>43100</v>
      </c>
      <c r="AQ5" s="170">
        <f t="shared" si="6"/>
        <v>43131</v>
      </c>
      <c r="AR5" s="170">
        <f t="shared" si="6"/>
        <v>43159</v>
      </c>
      <c r="AS5" s="170">
        <f t="shared" si="6"/>
        <v>43190</v>
      </c>
      <c r="AT5" s="170">
        <f t="shared" si="6"/>
        <v>43220</v>
      </c>
      <c r="AU5" s="170">
        <f t="shared" si="6"/>
        <v>43251</v>
      </c>
      <c r="AV5" s="170">
        <f t="shared" si="6"/>
        <v>43281</v>
      </c>
      <c r="AW5" s="170">
        <f t="shared" si="6"/>
        <v>43312</v>
      </c>
      <c r="AX5" s="170">
        <f t="shared" si="6"/>
        <v>43343</v>
      </c>
      <c r="AY5" s="170">
        <f t="shared" si="6"/>
        <v>43373</v>
      </c>
      <c r="AZ5" s="170">
        <f t="shared" si="6"/>
        <v>43404</v>
      </c>
      <c r="BA5" s="170">
        <f t="shared" si="6"/>
        <v>43434</v>
      </c>
      <c r="BB5" s="170">
        <f t="shared" si="6"/>
        <v>43465</v>
      </c>
      <c r="BC5" s="170">
        <f t="shared" si="6"/>
        <v>43496</v>
      </c>
      <c r="BD5" s="170">
        <f t="shared" si="6"/>
        <v>43524</v>
      </c>
      <c r="BE5" s="170">
        <f t="shared" si="6"/>
        <v>43555</v>
      </c>
      <c r="BF5" s="170">
        <f t="shared" si="6"/>
        <v>43585</v>
      </c>
      <c r="BG5" s="170">
        <f t="shared" si="6"/>
        <v>43616</v>
      </c>
      <c r="BH5" s="170">
        <f t="shared" si="6"/>
        <v>43646</v>
      </c>
      <c r="BI5" s="170">
        <f t="shared" si="6"/>
        <v>43677</v>
      </c>
      <c r="BJ5" s="170">
        <f t="shared" si="6"/>
        <v>43708</v>
      </c>
      <c r="BK5" s="170">
        <f t="shared" si="6"/>
        <v>43738</v>
      </c>
      <c r="BL5" s="170">
        <f t="shared" si="6"/>
        <v>43769</v>
      </c>
      <c r="BM5" s="170">
        <f t="shared" si="6"/>
        <v>43799</v>
      </c>
      <c r="BN5" s="170">
        <f t="shared" si="6"/>
        <v>43830</v>
      </c>
      <c r="BO5" s="170">
        <f t="shared" si="6"/>
        <v>43861</v>
      </c>
      <c r="BP5" s="170">
        <f t="shared" si="6"/>
        <v>43890</v>
      </c>
      <c r="BQ5" s="170">
        <f t="shared" si="6"/>
        <v>43921</v>
      </c>
      <c r="BR5" s="170">
        <f t="shared" si="6"/>
        <v>43951</v>
      </c>
      <c r="BS5" s="170">
        <f t="shared" si="6"/>
        <v>43982</v>
      </c>
      <c r="BT5" s="170">
        <f t="shared" si="6"/>
        <v>44012</v>
      </c>
      <c r="BU5" s="170">
        <f t="shared" si="6"/>
        <v>44043</v>
      </c>
      <c r="BV5" s="170">
        <f t="shared" si="6"/>
        <v>44074</v>
      </c>
      <c r="BW5" s="170">
        <f t="shared" si="6"/>
        <v>44104</v>
      </c>
      <c r="BX5" s="170">
        <f t="shared" si="6"/>
        <v>44135</v>
      </c>
      <c r="BY5" s="170">
        <f t="shared" si="6"/>
        <v>44165</v>
      </c>
      <c r="BZ5" s="170">
        <f t="shared" si="6"/>
        <v>44196</v>
      </c>
      <c r="CA5" s="170">
        <f t="shared" si="6"/>
        <v>44227</v>
      </c>
      <c r="CB5" s="170">
        <f t="shared" si="6"/>
        <v>44255</v>
      </c>
      <c r="CC5" s="170">
        <f t="shared" si="6"/>
        <v>44286</v>
      </c>
      <c r="CD5" s="170">
        <f t="shared" si="6"/>
        <v>44316</v>
      </c>
      <c r="CE5" s="170">
        <f t="shared" si="6"/>
        <v>44347</v>
      </c>
      <c r="CF5" s="170">
        <f t="shared" si="6"/>
        <v>44377</v>
      </c>
      <c r="CG5" s="170">
        <f t="shared" ref="CG5:ER5" si="7">EOMONTH(CF5,1)</f>
        <v>44408</v>
      </c>
      <c r="CH5" s="170">
        <f t="shared" si="7"/>
        <v>44439</v>
      </c>
      <c r="CI5" s="170">
        <f t="shared" si="7"/>
        <v>44469</v>
      </c>
      <c r="CJ5" s="170">
        <f t="shared" si="7"/>
        <v>44500</v>
      </c>
      <c r="CK5" s="170">
        <f t="shared" si="7"/>
        <v>44530</v>
      </c>
      <c r="CL5" s="170">
        <f t="shared" si="7"/>
        <v>44561</v>
      </c>
      <c r="CM5" s="170">
        <f t="shared" si="7"/>
        <v>44592</v>
      </c>
      <c r="CN5" s="170">
        <f t="shared" si="7"/>
        <v>44620</v>
      </c>
      <c r="CO5" s="170">
        <f t="shared" si="7"/>
        <v>44651</v>
      </c>
      <c r="CP5" s="170">
        <f t="shared" si="7"/>
        <v>44681</v>
      </c>
      <c r="CQ5" s="170">
        <f t="shared" si="7"/>
        <v>44712</v>
      </c>
      <c r="CR5" s="170">
        <f t="shared" si="7"/>
        <v>44742</v>
      </c>
      <c r="CS5" s="170">
        <f t="shared" si="7"/>
        <v>44773</v>
      </c>
      <c r="CT5" s="170">
        <f t="shared" si="7"/>
        <v>44804</v>
      </c>
      <c r="CU5" s="170">
        <f t="shared" si="7"/>
        <v>44834</v>
      </c>
      <c r="CV5" s="170">
        <f t="shared" si="7"/>
        <v>44865</v>
      </c>
      <c r="CW5" s="170">
        <f t="shared" si="7"/>
        <v>44895</v>
      </c>
      <c r="CX5" s="170">
        <f t="shared" si="7"/>
        <v>44926</v>
      </c>
      <c r="CY5" s="170">
        <f t="shared" si="7"/>
        <v>44957</v>
      </c>
      <c r="CZ5" s="170">
        <f t="shared" si="7"/>
        <v>44985</v>
      </c>
      <c r="DA5" s="170">
        <f t="shared" si="7"/>
        <v>45016</v>
      </c>
      <c r="DB5" s="170">
        <f t="shared" si="7"/>
        <v>45046</v>
      </c>
      <c r="DC5" s="170">
        <f t="shared" si="7"/>
        <v>45077</v>
      </c>
      <c r="DD5" s="170">
        <f t="shared" si="7"/>
        <v>45107</v>
      </c>
      <c r="DE5" s="170">
        <f t="shared" si="7"/>
        <v>45138</v>
      </c>
      <c r="DF5" s="170">
        <f t="shared" si="7"/>
        <v>45169</v>
      </c>
      <c r="DG5" s="170">
        <f t="shared" si="7"/>
        <v>45199</v>
      </c>
      <c r="DH5" s="170">
        <f t="shared" si="7"/>
        <v>45230</v>
      </c>
      <c r="DI5" s="170">
        <f t="shared" si="7"/>
        <v>45260</v>
      </c>
      <c r="DJ5" s="170">
        <f t="shared" si="7"/>
        <v>45291</v>
      </c>
      <c r="DK5" s="170">
        <f t="shared" si="7"/>
        <v>45322</v>
      </c>
      <c r="DL5" s="170">
        <f t="shared" si="7"/>
        <v>45351</v>
      </c>
      <c r="DM5" s="170">
        <f t="shared" si="7"/>
        <v>45382</v>
      </c>
      <c r="DN5" s="170">
        <f t="shared" si="7"/>
        <v>45412</v>
      </c>
      <c r="DO5" s="170">
        <f t="shared" si="7"/>
        <v>45443</v>
      </c>
      <c r="DP5" s="170">
        <f t="shared" si="7"/>
        <v>45473</v>
      </c>
      <c r="DQ5" s="170">
        <f t="shared" si="7"/>
        <v>45504</v>
      </c>
      <c r="DR5" s="170">
        <f t="shared" si="7"/>
        <v>45535</v>
      </c>
      <c r="DS5" s="170">
        <f t="shared" si="7"/>
        <v>45565</v>
      </c>
      <c r="DT5" s="170">
        <f t="shared" si="7"/>
        <v>45596</v>
      </c>
      <c r="DU5" s="170">
        <f t="shared" si="7"/>
        <v>45626</v>
      </c>
      <c r="DV5" s="170">
        <f t="shared" si="7"/>
        <v>45657</v>
      </c>
      <c r="DW5" s="170">
        <f t="shared" si="7"/>
        <v>45688</v>
      </c>
      <c r="DX5" s="170">
        <f t="shared" si="7"/>
        <v>45716</v>
      </c>
      <c r="DY5" s="170">
        <f t="shared" si="7"/>
        <v>45747</v>
      </c>
      <c r="DZ5" s="170">
        <f t="shared" si="7"/>
        <v>45777</v>
      </c>
      <c r="EA5" s="170">
        <f t="shared" si="7"/>
        <v>45808</v>
      </c>
      <c r="EB5" s="170">
        <f t="shared" si="7"/>
        <v>45838</v>
      </c>
      <c r="EC5" s="170">
        <f t="shared" si="7"/>
        <v>45869</v>
      </c>
      <c r="ED5" s="170">
        <f t="shared" si="7"/>
        <v>45900</v>
      </c>
      <c r="EE5" s="170">
        <f t="shared" si="7"/>
        <v>45930</v>
      </c>
      <c r="EF5" s="170">
        <f t="shared" si="7"/>
        <v>45961</v>
      </c>
      <c r="EG5" s="170">
        <f t="shared" si="7"/>
        <v>45991</v>
      </c>
      <c r="EH5" s="170">
        <f t="shared" si="7"/>
        <v>46022</v>
      </c>
      <c r="EI5" s="170">
        <f t="shared" si="7"/>
        <v>46053</v>
      </c>
      <c r="EJ5" s="170">
        <f t="shared" si="7"/>
        <v>46081</v>
      </c>
      <c r="EK5" s="170">
        <f t="shared" si="7"/>
        <v>46112</v>
      </c>
      <c r="EL5" s="170">
        <f t="shared" si="7"/>
        <v>46142</v>
      </c>
      <c r="EM5" s="170">
        <f t="shared" si="7"/>
        <v>46173</v>
      </c>
      <c r="EN5" s="170">
        <f t="shared" si="7"/>
        <v>46203</v>
      </c>
      <c r="EO5" s="170">
        <f t="shared" si="7"/>
        <v>46234</v>
      </c>
      <c r="EP5" s="170">
        <f t="shared" si="7"/>
        <v>46265</v>
      </c>
      <c r="EQ5" s="170">
        <f t="shared" si="7"/>
        <v>46295</v>
      </c>
      <c r="ER5" s="170">
        <f t="shared" si="7"/>
        <v>46326</v>
      </c>
      <c r="ES5" s="170">
        <f t="shared" ref="ES5:GP5" si="8">EOMONTH(ER5,1)</f>
        <v>46356</v>
      </c>
      <c r="ET5" s="170">
        <f t="shared" si="8"/>
        <v>46387</v>
      </c>
      <c r="EU5" s="170">
        <f t="shared" si="8"/>
        <v>46418</v>
      </c>
      <c r="EV5" s="170">
        <f t="shared" si="8"/>
        <v>46446</v>
      </c>
      <c r="EW5" s="170">
        <f t="shared" si="8"/>
        <v>46477</v>
      </c>
      <c r="EX5" s="170">
        <f t="shared" si="8"/>
        <v>46507</v>
      </c>
      <c r="EY5" s="170">
        <f t="shared" si="8"/>
        <v>46538</v>
      </c>
      <c r="EZ5" s="170">
        <f t="shared" si="8"/>
        <v>46568</v>
      </c>
      <c r="FA5" s="170">
        <f t="shared" si="8"/>
        <v>46599</v>
      </c>
      <c r="FB5" s="170">
        <f t="shared" si="8"/>
        <v>46630</v>
      </c>
      <c r="FC5" s="170">
        <f t="shared" si="8"/>
        <v>46660</v>
      </c>
      <c r="FD5" s="170">
        <f t="shared" si="8"/>
        <v>46691</v>
      </c>
      <c r="FE5" s="170">
        <f t="shared" si="8"/>
        <v>46721</v>
      </c>
      <c r="FF5" s="170">
        <f t="shared" si="8"/>
        <v>46752</v>
      </c>
      <c r="FG5" s="170">
        <f t="shared" si="8"/>
        <v>46783</v>
      </c>
      <c r="FH5" s="170">
        <f t="shared" si="8"/>
        <v>46812</v>
      </c>
      <c r="FI5" s="170">
        <f t="shared" si="8"/>
        <v>46843</v>
      </c>
      <c r="FJ5" s="170">
        <f t="shared" si="8"/>
        <v>46873</v>
      </c>
      <c r="FK5" s="170">
        <f t="shared" si="8"/>
        <v>46904</v>
      </c>
      <c r="FL5" s="170">
        <f t="shared" si="8"/>
        <v>46934</v>
      </c>
      <c r="FM5" s="170">
        <f t="shared" si="8"/>
        <v>46965</v>
      </c>
      <c r="FN5" s="170">
        <f t="shared" si="8"/>
        <v>46996</v>
      </c>
      <c r="FO5" s="170">
        <f t="shared" si="8"/>
        <v>47026</v>
      </c>
      <c r="FP5" s="170">
        <f t="shared" si="8"/>
        <v>47057</v>
      </c>
      <c r="FQ5" s="170">
        <f t="shared" si="8"/>
        <v>47087</v>
      </c>
      <c r="FR5" s="170">
        <f t="shared" si="8"/>
        <v>47118</v>
      </c>
      <c r="FS5" s="170">
        <f t="shared" si="8"/>
        <v>47149</v>
      </c>
      <c r="FT5" s="170">
        <f t="shared" si="8"/>
        <v>47177</v>
      </c>
      <c r="FU5" s="170">
        <f t="shared" si="8"/>
        <v>47208</v>
      </c>
      <c r="FV5" s="170">
        <f t="shared" si="8"/>
        <v>47238</v>
      </c>
      <c r="FW5" s="170">
        <f t="shared" si="8"/>
        <v>47269</v>
      </c>
      <c r="FX5" s="170">
        <f t="shared" si="8"/>
        <v>47299</v>
      </c>
      <c r="FY5" s="170">
        <f t="shared" si="8"/>
        <v>47330</v>
      </c>
      <c r="FZ5" s="170">
        <f t="shared" si="8"/>
        <v>47361</v>
      </c>
      <c r="GA5" s="170">
        <f t="shared" si="8"/>
        <v>47391</v>
      </c>
      <c r="GB5" s="170">
        <f t="shared" si="8"/>
        <v>47422</v>
      </c>
      <c r="GC5" s="170">
        <f t="shared" si="8"/>
        <v>47452</v>
      </c>
      <c r="GD5" s="170">
        <f t="shared" si="8"/>
        <v>47483</v>
      </c>
      <c r="GE5" s="170">
        <f t="shared" si="8"/>
        <v>47514</v>
      </c>
      <c r="GF5" s="170">
        <f t="shared" si="8"/>
        <v>47542</v>
      </c>
      <c r="GG5" s="170">
        <f t="shared" si="8"/>
        <v>47573</v>
      </c>
      <c r="GH5" s="170">
        <f t="shared" si="8"/>
        <v>47603</v>
      </c>
      <c r="GI5" s="170">
        <f t="shared" si="8"/>
        <v>47634</v>
      </c>
      <c r="GJ5" s="170">
        <f t="shared" si="8"/>
        <v>47664</v>
      </c>
      <c r="GK5" s="170">
        <f t="shared" si="8"/>
        <v>47695</v>
      </c>
      <c r="GL5" s="170">
        <f t="shared" si="8"/>
        <v>47726</v>
      </c>
      <c r="GM5" s="170">
        <f t="shared" si="8"/>
        <v>47756</v>
      </c>
      <c r="GN5" s="170">
        <f t="shared" si="8"/>
        <v>47787</v>
      </c>
      <c r="GO5" s="170">
        <f t="shared" si="8"/>
        <v>47817</v>
      </c>
      <c r="GP5" s="170">
        <f t="shared" si="8"/>
        <v>47848</v>
      </c>
    </row>
    <row r="6" spans="2:198" x14ac:dyDescent="0.3">
      <c r="B6" s="184" t="str">
        <f>'MF Rent Roll'!B5</f>
        <v>Studio</v>
      </c>
      <c r="C6" s="171">
        <f>'MF Rent Roll'!C5</f>
        <v>40</v>
      </c>
      <c r="D6" s="172">
        <f>'MF Rent Roll'!D5</f>
        <v>0</v>
      </c>
      <c r="E6" s="172">
        <f>'MF Rent Roll'!E5</f>
        <v>1</v>
      </c>
      <c r="F6" s="173">
        <f>'MF Rent Roll'!F5</f>
        <v>430</v>
      </c>
      <c r="G6" s="174">
        <f>'MF Rent Roll'!G5</f>
        <v>510</v>
      </c>
      <c r="H6" s="176">
        <f>'MF Rent Roll'!J5</f>
        <v>12</v>
      </c>
      <c r="I6" s="174">
        <f>'MF Rent Roll'!K5</f>
        <v>50</v>
      </c>
      <c r="J6" s="177">
        <f>'MF Rent Roll'!L5</f>
        <v>0</v>
      </c>
      <c r="K6" s="178">
        <f>'MF Rent Roll'!M5</f>
        <v>20</v>
      </c>
      <c r="L6" s="174">
        <f>'MF Rent Roll'!N5</f>
        <v>300</v>
      </c>
      <c r="M6" s="179">
        <f>'MF Rent Roll'!O5</f>
        <v>0.6</v>
      </c>
      <c r="N6" s="180">
        <f>'MF Rent Roll'!P5</f>
        <v>0</v>
      </c>
      <c r="O6" s="181">
        <f>'MF Rent Roll'!Q5</f>
        <v>8</v>
      </c>
      <c r="P6" s="104">
        <f>'MF Rent Roll'!R5</f>
        <v>120</v>
      </c>
      <c r="S6" s="149">
        <f>IF($B6=0,"",('MF Rollover'!R6*($P6*(1+'Property Summary'!$L$22)^('MF Releasing'!S$3-1)))*$C6)</f>
        <v>0</v>
      </c>
      <c r="T6" s="149">
        <f>IF($B6=0,"",('MF Rollover'!S6*($P6*(1+'Property Summary'!$L$22)^('MF Releasing'!T$3-1)))*$C6)</f>
        <v>0</v>
      </c>
      <c r="U6" s="149">
        <f>IF($B6=0,"",('MF Rollover'!T6*($P6*(1+'Property Summary'!$L$22)^('MF Releasing'!U$3-1)))*$C6)</f>
        <v>0</v>
      </c>
      <c r="V6" s="149">
        <f>IF($B6=0,"",('MF Rollover'!U6*($P6*(1+'Property Summary'!$L$22)^('MF Releasing'!V$3-1)))*$C6)</f>
        <v>0</v>
      </c>
      <c r="W6" s="149">
        <f>IF($B6=0,"",('MF Rollover'!V6*($P6*(1+'Property Summary'!$L$22)^('MF Releasing'!W$3-1)))*$C6)</f>
        <v>0</v>
      </c>
      <c r="X6" s="149">
        <f>IF($B6=0,"",('MF Rollover'!W6*($P6*(1+'Property Summary'!$L$22)^('MF Releasing'!X$3-1)))*$C6)</f>
        <v>0</v>
      </c>
      <c r="Y6" s="149">
        <f>IF($B6=0,"",('MF Rollover'!X6*($P6*(1+'Property Summary'!$L$22)^('MF Releasing'!Y$3-1)))*$C6)</f>
        <v>0</v>
      </c>
      <c r="Z6" s="149">
        <f>IF($B6=0,"",('MF Rollover'!Y6*($P6*(1+'Property Summary'!$L$22)^('MF Releasing'!Z$3-1)))*$C6)</f>
        <v>0</v>
      </c>
      <c r="AA6" s="149">
        <f>IF($B6=0,"",('MF Rollover'!Z6*($P6*(1+'Property Summary'!$L$22)^('MF Releasing'!AA$3-1)))*$C6)</f>
        <v>0</v>
      </c>
      <c r="AB6" s="149">
        <f>IF($B6=0,"",('MF Rollover'!AA6*($P6*(1+'Property Summary'!$L$22)^('MF Releasing'!AB$3-1)))*$C6)</f>
        <v>0</v>
      </c>
      <c r="AC6" s="149">
        <f>IF($B6=0,"",('MF Rollover'!AB6*($P6*(1+'Property Summary'!$L$22)^('MF Releasing'!AC$3-1)))*$C6)</f>
        <v>0</v>
      </c>
      <c r="AD6" s="149">
        <f>IF($B6=0,"",('MF Rollover'!AC6*($P6*(1+'Property Summary'!$L$22)^('MF Releasing'!AD$3-1)))*$C6)</f>
        <v>0</v>
      </c>
      <c r="AE6" s="149">
        <f>IF($B6=0,"",('MF Rollover'!AD6*($P6*(1+'Property Summary'!$L$22)^('MF Releasing'!AE$3-1)))*$C6)</f>
        <v>4896</v>
      </c>
      <c r="AF6" s="149">
        <f>IF($B6=0,"",('MF Rollover'!AE6*($P6*(1+'Property Summary'!$L$22)^('MF Releasing'!AF$3-1)))*$C6)</f>
        <v>0</v>
      </c>
      <c r="AG6" s="149">
        <f>IF($B6=0,"",('MF Rollover'!AF6*($P6*(1+'Property Summary'!$L$22)^('MF Releasing'!AG$3-1)))*$C6)</f>
        <v>0</v>
      </c>
      <c r="AH6" s="149">
        <f>IF($B6=0,"",('MF Rollover'!AG6*($P6*(1+'Property Summary'!$L$22)^('MF Releasing'!AH$3-1)))*$C6)</f>
        <v>0</v>
      </c>
      <c r="AI6" s="149">
        <f>IF($B6=0,"",('MF Rollover'!AH6*($P6*(1+'Property Summary'!$L$22)^('MF Releasing'!AI$3-1)))*$C6)</f>
        <v>0</v>
      </c>
      <c r="AJ6" s="149">
        <f>IF($B6=0,"",('MF Rollover'!AI6*($P6*(1+'Property Summary'!$L$22)^('MF Releasing'!AJ$3-1)))*$C6)</f>
        <v>0</v>
      </c>
      <c r="AK6" s="149">
        <f>IF($B6=0,"",('MF Rollover'!AJ6*($P6*(1+'Property Summary'!$L$22)^('MF Releasing'!AK$3-1)))*$C6)</f>
        <v>0</v>
      </c>
      <c r="AL6" s="149">
        <f>IF($B6=0,"",('MF Rollover'!AK6*($P6*(1+'Property Summary'!$L$22)^('MF Releasing'!AL$3-1)))*$C6)</f>
        <v>0</v>
      </c>
      <c r="AM6" s="149">
        <f>IF($B6=0,"",('MF Rollover'!AL6*($P6*(1+'Property Summary'!$L$22)^('MF Releasing'!AM$3-1)))*$C6)</f>
        <v>0</v>
      </c>
      <c r="AN6" s="149">
        <f>IF($B6=0,"",('MF Rollover'!AM6*($P6*(1+'Property Summary'!$L$22)^('MF Releasing'!AN$3-1)))*$C6)</f>
        <v>0</v>
      </c>
      <c r="AO6" s="149">
        <f>IF($B6=0,"",('MF Rollover'!AN6*($P6*(1+'Property Summary'!$L$22)^('MF Releasing'!AO$3-1)))*$C6)</f>
        <v>0</v>
      </c>
      <c r="AP6" s="149">
        <f>IF($B6=0,"",('MF Rollover'!AO6*($P6*(1+'Property Summary'!$L$22)^('MF Releasing'!AP$3-1)))*$C6)</f>
        <v>0</v>
      </c>
      <c r="AQ6" s="149">
        <f>IF($B6=0,"",('MF Rollover'!AP6*($P6*(1+'Property Summary'!$L$22)^('MF Releasing'!AQ$3-1)))*$C6)</f>
        <v>4993.92</v>
      </c>
      <c r="AR6" s="149">
        <f>IF($B6=0,"",('MF Rollover'!AQ6*($P6*(1+'Property Summary'!$L$22)^('MF Releasing'!AR$3-1)))*$C6)</f>
        <v>0</v>
      </c>
      <c r="AS6" s="149">
        <f>IF($B6=0,"",('MF Rollover'!AR6*($P6*(1+'Property Summary'!$L$22)^('MF Releasing'!AS$3-1)))*$C6)</f>
        <v>0</v>
      </c>
      <c r="AT6" s="149">
        <f>IF($B6=0,"",('MF Rollover'!AS6*($P6*(1+'Property Summary'!$L$22)^('MF Releasing'!AT$3-1)))*$C6)</f>
        <v>0</v>
      </c>
      <c r="AU6" s="149">
        <f>IF($B6=0,"",('MF Rollover'!AT6*($P6*(1+'Property Summary'!$L$22)^('MF Releasing'!AU$3-1)))*$C6)</f>
        <v>0</v>
      </c>
      <c r="AV6" s="149">
        <f>IF($B6=0,"",('MF Rollover'!AU6*($P6*(1+'Property Summary'!$L$22)^('MF Releasing'!AV$3-1)))*$C6)</f>
        <v>0</v>
      </c>
      <c r="AW6" s="149">
        <f>IF($B6=0,"",('MF Rollover'!AV6*($P6*(1+'Property Summary'!$L$22)^('MF Releasing'!AW$3-1)))*$C6)</f>
        <v>0</v>
      </c>
      <c r="AX6" s="149">
        <f>IF($B6=0,"",('MF Rollover'!AW6*($P6*(1+'Property Summary'!$L$22)^('MF Releasing'!AX$3-1)))*$C6)</f>
        <v>0</v>
      </c>
      <c r="AY6" s="149">
        <f>IF($B6=0,"",('MF Rollover'!AX6*($P6*(1+'Property Summary'!$L$22)^('MF Releasing'!AY$3-1)))*$C6)</f>
        <v>0</v>
      </c>
      <c r="AZ6" s="149">
        <f>IF($B6=0,"",('MF Rollover'!AY6*($P6*(1+'Property Summary'!$L$22)^('MF Releasing'!AZ$3-1)))*$C6)</f>
        <v>0</v>
      </c>
      <c r="BA6" s="149">
        <f>IF($B6=0,"",('MF Rollover'!AZ6*($P6*(1+'Property Summary'!$L$22)^('MF Releasing'!BA$3-1)))*$C6)</f>
        <v>0</v>
      </c>
      <c r="BB6" s="149">
        <f>IF($B6=0,"",('MF Rollover'!BA6*($P6*(1+'Property Summary'!$L$22)^('MF Releasing'!BB$3-1)))*$C6)</f>
        <v>0</v>
      </c>
      <c r="BC6" s="149">
        <f>IF($B6=0,"",('MF Rollover'!BB6*($P6*(1+'Property Summary'!$L$22)^('MF Releasing'!BC$3-1)))*$C6)</f>
        <v>5093.7983999999997</v>
      </c>
      <c r="BD6" s="149">
        <f>IF($B6=0,"",('MF Rollover'!BC6*($P6*(1+'Property Summary'!$L$22)^('MF Releasing'!BD$3-1)))*$C6)</f>
        <v>0</v>
      </c>
      <c r="BE6" s="149">
        <f>IF($B6=0,"",('MF Rollover'!BD6*($P6*(1+'Property Summary'!$L$22)^('MF Releasing'!BE$3-1)))*$C6)</f>
        <v>0</v>
      </c>
      <c r="BF6" s="149">
        <f>IF($B6=0,"",('MF Rollover'!BE6*($P6*(1+'Property Summary'!$L$22)^('MF Releasing'!BF$3-1)))*$C6)</f>
        <v>0</v>
      </c>
      <c r="BG6" s="149">
        <f>IF($B6=0,"",('MF Rollover'!BF6*($P6*(1+'Property Summary'!$L$22)^('MF Releasing'!BG$3-1)))*$C6)</f>
        <v>0</v>
      </c>
      <c r="BH6" s="149">
        <f>IF($B6=0,"",('MF Rollover'!BG6*($P6*(1+'Property Summary'!$L$22)^('MF Releasing'!BH$3-1)))*$C6)</f>
        <v>0</v>
      </c>
      <c r="BI6" s="149">
        <f>IF($B6=0,"",('MF Rollover'!BH6*($P6*(1+'Property Summary'!$L$22)^('MF Releasing'!BI$3-1)))*$C6)</f>
        <v>0</v>
      </c>
      <c r="BJ6" s="149">
        <f>IF($B6=0,"",('MF Rollover'!BI6*($P6*(1+'Property Summary'!$L$22)^('MF Releasing'!BJ$3-1)))*$C6)</f>
        <v>0</v>
      </c>
      <c r="BK6" s="149">
        <f>IF($B6=0,"",('MF Rollover'!BJ6*($P6*(1+'Property Summary'!$L$22)^('MF Releasing'!BK$3-1)))*$C6)</f>
        <v>0</v>
      </c>
      <c r="BL6" s="149">
        <f>IF($B6=0,"",('MF Rollover'!BK6*($P6*(1+'Property Summary'!$L$22)^('MF Releasing'!BL$3-1)))*$C6)</f>
        <v>0</v>
      </c>
      <c r="BM6" s="149">
        <f>IF($B6=0,"",('MF Rollover'!BL6*($P6*(1+'Property Summary'!$L$22)^('MF Releasing'!BM$3-1)))*$C6)</f>
        <v>0</v>
      </c>
      <c r="BN6" s="149">
        <f>IF($B6=0,"",('MF Rollover'!BM6*($P6*(1+'Property Summary'!$L$22)^('MF Releasing'!BN$3-1)))*$C6)</f>
        <v>0</v>
      </c>
      <c r="BO6" s="149">
        <f>IF($B6=0,"",('MF Rollover'!BN6*($P6*(1+'Property Summary'!$L$22)^('MF Releasing'!BO$3-1)))*$C6)</f>
        <v>5195.674368</v>
      </c>
      <c r="BP6" s="149">
        <f>IF($B6=0,"",('MF Rollover'!BO6*($P6*(1+'Property Summary'!$L$22)^('MF Releasing'!BP$3-1)))*$C6)</f>
        <v>0</v>
      </c>
      <c r="BQ6" s="149">
        <f>IF($B6=0,"",('MF Rollover'!BP6*($P6*(1+'Property Summary'!$L$22)^('MF Releasing'!BQ$3-1)))*$C6)</f>
        <v>0</v>
      </c>
      <c r="BR6" s="149">
        <f>IF($B6=0,"",('MF Rollover'!BQ6*($P6*(1+'Property Summary'!$L$22)^('MF Releasing'!BR$3-1)))*$C6)</f>
        <v>0</v>
      </c>
      <c r="BS6" s="149">
        <f>IF($B6=0,"",('MF Rollover'!BR6*($P6*(1+'Property Summary'!$L$22)^('MF Releasing'!BS$3-1)))*$C6)</f>
        <v>0</v>
      </c>
      <c r="BT6" s="149">
        <f>IF($B6=0,"",('MF Rollover'!BS6*($P6*(1+'Property Summary'!$L$22)^('MF Releasing'!BT$3-1)))*$C6)</f>
        <v>0</v>
      </c>
      <c r="BU6" s="149">
        <f>IF($B6=0,"",('MF Rollover'!BT6*($P6*(1+'Property Summary'!$L$22)^('MF Releasing'!BU$3-1)))*$C6)</f>
        <v>0</v>
      </c>
      <c r="BV6" s="149">
        <f>IF($B6=0,"",('MF Rollover'!BU6*($P6*(1+'Property Summary'!$L$22)^('MF Releasing'!BV$3-1)))*$C6)</f>
        <v>0</v>
      </c>
      <c r="BW6" s="149">
        <f>IF($B6=0,"",('MF Rollover'!BV6*($P6*(1+'Property Summary'!$L$22)^('MF Releasing'!BW$3-1)))*$C6)</f>
        <v>0</v>
      </c>
      <c r="BX6" s="149">
        <f>IF($B6=0,"",('MF Rollover'!BW6*($P6*(1+'Property Summary'!$L$22)^('MF Releasing'!BX$3-1)))*$C6)</f>
        <v>0</v>
      </c>
      <c r="BY6" s="149">
        <f>IF($B6=0,"",('MF Rollover'!BX6*($P6*(1+'Property Summary'!$L$22)^('MF Releasing'!BY$3-1)))*$C6)</f>
        <v>0</v>
      </c>
      <c r="BZ6" s="149">
        <f>IF($B6=0,"",('MF Rollover'!BY6*($P6*(1+'Property Summary'!$L$22)^('MF Releasing'!BZ$3-1)))*$C6)</f>
        <v>0</v>
      </c>
      <c r="CA6" s="149">
        <f>IF($B6=0,"",('MF Rollover'!BZ6*($P6*(1+'Property Summary'!$L$22)^('MF Releasing'!CA$3-1)))*$C6)</f>
        <v>5299.5878553600005</v>
      </c>
      <c r="CB6" s="149">
        <f>IF($B6=0,"",('MF Rollover'!CA6*($P6*(1+'Property Summary'!$L$22)^('MF Releasing'!CB$3-1)))*$C6)</f>
        <v>0</v>
      </c>
      <c r="CC6" s="149">
        <f>IF($B6=0,"",('MF Rollover'!CB6*($P6*(1+'Property Summary'!$L$22)^('MF Releasing'!CC$3-1)))*$C6)</f>
        <v>0</v>
      </c>
      <c r="CD6" s="149">
        <f>IF($B6=0,"",('MF Rollover'!CC6*($P6*(1+'Property Summary'!$L$22)^('MF Releasing'!CD$3-1)))*$C6)</f>
        <v>0</v>
      </c>
      <c r="CE6" s="149">
        <f>IF($B6=0,"",('MF Rollover'!CD6*($P6*(1+'Property Summary'!$L$22)^('MF Releasing'!CE$3-1)))*$C6)</f>
        <v>0</v>
      </c>
      <c r="CF6" s="149">
        <f>IF($B6=0,"",('MF Rollover'!CE6*($P6*(1+'Property Summary'!$L$22)^('MF Releasing'!CF$3-1)))*$C6)</f>
        <v>0</v>
      </c>
      <c r="CG6" s="149">
        <f>IF($B6=0,"",('MF Rollover'!CF6*($P6*(1+'Property Summary'!$L$22)^('MF Releasing'!CG$3-1)))*$C6)</f>
        <v>0</v>
      </c>
      <c r="CH6" s="149">
        <f>IF($B6=0,"",('MF Rollover'!CG6*($P6*(1+'Property Summary'!$L$22)^('MF Releasing'!CH$3-1)))*$C6)</f>
        <v>0</v>
      </c>
      <c r="CI6" s="149">
        <f>IF($B6=0,"",('MF Rollover'!CH6*($P6*(1+'Property Summary'!$L$22)^('MF Releasing'!CI$3-1)))*$C6)</f>
        <v>0</v>
      </c>
      <c r="CJ6" s="149">
        <f>IF($B6=0,"",('MF Rollover'!CI6*($P6*(1+'Property Summary'!$L$22)^('MF Releasing'!CJ$3-1)))*$C6)</f>
        <v>0</v>
      </c>
      <c r="CK6" s="149">
        <f>IF($B6=0,"",('MF Rollover'!CJ6*($P6*(1+'Property Summary'!$L$22)^('MF Releasing'!CK$3-1)))*$C6)</f>
        <v>0</v>
      </c>
      <c r="CL6" s="149">
        <f>IF($B6=0,"",('MF Rollover'!CK6*($P6*(1+'Property Summary'!$L$22)^('MF Releasing'!CL$3-1)))*$C6)</f>
        <v>0</v>
      </c>
      <c r="CM6" s="149">
        <f>IF($B6=0,"",('MF Rollover'!CL6*($P6*(1+'Property Summary'!$L$22)^('MF Releasing'!CM$3-1)))*$C6)</f>
        <v>5405.5796124672006</v>
      </c>
      <c r="CN6" s="149">
        <f>IF($B6=0,"",('MF Rollover'!CM6*($P6*(1+'Property Summary'!$L$22)^('MF Releasing'!CN$3-1)))*$C6)</f>
        <v>0</v>
      </c>
      <c r="CO6" s="149">
        <f>IF($B6=0,"",('MF Rollover'!CN6*($P6*(1+'Property Summary'!$L$22)^('MF Releasing'!CO$3-1)))*$C6)</f>
        <v>0</v>
      </c>
      <c r="CP6" s="149">
        <f>IF($B6=0,"",('MF Rollover'!CO6*($P6*(1+'Property Summary'!$L$22)^('MF Releasing'!CP$3-1)))*$C6)</f>
        <v>0</v>
      </c>
      <c r="CQ6" s="149">
        <f>IF($B6=0,"",('MF Rollover'!CP6*($P6*(1+'Property Summary'!$L$22)^('MF Releasing'!CQ$3-1)))*$C6)</f>
        <v>0</v>
      </c>
      <c r="CR6" s="149">
        <f>IF($B6=0,"",('MF Rollover'!CQ6*($P6*(1+'Property Summary'!$L$22)^('MF Releasing'!CR$3-1)))*$C6)</f>
        <v>0</v>
      </c>
      <c r="CS6" s="149">
        <f>IF($B6=0,"",('MF Rollover'!CR6*($P6*(1+'Property Summary'!$L$22)^('MF Releasing'!CS$3-1)))*$C6)</f>
        <v>0</v>
      </c>
      <c r="CT6" s="149">
        <f>IF($B6=0,"",('MF Rollover'!CS6*($P6*(1+'Property Summary'!$L$22)^('MF Releasing'!CT$3-1)))*$C6)</f>
        <v>0</v>
      </c>
      <c r="CU6" s="149">
        <f>IF($B6=0,"",('MF Rollover'!CT6*($P6*(1+'Property Summary'!$L$22)^('MF Releasing'!CU$3-1)))*$C6)</f>
        <v>0</v>
      </c>
      <c r="CV6" s="149">
        <f>IF($B6=0,"",('MF Rollover'!CU6*($P6*(1+'Property Summary'!$L$22)^('MF Releasing'!CV$3-1)))*$C6)</f>
        <v>0</v>
      </c>
      <c r="CW6" s="149">
        <f>IF($B6=0,"",('MF Rollover'!CV6*($P6*(1+'Property Summary'!$L$22)^('MF Releasing'!CW$3-1)))*$C6)</f>
        <v>0</v>
      </c>
      <c r="CX6" s="149">
        <f>IF($B6=0,"",('MF Rollover'!CW6*($P6*(1+'Property Summary'!$L$22)^('MF Releasing'!CX$3-1)))*$C6)</f>
        <v>0</v>
      </c>
      <c r="CY6" s="149">
        <f>IF($B6=0,"",('MF Rollover'!CX6*($P6*(1+'Property Summary'!$L$22)^('MF Releasing'!CY$3-1)))*$C6)</f>
        <v>5513.6912047165433</v>
      </c>
      <c r="CZ6" s="149">
        <f>IF($B6=0,"",('MF Rollover'!CY6*($P6*(1+'Property Summary'!$L$22)^('MF Releasing'!CZ$3-1)))*$C6)</f>
        <v>0</v>
      </c>
      <c r="DA6" s="149">
        <f>IF($B6=0,"",('MF Rollover'!CZ6*($P6*(1+'Property Summary'!$L$22)^('MF Releasing'!DA$3-1)))*$C6)</f>
        <v>0</v>
      </c>
      <c r="DB6" s="149">
        <f>IF($B6=0,"",('MF Rollover'!DA6*($P6*(1+'Property Summary'!$L$22)^('MF Releasing'!DB$3-1)))*$C6)</f>
        <v>0</v>
      </c>
      <c r="DC6" s="149">
        <f>IF($B6=0,"",('MF Rollover'!DB6*($P6*(1+'Property Summary'!$L$22)^('MF Releasing'!DC$3-1)))*$C6)</f>
        <v>0</v>
      </c>
      <c r="DD6" s="149">
        <f>IF($B6=0,"",('MF Rollover'!DC6*($P6*(1+'Property Summary'!$L$22)^('MF Releasing'!DD$3-1)))*$C6)</f>
        <v>0</v>
      </c>
      <c r="DE6" s="149">
        <f>IF($B6=0,"",('MF Rollover'!DD6*($P6*(1+'Property Summary'!$L$22)^('MF Releasing'!DE$3-1)))*$C6)</f>
        <v>0</v>
      </c>
      <c r="DF6" s="149">
        <f>IF($B6=0,"",('MF Rollover'!DE6*($P6*(1+'Property Summary'!$L$22)^('MF Releasing'!DF$3-1)))*$C6)</f>
        <v>0</v>
      </c>
      <c r="DG6" s="149">
        <f>IF($B6=0,"",('MF Rollover'!DF6*($P6*(1+'Property Summary'!$L$22)^('MF Releasing'!DG$3-1)))*$C6)</f>
        <v>0</v>
      </c>
      <c r="DH6" s="149">
        <f>IF($B6=0,"",('MF Rollover'!DG6*($P6*(1+'Property Summary'!$L$22)^('MF Releasing'!DH$3-1)))*$C6)</f>
        <v>0</v>
      </c>
      <c r="DI6" s="149">
        <f>IF($B6=0,"",('MF Rollover'!DH6*($P6*(1+'Property Summary'!$L$22)^('MF Releasing'!DI$3-1)))*$C6)</f>
        <v>0</v>
      </c>
      <c r="DJ6" s="149">
        <f>IF($B6=0,"",('MF Rollover'!DI6*($P6*(1+'Property Summary'!$L$22)^('MF Releasing'!DJ$3-1)))*$C6)</f>
        <v>0</v>
      </c>
      <c r="DK6" s="149">
        <f>IF($B6=0,"",('MF Rollover'!DJ6*($P6*(1+'Property Summary'!$L$22)^('MF Releasing'!DK$3-1)))*$C6)</f>
        <v>5623.9650288108751</v>
      </c>
      <c r="DL6" s="149">
        <f>IF($B6=0,"",('MF Rollover'!DK6*($P6*(1+'Property Summary'!$L$22)^('MF Releasing'!DL$3-1)))*$C6)</f>
        <v>0</v>
      </c>
      <c r="DM6" s="149">
        <f>IF($B6=0,"",('MF Rollover'!DL6*($P6*(1+'Property Summary'!$L$22)^('MF Releasing'!DM$3-1)))*$C6)</f>
        <v>0</v>
      </c>
      <c r="DN6" s="149">
        <f>IF($B6=0,"",('MF Rollover'!DM6*($P6*(1+'Property Summary'!$L$22)^('MF Releasing'!DN$3-1)))*$C6)</f>
        <v>0</v>
      </c>
      <c r="DO6" s="149">
        <f>IF($B6=0,"",('MF Rollover'!DN6*($P6*(1+'Property Summary'!$L$22)^('MF Releasing'!DO$3-1)))*$C6)</f>
        <v>0</v>
      </c>
      <c r="DP6" s="149">
        <f>IF($B6=0,"",('MF Rollover'!DO6*($P6*(1+'Property Summary'!$L$22)^('MF Releasing'!DP$3-1)))*$C6)</f>
        <v>0</v>
      </c>
      <c r="DQ6" s="149">
        <f>IF($B6=0,"",('MF Rollover'!DP6*($P6*(1+'Property Summary'!$L$22)^('MF Releasing'!DQ$3-1)))*$C6)</f>
        <v>0</v>
      </c>
      <c r="DR6" s="149">
        <f>IF($B6=0,"",('MF Rollover'!DQ6*($P6*(1+'Property Summary'!$L$22)^('MF Releasing'!DR$3-1)))*$C6)</f>
        <v>0</v>
      </c>
      <c r="DS6" s="149">
        <f>IF($B6=0,"",('MF Rollover'!DR6*($P6*(1+'Property Summary'!$L$22)^('MF Releasing'!DS$3-1)))*$C6)</f>
        <v>0</v>
      </c>
      <c r="DT6" s="149">
        <f>IF($B6=0,"",('MF Rollover'!DS6*($P6*(1+'Property Summary'!$L$22)^('MF Releasing'!DT$3-1)))*$C6)</f>
        <v>0</v>
      </c>
      <c r="DU6" s="149">
        <f>IF($B6=0,"",('MF Rollover'!DT6*($P6*(1+'Property Summary'!$L$22)^('MF Releasing'!DU$3-1)))*$C6)</f>
        <v>0</v>
      </c>
      <c r="DV6" s="149">
        <f>IF($B6=0,"",('MF Rollover'!DU6*($P6*(1+'Property Summary'!$L$22)^('MF Releasing'!DV$3-1)))*$C6)</f>
        <v>0</v>
      </c>
      <c r="DW6" s="149">
        <f>IF($B6=0,"",('MF Rollover'!DV6*($P6*(1+'Property Summary'!$L$22)^('MF Releasing'!DW$3-1)))*$C6)</f>
        <v>5736.4443293870918</v>
      </c>
      <c r="DX6" s="149">
        <f>IF($B6=0,"",('MF Rollover'!DW6*($P6*(1+'Property Summary'!$L$22)^('MF Releasing'!DX$3-1)))*$C6)</f>
        <v>0</v>
      </c>
      <c r="DY6" s="149">
        <f>IF($B6=0,"",('MF Rollover'!DX6*($P6*(1+'Property Summary'!$L$22)^('MF Releasing'!DY$3-1)))*$C6)</f>
        <v>0</v>
      </c>
      <c r="DZ6" s="149">
        <f>IF($B6=0,"",('MF Rollover'!DY6*($P6*(1+'Property Summary'!$L$22)^('MF Releasing'!DZ$3-1)))*$C6)</f>
        <v>0</v>
      </c>
      <c r="EA6" s="149">
        <f>IF($B6=0,"",('MF Rollover'!DZ6*($P6*(1+'Property Summary'!$L$22)^('MF Releasing'!EA$3-1)))*$C6)</f>
        <v>0</v>
      </c>
      <c r="EB6" s="149">
        <f>IF($B6=0,"",('MF Rollover'!EA6*($P6*(1+'Property Summary'!$L$22)^('MF Releasing'!EB$3-1)))*$C6)</f>
        <v>0</v>
      </c>
      <c r="EC6" s="149">
        <f>IF($B6=0,"",('MF Rollover'!EB6*($P6*(1+'Property Summary'!$L$22)^('MF Releasing'!EC$3-1)))*$C6)</f>
        <v>0</v>
      </c>
      <c r="ED6" s="149">
        <f>IF($B6=0,"",('MF Rollover'!EC6*($P6*(1+'Property Summary'!$L$22)^('MF Releasing'!ED$3-1)))*$C6)</f>
        <v>0</v>
      </c>
      <c r="EE6" s="149">
        <f>IF($B6=0,"",('MF Rollover'!ED6*($P6*(1+'Property Summary'!$L$22)^('MF Releasing'!EE$3-1)))*$C6)</f>
        <v>0</v>
      </c>
      <c r="EF6" s="149">
        <f>IF($B6=0,"",('MF Rollover'!EE6*($P6*(1+'Property Summary'!$L$22)^('MF Releasing'!EF$3-1)))*$C6)</f>
        <v>0</v>
      </c>
      <c r="EG6" s="149">
        <f>IF($B6=0,"",('MF Rollover'!EF6*($P6*(1+'Property Summary'!$L$22)^('MF Releasing'!EG$3-1)))*$C6)</f>
        <v>0</v>
      </c>
      <c r="EH6" s="149">
        <f>IF($B6=0,"",('MF Rollover'!EG6*($P6*(1+'Property Summary'!$L$22)^('MF Releasing'!EH$3-1)))*$C6)</f>
        <v>0</v>
      </c>
      <c r="EI6" s="149">
        <f>IF($B6=0,"",('MF Rollover'!EH6*($P6*(1+'Property Summary'!$L$22)^('MF Releasing'!EI$3-1)))*$C6)</f>
        <v>5851.1732159748335</v>
      </c>
      <c r="EJ6" s="149">
        <f>IF($B6=0,"",('MF Rollover'!EI6*($P6*(1+'Property Summary'!$L$22)^('MF Releasing'!EJ$3-1)))*$C6)</f>
        <v>0</v>
      </c>
      <c r="EK6" s="149">
        <f>IF($B6=0,"",('MF Rollover'!EJ6*($P6*(1+'Property Summary'!$L$22)^('MF Releasing'!EK$3-1)))*$C6)</f>
        <v>0</v>
      </c>
      <c r="EL6" s="149">
        <f>IF($B6=0,"",('MF Rollover'!EK6*($P6*(1+'Property Summary'!$L$22)^('MF Releasing'!EL$3-1)))*$C6)</f>
        <v>0</v>
      </c>
      <c r="EM6" s="149">
        <f>IF($B6=0,"",('MF Rollover'!EL6*($P6*(1+'Property Summary'!$L$22)^('MF Releasing'!EM$3-1)))*$C6)</f>
        <v>0</v>
      </c>
      <c r="EN6" s="149">
        <f>IF($B6=0,"",('MF Rollover'!EM6*($P6*(1+'Property Summary'!$L$22)^('MF Releasing'!EN$3-1)))*$C6)</f>
        <v>0</v>
      </c>
      <c r="EO6" s="149">
        <f>IF($B6=0,"",('MF Rollover'!EN6*($P6*(1+'Property Summary'!$L$22)^('MF Releasing'!EO$3-1)))*$C6)</f>
        <v>0</v>
      </c>
      <c r="EP6" s="149">
        <f>IF($B6=0,"",('MF Rollover'!EO6*($P6*(1+'Property Summary'!$L$22)^('MF Releasing'!EP$3-1)))*$C6)</f>
        <v>0</v>
      </c>
      <c r="EQ6" s="149">
        <f>IF($B6=0,"",('MF Rollover'!EP6*($P6*(1+'Property Summary'!$L$22)^('MF Releasing'!EQ$3-1)))*$C6)</f>
        <v>0</v>
      </c>
      <c r="ER6" s="149">
        <f>IF($B6=0,"",('MF Rollover'!EQ6*($P6*(1+'Property Summary'!$L$22)^('MF Releasing'!ER$3-1)))*$C6)</f>
        <v>0</v>
      </c>
      <c r="ES6" s="149">
        <f>IF($B6=0,"",('MF Rollover'!ER6*($P6*(1+'Property Summary'!$L$22)^('MF Releasing'!ES$3-1)))*$C6)</f>
        <v>0</v>
      </c>
      <c r="ET6" s="149">
        <f>IF($B6=0,"",('MF Rollover'!ES6*($P6*(1+'Property Summary'!$L$22)^('MF Releasing'!ET$3-1)))*$C6)</f>
        <v>0</v>
      </c>
      <c r="EU6" s="149">
        <f>IF($B6=0,"",('MF Rollover'!ET6*($P6*(1+'Property Summary'!$L$22)^('MF Releasing'!EU$3-1)))*$C6)</f>
        <v>5968.1966802943298</v>
      </c>
      <c r="EV6" s="149">
        <f>IF($B6=0,"",('MF Rollover'!EU6*($P6*(1+'Property Summary'!$L$22)^('MF Releasing'!EV$3-1)))*$C6)</f>
        <v>0</v>
      </c>
      <c r="EW6" s="149">
        <f>IF($B6=0,"",('MF Rollover'!EV6*($P6*(1+'Property Summary'!$L$22)^('MF Releasing'!EW$3-1)))*$C6)</f>
        <v>0</v>
      </c>
      <c r="EX6" s="149">
        <f>IF($B6=0,"",('MF Rollover'!EW6*($P6*(1+'Property Summary'!$L$22)^('MF Releasing'!EX$3-1)))*$C6)</f>
        <v>0</v>
      </c>
      <c r="EY6" s="149">
        <f>IF($B6=0,"",('MF Rollover'!EX6*($P6*(1+'Property Summary'!$L$22)^('MF Releasing'!EY$3-1)))*$C6)</f>
        <v>0</v>
      </c>
      <c r="EZ6" s="149">
        <f>IF($B6=0,"",('MF Rollover'!EY6*($P6*(1+'Property Summary'!$L$22)^('MF Releasing'!EZ$3-1)))*$C6)</f>
        <v>0</v>
      </c>
      <c r="FA6" s="149">
        <f>IF($B6=0,"",('MF Rollover'!EZ6*($P6*(1+'Property Summary'!$L$22)^('MF Releasing'!FA$3-1)))*$C6)</f>
        <v>0</v>
      </c>
      <c r="FB6" s="149">
        <f>IF($B6=0,"",('MF Rollover'!FA6*($P6*(1+'Property Summary'!$L$22)^('MF Releasing'!FB$3-1)))*$C6)</f>
        <v>0</v>
      </c>
      <c r="FC6" s="149">
        <f>IF($B6=0,"",('MF Rollover'!FB6*($P6*(1+'Property Summary'!$L$22)^('MF Releasing'!FC$3-1)))*$C6)</f>
        <v>0</v>
      </c>
      <c r="FD6" s="149">
        <f>IF($B6=0,"",('MF Rollover'!FC6*($P6*(1+'Property Summary'!$L$22)^('MF Releasing'!FD$3-1)))*$C6)</f>
        <v>0</v>
      </c>
      <c r="FE6" s="149">
        <f>IF($B6=0,"",('MF Rollover'!FD6*($P6*(1+'Property Summary'!$L$22)^('MF Releasing'!FE$3-1)))*$C6)</f>
        <v>0</v>
      </c>
      <c r="FF6" s="149">
        <f>IF($B6=0,"",('MF Rollover'!FE6*($P6*(1+'Property Summary'!$L$22)^('MF Releasing'!FF$3-1)))*$C6)</f>
        <v>0</v>
      </c>
      <c r="FG6" s="149">
        <f>IF($B6=0,"",('MF Rollover'!FF6*($P6*(1+'Property Summary'!$L$22)^('MF Releasing'!FG$3-1)))*$C6)</f>
        <v>6087.5606139002175</v>
      </c>
      <c r="FH6" s="149">
        <f>IF($B6=0,"",('MF Rollover'!FG6*($P6*(1+'Property Summary'!$L$22)^('MF Releasing'!FH$3-1)))*$C6)</f>
        <v>0</v>
      </c>
      <c r="FI6" s="149">
        <f>IF($B6=0,"",('MF Rollover'!FH6*($P6*(1+'Property Summary'!$L$22)^('MF Releasing'!FI$3-1)))*$C6)</f>
        <v>0</v>
      </c>
      <c r="FJ6" s="149">
        <f>IF($B6=0,"",('MF Rollover'!FI6*($P6*(1+'Property Summary'!$L$22)^('MF Releasing'!FJ$3-1)))*$C6)</f>
        <v>0</v>
      </c>
      <c r="FK6" s="149">
        <f>IF($B6=0,"",('MF Rollover'!FJ6*($P6*(1+'Property Summary'!$L$22)^('MF Releasing'!FK$3-1)))*$C6)</f>
        <v>0</v>
      </c>
      <c r="FL6" s="149">
        <f>IF($B6=0,"",('MF Rollover'!FK6*($P6*(1+'Property Summary'!$L$22)^('MF Releasing'!FL$3-1)))*$C6)</f>
        <v>0</v>
      </c>
      <c r="FM6" s="149">
        <f>IF($B6=0,"",('MF Rollover'!FL6*($P6*(1+'Property Summary'!$L$22)^('MF Releasing'!FM$3-1)))*$C6)</f>
        <v>0</v>
      </c>
      <c r="FN6" s="149">
        <f>IF($B6=0,"",('MF Rollover'!FM6*($P6*(1+'Property Summary'!$L$22)^('MF Releasing'!FN$3-1)))*$C6)</f>
        <v>0</v>
      </c>
      <c r="FO6" s="149">
        <f>IF($B6=0,"",('MF Rollover'!FN6*($P6*(1+'Property Summary'!$L$22)^('MF Releasing'!FO$3-1)))*$C6)</f>
        <v>0</v>
      </c>
      <c r="FP6" s="149">
        <f>IF($B6=0,"",('MF Rollover'!FO6*($P6*(1+'Property Summary'!$L$22)^('MF Releasing'!FP$3-1)))*$C6)</f>
        <v>0</v>
      </c>
      <c r="FQ6" s="149">
        <f>IF($B6=0,"",('MF Rollover'!FP6*($P6*(1+'Property Summary'!$L$22)^('MF Releasing'!FQ$3-1)))*$C6)</f>
        <v>0</v>
      </c>
      <c r="FR6" s="149">
        <f>IF($B6=0,"",('MF Rollover'!FQ6*($P6*(1+'Property Summary'!$L$22)^('MF Releasing'!FR$3-1)))*$C6)</f>
        <v>0</v>
      </c>
      <c r="FS6" s="149">
        <f>IF($B6=0,"",('MF Rollover'!FR6*($P6*(1+'Property Summary'!$L$22)^('MF Releasing'!FS$3-1)))*$C6)</f>
        <v>6209.311826178222</v>
      </c>
      <c r="FT6" s="149">
        <f>IF($B6=0,"",('MF Rollover'!FS6*($P6*(1+'Property Summary'!$L$22)^('MF Releasing'!FT$3-1)))*$C6)</f>
        <v>0</v>
      </c>
      <c r="FU6" s="149">
        <f>IF($B6=0,"",('MF Rollover'!FT6*($P6*(1+'Property Summary'!$L$22)^('MF Releasing'!FU$3-1)))*$C6)</f>
        <v>0</v>
      </c>
      <c r="FV6" s="149">
        <f>IF($B6=0,"",('MF Rollover'!FU6*($P6*(1+'Property Summary'!$L$22)^('MF Releasing'!FV$3-1)))*$C6)</f>
        <v>0</v>
      </c>
      <c r="FW6" s="149">
        <f>IF($B6=0,"",('MF Rollover'!FV6*($P6*(1+'Property Summary'!$L$22)^('MF Releasing'!FW$3-1)))*$C6)</f>
        <v>0</v>
      </c>
      <c r="FX6" s="149">
        <f>IF($B6=0,"",('MF Rollover'!FW6*($P6*(1+'Property Summary'!$L$22)^('MF Releasing'!FX$3-1)))*$C6)</f>
        <v>0</v>
      </c>
      <c r="FY6" s="149">
        <f>IF($B6=0,"",('MF Rollover'!FX6*($P6*(1+'Property Summary'!$L$22)^('MF Releasing'!FY$3-1)))*$C6)</f>
        <v>0</v>
      </c>
      <c r="FZ6" s="149">
        <f>IF($B6=0,"",('MF Rollover'!FY6*($P6*(1+'Property Summary'!$L$22)^('MF Releasing'!FZ$3-1)))*$C6)</f>
        <v>0</v>
      </c>
      <c r="GA6" s="149">
        <f>IF($B6=0,"",('MF Rollover'!FZ6*($P6*(1+'Property Summary'!$L$22)^('MF Releasing'!GA$3-1)))*$C6)</f>
        <v>0</v>
      </c>
      <c r="GB6" s="149">
        <f>IF($B6=0,"",('MF Rollover'!GA6*($P6*(1+'Property Summary'!$L$22)^('MF Releasing'!GB$3-1)))*$C6)</f>
        <v>0</v>
      </c>
      <c r="GC6" s="149">
        <f>IF($B6=0,"",('MF Rollover'!GB6*($P6*(1+'Property Summary'!$L$22)^('MF Releasing'!GC$3-1)))*$C6)</f>
        <v>0</v>
      </c>
      <c r="GD6" s="149">
        <f>IF($B6=0,"",('MF Rollover'!GC6*($P6*(1+'Property Summary'!$L$22)^('MF Releasing'!GD$3-1)))*$C6)</f>
        <v>0</v>
      </c>
      <c r="GE6" s="149">
        <f>IF($B6=0,"",('MF Rollover'!GD6*($P6*(1+'Property Summary'!$L$22)^('MF Releasing'!GE$3-1)))*$C6)</f>
        <v>6333.4980627017867</v>
      </c>
      <c r="GF6" s="149">
        <f>IF($B6=0,"",('MF Rollover'!GE6*($P6*(1+'Property Summary'!$L$22)^('MF Releasing'!GF$3-1)))*$C6)</f>
        <v>0</v>
      </c>
      <c r="GG6" s="149">
        <f>IF($B6=0,"",('MF Rollover'!GF6*($P6*(1+'Property Summary'!$L$22)^('MF Releasing'!GG$3-1)))*$C6)</f>
        <v>0</v>
      </c>
      <c r="GH6" s="149">
        <f>IF($B6=0,"",('MF Rollover'!GG6*($P6*(1+'Property Summary'!$L$22)^('MF Releasing'!GH$3-1)))*$C6)</f>
        <v>0</v>
      </c>
      <c r="GI6" s="149">
        <f>IF($B6=0,"",('MF Rollover'!GH6*($P6*(1+'Property Summary'!$L$22)^('MF Releasing'!GI$3-1)))*$C6)</f>
        <v>0</v>
      </c>
      <c r="GJ6" s="149">
        <f>IF($B6=0,"",('MF Rollover'!GI6*($P6*(1+'Property Summary'!$L$22)^('MF Releasing'!GJ$3-1)))*$C6)</f>
        <v>0</v>
      </c>
      <c r="GK6" s="149">
        <f>IF($B6=0,"",('MF Rollover'!GJ6*($P6*(1+'Property Summary'!$L$22)^('MF Releasing'!GK$3-1)))*$C6)</f>
        <v>0</v>
      </c>
      <c r="GL6" s="149">
        <f>IF($B6=0,"",('MF Rollover'!GK6*($P6*(1+'Property Summary'!$L$22)^('MF Releasing'!GL$3-1)))*$C6)</f>
        <v>0</v>
      </c>
      <c r="GM6" s="149">
        <f>IF($B6=0,"",('MF Rollover'!GL6*($P6*(1+'Property Summary'!$L$22)^('MF Releasing'!GM$3-1)))*$C6)</f>
        <v>0</v>
      </c>
      <c r="GN6" s="149">
        <f>IF($B6=0,"",('MF Rollover'!GM6*($P6*(1+'Property Summary'!$L$22)^('MF Releasing'!GN$3-1)))*$C6)</f>
        <v>0</v>
      </c>
      <c r="GO6" s="149">
        <f>IF($B6=0,"",('MF Rollover'!GN6*($P6*(1+'Property Summary'!$L$22)^('MF Releasing'!GO$3-1)))*$C6)</f>
        <v>0</v>
      </c>
      <c r="GP6" s="149">
        <f>IF($B6=0,"",('MF Rollover'!GO6*($P6*(1+'Property Summary'!$L$22)^('MF Releasing'!GP$3-1)))*$C6)</f>
        <v>0</v>
      </c>
    </row>
    <row r="7" spans="2:198" x14ac:dyDescent="0.3">
      <c r="B7" s="184" t="str">
        <f>'MF Rent Roll'!B6</f>
        <v>1bd/1ba</v>
      </c>
      <c r="C7" s="171">
        <f>'MF Rent Roll'!C6</f>
        <v>24</v>
      </c>
      <c r="D7" s="172">
        <f>'MF Rent Roll'!D6</f>
        <v>1</v>
      </c>
      <c r="E7" s="172">
        <f>'MF Rent Roll'!E6</f>
        <v>1</v>
      </c>
      <c r="F7" s="173">
        <f>'MF Rent Roll'!F6</f>
        <v>671</v>
      </c>
      <c r="G7" s="174">
        <f>'MF Rent Roll'!G6</f>
        <v>660</v>
      </c>
      <c r="H7" s="176">
        <f>'MF Rent Roll'!J6</f>
        <v>12</v>
      </c>
      <c r="I7" s="174">
        <f>'MF Rent Roll'!K6</f>
        <v>50</v>
      </c>
      <c r="J7" s="177">
        <f>'MF Rent Roll'!L6</f>
        <v>0</v>
      </c>
      <c r="K7" s="178">
        <f>'MF Rent Roll'!M6</f>
        <v>20</v>
      </c>
      <c r="L7" s="174">
        <f>'MF Rent Roll'!N6</f>
        <v>300</v>
      </c>
      <c r="M7" s="179">
        <f>'MF Rent Roll'!O6</f>
        <v>0.6</v>
      </c>
      <c r="N7" s="180">
        <f>'MF Rent Roll'!P6</f>
        <v>0</v>
      </c>
      <c r="O7" s="181">
        <f>'MF Rent Roll'!Q6</f>
        <v>8</v>
      </c>
      <c r="P7" s="104">
        <f>'MF Rent Roll'!R6</f>
        <v>120</v>
      </c>
      <c r="S7" s="149">
        <f>IF($B7=0,"",('MF Rollover'!R7*($P7*(1+'Property Summary'!$L$22)^('MF Releasing'!S$3-1)))*$C7)</f>
        <v>0</v>
      </c>
      <c r="T7" s="149">
        <f>IF($B7=0,"",('MF Rollover'!S7*($P7*(1+'Property Summary'!$L$22)^('MF Releasing'!T$3-1)))*$C7)</f>
        <v>0</v>
      </c>
      <c r="U7" s="149">
        <f>IF($B7=0,"",('MF Rollover'!T7*($P7*(1+'Property Summary'!$L$22)^('MF Releasing'!U$3-1)))*$C7)</f>
        <v>0</v>
      </c>
      <c r="V7" s="149">
        <f>IF($B7=0,"",('MF Rollover'!U7*($P7*(1+'Property Summary'!$L$22)^('MF Releasing'!V$3-1)))*$C7)</f>
        <v>0</v>
      </c>
      <c r="W7" s="149">
        <f>IF($B7=0,"",('MF Rollover'!V7*($P7*(1+'Property Summary'!$L$22)^('MF Releasing'!W$3-1)))*$C7)</f>
        <v>0</v>
      </c>
      <c r="X7" s="149">
        <f>IF($B7=0,"",('MF Rollover'!W7*($P7*(1+'Property Summary'!$L$22)^('MF Releasing'!X$3-1)))*$C7)</f>
        <v>0</v>
      </c>
      <c r="Y7" s="149">
        <f>IF($B7=0,"",('MF Rollover'!X7*($P7*(1+'Property Summary'!$L$22)^('MF Releasing'!Y$3-1)))*$C7)</f>
        <v>0</v>
      </c>
      <c r="Z7" s="149">
        <f>IF($B7=0,"",('MF Rollover'!Y7*($P7*(1+'Property Summary'!$L$22)^('MF Releasing'!Z$3-1)))*$C7)</f>
        <v>0</v>
      </c>
      <c r="AA7" s="149">
        <f>IF($B7=0,"",('MF Rollover'!Z7*($P7*(1+'Property Summary'!$L$22)^('MF Releasing'!AA$3-1)))*$C7)</f>
        <v>0</v>
      </c>
      <c r="AB7" s="149">
        <f>IF($B7=0,"",('MF Rollover'!AA7*($P7*(1+'Property Summary'!$L$22)^('MF Releasing'!AB$3-1)))*$C7)</f>
        <v>0</v>
      </c>
      <c r="AC7" s="149">
        <f>IF($B7=0,"",('MF Rollover'!AB7*($P7*(1+'Property Summary'!$L$22)^('MF Releasing'!AC$3-1)))*$C7)</f>
        <v>0</v>
      </c>
      <c r="AD7" s="149">
        <f>IF($B7=0,"",('MF Rollover'!AC7*($P7*(1+'Property Summary'!$L$22)^('MF Releasing'!AD$3-1)))*$C7)</f>
        <v>0</v>
      </c>
      <c r="AE7" s="149">
        <f>IF($B7=0,"",('MF Rollover'!AD7*($P7*(1+'Property Summary'!$L$22)^('MF Releasing'!AE$3-1)))*$C7)</f>
        <v>2937.6000000000004</v>
      </c>
      <c r="AF7" s="149">
        <f>IF($B7=0,"",('MF Rollover'!AE7*($P7*(1+'Property Summary'!$L$22)^('MF Releasing'!AF$3-1)))*$C7)</f>
        <v>0</v>
      </c>
      <c r="AG7" s="149">
        <f>IF($B7=0,"",('MF Rollover'!AF7*($P7*(1+'Property Summary'!$L$22)^('MF Releasing'!AG$3-1)))*$C7)</f>
        <v>0</v>
      </c>
      <c r="AH7" s="149">
        <f>IF($B7=0,"",('MF Rollover'!AG7*($P7*(1+'Property Summary'!$L$22)^('MF Releasing'!AH$3-1)))*$C7)</f>
        <v>0</v>
      </c>
      <c r="AI7" s="149">
        <f>IF($B7=0,"",('MF Rollover'!AH7*($P7*(1+'Property Summary'!$L$22)^('MF Releasing'!AI$3-1)))*$C7)</f>
        <v>0</v>
      </c>
      <c r="AJ7" s="149">
        <f>IF($B7=0,"",('MF Rollover'!AI7*($P7*(1+'Property Summary'!$L$22)^('MF Releasing'!AJ$3-1)))*$C7)</f>
        <v>0</v>
      </c>
      <c r="AK7" s="149">
        <f>IF($B7=0,"",('MF Rollover'!AJ7*($P7*(1+'Property Summary'!$L$22)^('MF Releasing'!AK$3-1)))*$C7)</f>
        <v>0</v>
      </c>
      <c r="AL7" s="149">
        <f>IF($B7=0,"",('MF Rollover'!AK7*($P7*(1+'Property Summary'!$L$22)^('MF Releasing'!AL$3-1)))*$C7)</f>
        <v>0</v>
      </c>
      <c r="AM7" s="149">
        <f>IF($B7=0,"",('MF Rollover'!AL7*($P7*(1+'Property Summary'!$L$22)^('MF Releasing'!AM$3-1)))*$C7)</f>
        <v>0</v>
      </c>
      <c r="AN7" s="149">
        <f>IF($B7=0,"",('MF Rollover'!AM7*($P7*(1+'Property Summary'!$L$22)^('MF Releasing'!AN$3-1)))*$C7)</f>
        <v>0</v>
      </c>
      <c r="AO7" s="149">
        <f>IF($B7=0,"",('MF Rollover'!AN7*($P7*(1+'Property Summary'!$L$22)^('MF Releasing'!AO$3-1)))*$C7)</f>
        <v>0</v>
      </c>
      <c r="AP7" s="149">
        <f>IF($B7=0,"",('MF Rollover'!AO7*($P7*(1+'Property Summary'!$L$22)^('MF Releasing'!AP$3-1)))*$C7)</f>
        <v>0</v>
      </c>
      <c r="AQ7" s="149">
        <f>IF($B7=0,"",('MF Rollover'!AP7*($P7*(1+'Property Summary'!$L$22)^('MF Releasing'!AQ$3-1)))*$C7)</f>
        <v>2996.3519999999999</v>
      </c>
      <c r="AR7" s="149">
        <f>IF($B7=0,"",('MF Rollover'!AQ7*($P7*(1+'Property Summary'!$L$22)^('MF Releasing'!AR$3-1)))*$C7)</f>
        <v>0</v>
      </c>
      <c r="AS7" s="149">
        <f>IF($B7=0,"",('MF Rollover'!AR7*($P7*(1+'Property Summary'!$L$22)^('MF Releasing'!AS$3-1)))*$C7)</f>
        <v>0</v>
      </c>
      <c r="AT7" s="149">
        <f>IF($B7=0,"",('MF Rollover'!AS7*($P7*(1+'Property Summary'!$L$22)^('MF Releasing'!AT$3-1)))*$C7)</f>
        <v>0</v>
      </c>
      <c r="AU7" s="149">
        <f>IF($B7=0,"",('MF Rollover'!AT7*($P7*(1+'Property Summary'!$L$22)^('MF Releasing'!AU$3-1)))*$C7)</f>
        <v>0</v>
      </c>
      <c r="AV7" s="149">
        <f>IF($B7=0,"",('MF Rollover'!AU7*($P7*(1+'Property Summary'!$L$22)^('MF Releasing'!AV$3-1)))*$C7)</f>
        <v>0</v>
      </c>
      <c r="AW7" s="149">
        <f>IF($B7=0,"",('MF Rollover'!AV7*($P7*(1+'Property Summary'!$L$22)^('MF Releasing'!AW$3-1)))*$C7)</f>
        <v>0</v>
      </c>
      <c r="AX7" s="149">
        <f>IF($B7=0,"",('MF Rollover'!AW7*($P7*(1+'Property Summary'!$L$22)^('MF Releasing'!AX$3-1)))*$C7)</f>
        <v>0</v>
      </c>
      <c r="AY7" s="149">
        <f>IF($B7=0,"",('MF Rollover'!AX7*($P7*(1+'Property Summary'!$L$22)^('MF Releasing'!AY$3-1)))*$C7)</f>
        <v>0</v>
      </c>
      <c r="AZ7" s="149">
        <f>IF($B7=0,"",('MF Rollover'!AY7*($P7*(1+'Property Summary'!$L$22)^('MF Releasing'!AZ$3-1)))*$C7)</f>
        <v>0</v>
      </c>
      <c r="BA7" s="149">
        <f>IF($B7=0,"",('MF Rollover'!AZ7*($P7*(1+'Property Summary'!$L$22)^('MF Releasing'!BA$3-1)))*$C7)</f>
        <v>0</v>
      </c>
      <c r="BB7" s="149">
        <f>IF($B7=0,"",('MF Rollover'!BA7*($P7*(1+'Property Summary'!$L$22)^('MF Releasing'!BB$3-1)))*$C7)</f>
        <v>0</v>
      </c>
      <c r="BC7" s="149">
        <f>IF($B7=0,"",('MF Rollover'!BB7*($P7*(1+'Property Summary'!$L$22)^('MF Releasing'!BC$3-1)))*$C7)</f>
        <v>3056.2790399999994</v>
      </c>
      <c r="BD7" s="149">
        <f>IF($B7=0,"",('MF Rollover'!BC7*($P7*(1+'Property Summary'!$L$22)^('MF Releasing'!BD$3-1)))*$C7)</f>
        <v>0</v>
      </c>
      <c r="BE7" s="149">
        <f>IF($B7=0,"",('MF Rollover'!BD7*($P7*(1+'Property Summary'!$L$22)^('MF Releasing'!BE$3-1)))*$C7)</f>
        <v>0</v>
      </c>
      <c r="BF7" s="149">
        <f>IF($B7=0,"",('MF Rollover'!BE7*($P7*(1+'Property Summary'!$L$22)^('MF Releasing'!BF$3-1)))*$C7)</f>
        <v>0</v>
      </c>
      <c r="BG7" s="149">
        <f>IF($B7=0,"",('MF Rollover'!BF7*($P7*(1+'Property Summary'!$L$22)^('MF Releasing'!BG$3-1)))*$C7)</f>
        <v>0</v>
      </c>
      <c r="BH7" s="149">
        <f>IF($B7=0,"",('MF Rollover'!BG7*($P7*(1+'Property Summary'!$L$22)^('MF Releasing'!BH$3-1)))*$C7)</f>
        <v>0</v>
      </c>
      <c r="BI7" s="149">
        <f>IF($B7=0,"",('MF Rollover'!BH7*($P7*(1+'Property Summary'!$L$22)^('MF Releasing'!BI$3-1)))*$C7)</f>
        <v>0</v>
      </c>
      <c r="BJ7" s="149">
        <f>IF($B7=0,"",('MF Rollover'!BI7*($P7*(1+'Property Summary'!$L$22)^('MF Releasing'!BJ$3-1)))*$C7)</f>
        <v>0</v>
      </c>
      <c r="BK7" s="149">
        <f>IF($B7=0,"",('MF Rollover'!BJ7*($P7*(1+'Property Summary'!$L$22)^('MF Releasing'!BK$3-1)))*$C7)</f>
        <v>0</v>
      </c>
      <c r="BL7" s="149">
        <f>IF($B7=0,"",('MF Rollover'!BK7*($P7*(1+'Property Summary'!$L$22)^('MF Releasing'!BL$3-1)))*$C7)</f>
        <v>0</v>
      </c>
      <c r="BM7" s="149">
        <f>IF($B7=0,"",('MF Rollover'!BL7*($P7*(1+'Property Summary'!$L$22)^('MF Releasing'!BM$3-1)))*$C7)</f>
        <v>0</v>
      </c>
      <c r="BN7" s="149">
        <f>IF($B7=0,"",('MF Rollover'!BM7*($P7*(1+'Property Summary'!$L$22)^('MF Releasing'!BN$3-1)))*$C7)</f>
        <v>0</v>
      </c>
      <c r="BO7" s="149">
        <f>IF($B7=0,"",('MF Rollover'!BN7*($P7*(1+'Property Summary'!$L$22)^('MF Releasing'!BO$3-1)))*$C7)</f>
        <v>3117.4046208</v>
      </c>
      <c r="BP7" s="149">
        <f>IF($B7=0,"",('MF Rollover'!BO7*($P7*(1+'Property Summary'!$L$22)^('MF Releasing'!BP$3-1)))*$C7)</f>
        <v>0</v>
      </c>
      <c r="BQ7" s="149">
        <f>IF($B7=0,"",('MF Rollover'!BP7*($P7*(1+'Property Summary'!$L$22)^('MF Releasing'!BQ$3-1)))*$C7)</f>
        <v>0</v>
      </c>
      <c r="BR7" s="149">
        <f>IF($B7=0,"",('MF Rollover'!BQ7*($P7*(1+'Property Summary'!$L$22)^('MF Releasing'!BR$3-1)))*$C7)</f>
        <v>0</v>
      </c>
      <c r="BS7" s="149">
        <f>IF($B7=0,"",('MF Rollover'!BR7*($P7*(1+'Property Summary'!$L$22)^('MF Releasing'!BS$3-1)))*$C7)</f>
        <v>0</v>
      </c>
      <c r="BT7" s="149">
        <f>IF($B7=0,"",('MF Rollover'!BS7*($P7*(1+'Property Summary'!$L$22)^('MF Releasing'!BT$3-1)))*$C7)</f>
        <v>0</v>
      </c>
      <c r="BU7" s="149">
        <f>IF($B7=0,"",('MF Rollover'!BT7*($P7*(1+'Property Summary'!$L$22)^('MF Releasing'!BU$3-1)))*$C7)</f>
        <v>0</v>
      </c>
      <c r="BV7" s="149">
        <f>IF($B7=0,"",('MF Rollover'!BU7*($P7*(1+'Property Summary'!$L$22)^('MF Releasing'!BV$3-1)))*$C7)</f>
        <v>0</v>
      </c>
      <c r="BW7" s="149">
        <f>IF($B7=0,"",('MF Rollover'!BV7*($P7*(1+'Property Summary'!$L$22)^('MF Releasing'!BW$3-1)))*$C7)</f>
        <v>0</v>
      </c>
      <c r="BX7" s="149">
        <f>IF($B7=0,"",('MF Rollover'!BW7*($P7*(1+'Property Summary'!$L$22)^('MF Releasing'!BX$3-1)))*$C7)</f>
        <v>0</v>
      </c>
      <c r="BY7" s="149">
        <f>IF($B7=0,"",('MF Rollover'!BX7*($P7*(1+'Property Summary'!$L$22)^('MF Releasing'!BY$3-1)))*$C7)</f>
        <v>0</v>
      </c>
      <c r="BZ7" s="149">
        <f>IF($B7=0,"",('MF Rollover'!BY7*($P7*(1+'Property Summary'!$L$22)^('MF Releasing'!BZ$3-1)))*$C7)</f>
        <v>0</v>
      </c>
      <c r="CA7" s="149">
        <f>IF($B7=0,"",('MF Rollover'!BZ7*($P7*(1+'Property Summary'!$L$22)^('MF Releasing'!CA$3-1)))*$C7)</f>
        <v>3179.7527132160003</v>
      </c>
      <c r="CB7" s="149">
        <f>IF($B7=0,"",('MF Rollover'!CA7*($P7*(1+'Property Summary'!$L$22)^('MF Releasing'!CB$3-1)))*$C7)</f>
        <v>0</v>
      </c>
      <c r="CC7" s="149">
        <f>IF($B7=0,"",('MF Rollover'!CB7*($P7*(1+'Property Summary'!$L$22)^('MF Releasing'!CC$3-1)))*$C7)</f>
        <v>0</v>
      </c>
      <c r="CD7" s="149">
        <f>IF($B7=0,"",('MF Rollover'!CC7*($P7*(1+'Property Summary'!$L$22)^('MF Releasing'!CD$3-1)))*$C7)</f>
        <v>0</v>
      </c>
      <c r="CE7" s="149">
        <f>IF($B7=0,"",('MF Rollover'!CD7*($P7*(1+'Property Summary'!$L$22)^('MF Releasing'!CE$3-1)))*$C7)</f>
        <v>0</v>
      </c>
      <c r="CF7" s="149">
        <f>IF($B7=0,"",('MF Rollover'!CE7*($P7*(1+'Property Summary'!$L$22)^('MF Releasing'!CF$3-1)))*$C7)</f>
        <v>0</v>
      </c>
      <c r="CG7" s="149">
        <f>IF($B7=0,"",('MF Rollover'!CF7*($P7*(1+'Property Summary'!$L$22)^('MF Releasing'!CG$3-1)))*$C7)</f>
        <v>0</v>
      </c>
      <c r="CH7" s="149">
        <f>IF($B7=0,"",('MF Rollover'!CG7*($P7*(1+'Property Summary'!$L$22)^('MF Releasing'!CH$3-1)))*$C7)</f>
        <v>0</v>
      </c>
      <c r="CI7" s="149">
        <f>IF($B7=0,"",('MF Rollover'!CH7*($P7*(1+'Property Summary'!$L$22)^('MF Releasing'!CI$3-1)))*$C7)</f>
        <v>0</v>
      </c>
      <c r="CJ7" s="149">
        <f>IF($B7=0,"",('MF Rollover'!CI7*($P7*(1+'Property Summary'!$L$22)^('MF Releasing'!CJ$3-1)))*$C7)</f>
        <v>0</v>
      </c>
      <c r="CK7" s="149">
        <f>IF($B7=0,"",('MF Rollover'!CJ7*($P7*(1+'Property Summary'!$L$22)^('MF Releasing'!CK$3-1)))*$C7)</f>
        <v>0</v>
      </c>
      <c r="CL7" s="149">
        <f>IF($B7=0,"",('MF Rollover'!CK7*($P7*(1+'Property Summary'!$L$22)^('MF Releasing'!CL$3-1)))*$C7)</f>
        <v>0</v>
      </c>
      <c r="CM7" s="149">
        <f>IF($B7=0,"",('MF Rollover'!CL7*($P7*(1+'Property Summary'!$L$22)^('MF Releasing'!CM$3-1)))*$C7)</f>
        <v>3243.3477674803207</v>
      </c>
      <c r="CN7" s="149">
        <f>IF($B7=0,"",('MF Rollover'!CM7*($P7*(1+'Property Summary'!$L$22)^('MF Releasing'!CN$3-1)))*$C7)</f>
        <v>0</v>
      </c>
      <c r="CO7" s="149">
        <f>IF($B7=0,"",('MF Rollover'!CN7*($P7*(1+'Property Summary'!$L$22)^('MF Releasing'!CO$3-1)))*$C7)</f>
        <v>0</v>
      </c>
      <c r="CP7" s="149">
        <f>IF($B7=0,"",('MF Rollover'!CO7*($P7*(1+'Property Summary'!$L$22)^('MF Releasing'!CP$3-1)))*$C7)</f>
        <v>0</v>
      </c>
      <c r="CQ7" s="149">
        <f>IF($B7=0,"",('MF Rollover'!CP7*($P7*(1+'Property Summary'!$L$22)^('MF Releasing'!CQ$3-1)))*$C7)</f>
        <v>0</v>
      </c>
      <c r="CR7" s="149">
        <f>IF($B7=0,"",('MF Rollover'!CQ7*($P7*(1+'Property Summary'!$L$22)^('MF Releasing'!CR$3-1)))*$C7)</f>
        <v>0</v>
      </c>
      <c r="CS7" s="149">
        <f>IF($B7=0,"",('MF Rollover'!CR7*($P7*(1+'Property Summary'!$L$22)^('MF Releasing'!CS$3-1)))*$C7)</f>
        <v>0</v>
      </c>
      <c r="CT7" s="149">
        <f>IF($B7=0,"",('MF Rollover'!CS7*($P7*(1+'Property Summary'!$L$22)^('MF Releasing'!CT$3-1)))*$C7)</f>
        <v>0</v>
      </c>
      <c r="CU7" s="149">
        <f>IF($B7=0,"",('MF Rollover'!CT7*($P7*(1+'Property Summary'!$L$22)^('MF Releasing'!CU$3-1)))*$C7)</f>
        <v>0</v>
      </c>
      <c r="CV7" s="149">
        <f>IF($B7=0,"",('MF Rollover'!CU7*($P7*(1+'Property Summary'!$L$22)^('MF Releasing'!CV$3-1)))*$C7)</f>
        <v>0</v>
      </c>
      <c r="CW7" s="149">
        <f>IF($B7=0,"",('MF Rollover'!CV7*($P7*(1+'Property Summary'!$L$22)^('MF Releasing'!CW$3-1)))*$C7)</f>
        <v>0</v>
      </c>
      <c r="CX7" s="149">
        <f>IF($B7=0,"",('MF Rollover'!CW7*($P7*(1+'Property Summary'!$L$22)^('MF Releasing'!CX$3-1)))*$C7)</f>
        <v>0</v>
      </c>
      <c r="CY7" s="149">
        <f>IF($B7=0,"",('MF Rollover'!CX7*($P7*(1+'Property Summary'!$L$22)^('MF Releasing'!CY$3-1)))*$C7)</f>
        <v>3308.2147228299264</v>
      </c>
      <c r="CZ7" s="149">
        <f>IF($B7=0,"",('MF Rollover'!CY7*($P7*(1+'Property Summary'!$L$22)^('MF Releasing'!CZ$3-1)))*$C7)</f>
        <v>0</v>
      </c>
      <c r="DA7" s="149">
        <f>IF($B7=0,"",('MF Rollover'!CZ7*($P7*(1+'Property Summary'!$L$22)^('MF Releasing'!DA$3-1)))*$C7)</f>
        <v>0</v>
      </c>
      <c r="DB7" s="149">
        <f>IF($B7=0,"",('MF Rollover'!DA7*($P7*(1+'Property Summary'!$L$22)^('MF Releasing'!DB$3-1)))*$C7)</f>
        <v>0</v>
      </c>
      <c r="DC7" s="149">
        <f>IF($B7=0,"",('MF Rollover'!DB7*($P7*(1+'Property Summary'!$L$22)^('MF Releasing'!DC$3-1)))*$C7)</f>
        <v>0</v>
      </c>
      <c r="DD7" s="149">
        <f>IF($B7=0,"",('MF Rollover'!DC7*($P7*(1+'Property Summary'!$L$22)^('MF Releasing'!DD$3-1)))*$C7)</f>
        <v>0</v>
      </c>
      <c r="DE7" s="149">
        <f>IF($B7=0,"",('MF Rollover'!DD7*($P7*(1+'Property Summary'!$L$22)^('MF Releasing'!DE$3-1)))*$C7)</f>
        <v>0</v>
      </c>
      <c r="DF7" s="149">
        <f>IF($B7=0,"",('MF Rollover'!DE7*($P7*(1+'Property Summary'!$L$22)^('MF Releasing'!DF$3-1)))*$C7)</f>
        <v>0</v>
      </c>
      <c r="DG7" s="149">
        <f>IF($B7=0,"",('MF Rollover'!DF7*($P7*(1+'Property Summary'!$L$22)^('MF Releasing'!DG$3-1)))*$C7)</f>
        <v>0</v>
      </c>
      <c r="DH7" s="149">
        <f>IF($B7=0,"",('MF Rollover'!DG7*($P7*(1+'Property Summary'!$L$22)^('MF Releasing'!DH$3-1)))*$C7)</f>
        <v>0</v>
      </c>
      <c r="DI7" s="149">
        <f>IF($B7=0,"",('MF Rollover'!DH7*($P7*(1+'Property Summary'!$L$22)^('MF Releasing'!DI$3-1)))*$C7)</f>
        <v>0</v>
      </c>
      <c r="DJ7" s="149">
        <f>IF($B7=0,"",('MF Rollover'!DI7*($P7*(1+'Property Summary'!$L$22)^('MF Releasing'!DJ$3-1)))*$C7)</f>
        <v>0</v>
      </c>
      <c r="DK7" s="149">
        <f>IF($B7=0,"",('MF Rollover'!DJ7*($P7*(1+'Property Summary'!$L$22)^('MF Releasing'!DK$3-1)))*$C7)</f>
        <v>3374.3790172865247</v>
      </c>
      <c r="DL7" s="149">
        <f>IF($B7=0,"",('MF Rollover'!DK7*($P7*(1+'Property Summary'!$L$22)^('MF Releasing'!DL$3-1)))*$C7)</f>
        <v>0</v>
      </c>
      <c r="DM7" s="149">
        <f>IF($B7=0,"",('MF Rollover'!DL7*($P7*(1+'Property Summary'!$L$22)^('MF Releasing'!DM$3-1)))*$C7)</f>
        <v>0</v>
      </c>
      <c r="DN7" s="149">
        <f>IF($B7=0,"",('MF Rollover'!DM7*($P7*(1+'Property Summary'!$L$22)^('MF Releasing'!DN$3-1)))*$C7)</f>
        <v>0</v>
      </c>
      <c r="DO7" s="149">
        <f>IF($B7=0,"",('MF Rollover'!DN7*($P7*(1+'Property Summary'!$L$22)^('MF Releasing'!DO$3-1)))*$C7)</f>
        <v>0</v>
      </c>
      <c r="DP7" s="149">
        <f>IF($B7=0,"",('MF Rollover'!DO7*($P7*(1+'Property Summary'!$L$22)^('MF Releasing'!DP$3-1)))*$C7)</f>
        <v>0</v>
      </c>
      <c r="DQ7" s="149">
        <f>IF($B7=0,"",('MF Rollover'!DP7*($P7*(1+'Property Summary'!$L$22)^('MF Releasing'!DQ$3-1)))*$C7)</f>
        <v>0</v>
      </c>
      <c r="DR7" s="149">
        <f>IF($B7=0,"",('MF Rollover'!DQ7*($P7*(1+'Property Summary'!$L$22)^('MF Releasing'!DR$3-1)))*$C7)</f>
        <v>0</v>
      </c>
      <c r="DS7" s="149">
        <f>IF($B7=0,"",('MF Rollover'!DR7*($P7*(1+'Property Summary'!$L$22)^('MF Releasing'!DS$3-1)))*$C7)</f>
        <v>0</v>
      </c>
      <c r="DT7" s="149">
        <f>IF($B7=0,"",('MF Rollover'!DS7*($P7*(1+'Property Summary'!$L$22)^('MF Releasing'!DT$3-1)))*$C7)</f>
        <v>0</v>
      </c>
      <c r="DU7" s="149">
        <f>IF($B7=0,"",('MF Rollover'!DT7*($P7*(1+'Property Summary'!$L$22)^('MF Releasing'!DU$3-1)))*$C7)</f>
        <v>0</v>
      </c>
      <c r="DV7" s="149">
        <f>IF($B7=0,"",('MF Rollover'!DU7*($P7*(1+'Property Summary'!$L$22)^('MF Releasing'!DV$3-1)))*$C7)</f>
        <v>0</v>
      </c>
      <c r="DW7" s="149">
        <f>IF($B7=0,"",('MF Rollover'!DV7*($P7*(1+'Property Summary'!$L$22)^('MF Releasing'!DW$3-1)))*$C7)</f>
        <v>3441.8665976322554</v>
      </c>
      <c r="DX7" s="149">
        <f>IF($B7=0,"",('MF Rollover'!DW7*($P7*(1+'Property Summary'!$L$22)^('MF Releasing'!DX$3-1)))*$C7)</f>
        <v>0</v>
      </c>
      <c r="DY7" s="149">
        <f>IF($B7=0,"",('MF Rollover'!DX7*($P7*(1+'Property Summary'!$L$22)^('MF Releasing'!DY$3-1)))*$C7)</f>
        <v>0</v>
      </c>
      <c r="DZ7" s="149">
        <f>IF($B7=0,"",('MF Rollover'!DY7*($P7*(1+'Property Summary'!$L$22)^('MF Releasing'!DZ$3-1)))*$C7)</f>
        <v>0</v>
      </c>
      <c r="EA7" s="149">
        <f>IF($B7=0,"",('MF Rollover'!DZ7*($P7*(1+'Property Summary'!$L$22)^('MF Releasing'!EA$3-1)))*$C7)</f>
        <v>0</v>
      </c>
      <c r="EB7" s="149">
        <f>IF($B7=0,"",('MF Rollover'!EA7*($P7*(1+'Property Summary'!$L$22)^('MF Releasing'!EB$3-1)))*$C7)</f>
        <v>0</v>
      </c>
      <c r="EC7" s="149">
        <f>IF($B7=0,"",('MF Rollover'!EB7*($P7*(1+'Property Summary'!$L$22)^('MF Releasing'!EC$3-1)))*$C7)</f>
        <v>0</v>
      </c>
      <c r="ED7" s="149">
        <f>IF($B7=0,"",('MF Rollover'!EC7*($P7*(1+'Property Summary'!$L$22)^('MF Releasing'!ED$3-1)))*$C7)</f>
        <v>0</v>
      </c>
      <c r="EE7" s="149">
        <f>IF($B7=0,"",('MF Rollover'!ED7*($P7*(1+'Property Summary'!$L$22)^('MF Releasing'!EE$3-1)))*$C7)</f>
        <v>0</v>
      </c>
      <c r="EF7" s="149">
        <f>IF($B7=0,"",('MF Rollover'!EE7*($P7*(1+'Property Summary'!$L$22)^('MF Releasing'!EF$3-1)))*$C7)</f>
        <v>0</v>
      </c>
      <c r="EG7" s="149">
        <f>IF($B7=0,"",('MF Rollover'!EF7*($P7*(1+'Property Summary'!$L$22)^('MF Releasing'!EG$3-1)))*$C7)</f>
        <v>0</v>
      </c>
      <c r="EH7" s="149">
        <f>IF($B7=0,"",('MF Rollover'!EG7*($P7*(1+'Property Summary'!$L$22)^('MF Releasing'!EH$3-1)))*$C7)</f>
        <v>0</v>
      </c>
      <c r="EI7" s="149">
        <f>IF($B7=0,"",('MF Rollover'!EH7*($P7*(1+'Property Summary'!$L$22)^('MF Releasing'!EI$3-1)))*$C7)</f>
        <v>3510.7039295849004</v>
      </c>
      <c r="EJ7" s="149">
        <f>IF($B7=0,"",('MF Rollover'!EI7*($P7*(1+'Property Summary'!$L$22)^('MF Releasing'!EJ$3-1)))*$C7)</f>
        <v>0</v>
      </c>
      <c r="EK7" s="149">
        <f>IF($B7=0,"",('MF Rollover'!EJ7*($P7*(1+'Property Summary'!$L$22)^('MF Releasing'!EK$3-1)))*$C7)</f>
        <v>0</v>
      </c>
      <c r="EL7" s="149">
        <f>IF($B7=0,"",('MF Rollover'!EK7*($P7*(1+'Property Summary'!$L$22)^('MF Releasing'!EL$3-1)))*$C7)</f>
        <v>0</v>
      </c>
      <c r="EM7" s="149">
        <f>IF($B7=0,"",('MF Rollover'!EL7*($P7*(1+'Property Summary'!$L$22)^('MF Releasing'!EM$3-1)))*$C7)</f>
        <v>0</v>
      </c>
      <c r="EN7" s="149">
        <f>IF($B7=0,"",('MF Rollover'!EM7*($P7*(1+'Property Summary'!$L$22)^('MF Releasing'!EN$3-1)))*$C7)</f>
        <v>0</v>
      </c>
      <c r="EO7" s="149">
        <f>IF($B7=0,"",('MF Rollover'!EN7*($P7*(1+'Property Summary'!$L$22)^('MF Releasing'!EO$3-1)))*$C7)</f>
        <v>0</v>
      </c>
      <c r="EP7" s="149">
        <f>IF($B7=0,"",('MF Rollover'!EO7*($P7*(1+'Property Summary'!$L$22)^('MF Releasing'!EP$3-1)))*$C7)</f>
        <v>0</v>
      </c>
      <c r="EQ7" s="149">
        <f>IF($B7=0,"",('MF Rollover'!EP7*($P7*(1+'Property Summary'!$L$22)^('MF Releasing'!EQ$3-1)))*$C7)</f>
        <v>0</v>
      </c>
      <c r="ER7" s="149">
        <f>IF($B7=0,"",('MF Rollover'!EQ7*($P7*(1+'Property Summary'!$L$22)^('MF Releasing'!ER$3-1)))*$C7)</f>
        <v>0</v>
      </c>
      <c r="ES7" s="149">
        <f>IF($B7=0,"",('MF Rollover'!ER7*($P7*(1+'Property Summary'!$L$22)^('MF Releasing'!ES$3-1)))*$C7)</f>
        <v>0</v>
      </c>
      <c r="ET7" s="149">
        <f>IF($B7=0,"",('MF Rollover'!ES7*($P7*(1+'Property Summary'!$L$22)^('MF Releasing'!ET$3-1)))*$C7)</f>
        <v>0</v>
      </c>
      <c r="EU7" s="149">
        <f>IF($B7=0,"",('MF Rollover'!ET7*($P7*(1+'Property Summary'!$L$22)^('MF Releasing'!EU$3-1)))*$C7)</f>
        <v>3580.9180081765976</v>
      </c>
      <c r="EV7" s="149">
        <f>IF($B7=0,"",('MF Rollover'!EU7*($P7*(1+'Property Summary'!$L$22)^('MF Releasing'!EV$3-1)))*$C7)</f>
        <v>0</v>
      </c>
      <c r="EW7" s="149">
        <f>IF($B7=0,"",('MF Rollover'!EV7*($P7*(1+'Property Summary'!$L$22)^('MF Releasing'!EW$3-1)))*$C7)</f>
        <v>0</v>
      </c>
      <c r="EX7" s="149">
        <f>IF($B7=0,"",('MF Rollover'!EW7*($P7*(1+'Property Summary'!$L$22)^('MF Releasing'!EX$3-1)))*$C7)</f>
        <v>0</v>
      </c>
      <c r="EY7" s="149">
        <f>IF($B7=0,"",('MF Rollover'!EX7*($P7*(1+'Property Summary'!$L$22)^('MF Releasing'!EY$3-1)))*$C7)</f>
        <v>0</v>
      </c>
      <c r="EZ7" s="149">
        <f>IF($B7=0,"",('MF Rollover'!EY7*($P7*(1+'Property Summary'!$L$22)^('MF Releasing'!EZ$3-1)))*$C7)</f>
        <v>0</v>
      </c>
      <c r="FA7" s="149">
        <f>IF($B7=0,"",('MF Rollover'!EZ7*($P7*(1+'Property Summary'!$L$22)^('MF Releasing'!FA$3-1)))*$C7)</f>
        <v>0</v>
      </c>
      <c r="FB7" s="149">
        <f>IF($B7=0,"",('MF Rollover'!FA7*($P7*(1+'Property Summary'!$L$22)^('MF Releasing'!FB$3-1)))*$C7)</f>
        <v>0</v>
      </c>
      <c r="FC7" s="149">
        <f>IF($B7=0,"",('MF Rollover'!FB7*($P7*(1+'Property Summary'!$L$22)^('MF Releasing'!FC$3-1)))*$C7)</f>
        <v>0</v>
      </c>
      <c r="FD7" s="149">
        <f>IF($B7=0,"",('MF Rollover'!FC7*($P7*(1+'Property Summary'!$L$22)^('MF Releasing'!FD$3-1)))*$C7)</f>
        <v>0</v>
      </c>
      <c r="FE7" s="149">
        <f>IF($B7=0,"",('MF Rollover'!FD7*($P7*(1+'Property Summary'!$L$22)^('MF Releasing'!FE$3-1)))*$C7)</f>
        <v>0</v>
      </c>
      <c r="FF7" s="149">
        <f>IF($B7=0,"",('MF Rollover'!FE7*($P7*(1+'Property Summary'!$L$22)^('MF Releasing'!FF$3-1)))*$C7)</f>
        <v>0</v>
      </c>
      <c r="FG7" s="149">
        <f>IF($B7=0,"",('MF Rollover'!FF7*($P7*(1+'Property Summary'!$L$22)^('MF Releasing'!FG$3-1)))*$C7)</f>
        <v>3652.5363683401301</v>
      </c>
      <c r="FH7" s="149">
        <f>IF($B7=0,"",('MF Rollover'!FG7*($P7*(1+'Property Summary'!$L$22)^('MF Releasing'!FH$3-1)))*$C7)</f>
        <v>0</v>
      </c>
      <c r="FI7" s="149">
        <f>IF($B7=0,"",('MF Rollover'!FH7*($P7*(1+'Property Summary'!$L$22)^('MF Releasing'!FI$3-1)))*$C7)</f>
        <v>0</v>
      </c>
      <c r="FJ7" s="149">
        <f>IF($B7=0,"",('MF Rollover'!FI7*($P7*(1+'Property Summary'!$L$22)^('MF Releasing'!FJ$3-1)))*$C7)</f>
        <v>0</v>
      </c>
      <c r="FK7" s="149">
        <f>IF($B7=0,"",('MF Rollover'!FJ7*($P7*(1+'Property Summary'!$L$22)^('MF Releasing'!FK$3-1)))*$C7)</f>
        <v>0</v>
      </c>
      <c r="FL7" s="149">
        <f>IF($B7=0,"",('MF Rollover'!FK7*($P7*(1+'Property Summary'!$L$22)^('MF Releasing'!FL$3-1)))*$C7)</f>
        <v>0</v>
      </c>
      <c r="FM7" s="149">
        <f>IF($B7=0,"",('MF Rollover'!FL7*($P7*(1+'Property Summary'!$L$22)^('MF Releasing'!FM$3-1)))*$C7)</f>
        <v>0</v>
      </c>
      <c r="FN7" s="149">
        <f>IF($B7=0,"",('MF Rollover'!FM7*($P7*(1+'Property Summary'!$L$22)^('MF Releasing'!FN$3-1)))*$C7)</f>
        <v>0</v>
      </c>
      <c r="FO7" s="149">
        <f>IF($B7=0,"",('MF Rollover'!FN7*($P7*(1+'Property Summary'!$L$22)^('MF Releasing'!FO$3-1)))*$C7)</f>
        <v>0</v>
      </c>
      <c r="FP7" s="149">
        <f>IF($B7=0,"",('MF Rollover'!FO7*($P7*(1+'Property Summary'!$L$22)^('MF Releasing'!FP$3-1)))*$C7)</f>
        <v>0</v>
      </c>
      <c r="FQ7" s="149">
        <f>IF($B7=0,"",('MF Rollover'!FP7*($P7*(1+'Property Summary'!$L$22)^('MF Releasing'!FQ$3-1)))*$C7)</f>
        <v>0</v>
      </c>
      <c r="FR7" s="149">
        <f>IF($B7=0,"",('MF Rollover'!FQ7*($P7*(1+'Property Summary'!$L$22)^('MF Releasing'!FR$3-1)))*$C7)</f>
        <v>0</v>
      </c>
      <c r="FS7" s="149">
        <f>IF($B7=0,"",('MF Rollover'!FR7*($P7*(1+'Property Summary'!$L$22)^('MF Releasing'!FS$3-1)))*$C7)</f>
        <v>3725.5870957069328</v>
      </c>
      <c r="FT7" s="149">
        <f>IF($B7=0,"",('MF Rollover'!FS7*($P7*(1+'Property Summary'!$L$22)^('MF Releasing'!FT$3-1)))*$C7)</f>
        <v>0</v>
      </c>
      <c r="FU7" s="149">
        <f>IF($B7=0,"",('MF Rollover'!FT7*($P7*(1+'Property Summary'!$L$22)^('MF Releasing'!FU$3-1)))*$C7)</f>
        <v>0</v>
      </c>
      <c r="FV7" s="149">
        <f>IF($B7=0,"",('MF Rollover'!FU7*($P7*(1+'Property Summary'!$L$22)^('MF Releasing'!FV$3-1)))*$C7)</f>
        <v>0</v>
      </c>
      <c r="FW7" s="149">
        <f>IF($B7=0,"",('MF Rollover'!FV7*($P7*(1+'Property Summary'!$L$22)^('MF Releasing'!FW$3-1)))*$C7)</f>
        <v>0</v>
      </c>
      <c r="FX7" s="149">
        <f>IF($B7=0,"",('MF Rollover'!FW7*($P7*(1+'Property Summary'!$L$22)^('MF Releasing'!FX$3-1)))*$C7)</f>
        <v>0</v>
      </c>
      <c r="FY7" s="149">
        <f>IF($B7=0,"",('MF Rollover'!FX7*($P7*(1+'Property Summary'!$L$22)^('MF Releasing'!FY$3-1)))*$C7)</f>
        <v>0</v>
      </c>
      <c r="FZ7" s="149">
        <f>IF($B7=0,"",('MF Rollover'!FY7*($P7*(1+'Property Summary'!$L$22)^('MF Releasing'!FZ$3-1)))*$C7)</f>
        <v>0</v>
      </c>
      <c r="GA7" s="149">
        <f>IF($B7=0,"",('MF Rollover'!FZ7*($P7*(1+'Property Summary'!$L$22)^('MF Releasing'!GA$3-1)))*$C7)</f>
        <v>0</v>
      </c>
      <c r="GB7" s="149">
        <f>IF($B7=0,"",('MF Rollover'!GA7*($P7*(1+'Property Summary'!$L$22)^('MF Releasing'!GB$3-1)))*$C7)</f>
        <v>0</v>
      </c>
      <c r="GC7" s="149">
        <f>IF($B7=0,"",('MF Rollover'!GB7*($P7*(1+'Property Summary'!$L$22)^('MF Releasing'!GC$3-1)))*$C7)</f>
        <v>0</v>
      </c>
      <c r="GD7" s="149">
        <f>IF($B7=0,"",('MF Rollover'!GC7*($P7*(1+'Property Summary'!$L$22)^('MF Releasing'!GD$3-1)))*$C7)</f>
        <v>0</v>
      </c>
      <c r="GE7" s="149">
        <f>IF($B7=0,"",('MF Rollover'!GD7*($P7*(1+'Property Summary'!$L$22)^('MF Releasing'!GE$3-1)))*$C7)</f>
        <v>3800.0988376210717</v>
      </c>
      <c r="GF7" s="149">
        <f>IF($B7=0,"",('MF Rollover'!GE7*($P7*(1+'Property Summary'!$L$22)^('MF Releasing'!GF$3-1)))*$C7)</f>
        <v>0</v>
      </c>
      <c r="GG7" s="149">
        <f>IF($B7=0,"",('MF Rollover'!GF7*($P7*(1+'Property Summary'!$L$22)^('MF Releasing'!GG$3-1)))*$C7)</f>
        <v>0</v>
      </c>
      <c r="GH7" s="149">
        <f>IF($B7=0,"",('MF Rollover'!GG7*($P7*(1+'Property Summary'!$L$22)^('MF Releasing'!GH$3-1)))*$C7)</f>
        <v>0</v>
      </c>
      <c r="GI7" s="149">
        <f>IF($B7=0,"",('MF Rollover'!GH7*($P7*(1+'Property Summary'!$L$22)^('MF Releasing'!GI$3-1)))*$C7)</f>
        <v>0</v>
      </c>
      <c r="GJ7" s="149">
        <f>IF($B7=0,"",('MF Rollover'!GI7*($P7*(1+'Property Summary'!$L$22)^('MF Releasing'!GJ$3-1)))*$C7)</f>
        <v>0</v>
      </c>
      <c r="GK7" s="149">
        <f>IF($B7=0,"",('MF Rollover'!GJ7*($P7*(1+'Property Summary'!$L$22)^('MF Releasing'!GK$3-1)))*$C7)</f>
        <v>0</v>
      </c>
      <c r="GL7" s="149">
        <f>IF($B7=0,"",('MF Rollover'!GK7*($P7*(1+'Property Summary'!$L$22)^('MF Releasing'!GL$3-1)))*$C7)</f>
        <v>0</v>
      </c>
      <c r="GM7" s="149">
        <f>IF($B7=0,"",('MF Rollover'!GL7*($P7*(1+'Property Summary'!$L$22)^('MF Releasing'!GM$3-1)))*$C7)</f>
        <v>0</v>
      </c>
      <c r="GN7" s="149">
        <f>IF($B7=0,"",('MF Rollover'!GM7*($P7*(1+'Property Summary'!$L$22)^('MF Releasing'!GN$3-1)))*$C7)</f>
        <v>0</v>
      </c>
      <c r="GO7" s="149">
        <f>IF($B7=0,"",('MF Rollover'!GN7*($P7*(1+'Property Summary'!$L$22)^('MF Releasing'!GO$3-1)))*$C7)</f>
        <v>0</v>
      </c>
      <c r="GP7" s="149">
        <f>IF($B7=0,"",('MF Rollover'!GO7*($P7*(1+'Property Summary'!$L$22)^('MF Releasing'!GP$3-1)))*$C7)</f>
        <v>0</v>
      </c>
    </row>
    <row r="8" spans="2:198" x14ac:dyDescent="0.3">
      <c r="B8" s="184" t="str">
        <f>'MF Rent Roll'!B7</f>
        <v>2bd/2ba</v>
      </c>
      <c r="C8" s="171">
        <f>'MF Rent Roll'!C7</f>
        <v>24</v>
      </c>
      <c r="D8" s="172">
        <f>'MF Rent Roll'!D7</f>
        <v>2</v>
      </c>
      <c r="E8" s="172">
        <f>'MF Rent Roll'!E7</f>
        <v>2</v>
      </c>
      <c r="F8" s="173">
        <f>'MF Rent Roll'!F7</f>
        <v>945</v>
      </c>
      <c r="G8" s="174">
        <f>'MF Rent Roll'!G7</f>
        <v>850</v>
      </c>
      <c r="H8" s="176">
        <f>'MF Rent Roll'!J7</f>
        <v>12</v>
      </c>
      <c r="I8" s="174">
        <f>'MF Rent Roll'!K7</f>
        <v>60</v>
      </c>
      <c r="J8" s="177">
        <f>'MF Rent Roll'!L7</f>
        <v>0</v>
      </c>
      <c r="K8" s="178">
        <f>'MF Rent Roll'!M7</f>
        <v>25</v>
      </c>
      <c r="L8" s="174">
        <f>'MF Rent Roll'!N7</f>
        <v>350</v>
      </c>
      <c r="M8" s="179">
        <f>'MF Rent Roll'!O7</f>
        <v>0.6</v>
      </c>
      <c r="N8" s="180">
        <f>'MF Rent Roll'!P7</f>
        <v>0</v>
      </c>
      <c r="O8" s="181">
        <f>'MF Rent Roll'!Q7</f>
        <v>10</v>
      </c>
      <c r="P8" s="104">
        <f>'MF Rent Roll'!R7</f>
        <v>140</v>
      </c>
      <c r="S8" s="149">
        <f>IF($B8=0,"",('MF Rollover'!R8*($P8*(1+'Property Summary'!$L$22)^('MF Releasing'!S$3-1)))*$C8)</f>
        <v>0</v>
      </c>
      <c r="T8" s="149">
        <f>IF($B8=0,"",('MF Rollover'!S8*($P8*(1+'Property Summary'!$L$22)^('MF Releasing'!T$3-1)))*$C8)</f>
        <v>0</v>
      </c>
      <c r="U8" s="149">
        <f>IF($B8=0,"",('MF Rollover'!T8*($P8*(1+'Property Summary'!$L$22)^('MF Releasing'!U$3-1)))*$C8)</f>
        <v>0</v>
      </c>
      <c r="V8" s="149">
        <f>IF($B8=0,"",('MF Rollover'!U8*($P8*(1+'Property Summary'!$L$22)^('MF Releasing'!V$3-1)))*$C8)</f>
        <v>0</v>
      </c>
      <c r="W8" s="149">
        <f>IF($B8=0,"",('MF Rollover'!V8*($P8*(1+'Property Summary'!$L$22)^('MF Releasing'!W$3-1)))*$C8)</f>
        <v>0</v>
      </c>
      <c r="X8" s="149">
        <f>IF($B8=0,"",('MF Rollover'!W8*($P8*(1+'Property Summary'!$L$22)^('MF Releasing'!X$3-1)))*$C8)</f>
        <v>0</v>
      </c>
      <c r="Y8" s="149">
        <f>IF($B8=0,"",('MF Rollover'!X8*($P8*(1+'Property Summary'!$L$22)^('MF Releasing'!Y$3-1)))*$C8)</f>
        <v>0</v>
      </c>
      <c r="Z8" s="149">
        <f>IF($B8=0,"",('MF Rollover'!Y8*($P8*(1+'Property Summary'!$L$22)^('MF Releasing'!Z$3-1)))*$C8)</f>
        <v>0</v>
      </c>
      <c r="AA8" s="149">
        <f>IF($B8=0,"",('MF Rollover'!Z8*($P8*(1+'Property Summary'!$L$22)^('MF Releasing'!AA$3-1)))*$C8)</f>
        <v>0</v>
      </c>
      <c r="AB8" s="149">
        <f>IF($B8=0,"",('MF Rollover'!AA8*($P8*(1+'Property Summary'!$L$22)^('MF Releasing'!AB$3-1)))*$C8)</f>
        <v>0</v>
      </c>
      <c r="AC8" s="149">
        <f>IF($B8=0,"",('MF Rollover'!AB8*($P8*(1+'Property Summary'!$L$22)^('MF Releasing'!AC$3-1)))*$C8)</f>
        <v>0</v>
      </c>
      <c r="AD8" s="149">
        <f>IF($B8=0,"",('MF Rollover'!AC8*($P8*(1+'Property Summary'!$L$22)^('MF Releasing'!AD$3-1)))*$C8)</f>
        <v>0</v>
      </c>
      <c r="AE8" s="149">
        <f>IF($B8=0,"",('MF Rollover'!AD8*($P8*(1+'Property Summary'!$L$22)^('MF Releasing'!AE$3-1)))*$C8)</f>
        <v>3427.2000000000003</v>
      </c>
      <c r="AF8" s="149">
        <f>IF($B8=0,"",('MF Rollover'!AE8*($P8*(1+'Property Summary'!$L$22)^('MF Releasing'!AF$3-1)))*$C8)</f>
        <v>0</v>
      </c>
      <c r="AG8" s="149">
        <f>IF($B8=0,"",('MF Rollover'!AF8*($P8*(1+'Property Summary'!$L$22)^('MF Releasing'!AG$3-1)))*$C8)</f>
        <v>0</v>
      </c>
      <c r="AH8" s="149">
        <f>IF($B8=0,"",('MF Rollover'!AG8*($P8*(1+'Property Summary'!$L$22)^('MF Releasing'!AH$3-1)))*$C8)</f>
        <v>0</v>
      </c>
      <c r="AI8" s="149">
        <f>IF($B8=0,"",('MF Rollover'!AH8*($P8*(1+'Property Summary'!$L$22)^('MF Releasing'!AI$3-1)))*$C8)</f>
        <v>0</v>
      </c>
      <c r="AJ8" s="149">
        <f>IF($B8=0,"",('MF Rollover'!AI8*($P8*(1+'Property Summary'!$L$22)^('MF Releasing'!AJ$3-1)))*$C8)</f>
        <v>0</v>
      </c>
      <c r="AK8" s="149">
        <f>IF($B8=0,"",('MF Rollover'!AJ8*($P8*(1+'Property Summary'!$L$22)^('MF Releasing'!AK$3-1)))*$C8)</f>
        <v>0</v>
      </c>
      <c r="AL8" s="149">
        <f>IF($B8=0,"",('MF Rollover'!AK8*($P8*(1+'Property Summary'!$L$22)^('MF Releasing'!AL$3-1)))*$C8)</f>
        <v>0</v>
      </c>
      <c r="AM8" s="149">
        <f>IF($B8=0,"",('MF Rollover'!AL8*($P8*(1+'Property Summary'!$L$22)^('MF Releasing'!AM$3-1)))*$C8)</f>
        <v>0</v>
      </c>
      <c r="AN8" s="149">
        <f>IF($B8=0,"",('MF Rollover'!AM8*($P8*(1+'Property Summary'!$L$22)^('MF Releasing'!AN$3-1)))*$C8)</f>
        <v>0</v>
      </c>
      <c r="AO8" s="149">
        <f>IF($B8=0,"",('MF Rollover'!AN8*($P8*(1+'Property Summary'!$L$22)^('MF Releasing'!AO$3-1)))*$C8)</f>
        <v>0</v>
      </c>
      <c r="AP8" s="149">
        <f>IF($B8=0,"",('MF Rollover'!AO8*($P8*(1+'Property Summary'!$L$22)^('MF Releasing'!AP$3-1)))*$C8)</f>
        <v>0</v>
      </c>
      <c r="AQ8" s="149">
        <f>IF($B8=0,"",('MF Rollover'!AP8*($P8*(1+'Property Summary'!$L$22)^('MF Releasing'!AQ$3-1)))*$C8)</f>
        <v>3495.7440000000001</v>
      </c>
      <c r="AR8" s="149">
        <f>IF($B8=0,"",('MF Rollover'!AQ8*($P8*(1+'Property Summary'!$L$22)^('MF Releasing'!AR$3-1)))*$C8)</f>
        <v>0</v>
      </c>
      <c r="AS8" s="149">
        <f>IF($B8=0,"",('MF Rollover'!AR8*($P8*(1+'Property Summary'!$L$22)^('MF Releasing'!AS$3-1)))*$C8)</f>
        <v>0</v>
      </c>
      <c r="AT8" s="149">
        <f>IF($B8=0,"",('MF Rollover'!AS8*($P8*(1+'Property Summary'!$L$22)^('MF Releasing'!AT$3-1)))*$C8)</f>
        <v>0</v>
      </c>
      <c r="AU8" s="149">
        <f>IF($B8=0,"",('MF Rollover'!AT8*($P8*(1+'Property Summary'!$L$22)^('MF Releasing'!AU$3-1)))*$C8)</f>
        <v>0</v>
      </c>
      <c r="AV8" s="149">
        <f>IF($B8=0,"",('MF Rollover'!AU8*($P8*(1+'Property Summary'!$L$22)^('MF Releasing'!AV$3-1)))*$C8)</f>
        <v>0</v>
      </c>
      <c r="AW8" s="149">
        <f>IF($B8=0,"",('MF Rollover'!AV8*($P8*(1+'Property Summary'!$L$22)^('MF Releasing'!AW$3-1)))*$C8)</f>
        <v>0</v>
      </c>
      <c r="AX8" s="149">
        <f>IF($B8=0,"",('MF Rollover'!AW8*($P8*(1+'Property Summary'!$L$22)^('MF Releasing'!AX$3-1)))*$C8)</f>
        <v>0</v>
      </c>
      <c r="AY8" s="149">
        <f>IF($B8=0,"",('MF Rollover'!AX8*($P8*(1+'Property Summary'!$L$22)^('MF Releasing'!AY$3-1)))*$C8)</f>
        <v>0</v>
      </c>
      <c r="AZ8" s="149">
        <f>IF($B8=0,"",('MF Rollover'!AY8*($P8*(1+'Property Summary'!$L$22)^('MF Releasing'!AZ$3-1)))*$C8)</f>
        <v>0</v>
      </c>
      <c r="BA8" s="149">
        <f>IF($B8=0,"",('MF Rollover'!AZ8*($P8*(1+'Property Summary'!$L$22)^('MF Releasing'!BA$3-1)))*$C8)</f>
        <v>0</v>
      </c>
      <c r="BB8" s="149">
        <f>IF($B8=0,"",('MF Rollover'!BA8*($P8*(1+'Property Summary'!$L$22)^('MF Releasing'!BB$3-1)))*$C8)</f>
        <v>0</v>
      </c>
      <c r="BC8" s="149">
        <f>IF($B8=0,"",('MF Rollover'!BB8*($P8*(1+'Property Summary'!$L$22)^('MF Releasing'!BC$3-1)))*$C8)</f>
        <v>3565.65888</v>
      </c>
      <c r="BD8" s="149">
        <f>IF($B8=0,"",('MF Rollover'!BC8*($P8*(1+'Property Summary'!$L$22)^('MF Releasing'!BD$3-1)))*$C8)</f>
        <v>0</v>
      </c>
      <c r="BE8" s="149">
        <f>IF($B8=0,"",('MF Rollover'!BD8*($P8*(1+'Property Summary'!$L$22)^('MF Releasing'!BE$3-1)))*$C8)</f>
        <v>0</v>
      </c>
      <c r="BF8" s="149">
        <f>IF($B8=0,"",('MF Rollover'!BE8*($P8*(1+'Property Summary'!$L$22)^('MF Releasing'!BF$3-1)))*$C8)</f>
        <v>0</v>
      </c>
      <c r="BG8" s="149">
        <f>IF($B8=0,"",('MF Rollover'!BF8*($P8*(1+'Property Summary'!$L$22)^('MF Releasing'!BG$3-1)))*$C8)</f>
        <v>0</v>
      </c>
      <c r="BH8" s="149">
        <f>IF($B8=0,"",('MF Rollover'!BG8*($P8*(1+'Property Summary'!$L$22)^('MF Releasing'!BH$3-1)))*$C8)</f>
        <v>0</v>
      </c>
      <c r="BI8" s="149">
        <f>IF($B8=0,"",('MF Rollover'!BH8*($P8*(1+'Property Summary'!$L$22)^('MF Releasing'!BI$3-1)))*$C8)</f>
        <v>0</v>
      </c>
      <c r="BJ8" s="149">
        <f>IF($B8=0,"",('MF Rollover'!BI8*($P8*(1+'Property Summary'!$L$22)^('MF Releasing'!BJ$3-1)))*$C8)</f>
        <v>0</v>
      </c>
      <c r="BK8" s="149">
        <f>IF($B8=0,"",('MF Rollover'!BJ8*($P8*(1+'Property Summary'!$L$22)^('MF Releasing'!BK$3-1)))*$C8)</f>
        <v>0</v>
      </c>
      <c r="BL8" s="149">
        <f>IF($B8=0,"",('MF Rollover'!BK8*($P8*(1+'Property Summary'!$L$22)^('MF Releasing'!BL$3-1)))*$C8)</f>
        <v>0</v>
      </c>
      <c r="BM8" s="149">
        <f>IF($B8=0,"",('MF Rollover'!BL8*($P8*(1+'Property Summary'!$L$22)^('MF Releasing'!BM$3-1)))*$C8)</f>
        <v>0</v>
      </c>
      <c r="BN8" s="149">
        <f>IF($B8=0,"",('MF Rollover'!BM8*($P8*(1+'Property Summary'!$L$22)^('MF Releasing'!BN$3-1)))*$C8)</f>
        <v>0</v>
      </c>
      <c r="BO8" s="149">
        <f>IF($B8=0,"",('MF Rollover'!BN8*($P8*(1+'Property Summary'!$L$22)^('MF Releasing'!BO$3-1)))*$C8)</f>
        <v>3636.9720576</v>
      </c>
      <c r="BP8" s="149">
        <f>IF($B8=0,"",('MF Rollover'!BO8*($P8*(1+'Property Summary'!$L$22)^('MF Releasing'!BP$3-1)))*$C8)</f>
        <v>0</v>
      </c>
      <c r="BQ8" s="149">
        <f>IF($B8=0,"",('MF Rollover'!BP8*($P8*(1+'Property Summary'!$L$22)^('MF Releasing'!BQ$3-1)))*$C8)</f>
        <v>0</v>
      </c>
      <c r="BR8" s="149">
        <f>IF($B8=0,"",('MF Rollover'!BQ8*($P8*(1+'Property Summary'!$L$22)^('MF Releasing'!BR$3-1)))*$C8)</f>
        <v>0</v>
      </c>
      <c r="BS8" s="149">
        <f>IF($B8=0,"",('MF Rollover'!BR8*($P8*(1+'Property Summary'!$L$22)^('MF Releasing'!BS$3-1)))*$C8)</f>
        <v>0</v>
      </c>
      <c r="BT8" s="149">
        <f>IF($B8=0,"",('MF Rollover'!BS8*($P8*(1+'Property Summary'!$L$22)^('MF Releasing'!BT$3-1)))*$C8)</f>
        <v>0</v>
      </c>
      <c r="BU8" s="149">
        <f>IF($B8=0,"",('MF Rollover'!BT8*($P8*(1+'Property Summary'!$L$22)^('MF Releasing'!BU$3-1)))*$C8)</f>
        <v>0</v>
      </c>
      <c r="BV8" s="149">
        <f>IF($B8=0,"",('MF Rollover'!BU8*($P8*(1+'Property Summary'!$L$22)^('MF Releasing'!BV$3-1)))*$C8)</f>
        <v>0</v>
      </c>
      <c r="BW8" s="149">
        <f>IF($B8=0,"",('MF Rollover'!BV8*($P8*(1+'Property Summary'!$L$22)^('MF Releasing'!BW$3-1)))*$C8)</f>
        <v>0</v>
      </c>
      <c r="BX8" s="149">
        <f>IF($B8=0,"",('MF Rollover'!BW8*($P8*(1+'Property Summary'!$L$22)^('MF Releasing'!BX$3-1)))*$C8)</f>
        <v>0</v>
      </c>
      <c r="BY8" s="149">
        <f>IF($B8=0,"",('MF Rollover'!BX8*($P8*(1+'Property Summary'!$L$22)^('MF Releasing'!BY$3-1)))*$C8)</f>
        <v>0</v>
      </c>
      <c r="BZ8" s="149">
        <f>IF($B8=0,"",('MF Rollover'!BY8*($P8*(1+'Property Summary'!$L$22)^('MF Releasing'!BZ$3-1)))*$C8)</f>
        <v>0</v>
      </c>
      <c r="CA8" s="149">
        <f>IF($B8=0,"",('MF Rollover'!BZ8*($P8*(1+'Property Summary'!$L$22)^('MF Releasing'!CA$3-1)))*$C8)</f>
        <v>3709.7114987520004</v>
      </c>
      <c r="CB8" s="149">
        <f>IF($B8=0,"",('MF Rollover'!CA8*($P8*(1+'Property Summary'!$L$22)^('MF Releasing'!CB$3-1)))*$C8)</f>
        <v>0</v>
      </c>
      <c r="CC8" s="149">
        <f>IF($B8=0,"",('MF Rollover'!CB8*($P8*(1+'Property Summary'!$L$22)^('MF Releasing'!CC$3-1)))*$C8)</f>
        <v>0</v>
      </c>
      <c r="CD8" s="149">
        <f>IF($B8=0,"",('MF Rollover'!CC8*($P8*(1+'Property Summary'!$L$22)^('MF Releasing'!CD$3-1)))*$C8)</f>
        <v>0</v>
      </c>
      <c r="CE8" s="149">
        <f>IF($B8=0,"",('MF Rollover'!CD8*($P8*(1+'Property Summary'!$L$22)^('MF Releasing'!CE$3-1)))*$C8)</f>
        <v>0</v>
      </c>
      <c r="CF8" s="149">
        <f>IF($B8=0,"",('MF Rollover'!CE8*($P8*(1+'Property Summary'!$L$22)^('MF Releasing'!CF$3-1)))*$C8)</f>
        <v>0</v>
      </c>
      <c r="CG8" s="149">
        <f>IF($B8=0,"",('MF Rollover'!CF8*($P8*(1+'Property Summary'!$L$22)^('MF Releasing'!CG$3-1)))*$C8)</f>
        <v>0</v>
      </c>
      <c r="CH8" s="149">
        <f>IF($B8=0,"",('MF Rollover'!CG8*($P8*(1+'Property Summary'!$L$22)^('MF Releasing'!CH$3-1)))*$C8)</f>
        <v>0</v>
      </c>
      <c r="CI8" s="149">
        <f>IF($B8=0,"",('MF Rollover'!CH8*($P8*(1+'Property Summary'!$L$22)^('MF Releasing'!CI$3-1)))*$C8)</f>
        <v>0</v>
      </c>
      <c r="CJ8" s="149">
        <f>IF($B8=0,"",('MF Rollover'!CI8*($P8*(1+'Property Summary'!$L$22)^('MF Releasing'!CJ$3-1)))*$C8)</f>
        <v>0</v>
      </c>
      <c r="CK8" s="149">
        <f>IF($B8=0,"",('MF Rollover'!CJ8*($P8*(1+'Property Summary'!$L$22)^('MF Releasing'!CK$3-1)))*$C8)</f>
        <v>0</v>
      </c>
      <c r="CL8" s="149">
        <f>IF($B8=0,"",('MF Rollover'!CK8*($P8*(1+'Property Summary'!$L$22)^('MF Releasing'!CL$3-1)))*$C8)</f>
        <v>0</v>
      </c>
      <c r="CM8" s="149">
        <f>IF($B8=0,"",('MF Rollover'!CL8*($P8*(1+'Property Summary'!$L$22)^('MF Releasing'!CM$3-1)))*$C8)</f>
        <v>3783.9057287270407</v>
      </c>
      <c r="CN8" s="149">
        <f>IF($B8=0,"",('MF Rollover'!CM8*($P8*(1+'Property Summary'!$L$22)^('MF Releasing'!CN$3-1)))*$C8)</f>
        <v>0</v>
      </c>
      <c r="CO8" s="149">
        <f>IF($B8=0,"",('MF Rollover'!CN8*($P8*(1+'Property Summary'!$L$22)^('MF Releasing'!CO$3-1)))*$C8)</f>
        <v>0</v>
      </c>
      <c r="CP8" s="149">
        <f>IF($B8=0,"",('MF Rollover'!CO8*($P8*(1+'Property Summary'!$L$22)^('MF Releasing'!CP$3-1)))*$C8)</f>
        <v>0</v>
      </c>
      <c r="CQ8" s="149">
        <f>IF($B8=0,"",('MF Rollover'!CP8*($P8*(1+'Property Summary'!$L$22)^('MF Releasing'!CQ$3-1)))*$C8)</f>
        <v>0</v>
      </c>
      <c r="CR8" s="149">
        <f>IF($B8=0,"",('MF Rollover'!CQ8*($P8*(1+'Property Summary'!$L$22)^('MF Releasing'!CR$3-1)))*$C8)</f>
        <v>0</v>
      </c>
      <c r="CS8" s="149">
        <f>IF($B8=0,"",('MF Rollover'!CR8*($P8*(1+'Property Summary'!$L$22)^('MF Releasing'!CS$3-1)))*$C8)</f>
        <v>0</v>
      </c>
      <c r="CT8" s="149">
        <f>IF($B8=0,"",('MF Rollover'!CS8*($P8*(1+'Property Summary'!$L$22)^('MF Releasing'!CT$3-1)))*$C8)</f>
        <v>0</v>
      </c>
      <c r="CU8" s="149">
        <f>IF($B8=0,"",('MF Rollover'!CT8*($P8*(1+'Property Summary'!$L$22)^('MF Releasing'!CU$3-1)))*$C8)</f>
        <v>0</v>
      </c>
      <c r="CV8" s="149">
        <f>IF($B8=0,"",('MF Rollover'!CU8*($P8*(1+'Property Summary'!$L$22)^('MF Releasing'!CV$3-1)))*$C8)</f>
        <v>0</v>
      </c>
      <c r="CW8" s="149">
        <f>IF($B8=0,"",('MF Rollover'!CV8*($P8*(1+'Property Summary'!$L$22)^('MF Releasing'!CW$3-1)))*$C8)</f>
        <v>0</v>
      </c>
      <c r="CX8" s="149">
        <f>IF($B8=0,"",('MF Rollover'!CW8*($P8*(1+'Property Summary'!$L$22)^('MF Releasing'!CX$3-1)))*$C8)</f>
        <v>0</v>
      </c>
      <c r="CY8" s="149">
        <f>IF($B8=0,"",('MF Rollover'!CX8*($P8*(1+'Property Summary'!$L$22)^('MF Releasing'!CY$3-1)))*$C8)</f>
        <v>3859.5838433015801</v>
      </c>
      <c r="CZ8" s="149">
        <f>IF($B8=0,"",('MF Rollover'!CY8*($P8*(1+'Property Summary'!$L$22)^('MF Releasing'!CZ$3-1)))*$C8)</f>
        <v>0</v>
      </c>
      <c r="DA8" s="149">
        <f>IF($B8=0,"",('MF Rollover'!CZ8*($P8*(1+'Property Summary'!$L$22)^('MF Releasing'!DA$3-1)))*$C8)</f>
        <v>0</v>
      </c>
      <c r="DB8" s="149">
        <f>IF($B8=0,"",('MF Rollover'!DA8*($P8*(1+'Property Summary'!$L$22)^('MF Releasing'!DB$3-1)))*$C8)</f>
        <v>0</v>
      </c>
      <c r="DC8" s="149">
        <f>IF($B8=0,"",('MF Rollover'!DB8*($P8*(1+'Property Summary'!$L$22)^('MF Releasing'!DC$3-1)))*$C8)</f>
        <v>0</v>
      </c>
      <c r="DD8" s="149">
        <f>IF($B8=0,"",('MF Rollover'!DC8*($P8*(1+'Property Summary'!$L$22)^('MF Releasing'!DD$3-1)))*$C8)</f>
        <v>0</v>
      </c>
      <c r="DE8" s="149">
        <f>IF($B8=0,"",('MF Rollover'!DD8*($P8*(1+'Property Summary'!$L$22)^('MF Releasing'!DE$3-1)))*$C8)</f>
        <v>0</v>
      </c>
      <c r="DF8" s="149">
        <f>IF($B8=0,"",('MF Rollover'!DE8*($P8*(1+'Property Summary'!$L$22)^('MF Releasing'!DF$3-1)))*$C8)</f>
        <v>0</v>
      </c>
      <c r="DG8" s="149">
        <f>IF($B8=0,"",('MF Rollover'!DF8*($P8*(1+'Property Summary'!$L$22)^('MF Releasing'!DG$3-1)))*$C8)</f>
        <v>0</v>
      </c>
      <c r="DH8" s="149">
        <f>IF($B8=0,"",('MF Rollover'!DG8*($P8*(1+'Property Summary'!$L$22)^('MF Releasing'!DH$3-1)))*$C8)</f>
        <v>0</v>
      </c>
      <c r="DI8" s="149">
        <f>IF($B8=0,"",('MF Rollover'!DH8*($P8*(1+'Property Summary'!$L$22)^('MF Releasing'!DI$3-1)))*$C8)</f>
        <v>0</v>
      </c>
      <c r="DJ8" s="149">
        <f>IF($B8=0,"",('MF Rollover'!DI8*($P8*(1+'Property Summary'!$L$22)^('MF Releasing'!DJ$3-1)))*$C8)</f>
        <v>0</v>
      </c>
      <c r="DK8" s="149">
        <f>IF($B8=0,"",('MF Rollover'!DJ8*($P8*(1+'Property Summary'!$L$22)^('MF Releasing'!DK$3-1)))*$C8)</f>
        <v>3936.7755201676118</v>
      </c>
      <c r="DL8" s="149">
        <f>IF($B8=0,"",('MF Rollover'!DK8*($P8*(1+'Property Summary'!$L$22)^('MF Releasing'!DL$3-1)))*$C8)</f>
        <v>0</v>
      </c>
      <c r="DM8" s="149">
        <f>IF($B8=0,"",('MF Rollover'!DL8*($P8*(1+'Property Summary'!$L$22)^('MF Releasing'!DM$3-1)))*$C8)</f>
        <v>0</v>
      </c>
      <c r="DN8" s="149">
        <f>IF($B8=0,"",('MF Rollover'!DM8*($P8*(1+'Property Summary'!$L$22)^('MF Releasing'!DN$3-1)))*$C8)</f>
        <v>0</v>
      </c>
      <c r="DO8" s="149">
        <f>IF($B8=0,"",('MF Rollover'!DN8*($P8*(1+'Property Summary'!$L$22)^('MF Releasing'!DO$3-1)))*$C8)</f>
        <v>0</v>
      </c>
      <c r="DP8" s="149">
        <f>IF($B8=0,"",('MF Rollover'!DO8*($P8*(1+'Property Summary'!$L$22)^('MF Releasing'!DP$3-1)))*$C8)</f>
        <v>0</v>
      </c>
      <c r="DQ8" s="149">
        <f>IF($B8=0,"",('MF Rollover'!DP8*($P8*(1+'Property Summary'!$L$22)^('MF Releasing'!DQ$3-1)))*$C8)</f>
        <v>0</v>
      </c>
      <c r="DR8" s="149">
        <f>IF($B8=0,"",('MF Rollover'!DQ8*($P8*(1+'Property Summary'!$L$22)^('MF Releasing'!DR$3-1)))*$C8)</f>
        <v>0</v>
      </c>
      <c r="DS8" s="149">
        <f>IF($B8=0,"",('MF Rollover'!DR8*($P8*(1+'Property Summary'!$L$22)^('MF Releasing'!DS$3-1)))*$C8)</f>
        <v>0</v>
      </c>
      <c r="DT8" s="149">
        <f>IF($B8=0,"",('MF Rollover'!DS8*($P8*(1+'Property Summary'!$L$22)^('MF Releasing'!DT$3-1)))*$C8)</f>
        <v>0</v>
      </c>
      <c r="DU8" s="149">
        <f>IF($B8=0,"",('MF Rollover'!DT8*($P8*(1+'Property Summary'!$L$22)^('MF Releasing'!DU$3-1)))*$C8)</f>
        <v>0</v>
      </c>
      <c r="DV8" s="149">
        <f>IF($B8=0,"",('MF Rollover'!DU8*($P8*(1+'Property Summary'!$L$22)^('MF Releasing'!DV$3-1)))*$C8)</f>
        <v>0</v>
      </c>
      <c r="DW8" s="149">
        <f>IF($B8=0,"",('MF Rollover'!DV8*($P8*(1+'Property Summary'!$L$22)^('MF Releasing'!DW$3-1)))*$C8)</f>
        <v>4015.5110305709641</v>
      </c>
      <c r="DX8" s="149">
        <f>IF($B8=0,"",('MF Rollover'!DW8*($P8*(1+'Property Summary'!$L$22)^('MF Releasing'!DX$3-1)))*$C8)</f>
        <v>0</v>
      </c>
      <c r="DY8" s="149">
        <f>IF($B8=0,"",('MF Rollover'!DX8*($P8*(1+'Property Summary'!$L$22)^('MF Releasing'!DY$3-1)))*$C8)</f>
        <v>0</v>
      </c>
      <c r="DZ8" s="149">
        <f>IF($B8=0,"",('MF Rollover'!DY8*($P8*(1+'Property Summary'!$L$22)^('MF Releasing'!DZ$3-1)))*$C8)</f>
        <v>0</v>
      </c>
      <c r="EA8" s="149">
        <f>IF($B8=0,"",('MF Rollover'!DZ8*($P8*(1+'Property Summary'!$L$22)^('MF Releasing'!EA$3-1)))*$C8)</f>
        <v>0</v>
      </c>
      <c r="EB8" s="149">
        <f>IF($B8=0,"",('MF Rollover'!EA8*($P8*(1+'Property Summary'!$L$22)^('MF Releasing'!EB$3-1)))*$C8)</f>
        <v>0</v>
      </c>
      <c r="EC8" s="149">
        <f>IF($B8=0,"",('MF Rollover'!EB8*($P8*(1+'Property Summary'!$L$22)^('MF Releasing'!EC$3-1)))*$C8)</f>
        <v>0</v>
      </c>
      <c r="ED8" s="149">
        <f>IF($B8=0,"",('MF Rollover'!EC8*($P8*(1+'Property Summary'!$L$22)^('MF Releasing'!ED$3-1)))*$C8)</f>
        <v>0</v>
      </c>
      <c r="EE8" s="149">
        <f>IF($B8=0,"",('MF Rollover'!ED8*($P8*(1+'Property Summary'!$L$22)^('MF Releasing'!EE$3-1)))*$C8)</f>
        <v>0</v>
      </c>
      <c r="EF8" s="149">
        <f>IF($B8=0,"",('MF Rollover'!EE8*($P8*(1+'Property Summary'!$L$22)^('MF Releasing'!EF$3-1)))*$C8)</f>
        <v>0</v>
      </c>
      <c r="EG8" s="149">
        <f>IF($B8=0,"",('MF Rollover'!EF8*($P8*(1+'Property Summary'!$L$22)^('MF Releasing'!EG$3-1)))*$C8)</f>
        <v>0</v>
      </c>
      <c r="EH8" s="149">
        <f>IF($B8=0,"",('MF Rollover'!EG8*($P8*(1+'Property Summary'!$L$22)^('MF Releasing'!EH$3-1)))*$C8)</f>
        <v>0</v>
      </c>
      <c r="EI8" s="149">
        <f>IF($B8=0,"",('MF Rollover'!EH8*($P8*(1+'Property Summary'!$L$22)^('MF Releasing'!EI$3-1)))*$C8)</f>
        <v>4095.821251182384</v>
      </c>
      <c r="EJ8" s="149">
        <f>IF($B8=0,"",('MF Rollover'!EI8*($P8*(1+'Property Summary'!$L$22)^('MF Releasing'!EJ$3-1)))*$C8)</f>
        <v>0</v>
      </c>
      <c r="EK8" s="149">
        <f>IF($B8=0,"",('MF Rollover'!EJ8*($P8*(1+'Property Summary'!$L$22)^('MF Releasing'!EK$3-1)))*$C8)</f>
        <v>0</v>
      </c>
      <c r="EL8" s="149">
        <f>IF($B8=0,"",('MF Rollover'!EK8*($P8*(1+'Property Summary'!$L$22)^('MF Releasing'!EL$3-1)))*$C8)</f>
        <v>0</v>
      </c>
      <c r="EM8" s="149">
        <f>IF($B8=0,"",('MF Rollover'!EL8*($P8*(1+'Property Summary'!$L$22)^('MF Releasing'!EM$3-1)))*$C8)</f>
        <v>0</v>
      </c>
      <c r="EN8" s="149">
        <f>IF($B8=0,"",('MF Rollover'!EM8*($P8*(1+'Property Summary'!$L$22)^('MF Releasing'!EN$3-1)))*$C8)</f>
        <v>0</v>
      </c>
      <c r="EO8" s="149">
        <f>IF($B8=0,"",('MF Rollover'!EN8*($P8*(1+'Property Summary'!$L$22)^('MF Releasing'!EO$3-1)))*$C8)</f>
        <v>0</v>
      </c>
      <c r="EP8" s="149">
        <f>IF($B8=0,"",('MF Rollover'!EO8*($P8*(1+'Property Summary'!$L$22)^('MF Releasing'!EP$3-1)))*$C8)</f>
        <v>0</v>
      </c>
      <c r="EQ8" s="149">
        <f>IF($B8=0,"",('MF Rollover'!EP8*($P8*(1+'Property Summary'!$L$22)^('MF Releasing'!EQ$3-1)))*$C8)</f>
        <v>0</v>
      </c>
      <c r="ER8" s="149">
        <f>IF($B8=0,"",('MF Rollover'!EQ8*($P8*(1+'Property Summary'!$L$22)^('MF Releasing'!ER$3-1)))*$C8)</f>
        <v>0</v>
      </c>
      <c r="ES8" s="149">
        <f>IF($B8=0,"",('MF Rollover'!ER8*($P8*(1+'Property Summary'!$L$22)^('MF Releasing'!ES$3-1)))*$C8)</f>
        <v>0</v>
      </c>
      <c r="ET8" s="149">
        <f>IF($B8=0,"",('MF Rollover'!ES8*($P8*(1+'Property Summary'!$L$22)^('MF Releasing'!ET$3-1)))*$C8)</f>
        <v>0</v>
      </c>
      <c r="EU8" s="149">
        <f>IF($B8=0,"",('MF Rollover'!ET8*($P8*(1+'Property Summary'!$L$22)^('MF Releasing'!EU$3-1)))*$C8)</f>
        <v>4177.7376762060303</v>
      </c>
      <c r="EV8" s="149">
        <f>IF($B8=0,"",('MF Rollover'!EU8*($P8*(1+'Property Summary'!$L$22)^('MF Releasing'!EV$3-1)))*$C8)</f>
        <v>0</v>
      </c>
      <c r="EW8" s="149">
        <f>IF($B8=0,"",('MF Rollover'!EV8*($P8*(1+'Property Summary'!$L$22)^('MF Releasing'!EW$3-1)))*$C8)</f>
        <v>0</v>
      </c>
      <c r="EX8" s="149">
        <f>IF($B8=0,"",('MF Rollover'!EW8*($P8*(1+'Property Summary'!$L$22)^('MF Releasing'!EX$3-1)))*$C8)</f>
        <v>0</v>
      </c>
      <c r="EY8" s="149">
        <f>IF($B8=0,"",('MF Rollover'!EX8*($P8*(1+'Property Summary'!$L$22)^('MF Releasing'!EY$3-1)))*$C8)</f>
        <v>0</v>
      </c>
      <c r="EZ8" s="149">
        <f>IF($B8=0,"",('MF Rollover'!EY8*($P8*(1+'Property Summary'!$L$22)^('MF Releasing'!EZ$3-1)))*$C8)</f>
        <v>0</v>
      </c>
      <c r="FA8" s="149">
        <f>IF($B8=0,"",('MF Rollover'!EZ8*($P8*(1+'Property Summary'!$L$22)^('MF Releasing'!FA$3-1)))*$C8)</f>
        <v>0</v>
      </c>
      <c r="FB8" s="149">
        <f>IF($B8=0,"",('MF Rollover'!FA8*($P8*(1+'Property Summary'!$L$22)^('MF Releasing'!FB$3-1)))*$C8)</f>
        <v>0</v>
      </c>
      <c r="FC8" s="149">
        <f>IF($B8=0,"",('MF Rollover'!FB8*($P8*(1+'Property Summary'!$L$22)^('MF Releasing'!FC$3-1)))*$C8)</f>
        <v>0</v>
      </c>
      <c r="FD8" s="149">
        <f>IF($B8=0,"",('MF Rollover'!FC8*($P8*(1+'Property Summary'!$L$22)^('MF Releasing'!FD$3-1)))*$C8)</f>
        <v>0</v>
      </c>
      <c r="FE8" s="149">
        <f>IF($B8=0,"",('MF Rollover'!FD8*($P8*(1+'Property Summary'!$L$22)^('MF Releasing'!FE$3-1)))*$C8)</f>
        <v>0</v>
      </c>
      <c r="FF8" s="149">
        <f>IF($B8=0,"",('MF Rollover'!FE8*($P8*(1+'Property Summary'!$L$22)^('MF Releasing'!FF$3-1)))*$C8)</f>
        <v>0</v>
      </c>
      <c r="FG8" s="149">
        <f>IF($B8=0,"",('MF Rollover'!FF8*($P8*(1+'Property Summary'!$L$22)^('MF Releasing'!FG$3-1)))*$C8)</f>
        <v>4261.2924297301524</v>
      </c>
      <c r="FH8" s="149">
        <f>IF($B8=0,"",('MF Rollover'!FG8*($P8*(1+'Property Summary'!$L$22)^('MF Releasing'!FH$3-1)))*$C8)</f>
        <v>0</v>
      </c>
      <c r="FI8" s="149">
        <f>IF($B8=0,"",('MF Rollover'!FH8*($P8*(1+'Property Summary'!$L$22)^('MF Releasing'!FI$3-1)))*$C8)</f>
        <v>0</v>
      </c>
      <c r="FJ8" s="149">
        <f>IF($B8=0,"",('MF Rollover'!FI8*($P8*(1+'Property Summary'!$L$22)^('MF Releasing'!FJ$3-1)))*$C8)</f>
        <v>0</v>
      </c>
      <c r="FK8" s="149">
        <f>IF($B8=0,"",('MF Rollover'!FJ8*($P8*(1+'Property Summary'!$L$22)^('MF Releasing'!FK$3-1)))*$C8)</f>
        <v>0</v>
      </c>
      <c r="FL8" s="149">
        <f>IF($B8=0,"",('MF Rollover'!FK8*($P8*(1+'Property Summary'!$L$22)^('MF Releasing'!FL$3-1)))*$C8)</f>
        <v>0</v>
      </c>
      <c r="FM8" s="149">
        <f>IF($B8=0,"",('MF Rollover'!FL8*($P8*(1+'Property Summary'!$L$22)^('MF Releasing'!FM$3-1)))*$C8)</f>
        <v>0</v>
      </c>
      <c r="FN8" s="149">
        <f>IF($B8=0,"",('MF Rollover'!FM8*($P8*(1+'Property Summary'!$L$22)^('MF Releasing'!FN$3-1)))*$C8)</f>
        <v>0</v>
      </c>
      <c r="FO8" s="149">
        <f>IF($B8=0,"",('MF Rollover'!FN8*($P8*(1+'Property Summary'!$L$22)^('MF Releasing'!FO$3-1)))*$C8)</f>
        <v>0</v>
      </c>
      <c r="FP8" s="149">
        <f>IF($B8=0,"",('MF Rollover'!FO8*($P8*(1+'Property Summary'!$L$22)^('MF Releasing'!FP$3-1)))*$C8)</f>
        <v>0</v>
      </c>
      <c r="FQ8" s="149">
        <f>IF($B8=0,"",('MF Rollover'!FP8*($P8*(1+'Property Summary'!$L$22)^('MF Releasing'!FQ$3-1)))*$C8)</f>
        <v>0</v>
      </c>
      <c r="FR8" s="149">
        <f>IF($B8=0,"",('MF Rollover'!FQ8*($P8*(1+'Property Summary'!$L$22)^('MF Releasing'!FR$3-1)))*$C8)</f>
        <v>0</v>
      </c>
      <c r="FS8" s="149">
        <f>IF($B8=0,"",('MF Rollover'!FR8*($P8*(1+'Property Summary'!$L$22)^('MF Releasing'!FS$3-1)))*$C8)</f>
        <v>4346.5182783247546</v>
      </c>
      <c r="FT8" s="149">
        <f>IF($B8=0,"",('MF Rollover'!FS8*($P8*(1+'Property Summary'!$L$22)^('MF Releasing'!FT$3-1)))*$C8)</f>
        <v>0</v>
      </c>
      <c r="FU8" s="149">
        <f>IF($B8=0,"",('MF Rollover'!FT8*($P8*(1+'Property Summary'!$L$22)^('MF Releasing'!FU$3-1)))*$C8)</f>
        <v>0</v>
      </c>
      <c r="FV8" s="149">
        <f>IF($B8=0,"",('MF Rollover'!FU8*($P8*(1+'Property Summary'!$L$22)^('MF Releasing'!FV$3-1)))*$C8)</f>
        <v>0</v>
      </c>
      <c r="FW8" s="149">
        <f>IF($B8=0,"",('MF Rollover'!FV8*($P8*(1+'Property Summary'!$L$22)^('MF Releasing'!FW$3-1)))*$C8)</f>
        <v>0</v>
      </c>
      <c r="FX8" s="149">
        <f>IF($B8=0,"",('MF Rollover'!FW8*($P8*(1+'Property Summary'!$L$22)^('MF Releasing'!FX$3-1)))*$C8)</f>
        <v>0</v>
      </c>
      <c r="FY8" s="149">
        <f>IF($B8=0,"",('MF Rollover'!FX8*($P8*(1+'Property Summary'!$L$22)^('MF Releasing'!FY$3-1)))*$C8)</f>
        <v>0</v>
      </c>
      <c r="FZ8" s="149">
        <f>IF($B8=0,"",('MF Rollover'!FY8*($P8*(1+'Property Summary'!$L$22)^('MF Releasing'!FZ$3-1)))*$C8)</f>
        <v>0</v>
      </c>
      <c r="GA8" s="149">
        <f>IF($B8=0,"",('MF Rollover'!FZ8*($P8*(1+'Property Summary'!$L$22)^('MF Releasing'!GA$3-1)))*$C8)</f>
        <v>0</v>
      </c>
      <c r="GB8" s="149">
        <f>IF($B8=0,"",('MF Rollover'!GA8*($P8*(1+'Property Summary'!$L$22)^('MF Releasing'!GB$3-1)))*$C8)</f>
        <v>0</v>
      </c>
      <c r="GC8" s="149">
        <f>IF($B8=0,"",('MF Rollover'!GB8*($P8*(1+'Property Summary'!$L$22)^('MF Releasing'!GC$3-1)))*$C8)</f>
        <v>0</v>
      </c>
      <c r="GD8" s="149">
        <f>IF($B8=0,"",('MF Rollover'!GC8*($P8*(1+'Property Summary'!$L$22)^('MF Releasing'!GD$3-1)))*$C8)</f>
        <v>0</v>
      </c>
      <c r="GE8" s="149">
        <f>IF($B8=0,"",('MF Rollover'!GD8*($P8*(1+'Property Summary'!$L$22)^('MF Releasing'!GE$3-1)))*$C8)</f>
        <v>4433.4486438912509</v>
      </c>
      <c r="GF8" s="149">
        <f>IF($B8=0,"",('MF Rollover'!GE8*($P8*(1+'Property Summary'!$L$22)^('MF Releasing'!GF$3-1)))*$C8)</f>
        <v>0</v>
      </c>
      <c r="GG8" s="149">
        <f>IF($B8=0,"",('MF Rollover'!GF8*($P8*(1+'Property Summary'!$L$22)^('MF Releasing'!GG$3-1)))*$C8)</f>
        <v>0</v>
      </c>
      <c r="GH8" s="149">
        <f>IF($B8=0,"",('MF Rollover'!GG8*($P8*(1+'Property Summary'!$L$22)^('MF Releasing'!GH$3-1)))*$C8)</f>
        <v>0</v>
      </c>
      <c r="GI8" s="149">
        <f>IF($B8=0,"",('MF Rollover'!GH8*($P8*(1+'Property Summary'!$L$22)^('MF Releasing'!GI$3-1)))*$C8)</f>
        <v>0</v>
      </c>
      <c r="GJ8" s="149">
        <f>IF($B8=0,"",('MF Rollover'!GI8*($P8*(1+'Property Summary'!$L$22)^('MF Releasing'!GJ$3-1)))*$C8)</f>
        <v>0</v>
      </c>
      <c r="GK8" s="149">
        <f>IF($B8=0,"",('MF Rollover'!GJ8*($P8*(1+'Property Summary'!$L$22)^('MF Releasing'!GK$3-1)))*$C8)</f>
        <v>0</v>
      </c>
      <c r="GL8" s="149">
        <f>IF($B8=0,"",('MF Rollover'!GK8*($P8*(1+'Property Summary'!$L$22)^('MF Releasing'!GL$3-1)))*$C8)</f>
        <v>0</v>
      </c>
      <c r="GM8" s="149">
        <f>IF($B8=0,"",('MF Rollover'!GL8*($P8*(1+'Property Summary'!$L$22)^('MF Releasing'!GM$3-1)))*$C8)</f>
        <v>0</v>
      </c>
      <c r="GN8" s="149">
        <f>IF($B8=0,"",('MF Rollover'!GM8*($P8*(1+'Property Summary'!$L$22)^('MF Releasing'!GN$3-1)))*$C8)</f>
        <v>0</v>
      </c>
      <c r="GO8" s="149">
        <f>IF($B8=0,"",('MF Rollover'!GN8*($P8*(1+'Property Summary'!$L$22)^('MF Releasing'!GO$3-1)))*$C8)</f>
        <v>0</v>
      </c>
      <c r="GP8" s="149">
        <f>IF($B8=0,"",('MF Rollover'!GO8*($P8*(1+'Property Summary'!$L$22)^('MF Releasing'!GP$3-1)))*$C8)</f>
        <v>0</v>
      </c>
    </row>
    <row r="9" spans="2:198" x14ac:dyDescent="0.3">
      <c r="B9" s="184" t="str">
        <f>'MF Rent Roll'!B8</f>
        <v>2bd/1.5ba</v>
      </c>
      <c r="C9" s="171">
        <f>'MF Rent Roll'!C8</f>
        <v>12</v>
      </c>
      <c r="D9" s="172">
        <f>'MF Rent Roll'!D8</f>
        <v>2</v>
      </c>
      <c r="E9" s="172">
        <f>'MF Rent Roll'!E8</f>
        <v>1.5</v>
      </c>
      <c r="F9" s="173">
        <f>'MF Rent Roll'!F8</f>
        <v>1025</v>
      </c>
      <c r="G9" s="174">
        <f>'MF Rent Roll'!G8</f>
        <v>850</v>
      </c>
      <c r="H9" s="176">
        <f>'MF Rent Roll'!J8</f>
        <v>12</v>
      </c>
      <c r="I9" s="174">
        <f>'MF Rent Roll'!K8</f>
        <v>65</v>
      </c>
      <c r="J9" s="177">
        <f>'MF Rent Roll'!L8</f>
        <v>0</v>
      </c>
      <c r="K9" s="178">
        <f>'MF Rent Roll'!M8</f>
        <v>25</v>
      </c>
      <c r="L9" s="174">
        <f>'MF Rent Roll'!N8</f>
        <v>350</v>
      </c>
      <c r="M9" s="179">
        <f>'MF Rent Roll'!O8</f>
        <v>0.6</v>
      </c>
      <c r="N9" s="180">
        <f>'MF Rent Roll'!P8</f>
        <v>0</v>
      </c>
      <c r="O9" s="181">
        <f>'MF Rent Roll'!Q8</f>
        <v>10</v>
      </c>
      <c r="P9" s="104">
        <f>'MF Rent Roll'!R8</f>
        <v>140</v>
      </c>
      <c r="S9" s="149">
        <f>IF($B9=0,"",('MF Rollover'!R9*($P9*(1+'Property Summary'!$L$22)^('MF Releasing'!S$3-1)))*$C9)</f>
        <v>0</v>
      </c>
      <c r="T9" s="149">
        <f>IF($B9=0,"",('MF Rollover'!S9*($P9*(1+'Property Summary'!$L$22)^('MF Releasing'!T$3-1)))*$C9)</f>
        <v>0</v>
      </c>
      <c r="U9" s="149">
        <f>IF($B9=0,"",('MF Rollover'!T9*($P9*(1+'Property Summary'!$L$22)^('MF Releasing'!U$3-1)))*$C9)</f>
        <v>0</v>
      </c>
      <c r="V9" s="149">
        <f>IF($B9=0,"",('MF Rollover'!U9*($P9*(1+'Property Summary'!$L$22)^('MF Releasing'!V$3-1)))*$C9)</f>
        <v>0</v>
      </c>
      <c r="W9" s="149">
        <f>IF($B9=0,"",('MF Rollover'!V9*($P9*(1+'Property Summary'!$L$22)^('MF Releasing'!W$3-1)))*$C9)</f>
        <v>0</v>
      </c>
      <c r="X9" s="149">
        <f>IF($B9=0,"",('MF Rollover'!W9*($P9*(1+'Property Summary'!$L$22)^('MF Releasing'!X$3-1)))*$C9)</f>
        <v>0</v>
      </c>
      <c r="Y9" s="149">
        <f>IF($B9=0,"",('MF Rollover'!X9*($P9*(1+'Property Summary'!$L$22)^('MF Releasing'!Y$3-1)))*$C9)</f>
        <v>0</v>
      </c>
      <c r="Z9" s="149">
        <f>IF($B9=0,"",('MF Rollover'!Y9*($P9*(1+'Property Summary'!$L$22)^('MF Releasing'!Z$3-1)))*$C9)</f>
        <v>0</v>
      </c>
      <c r="AA9" s="149">
        <f>IF($B9=0,"",('MF Rollover'!Z9*($P9*(1+'Property Summary'!$L$22)^('MF Releasing'!AA$3-1)))*$C9)</f>
        <v>0</v>
      </c>
      <c r="AB9" s="149">
        <f>IF($B9=0,"",('MF Rollover'!AA9*($P9*(1+'Property Summary'!$L$22)^('MF Releasing'!AB$3-1)))*$C9)</f>
        <v>0</v>
      </c>
      <c r="AC9" s="149">
        <f>IF($B9=0,"",('MF Rollover'!AB9*($P9*(1+'Property Summary'!$L$22)^('MF Releasing'!AC$3-1)))*$C9)</f>
        <v>0</v>
      </c>
      <c r="AD9" s="149">
        <f>IF($B9=0,"",('MF Rollover'!AC9*($P9*(1+'Property Summary'!$L$22)^('MF Releasing'!AD$3-1)))*$C9)</f>
        <v>0</v>
      </c>
      <c r="AE9" s="149">
        <f>IF($B9=0,"",('MF Rollover'!AD9*($P9*(1+'Property Summary'!$L$22)^('MF Releasing'!AE$3-1)))*$C9)</f>
        <v>1713.6000000000001</v>
      </c>
      <c r="AF9" s="149">
        <f>IF($B9=0,"",('MF Rollover'!AE9*($P9*(1+'Property Summary'!$L$22)^('MF Releasing'!AF$3-1)))*$C9)</f>
        <v>0</v>
      </c>
      <c r="AG9" s="149">
        <f>IF($B9=0,"",('MF Rollover'!AF9*($P9*(1+'Property Summary'!$L$22)^('MF Releasing'!AG$3-1)))*$C9)</f>
        <v>0</v>
      </c>
      <c r="AH9" s="149">
        <f>IF($B9=0,"",('MF Rollover'!AG9*($P9*(1+'Property Summary'!$L$22)^('MF Releasing'!AH$3-1)))*$C9)</f>
        <v>0</v>
      </c>
      <c r="AI9" s="149">
        <f>IF($B9=0,"",('MF Rollover'!AH9*($P9*(1+'Property Summary'!$L$22)^('MF Releasing'!AI$3-1)))*$C9)</f>
        <v>0</v>
      </c>
      <c r="AJ9" s="149">
        <f>IF($B9=0,"",('MF Rollover'!AI9*($P9*(1+'Property Summary'!$L$22)^('MF Releasing'!AJ$3-1)))*$C9)</f>
        <v>0</v>
      </c>
      <c r="AK9" s="149">
        <f>IF($B9=0,"",('MF Rollover'!AJ9*($P9*(1+'Property Summary'!$L$22)^('MF Releasing'!AK$3-1)))*$C9)</f>
        <v>0</v>
      </c>
      <c r="AL9" s="149">
        <f>IF($B9=0,"",('MF Rollover'!AK9*($P9*(1+'Property Summary'!$L$22)^('MF Releasing'!AL$3-1)))*$C9)</f>
        <v>0</v>
      </c>
      <c r="AM9" s="149">
        <f>IF($B9=0,"",('MF Rollover'!AL9*($P9*(1+'Property Summary'!$L$22)^('MF Releasing'!AM$3-1)))*$C9)</f>
        <v>0</v>
      </c>
      <c r="AN9" s="149">
        <f>IF($B9=0,"",('MF Rollover'!AM9*($P9*(1+'Property Summary'!$L$22)^('MF Releasing'!AN$3-1)))*$C9)</f>
        <v>0</v>
      </c>
      <c r="AO9" s="149">
        <f>IF($B9=0,"",('MF Rollover'!AN9*($P9*(1+'Property Summary'!$L$22)^('MF Releasing'!AO$3-1)))*$C9)</f>
        <v>0</v>
      </c>
      <c r="AP9" s="149">
        <f>IF($B9=0,"",('MF Rollover'!AO9*($P9*(1+'Property Summary'!$L$22)^('MF Releasing'!AP$3-1)))*$C9)</f>
        <v>0</v>
      </c>
      <c r="AQ9" s="149">
        <f>IF($B9=0,"",('MF Rollover'!AP9*($P9*(1+'Property Summary'!$L$22)^('MF Releasing'!AQ$3-1)))*$C9)</f>
        <v>1747.8720000000001</v>
      </c>
      <c r="AR9" s="149">
        <f>IF($B9=0,"",('MF Rollover'!AQ9*($P9*(1+'Property Summary'!$L$22)^('MF Releasing'!AR$3-1)))*$C9)</f>
        <v>0</v>
      </c>
      <c r="AS9" s="149">
        <f>IF($B9=0,"",('MF Rollover'!AR9*($P9*(1+'Property Summary'!$L$22)^('MF Releasing'!AS$3-1)))*$C9)</f>
        <v>0</v>
      </c>
      <c r="AT9" s="149">
        <f>IF($B9=0,"",('MF Rollover'!AS9*($P9*(1+'Property Summary'!$L$22)^('MF Releasing'!AT$3-1)))*$C9)</f>
        <v>0</v>
      </c>
      <c r="AU9" s="149">
        <f>IF($B9=0,"",('MF Rollover'!AT9*($P9*(1+'Property Summary'!$L$22)^('MF Releasing'!AU$3-1)))*$C9)</f>
        <v>0</v>
      </c>
      <c r="AV9" s="149">
        <f>IF($B9=0,"",('MF Rollover'!AU9*($P9*(1+'Property Summary'!$L$22)^('MF Releasing'!AV$3-1)))*$C9)</f>
        <v>0</v>
      </c>
      <c r="AW9" s="149">
        <f>IF($B9=0,"",('MF Rollover'!AV9*($P9*(1+'Property Summary'!$L$22)^('MF Releasing'!AW$3-1)))*$C9)</f>
        <v>0</v>
      </c>
      <c r="AX9" s="149">
        <f>IF($B9=0,"",('MF Rollover'!AW9*($P9*(1+'Property Summary'!$L$22)^('MF Releasing'!AX$3-1)))*$C9)</f>
        <v>0</v>
      </c>
      <c r="AY9" s="149">
        <f>IF($B9=0,"",('MF Rollover'!AX9*($P9*(1+'Property Summary'!$L$22)^('MF Releasing'!AY$3-1)))*$C9)</f>
        <v>0</v>
      </c>
      <c r="AZ9" s="149">
        <f>IF($B9=0,"",('MF Rollover'!AY9*($P9*(1+'Property Summary'!$L$22)^('MF Releasing'!AZ$3-1)))*$C9)</f>
        <v>0</v>
      </c>
      <c r="BA9" s="149">
        <f>IF($B9=0,"",('MF Rollover'!AZ9*($P9*(1+'Property Summary'!$L$22)^('MF Releasing'!BA$3-1)))*$C9)</f>
        <v>0</v>
      </c>
      <c r="BB9" s="149">
        <f>IF($B9=0,"",('MF Rollover'!BA9*($P9*(1+'Property Summary'!$L$22)^('MF Releasing'!BB$3-1)))*$C9)</f>
        <v>0</v>
      </c>
      <c r="BC9" s="149">
        <f>IF($B9=0,"",('MF Rollover'!BB9*($P9*(1+'Property Summary'!$L$22)^('MF Releasing'!BC$3-1)))*$C9)</f>
        <v>1782.82944</v>
      </c>
      <c r="BD9" s="149">
        <f>IF($B9=0,"",('MF Rollover'!BC9*($P9*(1+'Property Summary'!$L$22)^('MF Releasing'!BD$3-1)))*$C9)</f>
        <v>0</v>
      </c>
      <c r="BE9" s="149">
        <f>IF($B9=0,"",('MF Rollover'!BD9*($P9*(1+'Property Summary'!$L$22)^('MF Releasing'!BE$3-1)))*$C9)</f>
        <v>0</v>
      </c>
      <c r="BF9" s="149">
        <f>IF($B9=0,"",('MF Rollover'!BE9*($P9*(1+'Property Summary'!$L$22)^('MF Releasing'!BF$3-1)))*$C9)</f>
        <v>0</v>
      </c>
      <c r="BG9" s="149">
        <f>IF($B9=0,"",('MF Rollover'!BF9*($P9*(1+'Property Summary'!$L$22)^('MF Releasing'!BG$3-1)))*$C9)</f>
        <v>0</v>
      </c>
      <c r="BH9" s="149">
        <f>IF($B9=0,"",('MF Rollover'!BG9*($P9*(1+'Property Summary'!$L$22)^('MF Releasing'!BH$3-1)))*$C9)</f>
        <v>0</v>
      </c>
      <c r="BI9" s="149">
        <f>IF($B9=0,"",('MF Rollover'!BH9*($P9*(1+'Property Summary'!$L$22)^('MF Releasing'!BI$3-1)))*$C9)</f>
        <v>0</v>
      </c>
      <c r="BJ9" s="149">
        <f>IF($B9=0,"",('MF Rollover'!BI9*($P9*(1+'Property Summary'!$L$22)^('MF Releasing'!BJ$3-1)))*$C9)</f>
        <v>0</v>
      </c>
      <c r="BK9" s="149">
        <f>IF($B9=0,"",('MF Rollover'!BJ9*($P9*(1+'Property Summary'!$L$22)^('MF Releasing'!BK$3-1)))*$C9)</f>
        <v>0</v>
      </c>
      <c r="BL9" s="149">
        <f>IF($B9=0,"",('MF Rollover'!BK9*($P9*(1+'Property Summary'!$L$22)^('MF Releasing'!BL$3-1)))*$C9)</f>
        <v>0</v>
      </c>
      <c r="BM9" s="149">
        <f>IF($B9=0,"",('MF Rollover'!BL9*($P9*(1+'Property Summary'!$L$22)^('MF Releasing'!BM$3-1)))*$C9)</f>
        <v>0</v>
      </c>
      <c r="BN9" s="149">
        <f>IF($B9=0,"",('MF Rollover'!BM9*($P9*(1+'Property Summary'!$L$22)^('MF Releasing'!BN$3-1)))*$C9)</f>
        <v>0</v>
      </c>
      <c r="BO9" s="149">
        <f>IF($B9=0,"",('MF Rollover'!BN9*($P9*(1+'Property Summary'!$L$22)^('MF Releasing'!BO$3-1)))*$C9)</f>
        <v>1818.4860288</v>
      </c>
      <c r="BP9" s="149">
        <f>IF($B9=0,"",('MF Rollover'!BO9*($P9*(1+'Property Summary'!$L$22)^('MF Releasing'!BP$3-1)))*$C9)</f>
        <v>0</v>
      </c>
      <c r="BQ9" s="149">
        <f>IF($B9=0,"",('MF Rollover'!BP9*($P9*(1+'Property Summary'!$L$22)^('MF Releasing'!BQ$3-1)))*$C9)</f>
        <v>0</v>
      </c>
      <c r="BR9" s="149">
        <f>IF($B9=0,"",('MF Rollover'!BQ9*($P9*(1+'Property Summary'!$L$22)^('MF Releasing'!BR$3-1)))*$C9)</f>
        <v>0</v>
      </c>
      <c r="BS9" s="149">
        <f>IF($B9=0,"",('MF Rollover'!BR9*($P9*(1+'Property Summary'!$L$22)^('MF Releasing'!BS$3-1)))*$C9)</f>
        <v>0</v>
      </c>
      <c r="BT9" s="149">
        <f>IF($B9=0,"",('MF Rollover'!BS9*($P9*(1+'Property Summary'!$L$22)^('MF Releasing'!BT$3-1)))*$C9)</f>
        <v>0</v>
      </c>
      <c r="BU9" s="149">
        <f>IF($B9=0,"",('MF Rollover'!BT9*($P9*(1+'Property Summary'!$L$22)^('MF Releasing'!BU$3-1)))*$C9)</f>
        <v>0</v>
      </c>
      <c r="BV9" s="149">
        <f>IF($B9=0,"",('MF Rollover'!BU9*($P9*(1+'Property Summary'!$L$22)^('MF Releasing'!BV$3-1)))*$C9)</f>
        <v>0</v>
      </c>
      <c r="BW9" s="149">
        <f>IF($B9=0,"",('MF Rollover'!BV9*($P9*(1+'Property Summary'!$L$22)^('MF Releasing'!BW$3-1)))*$C9)</f>
        <v>0</v>
      </c>
      <c r="BX9" s="149">
        <f>IF($B9=0,"",('MF Rollover'!BW9*($P9*(1+'Property Summary'!$L$22)^('MF Releasing'!BX$3-1)))*$C9)</f>
        <v>0</v>
      </c>
      <c r="BY9" s="149">
        <f>IF($B9=0,"",('MF Rollover'!BX9*($P9*(1+'Property Summary'!$L$22)^('MF Releasing'!BY$3-1)))*$C9)</f>
        <v>0</v>
      </c>
      <c r="BZ9" s="149">
        <f>IF($B9=0,"",('MF Rollover'!BY9*($P9*(1+'Property Summary'!$L$22)^('MF Releasing'!BZ$3-1)))*$C9)</f>
        <v>0</v>
      </c>
      <c r="CA9" s="149">
        <f>IF($B9=0,"",('MF Rollover'!BZ9*($P9*(1+'Property Summary'!$L$22)^('MF Releasing'!CA$3-1)))*$C9)</f>
        <v>1854.8557493760002</v>
      </c>
      <c r="CB9" s="149">
        <f>IF($B9=0,"",('MF Rollover'!CA9*($P9*(1+'Property Summary'!$L$22)^('MF Releasing'!CB$3-1)))*$C9)</f>
        <v>0</v>
      </c>
      <c r="CC9" s="149">
        <f>IF($B9=0,"",('MF Rollover'!CB9*($P9*(1+'Property Summary'!$L$22)^('MF Releasing'!CC$3-1)))*$C9)</f>
        <v>0</v>
      </c>
      <c r="CD9" s="149">
        <f>IF($B9=0,"",('MF Rollover'!CC9*($P9*(1+'Property Summary'!$L$22)^('MF Releasing'!CD$3-1)))*$C9)</f>
        <v>0</v>
      </c>
      <c r="CE9" s="149">
        <f>IF($B9=0,"",('MF Rollover'!CD9*($P9*(1+'Property Summary'!$L$22)^('MF Releasing'!CE$3-1)))*$C9)</f>
        <v>0</v>
      </c>
      <c r="CF9" s="149">
        <f>IF($B9=0,"",('MF Rollover'!CE9*($P9*(1+'Property Summary'!$L$22)^('MF Releasing'!CF$3-1)))*$C9)</f>
        <v>0</v>
      </c>
      <c r="CG9" s="149">
        <f>IF($B9=0,"",('MF Rollover'!CF9*($P9*(1+'Property Summary'!$L$22)^('MF Releasing'!CG$3-1)))*$C9)</f>
        <v>0</v>
      </c>
      <c r="CH9" s="149">
        <f>IF($B9=0,"",('MF Rollover'!CG9*($P9*(1+'Property Summary'!$L$22)^('MF Releasing'!CH$3-1)))*$C9)</f>
        <v>0</v>
      </c>
      <c r="CI9" s="149">
        <f>IF($B9=0,"",('MF Rollover'!CH9*($P9*(1+'Property Summary'!$L$22)^('MF Releasing'!CI$3-1)))*$C9)</f>
        <v>0</v>
      </c>
      <c r="CJ9" s="149">
        <f>IF($B9=0,"",('MF Rollover'!CI9*($P9*(1+'Property Summary'!$L$22)^('MF Releasing'!CJ$3-1)))*$C9)</f>
        <v>0</v>
      </c>
      <c r="CK9" s="149">
        <f>IF($B9=0,"",('MF Rollover'!CJ9*($P9*(1+'Property Summary'!$L$22)^('MF Releasing'!CK$3-1)))*$C9)</f>
        <v>0</v>
      </c>
      <c r="CL9" s="149">
        <f>IF($B9=0,"",('MF Rollover'!CK9*($P9*(1+'Property Summary'!$L$22)^('MF Releasing'!CL$3-1)))*$C9)</f>
        <v>0</v>
      </c>
      <c r="CM9" s="149">
        <f>IF($B9=0,"",('MF Rollover'!CL9*($P9*(1+'Property Summary'!$L$22)^('MF Releasing'!CM$3-1)))*$C9)</f>
        <v>1891.9528643635203</v>
      </c>
      <c r="CN9" s="149">
        <f>IF($B9=0,"",('MF Rollover'!CM9*($P9*(1+'Property Summary'!$L$22)^('MF Releasing'!CN$3-1)))*$C9)</f>
        <v>0</v>
      </c>
      <c r="CO9" s="149">
        <f>IF($B9=0,"",('MF Rollover'!CN9*($P9*(1+'Property Summary'!$L$22)^('MF Releasing'!CO$3-1)))*$C9)</f>
        <v>0</v>
      </c>
      <c r="CP9" s="149">
        <f>IF($B9=0,"",('MF Rollover'!CO9*($P9*(1+'Property Summary'!$L$22)^('MF Releasing'!CP$3-1)))*$C9)</f>
        <v>0</v>
      </c>
      <c r="CQ9" s="149">
        <f>IF($B9=0,"",('MF Rollover'!CP9*($P9*(1+'Property Summary'!$L$22)^('MF Releasing'!CQ$3-1)))*$C9)</f>
        <v>0</v>
      </c>
      <c r="CR9" s="149">
        <f>IF($B9=0,"",('MF Rollover'!CQ9*($P9*(1+'Property Summary'!$L$22)^('MF Releasing'!CR$3-1)))*$C9)</f>
        <v>0</v>
      </c>
      <c r="CS9" s="149">
        <f>IF($B9=0,"",('MF Rollover'!CR9*($P9*(1+'Property Summary'!$L$22)^('MF Releasing'!CS$3-1)))*$C9)</f>
        <v>0</v>
      </c>
      <c r="CT9" s="149">
        <f>IF($B9=0,"",('MF Rollover'!CS9*($P9*(1+'Property Summary'!$L$22)^('MF Releasing'!CT$3-1)))*$C9)</f>
        <v>0</v>
      </c>
      <c r="CU9" s="149">
        <f>IF($B9=0,"",('MF Rollover'!CT9*($P9*(1+'Property Summary'!$L$22)^('MF Releasing'!CU$3-1)))*$C9)</f>
        <v>0</v>
      </c>
      <c r="CV9" s="149">
        <f>IF($B9=0,"",('MF Rollover'!CU9*($P9*(1+'Property Summary'!$L$22)^('MF Releasing'!CV$3-1)))*$C9)</f>
        <v>0</v>
      </c>
      <c r="CW9" s="149">
        <f>IF($B9=0,"",('MF Rollover'!CV9*($P9*(1+'Property Summary'!$L$22)^('MF Releasing'!CW$3-1)))*$C9)</f>
        <v>0</v>
      </c>
      <c r="CX9" s="149">
        <f>IF($B9=0,"",('MF Rollover'!CW9*($P9*(1+'Property Summary'!$L$22)^('MF Releasing'!CX$3-1)))*$C9)</f>
        <v>0</v>
      </c>
      <c r="CY9" s="149">
        <f>IF($B9=0,"",('MF Rollover'!CX9*($P9*(1+'Property Summary'!$L$22)^('MF Releasing'!CY$3-1)))*$C9)</f>
        <v>1929.7919216507901</v>
      </c>
      <c r="CZ9" s="149">
        <f>IF($B9=0,"",('MF Rollover'!CY9*($P9*(1+'Property Summary'!$L$22)^('MF Releasing'!CZ$3-1)))*$C9)</f>
        <v>0</v>
      </c>
      <c r="DA9" s="149">
        <f>IF($B9=0,"",('MF Rollover'!CZ9*($P9*(1+'Property Summary'!$L$22)^('MF Releasing'!DA$3-1)))*$C9)</f>
        <v>0</v>
      </c>
      <c r="DB9" s="149">
        <f>IF($B9=0,"",('MF Rollover'!DA9*($P9*(1+'Property Summary'!$L$22)^('MF Releasing'!DB$3-1)))*$C9)</f>
        <v>0</v>
      </c>
      <c r="DC9" s="149">
        <f>IF($B9=0,"",('MF Rollover'!DB9*($P9*(1+'Property Summary'!$L$22)^('MF Releasing'!DC$3-1)))*$C9)</f>
        <v>0</v>
      </c>
      <c r="DD9" s="149">
        <f>IF($B9=0,"",('MF Rollover'!DC9*($P9*(1+'Property Summary'!$L$22)^('MF Releasing'!DD$3-1)))*$C9)</f>
        <v>0</v>
      </c>
      <c r="DE9" s="149">
        <f>IF($B9=0,"",('MF Rollover'!DD9*($P9*(1+'Property Summary'!$L$22)^('MF Releasing'!DE$3-1)))*$C9)</f>
        <v>0</v>
      </c>
      <c r="DF9" s="149">
        <f>IF($B9=0,"",('MF Rollover'!DE9*($P9*(1+'Property Summary'!$L$22)^('MF Releasing'!DF$3-1)))*$C9)</f>
        <v>0</v>
      </c>
      <c r="DG9" s="149">
        <f>IF($B9=0,"",('MF Rollover'!DF9*($P9*(1+'Property Summary'!$L$22)^('MF Releasing'!DG$3-1)))*$C9)</f>
        <v>0</v>
      </c>
      <c r="DH9" s="149">
        <f>IF($B9=0,"",('MF Rollover'!DG9*($P9*(1+'Property Summary'!$L$22)^('MF Releasing'!DH$3-1)))*$C9)</f>
        <v>0</v>
      </c>
      <c r="DI9" s="149">
        <f>IF($B9=0,"",('MF Rollover'!DH9*($P9*(1+'Property Summary'!$L$22)^('MF Releasing'!DI$3-1)))*$C9)</f>
        <v>0</v>
      </c>
      <c r="DJ9" s="149">
        <f>IF($B9=0,"",('MF Rollover'!DI9*($P9*(1+'Property Summary'!$L$22)^('MF Releasing'!DJ$3-1)))*$C9)</f>
        <v>0</v>
      </c>
      <c r="DK9" s="149">
        <f>IF($B9=0,"",('MF Rollover'!DJ9*($P9*(1+'Property Summary'!$L$22)^('MF Releasing'!DK$3-1)))*$C9)</f>
        <v>1968.3877600838059</v>
      </c>
      <c r="DL9" s="149">
        <f>IF($B9=0,"",('MF Rollover'!DK9*($P9*(1+'Property Summary'!$L$22)^('MF Releasing'!DL$3-1)))*$C9)</f>
        <v>0</v>
      </c>
      <c r="DM9" s="149">
        <f>IF($B9=0,"",('MF Rollover'!DL9*($P9*(1+'Property Summary'!$L$22)^('MF Releasing'!DM$3-1)))*$C9)</f>
        <v>0</v>
      </c>
      <c r="DN9" s="149">
        <f>IF($B9=0,"",('MF Rollover'!DM9*($P9*(1+'Property Summary'!$L$22)^('MF Releasing'!DN$3-1)))*$C9)</f>
        <v>0</v>
      </c>
      <c r="DO9" s="149">
        <f>IF($B9=0,"",('MF Rollover'!DN9*($P9*(1+'Property Summary'!$L$22)^('MF Releasing'!DO$3-1)))*$C9)</f>
        <v>0</v>
      </c>
      <c r="DP9" s="149">
        <f>IF($B9=0,"",('MF Rollover'!DO9*($P9*(1+'Property Summary'!$L$22)^('MF Releasing'!DP$3-1)))*$C9)</f>
        <v>0</v>
      </c>
      <c r="DQ9" s="149">
        <f>IF($B9=0,"",('MF Rollover'!DP9*($P9*(1+'Property Summary'!$L$22)^('MF Releasing'!DQ$3-1)))*$C9)</f>
        <v>0</v>
      </c>
      <c r="DR9" s="149">
        <f>IF($B9=0,"",('MF Rollover'!DQ9*($P9*(1+'Property Summary'!$L$22)^('MF Releasing'!DR$3-1)))*$C9)</f>
        <v>0</v>
      </c>
      <c r="DS9" s="149">
        <f>IF($B9=0,"",('MF Rollover'!DR9*($P9*(1+'Property Summary'!$L$22)^('MF Releasing'!DS$3-1)))*$C9)</f>
        <v>0</v>
      </c>
      <c r="DT9" s="149">
        <f>IF($B9=0,"",('MF Rollover'!DS9*($P9*(1+'Property Summary'!$L$22)^('MF Releasing'!DT$3-1)))*$C9)</f>
        <v>0</v>
      </c>
      <c r="DU9" s="149">
        <f>IF($B9=0,"",('MF Rollover'!DT9*($P9*(1+'Property Summary'!$L$22)^('MF Releasing'!DU$3-1)))*$C9)</f>
        <v>0</v>
      </c>
      <c r="DV9" s="149">
        <f>IF($B9=0,"",('MF Rollover'!DU9*($P9*(1+'Property Summary'!$L$22)^('MF Releasing'!DV$3-1)))*$C9)</f>
        <v>0</v>
      </c>
      <c r="DW9" s="149">
        <f>IF($B9=0,"",('MF Rollover'!DV9*($P9*(1+'Property Summary'!$L$22)^('MF Releasing'!DW$3-1)))*$C9)</f>
        <v>2007.755515285482</v>
      </c>
      <c r="DX9" s="149">
        <f>IF($B9=0,"",('MF Rollover'!DW9*($P9*(1+'Property Summary'!$L$22)^('MF Releasing'!DX$3-1)))*$C9)</f>
        <v>0</v>
      </c>
      <c r="DY9" s="149">
        <f>IF($B9=0,"",('MF Rollover'!DX9*($P9*(1+'Property Summary'!$L$22)^('MF Releasing'!DY$3-1)))*$C9)</f>
        <v>0</v>
      </c>
      <c r="DZ9" s="149">
        <f>IF($B9=0,"",('MF Rollover'!DY9*($P9*(1+'Property Summary'!$L$22)^('MF Releasing'!DZ$3-1)))*$C9)</f>
        <v>0</v>
      </c>
      <c r="EA9" s="149">
        <f>IF($B9=0,"",('MF Rollover'!DZ9*($P9*(1+'Property Summary'!$L$22)^('MF Releasing'!EA$3-1)))*$C9)</f>
        <v>0</v>
      </c>
      <c r="EB9" s="149">
        <f>IF($B9=0,"",('MF Rollover'!EA9*($P9*(1+'Property Summary'!$L$22)^('MF Releasing'!EB$3-1)))*$C9)</f>
        <v>0</v>
      </c>
      <c r="EC9" s="149">
        <f>IF($B9=0,"",('MF Rollover'!EB9*($P9*(1+'Property Summary'!$L$22)^('MF Releasing'!EC$3-1)))*$C9)</f>
        <v>0</v>
      </c>
      <c r="ED9" s="149">
        <f>IF($B9=0,"",('MF Rollover'!EC9*($P9*(1+'Property Summary'!$L$22)^('MF Releasing'!ED$3-1)))*$C9)</f>
        <v>0</v>
      </c>
      <c r="EE9" s="149">
        <f>IF($B9=0,"",('MF Rollover'!ED9*($P9*(1+'Property Summary'!$L$22)^('MF Releasing'!EE$3-1)))*$C9)</f>
        <v>0</v>
      </c>
      <c r="EF9" s="149">
        <f>IF($B9=0,"",('MF Rollover'!EE9*($P9*(1+'Property Summary'!$L$22)^('MF Releasing'!EF$3-1)))*$C9)</f>
        <v>0</v>
      </c>
      <c r="EG9" s="149">
        <f>IF($B9=0,"",('MF Rollover'!EF9*($P9*(1+'Property Summary'!$L$22)^('MF Releasing'!EG$3-1)))*$C9)</f>
        <v>0</v>
      </c>
      <c r="EH9" s="149">
        <f>IF($B9=0,"",('MF Rollover'!EG9*($P9*(1+'Property Summary'!$L$22)^('MF Releasing'!EH$3-1)))*$C9)</f>
        <v>0</v>
      </c>
      <c r="EI9" s="149">
        <f>IF($B9=0,"",('MF Rollover'!EH9*($P9*(1+'Property Summary'!$L$22)^('MF Releasing'!EI$3-1)))*$C9)</f>
        <v>2047.910625591192</v>
      </c>
      <c r="EJ9" s="149">
        <f>IF($B9=0,"",('MF Rollover'!EI9*($P9*(1+'Property Summary'!$L$22)^('MF Releasing'!EJ$3-1)))*$C9)</f>
        <v>0</v>
      </c>
      <c r="EK9" s="149">
        <f>IF($B9=0,"",('MF Rollover'!EJ9*($P9*(1+'Property Summary'!$L$22)^('MF Releasing'!EK$3-1)))*$C9)</f>
        <v>0</v>
      </c>
      <c r="EL9" s="149">
        <f>IF($B9=0,"",('MF Rollover'!EK9*($P9*(1+'Property Summary'!$L$22)^('MF Releasing'!EL$3-1)))*$C9)</f>
        <v>0</v>
      </c>
      <c r="EM9" s="149">
        <f>IF($B9=0,"",('MF Rollover'!EL9*($P9*(1+'Property Summary'!$L$22)^('MF Releasing'!EM$3-1)))*$C9)</f>
        <v>0</v>
      </c>
      <c r="EN9" s="149">
        <f>IF($B9=0,"",('MF Rollover'!EM9*($P9*(1+'Property Summary'!$L$22)^('MF Releasing'!EN$3-1)))*$C9)</f>
        <v>0</v>
      </c>
      <c r="EO9" s="149">
        <f>IF($B9=0,"",('MF Rollover'!EN9*($P9*(1+'Property Summary'!$L$22)^('MF Releasing'!EO$3-1)))*$C9)</f>
        <v>0</v>
      </c>
      <c r="EP9" s="149">
        <f>IF($B9=0,"",('MF Rollover'!EO9*($P9*(1+'Property Summary'!$L$22)^('MF Releasing'!EP$3-1)))*$C9)</f>
        <v>0</v>
      </c>
      <c r="EQ9" s="149">
        <f>IF($B9=0,"",('MF Rollover'!EP9*($P9*(1+'Property Summary'!$L$22)^('MF Releasing'!EQ$3-1)))*$C9)</f>
        <v>0</v>
      </c>
      <c r="ER9" s="149">
        <f>IF($B9=0,"",('MF Rollover'!EQ9*($P9*(1+'Property Summary'!$L$22)^('MF Releasing'!ER$3-1)))*$C9)</f>
        <v>0</v>
      </c>
      <c r="ES9" s="149">
        <f>IF($B9=0,"",('MF Rollover'!ER9*($P9*(1+'Property Summary'!$L$22)^('MF Releasing'!ES$3-1)))*$C9)</f>
        <v>0</v>
      </c>
      <c r="ET9" s="149">
        <f>IF($B9=0,"",('MF Rollover'!ES9*($P9*(1+'Property Summary'!$L$22)^('MF Releasing'!ET$3-1)))*$C9)</f>
        <v>0</v>
      </c>
      <c r="EU9" s="149">
        <f>IF($B9=0,"",('MF Rollover'!ET9*($P9*(1+'Property Summary'!$L$22)^('MF Releasing'!EU$3-1)))*$C9)</f>
        <v>2088.8688381030152</v>
      </c>
      <c r="EV9" s="149">
        <f>IF($B9=0,"",('MF Rollover'!EU9*($P9*(1+'Property Summary'!$L$22)^('MF Releasing'!EV$3-1)))*$C9)</f>
        <v>0</v>
      </c>
      <c r="EW9" s="149">
        <f>IF($B9=0,"",('MF Rollover'!EV9*($P9*(1+'Property Summary'!$L$22)^('MF Releasing'!EW$3-1)))*$C9)</f>
        <v>0</v>
      </c>
      <c r="EX9" s="149">
        <f>IF($B9=0,"",('MF Rollover'!EW9*($P9*(1+'Property Summary'!$L$22)^('MF Releasing'!EX$3-1)))*$C9)</f>
        <v>0</v>
      </c>
      <c r="EY9" s="149">
        <f>IF($B9=0,"",('MF Rollover'!EX9*($P9*(1+'Property Summary'!$L$22)^('MF Releasing'!EY$3-1)))*$C9)</f>
        <v>0</v>
      </c>
      <c r="EZ9" s="149">
        <f>IF($B9=0,"",('MF Rollover'!EY9*($P9*(1+'Property Summary'!$L$22)^('MF Releasing'!EZ$3-1)))*$C9)</f>
        <v>0</v>
      </c>
      <c r="FA9" s="149">
        <f>IF($B9=0,"",('MF Rollover'!EZ9*($P9*(1+'Property Summary'!$L$22)^('MF Releasing'!FA$3-1)))*$C9)</f>
        <v>0</v>
      </c>
      <c r="FB9" s="149">
        <f>IF($B9=0,"",('MF Rollover'!FA9*($P9*(1+'Property Summary'!$L$22)^('MF Releasing'!FB$3-1)))*$C9)</f>
        <v>0</v>
      </c>
      <c r="FC9" s="149">
        <f>IF($B9=0,"",('MF Rollover'!FB9*($P9*(1+'Property Summary'!$L$22)^('MF Releasing'!FC$3-1)))*$C9)</f>
        <v>0</v>
      </c>
      <c r="FD9" s="149">
        <f>IF($B9=0,"",('MF Rollover'!FC9*($P9*(1+'Property Summary'!$L$22)^('MF Releasing'!FD$3-1)))*$C9)</f>
        <v>0</v>
      </c>
      <c r="FE9" s="149">
        <f>IF($B9=0,"",('MF Rollover'!FD9*($P9*(1+'Property Summary'!$L$22)^('MF Releasing'!FE$3-1)))*$C9)</f>
        <v>0</v>
      </c>
      <c r="FF9" s="149">
        <f>IF($B9=0,"",('MF Rollover'!FE9*($P9*(1+'Property Summary'!$L$22)^('MF Releasing'!FF$3-1)))*$C9)</f>
        <v>0</v>
      </c>
      <c r="FG9" s="149">
        <f>IF($B9=0,"",('MF Rollover'!FF9*($P9*(1+'Property Summary'!$L$22)^('MF Releasing'!FG$3-1)))*$C9)</f>
        <v>2130.6462148650762</v>
      </c>
      <c r="FH9" s="149">
        <f>IF($B9=0,"",('MF Rollover'!FG9*($P9*(1+'Property Summary'!$L$22)^('MF Releasing'!FH$3-1)))*$C9)</f>
        <v>0</v>
      </c>
      <c r="FI9" s="149">
        <f>IF($B9=0,"",('MF Rollover'!FH9*($P9*(1+'Property Summary'!$L$22)^('MF Releasing'!FI$3-1)))*$C9)</f>
        <v>0</v>
      </c>
      <c r="FJ9" s="149">
        <f>IF($B9=0,"",('MF Rollover'!FI9*($P9*(1+'Property Summary'!$L$22)^('MF Releasing'!FJ$3-1)))*$C9)</f>
        <v>0</v>
      </c>
      <c r="FK9" s="149">
        <f>IF($B9=0,"",('MF Rollover'!FJ9*($P9*(1+'Property Summary'!$L$22)^('MF Releasing'!FK$3-1)))*$C9)</f>
        <v>0</v>
      </c>
      <c r="FL9" s="149">
        <f>IF($B9=0,"",('MF Rollover'!FK9*($P9*(1+'Property Summary'!$L$22)^('MF Releasing'!FL$3-1)))*$C9)</f>
        <v>0</v>
      </c>
      <c r="FM9" s="149">
        <f>IF($B9=0,"",('MF Rollover'!FL9*($P9*(1+'Property Summary'!$L$22)^('MF Releasing'!FM$3-1)))*$C9)</f>
        <v>0</v>
      </c>
      <c r="FN9" s="149">
        <f>IF($B9=0,"",('MF Rollover'!FM9*($P9*(1+'Property Summary'!$L$22)^('MF Releasing'!FN$3-1)))*$C9)</f>
        <v>0</v>
      </c>
      <c r="FO9" s="149">
        <f>IF($B9=0,"",('MF Rollover'!FN9*($P9*(1+'Property Summary'!$L$22)^('MF Releasing'!FO$3-1)))*$C9)</f>
        <v>0</v>
      </c>
      <c r="FP9" s="149">
        <f>IF($B9=0,"",('MF Rollover'!FO9*($P9*(1+'Property Summary'!$L$22)^('MF Releasing'!FP$3-1)))*$C9)</f>
        <v>0</v>
      </c>
      <c r="FQ9" s="149">
        <f>IF($B9=0,"",('MF Rollover'!FP9*($P9*(1+'Property Summary'!$L$22)^('MF Releasing'!FQ$3-1)))*$C9)</f>
        <v>0</v>
      </c>
      <c r="FR9" s="149">
        <f>IF($B9=0,"",('MF Rollover'!FQ9*($P9*(1+'Property Summary'!$L$22)^('MF Releasing'!FR$3-1)))*$C9)</f>
        <v>0</v>
      </c>
      <c r="FS9" s="149">
        <f>IF($B9=0,"",('MF Rollover'!FR9*($P9*(1+'Property Summary'!$L$22)^('MF Releasing'!FS$3-1)))*$C9)</f>
        <v>2173.2591391623773</v>
      </c>
      <c r="FT9" s="149">
        <f>IF($B9=0,"",('MF Rollover'!FS9*($P9*(1+'Property Summary'!$L$22)^('MF Releasing'!FT$3-1)))*$C9)</f>
        <v>0</v>
      </c>
      <c r="FU9" s="149">
        <f>IF($B9=0,"",('MF Rollover'!FT9*($P9*(1+'Property Summary'!$L$22)^('MF Releasing'!FU$3-1)))*$C9)</f>
        <v>0</v>
      </c>
      <c r="FV9" s="149">
        <f>IF($B9=0,"",('MF Rollover'!FU9*($P9*(1+'Property Summary'!$L$22)^('MF Releasing'!FV$3-1)))*$C9)</f>
        <v>0</v>
      </c>
      <c r="FW9" s="149">
        <f>IF($B9=0,"",('MF Rollover'!FV9*($P9*(1+'Property Summary'!$L$22)^('MF Releasing'!FW$3-1)))*$C9)</f>
        <v>0</v>
      </c>
      <c r="FX9" s="149">
        <f>IF($B9=0,"",('MF Rollover'!FW9*($P9*(1+'Property Summary'!$L$22)^('MF Releasing'!FX$3-1)))*$C9)</f>
        <v>0</v>
      </c>
      <c r="FY9" s="149">
        <f>IF($B9=0,"",('MF Rollover'!FX9*($P9*(1+'Property Summary'!$L$22)^('MF Releasing'!FY$3-1)))*$C9)</f>
        <v>0</v>
      </c>
      <c r="FZ9" s="149">
        <f>IF($B9=0,"",('MF Rollover'!FY9*($P9*(1+'Property Summary'!$L$22)^('MF Releasing'!FZ$3-1)))*$C9)</f>
        <v>0</v>
      </c>
      <c r="GA9" s="149">
        <f>IF($B9=0,"",('MF Rollover'!FZ9*($P9*(1+'Property Summary'!$L$22)^('MF Releasing'!GA$3-1)))*$C9)</f>
        <v>0</v>
      </c>
      <c r="GB9" s="149">
        <f>IF($B9=0,"",('MF Rollover'!GA9*($P9*(1+'Property Summary'!$L$22)^('MF Releasing'!GB$3-1)))*$C9)</f>
        <v>0</v>
      </c>
      <c r="GC9" s="149">
        <f>IF($B9=0,"",('MF Rollover'!GB9*($P9*(1+'Property Summary'!$L$22)^('MF Releasing'!GC$3-1)))*$C9)</f>
        <v>0</v>
      </c>
      <c r="GD9" s="149">
        <f>IF($B9=0,"",('MF Rollover'!GC9*($P9*(1+'Property Summary'!$L$22)^('MF Releasing'!GD$3-1)))*$C9)</f>
        <v>0</v>
      </c>
      <c r="GE9" s="149">
        <f>IF($B9=0,"",('MF Rollover'!GD9*($P9*(1+'Property Summary'!$L$22)^('MF Releasing'!GE$3-1)))*$C9)</f>
        <v>2216.7243219456254</v>
      </c>
      <c r="GF9" s="149">
        <f>IF($B9=0,"",('MF Rollover'!GE9*($P9*(1+'Property Summary'!$L$22)^('MF Releasing'!GF$3-1)))*$C9)</f>
        <v>0</v>
      </c>
      <c r="GG9" s="149">
        <f>IF($B9=0,"",('MF Rollover'!GF9*($P9*(1+'Property Summary'!$L$22)^('MF Releasing'!GG$3-1)))*$C9)</f>
        <v>0</v>
      </c>
      <c r="GH9" s="149">
        <f>IF($B9=0,"",('MF Rollover'!GG9*($P9*(1+'Property Summary'!$L$22)^('MF Releasing'!GH$3-1)))*$C9)</f>
        <v>0</v>
      </c>
      <c r="GI9" s="149">
        <f>IF($B9=0,"",('MF Rollover'!GH9*($P9*(1+'Property Summary'!$L$22)^('MF Releasing'!GI$3-1)))*$C9)</f>
        <v>0</v>
      </c>
      <c r="GJ9" s="149">
        <f>IF($B9=0,"",('MF Rollover'!GI9*($P9*(1+'Property Summary'!$L$22)^('MF Releasing'!GJ$3-1)))*$C9)</f>
        <v>0</v>
      </c>
      <c r="GK9" s="149">
        <f>IF($B9=0,"",('MF Rollover'!GJ9*($P9*(1+'Property Summary'!$L$22)^('MF Releasing'!GK$3-1)))*$C9)</f>
        <v>0</v>
      </c>
      <c r="GL9" s="149">
        <f>IF($B9=0,"",('MF Rollover'!GK9*($P9*(1+'Property Summary'!$L$22)^('MF Releasing'!GL$3-1)))*$C9)</f>
        <v>0</v>
      </c>
      <c r="GM9" s="149">
        <f>IF($B9=0,"",('MF Rollover'!GL9*($P9*(1+'Property Summary'!$L$22)^('MF Releasing'!GM$3-1)))*$C9)</f>
        <v>0</v>
      </c>
      <c r="GN9" s="149">
        <f>IF($B9=0,"",('MF Rollover'!GM9*($P9*(1+'Property Summary'!$L$22)^('MF Releasing'!GN$3-1)))*$C9)</f>
        <v>0</v>
      </c>
      <c r="GO9" s="149">
        <f>IF($B9=0,"",('MF Rollover'!GN9*($P9*(1+'Property Summary'!$L$22)^('MF Releasing'!GO$3-1)))*$C9)</f>
        <v>0</v>
      </c>
      <c r="GP9" s="149">
        <f>IF($B9=0,"",('MF Rollover'!GO9*($P9*(1+'Property Summary'!$L$22)^('MF Releasing'!GP$3-1)))*$C9)</f>
        <v>0</v>
      </c>
    </row>
    <row r="10" spans="2:198" x14ac:dyDescent="0.3">
      <c r="B10" s="184" t="str">
        <f>'MF Rent Roll'!B9</f>
        <v>3bd/2ba</v>
      </c>
      <c r="C10" s="171">
        <f>'MF Rent Roll'!C9</f>
        <v>24</v>
      </c>
      <c r="D10" s="172">
        <f>'MF Rent Roll'!D9</f>
        <v>3</v>
      </c>
      <c r="E10" s="172">
        <f>'MF Rent Roll'!E9</f>
        <v>2</v>
      </c>
      <c r="F10" s="173">
        <f>'MF Rent Roll'!F9</f>
        <v>1046</v>
      </c>
      <c r="G10" s="174">
        <f>'MF Rent Roll'!G9</f>
        <v>1100</v>
      </c>
      <c r="H10" s="176">
        <f>'MF Rent Roll'!J9</f>
        <v>12</v>
      </c>
      <c r="I10" s="174">
        <f>'MF Rent Roll'!K9</f>
        <v>70</v>
      </c>
      <c r="J10" s="177">
        <f>'MF Rent Roll'!L9</f>
        <v>0</v>
      </c>
      <c r="K10" s="178">
        <f>'MF Rent Roll'!M9</f>
        <v>30</v>
      </c>
      <c r="L10" s="174">
        <f>'MF Rent Roll'!N9</f>
        <v>400</v>
      </c>
      <c r="M10" s="179">
        <f>'MF Rent Roll'!O9</f>
        <v>0.6</v>
      </c>
      <c r="N10" s="180">
        <f>'MF Rent Roll'!P9</f>
        <v>0</v>
      </c>
      <c r="O10" s="181">
        <f>'MF Rent Roll'!Q9</f>
        <v>12</v>
      </c>
      <c r="P10" s="104">
        <f>'MF Rent Roll'!R9</f>
        <v>160</v>
      </c>
      <c r="S10" s="149">
        <f>IF($B10=0,"",('MF Rollover'!R10*($P10*(1+'Property Summary'!$L$22)^('MF Releasing'!S$3-1)))*$C10)</f>
        <v>0</v>
      </c>
      <c r="T10" s="149">
        <f>IF($B10=0,"",('MF Rollover'!S10*($P10*(1+'Property Summary'!$L$22)^('MF Releasing'!T$3-1)))*$C10)</f>
        <v>0</v>
      </c>
      <c r="U10" s="149">
        <f>IF($B10=0,"",('MF Rollover'!T10*($P10*(1+'Property Summary'!$L$22)^('MF Releasing'!U$3-1)))*$C10)</f>
        <v>0</v>
      </c>
      <c r="V10" s="149">
        <f>IF($B10=0,"",('MF Rollover'!U10*($P10*(1+'Property Summary'!$L$22)^('MF Releasing'!V$3-1)))*$C10)</f>
        <v>0</v>
      </c>
      <c r="W10" s="149">
        <f>IF($B10=0,"",('MF Rollover'!V10*($P10*(1+'Property Summary'!$L$22)^('MF Releasing'!W$3-1)))*$C10)</f>
        <v>0</v>
      </c>
      <c r="X10" s="149">
        <f>IF($B10=0,"",('MF Rollover'!W10*($P10*(1+'Property Summary'!$L$22)^('MF Releasing'!X$3-1)))*$C10)</f>
        <v>0</v>
      </c>
      <c r="Y10" s="149">
        <f>IF($B10=0,"",('MF Rollover'!X10*($P10*(1+'Property Summary'!$L$22)^('MF Releasing'!Y$3-1)))*$C10)</f>
        <v>0</v>
      </c>
      <c r="Z10" s="149">
        <f>IF($B10=0,"",('MF Rollover'!Y10*($P10*(1+'Property Summary'!$L$22)^('MF Releasing'!Z$3-1)))*$C10)</f>
        <v>0</v>
      </c>
      <c r="AA10" s="149">
        <f>IF($B10=0,"",('MF Rollover'!Z10*($P10*(1+'Property Summary'!$L$22)^('MF Releasing'!AA$3-1)))*$C10)</f>
        <v>0</v>
      </c>
      <c r="AB10" s="149">
        <f>IF($B10=0,"",('MF Rollover'!AA10*($P10*(1+'Property Summary'!$L$22)^('MF Releasing'!AB$3-1)))*$C10)</f>
        <v>0</v>
      </c>
      <c r="AC10" s="149">
        <f>IF($B10=0,"",('MF Rollover'!AB10*($P10*(1+'Property Summary'!$L$22)^('MF Releasing'!AC$3-1)))*$C10)</f>
        <v>0</v>
      </c>
      <c r="AD10" s="149">
        <f>IF($B10=0,"",('MF Rollover'!AC10*($P10*(1+'Property Summary'!$L$22)^('MF Releasing'!AD$3-1)))*$C10)</f>
        <v>0</v>
      </c>
      <c r="AE10" s="149">
        <f>IF($B10=0,"",('MF Rollover'!AD10*($P10*(1+'Property Summary'!$L$22)^('MF Releasing'!AE$3-1)))*$C10)</f>
        <v>3916.7999999999997</v>
      </c>
      <c r="AF10" s="149">
        <f>IF($B10=0,"",('MF Rollover'!AE10*($P10*(1+'Property Summary'!$L$22)^('MF Releasing'!AF$3-1)))*$C10)</f>
        <v>0</v>
      </c>
      <c r="AG10" s="149">
        <f>IF($B10=0,"",('MF Rollover'!AF10*($P10*(1+'Property Summary'!$L$22)^('MF Releasing'!AG$3-1)))*$C10)</f>
        <v>0</v>
      </c>
      <c r="AH10" s="149">
        <f>IF($B10=0,"",('MF Rollover'!AG10*($P10*(1+'Property Summary'!$L$22)^('MF Releasing'!AH$3-1)))*$C10)</f>
        <v>0</v>
      </c>
      <c r="AI10" s="149">
        <f>IF($B10=0,"",('MF Rollover'!AH10*($P10*(1+'Property Summary'!$L$22)^('MF Releasing'!AI$3-1)))*$C10)</f>
        <v>0</v>
      </c>
      <c r="AJ10" s="149">
        <f>IF($B10=0,"",('MF Rollover'!AI10*($P10*(1+'Property Summary'!$L$22)^('MF Releasing'!AJ$3-1)))*$C10)</f>
        <v>0</v>
      </c>
      <c r="AK10" s="149">
        <f>IF($B10=0,"",('MF Rollover'!AJ10*($P10*(1+'Property Summary'!$L$22)^('MF Releasing'!AK$3-1)))*$C10)</f>
        <v>0</v>
      </c>
      <c r="AL10" s="149">
        <f>IF($B10=0,"",('MF Rollover'!AK10*($P10*(1+'Property Summary'!$L$22)^('MF Releasing'!AL$3-1)))*$C10)</f>
        <v>0</v>
      </c>
      <c r="AM10" s="149">
        <f>IF($B10=0,"",('MF Rollover'!AL10*($P10*(1+'Property Summary'!$L$22)^('MF Releasing'!AM$3-1)))*$C10)</f>
        <v>0</v>
      </c>
      <c r="AN10" s="149">
        <f>IF($B10=0,"",('MF Rollover'!AM10*($P10*(1+'Property Summary'!$L$22)^('MF Releasing'!AN$3-1)))*$C10)</f>
        <v>0</v>
      </c>
      <c r="AO10" s="149">
        <f>IF($B10=0,"",('MF Rollover'!AN10*($P10*(1+'Property Summary'!$L$22)^('MF Releasing'!AO$3-1)))*$C10)</f>
        <v>0</v>
      </c>
      <c r="AP10" s="149">
        <f>IF($B10=0,"",('MF Rollover'!AO10*($P10*(1+'Property Summary'!$L$22)^('MF Releasing'!AP$3-1)))*$C10)</f>
        <v>0</v>
      </c>
      <c r="AQ10" s="149">
        <f>IF($B10=0,"",('MF Rollover'!AP10*($P10*(1+'Property Summary'!$L$22)^('MF Releasing'!AQ$3-1)))*$C10)</f>
        <v>3995.136</v>
      </c>
      <c r="AR10" s="149">
        <f>IF($B10=0,"",('MF Rollover'!AQ10*($P10*(1+'Property Summary'!$L$22)^('MF Releasing'!AR$3-1)))*$C10)</f>
        <v>0</v>
      </c>
      <c r="AS10" s="149">
        <f>IF($B10=0,"",('MF Rollover'!AR10*($P10*(1+'Property Summary'!$L$22)^('MF Releasing'!AS$3-1)))*$C10)</f>
        <v>0</v>
      </c>
      <c r="AT10" s="149">
        <f>IF($B10=0,"",('MF Rollover'!AS10*($P10*(1+'Property Summary'!$L$22)^('MF Releasing'!AT$3-1)))*$C10)</f>
        <v>0</v>
      </c>
      <c r="AU10" s="149">
        <f>IF($B10=0,"",('MF Rollover'!AT10*($P10*(1+'Property Summary'!$L$22)^('MF Releasing'!AU$3-1)))*$C10)</f>
        <v>0</v>
      </c>
      <c r="AV10" s="149">
        <f>IF($B10=0,"",('MF Rollover'!AU10*($P10*(1+'Property Summary'!$L$22)^('MF Releasing'!AV$3-1)))*$C10)</f>
        <v>0</v>
      </c>
      <c r="AW10" s="149">
        <f>IF($B10=0,"",('MF Rollover'!AV10*($P10*(1+'Property Summary'!$L$22)^('MF Releasing'!AW$3-1)))*$C10)</f>
        <v>0</v>
      </c>
      <c r="AX10" s="149">
        <f>IF($B10=0,"",('MF Rollover'!AW10*($P10*(1+'Property Summary'!$L$22)^('MF Releasing'!AX$3-1)))*$C10)</f>
        <v>0</v>
      </c>
      <c r="AY10" s="149">
        <f>IF($B10=0,"",('MF Rollover'!AX10*($P10*(1+'Property Summary'!$L$22)^('MF Releasing'!AY$3-1)))*$C10)</f>
        <v>0</v>
      </c>
      <c r="AZ10" s="149">
        <f>IF($B10=0,"",('MF Rollover'!AY10*($P10*(1+'Property Summary'!$L$22)^('MF Releasing'!AZ$3-1)))*$C10)</f>
        <v>0</v>
      </c>
      <c r="BA10" s="149">
        <f>IF($B10=0,"",('MF Rollover'!AZ10*($P10*(1+'Property Summary'!$L$22)^('MF Releasing'!BA$3-1)))*$C10)</f>
        <v>0</v>
      </c>
      <c r="BB10" s="149">
        <f>IF($B10=0,"",('MF Rollover'!BA10*($P10*(1+'Property Summary'!$L$22)^('MF Releasing'!BB$3-1)))*$C10)</f>
        <v>0</v>
      </c>
      <c r="BC10" s="149">
        <f>IF($B10=0,"",('MF Rollover'!BB10*($P10*(1+'Property Summary'!$L$22)^('MF Releasing'!BC$3-1)))*$C10)</f>
        <v>4075.0387199999996</v>
      </c>
      <c r="BD10" s="149">
        <f>IF($B10=0,"",('MF Rollover'!BC10*($P10*(1+'Property Summary'!$L$22)^('MF Releasing'!BD$3-1)))*$C10)</f>
        <v>0</v>
      </c>
      <c r="BE10" s="149">
        <f>IF($B10=0,"",('MF Rollover'!BD10*($P10*(1+'Property Summary'!$L$22)^('MF Releasing'!BE$3-1)))*$C10)</f>
        <v>0</v>
      </c>
      <c r="BF10" s="149">
        <f>IF($B10=0,"",('MF Rollover'!BE10*($P10*(1+'Property Summary'!$L$22)^('MF Releasing'!BF$3-1)))*$C10)</f>
        <v>0</v>
      </c>
      <c r="BG10" s="149">
        <f>IF($B10=0,"",('MF Rollover'!BF10*($P10*(1+'Property Summary'!$L$22)^('MF Releasing'!BG$3-1)))*$C10)</f>
        <v>0</v>
      </c>
      <c r="BH10" s="149">
        <f>IF($B10=0,"",('MF Rollover'!BG10*($P10*(1+'Property Summary'!$L$22)^('MF Releasing'!BH$3-1)))*$C10)</f>
        <v>0</v>
      </c>
      <c r="BI10" s="149">
        <f>IF($B10=0,"",('MF Rollover'!BH10*($P10*(1+'Property Summary'!$L$22)^('MF Releasing'!BI$3-1)))*$C10)</f>
        <v>0</v>
      </c>
      <c r="BJ10" s="149">
        <f>IF($B10=0,"",('MF Rollover'!BI10*($P10*(1+'Property Summary'!$L$22)^('MF Releasing'!BJ$3-1)))*$C10)</f>
        <v>0</v>
      </c>
      <c r="BK10" s="149">
        <f>IF($B10=0,"",('MF Rollover'!BJ10*($P10*(1+'Property Summary'!$L$22)^('MF Releasing'!BK$3-1)))*$C10)</f>
        <v>0</v>
      </c>
      <c r="BL10" s="149">
        <f>IF($B10=0,"",('MF Rollover'!BK10*($P10*(1+'Property Summary'!$L$22)^('MF Releasing'!BL$3-1)))*$C10)</f>
        <v>0</v>
      </c>
      <c r="BM10" s="149">
        <f>IF($B10=0,"",('MF Rollover'!BL10*($P10*(1+'Property Summary'!$L$22)^('MF Releasing'!BM$3-1)))*$C10)</f>
        <v>0</v>
      </c>
      <c r="BN10" s="149">
        <f>IF($B10=0,"",('MF Rollover'!BM10*($P10*(1+'Property Summary'!$L$22)^('MF Releasing'!BN$3-1)))*$C10)</f>
        <v>0</v>
      </c>
      <c r="BO10" s="149">
        <f>IF($B10=0,"",('MF Rollover'!BN10*($P10*(1+'Property Summary'!$L$22)^('MF Releasing'!BO$3-1)))*$C10)</f>
        <v>4156.5394944</v>
      </c>
      <c r="BP10" s="149">
        <f>IF($B10=0,"",('MF Rollover'!BO10*($P10*(1+'Property Summary'!$L$22)^('MF Releasing'!BP$3-1)))*$C10)</f>
        <v>0</v>
      </c>
      <c r="BQ10" s="149">
        <f>IF($B10=0,"",('MF Rollover'!BP10*($P10*(1+'Property Summary'!$L$22)^('MF Releasing'!BQ$3-1)))*$C10)</f>
        <v>0</v>
      </c>
      <c r="BR10" s="149">
        <f>IF($B10=0,"",('MF Rollover'!BQ10*($P10*(1+'Property Summary'!$L$22)^('MF Releasing'!BR$3-1)))*$C10)</f>
        <v>0</v>
      </c>
      <c r="BS10" s="149">
        <f>IF($B10=0,"",('MF Rollover'!BR10*($P10*(1+'Property Summary'!$L$22)^('MF Releasing'!BS$3-1)))*$C10)</f>
        <v>0</v>
      </c>
      <c r="BT10" s="149">
        <f>IF($B10=0,"",('MF Rollover'!BS10*($P10*(1+'Property Summary'!$L$22)^('MF Releasing'!BT$3-1)))*$C10)</f>
        <v>0</v>
      </c>
      <c r="BU10" s="149">
        <f>IF($B10=0,"",('MF Rollover'!BT10*($P10*(1+'Property Summary'!$L$22)^('MF Releasing'!BU$3-1)))*$C10)</f>
        <v>0</v>
      </c>
      <c r="BV10" s="149">
        <f>IF($B10=0,"",('MF Rollover'!BU10*($P10*(1+'Property Summary'!$L$22)^('MF Releasing'!BV$3-1)))*$C10)</f>
        <v>0</v>
      </c>
      <c r="BW10" s="149">
        <f>IF($B10=0,"",('MF Rollover'!BV10*($P10*(1+'Property Summary'!$L$22)^('MF Releasing'!BW$3-1)))*$C10)</f>
        <v>0</v>
      </c>
      <c r="BX10" s="149">
        <f>IF($B10=0,"",('MF Rollover'!BW10*($P10*(1+'Property Summary'!$L$22)^('MF Releasing'!BX$3-1)))*$C10)</f>
        <v>0</v>
      </c>
      <c r="BY10" s="149">
        <f>IF($B10=0,"",('MF Rollover'!BX10*($P10*(1+'Property Summary'!$L$22)^('MF Releasing'!BY$3-1)))*$C10)</f>
        <v>0</v>
      </c>
      <c r="BZ10" s="149">
        <f>IF($B10=0,"",('MF Rollover'!BY10*($P10*(1+'Property Summary'!$L$22)^('MF Releasing'!BZ$3-1)))*$C10)</f>
        <v>0</v>
      </c>
      <c r="CA10" s="149">
        <f>IF($B10=0,"",('MF Rollover'!BZ10*($P10*(1+'Property Summary'!$L$22)^('MF Releasing'!CA$3-1)))*$C10)</f>
        <v>4239.6702842880004</v>
      </c>
      <c r="CB10" s="149">
        <f>IF($B10=0,"",('MF Rollover'!CA10*($P10*(1+'Property Summary'!$L$22)^('MF Releasing'!CB$3-1)))*$C10)</f>
        <v>0</v>
      </c>
      <c r="CC10" s="149">
        <f>IF($B10=0,"",('MF Rollover'!CB10*($P10*(1+'Property Summary'!$L$22)^('MF Releasing'!CC$3-1)))*$C10)</f>
        <v>0</v>
      </c>
      <c r="CD10" s="149">
        <f>IF($B10=0,"",('MF Rollover'!CC10*($P10*(1+'Property Summary'!$L$22)^('MF Releasing'!CD$3-1)))*$C10)</f>
        <v>0</v>
      </c>
      <c r="CE10" s="149">
        <f>IF($B10=0,"",('MF Rollover'!CD10*($P10*(1+'Property Summary'!$L$22)^('MF Releasing'!CE$3-1)))*$C10)</f>
        <v>0</v>
      </c>
      <c r="CF10" s="149">
        <f>IF($B10=0,"",('MF Rollover'!CE10*($P10*(1+'Property Summary'!$L$22)^('MF Releasing'!CF$3-1)))*$C10)</f>
        <v>0</v>
      </c>
      <c r="CG10" s="149">
        <f>IF($B10=0,"",('MF Rollover'!CF10*($P10*(1+'Property Summary'!$L$22)^('MF Releasing'!CG$3-1)))*$C10)</f>
        <v>0</v>
      </c>
      <c r="CH10" s="149">
        <f>IF($B10=0,"",('MF Rollover'!CG10*($P10*(1+'Property Summary'!$L$22)^('MF Releasing'!CH$3-1)))*$C10)</f>
        <v>0</v>
      </c>
      <c r="CI10" s="149">
        <f>IF($B10=0,"",('MF Rollover'!CH10*($P10*(1+'Property Summary'!$L$22)^('MF Releasing'!CI$3-1)))*$C10)</f>
        <v>0</v>
      </c>
      <c r="CJ10" s="149">
        <f>IF($B10=0,"",('MF Rollover'!CI10*($P10*(1+'Property Summary'!$L$22)^('MF Releasing'!CJ$3-1)))*$C10)</f>
        <v>0</v>
      </c>
      <c r="CK10" s="149">
        <f>IF($B10=0,"",('MF Rollover'!CJ10*($P10*(1+'Property Summary'!$L$22)^('MF Releasing'!CK$3-1)))*$C10)</f>
        <v>0</v>
      </c>
      <c r="CL10" s="149">
        <f>IF($B10=0,"",('MF Rollover'!CK10*($P10*(1+'Property Summary'!$L$22)^('MF Releasing'!CL$3-1)))*$C10)</f>
        <v>0</v>
      </c>
      <c r="CM10" s="149">
        <f>IF($B10=0,"",('MF Rollover'!CL10*($P10*(1+'Property Summary'!$L$22)^('MF Releasing'!CM$3-1)))*$C10)</f>
        <v>4324.4636899737607</v>
      </c>
      <c r="CN10" s="149">
        <f>IF($B10=0,"",('MF Rollover'!CM10*($P10*(1+'Property Summary'!$L$22)^('MF Releasing'!CN$3-1)))*$C10)</f>
        <v>0</v>
      </c>
      <c r="CO10" s="149">
        <f>IF($B10=0,"",('MF Rollover'!CN10*($P10*(1+'Property Summary'!$L$22)^('MF Releasing'!CO$3-1)))*$C10)</f>
        <v>0</v>
      </c>
      <c r="CP10" s="149">
        <f>IF($B10=0,"",('MF Rollover'!CO10*($P10*(1+'Property Summary'!$L$22)^('MF Releasing'!CP$3-1)))*$C10)</f>
        <v>0</v>
      </c>
      <c r="CQ10" s="149">
        <f>IF($B10=0,"",('MF Rollover'!CP10*($P10*(1+'Property Summary'!$L$22)^('MF Releasing'!CQ$3-1)))*$C10)</f>
        <v>0</v>
      </c>
      <c r="CR10" s="149">
        <f>IF($B10=0,"",('MF Rollover'!CQ10*($P10*(1+'Property Summary'!$L$22)^('MF Releasing'!CR$3-1)))*$C10)</f>
        <v>0</v>
      </c>
      <c r="CS10" s="149">
        <f>IF($B10=0,"",('MF Rollover'!CR10*($P10*(1+'Property Summary'!$L$22)^('MF Releasing'!CS$3-1)))*$C10)</f>
        <v>0</v>
      </c>
      <c r="CT10" s="149">
        <f>IF($B10=0,"",('MF Rollover'!CS10*($P10*(1+'Property Summary'!$L$22)^('MF Releasing'!CT$3-1)))*$C10)</f>
        <v>0</v>
      </c>
      <c r="CU10" s="149">
        <f>IF($B10=0,"",('MF Rollover'!CT10*($P10*(1+'Property Summary'!$L$22)^('MF Releasing'!CU$3-1)))*$C10)</f>
        <v>0</v>
      </c>
      <c r="CV10" s="149">
        <f>IF($B10=0,"",('MF Rollover'!CU10*($P10*(1+'Property Summary'!$L$22)^('MF Releasing'!CV$3-1)))*$C10)</f>
        <v>0</v>
      </c>
      <c r="CW10" s="149">
        <f>IF($B10=0,"",('MF Rollover'!CV10*($P10*(1+'Property Summary'!$L$22)^('MF Releasing'!CW$3-1)))*$C10)</f>
        <v>0</v>
      </c>
      <c r="CX10" s="149">
        <f>IF($B10=0,"",('MF Rollover'!CW10*($P10*(1+'Property Summary'!$L$22)^('MF Releasing'!CX$3-1)))*$C10)</f>
        <v>0</v>
      </c>
      <c r="CY10" s="149">
        <f>IF($B10=0,"",('MF Rollover'!CX10*($P10*(1+'Property Summary'!$L$22)^('MF Releasing'!CY$3-1)))*$C10)</f>
        <v>4410.9529637732348</v>
      </c>
      <c r="CZ10" s="149">
        <f>IF($B10=0,"",('MF Rollover'!CY10*($P10*(1+'Property Summary'!$L$22)^('MF Releasing'!CZ$3-1)))*$C10)</f>
        <v>0</v>
      </c>
      <c r="DA10" s="149">
        <f>IF($B10=0,"",('MF Rollover'!CZ10*($P10*(1+'Property Summary'!$L$22)^('MF Releasing'!DA$3-1)))*$C10)</f>
        <v>0</v>
      </c>
      <c r="DB10" s="149">
        <f>IF($B10=0,"",('MF Rollover'!DA10*($P10*(1+'Property Summary'!$L$22)^('MF Releasing'!DB$3-1)))*$C10)</f>
        <v>0</v>
      </c>
      <c r="DC10" s="149">
        <f>IF($B10=0,"",('MF Rollover'!DB10*($P10*(1+'Property Summary'!$L$22)^('MF Releasing'!DC$3-1)))*$C10)</f>
        <v>0</v>
      </c>
      <c r="DD10" s="149">
        <f>IF($B10=0,"",('MF Rollover'!DC10*($P10*(1+'Property Summary'!$L$22)^('MF Releasing'!DD$3-1)))*$C10)</f>
        <v>0</v>
      </c>
      <c r="DE10" s="149">
        <f>IF($B10=0,"",('MF Rollover'!DD10*($P10*(1+'Property Summary'!$L$22)^('MF Releasing'!DE$3-1)))*$C10)</f>
        <v>0</v>
      </c>
      <c r="DF10" s="149">
        <f>IF($B10=0,"",('MF Rollover'!DE10*($P10*(1+'Property Summary'!$L$22)^('MF Releasing'!DF$3-1)))*$C10)</f>
        <v>0</v>
      </c>
      <c r="DG10" s="149">
        <f>IF($B10=0,"",('MF Rollover'!DF10*($P10*(1+'Property Summary'!$L$22)^('MF Releasing'!DG$3-1)))*$C10)</f>
        <v>0</v>
      </c>
      <c r="DH10" s="149">
        <f>IF($B10=0,"",('MF Rollover'!DG10*($P10*(1+'Property Summary'!$L$22)^('MF Releasing'!DH$3-1)))*$C10)</f>
        <v>0</v>
      </c>
      <c r="DI10" s="149">
        <f>IF($B10=0,"",('MF Rollover'!DH10*($P10*(1+'Property Summary'!$L$22)^('MF Releasing'!DI$3-1)))*$C10)</f>
        <v>0</v>
      </c>
      <c r="DJ10" s="149">
        <f>IF($B10=0,"",('MF Rollover'!DI10*($P10*(1+'Property Summary'!$L$22)^('MF Releasing'!DJ$3-1)))*$C10)</f>
        <v>0</v>
      </c>
      <c r="DK10" s="149">
        <f>IF($B10=0,"",('MF Rollover'!DJ10*($P10*(1+'Property Summary'!$L$22)^('MF Releasing'!DK$3-1)))*$C10)</f>
        <v>4499.172023048699</v>
      </c>
      <c r="DL10" s="149">
        <f>IF($B10=0,"",('MF Rollover'!DK10*($P10*(1+'Property Summary'!$L$22)^('MF Releasing'!DL$3-1)))*$C10)</f>
        <v>0</v>
      </c>
      <c r="DM10" s="149">
        <f>IF($B10=0,"",('MF Rollover'!DL10*($P10*(1+'Property Summary'!$L$22)^('MF Releasing'!DM$3-1)))*$C10)</f>
        <v>0</v>
      </c>
      <c r="DN10" s="149">
        <f>IF($B10=0,"",('MF Rollover'!DM10*($P10*(1+'Property Summary'!$L$22)^('MF Releasing'!DN$3-1)))*$C10)</f>
        <v>0</v>
      </c>
      <c r="DO10" s="149">
        <f>IF($B10=0,"",('MF Rollover'!DN10*($P10*(1+'Property Summary'!$L$22)^('MF Releasing'!DO$3-1)))*$C10)</f>
        <v>0</v>
      </c>
      <c r="DP10" s="149">
        <f>IF($B10=0,"",('MF Rollover'!DO10*($P10*(1+'Property Summary'!$L$22)^('MF Releasing'!DP$3-1)))*$C10)</f>
        <v>0</v>
      </c>
      <c r="DQ10" s="149">
        <f>IF($B10=0,"",('MF Rollover'!DP10*($P10*(1+'Property Summary'!$L$22)^('MF Releasing'!DQ$3-1)))*$C10)</f>
        <v>0</v>
      </c>
      <c r="DR10" s="149">
        <f>IF($B10=0,"",('MF Rollover'!DQ10*($P10*(1+'Property Summary'!$L$22)^('MF Releasing'!DR$3-1)))*$C10)</f>
        <v>0</v>
      </c>
      <c r="DS10" s="149">
        <f>IF($B10=0,"",('MF Rollover'!DR10*($P10*(1+'Property Summary'!$L$22)^('MF Releasing'!DS$3-1)))*$C10)</f>
        <v>0</v>
      </c>
      <c r="DT10" s="149">
        <f>IF($B10=0,"",('MF Rollover'!DS10*($P10*(1+'Property Summary'!$L$22)^('MF Releasing'!DT$3-1)))*$C10)</f>
        <v>0</v>
      </c>
      <c r="DU10" s="149">
        <f>IF($B10=0,"",('MF Rollover'!DT10*($P10*(1+'Property Summary'!$L$22)^('MF Releasing'!DU$3-1)))*$C10)</f>
        <v>0</v>
      </c>
      <c r="DV10" s="149">
        <f>IF($B10=0,"",('MF Rollover'!DU10*($P10*(1+'Property Summary'!$L$22)^('MF Releasing'!DV$3-1)))*$C10)</f>
        <v>0</v>
      </c>
      <c r="DW10" s="149">
        <f>IF($B10=0,"",('MF Rollover'!DV10*($P10*(1+'Property Summary'!$L$22)^('MF Releasing'!DW$3-1)))*$C10)</f>
        <v>4589.1554635096736</v>
      </c>
      <c r="DX10" s="149">
        <f>IF($B10=0,"",('MF Rollover'!DW10*($P10*(1+'Property Summary'!$L$22)^('MF Releasing'!DX$3-1)))*$C10)</f>
        <v>0</v>
      </c>
      <c r="DY10" s="149">
        <f>IF($B10=0,"",('MF Rollover'!DX10*($P10*(1+'Property Summary'!$L$22)^('MF Releasing'!DY$3-1)))*$C10)</f>
        <v>0</v>
      </c>
      <c r="DZ10" s="149">
        <f>IF($B10=0,"",('MF Rollover'!DY10*($P10*(1+'Property Summary'!$L$22)^('MF Releasing'!DZ$3-1)))*$C10)</f>
        <v>0</v>
      </c>
      <c r="EA10" s="149">
        <f>IF($B10=0,"",('MF Rollover'!DZ10*($P10*(1+'Property Summary'!$L$22)^('MF Releasing'!EA$3-1)))*$C10)</f>
        <v>0</v>
      </c>
      <c r="EB10" s="149">
        <f>IF($B10=0,"",('MF Rollover'!EA10*($P10*(1+'Property Summary'!$L$22)^('MF Releasing'!EB$3-1)))*$C10)</f>
        <v>0</v>
      </c>
      <c r="EC10" s="149">
        <f>IF($B10=0,"",('MF Rollover'!EB10*($P10*(1+'Property Summary'!$L$22)^('MF Releasing'!EC$3-1)))*$C10)</f>
        <v>0</v>
      </c>
      <c r="ED10" s="149">
        <f>IF($B10=0,"",('MF Rollover'!EC10*($P10*(1+'Property Summary'!$L$22)^('MF Releasing'!ED$3-1)))*$C10)</f>
        <v>0</v>
      </c>
      <c r="EE10" s="149">
        <f>IF($B10=0,"",('MF Rollover'!ED10*($P10*(1+'Property Summary'!$L$22)^('MF Releasing'!EE$3-1)))*$C10)</f>
        <v>0</v>
      </c>
      <c r="EF10" s="149">
        <f>IF($B10=0,"",('MF Rollover'!EE10*($P10*(1+'Property Summary'!$L$22)^('MF Releasing'!EF$3-1)))*$C10)</f>
        <v>0</v>
      </c>
      <c r="EG10" s="149">
        <f>IF($B10=0,"",('MF Rollover'!EF10*($P10*(1+'Property Summary'!$L$22)^('MF Releasing'!EG$3-1)))*$C10)</f>
        <v>0</v>
      </c>
      <c r="EH10" s="149">
        <f>IF($B10=0,"",('MF Rollover'!EG10*($P10*(1+'Property Summary'!$L$22)^('MF Releasing'!EH$3-1)))*$C10)</f>
        <v>0</v>
      </c>
      <c r="EI10" s="149">
        <f>IF($B10=0,"",('MF Rollover'!EH10*($P10*(1+'Property Summary'!$L$22)^('MF Releasing'!EI$3-1)))*$C10)</f>
        <v>4680.9385727798672</v>
      </c>
      <c r="EJ10" s="149">
        <f>IF($B10=0,"",('MF Rollover'!EI10*($P10*(1+'Property Summary'!$L$22)^('MF Releasing'!EJ$3-1)))*$C10)</f>
        <v>0</v>
      </c>
      <c r="EK10" s="149">
        <f>IF($B10=0,"",('MF Rollover'!EJ10*($P10*(1+'Property Summary'!$L$22)^('MF Releasing'!EK$3-1)))*$C10)</f>
        <v>0</v>
      </c>
      <c r="EL10" s="149">
        <f>IF($B10=0,"",('MF Rollover'!EK10*($P10*(1+'Property Summary'!$L$22)^('MF Releasing'!EL$3-1)))*$C10)</f>
        <v>0</v>
      </c>
      <c r="EM10" s="149">
        <f>IF($B10=0,"",('MF Rollover'!EL10*($P10*(1+'Property Summary'!$L$22)^('MF Releasing'!EM$3-1)))*$C10)</f>
        <v>0</v>
      </c>
      <c r="EN10" s="149">
        <f>IF($B10=0,"",('MF Rollover'!EM10*($P10*(1+'Property Summary'!$L$22)^('MF Releasing'!EN$3-1)))*$C10)</f>
        <v>0</v>
      </c>
      <c r="EO10" s="149">
        <f>IF($B10=0,"",('MF Rollover'!EN10*($P10*(1+'Property Summary'!$L$22)^('MF Releasing'!EO$3-1)))*$C10)</f>
        <v>0</v>
      </c>
      <c r="EP10" s="149">
        <f>IF($B10=0,"",('MF Rollover'!EO10*($P10*(1+'Property Summary'!$L$22)^('MF Releasing'!EP$3-1)))*$C10)</f>
        <v>0</v>
      </c>
      <c r="EQ10" s="149">
        <f>IF($B10=0,"",('MF Rollover'!EP10*($P10*(1+'Property Summary'!$L$22)^('MF Releasing'!EQ$3-1)))*$C10)</f>
        <v>0</v>
      </c>
      <c r="ER10" s="149">
        <f>IF($B10=0,"",('MF Rollover'!EQ10*($P10*(1+'Property Summary'!$L$22)^('MF Releasing'!ER$3-1)))*$C10)</f>
        <v>0</v>
      </c>
      <c r="ES10" s="149">
        <f>IF($B10=0,"",('MF Rollover'!ER10*($P10*(1+'Property Summary'!$L$22)^('MF Releasing'!ES$3-1)))*$C10)</f>
        <v>0</v>
      </c>
      <c r="ET10" s="149">
        <f>IF($B10=0,"",('MF Rollover'!ES10*($P10*(1+'Property Summary'!$L$22)^('MF Releasing'!ET$3-1)))*$C10)</f>
        <v>0</v>
      </c>
      <c r="EU10" s="149">
        <f>IF($B10=0,"",('MF Rollover'!ET10*($P10*(1+'Property Summary'!$L$22)^('MF Releasing'!EU$3-1)))*$C10)</f>
        <v>4774.5573442354635</v>
      </c>
      <c r="EV10" s="149">
        <f>IF($B10=0,"",('MF Rollover'!EU10*($P10*(1+'Property Summary'!$L$22)^('MF Releasing'!EV$3-1)))*$C10)</f>
        <v>0</v>
      </c>
      <c r="EW10" s="149">
        <f>IF($B10=0,"",('MF Rollover'!EV10*($P10*(1+'Property Summary'!$L$22)^('MF Releasing'!EW$3-1)))*$C10)</f>
        <v>0</v>
      </c>
      <c r="EX10" s="149">
        <f>IF($B10=0,"",('MF Rollover'!EW10*($P10*(1+'Property Summary'!$L$22)^('MF Releasing'!EX$3-1)))*$C10)</f>
        <v>0</v>
      </c>
      <c r="EY10" s="149">
        <f>IF($B10=0,"",('MF Rollover'!EX10*($P10*(1+'Property Summary'!$L$22)^('MF Releasing'!EY$3-1)))*$C10)</f>
        <v>0</v>
      </c>
      <c r="EZ10" s="149">
        <f>IF($B10=0,"",('MF Rollover'!EY10*($P10*(1+'Property Summary'!$L$22)^('MF Releasing'!EZ$3-1)))*$C10)</f>
        <v>0</v>
      </c>
      <c r="FA10" s="149">
        <f>IF($B10=0,"",('MF Rollover'!EZ10*($P10*(1+'Property Summary'!$L$22)^('MF Releasing'!FA$3-1)))*$C10)</f>
        <v>0</v>
      </c>
      <c r="FB10" s="149">
        <f>IF($B10=0,"",('MF Rollover'!FA10*($P10*(1+'Property Summary'!$L$22)^('MF Releasing'!FB$3-1)))*$C10)</f>
        <v>0</v>
      </c>
      <c r="FC10" s="149">
        <f>IF($B10=0,"",('MF Rollover'!FB10*($P10*(1+'Property Summary'!$L$22)^('MF Releasing'!FC$3-1)))*$C10)</f>
        <v>0</v>
      </c>
      <c r="FD10" s="149">
        <f>IF($B10=0,"",('MF Rollover'!FC10*($P10*(1+'Property Summary'!$L$22)^('MF Releasing'!FD$3-1)))*$C10)</f>
        <v>0</v>
      </c>
      <c r="FE10" s="149">
        <f>IF($B10=0,"",('MF Rollover'!FD10*($P10*(1+'Property Summary'!$L$22)^('MF Releasing'!FE$3-1)))*$C10)</f>
        <v>0</v>
      </c>
      <c r="FF10" s="149">
        <f>IF($B10=0,"",('MF Rollover'!FE10*($P10*(1+'Property Summary'!$L$22)^('MF Releasing'!FF$3-1)))*$C10)</f>
        <v>0</v>
      </c>
      <c r="FG10" s="149">
        <f>IF($B10=0,"",('MF Rollover'!FF10*($P10*(1+'Property Summary'!$L$22)^('MF Releasing'!FG$3-1)))*$C10)</f>
        <v>4870.0484911201738</v>
      </c>
      <c r="FH10" s="149">
        <f>IF($B10=0,"",('MF Rollover'!FG10*($P10*(1+'Property Summary'!$L$22)^('MF Releasing'!FH$3-1)))*$C10)</f>
        <v>0</v>
      </c>
      <c r="FI10" s="149">
        <f>IF($B10=0,"",('MF Rollover'!FH10*($P10*(1+'Property Summary'!$L$22)^('MF Releasing'!FI$3-1)))*$C10)</f>
        <v>0</v>
      </c>
      <c r="FJ10" s="149">
        <f>IF($B10=0,"",('MF Rollover'!FI10*($P10*(1+'Property Summary'!$L$22)^('MF Releasing'!FJ$3-1)))*$C10)</f>
        <v>0</v>
      </c>
      <c r="FK10" s="149">
        <f>IF($B10=0,"",('MF Rollover'!FJ10*($P10*(1+'Property Summary'!$L$22)^('MF Releasing'!FK$3-1)))*$C10)</f>
        <v>0</v>
      </c>
      <c r="FL10" s="149">
        <f>IF($B10=0,"",('MF Rollover'!FK10*($P10*(1+'Property Summary'!$L$22)^('MF Releasing'!FL$3-1)))*$C10)</f>
        <v>0</v>
      </c>
      <c r="FM10" s="149">
        <f>IF($B10=0,"",('MF Rollover'!FL10*($P10*(1+'Property Summary'!$L$22)^('MF Releasing'!FM$3-1)))*$C10)</f>
        <v>0</v>
      </c>
      <c r="FN10" s="149">
        <f>IF($B10=0,"",('MF Rollover'!FM10*($P10*(1+'Property Summary'!$L$22)^('MF Releasing'!FN$3-1)))*$C10)</f>
        <v>0</v>
      </c>
      <c r="FO10" s="149">
        <f>IF($B10=0,"",('MF Rollover'!FN10*($P10*(1+'Property Summary'!$L$22)^('MF Releasing'!FO$3-1)))*$C10)</f>
        <v>0</v>
      </c>
      <c r="FP10" s="149">
        <f>IF($B10=0,"",('MF Rollover'!FO10*($P10*(1+'Property Summary'!$L$22)^('MF Releasing'!FP$3-1)))*$C10)</f>
        <v>0</v>
      </c>
      <c r="FQ10" s="149">
        <f>IF($B10=0,"",('MF Rollover'!FP10*($P10*(1+'Property Summary'!$L$22)^('MF Releasing'!FQ$3-1)))*$C10)</f>
        <v>0</v>
      </c>
      <c r="FR10" s="149">
        <f>IF($B10=0,"",('MF Rollover'!FQ10*($P10*(1+'Property Summary'!$L$22)^('MF Releasing'!FR$3-1)))*$C10)</f>
        <v>0</v>
      </c>
      <c r="FS10" s="149">
        <f>IF($B10=0,"",('MF Rollover'!FR10*($P10*(1+'Property Summary'!$L$22)^('MF Releasing'!FS$3-1)))*$C10)</f>
        <v>4967.4494609425774</v>
      </c>
      <c r="FT10" s="149">
        <f>IF($B10=0,"",('MF Rollover'!FS10*($P10*(1+'Property Summary'!$L$22)^('MF Releasing'!FT$3-1)))*$C10)</f>
        <v>0</v>
      </c>
      <c r="FU10" s="149">
        <f>IF($B10=0,"",('MF Rollover'!FT10*($P10*(1+'Property Summary'!$L$22)^('MF Releasing'!FU$3-1)))*$C10)</f>
        <v>0</v>
      </c>
      <c r="FV10" s="149">
        <f>IF($B10=0,"",('MF Rollover'!FU10*($P10*(1+'Property Summary'!$L$22)^('MF Releasing'!FV$3-1)))*$C10)</f>
        <v>0</v>
      </c>
      <c r="FW10" s="149">
        <f>IF($B10=0,"",('MF Rollover'!FV10*($P10*(1+'Property Summary'!$L$22)^('MF Releasing'!FW$3-1)))*$C10)</f>
        <v>0</v>
      </c>
      <c r="FX10" s="149">
        <f>IF($B10=0,"",('MF Rollover'!FW10*($P10*(1+'Property Summary'!$L$22)^('MF Releasing'!FX$3-1)))*$C10)</f>
        <v>0</v>
      </c>
      <c r="FY10" s="149">
        <f>IF($B10=0,"",('MF Rollover'!FX10*($P10*(1+'Property Summary'!$L$22)^('MF Releasing'!FY$3-1)))*$C10)</f>
        <v>0</v>
      </c>
      <c r="FZ10" s="149">
        <f>IF($B10=0,"",('MF Rollover'!FY10*($P10*(1+'Property Summary'!$L$22)^('MF Releasing'!FZ$3-1)))*$C10)</f>
        <v>0</v>
      </c>
      <c r="GA10" s="149">
        <f>IF($B10=0,"",('MF Rollover'!FZ10*($P10*(1+'Property Summary'!$L$22)^('MF Releasing'!GA$3-1)))*$C10)</f>
        <v>0</v>
      </c>
      <c r="GB10" s="149">
        <f>IF($B10=0,"",('MF Rollover'!GA10*($P10*(1+'Property Summary'!$L$22)^('MF Releasing'!GB$3-1)))*$C10)</f>
        <v>0</v>
      </c>
      <c r="GC10" s="149">
        <f>IF($B10=0,"",('MF Rollover'!GB10*($P10*(1+'Property Summary'!$L$22)^('MF Releasing'!GC$3-1)))*$C10)</f>
        <v>0</v>
      </c>
      <c r="GD10" s="149">
        <f>IF($B10=0,"",('MF Rollover'!GC10*($P10*(1+'Property Summary'!$L$22)^('MF Releasing'!GD$3-1)))*$C10)</f>
        <v>0</v>
      </c>
      <c r="GE10" s="149">
        <f>IF($B10=0,"",('MF Rollover'!GD10*($P10*(1+'Property Summary'!$L$22)^('MF Releasing'!GE$3-1)))*$C10)</f>
        <v>5066.7984501614283</v>
      </c>
      <c r="GF10" s="149">
        <f>IF($B10=0,"",('MF Rollover'!GE10*($P10*(1+'Property Summary'!$L$22)^('MF Releasing'!GF$3-1)))*$C10)</f>
        <v>0</v>
      </c>
      <c r="GG10" s="149">
        <f>IF($B10=0,"",('MF Rollover'!GF10*($P10*(1+'Property Summary'!$L$22)^('MF Releasing'!GG$3-1)))*$C10)</f>
        <v>0</v>
      </c>
      <c r="GH10" s="149">
        <f>IF($B10=0,"",('MF Rollover'!GG10*($P10*(1+'Property Summary'!$L$22)^('MF Releasing'!GH$3-1)))*$C10)</f>
        <v>0</v>
      </c>
      <c r="GI10" s="149">
        <f>IF($B10=0,"",('MF Rollover'!GH10*($P10*(1+'Property Summary'!$L$22)^('MF Releasing'!GI$3-1)))*$C10)</f>
        <v>0</v>
      </c>
      <c r="GJ10" s="149">
        <f>IF($B10=0,"",('MF Rollover'!GI10*($P10*(1+'Property Summary'!$L$22)^('MF Releasing'!GJ$3-1)))*$C10)</f>
        <v>0</v>
      </c>
      <c r="GK10" s="149">
        <f>IF($B10=0,"",('MF Rollover'!GJ10*($P10*(1+'Property Summary'!$L$22)^('MF Releasing'!GK$3-1)))*$C10)</f>
        <v>0</v>
      </c>
      <c r="GL10" s="149">
        <f>IF($B10=0,"",('MF Rollover'!GK10*($P10*(1+'Property Summary'!$L$22)^('MF Releasing'!GL$3-1)))*$C10)</f>
        <v>0</v>
      </c>
      <c r="GM10" s="149">
        <f>IF($B10=0,"",('MF Rollover'!GL10*($P10*(1+'Property Summary'!$L$22)^('MF Releasing'!GM$3-1)))*$C10)</f>
        <v>0</v>
      </c>
      <c r="GN10" s="149">
        <f>IF($B10=0,"",('MF Rollover'!GM10*($P10*(1+'Property Summary'!$L$22)^('MF Releasing'!GN$3-1)))*$C10)</f>
        <v>0</v>
      </c>
      <c r="GO10" s="149">
        <f>IF($B10=0,"",('MF Rollover'!GN10*($P10*(1+'Property Summary'!$L$22)^('MF Releasing'!GO$3-1)))*$C10)</f>
        <v>0</v>
      </c>
      <c r="GP10" s="149">
        <f>IF($B10=0,"",('MF Rollover'!GO10*($P10*(1+'Property Summary'!$L$22)^('MF Releasing'!GP$3-1)))*$C10)</f>
        <v>0</v>
      </c>
    </row>
    <row r="11" spans="2:198" x14ac:dyDescent="0.3">
      <c r="B11" s="184">
        <f>'MF Rent Roll'!B10</f>
        <v>0</v>
      </c>
      <c r="C11" s="171">
        <f>'MF Rent Roll'!C10</f>
        <v>0</v>
      </c>
      <c r="D11" s="172">
        <f>'MF Rent Roll'!D10</f>
        <v>0</v>
      </c>
      <c r="E11" s="172">
        <f>'MF Rent Roll'!E10</f>
        <v>0</v>
      </c>
      <c r="F11" s="173">
        <f>'MF Rent Roll'!F10</f>
        <v>0</v>
      </c>
      <c r="G11" s="174">
        <f>'MF Rent Roll'!G10</f>
        <v>0</v>
      </c>
      <c r="H11" s="176">
        <f>'MF Rent Roll'!J10</f>
        <v>0</v>
      </c>
      <c r="I11" s="174">
        <f>'MF Rent Roll'!K10</f>
        <v>0</v>
      </c>
      <c r="J11" s="177">
        <f>'MF Rent Roll'!L10</f>
        <v>0</v>
      </c>
      <c r="K11" s="178">
        <f>'MF Rent Roll'!M10</f>
        <v>0</v>
      </c>
      <c r="L11" s="174">
        <f>'MF Rent Roll'!N10</f>
        <v>0</v>
      </c>
      <c r="M11" s="179">
        <f>'MF Rent Roll'!O10</f>
        <v>0</v>
      </c>
      <c r="N11" s="180" t="str">
        <f>'MF Rent Roll'!P10</f>
        <v/>
      </c>
      <c r="O11" s="181" t="str">
        <f>'MF Rent Roll'!Q10</f>
        <v/>
      </c>
      <c r="P11" s="104" t="str">
        <f>'MF Rent Roll'!R10</f>
        <v/>
      </c>
      <c r="S11" s="149" t="str">
        <f>IF($B11=0,"",('MF Rollover'!R11*($P11*(1+'Property Summary'!$L$22)^('MF Releasing'!S$3-1)))*$C11)</f>
        <v/>
      </c>
      <c r="T11" s="149" t="str">
        <f>IF($B11=0,"",('MF Rollover'!S11*($P11*(1+'Property Summary'!$L$22)^('MF Releasing'!T$3-1)))*$C11)</f>
        <v/>
      </c>
      <c r="U11" s="149" t="str">
        <f>IF($B11=0,"",('MF Rollover'!T11*($P11*(1+'Property Summary'!$L$22)^('MF Releasing'!U$3-1)))*$C11)</f>
        <v/>
      </c>
      <c r="V11" s="149" t="str">
        <f>IF($B11=0,"",('MF Rollover'!U11*($P11*(1+'Property Summary'!$L$22)^('MF Releasing'!V$3-1)))*$C11)</f>
        <v/>
      </c>
      <c r="W11" s="149" t="str">
        <f>IF($B11=0,"",('MF Rollover'!V11*($P11*(1+'Property Summary'!$L$22)^('MF Releasing'!W$3-1)))*$C11)</f>
        <v/>
      </c>
      <c r="X11" s="149" t="str">
        <f>IF($B11=0,"",('MF Rollover'!W11*($P11*(1+'Property Summary'!$L$22)^('MF Releasing'!X$3-1)))*$C11)</f>
        <v/>
      </c>
      <c r="Y11" s="149" t="str">
        <f>IF($B11=0,"",('MF Rollover'!X11*($P11*(1+'Property Summary'!$L$22)^('MF Releasing'!Y$3-1)))*$C11)</f>
        <v/>
      </c>
      <c r="Z11" s="149" t="str">
        <f>IF($B11=0,"",('MF Rollover'!Y11*($P11*(1+'Property Summary'!$L$22)^('MF Releasing'!Z$3-1)))*$C11)</f>
        <v/>
      </c>
      <c r="AA11" s="149" t="str">
        <f>IF($B11=0,"",('MF Rollover'!Z11*($P11*(1+'Property Summary'!$L$22)^('MF Releasing'!AA$3-1)))*$C11)</f>
        <v/>
      </c>
      <c r="AB11" s="149" t="str">
        <f>IF($B11=0,"",('MF Rollover'!AA11*($P11*(1+'Property Summary'!$L$22)^('MF Releasing'!AB$3-1)))*$C11)</f>
        <v/>
      </c>
      <c r="AC11" s="149" t="str">
        <f>IF($B11=0,"",('MF Rollover'!AB11*($P11*(1+'Property Summary'!$L$22)^('MF Releasing'!AC$3-1)))*$C11)</f>
        <v/>
      </c>
      <c r="AD11" s="149" t="str">
        <f>IF($B11=0,"",('MF Rollover'!AC11*($P11*(1+'Property Summary'!$L$22)^('MF Releasing'!AD$3-1)))*$C11)</f>
        <v/>
      </c>
      <c r="AE11" s="149" t="str">
        <f>IF($B11=0,"",('MF Rollover'!AD11*($P11*(1+'Property Summary'!$L$22)^('MF Releasing'!AE$3-1)))*$C11)</f>
        <v/>
      </c>
      <c r="AF11" s="149" t="str">
        <f>IF($B11=0,"",('MF Rollover'!AE11*($P11*(1+'Property Summary'!$L$22)^('MF Releasing'!AF$3-1)))*$C11)</f>
        <v/>
      </c>
      <c r="AG11" s="149" t="str">
        <f>IF($B11=0,"",('MF Rollover'!AF11*($P11*(1+'Property Summary'!$L$22)^('MF Releasing'!AG$3-1)))*$C11)</f>
        <v/>
      </c>
      <c r="AH11" s="149" t="str">
        <f>IF($B11=0,"",('MF Rollover'!AG11*($P11*(1+'Property Summary'!$L$22)^('MF Releasing'!AH$3-1)))*$C11)</f>
        <v/>
      </c>
      <c r="AI11" s="149" t="str">
        <f>IF($B11=0,"",('MF Rollover'!AH11*($P11*(1+'Property Summary'!$L$22)^('MF Releasing'!AI$3-1)))*$C11)</f>
        <v/>
      </c>
      <c r="AJ11" s="149" t="str">
        <f>IF($B11=0,"",('MF Rollover'!AI11*($P11*(1+'Property Summary'!$L$22)^('MF Releasing'!AJ$3-1)))*$C11)</f>
        <v/>
      </c>
      <c r="AK11" s="149" t="str">
        <f>IF($B11=0,"",('MF Rollover'!AJ11*($P11*(1+'Property Summary'!$L$22)^('MF Releasing'!AK$3-1)))*$C11)</f>
        <v/>
      </c>
      <c r="AL11" s="149" t="str">
        <f>IF($B11=0,"",('MF Rollover'!AK11*($P11*(1+'Property Summary'!$L$22)^('MF Releasing'!AL$3-1)))*$C11)</f>
        <v/>
      </c>
      <c r="AM11" s="149" t="str">
        <f>IF($B11=0,"",('MF Rollover'!AL11*($P11*(1+'Property Summary'!$L$22)^('MF Releasing'!AM$3-1)))*$C11)</f>
        <v/>
      </c>
      <c r="AN11" s="149" t="str">
        <f>IF($B11=0,"",('MF Rollover'!AM11*($P11*(1+'Property Summary'!$L$22)^('MF Releasing'!AN$3-1)))*$C11)</f>
        <v/>
      </c>
      <c r="AO11" s="149" t="str">
        <f>IF($B11=0,"",('MF Rollover'!AN11*($P11*(1+'Property Summary'!$L$22)^('MF Releasing'!AO$3-1)))*$C11)</f>
        <v/>
      </c>
      <c r="AP11" s="149" t="str">
        <f>IF($B11=0,"",('MF Rollover'!AO11*($P11*(1+'Property Summary'!$L$22)^('MF Releasing'!AP$3-1)))*$C11)</f>
        <v/>
      </c>
      <c r="AQ11" s="149" t="str">
        <f>IF($B11=0,"",('MF Rollover'!AP11*($P11*(1+'Property Summary'!$L$22)^('MF Releasing'!AQ$3-1)))*$C11)</f>
        <v/>
      </c>
      <c r="AR11" s="149" t="str">
        <f>IF($B11=0,"",('MF Rollover'!AQ11*($P11*(1+'Property Summary'!$L$22)^('MF Releasing'!AR$3-1)))*$C11)</f>
        <v/>
      </c>
      <c r="AS11" s="149" t="str">
        <f>IF($B11=0,"",('MF Rollover'!AR11*($P11*(1+'Property Summary'!$L$22)^('MF Releasing'!AS$3-1)))*$C11)</f>
        <v/>
      </c>
      <c r="AT11" s="149" t="str">
        <f>IF($B11=0,"",('MF Rollover'!AS11*($P11*(1+'Property Summary'!$L$22)^('MF Releasing'!AT$3-1)))*$C11)</f>
        <v/>
      </c>
      <c r="AU11" s="149" t="str">
        <f>IF($B11=0,"",('MF Rollover'!AT11*($P11*(1+'Property Summary'!$L$22)^('MF Releasing'!AU$3-1)))*$C11)</f>
        <v/>
      </c>
      <c r="AV11" s="149" t="str">
        <f>IF($B11=0,"",('MF Rollover'!AU11*($P11*(1+'Property Summary'!$L$22)^('MF Releasing'!AV$3-1)))*$C11)</f>
        <v/>
      </c>
      <c r="AW11" s="149" t="str">
        <f>IF($B11=0,"",('MF Rollover'!AV11*($P11*(1+'Property Summary'!$L$22)^('MF Releasing'!AW$3-1)))*$C11)</f>
        <v/>
      </c>
      <c r="AX11" s="149" t="str">
        <f>IF($B11=0,"",('MF Rollover'!AW11*($P11*(1+'Property Summary'!$L$22)^('MF Releasing'!AX$3-1)))*$C11)</f>
        <v/>
      </c>
      <c r="AY11" s="149" t="str">
        <f>IF($B11=0,"",('MF Rollover'!AX11*($P11*(1+'Property Summary'!$L$22)^('MF Releasing'!AY$3-1)))*$C11)</f>
        <v/>
      </c>
      <c r="AZ11" s="149" t="str">
        <f>IF($B11=0,"",('MF Rollover'!AY11*($P11*(1+'Property Summary'!$L$22)^('MF Releasing'!AZ$3-1)))*$C11)</f>
        <v/>
      </c>
      <c r="BA11" s="149" t="str">
        <f>IF($B11=0,"",('MF Rollover'!AZ11*($P11*(1+'Property Summary'!$L$22)^('MF Releasing'!BA$3-1)))*$C11)</f>
        <v/>
      </c>
      <c r="BB11" s="149" t="str">
        <f>IF($B11=0,"",('MF Rollover'!BA11*($P11*(1+'Property Summary'!$L$22)^('MF Releasing'!BB$3-1)))*$C11)</f>
        <v/>
      </c>
      <c r="BC11" s="149" t="str">
        <f>IF($B11=0,"",('MF Rollover'!BB11*($P11*(1+'Property Summary'!$L$22)^('MF Releasing'!BC$3-1)))*$C11)</f>
        <v/>
      </c>
      <c r="BD11" s="149" t="str">
        <f>IF($B11=0,"",('MF Rollover'!BC11*($P11*(1+'Property Summary'!$L$22)^('MF Releasing'!BD$3-1)))*$C11)</f>
        <v/>
      </c>
      <c r="BE11" s="149" t="str">
        <f>IF($B11=0,"",('MF Rollover'!BD11*($P11*(1+'Property Summary'!$L$22)^('MF Releasing'!BE$3-1)))*$C11)</f>
        <v/>
      </c>
      <c r="BF11" s="149" t="str">
        <f>IF($B11=0,"",('MF Rollover'!BE11*($P11*(1+'Property Summary'!$L$22)^('MF Releasing'!BF$3-1)))*$C11)</f>
        <v/>
      </c>
      <c r="BG11" s="149" t="str">
        <f>IF($B11=0,"",('MF Rollover'!BF11*($P11*(1+'Property Summary'!$L$22)^('MF Releasing'!BG$3-1)))*$C11)</f>
        <v/>
      </c>
      <c r="BH11" s="149" t="str">
        <f>IF($B11=0,"",('MF Rollover'!BG11*($P11*(1+'Property Summary'!$L$22)^('MF Releasing'!BH$3-1)))*$C11)</f>
        <v/>
      </c>
      <c r="BI11" s="149" t="str">
        <f>IF($B11=0,"",('MF Rollover'!BH11*($P11*(1+'Property Summary'!$L$22)^('MF Releasing'!BI$3-1)))*$C11)</f>
        <v/>
      </c>
      <c r="BJ11" s="149" t="str">
        <f>IF($B11=0,"",('MF Rollover'!BI11*($P11*(1+'Property Summary'!$L$22)^('MF Releasing'!BJ$3-1)))*$C11)</f>
        <v/>
      </c>
      <c r="BK11" s="149" t="str">
        <f>IF($B11=0,"",('MF Rollover'!BJ11*($P11*(1+'Property Summary'!$L$22)^('MF Releasing'!BK$3-1)))*$C11)</f>
        <v/>
      </c>
      <c r="BL11" s="149" t="str">
        <f>IF($B11=0,"",('MF Rollover'!BK11*($P11*(1+'Property Summary'!$L$22)^('MF Releasing'!BL$3-1)))*$C11)</f>
        <v/>
      </c>
      <c r="BM11" s="149" t="str">
        <f>IF($B11=0,"",('MF Rollover'!BL11*($P11*(1+'Property Summary'!$L$22)^('MF Releasing'!BM$3-1)))*$C11)</f>
        <v/>
      </c>
      <c r="BN11" s="149" t="str">
        <f>IF($B11=0,"",('MF Rollover'!BM11*($P11*(1+'Property Summary'!$L$22)^('MF Releasing'!BN$3-1)))*$C11)</f>
        <v/>
      </c>
      <c r="BO11" s="149" t="str">
        <f>IF($B11=0,"",('MF Rollover'!BN11*($P11*(1+'Property Summary'!$L$22)^('MF Releasing'!BO$3-1)))*$C11)</f>
        <v/>
      </c>
      <c r="BP11" s="149" t="str">
        <f>IF($B11=0,"",('MF Rollover'!BO11*($P11*(1+'Property Summary'!$L$22)^('MF Releasing'!BP$3-1)))*$C11)</f>
        <v/>
      </c>
      <c r="BQ11" s="149" t="str">
        <f>IF($B11=0,"",('MF Rollover'!BP11*($P11*(1+'Property Summary'!$L$22)^('MF Releasing'!BQ$3-1)))*$C11)</f>
        <v/>
      </c>
      <c r="BR11" s="149" t="str">
        <f>IF($B11=0,"",('MF Rollover'!BQ11*($P11*(1+'Property Summary'!$L$22)^('MF Releasing'!BR$3-1)))*$C11)</f>
        <v/>
      </c>
      <c r="BS11" s="149" t="str">
        <f>IF($B11=0,"",('MF Rollover'!BR11*($P11*(1+'Property Summary'!$L$22)^('MF Releasing'!BS$3-1)))*$C11)</f>
        <v/>
      </c>
      <c r="BT11" s="149" t="str">
        <f>IF($B11=0,"",('MF Rollover'!BS11*($P11*(1+'Property Summary'!$L$22)^('MF Releasing'!BT$3-1)))*$C11)</f>
        <v/>
      </c>
      <c r="BU11" s="149" t="str">
        <f>IF($B11=0,"",('MF Rollover'!BT11*($P11*(1+'Property Summary'!$L$22)^('MF Releasing'!BU$3-1)))*$C11)</f>
        <v/>
      </c>
      <c r="BV11" s="149" t="str">
        <f>IF($B11=0,"",('MF Rollover'!BU11*($P11*(1+'Property Summary'!$L$22)^('MF Releasing'!BV$3-1)))*$C11)</f>
        <v/>
      </c>
      <c r="BW11" s="149" t="str">
        <f>IF($B11=0,"",('MF Rollover'!BV11*($P11*(1+'Property Summary'!$L$22)^('MF Releasing'!BW$3-1)))*$C11)</f>
        <v/>
      </c>
      <c r="BX11" s="149" t="str">
        <f>IF($B11=0,"",('MF Rollover'!BW11*($P11*(1+'Property Summary'!$L$22)^('MF Releasing'!BX$3-1)))*$C11)</f>
        <v/>
      </c>
      <c r="BY11" s="149" t="str">
        <f>IF($B11=0,"",('MF Rollover'!BX11*($P11*(1+'Property Summary'!$L$22)^('MF Releasing'!BY$3-1)))*$C11)</f>
        <v/>
      </c>
      <c r="BZ11" s="149" t="str">
        <f>IF($B11=0,"",('MF Rollover'!BY11*($P11*(1+'Property Summary'!$L$22)^('MF Releasing'!BZ$3-1)))*$C11)</f>
        <v/>
      </c>
      <c r="CA11" s="149" t="str">
        <f>IF($B11=0,"",('MF Rollover'!BZ11*($P11*(1+'Property Summary'!$L$22)^('MF Releasing'!CA$3-1)))*$C11)</f>
        <v/>
      </c>
      <c r="CB11" s="149" t="str">
        <f>IF($B11=0,"",('MF Rollover'!CA11*($P11*(1+'Property Summary'!$L$22)^('MF Releasing'!CB$3-1)))*$C11)</f>
        <v/>
      </c>
      <c r="CC11" s="149" t="str">
        <f>IF($B11=0,"",('MF Rollover'!CB11*($P11*(1+'Property Summary'!$L$22)^('MF Releasing'!CC$3-1)))*$C11)</f>
        <v/>
      </c>
      <c r="CD11" s="149" t="str">
        <f>IF($B11=0,"",('MF Rollover'!CC11*($P11*(1+'Property Summary'!$L$22)^('MF Releasing'!CD$3-1)))*$C11)</f>
        <v/>
      </c>
      <c r="CE11" s="149" t="str">
        <f>IF($B11=0,"",('MF Rollover'!CD11*($P11*(1+'Property Summary'!$L$22)^('MF Releasing'!CE$3-1)))*$C11)</f>
        <v/>
      </c>
      <c r="CF11" s="149" t="str">
        <f>IF($B11=0,"",('MF Rollover'!CE11*($P11*(1+'Property Summary'!$L$22)^('MF Releasing'!CF$3-1)))*$C11)</f>
        <v/>
      </c>
      <c r="CG11" s="149" t="str">
        <f>IF($B11=0,"",('MF Rollover'!CF11*($P11*(1+'Property Summary'!$L$22)^('MF Releasing'!CG$3-1)))*$C11)</f>
        <v/>
      </c>
      <c r="CH11" s="149" t="str">
        <f>IF($B11=0,"",('MF Rollover'!CG11*($P11*(1+'Property Summary'!$L$22)^('MF Releasing'!CH$3-1)))*$C11)</f>
        <v/>
      </c>
      <c r="CI11" s="149" t="str">
        <f>IF($B11=0,"",('MF Rollover'!CH11*($P11*(1+'Property Summary'!$L$22)^('MF Releasing'!CI$3-1)))*$C11)</f>
        <v/>
      </c>
      <c r="CJ11" s="149" t="str">
        <f>IF($B11=0,"",('MF Rollover'!CI11*($P11*(1+'Property Summary'!$L$22)^('MF Releasing'!CJ$3-1)))*$C11)</f>
        <v/>
      </c>
      <c r="CK11" s="149" t="str">
        <f>IF($B11=0,"",('MF Rollover'!CJ11*($P11*(1+'Property Summary'!$L$22)^('MF Releasing'!CK$3-1)))*$C11)</f>
        <v/>
      </c>
      <c r="CL11" s="149" t="str">
        <f>IF($B11=0,"",('MF Rollover'!CK11*($P11*(1+'Property Summary'!$L$22)^('MF Releasing'!CL$3-1)))*$C11)</f>
        <v/>
      </c>
      <c r="CM11" s="149" t="str">
        <f>IF($B11=0,"",('MF Rollover'!CL11*($P11*(1+'Property Summary'!$L$22)^('MF Releasing'!CM$3-1)))*$C11)</f>
        <v/>
      </c>
      <c r="CN11" s="149" t="str">
        <f>IF($B11=0,"",('MF Rollover'!CM11*($P11*(1+'Property Summary'!$L$22)^('MF Releasing'!CN$3-1)))*$C11)</f>
        <v/>
      </c>
      <c r="CO11" s="149" t="str">
        <f>IF($B11=0,"",('MF Rollover'!CN11*($P11*(1+'Property Summary'!$L$22)^('MF Releasing'!CO$3-1)))*$C11)</f>
        <v/>
      </c>
      <c r="CP11" s="149" t="str">
        <f>IF($B11=0,"",('MF Rollover'!CO11*($P11*(1+'Property Summary'!$L$22)^('MF Releasing'!CP$3-1)))*$C11)</f>
        <v/>
      </c>
      <c r="CQ11" s="149" t="str">
        <f>IF($B11=0,"",('MF Rollover'!CP11*($P11*(1+'Property Summary'!$L$22)^('MF Releasing'!CQ$3-1)))*$C11)</f>
        <v/>
      </c>
      <c r="CR11" s="149" t="str">
        <f>IF($B11=0,"",('MF Rollover'!CQ11*($P11*(1+'Property Summary'!$L$22)^('MF Releasing'!CR$3-1)))*$C11)</f>
        <v/>
      </c>
      <c r="CS11" s="149" t="str">
        <f>IF($B11=0,"",('MF Rollover'!CR11*($P11*(1+'Property Summary'!$L$22)^('MF Releasing'!CS$3-1)))*$C11)</f>
        <v/>
      </c>
      <c r="CT11" s="149" t="str">
        <f>IF($B11=0,"",('MF Rollover'!CS11*($P11*(1+'Property Summary'!$L$22)^('MF Releasing'!CT$3-1)))*$C11)</f>
        <v/>
      </c>
      <c r="CU11" s="149" t="str">
        <f>IF($B11=0,"",('MF Rollover'!CT11*($P11*(1+'Property Summary'!$L$22)^('MF Releasing'!CU$3-1)))*$C11)</f>
        <v/>
      </c>
      <c r="CV11" s="149" t="str">
        <f>IF($B11=0,"",('MF Rollover'!CU11*($P11*(1+'Property Summary'!$L$22)^('MF Releasing'!CV$3-1)))*$C11)</f>
        <v/>
      </c>
      <c r="CW11" s="149" t="str">
        <f>IF($B11=0,"",('MF Rollover'!CV11*($P11*(1+'Property Summary'!$L$22)^('MF Releasing'!CW$3-1)))*$C11)</f>
        <v/>
      </c>
      <c r="CX11" s="149" t="str">
        <f>IF($B11=0,"",('MF Rollover'!CW11*($P11*(1+'Property Summary'!$L$22)^('MF Releasing'!CX$3-1)))*$C11)</f>
        <v/>
      </c>
      <c r="CY11" s="149" t="str">
        <f>IF($B11=0,"",('MF Rollover'!CX11*($P11*(1+'Property Summary'!$L$22)^('MF Releasing'!CY$3-1)))*$C11)</f>
        <v/>
      </c>
      <c r="CZ11" s="149" t="str">
        <f>IF($B11=0,"",('MF Rollover'!CY11*($P11*(1+'Property Summary'!$L$22)^('MF Releasing'!CZ$3-1)))*$C11)</f>
        <v/>
      </c>
      <c r="DA11" s="149" t="str">
        <f>IF($B11=0,"",('MF Rollover'!CZ11*($P11*(1+'Property Summary'!$L$22)^('MF Releasing'!DA$3-1)))*$C11)</f>
        <v/>
      </c>
      <c r="DB11" s="149" t="str">
        <f>IF($B11=0,"",('MF Rollover'!DA11*($P11*(1+'Property Summary'!$L$22)^('MF Releasing'!DB$3-1)))*$C11)</f>
        <v/>
      </c>
      <c r="DC11" s="149" t="str">
        <f>IF($B11=0,"",('MF Rollover'!DB11*($P11*(1+'Property Summary'!$L$22)^('MF Releasing'!DC$3-1)))*$C11)</f>
        <v/>
      </c>
      <c r="DD11" s="149" t="str">
        <f>IF($B11=0,"",('MF Rollover'!DC11*($P11*(1+'Property Summary'!$L$22)^('MF Releasing'!DD$3-1)))*$C11)</f>
        <v/>
      </c>
      <c r="DE11" s="149" t="str">
        <f>IF($B11=0,"",('MF Rollover'!DD11*($P11*(1+'Property Summary'!$L$22)^('MF Releasing'!DE$3-1)))*$C11)</f>
        <v/>
      </c>
      <c r="DF11" s="149" t="str">
        <f>IF($B11=0,"",('MF Rollover'!DE11*($P11*(1+'Property Summary'!$L$22)^('MF Releasing'!DF$3-1)))*$C11)</f>
        <v/>
      </c>
      <c r="DG11" s="149" t="str">
        <f>IF($B11=0,"",('MF Rollover'!DF11*($P11*(1+'Property Summary'!$L$22)^('MF Releasing'!DG$3-1)))*$C11)</f>
        <v/>
      </c>
      <c r="DH11" s="149" t="str">
        <f>IF($B11=0,"",('MF Rollover'!DG11*($P11*(1+'Property Summary'!$L$22)^('MF Releasing'!DH$3-1)))*$C11)</f>
        <v/>
      </c>
      <c r="DI11" s="149" t="str">
        <f>IF($B11=0,"",('MF Rollover'!DH11*($P11*(1+'Property Summary'!$L$22)^('MF Releasing'!DI$3-1)))*$C11)</f>
        <v/>
      </c>
      <c r="DJ11" s="149" t="str">
        <f>IF($B11=0,"",('MF Rollover'!DI11*($P11*(1+'Property Summary'!$L$22)^('MF Releasing'!DJ$3-1)))*$C11)</f>
        <v/>
      </c>
      <c r="DK11" s="149" t="str">
        <f>IF($B11=0,"",('MF Rollover'!DJ11*($P11*(1+'Property Summary'!$L$22)^('MF Releasing'!DK$3-1)))*$C11)</f>
        <v/>
      </c>
      <c r="DL11" s="149" t="str">
        <f>IF($B11=0,"",('MF Rollover'!DK11*($P11*(1+'Property Summary'!$L$22)^('MF Releasing'!DL$3-1)))*$C11)</f>
        <v/>
      </c>
      <c r="DM11" s="149" t="str">
        <f>IF($B11=0,"",('MF Rollover'!DL11*($P11*(1+'Property Summary'!$L$22)^('MF Releasing'!DM$3-1)))*$C11)</f>
        <v/>
      </c>
      <c r="DN11" s="149" t="str">
        <f>IF($B11=0,"",('MF Rollover'!DM11*($P11*(1+'Property Summary'!$L$22)^('MF Releasing'!DN$3-1)))*$C11)</f>
        <v/>
      </c>
      <c r="DO11" s="149" t="str">
        <f>IF($B11=0,"",('MF Rollover'!DN11*($P11*(1+'Property Summary'!$L$22)^('MF Releasing'!DO$3-1)))*$C11)</f>
        <v/>
      </c>
      <c r="DP11" s="149" t="str">
        <f>IF($B11=0,"",('MF Rollover'!DO11*($P11*(1+'Property Summary'!$L$22)^('MF Releasing'!DP$3-1)))*$C11)</f>
        <v/>
      </c>
      <c r="DQ11" s="149" t="str">
        <f>IF($B11=0,"",('MF Rollover'!DP11*($P11*(1+'Property Summary'!$L$22)^('MF Releasing'!DQ$3-1)))*$C11)</f>
        <v/>
      </c>
      <c r="DR11" s="149" t="str">
        <f>IF($B11=0,"",('MF Rollover'!DQ11*($P11*(1+'Property Summary'!$L$22)^('MF Releasing'!DR$3-1)))*$C11)</f>
        <v/>
      </c>
      <c r="DS11" s="149" t="str">
        <f>IF($B11=0,"",('MF Rollover'!DR11*($P11*(1+'Property Summary'!$L$22)^('MF Releasing'!DS$3-1)))*$C11)</f>
        <v/>
      </c>
      <c r="DT11" s="149" t="str">
        <f>IF($B11=0,"",('MF Rollover'!DS11*($P11*(1+'Property Summary'!$L$22)^('MF Releasing'!DT$3-1)))*$C11)</f>
        <v/>
      </c>
      <c r="DU11" s="149" t="str">
        <f>IF($B11=0,"",('MF Rollover'!DT11*($P11*(1+'Property Summary'!$L$22)^('MF Releasing'!DU$3-1)))*$C11)</f>
        <v/>
      </c>
      <c r="DV11" s="149" t="str">
        <f>IF($B11=0,"",('MF Rollover'!DU11*($P11*(1+'Property Summary'!$L$22)^('MF Releasing'!DV$3-1)))*$C11)</f>
        <v/>
      </c>
      <c r="DW11" s="149" t="str">
        <f>IF($B11=0,"",('MF Rollover'!DV11*($P11*(1+'Property Summary'!$L$22)^('MF Releasing'!DW$3-1)))*$C11)</f>
        <v/>
      </c>
      <c r="DX11" s="149" t="str">
        <f>IF($B11=0,"",('MF Rollover'!DW11*($P11*(1+'Property Summary'!$L$22)^('MF Releasing'!DX$3-1)))*$C11)</f>
        <v/>
      </c>
      <c r="DY11" s="149" t="str">
        <f>IF($B11=0,"",('MF Rollover'!DX11*($P11*(1+'Property Summary'!$L$22)^('MF Releasing'!DY$3-1)))*$C11)</f>
        <v/>
      </c>
      <c r="DZ11" s="149" t="str">
        <f>IF($B11=0,"",('MF Rollover'!DY11*($P11*(1+'Property Summary'!$L$22)^('MF Releasing'!DZ$3-1)))*$C11)</f>
        <v/>
      </c>
      <c r="EA11" s="149" t="str">
        <f>IF($B11=0,"",('MF Rollover'!DZ11*($P11*(1+'Property Summary'!$L$22)^('MF Releasing'!EA$3-1)))*$C11)</f>
        <v/>
      </c>
      <c r="EB11" s="149" t="str">
        <f>IF($B11=0,"",('MF Rollover'!EA11*($P11*(1+'Property Summary'!$L$22)^('MF Releasing'!EB$3-1)))*$C11)</f>
        <v/>
      </c>
      <c r="EC11" s="149" t="str">
        <f>IF($B11=0,"",('MF Rollover'!EB11*($P11*(1+'Property Summary'!$L$22)^('MF Releasing'!EC$3-1)))*$C11)</f>
        <v/>
      </c>
      <c r="ED11" s="149" t="str">
        <f>IF($B11=0,"",('MF Rollover'!EC11*($P11*(1+'Property Summary'!$L$22)^('MF Releasing'!ED$3-1)))*$C11)</f>
        <v/>
      </c>
      <c r="EE11" s="149" t="str">
        <f>IF($B11=0,"",('MF Rollover'!ED11*($P11*(1+'Property Summary'!$L$22)^('MF Releasing'!EE$3-1)))*$C11)</f>
        <v/>
      </c>
      <c r="EF11" s="149" t="str">
        <f>IF($B11=0,"",('MF Rollover'!EE11*($P11*(1+'Property Summary'!$L$22)^('MF Releasing'!EF$3-1)))*$C11)</f>
        <v/>
      </c>
      <c r="EG11" s="149" t="str">
        <f>IF($B11=0,"",('MF Rollover'!EF11*($P11*(1+'Property Summary'!$L$22)^('MF Releasing'!EG$3-1)))*$C11)</f>
        <v/>
      </c>
      <c r="EH11" s="149" t="str">
        <f>IF($B11=0,"",('MF Rollover'!EG11*($P11*(1+'Property Summary'!$L$22)^('MF Releasing'!EH$3-1)))*$C11)</f>
        <v/>
      </c>
      <c r="EI11" s="149" t="str">
        <f>IF($B11=0,"",('MF Rollover'!EH11*($P11*(1+'Property Summary'!$L$22)^('MF Releasing'!EI$3-1)))*$C11)</f>
        <v/>
      </c>
      <c r="EJ11" s="149" t="str">
        <f>IF($B11=0,"",('MF Rollover'!EI11*($P11*(1+'Property Summary'!$L$22)^('MF Releasing'!EJ$3-1)))*$C11)</f>
        <v/>
      </c>
      <c r="EK11" s="149" t="str">
        <f>IF($B11=0,"",('MF Rollover'!EJ11*($P11*(1+'Property Summary'!$L$22)^('MF Releasing'!EK$3-1)))*$C11)</f>
        <v/>
      </c>
      <c r="EL11" s="149" t="str">
        <f>IF($B11=0,"",('MF Rollover'!EK11*($P11*(1+'Property Summary'!$L$22)^('MF Releasing'!EL$3-1)))*$C11)</f>
        <v/>
      </c>
      <c r="EM11" s="149" t="str">
        <f>IF($B11=0,"",('MF Rollover'!EL11*($P11*(1+'Property Summary'!$L$22)^('MF Releasing'!EM$3-1)))*$C11)</f>
        <v/>
      </c>
      <c r="EN11" s="149" t="str">
        <f>IF($B11=0,"",('MF Rollover'!EM11*($P11*(1+'Property Summary'!$L$22)^('MF Releasing'!EN$3-1)))*$C11)</f>
        <v/>
      </c>
      <c r="EO11" s="149" t="str">
        <f>IF($B11=0,"",('MF Rollover'!EN11*($P11*(1+'Property Summary'!$L$22)^('MF Releasing'!EO$3-1)))*$C11)</f>
        <v/>
      </c>
      <c r="EP11" s="149" t="str">
        <f>IF($B11=0,"",('MF Rollover'!EO11*($P11*(1+'Property Summary'!$L$22)^('MF Releasing'!EP$3-1)))*$C11)</f>
        <v/>
      </c>
      <c r="EQ11" s="149" t="str">
        <f>IF($B11=0,"",('MF Rollover'!EP11*($P11*(1+'Property Summary'!$L$22)^('MF Releasing'!EQ$3-1)))*$C11)</f>
        <v/>
      </c>
      <c r="ER11" s="149" t="str">
        <f>IF($B11=0,"",('MF Rollover'!EQ11*($P11*(1+'Property Summary'!$L$22)^('MF Releasing'!ER$3-1)))*$C11)</f>
        <v/>
      </c>
      <c r="ES11" s="149" t="str">
        <f>IF($B11=0,"",('MF Rollover'!ER11*($P11*(1+'Property Summary'!$L$22)^('MF Releasing'!ES$3-1)))*$C11)</f>
        <v/>
      </c>
      <c r="ET11" s="149" t="str">
        <f>IF($B11=0,"",('MF Rollover'!ES11*($P11*(1+'Property Summary'!$L$22)^('MF Releasing'!ET$3-1)))*$C11)</f>
        <v/>
      </c>
      <c r="EU11" s="149" t="str">
        <f>IF($B11=0,"",('MF Rollover'!ET11*($P11*(1+'Property Summary'!$L$22)^('MF Releasing'!EU$3-1)))*$C11)</f>
        <v/>
      </c>
      <c r="EV11" s="149" t="str">
        <f>IF($B11=0,"",('MF Rollover'!EU11*($P11*(1+'Property Summary'!$L$22)^('MF Releasing'!EV$3-1)))*$C11)</f>
        <v/>
      </c>
      <c r="EW11" s="149" t="str">
        <f>IF($B11=0,"",('MF Rollover'!EV11*($P11*(1+'Property Summary'!$L$22)^('MF Releasing'!EW$3-1)))*$C11)</f>
        <v/>
      </c>
      <c r="EX11" s="149" t="str">
        <f>IF($B11=0,"",('MF Rollover'!EW11*($P11*(1+'Property Summary'!$L$22)^('MF Releasing'!EX$3-1)))*$C11)</f>
        <v/>
      </c>
      <c r="EY11" s="149" t="str">
        <f>IF($B11=0,"",('MF Rollover'!EX11*($P11*(1+'Property Summary'!$L$22)^('MF Releasing'!EY$3-1)))*$C11)</f>
        <v/>
      </c>
      <c r="EZ11" s="149" t="str">
        <f>IF($B11=0,"",('MF Rollover'!EY11*($P11*(1+'Property Summary'!$L$22)^('MF Releasing'!EZ$3-1)))*$C11)</f>
        <v/>
      </c>
      <c r="FA11" s="149" t="str">
        <f>IF($B11=0,"",('MF Rollover'!EZ11*($P11*(1+'Property Summary'!$L$22)^('MF Releasing'!FA$3-1)))*$C11)</f>
        <v/>
      </c>
      <c r="FB11" s="149" t="str">
        <f>IF($B11=0,"",('MF Rollover'!FA11*($P11*(1+'Property Summary'!$L$22)^('MF Releasing'!FB$3-1)))*$C11)</f>
        <v/>
      </c>
      <c r="FC11" s="149" t="str">
        <f>IF($B11=0,"",('MF Rollover'!FB11*($P11*(1+'Property Summary'!$L$22)^('MF Releasing'!FC$3-1)))*$C11)</f>
        <v/>
      </c>
      <c r="FD11" s="149" t="str">
        <f>IF($B11=0,"",('MF Rollover'!FC11*($P11*(1+'Property Summary'!$L$22)^('MF Releasing'!FD$3-1)))*$C11)</f>
        <v/>
      </c>
      <c r="FE11" s="149" t="str">
        <f>IF($B11=0,"",('MF Rollover'!FD11*($P11*(1+'Property Summary'!$L$22)^('MF Releasing'!FE$3-1)))*$C11)</f>
        <v/>
      </c>
      <c r="FF11" s="149" t="str">
        <f>IF($B11=0,"",('MF Rollover'!FE11*($P11*(1+'Property Summary'!$L$22)^('MF Releasing'!FF$3-1)))*$C11)</f>
        <v/>
      </c>
      <c r="FG11" s="149" t="str">
        <f>IF($B11=0,"",('MF Rollover'!FF11*($P11*(1+'Property Summary'!$L$22)^('MF Releasing'!FG$3-1)))*$C11)</f>
        <v/>
      </c>
      <c r="FH11" s="149" t="str">
        <f>IF($B11=0,"",('MF Rollover'!FG11*($P11*(1+'Property Summary'!$L$22)^('MF Releasing'!FH$3-1)))*$C11)</f>
        <v/>
      </c>
      <c r="FI11" s="149" t="str">
        <f>IF($B11=0,"",('MF Rollover'!FH11*($P11*(1+'Property Summary'!$L$22)^('MF Releasing'!FI$3-1)))*$C11)</f>
        <v/>
      </c>
      <c r="FJ11" s="149" t="str">
        <f>IF($B11=0,"",('MF Rollover'!FI11*($P11*(1+'Property Summary'!$L$22)^('MF Releasing'!FJ$3-1)))*$C11)</f>
        <v/>
      </c>
      <c r="FK11" s="149" t="str">
        <f>IF($B11=0,"",('MF Rollover'!FJ11*($P11*(1+'Property Summary'!$L$22)^('MF Releasing'!FK$3-1)))*$C11)</f>
        <v/>
      </c>
      <c r="FL11" s="149" t="str">
        <f>IF($B11=0,"",('MF Rollover'!FK11*($P11*(1+'Property Summary'!$L$22)^('MF Releasing'!FL$3-1)))*$C11)</f>
        <v/>
      </c>
      <c r="FM11" s="149" t="str">
        <f>IF($B11=0,"",('MF Rollover'!FL11*($P11*(1+'Property Summary'!$L$22)^('MF Releasing'!FM$3-1)))*$C11)</f>
        <v/>
      </c>
      <c r="FN11" s="149" t="str">
        <f>IF($B11=0,"",('MF Rollover'!FM11*($P11*(1+'Property Summary'!$L$22)^('MF Releasing'!FN$3-1)))*$C11)</f>
        <v/>
      </c>
      <c r="FO11" s="149" t="str">
        <f>IF($B11=0,"",('MF Rollover'!FN11*($P11*(1+'Property Summary'!$L$22)^('MF Releasing'!FO$3-1)))*$C11)</f>
        <v/>
      </c>
      <c r="FP11" s="149" t="str">
        <f>IF($B11=0,"",('MF Rollover'!FO11*($P11*(1+'Property Summary'!$L$22)^('MF Releasing'!FP$3-1)))*$C11)</f>
        <v/>
      </c>
      <c r="FQ11" s="149" t="str">
        <f>IF($B11=0,"",('MF Rollover'!FP11*($P11*(1+'Property Summary'!$L$22)^('MF Releasing'!FQ$3-1)))*$C11)</f>
        <v/>
      </c>
      <c r="FR11" s="149" t="str">
        <f>IF($B11=0,"",('MF Rollover'!FQ11*($P11*(1+'Property Summary'!$L$22)^('MF Releasing'!FR$3-1)))*$C11)</f>
        <v/>
      </c>
      <c r="FS11" s="149" t="str">
        <f>IF($B11=0,"",('MF Rollover'!FR11*($P11*(1+'Property Summary'!$L$22)^('MF Releasing'!FS$3-1)))*$C11)</f>
        <v/>
      </c>
      <c r="FT11" s="149" t="str">
        <f>IF($B11=0,"",('MF Rollover'!FS11*($P11*(1+'Property Summary'!$L$22)^('MF Releasing'!FT$3-1)))*$C11)</f>
        <v/>
      </c>
      <c r="FU11" s="149" t="str">
        <f>IF($B11=0,"",('MF Rollover'!FT11*($P11*(1+'Property Summary'!$L$22)^('MF Releasing'!FU$3-1)))*$C11)</f>
        <v/>
      </c>
      <c r="FV11" s="149" t="str">
        <f>IF($B11=0,"",('MF Rollover'!FU11*($P11*(1+'Property Summary'!$L$22)^('MF Releasing'!FV$3-1)))*$C11)</f>
        <v/>
      </c>
      <c r="FW11" s="149" t="str">
        <f>IF($B11=0,"",('MF Rollover'!FV11*($P11*(1+'Property Summary'!$L$22)^('MF Releasing'!FW$3-1)))*$C11)</f>
        <v/>
      </c>
      <c r="FX11" s="149" t="str">
        <f>IF($B11=0,"",('MF Rollover'!FW11*($P11*(1+'Property Summary'!$L$22)^('MF Releasing'!FX$3-1)))*$C11)</f>
        <v/>
      </c>
      <c r="FY11" s="149" t="str">
        <f>IF($B11=0,"",('MF Rollover'!FX11*($P11*(1+'Property Summary'!$L$22)^('MF Releasing'!FY$3-1)))*$C11)</f>
        <v/>
      </c>
      <c r="FZ11" s="149" t="str">
        <f>IF($B11=0,"",('MF Rollover'!FY11*($P11*(1+'Property Summary'!$L$22)^('MF Releasing'!FZ$3-1)))*$C11)</f>
        <v/>
      </c>
      <c r="GA11" s="149" t="str">
        <f>IF($B11=0,"",('MF Rollover'!FZ11*($P11*(1+'Property Summary'!$L$22)^('MF Releasing'!GA$3-1)))*$C11)</f>
        <v/>
      </c>
      <c r="GB11" s="149" t="str">
        <f>IF($B11=0,"",('MF Rollover'!GA11*($P11*(1+'Property Summary'!$L$22)^('MF Releasing'!GB$3-1)))*$C11)</f>
        <v/>
      </c>
      <c r="GC11" s="149" t="str">
        <f>IF($B11=0,"",('MF Rollover'!GB11*($P11*(1+'Property Summary'!$L$22)^('MF Releasing'!GC$3-1)))*$C11)</f>
        <v/>
      </c>
      <c r="GD11" s="149" t="str">
        <f>IF($B11=0,"",('MF Rollover'!GC11*($P11*(1+'Property Summary'!$L$22)^('MF Releasing'!GD$3-1)))*$C11)</f>
        <v/>
      </c>
      <c r="GE11" s="149" t="str">
        <f>IF($B11=0,"",('MF Rollover'!GD11*($P11*(1+'Property Summary'!$L$22)^('MF Releasing'!GE$3-1)))*$C11)</f>
        <v/>
      </c>
      <c r="GF11" s="149" t="str">
        <f>IF($B11=0,"",('MF Rollover'!GE11*($P11*(1+'Property Summary'!$L$22)^('MF Releasing'!GF$3-1)))*$C11)</f>
        <v/>
      </c>
      <c r="GG11" s="149" t="str">
        <f>IF($B11=0,"",('MF Rollover'!GF11*($P11*(1+'Property Summary'!$L$22)^('MF Releasing'!GG$3-1)))*$C11)</f>
        <v/>
      </c>
      <c r="GH11" s="149" t="str">
        <f>IF($B11=0,"",('MF Rollover'!GG11*($P11*(1+'Property Summary'!$L$22)^('MF Releasing'!GH$3-1)))*$C11)</f>
        <v/>
      </c>
      <c r="GI11" s="149" t="str">
        <f>IF($B11=0,"",('MF Rollover'!GH11*($P11*(1+'Property Summary'!$L$22)^('MF Releasing'!GI$3-1)))*$C11)</f>
        <v/>
      </c>
      <c r="GJ11" s="149" t="str">
        <f>IF($B11=0,"",('MF Rollover'!GI11*($P11*(1+'Property Summary'!$L$22)^('MF Releasing'!GJ$3-1)))*$C11)</f>
        <v/>
      </c>
      <c r="GK11" s="149" t="str">
        <f>IF($B11=0,"",('MF Rollover'!GJ11*($P11*(1+'Property Summary'!$L$22)^('MF Releasing'!GK$3-1)))*$C11)</f>
        <v/>
      </c>
      <c r="GL11" s="149" t="str">
        <f>IF($B11=0,"",('MF Rollover'!GK11*($P11*(1+'Property Summary'!$L$22)^('MF Releasing'!GL$3-1)))*$C11)</f>
        <v/>
      </c>
      <c r="GM11" s="149" t="str">
        <f>IF($B11=0,"",('MF Rollover'!GL11*($P11*(1+'Property Summary'!$L$22)^('MF Releasing'!GM$3-1)))*$C11)</f>
        <v/>
      </c>
      <c r="GN11" s="149" t="str">
        <f>IF($B11=0,"",('MF Rollover'!GM11*($P11*(1+'Property Summary'!$L$22)^('MF Releasing'!GN$3-1)))*$C11)</f>
        <v/>
      </c>
      <c r="GO11" s="149" t="str">
        <f>IF($B11=0,"",('MF Rollover'!GN11*($P11*(1+'Property Summary'!$L$22)^('MF Releasing'!GO$3-1)))*$C11)</f>
        <v/>
      </c>
      <c r="GP11" s="149" t="str">
        <f>IF($B11=0,"",('MF Rollover'!GO11*($P11*(1+'Property Summary'!$L$22)^('MF Releasing'!GP$3-1)))*$C11)</f>
        <v/>
      </c>
    </row>
    <row r="12" spans="2:198" x14ac:dyDescent="0.3">
      <c r="B12" s="184">
        <f>'MF Rent Roll'!B11</f>
        <v>0</v>
      </c>
      <c r="C12" s="171">
        <f>'MF Rent Roll'!C11</f>
        <v>0</v>
      </c>
      <c r="D12" s="172">
        <f>'MF Rent Roll'!D11</f>
        <v>0</v>
      </c>
      <c r="E12" s="172">
        <f>'MF Rent Roll'!E11</f>
        <v>0</v>
      </c>
      <c r="F12" s="173">
        <f>'MF Rent Roll'!F11</f>
        <v>0</v>
      </c>
      <c r="G12" s="174">
        <f>'MF Rent Roll'!G11</f>
        <v>0</v>
      </c>
      <c r="H12" s="176">
        <f>'MF Rent Roll'!J11</f>
        <v>0</v>
      </c>
      <c r="I12" s="174">
        <f>'MF Rent Roll'!K11</f>
        <v>0</v>
      </c>
      <c r="J12" s="177">
        <f>'MF Rent Roll'!L11</f>
        <v>0</v>
      </c>
      <c r="K12" s="178">
        <f>'MF Rent Roll'!M11</f>
        <v>0</v>
      </c>
      <c r="L12" s="174">
        <f>'MF Rent Roll'!N11</f>
        <v>0</v>
      </c>
      <c r="M12" s="179">
        <f>'MF Rent Roll'!O11</f>
        <v>0</v>
      </c>
      <c r="N12" s="180" t="str">
        <f>'MF Rent Roll'!P11</f>
        <v/>
      </c>
      <c r="O12" s="181" t="str">
        <f>'MF Rent Roll'!Q11</f>
        <v/>
      </c>
      <c r="P12" s="104" t="str">
        <f>'MF Rent Roll'!R11</f>
        <v/>
      </c>
      <c r="S12" s="149" t="str">
        <f>IF($B12=0,"",('MF Rollover'!R12*($P12*(1+'Property Summary'!$L$22)^('MF Releasing'!S$3-1)))*$C12)</f>
        <v/>
      </c>
      <c r="T12" s="149" t="str">
        <f>IF($B12=0,"",('MF Rollover'!S12*($P12*(1+'Property Summary'!$L$22)^('MF Releasing'!T$3-1)))*$C12)</f>
        <v/>
      </c>
      <c r="U12" s="149" t="str">
        <f>IF($B12=0,"",('MF Rollover'!T12*($P12*(1+'Property Summary'!$L$22)^('MF Releasing'!U$3-1)))*$C12)</f>
        <v/>
      </c>
      <c r="V12" s="149" t="str">
        <f>IF($B12=0,"",('MF Rollover'!U12*($P12*(1+'Property Summary'!$L$22)^('MF Releasing'!V$3-1)))*$C12)</f>
        <v/>
      </c>
      <c r="W12" s="149" t="str">
        <f>IF($B12=0,"",('MF Rollover'!V12*($P12*(1+'Property Summary'!$L$22)^('MF Releasing'!W$3-1)))*$C12)</f>
        <v/>
      </c>
      <c r="X12" s="149" t="str">
        <f>IF($B12=0,"",('MF Rollover'!W12*($P12*(1+'Property Summary'!$L$22)^('MF Releasing'!X$3-1)))*$C12)</f>
        <v/>
      </c>
      <c r="Y12" s="149" t="str">
        <f>IF($B12=0,"",('MF Rollover'!X12*($P12*(1+'Property Summary'!$L$22)^('MF Releasing'!Y$3-1)))*$C12)</f>
        <v/>
      </c>
      <c r="Z12" s="149" t="str">
        <f>IF($B12=0,"",('MF Rollover'!Y12*($P12*(1+'Property Summary'!$L$22)^('MF Releasing'!Z$3-1)))*$C12)</f>
        <v/>
      </c>
      <c r="AA12" s="149" t="str">
        <f>IF($B12=0,"",('MF Rollover'!Z12*($P12*(1+'Property Summary'!$L$22)^('MF Releasing'!AA$3-1)))*$C12)</f>
        <v/>
      </c>
      <c r="AB12" s="149" t="str">
        <f>IF($B12=0,"",('MF Rollover'!AA12*($P12*(1+'Property Summary'!$L$22)^('MF Releasing'!AB$3-1)))*$C12)</f>
        <v/>
      </c>
      <c r="AC12" s="149" t="str">
        <f>IF($B12=0,"",('MF Rollover'!AB12*($P12*(1+'Property Summary'!$L$22)^('MF Releasing'!AC$3-1)))*$C12)</f>
        <v/>
      </c>
      <c r="AD12" s="149" t="str">
        <f>IF($B12=0,"",('MF Rollover'!AC12*($P12*(1+'Property Summary'!$L$22)^('MF Releasing'!AD$3-1)))*$C12)</f>
        <v/>
      </c>
      <c r="AE12" s="149" t="str">
        <f>IF($B12=0,"",('MF Rollover'!AD12*($P12*(1+'Property Summary'!$L$22)^('MF Releasing'!AE$3-1)))*$C12)</f>
        <v/>
      </c>
      <c r="AF12" s="149" t="str">
        <f>IF($B12=0,"",('MF Rollover'!AE12*($P12*(1+'Property Summary'!$L$22)^('MF Releasing'!AF$3-1)))*$C12)</f>
        <v/>
      </c>
      <c r="AG12" s="149" t="str">
        <f>IF($B12=0,"",('MF Rollover'!AF12*($P12*(1+'Property Summary'!$L$22)^('MF Releasing'!AG$3-1)))*$C12)</f>
        <v/>
      </c>
      <c r="AH12" s="149" t="str">
        <f>IF($B12=0,"",('MF Rollover'!AG12*($P12*(1+'Property Summary'!$L$22)^('MF Releasing'!AH$3-1)))*$C12)</f>
        <v/>
      </c>
      <c r="AI12" s="149" t="str">
        <f>IF($B12=0,"",('MF Rollover'!AH12*($P12*(1+'Property Summary'!$L$22)^('MF Releasing'!AI$3-1)))*$C12)</f>
        <v/>
      </c>
      <c r="AJ12" s="149" t="str">
        <f>IF($B12=0,"",('MF Rollover'!AI12*($P12*(1+'Property Summary'!$L$22)^('MF Releasing'!AJ$3-1)))*$C12)</f>
        <v/>
      </c>
      <c r="AK12" s="149" t="str">
        <f>IF($B12=0,"",('MF Rollover'!AJ12*($P12*(1+'Property Summary'!$L$22)^('MF Releasing'!AK$3-1)))*$C12)</f>
        <v/>
      </c>
      <c r="AL12" s="149" t="str">
        <f>IF($B12=0,"",('MF Rollover'!AK12*($P12*(1+'Property Summary'!$L$22)^('MF Releasing'!AL$3-1)))*$C12)</f>
        <v/>
      </c>
      <c r="AM12" s="149" t="str">
        <f>IF($B12=0,"",('MF Rollover'!AL12*($P12*(1+'Property Summary'!$L$22)^('MF Releasing'!AM$3-1)))*$C12)</f>
        <v/>
      </c>
      <c r="AN12" s="149" t="str">
        <f>IF($B12=0,"",('MF Rollover'!AM12*($P12*(1+'Property Summary'!$L$22)^('MF Releasing'!AN$3-1)))*$C12)</f>
        <v/>
      </c>
      <c r="AO12" s="149" t="str">
        <f>IF($B12=0,"",('MF Rollover'!AN12*($P12*(1+'Property Summary'!$L$22)^('MF Releasing'!AO$3-1)))*$C12)</f>
        <v/>
      </c>
      <c r="AP12" s="149" t="str">
        <f>IF($B12=0,"",('MF Rollover'!AO12*($P12*(1+'Property Summary'!$L$22)^('MF Releasing'!AP$3-1)))*$C12)</f>
        <v/>
      </c>
      <c r="AQ12" s="149" t="str">
        <f>IF($B12=0,"",('MF Rollover'!AP12*($P12*(1+'Property Summary'!$L$22)^('MF Releasing'!AQ$3-1)))*$C12)</f>
        <v/>
      </c>
      <c r="AR12" s="149" t="str">
        <f>IF($B12=0,"",('MF Rollover'!AQ12*($P12*(1+'Property Summary'!$L$22)^('MF Releasing'!AR$3-1)))*$C12)</f>
        <v/>
      </c>
      <c r="AS12" s="149" t="str">
        <f>IF($B12=0,"",('MF Rollover'!AR12*($P12*(1+'Property Summary'!$L$22)^('MF Releasing'!AS$3-1)))*$C12)</f>
        <v/>
      </c>
      <c r="AT12" s="149" t="str">
        <f>IF($B12=0,"",('MF Rollover'!AS12*($P12*(1+'Property Summary'!$L$22)^('MF Releasing'!AT$3-1)))*$C12)</f>
        <v/>
      </c>
      <c r="AU12" s="149" t="str">
        <f>IF($B12=0,"",('MF Rollover'!AT12*($P12*(1+'Property Summary'!$L$22)^('MF Releasing'!AU$3-1)))*$C12)</f>
        <v/>
      </c>
      <c r="AV12" s="149" t="str">
        <f>IF($B12=0,"",('MF Rollover'!AU12*($P12*(1+'Property Summary'!$L$22)^('MF Releasing'!AV$3-1)))*$C12)</f>
        <v/>
      </c>
      <c r="AW12" s="149" t="str">
        <f>IF($B12=0,"",('MF Rollover'!AV12*($P12*(1+'Property Summary'!$L$22)^('MF Releasing'!AW$3-1)))*$C12)</f>
        <v/>
      </c>
      <c r="AX12" s="149" t="str">
        <f>IF($B12=0,"",('MF Rollover'!AW12*($P12*(1+'Property Summary'!$L$22)^('MF Releasing'!AX$3-1)))*$C12)</f>
        <v/>
      </c>
      <c r="AY12" s="149" t="str">
        <f>IF($B12=0,"",('MF Rollover'!AX12*($P12*(1+'Property Summary'!$L$22)^('MF Releasing'!AY$3-1)))*$C12)</f>
        <v/>
      </c>
      <c r="AZ12" s="149" t="str">
        <f>IF($B12=0,"",('MF Rollover'!AY12*($P12*(1+'Property Summary'!$L$22)^('MF Releasing'!AZ$3-1)))*$C12)</f>
        <v/>
      </c>
      <c r="BA12" s="149" t="str">
        <f>IF($B12=0,"",('MF Rollover'!AZ12*($P12*(1+'Property Summary'!$L$22)^('MF Releasing'!BA$3-1)))*$C12)</f>
        <v/>
      </c>
      <c r="BB12" s="149" t="str">
        <f>IF($B12=0,"",('MF Rollover'!BA12*($P12*(1+'Property Summary'!$L$22)^('MF Releasing'!BB$3-1)))*$C12)</f>
        <v/>
      </c>
      <c r="BC12" s="149" t="str">
        <f>IF($B12=0,"",('MF Rollover'!BB12*($P12*(1+'Property Summary'!$L$22)^('MF Releasing'!BC$3-1)))*$C12)</f>
        <v/>
      </c>
      <c r="BD12" s="149" t="str">
        <f>IF($B12=0,"",('MF Rollover'!BC12*($P12*(1+'Property Summary'!$L$22)^('MF Releasing'!BD$3-1)))*$C12)</f>
        <v/>
      </c>
      <c r="BE12" s="149" t="str">
        <f>IF($B12=0,"",('MF Rollover'!BD12*($P12*(1+'Property Summary'!$L$22)^('MF Releasing'!BE$3-1)))*$C12)</f>
        <v/>
      </c>
      <c r="BF12" s="149" t="str">
        <f>IF($B12=0,"",('MF Rollover'!BE12*($P12*(1+'Property Summary'!$L$22)^('MF Releasing'!BF$3-1)))*$C12)</f>
        <v/>
      </c>
      <c r="BG12" s="149" t="str">
        <f>IF($B12=0,"",('MF Rollover'!BF12*($P12*(1+'Property Summary'!$L$22)^('MF Releasing'!BG$3-1)))*$C12)</f>
        <v/>
      </c>
      <c r="BH12" s="149" t="str">
        <f>IF($B12=0,"",('MF Rollover'!BG12*($P12*(1+'Property Summary'!$L$22)^('MF Releasing'!BH$3-1)))*$C12)</f>
        <v/>
      </c>
      <c r="BI12" s="149" t="str">
        <f>IF($B12=0,"",('MF Rollover'!BH12*($P12*(1+'Property Summary'!$L$22)^('MF Releasing'!BI$3-1)))*$C12)</f>
        <v/>
      </c>
      <c r="BJ12" s="149" t="str">
        <f>IF($B12=0,"",('MF Rollover'!BI12*($P12*(1+'Property Summary'!$L$22)^('MF Releasing'!BJ$3-1)))*$C12)</f>
        <v/>
      </c>
      <c r="BK12" s="149" t="str">
        <f>IF($B12=0,"",('MF Rollover'!BJ12*($P12*(1+'Property Summary'!$L$22)^('MF Releasing'!BK$3-1)))*$C12)</f>
        <v/>
      </c>
      <c r="BL12" s="149" t="str">
        <f>IF($B12=0,"",('MF Rollover'!BK12*($P12*(1+'Property Summary'!$L$22)^('MF Releasing'!BL$3-1)))*$C12)</f>
        <v/>
      </c>
      <c r="BM12" s="149" t="str">
        <f>IF($B12=0,"",('MF Rollover'!BL12*($P12*(1+'Property Summary'!$L$22)^('MF Releasing'!BM$3-1)))*$C12)</f>
        <v/>
      </c>
      <c r="BN12" s="149" t="str">
        <f>IF($B12=0,"",('MF Rollover'!BM12*($P12*(1+'Property Summary'!$L$22)^('MF Releasing'!BN$3-1)))*$C12)</f>
        <v/>
      </c>
      <c r="BO12" s="149" t="str">
        <f>IF($B12=0,"",('MF Rollover'!BN12*($P12*(1+'Property Summary'!$L$22)^('MF Releasing'!BO$3-1)))*$C12)</f>
        <v/>
      </c>
      <c r="BP12" s="149" t="str">
        <f>IF($B12=0,"",('MF Rollover'!BO12*($P12*(1+'Property Summary'!$L$22)^('MF Releasing'!BP$3-1)))*$C12)</f>
        <v/>
      </c>
      <c r="BQ12" s="149" t="str">
        <f>IF($B12=0,"",('MF Rollover'!BP12*($P12*(1+'Property Summary'!$L$22)^('MF Releasing'!BQ$3-1)))*$C12)</f>
        <v/>
      </c>
      <c r="BR12" s="149" t="str">
        <f>IF($B12=0,"",('MF Rollover'!BQ12*($P12*(1+'Property Summary'!$L$22)^('MF Releasing'!BR$3-1)))*$C12)</f>
        <v/>
      </c>
      <c r="BS12" s="149" t="str">
        <f>IF($B12=0,"",('MF Rollover'!BR12*($P12*(1+'Property Summary'!$L$22)^('MF Releasing'!BS$3-1)))*$C12)</f>
        <v/>
      </c>
      <c r="BT12" s="149" t="str">
        <f>IF($B12=0,"",('MF Rollover'!BS12*($P12*(1+'Property Summary'!$L$22)^('MF Releasing'!BT$3-1)))*$C12)</f>
        <v/>
      </c>
      <c r="BU12" s="149" t="str">
        <f>IF($B12=0,"",('MF Rollover'!BT12*($P12*(1+'Property Summary'!$L$22)^('MF Releasing'!BU$3-1)))*$C12)</f>
        <v/>
      </c>
      <c r="BV12" s="149" t="str">
        <f>IF($B12=0,"",('MF Rollover'!BU12*($P12*(1+'Property Summary'!$L$22)^('MF Releasing'!BV$3-1)))*$C12)</f>
        <v/>
      </c>
      <c r="BW12" s="149" t="str">
        <f>IF($B12=0,"",('MF Rollover'!BV12*($P12*(1+'Property Summary'!$L$22)^('MF Releasing'!BW$3-1)))*$C12)</f>
        <v/>
      </c>
      <c r="BX12" s="149" t="str">
        <f>IF($B12=0,"",('MF Rollover'!BW12*($P12*(1+'Property Summary'!$L$22)^('MF Releasing'!BX$3-1)))*$C12)</f>
        <v/>
      </c>
      <c r="BY12" s="149" t="str">
        <f>IF($B12=0,"",('MF Rollover'!BX12*($P12*(1+'Property Summary'!$L$22)^('MF Releasing'!BY$3-1)))*$C12)</f>
        <v/>
      </c>
      <c r="BZ12" s="149" t="str">
        <f>IF($B12=0,"",('MF Rollover'!BY12*($P12*(1+'Property Summary'!$L$22)^('MF Releasing'!BZ$3-1)))*$C12)</f>
        <v/>
      </c>
      <c r="CA12" s="149" t="str">
        <f>IF($B12=0,"",('MF Rollover'!BZ12*($P12*(1+'Property Summary'!$L$22)^('MF Releasing'!CA$3-1)))*$C12)</f>
        <v/>
      </c>
      <c r="CB12" s="149" t="str">
        <f>IF($B12=0,"",('MF Rollover'!CA12*($P12*(1+'Property Summary'!$L$22)^('MF Releasing'!CB$3-1)))*$C12)</f>
        <v/>
      </c>
      <c r="CC12" s="149" t="str">
        <f>IF($B12=0,"",('MF Rollover'!CB12*($P12*(1+'Property Summary'!$L$22)^('MF Releasing'!CC$3-1)))*$C12)</f>
        <v/>
      </c>
      <c r="CD12" s="149" t="str">
        <f>IF($B12=0,"",('MF Rollover'!CC12*($P12*(1+'Property Summary'!$L$22)^('MF Releasing'!CD$3-1)))*$C12)</f>
        <v/>
      </c>
      <c r="CE12" s="149" t="str">
        <f>IF($B12=0,"",('MF Rollover'!CD12*($P12*(1+'Property Summary'!$L$22)^('MF Releasing'!CE$3-1)))*$C12)</f>
        <v/>
      </c>
      <c r="CF12" s="149" t="str">
        <f>IF($B12=0,"",('MF Rollover'!CE12*($P12*(1+'Property Summary'!$L$22)^('MF Releasing'!CF$3-1)))*$C12)</f>
        <v/>
      </c>
      <c r="CG12" s="149" t="str">
        <f>IF($B12=0,"",('MF Rollover'!CF12*($P12*(1+'Property Summary'!$L$22)^('MF Releasing'!CG$3-1)))*$C12)</f>
        <v/>
      </c>
      <c r="CH12" s="149" t="str">
        <f>IF($B12=0,"",('MF Rollover'!CG12*($P12*(1+'Property Summary'!$L$22)^('MF Releasing'!CH$3-1)))*$C12)</f>
        <v/>
      </c>
      <c r="CI12" s="149" t="str">
        <f>IF($B12=0,"",('MF Rollover'!CH12*($P12*(1+'Property Summary'!$L$22)^('MF Releasing'!CI$3-1)))*$C12)</f>
        <v/>
      </c>
      <c r="CJ12" s="149" t="str">
        <f>IF($B12=0,"",('MF Rollover'!CI12*($P12*(1+'Property Summary'!$L$22)^('MF Releasing'!CJ$3-1)))*$C12)</f>
        <v/>
      </c>
      <c r="CK12" s="149" t="str">
        <f>IF($B12=0,"",('MF Rollover'!CJ12*($P12*(1+'Property Summary'!$L$22)^('MF Releasing'!CK$3-1)))*$C12)</f>
        <v/>
      </c>
      <c r="CL12" s="149" t="str">
        <f>IF($B12=0,"",('MF Rollover'!CK12*($P12*(1+'Property Summary'!$L$22)^('MF Releasing'!CL$3-1)))*$C12)</f>
        <v/>
      </c>
      <c r="CM12" s="149" t="str">
        <f>IF($B12=0,"",('MF Rollover'!CL12*($P12*(1+'Property Summary'!$L$22)^('MF Releasing'!CM$3-1)))*$C12)</f>
        <v/>
      </c>
      <c r="CN12" s="149" t="str">
        <f>IF($B12=0,"",('MF Rollover'!CM12*($P12*(1+'Property Summary'!$L$22)^('MF Releasing'!CN$3-1)))*$C12)</f>
        <v/>
      </c>
      <c r="CO12" s="149" t="str">
        <f>IF($B12=0,"",('MF Rollover'!CN12*($P12*(1+'Property Summary'!$L$22)^('MF Releasing'!CO$3-1)))*$C12)</f>
        <v/>
      </c>
      <c r="CP12" s="149" t="str">
        <f>IF($B12=0,"",('MF Rollover'!CO12*($P12*(1+'Property Summary'!$L$22)^('MF Releasing'!CP$3-1)))*$C12)</f>
        <v/>
      </c>
      <c r="CQ12" s="149" t="str">
        <f>IF($B12=0,"",('MF Rollover'!CP12*($P12*(1+'Property Summary'!$L$22)^('MF Releasing'!CQ$3-1)))*$C12)</f>
        <v/>
      </c>
      <c r="CR12" s="149" t="str">
        <f>IF($B12=0,"",('MF Rollover'!CQ12*($P12*(1+'Property Summary'!$L$22)^('MF Releasing'!CR$3-1)))*$C12)</f>
        <v/>
      </c>
      <c r="CS12" s="149" t="str">
        <f>IF($B12=0,"",('MF Rollover'!CR12*($P12*(1+'Property Summary'!$L$22)^('MF Releasing'!CS$3-1)))*$C12)</f>
        <v/>
      </c>
      <c r="CT12" s="149" t="str">
        <f>IF($B12=0,"",('MF Rollover'!CS12*($P12*(1+'Property Summary'!$L$22)^('MF Releasing'!CT$3-1)))*$C12)</f>
        <v/>
      </c>
      <c r="CU12" s="149" t="str">
        <f>IF($B12=0,"",('MF Rollover'!CT12*($P12*(1+'Property Summary'!$L$22)^('MF Releasing'!CU$3-1)))*$C12)</f>
        <v/>
      </c>
      <c r="CV12" s="149" t="str">
        <f>IF($B12=0,"",('MF Rollover'!CU12*($P12*(1+'Property Summary'!$L$22)^('MF Releasing'!CV$3-1)))*$C12)</f>
        <v/>
      </c>
      <c r="CW12" s="149" t="str">
        <f>IF($B12=0,"",('MF Rollover'!CV12*($P12*(1+'Property Summary'!$L$22)^('MF Releasing'!CW$3-1)))*$C12)</f>
        <v/>
      </c>
      <c r="CX12" s="149" t="str">
        <f>IF($B12=0,"",('MF Rollover'!CW12*($P12*(1+'Property Summary'!$L$22)^('MF Releasing'!CX$3-1)))*$C12)</f>
        <v/>
      </c>
      <c r="CY12" s="149" t="str">
        <f>IF($B12=0,"",('MF Rollover'!CX12*($P12*(1+'Property Summary'!$L$22)^('MF Releasing'!CY$3-1)))*$C12)</f>
        <v/>
      </c>
      <c r="CZ12" s="149" t="str">
        <f>IF($B12=0,"",('MF Rollover'!CY12*($P12*(1+'Property Summary'!$L$22)^('MF Releasing'!CZ$3-1)))*$C12)</f>
        <v/>
      </c>
      <c r="DA12" s="149" t="str">
        <f>IF($B12=0,"",('MF Rollover'!CZ12*($P12*(1+'Property Summary'!$L$22)^('MF Releasing'!DA$3-1)))*$C12)</f>
        <v/>
      </c>
      <c r="DB12" s="149" t="str">
        <f>IF($B12=0,"",('MF Rollover'!DA12*($P12*(1+'Property Summary'!$L$22)^('MF Releasing'!DB$3-1)))*$C12)</f>
        <v/>
      </c>
      <c r="DC12" s="149" t="str">
        <f>IF($B12=0,"",('MF Rollover'!DB12*($P12*(1+'Property Summary'!$L$22)^('MF Releasing'!DC$3-1)))*$C12)</f>
        <v/>
      </c>
      <c r="DD12" s="149" t="str">
        <f>IF($B12=0,"",('MF Rollover'!DC12*($P12*(1+'Property Summary'!$L$22)^('MF Releasing'!DD$3-1)))*$C12)</f>
        <v/>
      </c>
      <c r="DE12" s="149" t="str">
        <f>IF($B12=0,"",('MF Rollover'!DD12*($P12*(1+'Property Summary'!$L$22)^('MF Releasing'!DE$3-1)))*$C12)</f>
        <v/>
      </c>
      <c r="DF12" s="149" t="str">
        <f>IF($B12=0,"",('MF Rollover'!DE12*($P12*(1+'Property Summary'!$L$22)^('MF Releasing'!DF$3-1)))*$C12)</f>
        <v/>
      </c>
      <c r="DG12" s="149" t="str">
        <f>IF($B12=0,"",('MF Rollover'!DF12*($P12*(1+'Property Summary'!$L$22)^('MF Releasing'!DG$3-1)))*$C12)</f>
        <v/>
      </c>
      <c r="DH12" s="149" t="str">
        <f>IF($B12=0,"",('MF Rollover'!DG12*($P12*(1+'Property Summary'!$L$22)^('MF Releasing'!DH$3-1)))*$C12)</f>
        <v/>
      </c>
      <c r="DI12" s="149" t="str">
        <f>IF($B12=0,"",('MF Rollover'!DH12*($P12*(1+'Property Summary'!$L$22)^('MF Releasing'!DI$3-1)))*$C12)</f>
        <v/>
      </c>
      <c r="DJ12" s="149" t="str">
        <f>IF($B12=0,"",('MF Rollover'!DI12*($P12*(1+'Property Summary'!$L$22)^('MF Releasing'!DJ$3-1)))*$C12)</f>
        <v/>
      </c>
      <c r="DK12" s="149" t="str">
        <f>IF($B12=0,"",('MF Rollover'!DJ12*($P12*(1+'Property Summary'!$L$22)^('MF Releasing'!DK$3-1)))*$C12)</f>
        <v/>
      </c>
      <c r="DL12" s="149" t="str">
        <f>IF($B12=0,"",('MF Rollover'!DK12*($P12*(1+'Property Summary'!$L$22)^('MF Releasing'!DL$3-1)))*$C12)</f>
        <v/>
      </c>
      <c r="DM12" s="149" t="str">
        <f>IF($B12=0,"",('MF Rollover'!DL12*($P12*(1+'Property Summary'!$L$22)^('MF Releasing'!DM$3-1)))*$C12)</f>
        <v/>
      </c>
      <c r="DN12" s="149" t="str">
        <f>IF($B12=0,"",('MF Rollover'!DM12*($P12*(1+'Property Summary'!$L$22)^('MF Releasing'!DN$3-1)))*$C12)</f>
        <v/>
      </c>
      <c r="DO12" s="149" t="str">
        <f>IF($B12=0,"",('MF Rollover'!DN12*($P12*(1+'Property Summary'!$L$22)^('MF Releasing'!DO$3-1)))*$C12)</f>
        <v/>
      </c>
      <c r="DP12" s="149" t="str">
        <f>IF($B12=0,"",('MF Rollover'!DO12*($P12*(1+'Property Summary'!$L$22)^('MF Releasing'!DP$3-1)))*$C12)</f>
        <v/>
      </c>
      <c r="DQ12" s="149" t="str">
        <f>IF($B12=0,"",('MF Rollover'!DP12*($P12*(1+'Property Summary'!$L$22)^('MF Releasing'!DQ$3-1)))*$C12)</f>
        <v/>
      </c>
      <c r="DR12" s="149" t="str">
        <f>IF($B12=0,"",('MF Rollover'!DQ12*($P12*(1+'Property Summary'!$L$22)^('MF Releasing'!DR$3-1)))*$C12)</f>
        <v/>
      </c>
      <c r="DS12" s="149" t="str">
        <f>IF($B12=0,"",('MF Rollover'!DR12*($P12*(1+'Property Summary'!$L$22)^('MF Releasing'!DS$3-1)))*$C12)</f>
        <v/>
      </c>
      <c r="DT12" s="149" t="str">
        <f>IF($B12=0,"",('MF Rollover'!DS12*($P12*(1+'Property Summary'!$L$22)^('MF Releasing'!DT$3-1)))*$C12)</f>
        <v/>
      </c>
      <c r="DU12" s="149" t="str">
        <f>IF($B12=0,"",('MF Rollover'!DT12*($P12*(1+'Property Summary'!$L$22)^('MF Releasing'!DU$3-1)))*$C12)</f>
        <v/>
      </c>
      <c r="DV12" s="149" t="str">
        <f>IF($B12=0,"",('MF Rollover'!DU12*($P12*(1+'Property Summary'!$L$22)^('MF Releasing'!DV$3-1)))*$C12)</f>
        <v/>
      </c>
      <c r="DW12" s="149" t="str">
        <f>IF($B12=0,"",('MF Rollover'!DV12*($P12*(1+'Property Summary'!$L$22)^('MF Releasing'!DW$3-1)))*$C12)</f>
        <v/>
      </c>
      <c r="DX12" s="149" t="str">
        <f>IF($B12=0,"",('MF Rollover'!DW12*($P12*(1+'Property Summary'!$L$22)^('MF Releasing'!DX$3-1)))*$C12)</f>
        <v/>
      </c>
      <c r="DY12" s="149" t="str">
        <f>IF($B12=0,"",('MF Rollover'!DX12*($P12*(1+'Property Summary'!$L$22)^('MF Releasing'!DY$3-1)))*$C12)</f>
        <v/>
      </c>
      <c r="DZ12" s="149" t="str">
        <f>IF($B12=0,"",('MF Rollover'!DY12*($P12*(1+'Property Summary'!$L$22)^('MF Releasing'!DZ$3-1)))*$C12)</f>
        <v/>
      </c>
      <c r="EA12" s="149" t="str">
        <f>IF($B12=0,"",('MF Rollover'!DZ12*($P12*(1+'Property Summary'!$L$22)^('MF Releasing'!EA$3-1)))*$C12)</f>
        <v/>
      </c>
      <c r="EB12" s="149" t="str">
        <f>IF($B12=0,"",('MF Rollover'!EA12*($P12*(1+'Property Summary'!$L$22)^('MF Releasing'!EB$3-1)))*$C12)</f>
        <v/>
      </c>
      <c r="EC12" s="149" t="str">
        <f>IF($B12=0,"",('MF Rollover'!EB12*($P12*(1+'Property Summary'!$L$22)^('MF Releasing'!EC$3-1)))*$C12)</f>
        <v/>
      </c>
      <c r="ED12" s="149" t="str">
        <f>IF($B12=0,"",('MF Rollover'!EC12*($P12*(1+'Property Summary'!$L$22)^('MF Releasing'!ED$3-1)))*$C12)</f>
        <v/>
      </c>
      <c r="EE12" s="149" t="str">
        <f>IF($B12=0,"",('MF Rollover'!ED12*($P12*(1+'Property Summary'!$L$22)^('MF Releasing'!EE$3-1)))*$C12)</f>
        <v/>
      </c>
      <c r="EF12" s="149" t="str">
        <f>IF($B12=0,"",('MF Rollover'!EE12*($P12*(1+'Property Summary'!$L$22)^('MF Releasing'!EF$3-1)))*$C12)</f>
        <v/>
      </c>
      <c r="EG12" s="149" t="str">
        <f>IF($B12=0,"",('MF Rollover'!EF12*($P12*(1+'Property Summary'!$L$22)^('MF Releasing'!EG$3-1)))*$C12)</f>
        <v/>
      </c>
      <c r="EH12" s="149" t="str">
        <f>IF($B12=0,"",('MF Rollover'!EG12*($P12*(1+'Property Summary'!$L$22)^('MF Releasing'!EH$3-1)))*$C12)</f>
        <v/>
      </c>
      <c r="EI12" s="149" t="str">
        <f>IF($B12=0,"",('MF Rollover'!EH12*($P12*(1+'Property Summary'!$L$22)^('MF Releasing'!EI$3-1)))*$C12)</f>
        <v/>
      </c>
      <c r="EJ12" s="149" t="str">
        <f>IF($B12=0,"",('MF Rollover'!EI12*($P12*(1+'Property Summary'!$L$22)^('MF Releasing'!EJ$3-1)))*$C12)</f>
        <v/>
      </c>
      <c r="EK12" s="149" t="str">
        <f>IF($B12=0,"",('MF Rollover'!EJ12*($P12*(1+'Property Summary'!$L$22)^('MF Releasing'!EK$3-1)))*$C12)</f>
        <v/>
      </c>
      <c r="EL12" s="149" t="str">
        <f>IF($B12=0,"",('MF Rollover'!EK12*($P12*(1+'Property Summary'!$L$22)^('MF Releasing'!EL$3-1)))*$C12)</f>
        <v/>
      </c>
      <c r="EM12" s="149" t="str">
        <f>IF($B12=0,"",('MF Rollover'!EL12*($P12*(1+'Property Summary'!$L$22)^('MF Releasing'!EM$3-1)))*$C12)</f>
        <v/>
      </c>
      <c r="EN12" s="149" t="str">
        <f>IF($B12=0,"",('MF Rollover'!EM12*($P12*(1+'Property Summary'!$L$22)^('MF Releasing'!EN$3-1)))*$C12)</f>
        <v/>
      </c>
      <c r="EO12" s="149" t="str">
        <f>IF($B12=0,"",('MF Rollover'!EN12*($P12*(1+'Property Summary'!$L$22)^('MF Releasing'!EO$3-1)))*$C12)</f>
        <v/>
      </c>
      <c r="EP12" s="149" t="str">
        <f>IF($B12=0,"",('MF Rollover'!EO12*($P12*(1+'Property Summary'!$L$22)^('MF Releasing'!EP$3-1)))*$C12)</f>
        <v/>
      </c>
      <c r="EQ12" s="149" t="str">
        <f>IF($B12=0,"",('MF Rollover'!EP12*($P12*(1+'Property Summary'!$L$22)^('MF Releasing'!EQ$3-1)))*$C12)</f>
        <v/>
      </c>
      <c r="ER12" s="149" t="str">
        <f>IF($B12=0,"",('MF Rollover'!EQ12*($P12*(1+'Property Summary'!$L$22)^('MF Releasing'!ER$3-1)))*$C12)</f>
        <v/>
      </c>
      <c r="ES12" s="149" t="str">
        <f>IF($B12=0,"",('MF Rollover'!ER12*($P12*(1+'Property Summary'!$L$22)^('MF Releasing'!ES$3-1)))*$C12)</f>
        <v/>
      </c>
      <c r="ET12" s="149" t="str">
        <f>IF($B12=0,"",('MF Rollover'!ES12*($P12*(1+'Property Summary'!$L$22)^('MF Releasing'!ET$3-1)))*$C12)</f>
        <v/>
      </c>
      <c r="EU12" s="149" t="str">
        <f>IF($B12=0,"",('MF Rollover'!ET12*($P12*(1+'Property Summary'!$L$22)^('MF Releasing'!EU$3-1)))*$C12)</f>
        <v/>
      </c>
      <c r="EV12" s="149" t="str">
        <f>IF($B12=0,"",('MF Rollover'!EU12*($P12*(1+'Property Summary'!$L$22)^('MF Releasing'!EV$3-1)))*$C12)</f>
        <v/>
      </c>
      <c r="EW12" s="149" t="str">
        <f>IF($B12=0,"",('MF Rollover'!EV12*($P12*(1+'Property Summary'!$L$22)^('MF Releasing'!EW$3-1)))*$C12)</f>
        <v/>
      </c>
      <c r="EX12" s="149" t="str">
        <f>IF($B12=0,"",('MF Rollover'!EW12*($P12*(1+'Property Summary'!$L$22)^('MF Releasing'!EX$3-1)))*$C12)</f>
        <v/>
      </c>
      <c r="EY12" s="149" t="str">
        <f>IF($B12=0,"",('MF Rollover'!EX12*($P12*(1+'Property Summary'!$L$22)^('MF Releasing'!EY$3-1)))*$C12)</f>
        <v/>
      </c>
      <c r="EZ12" s="149" t="str">
        <f>IF($B12=0,"",('MF Rollover'!EY12*($P12*(1+'Property Summary'!$L$22)^('MF Releasing'!EZ$3-1)))*$C12)</f>
        <v/>
      </c>
      <c r="FA12" s="149" t="str">
        <f>IF($B12=0,"",('MF Rollover'!EZ12*($P12*(1+'Property Summary'!$L$22)^('MF Releasing'!FA$3-1)))*$C12)</f>
        <v/>
      </c>
      <c r="FB12" s="149" t="str">
        <f>IF($B12=0,"",('MF Rollover'!FA12*($P12*(1+'Property Summary'!$L$22)^('MF Releasing'!FB$3-1)))*$C12)</f>
        <v/>
      </c>
      <c r="FC12" s="149" t="str">
        <f>IF($B12=0,"",('MF Rollover'!FB12*($P12*(1+'Property Summary'!$L$22)^('MF Releasing'!FC$3-1)))*$C12)</f>
        <v/>
      </c>
      <c r="FD12" s="149" t="str">
        <f>IF($B12=0,"",('MF Rollover'!FC12*($P12*(1+'Property Summary'!$L$22)^('MF Releasing'!FD$3-1)))*$C12)</f>
        <v/>
      </c>
      <c r="FE12" s="149" t="str">
        <f>IF($B12=0,"",('MF Rollover'!FD12*($P12*(1+'Property Summary'!$L$22)^('MF Releasing'!FE$3-1)))*$C12)</f>
        <v/>
      </c>
      <c r="FF12" s="149" t="str">
        <f>IF($B12=0,"",('MF Rollover'!FE12*($P12*(1+'Property Summary'!$L$22)^('MF Releasing'!FF$3-1)))*$C12)</f>
        <v/>
      </c>
      <c r="FG12" s="149" t="str">
        <f>IF($B12=0,"",('MF Rollover'!FF12*($P12*(1+'Property Summary'!$L$22)^('MF Releasing'!FG$3-1)))*$C12)</f>
        <v/>
      </c>
      <c r="FH12" s="149" t="str">
        <f>IF($B12=0,"",('MF Rollover'!FG12*($P12*(1+'Property Summary'!$L$22)^('MF Releasing'!FH$3-1)))*$C12)</f>
        <v/>
      </c>
      <c r="FI12" s="149" t="str">
        <f>IF($B12=0,"",('MF Rollover'!FH12*($P12*(1+'Property Summary'!$L$22)^('MF Releasing'!FI$3-1)))*$C12)</f>
        <v/>
      </c>
      <c r="FJ12" s="149" t="str">
        <f>IF($B12=0,"",('MF Rollover'!FI12*($P12*(1+'Property Summary'!$L$22)^('MF Releasing'!FJ$3-1)))*$C12)</f>
        <v/>
      </c>
      <c r="FK12" s="149" t="str">
        <f>IF($B12=0,"",('MF Rollover'!FJ12*($P12*(1+'Property Summary'!$L$22)^('MF Releasing'!FK$3-1)))*$C12)</f>
        <v/>
      </c>
      <c r="FL12" s="149" t="str">
        <f>IF($B12=0,"",('MF Rollover'!FK12*($P12*(1+'Property Summary'!$L$22)^('MF Releasing'!FL$3-1)))*$C12)</f>
        <v/>
      </c>
      <c r="FM12" s="149" t="str">
        <f>IF($B12=0,"",('MF Rollover'!FL12*($P12*(1+'Property Summary'!$L$22)^('MF Releasing'!FM$3-1)))*$C12)</f>
        <v/>
      </c>
      <c r="FN12" s="149" t="str">
        <f>IF($B12=0,"",('MF Rollover'!FM12*($P12*(1+'Property Summary'!$L$22)^('MF Releasing'!FN$3-1)))*$C12)</f>
        <v/>
      </c>
      <c r="FO12" s="149" t="str">
        <f>IF($B12=0,"",('MF Rollover'!FN12*($P12*(1+'Property Summary'!$L$22)^('MF Releasing'!FO$3-1)))*$C12)</f>
        <v/>
      </c>
      <c r="FP12" s="149" t="str">
        <f>IF($B12=0,"",('MF Rollover'!FO12*($P12*(1+'Property Summary'!$L$22)^('MF Releasing'!FP$3-1)))*$C12)</f>
        <v/>
      </c>
      <c r="FQ12" s="149" t="str">
        <f>IF($B12=0,"",('MF Rollover'!FP12*($P12*(1+'Property Summary'!$L$22)^('MF Releasing'!FQ$3-1)))*$C12)</f>
        <v/>
      </c>
      <c r="FR12" s="149" t="str">
        <f>IF($B12=0,"",('MF Rollover'!FQ12*($P12*(1+'Property Summary'!$L$22)^('MF Releasing'!FR$3-1)))*$C12)</f>
        <v/>
      </c>
      <c r="FS12" s="149" t="str">
        <f>IF($B12=0,"",('MF Rollover'!FR12*($P12*(1+'Property Summary'!$L$22)^('MF Releasing'!FS$3-1)))*$C12)</f>
        <v/>
      </c>
      <c r="FT12" s="149" t="str">
        <f>IF($B12=0,"",('MF Rollover'!FS12*($P12*(1+'Property Summary'!$L$22)^('MF Releasing'!FT$3-1)))*$C12)</f>
        <v/>
      </c>
      <c r="FU12" s="149" t="str">
        <f>IF($B12=0,"",('MF Rollover'!FT12*($P12*(1+'Property Summary'!$L$22)^('MF Releasing'!FU$3-1)))*$C12)</f>
        <v/>
      </c>
      <c r="FV12" s="149" t="str">
        <f>IF($B12=0,"",('MF Rollover'!FU12*($P12*(1+'Property Summary'!$L$22)^('MF Releasing'!FV$3-1)))*$C12)</f>
        <v/>
      </c>
      <c r="FW12" s="149" t="str">
        <f>IF($B12=0,"",('MF Rollover'!FV12*($P12*(1+'Property Summary'!$L$22)^('MF Releasing'!FW$3-1)))*$C12)</f>
        <v/>
      </c>
      <c r="FX12" s="149" t="str">
        <f>IF($B12=0,"",('MF Rollover'!FW12*($P12*(1+'Property Summary'!$L$22)^('MF Releasing'!FX$3-1)))*$C12)</f>
        <v/>
      </c>
      <c r="FY12" s="149" t="str">
        <f>IF($B12=0,"",('MF Rollover'!FX12*($P12*(1+'Property Summary'!$L$22)^('MF Releasing'!FY$3-1)))*$C12)</f>
        <v/>
      </c>
      <c r="FZ12" s="149" t="str">
        <f>IF($B12=0,"",('MF Rollover'!FY12*($P12*(1+'Property Summary'!$L$22)^('MF Releasing'!FZ$3-1)))*$C12)</f>
        <v/>
      </c>
      <c r="GA12" s="149" t="str">
        <f>IF($B12=0,"",('MF Rollover'!FZ12*($P12*(1+'Property Summary'!$L$22)^('MF Releasing'!GA$3-1)))*$C12)</f>
        <v/>
      </c>
      <c r="GB12" s="149" t="str">
        <f>IF($B12=0,"",('MF Rollover'!GA12*($P12*(1+'Property Summary'!$L$22)^('MF Releasing'!GB$3-1)))*$C12)</f>
        <v/>
      </c>
      <c r="GC12" s="149" t="str">
        <f>IF($B12=0,"",('MF Rollover'!GB12*($P12*(1+'Property Summary'!$L$22)^('MF Releasing'!GC$3-1)))*$C12)</f>
        <v/>
      </c>
      <c r="GD12" s="149" t="str">
        <f>IF($B12=0,"",('MF Rollover'!GC12*($P12*(1+'Property Summary'!$L$22)^('MF Releasing'!GD$3-1)))*$C12)</f>
        <v/>
      </c>
      <c r="GE12" s="149" t="str">
        <f>IF($B12=0,"",('MF Rollover'!GD12*($P12*(1+'Property Summary'!$L$22)^('MF Releasing'!GE$3-1)))*$C12)</f>
        <v/>
      </c>
      <c r="GF12" s="149" t="str">
        <f>IF($B12=0,"",('MF Rollover'!GE12*($P12*(1+'Property Summary'!$L$22)^('MF Releasing'!GF$3-1)))*$C12)</f>
        <v/>
      </c>
      <c r="GG12" s="149" t="str">
        <f>IF($B12=0,"",('MF Rollover'!GF12*($P12*(1+'Property Summary'!$L$22)^('MF Releasing'!GG$3-1)))*$C12)</f>
        <v/>
      </c>
      <c r="GH12" s="149" t="str">
        <f>IF($B12=0,"",('MF Rollover'!GG12*($P12*(1+'Property Summary'!$L$22)^('MF Releasing'!GH$3-1)))*$C12)</f>
        <v/>
      </c>
      <c r="GI12" s="149" t="str">
        <f>IF($B12=0,"",('MF Rollover'!GH12*($P12*(1+'Property Summary'!$L$22)^('MF Releasing'!GI$3-1)))*$C12)</f>
        <v/>
      </c>
      <c r="GJ12" s="149" t="str">
        <f>IF($B12=0,"",('MF Rollover'!GI12*($P12*(1+'Property Summary'!$L$22)^('MF Releasing'!GJ$3-1)))*$C12)</f>
        <v/>
      </c>
      <c r="GK12" s="149" t="str">
        <f>IF($B12=0,"",('MF Rollover'!GJ12*($P12*(1+'Property Summary'!$L$22)^('MF Releasing'!GK$3-1)))*$C12)</f>
        <v/>
      </c>
      <c r="GL12" s="149" t="str">
        <f>IF($B12=0,"",('MF Rollover'!GK12*($P12*(1+'Property Summary'!$L$22)^('MF Releasing'!GL$3-1)))*$C12)</f>
        <v/>
      </c>
      <c r="GM12" s="149" t="str">
        <f>IF($B12=0,"",('MF Rollover'!GL12*($P12*(1+'Property Summary'!$L$22)^('MF Releasing'!GM$3-1)))*$C12)</f>
        <v/>
      </c>
      <c r="GN12" s="149" t="str">
        <f>IF($B12=0,"",('MF Rollover'!GM12*($P12*(1+'Property Summary'!$L$22)^('MF Releasing'!GN$3-1)))*$C12)</f>
        <v/>
      </c>
      <c r="GO12" s="149" t="str">
        <f>IF($B12=0,"",('MF Rollover'!GN12*($P12*(1+'Property Summary'!$L$22)^('MF Releasing'!GO$3-1)))*$C12)</f>
        <v/>
      </c>
      <c r="GP12" s="149" t="str">
        <f>IF($B12=0,"",('MF Rollover'!GO12*($P12*(1+'Property Summary'!$L$22)^('MF Releasing'!GP$3-1)))*$C12)</f>
        <v/>
      </c>
    </row>
    <row r="13" spans="2:198" x14ac:dyDescent="0.3">
      <c r="B13" s="184">
        <f>'MF Rent Roll'!B12</f>
        <v>0</v>
      </c>
      <c r="C13" s="171">
        <f>'MF Rent Roll'!C12</f>
        <v>0</v>
      </c>
      <c r="D13" s="172">
        <f>'MF Rent Roll'!D12</f>
        <v>0</v>
      </c>
      <c r="E13" s="172">
        <f>'MF Rent Roll'!E12</f>
        <v>0</v>
      </c>
      <c r="F13" s="173">
        <f>'MF Rent Roll'!F12</f>
        <v>0</v>
      </c>
      <c r="G13" s="174">
        <f>'MF Rent Roll'!G12</f>
        <v>0</v>
      </c>
      <c r="H13" s="176">
        <f>'MF Rent Roll'!J12</f>
        <v>0</v>
      </c>
      <c r="I13" s="174">
        <f>'MF Rent Roll'!K12</f>
        <v>0</v>
      </c>
      <c r="J13" s="177">
        <f>'MF Rent Roll'!L12</f>
        <v>0</v>
      </c>
      <c r="K13" s="178">
        <f>'MF Rent Roll'!M12</f>
        <v>0</v>
      </c>
      <c r="L13" s="174">
        <f>'MF Rent Roll'!N12</f>
        <v>0</v>
      </c>
      <c r="M13" s="179">
        <f>'MF Rent Roll'!O12</f>
        <v>0</v>
      </c>
      <c r="N13" s="180" t="str">
        <f>'MF Rent Roll'!P12</f>
        <v/>
      </c>
      <c r="O13" s="181" t="str">
        <f>'MF Rent Roll'!Q12</f>
        <v/>
      </c>
      <c r="P13" s="104" t="str">
        <f>'MF Rent Roll'!R12</f>
        <v/>
      </c>
      <c r="S13" s="149" t="str">
        <f>IF($B13=0,"",('MF Rollover'!R13*($P13*(1+'Property Summary'!$L$22)^('MF Releasing'!S$3-1)))*$C13)</f>
        <v/>
      </c>
      <c r="T13" s="149" t="str">
        <f>IF($B13=0,"",('MF Rollover'!S13*($P13*(1+'Property Summary'!$L$22)^('MF Releasing'!T$3-1)))*$C13)</f>
        <v/>
      </c>
      <c r="U13" s="149" t="str">
        <f>IF($B13=0,"",('MF Rollover'!T13*($P13*(1+'Property Summary'!$L$22)^('MF Releasing'!U$3-1)))*$C13)</f>
        <v/>
      </c>
      <c r="V13" s="149" t="str">
        <f>IF($B13=0,"",('MF Rollover'!U13*($P13*(1+'Property Summary'!$L$22)^('MF Releasing'!V$3-1)))*$C13)</f>
        <v/>
      </c>
      <c r="W13" s="149" t="str">
        <f>IF($B13=0,"",('MF Rollover'!V13*($P13*(1+'Property Summary'!$L$22)^('MF Releasing'!W$3-1)))*$C13)</f>
        <v/>
      </c>
      <c r="X13" s="149" t="str">
        <f>IF($B13=0,"",('MF Rollover'!W13*($P13*(1+'Property Summary'!$L$22)^('MF Releasing'!X$3-1)))*$C13)</f>
        <v/>
      </c>
      <c r="Y13" s="149" t="str">
        <f>IF($B13=0,"",('MF Rollover'!X13*($P13*(1+'Property Summary'!$L$22)^('MF Releasing'!Y$3-1)))*$C13)</f>
        <v/>
      </c>
      <c r="Z13" s="149" t="str">
        <f>IF($B13=0,"",('MF Rollover'!Y13*($P13*(1+'Property Summary'!$L$22)^('MF Releasing'!Z$3-1)))*$C13)</f>
        <v/>
      </c>
      <c r="AA13" s="149" t="str">
        <f>IF($B13=0,"",('MF Rollover'!Z13*($P13*(1+'Property Summary'!$L$22)^('MF Releasing'!AA$3-1)))*$C13)</f>
        <v/>
      </c>
      <c r="AB13" s="149" t="str">
        <f>IF($B13=0,"",('MF Rollover'!AA13*($P13*(1+'Property Summary'!$L$22)^('MF Releasing'!AB$3-1)))*$C13)</f>
        <v/>
      </c>
      <c r="AC13" s="149" t="str">
        <f>IF($B13=0,"",('MF Rollover'!AB13*($P13*(1+'Property Summary'!$L$22)^('MF Releasing'!AC$3-1)))*$C13)</f>
        <v/>
      </c>
      <c r="AD13" s="149" t="str">
        <f>IF($B13=0,"",('MF Rollover'!AC13*($P13*(1+'Property Summary'!$L$22)^('MF Releasing'!AD$3-1)))*$C13)</f>
        <v/>
      </c>
      <c r="AE13" s="149" t="str">
        <f>IF($B13=0,"",('MF Rollover'!AD13*($P13*(1+'Property Summary'!$L$22)^('MF Releasing'!AE$3-1)))*$C13)</f>
        <v/>
      </c>
      <c r="AF13" s="149" t="str">
        <f>IF($B13=0,"",('MF Rollover'!AE13*($P13*(1+'Property Summary'!$L$22)^('MF Releasing'!AF$3-1)))*$C13)</f>
        <v/>
      </c>
      <c r="AG13" s="149" t="str">
        <f>IF($B13=0,"",('MF Rollover'!AF13*($P13*(1+'Property Summary'!$L$22)^('MF Releasing'!AG$3-1)))*$C13)</f>
        <v/>
      </c>
      <c r="AH13" s="149" t="str">
        <f>IF($B13=0,"",('MF Rollover'!AG13*($P13*(1+'Property Summary'!$L$22)^('MF Releasing'!AH$3-1)))*$C13)</f>
        <v/>
      </c>
      <c r="AI13" s="149" t="str">
        <f>IF($B13=0,"",('MF Rollover'!AH13*($P13*(1+'Property Summary'!$L$22)^('MF Releasing'!AI$3-1)))*$C13)</f>
        <v/>
      </c>
      <c r="AJ13" s="149" t="str">
        <f>IF($B13=0,"",('MF Rollover'!AI13*($P13*(1+'Property Summary'!$L$22)^('MF Releasing'!AJ$3-1)))*$C13)</f>
        <v/>
      </c>
      <c r="AK13" s="149" t="str">
        <f>IF($B13=0,"",('MF Rollover'!AJ13*($P13*(1+'Property Summary'!$L$22)^('MF Releasing'!AK$3-1)))*$C13)</f>
        <v/>
      </c>
      <c r="AL13" s="149" t="str">
        <f>IF($B13=0,"",('MF Rollover'!AK13*($P13*(1+'Property Summary'!$L$22)^('MF Releasing'!AL$3-1)))*$C13)</f>
        <v/>
      </c>
      <c r="AM13" s="149" t="str">
        <f>IF($B13=0,"",('MF Rollover'!AL13*($P13*(1+'Property Summary'!$L$22)^('MF Releasing'!AM$3-1)))*$C13)</f>
        <v/>
      </c>
      <c r="AN13" s="149" t="str">
        <f>IF($B13=0,"",('MF Rollover'!AM13*($P13*(1+'Property Summary'!$L$22)^('MF Releasing'!AN$3-1)))*$C13)</f>
        <v/>
      </c>
      <c r="AO13" s="149" t="str">
        <f>IF($B13=0,"",('MF Rollover'!AN13*($P13*(1+'Property Summary'!$L$22)^('MF Releasing'!AO$3-1)))*$C13)</f>
        <v/>
      </c>
      <c r="AP13" s="149" t="str">
        <f>IF($B13=0,"",('MF Rollover'!AO13*($P13*(1+'Property Summary'!$L$22)^('MF Releasing'!AP$3-1)))*$C13)</f>
        <v/>
      </c>
      <c r="AQ13" s="149" t="str">
        <f>IF($B13=0,"",('MF Rollover'!AP13*($P13*(1+'Property Summary'!$L$22)^('MF Releasing'!AQ$3-1)))*$C13)</f>
        <v/>
      </c>
      <c r="AR13" s="149" t="str">
        <f>IF($B13=0,"",('MF Rollover'!AQ13*($P13*(1+'Property Summary'!$L$22)^('MF Releasing'!AR$3-1)))*$C13)</f>
        <v/>
      </c>
      <c r="AS13" s="149" t="str">
        <f>IF($B13=0,"",('MF Rollover'!AR13*($P13*(1+'Property Summary'!$L$22)^('MF Releasing'!AS$3-1)))*$C13)</f>
        <v/>
      </c>
      <c r="AT13" s="149" t="str">
        <f>IF($B13=0,"",('MF Rollover'!AS13*($P13*(1+'Property Summary'!$L$22)^('MF Releasing'!AT$3-1)))*$C13)</f>
        <v/>
      </c>
      <c r="AU13" s="149" t="str">
        <f>IF($B13=0,"",('MF Rollover'!AT13*($P13*(1+'Property Summary'!$L$22)^('MF Releasing'!AU$3-1)))*$C13)</f>
        <v/>
      </c>
      <c r="AV13" s="149" t="str">
        <f>IF($B13=0,"",('MF Rollover'!AU13*($P13*(1+'Property Summary'!$L$22)^('MF Releasing'!AV$3-1)))*$C13)</f>
        <v/>
      </c>
      <c r="AW13" s="149" t="str">
        <f>IF($B13=0,"",('MF Rollover'!AV13*($P13*(1+'Property Summary'!$L$22)^('MF Releasing'!AW$3-1)))*$C13)</f>
        <v/>
      </c>
      <c r="AX13" s="149" t="str">
        <f>IF($B13=0,"",('MF Rollover'!AW13*($P13*(1+'Property Summary'!$L$22)^('MF Releasing'!AX$3-1)))*$C13)</f>
        <v/>
      </c>
      <c r="AY13" s="149" t="str">
        <f>IF($B13=0,"",('MF Rollover'!AX13*($P13*(1+'Property Summary'!$L$22)^('MF Releasing'!AY$3-1)))*$C13)</f>
        <v/>
      </c>
      <c r="AZ13" s="149" t="str">
        <f>IF($B13=0,"",('MF Rollover'!AY13*($P13*(1+'Property Summary'!$L$22)^('MF Releasing'!AZ$3-1)))*$C13)</f>
        <v/>
      </c>
      <c r="BA13" s="149" t="str">
        <f>IF($B13=0,"",('MF Rollover'!AZ13*($P13*(1+'Property Summary'!$L$22)^('MF Releasing'!BA$3-1)))*$C13)</f>
        <v/>
      </c>
      <c r="BB13" s="149" t="str">
        <f>IF($B13=0,"",('MF Rollover'!BA13*($P13*(1+'Property Summary'!$L$22)^('MF Releasing'!BB$3-1)))*$C13)</f>
        <v/>
      </c>
      <c r="BC13" s="149" t="str">
        <f>IF($B13=0,"",('MF Rollover'!BB13*($P13*(1+'Property Summary'!$L$22)^('MF Releasing'!BC$3-1)))*$C13)</f>
        <v/>
      </c>
      <c r="BD13" s="149" t="str">
        <f>IF($B13=0,"",('MF Rollover'!BC13*($P13*(1+'Property Summary'!$L$22)^('MF Releasing'!BD$3-1)))*$C13)</f>
        <v/>
      </c>
      <c r="BE13" s="149" t="str">
        <f>IF($B13=0,"",('MF Rollover'!BD13*($P13*(1+'Property Summary'!$L$22)^('MF Releasing'!BE$3-1)))*$C13)</f>
        <v/>
      </c>
      <c r="BF13" s="149" t="str">
        <f>IF($B13=0,"",('MF Rollover'!BE13*($P13*(1+'Property Summary'!$L$22)^('MF Releasing'!BF$3-1)))*$C13)</f>
        <v/>
      </c>
      <c r="BG13" s="149" t="str">
        <f>IF($B13=0,"",('MF Rollover'!BF13*($P13*(1+'Property Summary'!$L$22)^('MF Releasing'!BG$3-1)))*$C13)</f>
        <v/>
      </c>
      <c r="BH13" s="149" t="str">
        <f>IF($B13=0,"",('MF Rollover'!BG13*($P13*(1+'Property Summary'!$L$22)^('MF Releasing'!BH$3-1)))*$C13)</f>
        <v/>
      </c>
      <c r="BI13" s="149" t="str">
        <f>IF($B13=0,"",('MF Rollover'!BH13*($P13*(1+'Property Summary'!$L$22)^('MF Releasing'!BI$3-1)))*$C13)</f>
        <v/>
      </c>
      <c r="BJ13" s="149" t="str">
        <f>IF($B13=0,"",('MF Rollover'!BI13*($P13*(1+'Property Summary'!$L$22)^('MF Releasing'!BJ$3-1)))*$C13)</f>
        <v/>
      </c>
      <c r="BK13" s="149" t="str">
        <f>IF($B13=0,"",('MF Rollover'!BJ13*($P13*(1+'Property Summary'!$L$22)^('MF Releasing'!BK$3-1)))*$C13)</f>
        <v/>
      </c>
      <c r="BL13" s="149" t="str">
        <f>IF($B13=0,"",('MF Rollover'!BK13*($P13*(1+'Property Summary'!$L$22)^('MF Releasing'!BL$3-1)))*$C13)</f>
        <v/>
      </c>
      <c r="BM13" s="149" t="str">
        <f>IF($B13=0,"",('MF Rollover'!BL13*($P13*(1+'Property Summary'!$L$22)^('MF Releasing'!BM$3-1)))*$C13)</f>
        <v/>
      </c>
      <c r="BN13" s="149" t="str">
        <f>IF($B13=0,"",('MF Rollover'!BM13*($P13*(1+'Property Summary'!$L$22)^('MF Releasing'!BN$3-1)))*$C13)</f>
        <v/>
      </c>
      <c r="BO13" s="149" t="str">
        <f>IF($B13=0,"",('MF Rollover'!BN13*($P13*(1+'Property Summary'!$L$22)^('MF Releasing'!BO$3-1)))*$C13)</f>
        <v/>
      </c>
      <c r="BP13" s="149" t="str">
        <f>IF($B13=0,"",('MF Rollover'!BO13*($P13*(1+'Property Summary'!$L$22)^('MF Releasing'!BP$3-1)))*$C13)</f>
        <v/>
      </c>
      <c r="BQ13" s="149" t="str">
        <f>IF($B13=0,"",('MF Rollover'!BP13*($P13*(1+'Property Summary'!$L$22)^('MF Releasing'!BQ$3-1)))*$C13)</f>
        <v/>
      </c>
      <c r="BR13" s="149" t="str">
        <f>IF($B13=0,"",('MF Rollover'!BQ13*($P13*(1+'Property Summary'!$L$22)^('MF Releasing'!BR$3-1)))*$C13)</f>
        <v/>
      </c>
      <c r="BS13" s="149" t="str">
        <f>IF($B13=0,"",('MF Rollover'!BR13*($P13*(1+'Property Summary'!$L$22)^('MF Releasing'!BS$3-1)))*$C13)</f>
        <v/>
      </c>
      <c r="BT13" s="149" t="str">
        <f>IF($B13=0,"",('MF Rollover'!BS13*($P13*(1+'Property Summary'!$L$22)^('MF Releasing'!BT$3-1)))*$C13)</f>
        <v/>
      </c>
      <c r="BU13" s="149" t="str">
        <f>IF($B13=0,"",('MF Rollover'!BT13*($P13*(1+'Property Summary'!$L$22)^('MF Releasing'!BU$3-1)))*$C13)</f>
        <v/>
      </c>
      <c r="BV13" s="149" t="str">
        <f>IF($B13=0,"",('MF Rollover'!BU13*($P13*(1+'Property Summary'!$L$22)^('MF Releasing'!BV$3-1)))*$C13)</f>
        <v/>
      </c>
      <c r="BW13" s="149" t="str">
        <f>IF($B13=0,"",('MF Rollover'!BV13*($P13*(1+'Property Summary'!$L$22)^('MF Releasing'!BW$3-1)))*$C13)</f>
        <v/>
      </c>
      <c r="BX13" s="149" t="str">
        <f>IF($B13=0,"",('MF Rollover'!BW13*($P13*(1+'Property Summary'!$L$22)^('MF Releasing'!BX$3-1)))*$C13)</f>
        <v/>
      </c>
      <c r="BY13" s="149" t="str">
        <f>IF($B13=0,"",('MF Rollover'!BX13*($P13*(1+'Property Summary'!$L$22)^('MF Releasing'!BY$3-1)))*$C13)</f>
        <v/>
      </c>
      <c r="BZ13" s="149" t="str">
        <f>IF($B13=0,"",('MF Rollover'!BY13*($P13*(1+'Property Summary'!$L$22)^('MF Releasing'!BZ$3-1)))*$C13)</f>
        <v/>
      </c>
      <c r="CA13" s="149" t="str">
        <f>IF($B13=0,"",('MF Rollover'!BZ13*($P13*(1+'Property Summary'!$L$22)^('MF Releasing'!CA$3-1)))*$C13)</f>
        <v/>
      </c>
      <c r="CB13" s="149" t="str">
        <f>IF($B13=0,"",('MF Rollover'!CA13*($P13*(1+'Property Summary'!$L$22)^('MF Releasing'!CB$3-1)))*$C13)</f>
        <v/>
      </c>
      <c r="CC13" s="149" t="str">
        <f>IF($B13=0,"",('MF Rollover'!CB13*($P13*(1+'Property Summary'!$L$22)^('MF Releasing'!CC$3-1)))*$C13)</f>
        <v/>
      </c>
      <c r="CD13" s="149" t="str">
        <f>IF($B13=0,"",('MF Rollover'!CC13*($P13*(1+'Property Summary'!$L$22)^('MF Releasing'!CD$3-1)))*$C13)</f>
        <v/>
      </c>
      <c r="CE13" s="149" t="str">
        <f>IF($B13=0,"",('MF Rollover'!CD13*($P13*(1+'Property Summary'!$L$22)^('MF Releasing'!CE$3-1)))*$C13)</f>
        <v/>
      </c>
      <c r="CF13" s="149" t="str">
        <f>IF($B13=0,"",('MF Rollover'!CE13*($P13*(1+'Property Summary'!$L$22)^('MF Releasing'!CF$3-1)))*$C13)</f>
        <v/>
      </c>
      <c r="CG13" s="149" t="str">
        <f>IF($B13=0,"",('MF Rollover'!CF13*($P13*(1+'Property Summary'!$L$22)^('MF Releasing'!CG$3-1)))*$C13)</f>
        <v/>
      </c>
      <c r="CH13" s="149" t="str">
        <f>IF($B13=0,"",('MF Rollover'!CG13*($P13*(1+'Property Summary'!$L$22)^('MF Releasing'!CH$3-1)))*$C13)</f>
        <v/>
      </c>
      <c r="CI13" s="149" t="str">
        <f>IF($B13=0,"",('MF Rollover'!CH13*($P13*(1+'Property Summary'!$L$22)^('MF Releasing'!CI$3-1)))*$C13)</f>
        <v/>
      </c>
      <c r="CJ13" s="149" t="str">
        <f>IF($B13=0,"",('MF Rollover'!CI13*($P13*(1+'Property Summary'!$L$22)^('MF Releasing'!CJ$3-1)))*$C13)</f>
        <v/>
      </c>
      <c r="CK13" s="149" t="str">
        <f>IF($B13=0,"",('MF Rollover'!CJ13*($P13*(1+'Property Summary'!$L$22)^('MF Releasing'!CK$3-1)))*$C13)</f>
        <v/>
      </c>
      <c r="CL13" s="149" t="str">
        <f>IF($B13=0,"",('MF Rollover'!CK13*($P13*(1+'Property Summary'!$L$22)^('MF Releasing'!CL$3-1)))*$C13)</f>
        <v/>
      </c>
      <c r="CM13" s="149" t="str">
        <f>IF($B13=0,"",('MF Rollover'!CL13*($P13*(1+'Property Summary'!$L$22)^('MF Releasing'!CM$3-1)))*$C13)</f>
        <v/>
      </c>
      <c r="CN13" s="149" t="str">
        <f>IF($B13=0,"",('MF Rollover'!CM13*($P13*(1+'Property Summary'!$L$22)^('MF Releasing'!CN$3-1)))*$C13)</f>
        <v/>
      </c>
      <c r="CO13" s="149" t="str">
        <f>IF($B13=0,"",('MF Rollover'!CN13*($P13*(1+'Property Summary'!$L$22)^('MF Releasing'!CO$3-1)))*$C13)</f>
        <v/>
      </c>
      <c r="CP13" s="149" t="str">
        <f>IF($B13=0,"",('MF Rollover'!CO13*($P13*(1+'Property Summary'!$L$22)^('MF Releasing'!CP$3-1)))*$C13)</f>
        <v/>
      </c>
      <c r="CQ13" s="149" t="str">
        <f>IF($B13=0,"",('MF Rollover'!CP13*($P13*(1+'Property Summary'!$L$22)^('MF Releasing'!CQ$3-1)))*$C13)</f>
        <v/>
      </c>
      <c r="CR13" s="149" t="str">
        <f>IF($B13=0,"",('MF Rollover'!CQ13*($P13*(1+'Property Summary'!$L$22)^('MF Releasing'!CR$3-1)))*$C13)</f>
        <v/>
      </c>
      <c r="CS13" s="149" t="str">
        <f>IF($B13=0,"",('MF Rollover'!CR13*($P13*(1+'Property Summary'!$L$22)^('MF Releasing'!CS$3-1)))*$C13)</f>
        <v/>
      </c>
      <c r="CT13" s="149" t="str">
        <f>IF($B13=0,"",('MF Rollover'!CS13*($P13*(1+'Property Summary'!$L$22)^('MF Releasing'!CT$3-1)))*$C13)</f>
        <v/>
      </c>
      <c r="CU13" s="149" t="str">
        <f>IF($B13=0,"",('MF Rollover'!CT13*($P13*(1+'Property Summary'!$L$22)^('MF Releasing'!CU$3-1)))*$C13)</f>
        <v/>
      </c>
      <c r="CV13" s="149" t="str">
        <f>IF($B13=0,"",('MF Rollover'!CU13*($P13*(1+'Property Summary'!$L$22)^('MF Releasing'!CV$3-1)))*$C13)</f>
        <v/>
      </c>
      <c r="CW13" s="149" t="str">
        <f>IF($B13=0,"",('MF Rollover'!CV13*($P13*(1+'Property Summary'!$L$22)^('MF Releasing'!CW$3-1)))*$C13)</f>
        <v/>
      </c>
      <c r="CX13" s="149" t="str">
        <f>IF($B13=0,"",('MF Rollover'!CW13*($P13*(1+'Property Summary'!$L$22)^('MF Releasing'!CX$3-1)))*$C13)</f>
        <v/>
      </c>
      <c r="CY13" s="149" t="str">
        <f>IF($B13=0,"",('MF Rollover'!CX13*($P13*(1+'Property Summary'!$L$22)^('MF Releasing'!CY$3-1)))*$C13)</f>
        <v/>
      </c>
      <c r="CZ13" s="149" t="str">
        <f>IF($B13=0,"",('MF Rollover'!CY13*($P13*(1+'Property Summary'!$L$22)^('MF Releasing'!CZ$3-1)))*$C13)</f>
        <v/>
      </c>
      <c r="DA13" s="149" t="str">
        <f>IF($B13=0,"",('MF Rollover'!CZ13*($P13*(1+'Property Summary'!$L$22)^('MF Releasing'!DA$3-1)))*$C13)</f>
        <v/>
      </c>
      <c r="DB13" s="149" t="str">
        <f>IF($B13=0,"",('MF Rollover'!DA13*($P13*(1+'Property Summary'!$L$22)^('MF Releasing'!DB$3-1)))*$C13)</f>
        <v/>
      </c>
      <c r="DC13" s="149" t="str">
        <f>IF($B13=0,"",('MF Rollover'!DB13*($P13*(1+'Property Summary'!$L$22)^('MF Releasing'!DC$3-1)))*$C13)</f>
        <v/>
      </c>
      <c r="DD13" s="149" t="str">
        <f>IF($B13=0,"",('MF Rollover'!DC13*($P13*(1+'Property Summary'!$L$22)^('MF Releasing'!DD$3-1)))*$C13)</f>
        <v/>
      </c>
      <c r="DE13" s="149" t="str">
        <f>IF($B13=0,"",('MF Rollover'!DD13*($P13*(1+'Property Summary'!$L$22)^('MF Releasing'!DE$3-1)))*$C13)</f>
        <v/>
      </c>
      <c r="DF13" s="149" t="str">
        <f>IF($B13=0,"",('MF Rollover'!DE13*($P13*(1+'Property Summary'!$L$22)^('MF Releasing'!DF$3-1)))*$C13)</f>
        <v/>
      </c>
      <c r="DG13" s="149" t="str">
        <f>IF($B13=0,"",('MF Rollover'!DF13*($P13*(1+'Property Summary'!$L$22)^('MF Releasing'!DG$3-1)))*$C13)</f>
        <v/>
      </c>
      <c r="DH13" s="149" t="str">
        <f>IF($B13=0,"",('MF Rollover'!DG13*($P13*(1+'Property Summary'!$L$22)^('MF Releasing'!DH$3-1)))*$C13)</f>
        <v/>
      </c>
      <c r="DI13" s="149" t="str">
        <f>IF($B13=0,"",('MF Rollover'!DH13*($P13*(1+'Property Summary'!$L$22)^('MF Releasing'!DI$3-1)))*$C13)</f>
        <v/>
      </c>
      <c r="DJ13" s="149" t="str">
        <f>IF($B13=0,"",('MF Rollover'!DI13*($P13*(1+'Property Summary'!$L$22)^('MF Releasing'!DJ$3-1)))*$C13)</f>
        <v/>
      </c>
      <c r="DK13" s="149" t="str">
        <f>IF($B13=0,"",('MF Rollover'!DJ13*($P13*(1+'Property Summary'!$L$22)^('MF Releasing'!DK$3-1)))*$C13)</f>
        <v/>
      </c>
      <c r="DL13" s="149" t="str">
        <f>IF($B13=0,"",('MF Rollover'!DK13*($P13*(1+'Property Summary'!$L$22)^('MF Releasing'!DL$3-1)))*$C13)</f>
        <v/>
      </c>
      <c r="DM13" s="149" t="str">
        <f>IF($B13=0,"",('MF Rollover'!DL13*($P13*(1+'Property Summary'!$L$22)^('MF Releasing'!DM$3-1)))*$C13)</f>
        <v/>
      </c>
      <c r="DN13" s="149" t="str">
        <f>IF($B13=0,"",('MF Rollover'!DM13*($P13*(1+'Property Summary'!$L$22)^('MF Releasing'!DN$3-1)))*$C13)</f>
        <v/>
      </c>
      <c r="DO13" s="149" t="str">
        <f>IF($B13=0,"",('MF Rollover'!DN13*($P13*(1+'Property Summary'!$L$22)^('MF Releasing'!DO$3-1)))*$C13)</f>
        <v/>
      </c>
      <c r="DP13" s="149" t="str">
        <f>IF($B13=0,"",('MF Rollover'!DO13*($P13*(1+'Property Summary'!$L$22)^('MF Releasing'!DP$3-1)))*$C13)</f>
        <v/>
      </c>
      <c r="DQ13" s="149" t="str">
        <f>IF($B13=0,"",('MF Rollover'!DP13*($P13*(1+'Property Summary'!$L$22)^('MF Releasing'!DQ$3-1)))*$C13)</f>
        <v/>
      </c>
      <c r="DR13" s="149" t="str">
        <f>IF($B13=0,"",('MF Rollover'!DQ13*($P13*(1+'Property Summary'!$L$22)^('MF Releasing'!DR$3-1)))*$C13)</f>
        <v/>
      </c>
      <c r="DS13" s="149" t="str">
        <f>IF($B13=0,"",('MF Rollover'!DR13*($P13*(1+'Property Summary'!$L$22)^('MF Releasing'!DS$3-1)))*$C13)</f>
        <v/>
      </c>
      <c r="DT13" s="149" t="str">
        <f>IF($B13=0,"",('MF Rollover'!DS13*($P13*(1+'Property Summary'!$L$22)^('MF Releasing'!DT$3-1)))*$C13)</f>
        <v/>
      </c>
      <c r="DU13" s="149" t="str">
        <f>IF($B13=0,"",('MF Rollover'!DT13*($P13*(1+'Property Summary'!$L$22)^('MF Releasing'!DU$3-1)))*$C13)</f>
        <v/>
      </c>
      <c r="DV13" s="149" t="str">
        <f>IF($B13=0,"",('MF Rollover'!DU13*($P13*(1+'Property Summary'!$L$22)^('MF Releasing'!DV$3-1)))*$C13)</f>
        <v/>
      </c>
      <c r="DW13" s="149" t="str">
        <f>IF($B13=0,"",('MF Rollover'!DV13*($P13*(1+'Property Summary'!$L$22)^('MF Releasing'!DW$3-1)))*$C13)</f>
        <v/>
      </c>
      <c r="DX13" s="149" t="str">
        <f>IF($B13=0,"",('MF Rollover'!DW13*($P13*(1+'Property Summary'!$L$22)^('MF Releasing'!DX$3-1)))*$C13)</f>
        <v/>
      </c>
      <c r="DY13" s="149" t="str">
        <f>IF($B13=0,"",('MF Rollover'!DX13*($P13*(1+'Property Summary'!$L$22)^('MF Releasing'!DY$3-1)))*$C13)</f>
        <v/>
      </c>
      <c r="DZ13" s="149" t="str">
        <f>IF($B13=0,"",('MF Rollover'!DY13*($P13*(1+'Property Summary'!$L$22)^('MF Releasing'!DZ$3-1)))*$C13)</f>
        <v/>
      </c>
      <c r="EA13" s="149" t="str">
        <f>IF($B13=0,"",('MF Rollover'!DZ13*($P13*(1+'Property Summary'!$L$22)^('MF Releasing'!EA$3-1)))*$C13)</f>
        <v/>
      </c>
      <c r="EB13" s="149" t="str">
        <f>IF($B13=0,"",('MF Rollover'!EA13*($P13*(1+'Property Summary'!$L$22)^('MF Releasing'!EB$3-1)))*$C13)</f>
        <v/>
      </c>
      <c r="EC13" s="149" t="str">
        <f>IF($B13=0,"",('MF Rollover'!EB13*($P13*(1+'Property Summary'!$L$22)^('MF Releasing'!EC$3-1)))*$C13)</f>
        <v/>
      </c>
      <c r="ED13" s="149" t="str">
        <f>IF($B13=0,"",('MF Rollover'!EC13*($P13*(1+'Property Summary'!$L$22)^('MF Releasing'!ED$3-1)))*$C13)</f>
        <v/>
      </c>
      <c r="EE13" s="149" t="str">
        <f>IF($B13=0,"",('MF Rollover'!ED13*($P13*(1+'Property Summary'!$L$22)^('MF Releasing'!EE$3-1)))*$C13)</f>
        <v/>
      </c>
      <c r="EF13" s="149" t="str">
        <f>IF($B13=0,"",('MF Rollover'!EE13*($P13*(1+'Property Summary'!$L$22)^('MF Releasing'!EF$3-1)))*$C13)</f>
        <v/>
      </c>
      <c r="EG13" s="149" t="str">
        <f>IF($B13=0,"",('MF Rollover'!EF13*($P13*(1+'Property Summary'!$L$22)^('MF Releasing'!EG$3-1)))*$C13)</f>
        <v/>
      </c>
      <c r="EH13" s="149" t="str">
        <f>IF($B13=0,"",('MF Rollover'!EG13*($P13*(1+'Property Summary'!$L$22)^('MF Releasing'!EH$3-1)))*$C13)</f>
        <v/>
      </c>
      <c r="EI13" s="149" t="str">
        <f>IF($B13=0,"",('MF Rollover'!EH13*($P13*(1+'Property Summary'!$L$22)^('MF Releasing'!EI$3-1)))*$C13)</f>
        <v/>
      </c>
      <c r="EJ13" s="149" t="str">
        <f>IF($B13=0,"",('MF Rollover'!EI13*($P13*(1+'Property Summary'!$L$22)^('MF Releasing'!EJ$3-1)))*$C13)</f>
        <v/>
      </c>
      <c r="EK13" s="149" t="str">
        <f>IF($B13=0,"",('MF Rollover'!EJ13*($P13*(1+'Property Summary'!$L$22)^('MF Releasing'!EK$3-1)))*$C13)</f>
        <v/>
      </c>
      <c r="EL13" s="149" t="str">
        <f>IF($B13=0,"",('MF Rollover'!EK13*($P13*(1+'Property Summary'!$L$22)^('MF Releasing'!EL$3-1)))*$C13)</f>
        <v/>
      </c>
      <c r="EM13" s="149" t="str">
        <f>IF($B13=0,"",('MF Rollover'!EL13*($P13*(1+'Property Summary'!$L$22)^('MF Releasing'!EM$3-1)))*$C13)</f>
        <v/>
      </c>
      <c r="EN13" s="149" t="str">
        <f>IF($B13=0,"",('MF Rollover'!EM13*($P13*(1+'Property Summary'!$L$22)^('MF Releasing'!EN$3-1)))*$C13)</f>
        <v/>
      </c>
      <c r="EO13" s="149" t="str">
        <f>IF($B13=0,"",('MF Rollover'!EN13*($P13*(1+'Property Summary'!$L$22)^('MF Releasing'!EO$3-1)))*$C13)</f>
        <v/>
      </c>
      <c r="EP13" s="149" t="str">
        <f>IF($B13=0,"",('MF Rollover'!EO13*($P13*(1+'Property Summary'!$L$22)^('MF Releasing'!EP$3-1)))*$C13)</f>
        <v/>
      </c>
      <c r="EQ13" s="149" t="str">
        <f>IF($B13=0,"",('MF Rollover'!EP13*($P13*(1+'Property Summary'!$L$22)^('MF Releasing'!EQ$3-1)))*$C13)</f>
        <v/>
      </c>
      <c r="ER13" s="149" t="str">
        <f>IF($B13=0,"",('MF Rollover'!EQ13*($P13*(1+'Property Summary'!$L$22)^('MF Releasing'!ER$3-1)))*$C13)</f>
        <v/>
      </c>
      <c r="ES13" s="149" t="str">
        <f>IF($B13=0,"",('MF Rollover'!ER13*($P13*(1+'Property Summary'!$L$22)^('MF Releasing'!ES$3-1)))*$C13)</f>
        <v/>
      </c>
      <c r="ET13" s="149" t="str">
        <f>IF($B13=0,"",('MF Rollover'!ES13*($P13*(1+'Property Summary'!$L$22)^('MF Releasing'!ET$3-1)))*$C13)</f>
        <v/>
      </c>
      <c r="EU13" s="149" t="str">
        <f>IF($B13=0,"",('MF Rollover'!ET13*($P13*(1+'Property Summary'!$L$22)^('MF Releasing'!EU$3-1)))*$C13)</f>
        <v/>
      </c>
      <c r="EV13" s="149" t="str">
        <f>IF($B13=0,"",('MF Rollover'!EU13*($P13*(1+'Property Summary'!$L$22)^('MF Releasing'!EV$3-1)))*$C13)</f>
        <v/>
      </c>
      <c r="EW13" s="149" t="str">
        <f>IF($B13=0,"",('MF Rollover'!EV13*($P13*(1+'Property Summary'!$L$22)^('MF Releasing'!EW$3-1)))*$C13)</f>
        <v/>
      </c>
      <c r="EX13" s="149" t="str">
        <f>IF($B13=0,"",('MF Rollover'!EW13*($P13*(1+'Property Summary'!$L$22)^('MF Releasing'!EX$3-1)))*$C13)</f>
        <v/>
      </c>
      <c r="EY13" s="149" t="str">
        <f>IF($B13=0,"",('MF Rollover'!EX13*($P13*(1+'Property Summary'!$L$22)^('MF Releasing'!EY$3-1)))*$C13)</f>
        <v/>
      </c>
      <c r="EZ13" s="149" t="str">
        <f>IF($B13=0,"",('MF Rollover'!EY13*($P13*(1+'Property Summary'!$L$22)^('MF Releasing'!EZ$3-1)))*$C13)</f>
        <v/>
      </c>
      <c r="FA13" s="149" t="str">
        <f>IF($B13=0,"",('MF Rollover'!EZ13*($P13*(1+'Property Summary'!$L$22)^('MF Releasing'!FA$3-1)))*$C13)</f>
        <v/>
      </c>
      <c r="FB13" s="149" t="str">
        <f>IF($B13=0,"",('MF Rollover'!FA13*($P13*(1+'Property Summary'!$L$22)^('MF Releasing'!FB$3-1)))*$C13)</f>
        <v/>
      </c>
      <c r="FC13" s="149" t="str">
        <f>IF($B13=0,"",('MF Rollover'!FB13*($P13*(1+'Property Summary'!$L$22)^('MF Releasing'!FC$3-1)))*$C13)</f>
        <v/>
      </c>
      <c r="FD13" s="149" t="str">
        <f>IF($B13=0,"",('MF Rollover'!FC13*($P13*(1+'Property Summary'!$L$22)^('MF Releasing'!FD$3-1)))*$C13)</f>
        <v/>
      </c>
      <c r="FE13" s="149" t="str">
        <f>IF($B13=0,"",('MF Rollover'!FD13*($P13*(1+'Property Summary'!$L$22)^('MF Releasing'!FE$3-1)))*$C13)</f>
        <v/>
      </c>
      <c r="FF13" s="149" t="str">
        <f>IF($B13=0,"",('MF Rollover'!FE13*($P13*(1+'Property Summary'!$L$22)^('MF Releasing'!FF$3-1)))*$C13)</f>
        <v/>
      </c>
      <c r="FG13" s="149" t="str">
        <f>IF($B13=0,"",('MF Rollover'!FF13*($P13*(1+'Property Summary'!$L$22)^('MF Releasing'!FG$3-1)))*$C13)</f>
        <v/>
      </c>
      <c r="FH13" s="149" t="str">
        <f>IF($B13=0,"",('MF Rollover'!FG13*($P13*(1+'Property Summary'!$L$22)^('MF Releasing'!FH$3-1)))*$C13)</f>
        <v/>
      </c>
      <c r="FI13" s="149" t="str">
        <f>IF($B13=0,"",('MF Rollover'!FH13*($P13*(1+'Property Summary'!$L$22)^('MF Releasing'!FI$3-1)))*$C13)</f>
        <v/>
      </c>
      <c r="FJ13" s="149" t="str">
        <f>IF($B13=0,"",('MF Rollover'!FI13*($P13*(1+'Property Summary'!$L$22)^('MF Releasing'!FJ$3-1)))*$C13)</f>
        <v/>
      </c>
      <c r="FK13" s="149" t="str">
        <f>IF($B13=0,"",('MF Rollover'!FJ13*($P13*(1+'Property Summary'!$L$22)^('MF Releasing'!FK$3-1)))*$C13)</f>
        <v/>
      </c>
      <c r="FL13" s="149" t="str">
        <f>IF($B13=0,"",('MF Rollover'!FK13*($P13*(1+'Property Summary'!$L$22)^('MF Releasing'!FL$3-1)))*$C13)</f>
        <v/>
      </c>
      <c r="FM13" s="149" t="str">
        <f>IF($B13=0,"",('MF Rollover'!FL13*($P13*(1+'Property Summary'!$L$22)^('MF Releasing'!FM$3-1)))*$C13)</f>
        <v/>
      </c>
      <c r="FN13" s="149" t="str">
        <f>IF($B13=0,"",('MF Rollover'!FM13*($P13*(1+'Property Summary'!$L$22)^('MF Releasing'!FN$3-1)))*$C13)</f>
        <v/>
      </c>
      <c r="FO13" s="149" t="str">
        <f>IF($B13=0,"",('MF Rollover'!FN13*($P13*(1+'Property Summary'!$L$22)^('MF Releasing'!FO$3-1)))*$C13)</f>
        <v/>
      </c>
      <c r="FP13" s="149" t="str">
        <f>IF($B13=0,"",('MF Rollover'!FO13*($P13*(1+'Property Summary'!$L$22)^('MF Releasing'!FP$3-1)))*$C13)</f>
        <v/>
      </c>
      <c r="FQ13" s="149" t="str">
        <f>IF($B13=0,"",('MF Rollover'!FP13*($P13*(1+'Property Summary'!$L$22)^('MF Releasing'!FQ$3-1)))*$C13)</f>
        <v/>
      </c>
      <c r="FR13" s="149" t="str">
        <f>IF($B13=0,"",('MF Rollover'!FQ13*($P13*(1+'Property Summary'!$L$22)^('MF Releasing'!FR$3-1)))*$C13)</f>
        <v/>
      </c>
      <c r="FS13" s="149" t="str">
        <f>IF($B13=0,"",('MF Rollover'!FR13*($P13*(1+'Property Summary'!$L$22)^('MF Releasing'!FS$3-1)))*$C13)</f>
        <v/>
      </c>
      <c r="FT13" s="149" t="str">
        <f>IF($B13=0,"",('MF Rollover'!FS13*($P13*(1+'Property Summary'!$L$22)^('MF Releasing'!FT$3-1)))*$C13)</f>
        <v/>
      </c>
      <c r="FU13" s="149" t="str">
        <f>IF($B13=0,"",('MF Rollover'!FT13*($P13*(1+'Property Summary'!$L$22)^('MF Releasing'!FU$3-1)))*$C13)</f>
        <v/>
      </c>
      <c r="FV13" s="149" t="str">
        <f>IF($B13=0,"",('MF Rollover'!FU13*($P13*(1+'Property Summary'!$L$22)^('MF Releasing'!FV$3-1)))*$C13)</f>
        <v/>
      </c>
      <c r="FW13" s="149" t="str">
        <f>IF($B13=0,"",('MF Rollover'!FV13*($P13*(1+'Property Summary'!$L$22)^('MF Releasing'!FW$3-1)))*$C13)</f>
        <v/>
      </c>
      <c r="FX13" s="149" t="str">
        <f>IF($B13=0,"",('MF Rollover'!FW13*($P13*(1+'Property Summary'!$L$22)^('MF Releasing'!FX$3-1)))*$C13)</f>
        <v/>
      </c>
      <c r="FY13" s="149" t="str">
        <f>IF($B13=0,"",('MF Rollover'!FX13*($P13*(1+'Property Summary'!$L$22)^('MF Releasing'!FY$3-1)))*$C13)</f>
        <v/>
      </c>
      <c r="FZ13" s="149" t="str">
        <f>IF($B13=0,"",('MF Rollover'!FY13*($P13*(1+'Property Summary'!$L$22)^('MF Releasing'!FZ$3-1)))*$C13)</f>
        <v/>
      </c>
      <c r="GA13" s="149" t="str">
        <f>IF($B13=0,"",('MF Rollover'!FZ13*($P13*(1+'Property Summary'!$L$22)^('MF Releasing'!GA$3-1)))*$C13)</f>
        <v/>
      </c>
      <c r="GB13" s="149" t="str">
        <f>IF($B13=0,"",('MF Rollover'!GA13*($P13*(1+'Property Summary'!$L$22)^('MF Releasing'!GB$3-1)))*$C13)</f>
        <v/>
      </c>
      <c r="GC13" s="149" t="str">
        <f>IF($B13=0,"",('MF Rollover'!GB13*($P13*(1+'Property Summary'!$L$22)^('MF Releasing'!GC$3-1)))*$C13)</f>
        <v/>
      </c>
      <c r="GD13" s="149" t="str">
        <f>IF($B13=0,"",('MF Rollover'!GC13*($P13*(1+'Property Summary'!$L$22)^('MF Releasing'!GD$3-1)))*$C13)</f>
        <v/>
      </c>
      <c r="GE13" s="149" t="str">
        <f>IF($B13=0,"",('MF Rollover'!GD13*($P13*(1+'Property Summary'!$L$22)^('MF Releasing'!GE$3-1)))*$C13)</f>
        <v/>
      </c>
      <c r="GF13" s="149" t="str">
        <f>IF($B13=0,"",('MF Rollover'!GE13*($P13*(1+'Property Summary'!$L$22)^('MF Releasing'!GF$3-1)))*$C13)</f>
        <v/>
      </c>
      <c r="GG13" s="149" t="str">
        <f>IF($B13=0,"",('MF Rollover'!GF13*($P13*(1+'Property Summary'!$L$22)^('MF Releasing'!GG$3-1)))*$C13)</f>
        <v/>
      </c>
      <c r="GH13" s="149" t="str">
        <f>IF($B13=0,"",('MF Rollover'!GG13*($P13*(1+'Property Summary'!$L$22)^('MF Releasing'!GH$3-1)))*$C13)</f>
        <v/>
      </c>
      <c r="GI13" s="149" t="str">
        <f>IF($B13=0,"",('MF Rollover'!GH13*($P13*(1+'Property Summary'!$L$22)^('MF Releasing'!GI$3-1)))*$C13)</f>
        <v/>
      </c>
      <c r="GJ13" s="149" t="str">
        <f>IF($B13=0,"",('MF Rollover'!GI13*($P13*(1+'Property Summary'!$L$22)^('MF Releasing'!GJ$3-1)))*$C13)</f>
        <v/>
      </c>
      <c r="GK13" s="149" t="str">
        <f>IF($B13=0,"",('MF Rollover'!GJ13*($P13*(1+'Property Summary'!$L$22)^('MF Releasing'!GK$3-1)))*$C13)</f>
        <v/>
      </c>
      <c r="GL13" s="149" t="str">
        <f>IF($B13=0,"",('MF Rollover'!GK13*($P13*(1+'Property Summary'!$L$22)^('MF Releasing'!GL$3-1)))*$C13)</f>
        <v/>
      </c>
      <c r="GM13" s="149" t="str">
        <f>IF($B13=0,"",('MF Rollover'!GL13*($P13*(1+'Property Summary'!$L$22)^('MF Releasing'!GM$3-1)))*$C13)</f>
        <v/>
      </c>
      <c r="GN13" s="149" t="str">
        <f>IF($B13=0,"",('MF Rollover'!GM13*($P13*(1+'Property Summary'!$L$22)^('MF Releasing'!GN$3-1)))*$C13)</f>
        <v/>
      </c>
      <c r="GO13" s="149" t="str">
        <f>IF($B13=0,"",('MF Rollover'!GN13*($P13*(1+'Property Summary'!$L$22)^('MF Releasing'!GO$3-1)))*$C13)</f>
        <v/>
      </c>
      <c r="GP13" s="149" t="str">
        <f>IF($B13=0,"",('MF Rollover'!GO13*($P13*(1+'Property Summary'!$L$22)^('MF Releasing'!GP$3-1)))*$C13)</f>
        <v/>
      </c>
    </row>
    <row r="14" spans="2:198" x14ac:dyDescent="0.3">
      <c r="B14" s="184">
        <f>'MF Rent Roll'!B13</f>
        <v>0</v>
      </c>
      <c r="C14" s="171">
        <f>'MF Rent Roll'!C13</f>
        <v>0</v>
      </c>
      <c r="D14" s="172">
        <f>'MF Rent Roll'!D13</f>
        <v>0</v>
      </c>
      <c r="E14" s="172">
        <f>'MF Rent Roll'!E13</f>
        <v>0</v>
      </c>
      <c r="F14" s="173">
        <f>'MF Rent Roll'!F13</f>
        <v>0</v>
      </c>
      <c r="G14" s="174">
        <f>'MF Rent Roll'!G13</f>
        <v>0</v>
      </c>
      <c r="H14" s="176">
        <f>'MF Rent Roll'!J13</f>
        <v>0</v>
      </c>
      <c r="I14" s="174">
        <f>'MF Rent Roll'!K13</f>
        <v>0</v>
      </c>
      <c r="J14" s="177">
        <f>'MF Rent Roll'!L13</f>
        <v>0</v>
      </c>
      <c r="K14" s="178">
        <f>'MF Rent Roll'!M13</f>
        <v>0</v>
      </c>
      <c r="L14" s="174">
        <f>'MF Rent Roll'!N13</f>
        <v>0</v>
      </c>
      <c r="M14" s="179">
        <f>'MF Rent Roll'!O13</f>
        <v>0</v>
      </c>
      <c r="N14" s="180" t="str">
        <f>'MF Rent Roll'!P13</f>
        <v/>
      </c>
      <c r="O14" s="181" t="str">
        <f>'MF Rent Roll'!Q13</f>
        <v/>
      </c>
      <c r="P14" s="104" t="str">
        <f>'MF Rent Roll'!R13</f>
        <v/>
      </c>
      <c r="S14" s="149" t="str">
        <f>IF($B14=0,"",('MF Rollover'!R14*($P14*(1+'Property Summary'!$L$22)^('MF Releasing'!S$3-1)))*$C14)</f>
        <v/>
      </c>
      <c r="T14" s="149" t="str">
        <f>IF($B14=0,"",('MF Rollover'!S14*($P14*(1+'Property Summary'!$L$22)^('MF Releasing'!T$3-1)))*$C14)</f>
        <v/>
      </c>
      <c r="U14" s="149" t="str">
        <f>IF($B14=0,"",('MF Rollover'!T14*($P14*(1+'Property Summary'!$L$22)^('MF Releasing'!U$3-1)))*$C14)</f>
        <v/>
      </c>
      <c r="V14" s="149" t="str">
        <f>IF($B14=0,"",('MF Rollover'!U14*($P14*(1+'Property Summary'!$L$22)^('MF Releasing'!V$3-1)))*$C14)</f>
        <v/>
      </c>
      <c r="W14" s="149" t="str">
        <f>IF($B14=0,"",('MF Rollover'!V14*($P14*(1+'Property Summary'!$L$22)^('MF Releasing'!W$3-1)))*$C14)</f>
        <v/>
      </c>
      <c r="X14" s="149" t="str">
        <f>IF($B14=0,"",('MF Rollover'!W14*($P14*(1+'Property Summary'!$L$22)^('MF Releasing'!X$3-1)))*$C14)</f>
        <v/>
      </c>
      <c r="Y14" s="149" t="str">
        <f>IF($B14=0,"",('MF Rollover'!X14*($P14*(1+'Property Summary'!$L$22)^('MF Releasing'!Y$3-1)))*$C14)</f>
        <v/>
      </c>
      <c r="Z14" s="149" t="str">
        <f>IF($B14=0,"",('MF Rollover'!Y14*($P14*(1+'Property Summary'!$L$22)^('MF Releasing'!Z$3-1)))*$C14)</f>
        <v/>
      </c>
      <c r="AA14" s="149" t="str">
        <f>IF($B14=0,"",('MF Rollover'!Z14*($P14*(1+'Property Summary'!$L$22)^('MF Releasing'!AA$3-1)))*$C14)</f>
        <v/>
      </c>
      <c r="AB14" s="149" t="str">
        <f>IF($B14=0,"",('MF Rollover'!AA14*($P14*(1+'Property Summary'!$L$22)^('MF Releasing'!AB$3-1)))*$C14)</f>
        <v/>
      </c>
      <c r="AC14" s="149" t="str">
        <f>IF($B14=0,"",('MF Rollover'!AB14*($P14*(1+'Property Summary'!$L$22)^('MF Releasing'!AC$3-1)))*$C14)</f>
        <v/>
      </c>
      <c r="AD14" s="149" t="str">
        <f>IF($B14=0,"",('MF Rollover'!AC14*($P14*(1+'Property Summary'!$L$22)^('MF Releasing'!AD$3-1)))*$C14)</f>
        <v/>
      </c>
      <c r="AE14" s="149" t="str">
        <f>IF($B14=0,"",('MF Rollover'!AD14*($P14*(1+'Property Summary'!$L$22)^('MF Releasing'!AE$3-1)))*$C14)</f>
        <v/>
      </c>
      <c r="AF14" s="149" t="str">
        <f>IF($B14=0,"",('MF Rollover'!AE14*($P14*(1+'Property Summary'!$L$22)^('MF Releasing'!AF$3-1)))*$C14)</f>
        <v/>
      </c>
      <c r="AG14" s="149" t="str">
        <f>IF($B14=0,"",('MF Rollover'!AF14*($P14*(1+'Property Summary'!$L$22)^('MF Releasing'!AG$3-1)))*$C14)</f>
        <v/>
      </c>
      <c r="AH14" s="149" t="str">
        <f>IF($B14=0,"",('MF Rollover'!AG14*($P14*(1+'Property Summary'!$L$22)^('MF Releasing'!AH$3-1)))*$C14)</f>
        <v/>
      </c>
      <c r="AI14" s="149" t="str">
        <f>IF($B14=0,"",('MF Rollover'!AH14*($P14*(1+'Property Summary'!$L$22)^('MF Releasing'!AI$3-1)))*$C14)</f>
        <v/>
      </c>
      <c r="AJ14" s="149" t="str">
        <f>IF($B14=0,"",('MF Rollover'!AI14*($P14*(1+'Property Summary'!$L$22)^('MF Releasing'!AJ$3-1)))*$C14)</f>
        <v/>
      </c>
      <c r="AK14" s="149" t="str">
        <f>IF($B14=0,"",('MF Rollover'!AJ14*($P14*(1+'Property Summary'!$L$22)^('MF Releasing'!AK$3-1)))*$C14)</f>
        <v/>
      </c>
      <c r="AL14" s="149" t="str">
        <f>IF($B14=0,"",('MF Rollover'!AK14*($P14*(1+'Property Summary'!$L$22)^('MF Releasing'!AL$3-1)))*$C14)</f>
        <v/>
      </c>
      <c r="AM14" s="149" t="str">
        <f>IF($B14=0,"",('MF Rollover'!AL14*($P14*(1+'Property Summary'!$L$22)^('MF Releasing'!AM$3-1)))*$C14)</f>
        <v/>
      </c>
      <c r="AN14" s="149" t="str">
        <f>IF($B14=0,"",('MF Rollover'!AM14*($P14*(1+'Property Summary'!$L$22)^('MF Releasing'!AN$3-1)))*$C14)</f>
        <v/>
      </c>
      <c r="AO14" s="149" t="str">
        <f>IF($B14=0,"",('MF Rollover'!AN14*($P14*(1+'Property Summary'!$L$22)^('MF Releasing'!AO$3-1)))*$C14)</f>
        <v/>
      </c>
      <c r="AP14" s="149" t="str">
        <f>IF($B14=0,"",('MF Rollover'!AO14*($P14*(1+'Property Summary'!$L$22)^('MF Releasing'!AP$3-1)))*$C14)</f>
        <v/>
      </c>
      <c r="AQ14" s="149" t="str">
        <f>IF($B14=0,"",('MF Rollover'!AP14*($P14*(1+'Property Summary'!$L$22)^('MF Releasing'!AQ$3-1)))*$C14)</f>
        <v/>
      </c>
      <c r="AR14" s="149" t="str">
        <f>IF($B14=0,"",('MF Rollover'!AQ14*($P14*(1+'Property Summary'!$L$22)^('MF Releasing'!AR$3-1)))*$C14)</f>
        <v/>
      </c>
      <c r="AS14" s="149" t="str">
        <f>IF($B14=0,"",('MF Rollover'!AR14*($P14*(1+'Property Summary'!$L$22)^('MF Releasing'!AS$3-1)))*$C14)</f>
        <v/>
      </c>
      <c r="AT14" s="149" t="str">
        <f>IF($B14=0,"",('MF Rollover'!AS14*($P14*(1+'Property Summary'!$L$22)^('MF Releasing'!AT$3-1)))*$C14)</f>
        <v/>
      </c>
      <c r="AU14" s="149" t="str">
        <f>IF($B14=0,"",('MF Rollover'!AT14*($P14*(1+'Property Summary'!$L$22)^('MF Releasing'!AU$3-1)))*$C14)</f>
        <v/>
      </c>
      <c r="AV14" s="149" t="str">
        <f>IF($B14=0,"",('MF Rollover'!AU14*($P14*(1+'Property Summary'!$L$22)^('MF Releasing'!AV$3-1)))*$C14)</f>
        <v/>
      </c>
      <c r="AW14" s="149" t="str">
        <f>IF($B14=0,"",('MF Rollover'!AV14*($P14*(1+'Property Summary'!$L$22)^('MF Releasing'!AW$3-1)))*$C14)</f>
        <v/>
      </c>
      <c r="AX14" s="149" t="str">
        <f>IF($B14=0,"",('MF Rollover'!AW14*($P14*(1+'Property Summary'!$L$22)^('MF Releasing'!AX$3-1)))*$C14)</f>
        <v/>
      </c>
      <c r="AY14" s="149" t="str">
        <f>IF($B14=0,"",('MF Rollover'!AX14*($P14*(1+'Property Summary'!$L$22)^('MF Releasing'!AY$3-1)))*$C14)</f>
        <v/>
      </c>
      <c r="AZ14" s="149" t="str">
        <f>IF($B14=0,"",('MF Rollover'!AY14*($P14*(1+'Property Summary'!$L$22)^('MF Releasing'!AZ$3-1)))*$C14)</f>
        <v/>
      </c>
      <c r="BA14" s="149" t="str">
        <f>IF($B14=0,"",('MF Rollover'!AZ14*($P14*(1+'Property Summary'!$L$22)^('MF Releasing'!BA$3-1)))*$C14)</f>
        <v/>
      </c>
      <c r="BB14" s="149" t="str">
        <f>IF($B14=0,"",('MF Rollover'!BA14*($P14*(1+'Property Summary'!$L$22)^('MF Releasing'!BB$3-1)))*$C14)</f>
        <v/>
      </c>
      <c r="BC14" s="149" t="str">
        <f>IF($B14=0,"",('MF Rollover'!BB14*($P14*(1+'Property Summary'!$L$22)^('MF Releasing'!BC$3-1)))*$C14)</f>
        <v/>
      </c>
      <c r="BD14" s="149" t="str">
        <f>IF($B14=0,"",('MF Rollover'!BC14*($P14*(1+'Property Summary'!$L$22)^('MF Releasing'!BD$3-1)))*$C14)</f>
        <v/>
      </c>
      <c r="BE14" s="149" t="str">
        <f>IF($B14=0,"",('MF Rollover'!BD14*($P14*(1+'Property Summary'!$L$22)^('MF Releasing'!BE$3-1)))*$C14)</f>
        <v/>
      </c>
      <c r="BF14" s="149" t="str">
        <f>IF($B14=0,"",('MF Rollover'!BE14*($P14*(1+'Property Summary'!$L$22)^('MF Releasing'!BF$3-1)))*$C14)</f>
        <v/>
      </c>
      <c r="BG14" s="149" t="str">
        <f>IF($B14=0,"",('MF Rollover'!BF14*($P14*(1+'Property Summary'!$L$22)^('MF Releasing'!BG$3-1)))*$C14)</f>
        <v/>
      </c>
      <c r="BH14" s="149" t="str">
        <f>IF($B14=0,"",('MF Rollover'!BG14*($P14*(1+'Property Summary'!$L$22)^('MF Releasing'!BH$3-1)))*$C14)</f>
        <v/>
      </c>
      <c r="BI14" s="149" t="str">
        <f>IF($B14=0,"",('MF Rollover'!BH14*($P14*(1+'Property Summary'!$L$22)^('MF Releasing'!BI$3-1)))*$C14)</f>
        <v/>
      </c>
      <c r="BJ14" s="149" t="str">
        <f>IF($B14=0,"",('MF Rollover'!BI14*($P14*(1+'Property Summary'!$L$22)^('MF Releasing'!BJ$3-1)))*$C14)</f>
        <v/>
      </c>
      <c r="BK14" s="149" t="str">
        <f>IF($B14=0,"",('MF Rollover'!BJ14*($P14*(1+'Property Summary'!$L$22)^('MF Releasing'!BK$3-1)))*$C14)</f>
        <v/>
      </c>
      <c r="BL14" s="149" t="str">
        <f>IF($B14=0,"",('MF Rollover'!BK14*($P14*(1+'Property Summary'!$L$22)^('MF Releasing'!BL$3-1)))*$C14)</f>
        <v/>
      </c>
      <c r="BM14" s="149" t="str">
        <f>IF($B14=0,"",('MF Rollover'!BL14*($P14*(1+'Property Summary'!$L$22)^('MF Releasing'!BM$3-1)))*$C14)</f>
        <v/>
      </c>
      <c r="BN14" s="149" t="str">
        <f>IF($B14=0,"",('MF Rollover'!BM14*($P14*(1+'Property Summary'!$L$22)^('MF Releasing'!BN$3-1)))*$C14)</f>
        <v/>
      </c>
      <c r="BO14" s="149" t="str">
        <f>IF($B14=0,"",('MF Rollover'!BN14*($P14*(1+'Property Summary'!$L$22)^('MF Releasing'!BO$3-1)))*$C14)</f>
        <v/>
      </c>
      <c r="BP14" s="149" t="str">
        <f>IF($B14=0,"",('MF Rollover'!BO14*($P14*(1+'Property Summary'!$L$22)^('MF Releasing'!BP$3-1)))*$C14)</f>
        <v/>
      </c>
      <c r="BQ14" s="149" t="str">
        <f>IF($B14=0,"",('MF Rollover'!BP14*($P14*(1+'Property Summary'!$L$22)^('MF Releasing'!BQ$3-1)))*$C14)</f>
        <v/>
      </c>
      <c r="BR14" s="149" t="str">
        <f>IF($B14=0,"",('MF Rollover'!BQ14*($P14*(1+'Property Summary'!$L$22)^('MF Releasing'!BR$3-1)))*$C14)</f>
        <v/>
      </c>
      <c r="BS14" s="149" t="str">
        <f>IF($B14=0,"",('MF Rollover'!BR14*($P14*(1+'Property Summary'!$L$22)^('MF Releasing'!BS$3-1)))*$C14)</f>
        <v/>
      </c>
      <c r="BT14" s="149" t="str">
        <f>IF($B14=0,"",('MF Rollover'!BS14*($P14*(1+'Property Summary'!$L$22)^('MF Releasing'!BT$3-1)))*$C14)</f>
        <v/>
      </c>
      <c r="BU14" s="149" t="str">
        <f>IF($B14=0,"",('MF Rollover'!BT14*($P14*(1+'Property Summary'!$L$22)^('MF Releasing'!BU$3-1)))*$C14)</f>
        <v/>
      </c>
      <c r="BV14" s="149" t="str">
        <f>IF($B14=0,"",('MF Rollover'!BU14*($P14*(1+'Property Summary'!$L$22)^('MF Releasing'!BV$3-1)))*$C14)</f>
        <v/>
      </c>
      <c r="BW14" s="149" t="str">
        <f>IF($B14=0,"",('MF Rollover'!BV14*($P14*(1+'Property Summary'!$L$22)^('MF Releasing'!BW$3-1)))*$C14)</f>
        <v/>
      </c>
      <c r="BX14" s="149" t="str">
        <f>IF($B14=0,"",('MF Rollover'!BW14*($P14*(1+'Property Summary'!$L$22)^('MF Releasing'!BX$3-1)))*$C14)</f>
        <v/>
      </c>
      <c r="BY14" s="149" t="str">
        <f>IF($B14=0,"",('MF Rollover'!BX14*($P14*(1+'Property Summary'!$L$22)^('MF Releasing'!BY$3-1)))*$C14)</f>
        <v/>
      </c>
      <c r="BZ14" s="149" t="str">
        <f>IF($B14=0,"",('MF Rollover'!BY14*($P14*(1+'Property Summary'!$L$22)^('MF Releasing'!BZ$3-1)))*$C14)</f>
        <v/>
      </c>
      <c r="CA14" s="149" t="str">
        <f>IF($B14=0,"",('MF Rollover'!BZ14*($P14*(1+'Property Summary'!$L$22)^('MF Releasing'!CA$3-1)))*$C14)</f>
        <v/>
      </c>
      <c r="CB14" s="149" t="str">
        <f>IF($B14=0,"",('MF Rollover'!CA14*($P14*(1+'Property Summary'!$L$22)^('MF Releasing'!CB$3-1)))*$C14)</f>
        <v/>
      </c>
      <c r="CC14" s="149" t="str">
        <f>IF($B14=0,"",('MF Rollover'!CB14*($P14*(1+'Property Summary'!$L$22)^('MF Releasing'!CC$3-1)))*$C14)</f>
        <v/>
      </c>
      <c r="CD14" s="149" t="str">
        <f>IF($B14=0,"",('MF Rollover'!CC14*($P14*(1+'Property Summary'!$L$22)^('MF Releasing'!CD$3-1)))*$C14)</f>
        <v/>
      </c>
      <c r="CE14" s="149" t="str">
        <f>IF($B14=0,"",('MF Rollover'!CD14*($P14*(1+'Property Summary'!$L$22)^('MF Releasing'!CE$3-1)))*$C14)</f>
        <v/>
      </c>
      <c r="CF14" s="149" t="str">
        <f>IF($B14=0,"",('MF Rollover'!CE14*($P14*(1+'Property Summary'!$L$22)^('MF Releasing'!CF$3-1)))*$C14)</f>
        <v/>
      </c>
      <c r="CG14" s="149" t="str">
        <f>IF($B14=0,"",('MF Rollover'!CF14*($P14*(1+'Property Summary'!$L$22)^('MF Releasing'!CG$3-1)))*$C14)</f>
        <v/>
      </c>
      <c r="CH14" s="149" t="str">
        <f>IF($B14=0,"",('MF Rollover'!CG14*($P14*(1+'Property Summary'!$L$22)^('MF Releasing'!CH$3-1)))*$C14)</f>
        <v/>
      </c>
      <c r="CI14" s="149" t="str">
        <f>IF($B14=0,"",('MF Rollover'!CH14*($P14*(1+'Property Summary'!$L$22)^('MF Releasing'!CI$3-1)))*$C14)</f>
        <v/>
      </c>
      <c r="CJ14" s="149" t="str">
        <f>IF($B14=0,"",('MF Rollover'!CI14*($P14*(1+'Property Summary'!$L$22)^('MF Releasing'!CJ$3-1)))*$C14)</f>
        <v/>
      </c>
      <c r="CK14" s="149" t="str">
        <f>IF($B14=0,"",('MF Rollover'!CJ14*($P14*(1+'Property Summary'!$L$22)^('MF Releasing'!CK$3-1)))*$C14)</f>
        <v/>
      </c>
      <c r="CL14" s="149" t="str">
        <f>IF($B14=0,"",('MF Rollover'!CK14*($P14*(1+'Property Summary'!$L$22)^('MF Releasing'!CL$3-1)))*$C14)</f>
        <v/>
      </c>
      <c r="CM14" s="149" t="str">
        <f>IF($B14=0,"",('MF Rollover'!CL14*($P14*(1+'Property Summary'!$L$22)^('MF Releasing'!CM$3-1)))*$C14)</f>
        <v/>
      </c>
      <c r="CN14" s="149" t="str">
        <f>IF($B14=0,"",('MF Rollover'!CM14*($P14*(1+'Property Summary'!$L$22)^('MF Releasing'!CN$3-1)))*$C14)</f>
        <v/>
      </c>
      <c r="CO14" s="149" t="str">
        <f>IF($B14=0,"",('MF Rollover'!CN14*($P14*(1+'Property Summary'!$L$22)^('MF Releasing'!CO$3-1)))*$C14)</f>
        <v/>
      </c>
      <c r="CP14" s="149" t="str">
        <f>IF($B14=0,"",('MF Rollover'!CO14*($P14*(1+'Property Summary'!$L$22)^('MF Releasing'!CP$3-1)))*$C14)</f>
        <v/>
      </c>
      <c r="CQ14" s="149" t="str">
        <f>IF($B14=0,"",('MF Rollover'!CP14*($P14*(1+'Property Summary'!$L$22)^('MF Releasing'!CQ$3-1)))*$C14)</f>
        <v/>
      </c>
      <c r="CR14" s="149" t="str">
        <f>IF($B14=0,"",('MF Rollover'!CQ14*($P14*(1+'Property Summary'!$L$22)^('MF Releasing'!CR$3-1)))*$C14)</f>
        <v/>
      </c>
      <c r="CS14" s="149" t="str">
        <f>IF($B14=0,"",('MF Rollover'!CR14*($P14*(1+'Property Summary'!$L$22)^('MF Releasing'!CS$3-1)))*$C14)</f>
        <v/>
      </c>
      <c r="CT14" s="149" t="str">
        <f>IF($B14=0,"",('MF Rollover'!CS14*($P14*(1+'Property Summary'!$L$22)^('MF Releasing'!CT$3-1)))*$C14)</f>
        <v/>
      </c>
      <c r="CU14" s="149" t="str">
        <f>IF($B14=0,"",('MF Rollover'!CT14*($P14*(1+'Property Summary'!$L$22)^('MF Releasing'!CU$3-1)))*$C14)</f>
        <v/>
      </c>
      <c r="CV14" s="149" t="str">
        <f>IF($B14=0,"",('MF Rollover'!CU14*($P14*(1+'Property Summary'!$L$22)^('MF Releasing'!CV$3-1)))*$C14)</f>
        <v/>
      </c>
      <c r="CW14" s="149" t="str">
        <f>IF($B14=0,"",('MF Rollover'!CV14*($P14*(1+'Property Summary'!$L$22)^('MF Releasing'!CW$3-1)))*$C14)</f>
        <v/>
      </c>
      <c r="CX14" s="149" t="str">
        <f>IF($B14=0,"",('MF Rollover'!CW14*($P14*(1+'Property Summary'!$L$22)^('MF Releasing'!CX$3-1)))*$C14)</f>
        <v/>
      </c>
      <c r="CY14" s="149" t="str">
        <f>IF($B14=0,"",('MF Rollover'!CX14*($P14*(1+'Property Summary'!$L$22)^('MF Releasing'!CY$3-1)))*$C14)</f>
        <v/>
      </c>
      <c r="CZ14" s="149" t="str">
        <f>IF($B14=0,"",('MF Rollover'!CY14*($P14*(1+'Property Summary'!$L$22)^('MF Releasing'!CZ$3-1)))*$C14)</f>
        <v/>
      </c>
      <c r="DA14" s="149" t="str">
        <f>IF($B14=0,"",('MF Rollover'!CZ14*($P14*(1+'Property Summary'!$L$22)^('MF Releasing'!DA$3-1)))*$C14)</f>
        <v/>
      </c>
      <c r="DB14" s="149" t="str">
        <f>IF($B14=0,"",('MF Rollover'!DA14*($P14*(1+'Property Summary'!$L$22)^('MF Releasing'!DB$3-1)))*$C14)</f>
        <v/>
      </c>
      <c r="DC14" s="149" t="str">
        <f>IF($B14=0,"",('MF Rollover'!DB14*($P14*(1+'Property Summary'!$L$22)^('MF Releasing'!DC$3-1)))*$C14)</f>
        <v/>
      </c>
      <c r="DD14" s="149" t="str">
        <f>IF($B14=0,"",('MF Rollover'!DC14*($P14*(1+'Property Summary'!$L$22)^('MF Releasing'!DD$3-1)))*$C14)</f>
        <v/>
      </c>
      <c r="DE14" s="149" t="str">
        <f>IF($B14=0,"",('MF Rollover'!DD14*($P14*(1+'Property Summary'!$L$22)^('MF Releasing'!DE$3-1)))*$C14)</f>
        <v/>
      </c>
      <c r="DF14" s="149" t="str">
        <f>IF($B14=0,"",('MF Rollover'!DE14*($P14*(1+'Property Summary'!$L$22)^('MF Releasing'!DF$3-1)))*$C14)</f>
        <v/>
      </c>
      <c r="DG14" s="149" t="str">
        <f>IF($B14=0,"",('MF Rollover'!DF14*($P14*(1+'Property Summary'!$L$22)^('MF Releasing'!DG$3-1)))*$C14)</f>
        <v/>
      </c>
      <c r="DH14" s="149" t="str">
        <f>IF($B14=0,"",('MF Rollover'!DG14*($P14*(1+'Property Summary'!$L$22)^('MF Releasing'!DH$3-1)))*$C14)</f>
        <v/>
      </c>
      <c r="DI14" s="149" t="str">
        <f>IF($B14=0,"",('MF Rollover'!DH14*($P14*(1+'Property Summary'!$L$22)^('MF Releasing'!DI$3-1)))*$C14)</f>
        <v/>
      </c>
      <c r="DJ14" s="149" t="str">
        <f>IF($B14=0,"",('MF Rollover'!DI14*($P14*(1+'Property Summary'!$L$22)^('MF Releasing'!DJ$3-1)))*$C14)</f>
        <v/>
      </c>
      <c r="DK14" s="149" t="str">
        <f>IF($B14=0,"",('MF Rollover'!DJ14*($P14*(1+'Property Summary'!$L$22)^('MF Releasing'!DK$3-1)))*$C14)</f>
        <v/>
      </c>
      <c r="DL14" s="149" t="str">
        <f>IF($B14=0,"",('MF Rollover'!DK14*($P14*(1+'Property Summary'!$L$22)^('MF Releasing'!DL$3-1)))*$C14)</f>
        <v/>
      </c>
      <c r="DM14" s="149" t="str">
        <f>IF($B14=0,"",('MF Rollover'!DL14*($P14*(1+'Property Summary'!$L$22)^('MF Releasing'!DM$3-1)))*$C14)</f>
        <v/>
      </c>
      <c r="DN14" s="149" t="str">
        <f>IF($B14=0,"",('MF Rollover'!DM14*($P14*(1+'Property Summary'!$L$22)^('MF Releasing'!DN$3-1)))*$C14)</f>
        <v/>
      </c>
      <c r="DO14" s="149" t="str">
        <f>IF($B14=0,"",('MF Rollover'!DN14*($P14*(1+'Property Summary'!$L$22)^('MF Releasing'!DO$3-1)))*$C14)</f>
        <v/>
      </c>
      <c r="DP14" s="149" t="str">
        <f>IF($B14=0,"",('MF Rollover'!DO14*($P14*(1+'Property Summary'!$L$22)^('MF Releasing'!DP$3-1)))*$C14)</f>
        <v/>
      </c>
      <c r="DQ14" s="149" t="str">
        <f>IF($B14=0,"",('MF Rollover'!DP14*($P14*(1+'Property Summary'!$L$22)^('MF Releasing'!DQ$3-1)))*$C14)</f>
        <v/>
      </c>
      <c r="DR14" s="149" t="str">
        <f>IF($B14=0,"",('MF Rollover'!DQ14*($P14*(1+'Property Summary'!$L$22)^('MF Releasing'!DR$3-1)))*$C14)</f>
        <v/>
      </c>
      <c r="DS14" s="149" t="str">
        <f>IF($B14=0,"",('MF Rollover'!DR14*($P14*(1+'Property Summary'!$L$22)^('MF Releasing'!DS$3-1)))*$C14)</f>
        <v/>
      </c>
      <c r="DT14" s="149" t="str">
        <f>IF($B14=0,"",('MF Rollover'!DS14*($P14*(1+'Property Summary'!$L$22)^('MF Releasing'!DT$3-1)))*$C14)</f>
        <v/>
      </c>
      <c r="DU14" s="149" t="str">
        <f>IF($B14=0,"",('MF Rollover'!DT14*($P14*(1+'Property Summary'!$L$22)^('MF Releasing'!DU$3-1)))*$C14)</f>
        <v/>
      </c>
      <c r="DV14" s="149" t="str">
        <f>IF($B14=0,"",('MF Rollover'!DU14*($P14*(1+'Property Summary'!$L$22)^('MF Releasing'!DV$3-1)))*$C14)</f>
        <v/>
      </c>
      <c r="DW14" s="149" t="str">
        <f>IF($B14=0,"",('MF Rollover'!DV14*($P14*(1+'Property Summary'!$L$22)^('MF Releasing'!DW$3-1)))*$C14)</f>
        <v/>
      </c>
      <c r="DX14" s="149" t="str">
        <f>IF($B14=0,"",('MF Rollover'!DW14*($P14*(1+'Property Summary'!$L$22)^('MF Releasing'!DX$3-1)))*$C14)</f>
        <v/>
      </c>
      <c r="DY14" s="149" t="str">
        <f>IF($B14=0,"",('MF Rollover'!DX14*($P14*(1+'Property Summary'!$L$22)^('MF Releasing'!DY$3-1)))*$C14)</f>
        <v/>
      </c>
      <c r="DZ14" s="149" t="str">
        <f>IF($B14=0,"",('MF Rollover'!DY14*($P14*(1+'Property Summary'!$L$22)^('MF Releasing'!DZ$3-1)))*$C14)</f>
        <v/>
      </c>
      <c r="EA14" s="149" t="str">
        <f>IF($B14=0,"",('MF Rollover'!DZ14*($P14*(1+'Property Summary'!$L$22)^('MF Releasing'!EA$3-1)))*$C14)</f>
        <v/>
      </c>
      <c r="EB14" s="149" t="str">
        <f>IF($B14=0,"",('MF Rollover'!EA14*($P14*(1+'Property Summary'!$L$22)^('MF Releasing'!EB$3-1)))*$C14)</f>
        <v/>
      </c>
      <c r="EC14" s="149" t="str">
        <f>IF($B14=0,"",('MF Rollover'!EB14*($P14*(1+'Property Summary'!$L$22)^('MF Releasing'!EC$3-1)))*$C14)</f>
        <v/>
      </c>
      <c r="ED14" s="149" t="str">
        <f>IF($B14=0,"",('MF Rollover'!EC14*($P14*(1+'Property Summary'!$L$22)^('MF Releasing'!ED$3-1)))*$C14)</f>
        <v/>
      </c>
      <c r="EE14" s="149" t="str">
        <f>IF($B14=0,"",('MF Rollover'!ED14*($P14*(1+'Property Summary'!$L$22)^('MF Releasing'!EE$3-1)))*$C14)</f>
        <v/>
      </c>
      <c r="EF14" s="149" t="str">
        <f>IF($B14=0,"",('MF Rollover'!EE14*($P14*(1+'Property Summary'!$L$22)^('MF Releasing'!EF$3-1)))*$C14)</f>
        <v/>
      </c>
      <c r="EG14" s="149" t="str">
        <f>IF($B14=0,"",('MF Rollover'!EF14*($P14*(1+'Property Summary'!$L$22)^('MF Releasing'!EG$3-1)))*$C14)</f>
        <v/>
      </c>
      <c r="EH14" s="149" t="str">
        <f>IF($B14=0,"",('MF Rollover'!EG14*($P14*(1+'Property Summary'!$L$22)^('MF Releasing'!EH$3-1)))*$C14)</f>
        <v/>
      </c>
      <c r="EI14" s="149" t="str">
        <f>IF($B14=0,"",('MF Rollover'!EH14*($P14*(1+'Property Summary'!$L$22)^('MF Releasing'!EI$3-1)))*$C14)</f>
        <v/>
      </c>
      <c r="EJ14" s="149" t="str">
        <f>IF($B14=0,"",('MF Rollover'!EI14*($P14*(1+'Property Summary'!$L$22)^('MF Releasing'!EJ$3-1)))*$C14)</f>
        <v/>
      </c>
      <c r="EK14" s="149" t="str">
        <f>IF($B14=0,"",('MF Rollover'!EJ14*($P14*(1+'Property Summary'!$L$22)^('MF Releasing'!EK$3-1)))*$C14)</f>
        <v/>
      </c>
      <c r="EL14" s="149" t="str">
        <f>IF($B14=0,"",('MF Rollover'!EK14*($P14*(1+'Property Summary'!$L$22)^('MF Releasing'!EL$3-1)))*$C14)</f>
        <v/>
      </c>
      <c r="EM14" s="149" t="str">
        <f>IF($B14=0,"",('MF Rollover'!EL14*($P14*(1+'Property Summary'!$L$22)^('MF Releasing'!EM$3-1)))*$C14)</f>
        <v/>
      </c>
      <c r="EN14" s="149" t="str">
        <f>IF($B14=0,"",('MF Rollover'!EM14*($P14*(1+'Property Summary'!$L$22)^('MF Releasing'!EN$3-1)))*$C14)</f>
        <v/>
      </c>
      <c r="EO14" s="149" t="str">
        <f>IF($B14=0,"",('MF Rollover'!EN14*($P14*(1+'Property Summary'!$L$22)^('MF Releasing'!EO$3-1)))*$C14)</f>
        <v/>
      </c>
      <c r="EP14" s="149" t="str">
        <f>IF($B14=0,"",('MF Rollover'!EO14*($P14*(1+'Property Summary'!$L$22)^('MF Releasing'!EP$3-1)))*$C14)</f>
        <v/>
      </c>
      <c r="EQ14" s="149" t="str">
        <f>IF($B14=0,"",('MF Rollover'!EP14*($P14*(1+'Property Summary'!$L$22)^('MF Releasing'!EQ$3-1)))*$C14)</f>
        <v/>
      </c>
      <c r="ER14" s="149" t="str">
        <f>IF($B14=0,"",('MF Rollover'!EQ14*($P14*(1+'Property Summary'!$L$22)^('MF Releasing'!ER$3-1)))*$C14)</f>
        <v/>
      </c>
      <c r="ES14" s="149" t="str">
        <f>IF($B14=0,"",('MF Rollover'!ER14*($P14*(1+'Property Summary'!$L$22)^('MF Releasing'!ES$3-1)))*$C14)</f>
        <v/>
      </c>
      <c r="ET14" s="149" t="str">
        <f>IF($B14=0,"",('MF Rollover'!ES14*($P14*(1+'Property Summary'!$L$22)^('MF Releasing'!ET$3-1)))*$C14)</f>
        <v/>
      </c>
      <c r="EU14" s="149" t="str">
        <f>IF($B14=0,"",('MF Rollover'!ET14*($P14*(1+'Property Summary'!$L$22)^('MF Releasing'!EU$3-1)))*$C14)</f>
        <v/>
      </c>
      <c r="EV14" s="149" t="str">
        <f>IF($B14=0,"",('MF Rollover'!EU14*($P14*(1+'Property Summary'!$L$22)^('MF Releasing'!EV$3-1)))*$C14)</f>
        <v/>
      </c>
      <c r="EW14" s="149" t="str">
        <f>IF($B14=0,"",('MF Rollover'!EV14*($P14*(1+'Property Summary'!$L$22)^('MF Releasing'!EW$3-1)))*$C14)</f>
        <v/>
      </c>
      <c r="EX14" s="149" t="str">
        <f>IF($B14=0,"",('MF Rollover'!EW14*($P14*(1+'Property Summary'!$L$22)^('MF Releasing'!EX$3-1)))*$C14)</f>
        <v/>
      </c>
      <c r="EY14" s="149" t="str">
        <f>IF($B14=0,"",('MF Rollover'!EX14*($P14*(1+'Property Summary'!$L$22)^('MF Releasing'!EY$3-1)))*$C14)</f>
        <v/>
      </c>
      <c r="EZ14" s="149" t="str">
        <f>IF($B14=0,"",('MF Rollover'!EY14*($P14*(1+'Property Summary'!$L$22)^('MF Releasing'!EZ$3-1)))*$C14)</f>
        <v/>
      </c>
      <c r="FA14" s="149" t="str">
        <f>IF($B14=0,"",('MF Rollover'!EZ14*($P14*(1+'Property Summary'!$L$22)^('MF Releasing'!FA$3-1)))*$C14)</f>
        <v/>
      </c>
      <c r="FB14" s="149" t="str">
        <f>IF($B14=0,"",('MF Rollover'!FA14*($P14*(1+'Property Summary'!$L$22)^('MF Releasing'!FB$3-1)))*$C14)</f>
        <v/>
      </c>
      <c r="FC14" s="149" t="str">
        <f>IF($B14=0,"",('MF Rollover'!FB14*($P14*(1+'Property Summary'!$L$22)^('MF Releasing'!FC$3-1)))*$C14)</f>
        <v/>
      </c>
      <c r="FD14" s="149" t="str">
        <f>IF($B14=0,"",('MF Rollover'!FC14*($P14*(1+'Property Summary'!$L$22)^('MF Releasing'!FD$3-1)))*$C14)</f>
        <v/>
      </c>
      <c r="FE14" s="149" t="str">
        <f>IF($B14=0,"",('MF Rollover'!FD14*($P14*(1+'Property Summary'!$L$22)^('MF Releasing'!FE$3-1)))*$C14)</f>
        <v/>
      </c>
      <c r="FF14" s="149" t="str">
        <f>IF($B14=0,"",('MF Rollover'!FE14*($P14*(1+'Property Summary'!$L$22)^('MF Releasing'!FF$3-1)))*$C14)</f>
        <v/>
      </c>
      <c r="FG14" s="149" t="str">
        <f>IF($B14=0,"",('MF Rollover'!FF14*($P14*(1+'Property Summary'!$L$22)^('MF Releasing'!FG$3-1)))*$C14)</f>
        <v/>
      </c>
      <c r="FH14" s="149" t="str">
        <f>IF($B14=0,"",('MF Rollover'!FG14*($P14*(1+'Property Summary'!$L$22)^('MF Releasing'!FH$3-1)))*$C14)</f>
        <v/>
      </c>
      <c r="FI14" s="149" t="str">
        <f>IF($B14=0,"",('MF Rollover'!FH14*($P14*(1+'Property Summary'!$L$22)^('MF Releasing'!FI$3-1)))*$C14)</f>
        <v/>
      </c>
      <c r="FJ14" s="149" t="str">
        <f>IF($B14=0,"",('MF Rollover'!FI14*($P14*(1+'Property Summary'!$L$22)^('MF Releasing'!FJ$3-1)))*$C14)</f>
        <v/>
      </c>
      <c r="FK14" s="149" t="str">
        <f>IF($B14=0,"",('MF Rollover'!FJ14*($P14*(1+'Property Summary'!$L$22)^('MF Releasing'!FK$3-1)))*$C14)</f>
        <v/>
      </c>
      <c r="FL14" s="149" t="str">
        <f>IF($B14=0,"",('MF Rollover'!FK14*($P14*(1+'Property Summary'!$L$22)^('MF Releasing'!FL$3-1)))*$C14)</f>
        <v/>
      </c>
      <c r="FM14" s="149" t="str">
        <f>IF($B14=0,"",('MF Rollover'!FL14*($P14*(1+'Property Summary'!$L$22)^('MF Releasing'!FM$3-1)))*$C14)</f>
        <v/>
      </c>
      <c r="FN14" s="149" t="str">
        <f>IF($B14=0,"",('MF Rollover'!FM14*($P14*(1+'Property Summary'!$L$22)^('MF Releasing'!FN$3-1)))*$C14)</f>
        <v/>
      </c>
      <c r="FO14" s="149" t="str">
        <f>IF($B14=0,"",('MF Rollover'!FN14*($P14*(1+'Property Summary'!$L$22)^('MF Releasing'!FO$3-1)))*$C14)</f>
        <v/>
      </c>
      <c r="FP14" s="149" t="str">
        <f>IF($B14=0,"",('MF Rollover'!FO14*($P14*(1+'Property Summary'!$L$22)^('MF Releasing'!FP$3-1)))*$C14)</f>
        <v/>
      </c>
      <c r="FQ14" s="149" t="str">
        <f>IF($B14=0,"",('MF Rollover'!FP14*($P14*(1+'Property Summary'!$L$22)^('MF Releasing'!FQ$3-1)))*$C14)</f>
        <v/>
      </c>
      <c r="FR14" s="149" t="str">
        <f>IF($B14=0,"",('MF Rollover'!FQ14*($P14*(1+'Property Summary'!$L$22)^('MF Releasing'!FR$3-1)))*$C14)</f>
        <v/>
      </c>
      <c r="FS14" s="149" t="str">
        <f>IF($B14=0,"",('MF Rollover'!FR14*($P14*(1+'Property Summary'!$L$22)^('MF Releasing'!FS$3-1)))*$C14)</f>
        <v/>
      </c>
      <c r="FT14" s="149" t="str">
        <f>IF($B14=0,"",('MF Rollover'!FS14*($P14*(1+'Property Summary'!$L$22)^('MF Releasing'!FT$3-1)))*$C14)</f>
        <v/>
      </c>
      <c r="FU14" s="149" t="str">
        <f>IF($B14=0,"",('MF Rollover'!FT14*($P14*(1+'Property Summary'!$L$22)^('MF Releasing'!FU$3-1)))*$C14)</f>
        <v/>
      </c>
      <c r="FV14" s="149" t="str">
        <f>IF($B14=0,"",('MF Rollover'!FU14*($P14*(1+'Property Summary'!$L$22)^('MF Releasing'!FV$3-1)))*$C14)</f>
        <v/>
      </c>
      <c r="FW14" s="149" t="str">
        <f>IF($B14=0,"",('MF Rollover'!FV14*($P14*(1+'Property Summary'!$L$22)^('MF Releasing'!FW$3-1)))*$C14)</f>
        <v/>
      </c>
      <c r="FX14" s="149" t="str">
        <f>IF($B14=0,"",('MF Rollover'!FW14*($P14*(1+'Property Summary'!$L$22)^('MF Releasing'!FX$3-1)))*$C14)</f>
        <v/>
      </c>
      <c r="FY14" s="149" t="str">
        <f>IF($B14=0,"",('MF Rollover'!FX14*($P14*(1+'Property Summary'!$L$22)^('MF Releasing'!FY$3-1)))*$C14)</f>
        <v/>
      </c>
      <c r="FZ14" s="149" t="str">
        <f>IF($B14=0,"",('MF Rollover'!FY14*($P14*(1+'Property Summary'!$L$22)^('MF Releasing'!FZ$3-1)))*$C14)</f>
        <v/>
      </c>
      <c r="GA14" s="149" t="str">
        <f>IF($B14=0,"",('MF Rollover'!FZ14*($P14*(1+'Property Summary'!$L$22)^('MF Releasing'!GA$3-1)))*$C14)</f>
        <v/>
      </c>
      <c r="GB14" s="149" t="str">
        <f>IF($B14=0,"",('MF Rollover'!GA14*($P14*(1+'Property Summary'!$L$22)^('MF Releasing'!GB$3-1)))*$C14)</f>
        <v/>
      </c>
      <c r="GC14" s="149" t="str">
        <f>IF($B14=0,"",('MF Rollover'!GB14*($P14*(1+'Property Summary'!$L$22)^('MF Releasing'!GC$3-1)))*$C14)</f>
        <v/>
      </c>
      <c r="GD14" s="149" t="str">
        <f>IF($B14=0,"",('MF Rollover'!GC14*($P14*(1+'Property Summary'!$L$22)^('MF Releasing'!GD$3-1)))*$C14)</f>
        <v/>
      </c>
      <c r="GE14" s="149" t="str">
        <f>IF($B14=0,"",('MF Rollover'!GD14*($P14*(1+'Property Summary'!$L$22)^('MF Releasing'!GE$3-1)))*$C14)</f>
        <v/>
      </c>
      <c r="GF14" s="149" t="str">
        <f>IF($B14=0,"",('MF Rollover'!GE14*($P14*(1+'Property Summary'!$L$22)^('MF Releasing'!GF$3-1)))*$C14)</f>
        <v/>
      </c>
      <c r="GG14" s="149" t="str">
        <f>IF($B14=0,"",('MF Rollover'!GF14*($P14*(1+'Property Summary'!$L$22)^('MF Releasing'!GG$3-1)))*$C14)</f>
        <v/>
      </c>
      <c r="GH14" s="149" t="str">
        <f>IF($B14=0,"",('MF Rollover'!GG14*($P14*(1+'Property Summary'!$L$22)^('MF Releasing'!GH$3-1)))*$C14)</f>
        <v/>
      </c>
      <c r="GI14" s="149" t="str">
        <f>IF($B14=0,"",('MF Rollover'!GH14*($P14*(1+'Property Summary'!$L$22)^('MF Releasing'!GI$3-1)))*$C14)</f>
        <v/>
      </c>
      <c r="GJ14" s="149" t="str">
        <f>IF($B14=0,"",('MF Rollover'!GI14*($P14*(1+'Property Summary'!$L$22)^('MF Releasing'!GJ$3-1)))*$C14)</f>
        <v/>
      </c>
      <c r="GK14" s="149" t="str">
        <f>IF($B14=0,"",('MF Rollover'!GJ14*($P14*(1+'Property Summary'!$L$22)^('MF Releasing'!GK$3-1)))*$C14)</f>
        <v/>
      </c>
      <c r="GL14" s="149" t="str">
        <f>IF($B14=0,"",('MF Rollover'!GK14*($P14*(1+'Property Summary'!$L$22)^('MF Releasing'!GL$3-1)))*$C14)</f>
        <v/>
      </c>
      <c r="GM14" s="149" t="str">
        <f>IF($B14=0,"",('MF Rollover'!GL14*($P14*(1+'Property Summary'!$L$22)^('MF Releasing'!GM$3-1)))*$C14)</f>
        <v/>
      </c>
      <c r="GN14" s="149" t="str">
        <f>IF($B14=0,"",('MF Rollover'!GM14*($P14*(1+'Property Summary'!$L$22)^('MF Releasing'!GN$3-1)))*$C14)</f>
        <v/>
      </c>
      <c r="GO14" s="149" t="str">
        <f>IF($B14=0,"",('MF Rollover'!GN14*($P14*(1+'Property Summary'!$L$22)^('MF Releasing'!GO$3-1)))*$C14)</f>
        <v/>
      </c>
      <c r="GP14" s="149" t="str">
        <f>IF($B14=0,"",('MF Rollover'!GO14*($P14*(1+'Property Summary'!$L$22)^('MF Releasing'!GP$3-1)))*$C14)</f>
        <v/>
      </c>
    </row>
    <row r="15" spans="2:198" x14ac:dyDescent="0.3">
      <c r="B15" s="184">
        <f>'MF Rent Roll'!B14</f>
        <v>0</v>
      </c>
      <c r="C15" s="171">
        <f>'MF Rent Roll'!C14</f>
        <v>0</v>
      </c>
      <c r="D15" s="172">
        <f>'MF Rent Roll'!D14</f>
        <v>0</v>
      </c>
      <c r="E15" s="172">
        <f>'MF Rent Roll'!E14</f>
        <v>0</v>
      </c>
      <c r="F15" s="173">
        <f>'MF Rent Roll'!F14</f>
        <v>0</v>
      </c>
      <c r="G15" s="174">
        <f>'MF Rent Roll'!G14</f>
        <v>0</v>
      </c>
      <c r="H15" s="176">
        <f>'MF Rent Roll'!J14</f>
        <v>0</v>
      </c>
      <c r="I15" s="174">
        <f>'MF Rent Roll'!K14</f>
        <v>0</v>
      </c>
      <c r="J15" s="177">
        <f>'MF Rent Roll'!L14</f>
        <v>0</v>
      </c>
      <c r="K15" s="178">
        <f>'MF Rent Roll'!M14</f>
        <v>0</v>
      </c>
      <c r="L15" s="174">
        <f>'MF Rent Roll'!N14</f>
        <v>0</v>
      </c>
      <c r="M15" s="179">
        <f>'MF Rent Roll'!O14</f>
        <v>0</v>
      </c>
      <c r="N15" s="180" t="str">
        <f>'MF Rent Roll'!P14</f>
        <v/>
      </c>
      <c r="O15" s="181" t="str">
        <f>'MF Rent Roll'!Q14</f>
        <v/>
      </c>
      <c r="P15" s="104" t="str">
        <f>'MF Rent Roll'!R14</f>
        <v/>
      </c>
      <c r="S15" s="149" t="str">
        <f>IF($B15=0,"",('MF Rollover'!R15*($P15*(1+'Property Summary'!$L$22)^('MF Releasing'!S$3-1)))*$C15)</f>
        <v/>
      </c>
      <c r="T15" s="149" t="str">
        <f>IF($B15=0,"",('MF Rollover'!S15*($P15*(1+'Property Summary'!$L$22)^('MF Releasing'!T$3-1)))*$C15)</f>
        <v/>
      </c>
      <c r="U15" s="149" t="str">
        <f>IF($B15=0,"",('MF Rollover'!T15*($P15*(1+'Property Summary'!$L$22)^('MF Releasing'!U$3-1)))*$C15)</f>
        <v/>
      </c>
      <c r="V15" s="149" t="str">
        <f>IF($B15=0,"",('MF Rollover'!U15*($P15*(1+'Property Summary'!$L$22)^('MF Releasing'!V$3-1)))*$C15)</f>
        <v/>
      </c>
      <c r="W15" s="149" t="str">
        <f>IF($B15=0,"",('MF Rollover'!V15*($P15*(1+'Property Summary'!$L$22)^('MF Releasing'!W$3-1)))*$C15)</f>
        <v/>
      </c>
      <c r="X15" s="149" t="str">
        <f>IF($B15=0,"",('MF Rollover'!W15*($P15*(1+'Property Summary'!$L$22)^('MF Releasing'!X$3-1)))*$C15)</f>
        <v/>
      </c>
      <c r="Y15" s="149" t="str">
        <f>IF($B15=0,"",('MF Rollover'!X15*($P15*(1+'Property Summary'!$L$22)^('MF Releasing'!Y$3-1)))*$C15)</f>
        <v/>
      </c>
      <c r="Z15" s="149" t="str">
        <f>IF($B15=0,"",('MF Rollover'!Y15*($P15*(1+'Property Summary'!$L$22)^('MF Releasing'!Z$3-1)))*$C15)</f>
        <v/>
      </c>
      <c r="AA15" s="149" t="str">
        <f>IF($B15=0,"",('MF Rollover'!Z15*($P15*(1+'Property Summary'!$L$22)^('MF Releasing'!AA$3-1)))*$C15)</f>
        <v/>
      </c>
      <c r="AB15" s="149" t="str">
        <f>IF($B15=0,"",('MF Rollover'!AA15*($P15*(1+'Property Summary'!$L$22)^('MF Releasing'!AB$3-1)))*$C15)</f>
        <v/>
      </c>
      <c r="AC15" s="149" t="str">
        <f>IF($B15=0,"",('MF Rollover'!AB15*($P15*(1+'Property Summary'!$L$22)^('MF Releasing'!AC$3-1)))*$C15)</f>
        <v/>
      </c>
      <c r="AD15" s="149" t="str">
        <f>IF($B15=0,"",('MF Rollover'!AC15*($P15*(1+'Property Summary'!$L$22)^('MF Releasing'!AD$3-1)))*$C15)</f>
        <v/>
      </c>
      <c r="AE15" s="149" t="str">
        <f>IF($B15=0,"",('MF Rollover'!AD15*($P15*(1+'Property Summary'!$L$22)^('MF Releasing'!AE$3-1)))*$C15)</f>
        <v/>
      </c>
      <c r="AF15" s="149" t="str">
        <f>IF($B15=0,"",('MF Rollover'!AE15*($P15*(1+'Property Summary'!$L$22)^('MF Releasing'!AF$3-1)))*$C15)</f>
        <v/>
      </c>
      <c r="AG15" s="149" t="str">
        <f>IF($B15=0,"",('MF Rollover'!AF15*($P15*(1+'Property Summary'!$L$22)^('MF Releasing'!AG$3-1)))*$C15)</f>
        <v/>
      </c>
      <c r="AH15" s="149" t="str">
        <f>IF($B15=0,"",('MF Rollover'!AG15*($P15*(1+'Property Summary'!$L$22)^('MF Releasing'!AH$3-1)))*$C15)</f>
        <v/>
      </c>
      <c r="AI15" s="149" t="str">
        <f>IF($B15=0,"",('MF Rollover'!AH15*($P15*(1+'Property Summary'!$L$22)^('MF Releasing'!AI$3-1)))*$C15)</f>
        <v/>
      </c>
      <c r="AJ15" s="149" t="str">
        <f>IF($B15=0,"",('MF Rollover'!AI15*($P15*(1+'Property Summary'!$L$22)^('MF Releasing'!AJ$3-1)))*$C15)</f>
        <v/>
      </c>
      <c r="AK15" s="149" t="str">
        <f>IF($B15=0,"",('MF Rollover'!AJ15*($P15*(1+'Property Summary'!$L$22)^('MF Releasing'!AK$3-1)))*$C15)</f>
        <v/>
      </c>
      <c r="AL15" s="149" t="str">
        <f>IF($B15=0,"",('MF Rollover'!AK15*($P15*(1+'Property Summary'!$L$22)^('MF Releasing'!AL$3-1)))*$C15)</f>
        <v/>
      </c>
      <c r="AM15" s="149" t="str">
        <f>IF($B15=0,"",('MF Rollover'!AL15*($P15*(1+'Property Summary'!$L$22)^('MF Releasing'!AM$3-1)))*$C15)</f>
        <v/>
      </c>
      <c r="AN15" s="149" t="str">
        <f>IF($B15=0,"",('MF Rollover'!AM15*($P15*(1+'Property Summary'!$L$22)^('MF Releasing'!AN$3-1)))*$C15)</f>
        <v/>
      </c>
      <c r="AO15" s="149" t="str">
        <f>IF($B15=0,"",('MF Rollover'!AN15*($P15*(1+'Property Summary'!$L$22)^('MF Releasing'!AO$3-1)))*$C15)</f>
        <v/>
      </c>
      <c r="AP15" s="149" t="str">
        <f>IF($B15=0,"",('MF Rollover'!AO15*($P15*(1+'Property Summary'!$L$22)^('MF Releasing'!AP$3-1)))*$C15)</f>
        <v/>
      </c>
      <c r="AQ15" s="149" t="str">
        <f>IF($B15=0,"",('MF Rollover'!AP15*($P15*(1+'Property Summary'!$L$22)^('MF Releasing'!AQ$3-1)))*$C15)</f>
        <v/>
      </c>
      <c r="AR15" s="149" t="str">
        <f>IF($B15=0,"",('MF Rollover'!AQ15*($P15*(1+'Property Summary'!$L$22)^('MF Releasing'!AR$3-1)))*$C15)</f>
        <v/>
      </c>
      <c r="AS15" s="149" t="str">
        <f>IF($B15=0,"",('MF Rollover'!AR15*($P15*(1+'Property Summary'!$L$22)^('MF Releasing'!AS$3-1)))*$C15)</f>
        <v/>
      </c>
      <c r="AT15" s="149" t="str">
        <f>IF($B15=0,"",('MF Rollover'!AS15*($P15*(1+'Property Summary'!$L$22)^('MF Releasing'!AT$3-1)))*$C15)</f>
        <v/>
      </c>
      <c r="AU15" s="149" t="str">
        <f>IF($B15=0,"",('MF Rollover'!AT15*($P15*(1+'Property Summary'!$L$22)^('MF Releasing'!AU$3-1)))*$C15)</f>
        <v/>
      </c>
      <c r="AV15" s="149" t="str">
        <f>IF($B15=0,"",('MF Rollover'!AU15*($P15*(1+'Property Summary'!$L$22)^('MF Releasing'!AV$3-1)))*$C15)</f>
        <v/>
      </c>
      <c r="AW15" s="149" t="str">
        <f>IF($B15=0,"",('MF Rollover'!AV15*($P15*(1+'Property Summary'!$L$22)^('MF Releasing'!AW$3-1)))*$C15)</f>
        <v/>
      </c>
      <c r="AX15" s="149" t="str">
        <f>IF($B15=0,"",('MF Rollover'!AW15*($P15*(1+'Property Summary'!$L$22)^('MF Releasing'!AX$3-1)))*$C15)</f>
        <v/>
      </c>
      <c r="AY15" s="149" t="str">
        <f>IF($B15=0,"",('MF Rollover'!AX15*($P15*(1+'Property Summary'!$L$22)^('MF Releasing'!AY$3-1)))*$C15)</f>
        <v/>
      </c>
      <c r="AZ15" s="149" t="str">
        <f>IF($B15=0,"",('MF Rollover'!AY15*($P15*(1+'Property Summary'!$L$22)^('MF Releasing'!AZ$3-1)))*$C15)</f>
        <v/>
      </c>
      <c r="BA15" s="149" t="str">
        <f>IF($B15=0,"",('MF Rollover'!AZ15*($P15*(1+'Property Summary'!$L$22)^('MF Releasing'!BA$3-1)))*$C15)</f>
        <v/>
      </c>
      <c r="BB15" s="149" t="str">
        <f>IF($B15=0,"",('MF Rollover'!BA15*($P15*(1+'Property Summary'!$L$22)^('MF Releasing'!BB$3-1)))*$C15)</f>
        <v/>
      </c>
      <c r="BC15" s="149" t="str">
        <f>IF($B15=0,"",('MF Rollover'!BB15*($P15*(1+'Property Summary'!$L$22)^('MF Releasing'!BC$3-1)))*$C15)</f>
        <v/>
      </c>
      <c r="BD15" s="149" t="str">
        <f>IF($B15=0,"",('MF Rollover'!BC15*($P15*(1+'Property Summary'!$L$22)^('MF Releasing'!BD$3-1)))*$C15)</f>
        <v/>
      </c>
      <c r="BE15" s="149" t="str">
        <f>IF($B15=0,"",('MF Rollover'!BD15*($P15*(1+'Property Summary'!$L$22)^('MF Releasing'!BE$3-1)))*$C15)</f>
        <v/>
      </c>
      <c r="BF15" s="149" t="str">
        <f>IF($B15=0,"",('MF Rollover'!BE15*($P15*(1+'Property Summary'!$L$22)^('MF Releasing'!BF$3-1)))*$C15)</f>
        <v/>
      </c>
      <c r="BG15" s="149" t="str">
        <f>IF($B15=0,"",('MF Rollover'!BF15*($P15*(1+'Property Summary'!$L$22)^('MF Releasing'!BG$3-1)))*$C15)</f>
        <v/>
      </c>
      <c r="BH15" s="149" t="str">
        <f>IF($B15=0,"",('MF Rollover'!BG15*($P15*(1+'Property Summary'!$L$22)^('MF Releasing'!BH$3-1)))*$C15)</f>
        <v/>
      </c>
      <c r="BI15" s="149" t="str">
        <f>IF($B15=0,"",('MF Rollover'!BH15*($P15*(1+'Property Summary'!$L$22)^('MF Releasing'!BI$3-1)))*$C15)</f>
        <v/>
      </c>
      <c r="BJ15" s="149" t="str">
        <f>IF($B15=0,"",('MF Rollover'!BI15*($P15*(1+'Property Summary'!$L$22)^('MF Releasing'!BJ$3-1)))*$C15)</f>
        <v/>
      </c>
      <c r="BK15" s="149" t="str">
        <f>IF($B15=0,"",('MF Rollover'!BJ15*($P15*(1+'Property Summary'!$L$22)^('MF Releasing'!BK$3-1)))*$C15)</f>
        <v/>
      </c>
      <c r="BL15" s="149" t="str">
        <f>IF($B15=0,"",('MF Rollover'!BK15*($P15*(1+'Property Summary'!$L$22)^('MF Releasing'!BL$3-1)))*$C15)</f>
        <v/>
      </c>
      <c r="BM15" s="149" t="str">
        <f>IF($B15=0,"",('MF Rollover'!BL15*($P15*(1+'Property Summary'!$L$22)^('MF Releasing'!BM$3-1)))*$C15)</f>
        <v/>
      </c>
      <c r="BN15" s="149" t="str">
        <f>IF($B15=0,"",('MF Rollover'!BM15*($P15*(1+'Property Summary'!$L$22)^('MF Releasing'!BN$3-1)))*$C15)</f>
        <v/>
      </c>
      <c r="BO15" s="149" t="str">
        <f>IF($B15=0,"",('MF Rollover'!BN15*($P15*(1+'Property Summary'!$L$22)^('MF Releasing'!BO$3-1)))*$C15)</f>
        <v/>
      </c>
      <c r="BP15" s="149" t="str">
        <f>IF($B15=0,"",('MF Rollover'!BO15*($P15*(1+'Property Summary'!$L$22)^('MF Releasing'!BP$3-1)))*$C15)</f>
        <v/>
      </c>
      <c r="BQ15" s="149" t="str">
        <f>IF($B15=0,"",('MF Rollover'!BP15*($P15*(1+'Property Summary'!$L$22)^('MF Releasing'!BQ$3-1)))*$C15)</f>
        <v/>
      </c>
      <c r="BR15" s="149" t="str">
        <f>IF($B15=0,"",('MF Rollover'!BQ15*($P15*(1+'Property Summary'!$L$22)^('MF Releasing'!BR$3-1)))*$C15)</f>
        <v/>
      </c>
      <c r="BS15" s="149" t="str">
        <f>IF($B15=0,"",('MF Rollover'!BR15*($P15*(1+'Property Summary'!$L$22)^('MF Releasing'!BS$3-1)))*$C15)</f>
        <v/>
      </c>
      <c r="BT15" s="149" t="str">
        <f>IF($B15=0,"",('MF Rollover'!BS15*($P15*(1+'Property Summary'!$L$22)^('MF Releasing'!BT$3-1)))*$C15)</f>
        <v/>
      </c>
      <c r="BU15" s="149" t="str">
        <f>IF($B15=0,"",('MF Rollover'!BT15*($P15*(1+'Property Summary'!$L$22)^('MF Releasing'!BU$3-1)))*$C15)</f>
        <v/>
      </c>
      <c r="BV15" s="149" t="str">
        <f>IF($B15=0,"",('MF Rollover'!BU15*($P15*(1+'Property Summary'!$L$22)^('MF Releasing'!BV$3-1)))*$C15)</f>
        <v/>
      </c>
      <c r="BW15" s="149" t="str">
        <f>IF($B15=0,"",('MF Rollover'!BV15*($P15*(1+'Property Summary'!$L$22)^('MF Releasing'!BW$3-1)))*$C15)</f>
        <v/>
      </c>
      <c r="BX15" s="149" t="str">
        <f>IF($B15=0,"",('MF Rollover'!BW15*($P15*(1+'Property Summary'!$L$22)^('MF Releasing'!BX$3-1)))*$C15)</f>
        <v/>
      </c>
      <c r="BY15" s="149" t="str">
        <f>IF($B15=0,"",('MF Rollover'!BX15*($P15*(1+'Property Summary'!$L$22)^('MF Releasing'!BY$3-1)))*$C15)</f>
        <v/>
      </c>
      <c r="BZ15" s="149" t="str">
        <f>IF($B15=0,"",('MF Rollover'!BY15*($P15*(1+'Property Summary'!$L$22)^('MF Releasing'!BZ$3-1)))*$C15)</f>
        <v/>
      </c>
      <c r="CA15" s="149" t="str">
        <f>IF($B15=0,"",('MF Rollover'!BZ15*($P15*(1+'Property Summary'!$L$22)^('MF Releasing'!CA$3-1)))*$C15)</f>
        <v/>
      </c>
      <c r="CB15" s="149" t="str">
        <f>IF($B15=0,"",('MF Rollover'!CA15*($P15*(1+'Property Summary'!$L$22)^('MF Releasing'!CB$3-1)))*$C15)</f>
        <v/>
      </c>
      <c r="CC15" s="149" t="str">
        <f>IF($B15=0,"",('MF Rollover'!CB15*($P15*(1+'Property Summary'!$L$22)^('MF Releasing'!CC$3-1)))*$C15)</f>
        <v/>
      </c>
      <c r="CD15" s="149" t="str">
        <f>IF($B15=0,"",('MF Rollover'!CC15*($P15*(1+'Property Summary'!$L$22)^('MF Releasing'!CD$3-1)))*$C15)</f>
        <v/>
      </c>
      <c r="CE15" s="149" t="str">
        <f>IF($B15=0,"",('MF Rollover'!CD15*($P15*(1+'Property Summary'!$L$22)^('MF Releasing'!CE$3-1)))*$C15)</f>
        <v/>
      </c>
      <c r="CF15" s="149" t="str">
        <f>IF($B15=0,"",('MF Rollover'!CE15*($P15*(1+'Property Summary'!$L$22)^('MF Releasing'!CF$3-1)))*$C15)</f>
        <v/>
      </c>
      <c r="CG15" s="149" t="str">
        <f>IF($B15=0,"",('MF Rollover'!CF15*($P15*(1+'Property Summary'!$L$22)^('MF Releasing'!CG$3-1)))*$C15)</f>
        <v/>
      </c>
      <c r="CH15" s="149" t="str">
        <f>IF($B15=0,"",('MF Rollover'!CG15*($P15*(1+'Property Summary'!$L$22)^('MF Releasing'!CH$3-1)))*$C15)</f>
        <v/>
      </c>
      <c r="CI15" s="149" t="str">
        <f>IF($B15=0,"",('MF Rollover'!CH15*($P15*(1+'Property Summary'!$L$22)^('MF Releasing'!CI$3-1)))*$C15)</f>
        <v/>
      </c>
      <c r="CJ15" s="149" t="str">
        <f>IF($B15=0,"",('MF Rollover'!CI15*($P15*(1+'Property Summary'!$L$22)^('MF Releasing'!CJ$3-1)))*$C15)</f>
        <v/>
      </c>
      <c r="CK15" s="149" t="str">
        <f>IF($B15=0,"",('MF Rollover'!CJ15*($P15*(1+'Property Summary'!$L$22)^('MF Releasing'!CK$3-1)))*$C15)</f>
        <v/>
      </c>
      <c r="CL15" s="149" t="str">
        <f>IF($B15=0,"",('MF Rollover'!CK15*($P15*(1+'Property Summary'!$L$22)^('MF Releasing'!CL$3-1)))*$C15)</f>
        <v/>
      </c>
      <c r="CM15" s="149" t="str">
        <f>IF($B15=0,"",('MF Rollover'!CL15*($P15*(1+'Property Summary'!$L$22)^('MF Releasing'!CM$3-1)))*$C15)</f>
        <v/>
      </c>
      <c r="CN15" s="149" t="str">
        <f>IF($B15=0,"",('MF Rollover'!CM15*($P15*(1+'Property Summary'!$L$22)^('MF Releasing'!CN$3-1)))*$C15)</f>
        <v/>
      </c>
      <c r="CO15" s="149" t="str">
        <f>IF($B15=0,"",('MF Rollover'!CN15*($P15*(1+'Property Summary'!$L$22)^('MF Releasing'!CO$3-1)))*$C15)</f>
        <v/>
      </c>
      <c r="CP15" s="149" t="str">
        <f>IF($B15=0,"",('MF Rollover'!CO15*($P15*(1+'Property Summary'!$L$22)^('MF Releasing'!CP$3-1)))*$C15)</f>
        <v/>
      </c>
      <c r="CQ15" s="149" t="str">
        <f>IF($B15=0,"",('MF Rollover'!CP15*($P15*(1+'Property Summary'!$L$22)^('MF Releasing'!CQ$3-1)))*$C15)</f>
        <v/>
      </c>
      <c r="CR15" s="149" t="str">
        <f>IF($B15=0,"",('MF Rollover'!CQ15*($P15*(1+'Property Summary'!$L$22)^('MF Releasing'!CR$3-1)))*$C15)</f>
        <v/>
      </c>
      <c r="CS15" s="149" t="str">
        <f>IF($B15=0,"",('MF Rollover'!CR15*($P15*(1+'Property Summary'!$L$22)^('MF Releasing'!CS$3-1)))*$C15)</f>
        <v/>
      </c>
      <c r="CT15" s="149" t="str">
        <f>IF($B15=0,"",('MF Rollover'!CS15*($P15*(1+'Property Summary'!$L$22)^('MF Releasing'!CT$3-1)))*$C15)</f>
        <v/>
      </c>
      <c r="CU15" s="149" t="str">
        <f>IF($B15=0,"",('MF Rollover'!CT15*($P15*(1+'Property Summary'!$L$22)^('MF Releasing'!CU$3-1)))*$C15)</f>
        <v/>
      </c>
      <c r="CV15" s="149" t="str">
        <f>IF($B15=0,"",('MF Rollover'!CU15*($P15*(1+'Property Summary'!$L$22)^('MF Releasing'!CV$3-1)))*$C15)</f>
        <v/>
      </c>
      <c r="CW15" s="149" t="str">
        <f>IF($B15=0,"",('MF Rollover'!CV15*($P15*(1+'Property Summary'!$L$22)^('MF Releasing'!CW$3-1)))*$C15)</f>
        <v/>
      </c>
      <c r="CX15" s="149" t="str">
        <f>IF($B15=0,"",('MF Rollover'!CW15*($P15*(1+'Property Summary'!$L$22)^('MF Releasing'!CX$3-1)))*$C15)</f>
        <v/>
      </c>
      <c r="CY15" s="149" t="str">
        <f>IF($B15=0,"",('MF Rollover'!CX15*($P15*(1+'Property Summary'!$L$22)^('MF Releasing'!CY$3-1)))*$C15)</f>
        <v/>
      </c>
      <c r="CZ15" s="149" t="str">
        <f>IF($B15=0,"",('MF Rollover'!CY15*($P15*(1+'Property Summary'!$L$22)^('MF Releasing'!CZ$3-1)))*$C15)</f>
        <v/>
      </c>
      <c r="DA15" s="149" t="str">
        <f>IF($B15=0,"",('MF Rollover'!CZ15*($P15*(1+'Property Summary'!$L$22)^('MF Releasing'!DA$3-1)))*$C15)</f>
        <v/>
      </c>
      <c r="DB15" s="149" t="str">
        <f>IF($B15=0,"",('MF Rollover'!DA15*($P15*(1+'Property Summary'!$L$22)^('MF Releasing'!DB$3-1)))*$C15)</f>
        <v/>
      </c>
      <c r="DC15" s="149" t="str">
        <f>IF($B15=0,"",('MF Rollover'!DB15*($P15*(1+'Property Summary'!$L$22)^('MF Releasing'!DC$3-1)))*$C15)</f>
        <v/>
      </c>
      <c r="DD15" s="149" t="str">
        <f>IF($B15=0,"",('MF Rollover'!DC15*($P15*(1+'Property Summary'!$L$22)^('MF Releasing'!DD$3-1)))*$C15)</f>
        <v/>
      </c>
      <c r="DE15" s="149" t="str">
        <f>IF($B15=0,"",('MF Rollover'!DD15*($P15*(1+'Property Summary'!$L$22)^('MF Releasing'!DE$3-1)))*$C15)</f>
        <v/>
      </c>
      <c r="DF15" s="149" t="str">
        <f>IF($B15=0,"",('MF Rollover'!DE15*($P15*(1+'Property Summary'!$L$22)^('MF Releasing'!DF$3-1)))*$C15)</f>
        <v/>
      </c>
      <c r="DG15" s="149" t="str">
        <f>IF($B15=0,"",('MF Rollover'!DF15*($P15*(1+'Property Summary'!$L$22)^('MF Releasing'!DG$3-1)))*$C15)</f>
        <v/>
      </c>
      <c r="DH15" s="149" t="str">
        <f>IF($B15=0,"",('MF Rollover'!DG15*($P15*(1+'Property Summary'!$L$22)^('MF Releasing'!DH$3-1)))*$C15)</f>
        <v/>
      </c>
      <c r="DI15" s="149" t="str">
        <f>IF($B15=0,"",('MF Rollover'!DH15*($P15*(1+'Property Summary'!$L$22)^('MF Releasing'!DI$3-1)))*$C15)</f>
        <v/>
      </c>
      <c r="DJ15" s="149" t="str">
        <f>IF($B15=0,"",('MF Rollover'!DI15*($P15*(1+'Property Summary'!$L$22)^('MF Releasing'!DJ$3-1)))*$C15)</f>
        <v/>
      </c>
      <c r="DK15" s="149" t="str">
        <f>IF($B15=0,"",('MF Rollover'!DJ15*($P15*(1+'Property Summary'!$L$22)^('MF Releasing'!DK$3-1)))*$C15)</f>
        <v/>
      </c>
      <c r="DL15" s="149" t="str">
        <f>IF($B15=0,"",('MF Rollover'!DK15*($P15*(1+'Property Summary'!$L$22)^('MF Releasing'!DL$3-1)))*$C15)</f>
        <v/>
      </c>
      <c r="DM15" s="149" t="str">
        <f>IF($B15=0,"",('MF Rollover'!DL15*($P15*(1+'Property Summary'!$L$22)^('MF Releasing'!DM$3-1)))*$C15)</f>
        <v/>
      </c>
      <c r="DN15" s="149" t="str">
        <f>IF($B15=0,"",('MF Rollover'!DM15*($P15*(1+'Property Summary'!$L$22)^('MF Releasing'!DN$3-1)))*$C15)</f>
        <v/>
      </c>
      <c r="DO15" s="149" t="str">
        <f>IF($B15=0,"",('MF Rollover'!DN15*($P15*(1+'Property Summary'!$L$22)^('MF Releasing'!DO$3-1)))*$C15)</f>
        <v/>
      </c>
      <c r="DP15" s="149" t="str">
        <f>IF($B15=0,"",('MF Rollover'!DO15*($P15*(1+'Property Summary'!$L$22)^('MF Releasing'!DP$3-1)))*$C15)</f>
        <v/>
      </c>
      <c r="DQ15" s="149" t="str">
        <f>IF($B15=0,"",('MF Rollover'!DP15*($P15*(1+'Property Summary'!$L$22)^('MF Releasing'!DQ$3-1)))*$C15)</f>
        <v/>
      </c>
      <c r="DR15" s="149" t="str">
        <f>IF($B15=0,"",('MF Rollover'!DQ15*($P15*(1+'Property Summary'!$L$22)^('MF Releasing'!DR$3-1)))*$C15)</f>
        <v/>
      </c>
      <c r="DS15" s="149" t="str">
        <f>IF($B15=0,"",('MF Rollover'!DR15*($P15*(1+'Property Summary'!$L$22)^('MF Releasing'!DS$3-1)))*$C15)</f>
        <v/>
      </c>
      <c r="DT15" s="149" t="str">
        <f>IF($B15=0,"",('MF Rollover'!DS15*($P15*(1+'Property Summary'!$L$22)^('MF Releasing'!DT$3-1)))*$C15)</f>
        <v/>
      </c>
      <c r="DU15" s="149" t="str">
        <f>IF($B15=0,"",('MF Rollover'!DT15*($P15*(1+'Property Summary'!$L$22)^('MF Releasing'!DU$3-1)))*$C15)</f>
        <v/>
      </c>
      <c r="DV15" s="149" t="str">
        <f>IF($B15=0,"",('MF Rollover'!DU15*($P15*(1+'Property Summary'!$L$22)^('MF Releasing'!DV$3-1)))*$C15)</f>
        <v/>
      </c>
      <c r="DW15" s="149" t="str">
        <f>IF($B15=0,"",('MF Rollover'!DV15*($P15*(1+'Property Summary'!$L$22)^('MF Releasing'!DW$3-1)))*$C15)</f>
        <v/>
      </c>
      <c r="DX15" s="149" t="str">
        <f>IF($B15=0,"",('MF Rollover'!DW15*($P15*(1+'Property Summary'!$L$22)^('MF Releasing'!DX$3-1)))*$C15)</f>
        <v/>
      </c>
      <c r="DY15" s="149" t="str">
        <f>IF($B15=0,"",('MF Rollover'!DX15*($P15*(1+'Property Summary'!$L$22)^('MF Releasing'!DY$3-1)))*$C15)</f>
        <v/>
      </c>
      <c r="DZ15" s="149" t="str">
        <f>IF($B15=0,"",('MF Rollover'!DY15*($P15*(1+'Property Summary'!$L$22)^('MF Releasing'!DZ$3-1)))*$C15)</f>
        <v/>
      </c>
      <c r="EA15" s="149" t="str">
        <f>IF($B15=0,"",('MF Rollover'!DZ15*($P15*(1+'Property Summary'!$L$22)^('MF Releasing'!EA$3-1)))*$C15)</f>
        <v/>
      </c>
      <c r="EB15" s="149" t="str">
        <f>IF($B15=0,"",('MF Rollover'!EA15*($P15*(1+'Property Summary'!$L$22)^('MF Releasing'!EB$3-1)))*$C15)</f>
        <v/>
      </c>
      <c r="EC15" s="149" t="str">
        <f>IF($B15=0,"",('MF Rollover'!EB15*($P15*(1+'Property Summary'!$L$22)^('MF Releasing'!EC$3-1)))*$C15)</f>
        <v/>
      </c>
      <c r="ED15" s="149" t="str">
        <f>IF($B15=0,"",('MF Rollover'!EC15*($P15*(1+'Property Summary'!$L$22)^('MF Releasing'!ED$3-1)))*$C15)</f>
        <v/>
      </c>
      <c r="EE15" s="149" t="str">
        <f>IF($B15=0,"",('MF Rollover'!ED15*($P15*(1+'Property Summary'!$L$22)^('MF Releasing'!EE$3-1)))*$C15)</f>
        <v/>
      </c>
      <c r="EF15" s="149" t="str">
        <f>IF($B15=0,"",('MF Rollover'!EE15*($P15*(1+'Property Summary'!$L$22)^('MF Releasing'!EF$3-1)))*$C15)</f>
        <v/>
      </c>
      <c r="EG15" s="149" t="str">
        <f>IF($B15=0,"",('MF Rollover'!EF15*($P15*(1+'Property Summary'!$L$22)^('MF Releasing'!EG$3-1)))*$C15)</f>
        <v/>
      </c>
      <c r="EH15" s="149" t="str">
        <f>IF($B15=0,"",('MF Rollover'!EG15*($P15*(1+'Property Summary'!$L$22)^('MF Releasing'!EH$3-1)))*$C15)</f>
        <v/>
      </c>
      <c r="EI15" s="149" t="str">
        <f>IF($B15=0,"",('MF Rollover'!EH15*($P15*(1+'Property Summary'!$L$22)^('MF Releasing'!EI$3-1)))*$C15)</f>
        <v/>
      </c>
      <c r="EJ15" s="149" t="str">
        <f>IF($B15=0,"",('MF Rollover'!EI15*($P15*(1+'Property Summary'!$L$22)^('MF Releasing'!EJ$3-1)))*$C15)</f>
        <v/>
      </c>
      <c r="EK15" s="149" t="str">
        <f>IF($B15=0,"",('MF Rollover'!EJ15*($P15*(1+'Property Summary'!$L$22)^('MF Releasing'!EK$3-1)))*$C15)</f>
        <v/>
      </c>
      <c r="EL15" s="149" t="str">
        <f>IF($B15=0,"",('MF Rollover'!EK15*($P15*(1+'Property Summary'!$L$22)^('MF Releasing'!EL$3-1)))*$C15)</f>
        <v/>
      </c>
      <c r="EM15" s="149" t="str">
        <f>IF($B15=0,"",('MF Rollover'!EL15*($P15*(1+'Property Summary'!$L$22)^('MF Releasing'!EM$3-1)))*$C15)</f>
        <v/>
      </c>
      <c r="EN15" s="149" t="str">
        <f>IF($B15=0,"",('MF Rollover'!EM15*($P15*(1+'Property Summary'!$L$22)^('MF Releasing'!EN$3-1)))*$C15)</f>
        <v/>
      </c>
      <c r="EO15" s="149" t="str">
        <f>IF($B15=0,"",('MF Rollover'!EN15*($P15*(1+'Property Summary'!$L$22)^('MF Releasing'!EO$3-1)))*$C15)</f>
        <v/>
      </c>
      <c r="EP15" s="149" t="str">
        <f>IF($B15=0,"",('MF Rollover'!EO15*($P15*(1+'Property Summary'!$L$22)^('MF Releasing'!EP$3-1)))*$C15)</f>
        <v/>
      </c>
      <c r="EQ15" s="149" t="str">
        <f>IF($B15=0,"",('MF Rollover'!EP15*($P15*(1+'Property Summary'!$L$22)^('MF Releasing'!EQ$3-1)))*$C15)</f>
        <v/>
      </c>
      <c r="ER15" s="149" t="str">
        <f>IF($B15=0,"",('MF Rollover'!EQ15*($P15*(1+'Property Summary'!$L$22)^('MF Releasing'!ER$3-1)))*$C15)</f>
        <v/>
      </c>
      <c r="ES15" s="149" t="str">
        <f>IF($B15=0,"",('MF Rollover'!ER15*($P15*(1+'Property Summary'!$L$22)^('MF Releasing'!ES$3-1)))*$C15)</f>
        <v/>
      </c>
      <c r="ET15" s="149" t="str">
        <f>IF($B15=0,"",('MF Rollover'!ES15*($P15*(1+'Property Summary'!$L$22)^('MF Releasing'!ET$3-1)))*$C15)</f>
        <v/>
      </c>
      <c r="EU15" s="149" t="str">
        <f>IF($B15=0,"",('MF Rollover'!ET15*($P15*(1+'Property Summary'!$L$22)^('MF Releasing'!EU$3-1)))*$C15)</f>
        <v/>
      </c>
      <c r="EV15" s="149" t="str">
        <f>IF($B15=0,"",('MF Rollover'!EU15*($P15*(1+'Property Summary'!$L$22)^('MF Releasing'!EV$3-1)))*$C15)</f>
        <v/>
      </c>
      <c r="EW15" s="149" t="str">
        <f>IF($B15=0,"",('MF Rollover'!EV15*($P15*(1+'Property Summary'!$L$22)^('MF Releasing'!EW$3-1)))*$C15)</f>
        <v/>
      </c>
      <c r="EX15" s="149" t="str">
        <f>IF($B15=0,"",('MF Rollover'!EW15*($P15*(1+'Property Summary'!$L$22)^('MF Releasing'!EX$3-1)))*$C15)</f>
        <v/>
      </c>
      <c r="EY15" s="149" t="str">
        <f>IF($B15=0,"",('MF Rollover'!EX15*($P15*(1+'Property Summary'!$L$22)^('MF Releasing'!EY$3-1)))*$C15)</f>
        <v/>
      </c>
      <c r="EZ15" s="149" t="str">
        <f>IF($B15=0,"",('MF Rollover'!EY15*($P15*(1+'Property Summary'!$L$22)^('MF Releasing'!EZ$3-1)))*$C15)</f>
        <v/>
      </c>
      <c r="FA15" s="149" t="str">
        <f>IF($B15=0,"",('MF Rollover'!EZ15*($P15*(1+'Property Summary'!$L$22)^('MF Releasing'!FA$3-1)))*$C15)</f>
        <v/>
      </c>
      <c r="FB15" s="149" t="str">
        <f>IF($B15=0,"",('MF Rollover'!FA15*($P15*(1+'Property Summary'!$L$22)^('MF Releasing'!FB$3-1)))*$C15)</f>
        <v/>
      </c>
      <c r="FC15" s="149" t="str">
        <f>IF($B15=0,"",('MF Rollover'!FB15*($P15*(1+'Property Summary'!$L$22)^('MF Releasing'!FC$3-1)))*$C15)</f>
        <v/>
      </c>
      <c r="FD15" s="149" t="str">
        <f>IF($B15=0,"",('MF Rollover'!FC15*($P15*(1+'Property Summary'!$L$22)^('MF Releasing'!FD$3-1)))*$C15)</f>
        <v/>
      </c>
      <c r="FE15" s="149" t="str">
        <f>IF($B15=0,"",('MF Rollover'!FD15*($P15*(1+'Property Summary'!$L$22)^('MF Releasing'!FE$3-1)))*$C15)</f>
        <v/>
      </c>
      <c r="FF15" s="149" t="str">
        <f>IF($B15=0,"",('MF Rollover'!FE15*($P15*(1+'Property Summary'!$L$22)^('MF Releasing'!FF$3-1)))*$C15)</f>
        <v/>
      </c>
      <c r="FG15" s="149" t="str">
        <f>IF($B15=0,"",('MF Rollover'!FF15*($P15*(1+'Property Summary'!$L$22)^('MF Releasing'!FG$3-1)))*$C15)</f>
        <v/>
      </c>
      <c r="FH15" s="149" t="str">
        <f>IF($B15=0,"",('MF Rollover'!FG15*($P15*(1+'Property Summary'!$L$22)^('MF Releasing'!FH$3-1)))*$C15)</f>
        <v/>
      </c>
      <c r="FI15" s="149" t="str">
        <f>IF($B15=0,"",('MF Rollover'!FH15*($P15*(1+'Property Summary'!$L$22)^('MF Releasing'!FI$3-1)))*$C15)</f>
        <v/>
      </c>
      <c r="FJ15" s="149" t="str">
        <f>IF($B15=0,"",('MF Rollover'!FI15*($P15*(1+'Property Summary'!$L$22)^('MF Releasing'!FJ$3-1)))*$C15)</f>
        <v/>
      </c>
      <c r="FK15" s="149" t="str">
        <f>IF($B15=0,"",('MF Rollover'!FJ15*($P15*(1+'Property Summary'!$L$22)^('MF Releasing'!FK$3-1)))*$C15)</f>
        <v/>
      </c>
      <c r="FL15" s="149" t="str">
        <f>IF($B15=0,"",('MF Rollover'!FK15*($P15*(1+'Property Summary'!$L$22)^('MF Releasing'!FL$3-1)))*$C15)</f>
        <v/>
      </c>
      <c r="FM15" s="149" t="str">
        <f>IF($B15=0,"",('MF Rollover'!FL15*($P15*(1+'Property Summary'!$L$22)^('MF Releasing'!FM$3-1)))*$C15)</f>
        <v/>
      </c>
      <c r="FN15" s="149" t="str">
        <f>IF($B15=0,"",('MF Rollover'!FM15*($P15*(1+'Property Summary'!$L$22)^('MF Releasing'!FN$3-1)))*$C15)</f>
        <v/>
      </c>
      <c r="FO15" s="149" t="str">
        <f>IF($B15=0,"",('MF Rollover'!FN15*($P15*(1+'Property Summary'!$L$22)^('MF Releasing'!FO$3-1)))*$C15)</f>
        <v/>
      </c>
      <c r="FP15" s="149" t="str">
        <f>IF($B15=0,"",('MF Rollover'!FO15*($P15*(1+'Property Summary'!$L$22)^('MF Releasing'!FP$3-1)))*$C15)</f>
        <v/>
      </c>
      <c r="FQ15" s="149" t="str">
        <f>IF($B15=0,"",('MF Rollover'!FP15*($P15*(1+'Property Summary'!$L$22)^('MF Releasing'!FQ$3-1)))*$C15)</f>
        <v/>
      </c>
      <c r="FR15" s="149" t="str">
        <f>IF($B15=0,"",('MF Rollover'!FQ15*($P15*(1+'Property Summary'!$L$22)^('MF Releasing'!FR$3-1)))*$C15)</f>
        <v/>
      </c>
      <c r="FS15" s="149" t="str">
        <f>IF($B15=0,"",('MF Rollover'!FR15*($P15*(1+'Property Summary'!$L$22)^('MF Releasing'!FS$3-1)))*$C15)</f>
        <v/>
      </c>
      <c r="FT15" s="149" t="str">
        <f>IF($B15=0,"",('MF Rollover'!FS15*($P15*(1+'Property Summary'!$L$22)^('MF Releasing'!FT$3-1)))*$C15)</f>
        <v/>
      </c>
      <c r="FU15" s="149" t="str">
        <f>IF($B15=0,"",('MF Rollover'!FT15*($P15*(1+'Property Summary'!$L$22)^('MF Releasing'!FU$3-1)))*$C15)</f>
        <v/>
      </c>
      <c r="FV15" s="149" t="str">
        <f>IF($B15=0,"",('MF Rollover'!FU15*($P15*(1+'Property Summary'!$L$22)^('MF Releasing'!FV$3-1)))*$C15)</f>
        <v/>
      </c>
      <c r="FW15" s="149" t="str">
        <f>IF($B15=0,"",('MF Rollover'!FV15*($P15*(1+'Property Summary'!$L$22)^('MF Releasing'!FW$3-1)))*$C15)</f>
        <v/>
      </c>
      <c r="FX15" s="149" t="str">
        <f>IF($B15=0,"",('MF Rollover'!FW15*($P15*(1+'Property Summary'!$L$22)^('MF Releasing'!FX$3-1)))*$C15)</f>
        <v/>
      </c>
      <c r="FY15" s="149" t="str">
        <f>IF($B15=0,"",('MF Rollover'!FX15*($P15*(1+'Property Summary'!$L$22)^('MF Releasing'!FY$3-1)))*$C15)</f>
        <v/>
      </c>
      <c r="FZ15" s="149" t="str">
        <f>IF($B15=0,"",('MF Rollover'!FY15*($P15*(1+'Property Summary'!$L$22)^('MF Releasing'!FZ$3-1)))*$C15)</f>
        <v/>
      </c>
      <c r="GA15" s="149" t="str">
        <f>IF($B15=0,"",('MF Rollover'!FZ15*($P15*(1+'Property Summary'!$L$22)^('MF Releasing'!GA$3-1)))*$C15)</f>
        <v/>
      </c>
      <c r="GB15" s="149" t="str">
        <f>IF($B15=0,"",('MF Rollover'!GA15*($P15*(1+'Property Summary'!$L$22)^('MF Releasing'!GB$3-1)))*$C15)</f>
        <v/>
      </c>
      <c r="GC15" s="149" t="str">
        <f>IF($B15=0,"",('MF Rollover'!GB15*($P15*(1+'Property Summary'!$L$22)^('MF Releasing'!GC$3-1)))*$C15)</f>
        <v/>
      </c>
      <c r="GD15" s="149" t="str">
        <f>IF($B15=0,"",('MF Rollover'!GC15*($P15*(1+'Property Summary'!$L$22)^('MF Releasing'!GD$3-1)))*$C15)</f>
        <v/>
      </c>
      <c r="GE15" s="149" t="str">
        <f>IF($B15=0,"",('MF Rollover'!GD15*($P15*(1+'Property Summary'!$L$22)^('MF Releasing'!GE$3-1)))*$C15)</f>
        <v/>
      </c>
      <c r="GF15" s="149" t="str">
        <f>IF($B15=0,"",('MF Rollover'!GE15*($P15*(1+'Property Summary'!$L$22)^('MF Releasing'!GF$3-1)))*$C15)</f>
        <v/>
      </c>
      <c r="GG15" s="149" t="str">
        <f>IF($B15=0,"",('MF Rollover'!GF15*($P15*(1+'Property Summary'!$L$22)^('MF Releasing'!GG$3-1)))*$C15)</f>
        <v/>
      </c>
      <c r="GH15" s="149" t="str">
        <f>IF($B15=0,"",('MF Rollover'!GG15*($P15*(1+'Property Summary'!$L$22)^('MF Releasing'!GH$3-1)))*$C15)</f>
        <v/>
      </c>
      <c r="GI15" s="149" t="str">
        <f>IF($B15=0,"",('MF Rollover'!GH15*($P15*(1+'Property Summary'!$L$22)^('MF Releasing'!GI$3-1)))*$C15)</f>
        <v/>
      </c>
      <c r="GJ15" s="149" t="str">
        <f>IF($B15=0,"",('MF Rollover'!GI15*($P15*(1+'Property Summary'!$L$22)^('MF Releasing'!GJ$3-1)))*$C15)</f>
        <v/>
      </c>
      <c r="GK15" s="149" t="str">
        <f>IF($B15=0,"",('MF Rollover'!GJ15*($P15*(1+'Property Summary'!$L$22)^('MF Releasing'!GK$3-1)))*$C15)</f>
        <v/>
      </c>
      <c r="GL15" s="149" t="str">
        <f>IF($B15=0,"",('MF Rollover'!GK15*($P15*(1+'Property Summary'!$L$22)^('MF Releasing'!GL$3-1)))*$C15)</f>
        <v/>
      </c>
      <c r="GM15" s="149" t="str">
        <f>IF($B15=0,"",('MF Rollover'!GL15*($P15*(1+'Property Summary'!$L$22)^('MF Releasing'!GM$3-1)))*$C15)</f>
        <v/>
      </c>
      <c r="GN15" s="149" t="str">
        <f>IF($B15=0,"",('MF Rollover'!GM15*($P15*(1+'Property Summary'!$L$22)^('MF Releasing'!GN$3-1)))*$C15)</f>
        <v/>
      </c>
      <c r="GO15" s="149" t="str">
        <f>IF($B15=0,"",('MF Rollover'!GN15*($P15*(1+'Property Summary'!$L$22)^('MF Releasing'!GO$3-1)))*$C15)</f>
        <v/>
      </c>
      <c r="GP15" s="149" t="str">
        <f>IF($B15=0,"",('MF Rollover'!GO15*($P15*(1+'Property Summary'!$L$22)^('MF Releasing'!GP$3-1)))*$C15)</f>
        <v/>
      </c>
    </row>
    <row r="16" spans="2:198" x14ac:dyDescent="0.3">
      <c r="B16" s="184">
        <f>'MF Rent Roll'!B15</f>
        <v>0</v>
      </c>
      <c r="C16" s="171">
        <f>'MF Rent Roll'!C15</f>
        <v>0</v>
      </c>
      <c r="D16" s="172">
        <f>'MF Rent Roll'!D15</f>
        <v>0</v>
      </c>
      <c r="E16" s="172">
        <f>'MF Rent Roll'!E15</f>
        <v>0</v>
      </c>
      <c r="F16" s="173">
        <f>'MF Rent Roll'!F15</f>
        <v>0</v>
      </c>
      <c r="G16" s="174">
        <f>'MF Rent Roll'!G15</f>
        <v>0</v>
      </c>
      <c r="H16" s="176">
        <f>'MF Rent Roll'!J15</f>
        <v>0</v>
      </c>
      <c r="I16" s="174">
        <f>'MF Rent Roll'!K15</f>
        <v>0</v>
      </c>
      <c r="J16" s="177">
        <f>'MF Rent Roll'!L15</f>
        <v>0</v>
      </c>
      <c r="K16" s="178">
        <f>'MF Rent Roll'!M15</f>
        <v>0</v>
      </c>
      <c r="L16" s="174">
        <f>'MF Rent Roll'!N15</f>
        <v>0</v>
      </c>
      <c r="M16" s="179">
        <f>'MF Rent Roll'!O15</f>
        <v>0</v>
      </c>
      <c r="N16" s="180" t="str">
        <f>'MF Rent Roll'!P15</f>
        <v/>
      </c>
      <c r="O16" s="181" t="str">
        <f>'MF Rent Roll'!Q15</f>
        <v/>
      </c>
      <c r="P16" s="104" t="str">
        <f>'MF Rent Roll'!R15</f>
        <v/>
      </c>
      <c r="S16" s="149" t="str">
        <f>IF($B16=0,"",('MF Rollover'!R16*($P16*(1+'Property Summary'!$L$22)^('MF Releasing'!S$3-1)))*$C16)</f>
        <v/>
      </c>
      <c r="T16" s="149" t="str">
        <f>IF($B16=0,"",('MF Rollover'!S16*($P16*(1+'Property Summary'!$L$22)^('MF Releasing'!T$3-1)))*$C16)</f>
        <v/>
      </c>
      <c r="U16" s="149" t="str">
        <f>IF($B16=0,"",('MF Rollover'!T16*($P16*(1+'Property Summary'!$L$22)^('MF Releasing'!U$3-1)))*$C16)</f>
        <v/>
      </c>
      <c r="V16" s="149" t="str">
        <f>IF($B16=0,"",('MF Rollover'!U16*($P16*(1+'Property Summary'!$L$22)^('MF Releasing'!V$3-1)))*$C16)</f>
        <v/>
      </c>
      <c r="W16" s="149" t="str">
        <f>IF($B16=0,"",('MF Rollover'!V16*($P16*(1+'Property Summary'!$L$22)^('MF Releasing'!W$3-1)))*$C16)</f>
        <v/>
      </c>
      <c r="X16" s="149" t="str">
        <f>IF($B16=0,"",('MF Rollover'!W16*($P16*(1+'Property Summary'!$L$22)^('MF Releasing'!X$3-1)))*$C16)</f>
        <v/>
      </c>
      <c r="Y16" s="149" t="str">
        <f>IF($B16=0,"",('MF Rollover'!X16*($P16*(1+'Property Summary'!$L$22)^('MF Releasing'!Y$3-1)))*$C16)</f>
        <v/>
      </c>
      <c r="Z16" s="149" t="str">
        <f>IF($B16=0,"",('MF Rollover'!Y16*($P16*(1+'Property Summary'!$L$22)^('MF Releasing'!Z$3-1)))*$C16)</f>
        <v/>
      </c>
      <c r="AA16" s="149" t="str">
        <f>IF($B16=0,"",('MF Rollover'!Z16*($P16*(1+'Property Summary'!$L$22)^('MF Releasing'!AA$3-1)))*$C16)</f>
        <v/>
      </c>
      <c r="AB16" s="149" t="str">
        <f>IF($B16=0,"",('MF Rollover'!AA16*($P16*(1+'Property Summary'!$L$22)^('MF Releasing'!AB$3-1)))*$C16)</f>
        <v/>
      </c>
      <c r="AC16" s="149" t="str">
        <f>IF($B16=0,"",('MF Rollover'!AB16*($P16*(1+'Property Summary'!$L$22)^('MF Releasing'!AC$3-1)))*$C16)</f>
        <v/>
      </c>
      <c r="AD16" s="149" t="str">
        <f>IF($B16=0,"",('MF Rollover'!AC16*($P16*(1+'Property Summary'!$L$22)^('MF Releasing'!AD$3-1)))*$C16)</f>
        <v/>
      </c>
      <c r="AE16" s="149" t="str">
        <f>IF($B16=0,"",('MF Rollover'!AD16*($P16*(1+'Property Summary'!$L$22)^('MF Releasing'!AE$3-1)))*$C16)</f>
        <v/>
      </c>
      <c r="AF16" s="149" t="str">
        <f>IF($B16=0,"",('MF Rollover'!AE16*($P16*(1+'Property Summary'!$L$22)^('MF Releasing'!AF$3-1)))*$C16)</f>
        <v/>
      </c>
      <c r="AG16" s="149" t="str">
        <f>IF($B16=0,"",('MF Rollover'!AF16*($P16*(1+'Property Summary'!$L$22)^('MF Releasing'!AG$3-1)))*$C16)</f>
        <v/>
      </c>
      <c r="AH16" s="149" t="str">
        <f>IF($B16=0,"",('MF Rollover'!AG16*($P16*(1+'Property Summary'!$L$22)^('MF Releasing'!AH$3-1)))*$C16)</f>
        <v/>
      </c>
      <c r="AI16" s="149" t="str">
        <f>IF($B16=0,"",('MF Rollover'!AH16*($P16*(1+'Property Summary'!$L$22)^('MF Releasing'!AI$3-1)))*$C16)</f>
        <v/>
      </c>
      <c r="AJ16" s="149" t="str">
        <f>IF($B16=0,"",('MF Rollover'!AI16*($P16*(1+'Property Summary'!$L$22)^('MF Releasing'!AJ$3-1)))*$C16)</f>
        <v/>
      </c>
      <c r="AK16" s="149" t="str">
        <f>IF($B16=0,"",('MF Rollover'!AJ16*($P16*(1+'Property Summary'!$L$22)^('MF Releasing'!AK$3-1)))*$C16)</f>
        <v/>
      </c>
      <c r="AL16" s="149" t="str">
        <f>IF($B16=0,"",('MF Rollover'!AK16*($P16*(1+'Property Summary'!$L$22)^('MF Releasing'!AL$3-1)))*$C16)</f>
        <v/>
      </c>
      <c r="AM16" s="149" t="str">
        <f>IF($B16=0,"",('MF Rollover'!AL16*($P16*(1+'Property Summary'!$L$22)^('MF Releasing'!AM$3-1)))*$C16)</f>
        <v/>
      </c>
      <c r="AN16" s="149" t="str">
        <f>IF($B16=0,"",('MF Rollover'!AM16*($P16*(1+'Property Summary'!$L$22)^('MF Releasing'!AN$3-1)))*$C16)</f>
        <v/>
      </c>
      <c r="AO16" s="149" t="str">
        <f>IF($B16=0,"",('MF Rollover'!AN16*($P16*(1+'Property Summary'!$L$22)^('MF Releasing'!AO$3-1)))*$C16)</f>
        <v/>
      </c>
      <c r="AP16" s="149" t="str">
        <f>IF($B16=0,"",('MF Rollover'!AO16*($P16*(1+'Property Summary'!$L$22)^('MF Releasing'!AP$3-1)))*$C16)</f>
        <v/>
      </c>
      <c r="AQ16" s="149" t="str">
        <f>IF($B16=0,"",('MF Rollover'!AP16*($P16*(1+'Property Summary'!$L$22)^('MF Releasing'!AQ$3-1)))*$C16)</f>
        <v/>
      </c>
      <c r="AR16" s="149" t="str">
        <f>IF($B16=0,"",('MF Rollover'!AQ16*($P16*(1+'Property Summary'!$L$22)^('MF Releasing'!AR$3-1)))*$C16)</f>
        <v/>
      </c>
      <c r="AS16" s="149" t="str">
        <f>IF($B16=0,"",('MF Rollover'!AR16*($P16*(1+'Property Summary'!$L$22)^('MF Releasing'!AS$3-1)))*$C16)</f>
        <v/>
      </c>
      <c r="AT16" s="149" t="str">
        <f>IF($B16=0,"",('MF Rollover'!AS16*($P16*(1+'Property Summary'!$L$22)^('MF Releasing'!AT$3-1)))*$C16)</f>
        <v/>
      </c>
      <c r="AU16" s="149" t="str">
        <f>IF($B16=0,"",('MF Rollover'!AT16*($P16*(1+'Property Summary'!$L$22)^('MF Releasing'!AU$3-1)))*$C16)</f>
        <v/>
      </c>
      <c r="AV16" s="149" t="str">
        <f>IF($B16=0,"",('MF Rollover'!AU16*($P16*(1+'Property Summary'!$L$22)^('MF Releasing'!AV$3-1)))*$C16)</f>
        <v/>
      </c>
      <c r="AW16" s="149" t="str">
        <f>IF($B16=0,"",('MF Rollover'!AV16*($P16*(1+'Property Summary'!$L$22)^('MF Releasing'!AW$3-1)))*$C16)</f>
        <v/>
      </c>
      <c r="AX16" s="149" t="str">
        <f>IF($B16=0,"",('MF Rollover'!AW16*($P16*(1+'Property Summary'!$L$22)^('MF Releasing'!AX$3-1)))*$C16)</f>
        <v/>
      </c>
      <c r="AY16" s="149" t="str">
        <f>IF($B16=0,"",('MF Rollover'!AX16*($P16*(1+'Property Summary'!$L$22)^('MF Releasing'!AY$3-1)))*$C16)</f>
        <v/>
      </c>
      <c r="AZ16" s="149" t="str">
        <f>IF($B16=0,"",('MF Rollover'!AY16*($P16*(1+'Property Summary'!$L$22)^('MF Releasing'!AZ$3-1)))*$C16)</f>
        <v/>
      </c>
      <c r="BA16" s="149" t="str">
        <f>IF($B16=0,"",('MF Rollover'!AZ16*($P16*(1+'Property Summary'!$L$22)^('MF Releasing'!BA$3-1)))*$C16)</f>
        <v/>
      </c>
      <c r="BB16" s="149" t="str">
        <f>IF($B16=0,"",('MF Rollover'!BA16*($P16*(1+'Property Summary'!$L$22)^('MF Releasing'!BB$3-1)))*$C16)</f>
        <v/>
      </c>
      <c r="BC16" s="149" t="str">
        <f>IF($B16=0,"",('MF Rollover'!BB16*($P16*(1+'Property Summary'!$L$22)^('MF Releasing'!BC$3-1)))*$C16)</f>
        <v/>
      </c>
      <c r="BD16" s="149" t="str">
        <f>IF($B16=0,"",('MF Rollover'!BC16*($P16*(1+'Property Summary'!$L$22)^('MF Releasing'!BD$3-1)))*$C16)</f>
        <v/>
      </c>
      <c r="BE16" s="149" t="str">
        <f>IF($B16=0,"",('MF Rollover'!BD16*($P16*(1+'Property Summary'!$L$22)^('MF Releasing'!BE$3-1)))*$C16)</f>
        <v/>
      </c>
      <c r="BF16" s="149" t="str">
        <f>IF($B16=0,"",('MF Rollover'!BE16*($P16*(1+'Property Summary'!$L$22)^('MF Releasing'!BF$3-1)))*$C16)</f>
        <v/>
      </c>
      <c r="BG16" s="149" t="str">
        <f>IF($B16=0,"",('MF Rollover'!BF16*($P16*(1+'Property Summary'!$L$22)^('MF Releasing'!BG$3-1)))*$C16)</f>
        <v/>
      </c>
      <c r="BH16" s="149" t="str">
        <f>IF($B16=0,"",('MF Rollover'!BG16*($P16*(1+'Property Summary'!$L$22)^('MF Releasing'!BH$3-1)))*$C16)</f>
        <v/>
      </c>
      <c r="BI16" s="149" t="str">
        <f>IF($B16=0,"",('MF Rollover'!BH16*($P16*(1+'Property Summary'!$L$22)^('MF Releasing'!BI$3-1)))*$C16)</f>
        <v/>
      </c>
      <c r="BJ16" s="149" t="str">
        <f>IF($B16=0,"",('MF Rollover'!BI16*($P16*(1+'Property Summary'!$L$22)^('MF Releasing'!BJ$3-1)))*$C16)</f>
        <v/>
      </c>
      <c r="BK16" s="149" t="str">
        <f>IF($B16=0,"",('MF Rollover'!BJ16*($P16*(1+'Property Summary'!$L$22)^('MF Releasing'!BK$3-1)))*$C16)</f>
        <v/>
      </c>
      <c r="BL16" s="149" t="str">
        <f>IF($B16=0,"",('MF Rollover'!BK16*($P16*(1+'Property Summary'!$L$22)^('MF Releasing'!BL$3-1)))*$C16)</f>
        <v/>
      </c>
      <c r="BM16" s="149" t="str">
        <f>IF($B16=0,"",('MF Rollover'!BL16*($P16*(1+'Property Summary'!$L$22)^('MF Releasing'!BM$3-1)))*$C16)</f>
        <v/>
      </c>
      <c r="BN16" s="149" t="str">
        <f>IF($B16=0,"",('MF Rollover'!BM16*($P16*(1+'Property Summary'!$L$22)^('MF Releasing'!BN$3-1)))*$C16)</f>
        <v/>
      </c>
      <c r="BO16" s="149" t="str">
        <f>IF($B16=0,"",('MF Rollover'!BN16*($P16*(1+'Property Summary'!$L$22)^('MF Releasing'!BO$3-1)))*$C16)</f>
        <v/>
      </c>
      <c r="BP16" s="149" t="str">
        <f>IF($B16=0,"",('MF Rollover'!BO16*($P16*(1+'Property Summary'!$L$22)^('MF Releasing'!BP$3-1)))*$C16)</f>
        <v/>
      </c>
      <c r="BQ16" s="149" t="str">
        <f>IF($B16=0,"",('MF Rollover'!BP16*($P16*(1+'Property Summary'!$L$22)^('MF Releasing'!BQ$3-1)))*$C16)</f>
        <v/>
      </c>
      <c r="BR16" s="149" t="str">
        <f>IF($B16=0,"",('MF Rollover'!BQ16*($P16*(1+'Property Summary'!$L$22)^('MF Releasing'!BR$3-1)))*$C16)</f>
        <v/>
      </c>
      <c r="BS16" s="149" t="str">
        <f>IF($B16=0,"",('MF Rollover'!BR16*($P16*(1+'Property Summary'!$L$22)^('MF Releasing'!BS$3-1)))*$C16)</f>
        <v/>
      </c>
      <c r="BT16" s="149" t="str">
        <f>IF($B16=0,"",('MF Rollover'!BS16*($P16*(1+'Property Summary'!$L$22)^('MF Releasing'!BT$3-1)))*$C16)</f>
        <v/>
      </c>
      <c r="BU16" s="149" t="str">
        <f>IF($B16=0,"",('MF Rollover'!BT16*($P16*(1+'Property Summary'!$L$22)^('MF Releasing'!BU$3-1)))*$C16)</f>
        <v/>
      </c>
      <c r="BV16" s="149" t="str">
        <f>IF($B16=0,"",('MF Rollover'!BU16*($P16*(1+'Property Summary'!$L$22)^('MF Releasing'!BV$3-1)))*$C16)</f>
        <v/>
      </c>
      <c r="BW16" s="149" t="str">
        <f>IF($B16=0,"",('MF Rollover'!BV16*($P16*(1+'Property Summary'!$L$22)^('MF Releasing'!BW$3-1)))*$C16)</f>
        <v/>
      </c>
      <c r="BX16" s="149" t="str">
        <f>IF($B16=0,"",('MF Rollover'!BW16*($P16*(1+'Property Summary'!$L$22)^('MF Releasing'!BX$3-1)))*$C16)</f>
        <v/>
      </c>
      <c r="BY16" s="149" t="str">
        <f>IF($B16=0,"",('MF Rollover'!BX16*($P16*(1+'Property Summary'!$L$22)^('MF Releasing'!BY$3-1)))*$C16)</f>
        <v/>
      </c>
      <c r="BZ16" s="149" t="str">
        <f>IF($B16=0,"",('MF Rollover'!BY16*($P16*(1+'Property Summary'!$L$22)^('MF Releasing'!BZ$3-1)))*$C16)</f>
        <v/>
      </c>
      <c r="CA16" s="149" t="str">
        <f>IF($B16=0,"",('MF Rollover'!BZ16*($P16*(1+'Property Summary'!$L$22)^('MF Releasing'!CA$3-1)))*$C16)</f>
        <v/>
      </c>
      <c r="CB16" s="149" t="str">
        <f>IF($B16=0,"",('MF Rollover'!CA16*($P16*(1+'Property Summary'!$L$22)^('MF Releasing'!CB$3-1)))*$C16)</f>
        <v/>
      </c>
      <c r="CC16" s="149" t="str">
        <f>IF($B16=0,"",('MF Rollover'!CB16*($P16*(1+'Property Summary'!$L$22)^('MF Releasing'!CC$3-1)))*$C16)</f>
        <v/>
      </c>
      <c r="CD16" s="149" t="str">
        <f>IF($B16=0,"",('MF Rollover'!CC16*($P16*(1+'Property Summary'!$L$22)^('MF Releasing'!CD$3-1)))*$C16)</f>
        <v/>
      </c>
      <c r="CE16" s="149" t="str">
        <f>IF($B16=0,"",('MF Rollover'!CD16*($P16*(1+'Property Summary'!$L$22)^('MF Releasing'!CE$3-1)))*$C16)</f>
        <v/>
      </c>
      <c r="CF16" s="149" t="str">
        <f>IF($B16=0,"",('MF Rollover'!CE16*($P16*(1+'Property Summary'!$L$22)^('MF Releasing'!CF$3-1)))*$C16)</f>
        <v/>
      </c>
      <c r="CG16" s="149" t="str">
        <f>IF($B16=0,"",('MF Rollover'!CF16*($P16*(1+'Property Summary'!$L$22)^('MF Releasing'!CG$3-1)))*$C16)</f>
        <v/>
      </c>
      <c r="CH16" s="149" t="str">
        <f>IF($B16=0,"",('MF Rollover'!CG16*($P16*(1+'Property Summary'!$L$22)^('MF Releasing'!CH$3-1)))*$C16)</f>
        <v/>
      </c>
      <c r="CI16" s="149" t="str">
        <f>IF($B16=0,"",('MF Rollover'!CH16*($P16*(1+'Property Summary'!$L$22)^('MF Releasing'!CI$3-1)))*$C16)</f>
        <v/>
      </c>
      <c r="CJ16" s="149" t="str">
        <f>IF($B16=0,"",('MF Rollover'!CI16*($P16*(1+'Property Summary'!$L$22)^('MF Releasing'!CJ$3-1)))*$C16)</f>
        <v/>
      </c>
      <c r="CK16" s="149" t="str">
        <f>IF($B16=0,"",('MF Rollover'!CJ16*($P16*(1+'Property Summary'!$L$22)^('MF Releasing'!CK$3-1)))*$C16)</f>
        <v/>
      </c>
      <c r="CL16" s="149" t="str">
        <f>IF($B16=0,"",('MF Rollover'!CK16*($P16*(1+'Property Summary'!$L$22)^('MF Releasing'!CL$3-1)))*$C16)</f>
        <v/>
      </c>
      <c r="CM16" s="149" t="str">
        <f>IF($B16=0,"",('MF Rollover'!CL16*($P16*(1+'Property Summary'!$L$22)^('MF Releasing'!CM$3-1)))*$C16)</f>
        <v/>
      </c>
      <c r="CN16" s="149" t="str">
        <f>IF($B16=0,"",('MF Rollover'!CM16*($P16*(1+'Property Summary'!$L$22)^('MF Releasing'!CN$3-1)))*$C16)</f>
        <v/>
      </c>
      <c r="CO16" s="149" t="str">
        <f>IF($B16=0,"",('MF Rollover'!CN16*($P16*(1+'Property Summary'!$L$22)^('MF Releasing'!CO$3-1)))*$C16)</f>
        <v/>
      </c>
      <c r="CP16" s="149" t="str">
        <f>IF($B16=0,"",('MF Rollover'!CO16*($P16*(1+'Property Summary'!$L$22)^('MF Releasing'!CP$3-1)))*$C16)</f>
        <v/>
      </c>
      <c r="CQ16" s="149" t="str">
        <f>IF($B16=0,"",('MF Rollover'!CP16*($P16*(1+'Property Summary'!$L$22)^('MF Releasing'!CQ$3-1)))*$C16)</f>
        <v/>
      </c>
      <c r="CR16" s="149" t="str">
        <f>IF($B16=0,"",('MF Rollover'!CQ16*($P16*(1+'Property Summary'!$L$22)^('MF Releasing'!CR$3-1)))*$C16)</f>
        <v/>
      </c>
      <c r="CS16" s="149" t="str">
        <f>IF($B16=0,"",('MF Rollover'!CR16*($P16*(1+'Property Summary'!$L$22)^('MF Releasing'!CS$3-1)))*$C16)</f>
        <v/>
      </c>
      <c r="CT16" s="149" t="str">
        <f>IF($B16=0,"",('MF Rollover'!CS16*($P16*(1+'Property Summary'!$L$22)^('MF Releasing'!CT$3-1)))*$C16)</f>
        <v/>
      </c>
      <c r="CU16" s="149" t="str">
        <f>IF($B16=0,"",('MF Rollover'!CT16*($P16*(1+'Property Summary'!$L$22)^('MF Releasing'!CU$3-1)))*$C16)</f>
        <v/>
      </c>
      <c r="CV16" s="149" t="str">
        <f>IF($B16=0,"",('MF Rollover'!CU16*($P16*(1+'Property Summary'!$L$22)^('MF Releasing'!CV$3-1)))*$C16)</f>
        <v/>
      </c>
      <c r="CW16" s="149" t="str">
        <f>IF($B16=0,"",('MF Rollover'!CV16*($P16*(1+'Property Summary'!$L$22)^('MF Releasing'!CW$3-1)))*$C16)</f>
        <v/>
      </c>
      <c r="CX16" s="149" t="str">
        <f>IF($B16=0,"",('MF Rollover'!CW16*($P16*(1+'Property Summary'!$L$22)^('MF Releasing'!CX$3-1)))*$C16)</f>
        <v/>
      </c>
      <c r="CY16" s="149" t="str">
        <f>IF($B16=0,"",('MF Rollover'!CX16*($P16*(1+'Property Summary'!$L$22)^('MF Releasing'!CY$3-1)))*$C16)</f>
        <v/>
      </c>
      <c r="CZ16" s="149" t="str">
        <f>IF($B16=0,"",('MF Rollover'!CY16*($P16*(1+'Property Summary'!$L$22)^('MF Releasing'!CZ$3-1)))*$C16)</f>
        <v/>
      </c>
      <c r="DA16" s="149" t="str">
        <f>IF($B16=0,"",('MF Rollover'!CZ16*($P16*(1+'Property Summary'!$L$22)^('MF Releasing'!DA$3-1)))*$C16)</f>
        <v/>
      </c>
      <c r="DB16" s="149" t="str">
        <f>IF($B16=0,"",('MF Rollover'!DA16*($P16*(1+'Property Summary'!$L$22)^('MF Releasing'!DB$3-1)))*$C16)</f>
        <v/>
      </c>
      <c r="DC16" s="149" t="str">
        <f>IF($B16=0,"",('MF Rollover'!DB16*($P16*(1+'Property Summary'!$L$22)^('MF Releasing'!DC$3-1)))*$C16)</f>
        <v/>
      </c>
      <c r="DD16" s="149" t="str">
        <f>IF($B16=0,"",('MF Rollover'!DC16*($P16*(1+'Property Summary'!$L$22)^('MF Releasing'!DD$3-1)))*$C16)</f>
        <v/>
      </c>
      <c r="DE16" s="149" t="str">
        <f>IF($B16=0,"",('MF Rollover'!DD16*($P16*(1+'Property Summary'!$L$22)^('MF Releasing'!DE$3-1)))*$C16)</f>
        <v/>
      </c>
      <c r="DF16" s="149" t="str">
        <f>IF($B16=0,"",('MF Rollover'!DE16*($P16*(1+'Property Summary'!$L$22)^('MF Releasing'!DF$3-1)))*$C16)</f>
        <v/>
      </c>
      <c r="DG16" s="149" t="str">
        <f>IF($B16=0,"",('MF Rollover'!DF16*($P16*(1+'Property Summary'!$L$22)^('MF Releasing'!DG$3-1)))*$C16)</f>
        <v/>
      </c>
      <c r="DH16" s="149" t="str">
        <f>IF($B16=0,"",('MF Rollover'!DG16*($P16*(1+'Property Summary'!$L$22)^('MF Releasing'!DH$3-1)))*$C16)</f>
        <v/>
      </c>
      <c r="DI16" s="149" t="str">
        <f>IF($B16=0,"",('MF Rollover'!DH16*($P16*(1+'Property Summary'!$L$22)^('MF Releasing'!DI$3-1)))*$C16)</f>
        <v/>
      </c>
      <c r="DJ16" s="149" t="str">
        <f>IF($B16=0,"",('MF Rollover'!DI16*($P16*(1+'Property Summary'!$L$22)^('MF Releasing'!DJ$3-1)))*$C16)</f>
        <v/>
      </c>
      <c r="DK16" s="149" t="str">
        <f>IF($B16=0,"",('MF Rollover'!DJ16*($P16*(1+'Property Summary'!$L$22)^('MF Releasing'!DK$3-1)))*$C16)</f>
        <v/>
      </c>
      <c r="DL16" s="149" t="str">
        <f>IF($B16=0,"",('MF Rollover'!DK16*($P16*(1+'Property Summary'!$L$22)^('MF Releasing'!DL$3-1)))*$C16)</f>
        <v/>
      </c>
      <c r="DM16" s="149" t="str">
        <f>IF($B16=0,"",('MF Rollover'!DL16*($P16*(1+'Property Summary'!$L$22)^('MF Releasing'!DM$3-1)))*$C16)</f>
        <v/>
      </c>
      <c r="DN16" s="149" t="str">
        <f>IF($B16=0,"",('MF Rollover'!DM16*($P16*(1+'Property Summary'!$L$22)^('MF Releasing'!DN$3-1)))*$C16)</f>
        <v/>
      </c>
      <c r="DO16" s="149" t="str">
        <f>IF($B16=0,"",('MF Rollover'!DN16*($P16*(1+'Property Summary'!$L$22)^('MF Releasing'!DO$3-1)))*$C16)</f>
        <v/>
      </c>
      <c r="DP16" s="149" t="str">
        <f>IF($B16=0,"",('MF Rollover'!DO16*($P16*(1+'Property Summary'!$L$22)^('MF Releasing'!DP$3-1)))*$C16)</f>
        <v/>
      </c>
      <c r="DQ16" s="149" t="str">
        <f>IF($B16=0,"",('MF Rollover'!DP16*($P16*(1+'Property Summary'!$L$22)^('MF Releasing'!DQ$3-1)))*$C16)</f>
        <v/>
      </c>
      <c r="DR16" s="149" t="str">
        <f>IF($B16=0,"",('MF Rollover'!DQ16*($P16*(1+'Property Summary'!$L$22)^('MF Releasing'!DR$3-1)))*$C16)</f>
        <v/>
      </c>
      <c r="DS16" s="149" t="str">
        <f>IF($B16=0,"",('MF Rollover'!DR16*($P16*(1+'Property Summary'!$L$22)^('MF Releasing'!DS$3-1)))*$C16)</f>
        <v/>
      </c>
      <c r="DT16" s="149" t="str">
        <f>IF($B16=0,"",('MF Rollover'!DS16*($P16*(1+'Property Summary'!$L$22)^('MF Releasing'!DT$3-1)))*$C16)</f>
        <v/>
      </c>
      <c r="DU16" s="149" t="str">
        <f>IF($B16=0,"",('MF Rollover'!DT16*($P16*(1+'Property Summary'!$L$22)^('MF Releasing'!DU$3-1)))*$C16)</f>
        <v/>
      </c>
      <c r="DV16" s="149" t="str">
        <f>IF($B16=0,"",('MF Rollover'!DU16*($P16*(1+'Property Summary'!$L$22)^('MF Releasing'!DV$3-1)))*$C16)</f>
        <v/>
      </c>
      <c r="DW16" s="149" t="str">
        <f>IF($B16=0,"",('MF Rollover'!DV16*($P16*(1+'Property Summary'!$L$22)^('MF Releasing'!DW$3-1)))*$C16)</f>
        <v/>
      </c>
      <c r="DX16" s="149" t="str">
        <f>IF($B16=0,"",('MF Rollover'!DW16*($P16*(1+'Property Summary'!$L$22)^('MF Releasing'!DX$3-1)))*$C16)</f>
        <v/>
      </c>
      <c r="DY16" s="149" t="str">
        <f>IF($B16=0,"",('MF Rollover'!DX16*($P16*(1+'Property Summary'!$L$22)^('MF Releasing'!DY$3-1)))*$C16)</f>
        <v/>
      </c>
      <c r="DZ16" s="149" t="str">
        <f>IF($B16=0,"",('MF Rollover'!DY16*($P16*(1+'Property Summary'!$L$22)^('MF Releasing'!DZ$3-1)))*$C16)</f>
        <v/>
      </c>
      <c r="EA16" s="149" t="str">
        <f>IF($B16=0,"",('MF Rollover'!DZ16*($P16*(1+'Property Summary'!$L$22)^('MF Releasing'!EA$3-1)))*$C16)</f>
        <v/>
      </c>
      <c r="EB16" s="149" t="str">
        <f>IF($B16=0,"",('MF Rollover'!EA16*($P16*(1+'Property Summary'!$L$22)^('MF Releasing'!EB$3-1)))*$C16)</f>
        <v/>
      </c>
      <c r="EC16" s="149" t="str">
        <f>IF($B16=0,"",('MF Rollover'!EB16*($P16*(1+'Property Summary'!$L$22)^('MF Releasing'!EC$3-1)))*$C16)</f>
        <v/>
      </c>
      <c r="ED16" s="149" t="str">
        <f>IF($B16=0,"",('MF Rollover'!EC16*($P16*(1+'Property Summary'!$L$22)^('MF Releasing'!ED$3-1)))*$C16)</f>
        <v/>
      </c>
      <c r="EE16" s="149" t="str">
        <f>IF($B16=0,"",('MF Rollover'!ED16*($P16*(1+'Property Summary'!$L$22)^('MF Releasing'!EE$3-1)))*$C16)</f>
        <v/>
      </c>
      <c r="EF16" s="149" t="str">
        <f>IF($B16=0,"",('MF Rollover'!EE16*($P16*(1+'Property Summary'!$L$22)^('MF Releasing'!EF$3-1)))*$C16)</f>
        <v/>
      </c>
      <c r="EG16" s="149" t="str">
        <f>IF($B16=0,"",('MF Rollover'!EF16*($P16*(1+'Property Summary'!$L$22)^('MF Releasing'!EG$3-1)))*$C16)</f>
        <v/>
      </c>
      <c r="EH16" s="149" t="str">
        <f>IF($B16=0,"",('MF Rollover'!EG16*($P16*(1+'Property Summary'!$L$22)^('MF Releasing'!EH$3-1)))*$C16)</f>
        <v/>
      </c>
      <c r="EI16" s="149" t="str">
        <f>IF($B16=0,"",('MF Rollover'!EH16*($P16*(1+'Property Summary'!$L$22)^('MF Releasing'!EI$3-1)))*$C16)</f>
        <v/>
      </c>
      <c r="EJ16" s="149" t="str">
        <f>IF($B16=0,"",('MF Rollover'!EI16*($P16*(1+'Property Summary'!$L$22)^('MF Releasing'!EJ$3-1)))*$C16)</f>
        <v/>
      </c>
      <c r="EK16" s="149" t="str">
        <f>IF($B16=0,"",('MF Rollover'!EJ16*($P16*(1+'Property Summary'!$L$22)^('MF Releasing'!EK$3-1)))*$C16)</f>
        <v/>
      </c>
      <c r="EL16" s="149" t="str">
        <f>IF($B16=0,"",('MF Rollover'!EK16*($P16*(1+'Property Summary'!$L$22)^('MF Releasing'!EL$3-1)))*$C16)</f>
        <v/>
      </c>
      <c r="EM16" s="149" t="str">
        <f>IF($B16=0,"",('MF Rollover'!EL16*($P16*(1+'Property Summary'!$L$22)^('MF Releasing'!EM$3-1)))*$C16)</f>
        <v/>
      </c>
      <c r="EN16" s="149" t="str">
        <f>IF($B16=0,"",('MF Rollover'!EM16*($P16*(1+'Property Summary'!$L$22)^('MF Releasing'!EN$3-1)))*$C16)</f>
        <v/>
      </c>
      <c r="EO16" s="149" t="str">
        <f>IF($B16=0,"",('MF Rollover'!EN16*($P16*(1+'Property Summary'!$L$22)^('MF Releasing'!EO$3-1)))*$C16)</f>
        <v/>
      </c>
      <c r="EP16" s="149" t="str">
        <f>IF($B16=0,"",('MF Rollover'!EO16*($P16*(1+'Property Summary'!$L$22)^('MF Releasing'!EP$3-1)))*$C16)</f>
        <v/>
      </c>
      <c r="EQ16" s="149" t="str">
        <f>IF($B16=0,"",('MF Rollover'!EP16*($P16*(1+'Property Summary'!$L$22)^('MF Releasing'!EQ$3-1)))*$C16)</f>
        <v/>
      </c>
      <c r="ER16" s="149" t="str">
        <f>IF($B16=0,"",('MF Rollover'!EQ16*($P16*(1+'Property Summary'!$L$22)^('MF Releasing'!ER$3-1)))*$C16)</f>
        <v/>
      </c>
      <c r="ES16" s="149" t="str">
        <f>IF($B16=0,"",('MF Rollover'!ER16*($P16*(1+'Property Summary'!$L$22)^('MF Releasing'!ES$3-1)))*$C16)</f>
        <v/>
      </c>
      <c r="ET16" s="149" t="str">
        <f>IF($B16=0,"",('MF Rollover'!ES16*($P16*(1+'Property Summary'!$L$22)^('MF Releasing'!ET$3-1)))*$C16)</f>
        <v/>
      </c>
      <c r="EU16" s="149" t="str">
        <f>IF($B16=0,"",('MF Rollover'!ET16*($P16*(1+'Property Summary'!$L$22)^('MF Releasing'!EU$3-1)))*$C16)</f>
        <v/>
      </c>
      <c r="EV16" s="149" t="str">
        <f>IF($B16=0,"",('MF Rollover'!EU16*($P16*(1+'Property Summary'!$L$22)^('MF Releasing'!EV$3-1)))*$C16)</f>
        <v/>
      </c>
      <c r="EW16" s="149" t="str">
        <f>IF($B16=0,"",('MF Rollover'!EV16*($P16*(1+'Property Summary'!$L$22)^('MF Releasing'!EW$3-1)))*$C16)</f>
        <v/>
      </c>
      <c r="EX16" s="149" t="str">
        <f>IF($B16=0,"",('MF Rollover'!EW16*($P16*(1+'Property Summary'!$L$22)^('MF Releasing'!EX$3-1)))*$C16)</f>
        <v/>
      </c>
      <c r="EY16" s="149" t="str">
        <f>IF($B16=0,"",('MF Rollover'!EX16*($P16*(1+'Property Summary'!$L$22)^('MF Releasing'!EY$3-1)))*$C16)</f>
        <v/>
      </c>
      <c r="EZ16" s="149" t="str">
        <f>IF($B16=0,"",('MF Rollover'!EY16*($P16*(1+'Property Summary'!$L$22)^('MF Releasing'!EZ$3-1)))*$C16)</f>
        <v/>
      </c>
      <c r="FA16" s="149" t="str">
        <f>IF($B16=0,"",('MF Rollover'!EZ16*($P16*(1+'Property Summary'!$L$22)^('MF Releasing'!FA$3-1)))*$C16)</f>
        <v/>
      </c>
      <c r="FB16" s="149" t="str">
        <f>IF($B16=0,"",('MF Rollover'!FA16*($P16*(1+'Property Summary'!$L$22)^('MF Releasing'!FB$3-1)))*$C16)</f>
        <v/>
      </c>
      <c r="FC16" s="149" t="str">
        <f>IF($B16=0,"",('MF Rollover'!FB16*($P16*(1+'Property Summary'!$L$22)^('MF Releasing'!FC$3-1)))*$C16)</f>
        <v/>
      </c>
      <c r="FD16" s="149" t="str">
        <f>IF($B16=0,"",('MF Rollover'!FC16*($P16*(1+'Property Summary'!$L$22)^('MF Releasing'!FD$3-1)))*$C16)</f>
        <v/>
      </c>
      <c r="FE16" s="149" t="str">
        <f>IF($B16=0,"",('MF Rollover'!FD16*($P16*(1+'Property Summary'!$L$22)^('MF Releasing'!FE$3-1)))*$C16)</f>
        <v/>
      </c>
      <c r="FF16" s="149" t="str">
        <f>IF($B16=0,"",('MF Rollover'!FE16*($P16*(1+'Property Summary'!$L$22)^('MF Releasing'!FF$3-1)))*$C16)</f>
        <v/>
      </c>
      <c r="FG16" s="149" t="str">
        <f>IF($B16=0,"",('MF Rollover'!FF16*($P16*(1+'Property Summary'!$L$22)^('MF Releasing'!FG$3-1)))*$C16)</f>
        <v/>
      </c>
      <c r="FH16" s="149" t="str">
        <f>IF($B16=0,"",('MF Rollover'!FG16*($P16*(1+'Property Summary'!$L$22)^('MF Releasing'!FH$3-1)))*$C16)</f>
        <v/>
      </c>
      <c r="FI16" s="149" t="str">
        <f>IF($B16=0,"",('MF Rollover'!FH16*($P16*(1+'Property Summary'!$L$22)^('MF Releasing'!FI$3-1)))*$C16)</f>
        <v/>
      </c>
      <c r="FJ16" s="149" t="str">
        <f>IF($B16=0,"",('MF Rollover'!FI16*($P16*(1+'Property Summary'!$L$22)^('MF Releasing'!FJ$3-1)))*$C16)</f>
        <v/>
      </c>
      <c r="FK16" s="149" t="str">
        <f>IF($B16=0,"",('MF Rollover'!FJ16*($P16*(1+'Property Summary'!$L$22)^('MF Releasing'!FK$3-1)))*$C16)</f>
        <v/>
      </c>
      <c r="FL16" s="149" t="str">
        <f>IF($B16=0,"",('MF Rollover'!FK16*($P16*(1+'Property Summary'!$L$22)^('MF Releasing'!FL$3-1)))*$C16)</f>
        <v/>
      </c>
      <c r="FM16" s="149" t="str">
        <f>IF($B16=0,"",('MF Rollover'!FL16*($P16*(1+'Property Summary'!$L$22)^('MF Releasing'!FM$3-1)))*$C16)</f>
        <v/>
      </c>
      <c r="FN16" s="149" t="str">
        <f>IF($B16=0,"",('MF Rollover'!FM16*($P16*(1+'Property Summary'!$L$22)^('MF Releasing'!FN$3-1)))*$C16)</f>
        <v/>
      </c>
      <c r="FO16" s="149" t="str">
        <f>IF($B16=0,"",('MF Rollover'!FN16*($P16*(1+'Property Summary'!$L$22)^('MF Releasing'!FO$3-1)))*$C16)</f>
        <v/>
      </c>
      <c r="FP16" s="149" t="str">
        <f>IF($B16=0,"",('MF Rollover'!FO16*($P16*(1+'Property Summary'!$L$22)^('MF Releasing'!FP$3-1)))*$C16)</f>
        <v/>
      </c>
      <c r="FQ16" s="149" t="str">
        <f>IF($B16=0,"",('MF Rollover'!FP16*($P16*(1+'Property Summary'!$L$22)^('MF Releasing'!FQ$3-1)))*$C16)</f>
        <v/>
      </c>
      <c r="FR16" s="149" t="str">
        <f>IF($B16=0,"",('MF Rollover'!FQ16*($P16*(1+'Property Summary'!$L$22)^('MF Releasing'!FR$3-1)))*$C16)</f>
        <v/>
      </c>
      <c r="FS16" s="149" t="str">
        <f>IF($B16=0,"",('MF Rollover'!FR16*($P16*(1+'Property Summary'!$L$22)^('MF Releasing'!FS$3-1)))*$C16)</f>
        <v/>
      </c>
      <c r="FT16" s="149" t="str">
        <f>IF($B16=0,"",('MF Rollover'!FS16*($P16*(1+'Property Summary'!$L$22)^('MF Releasing'!FT$3-1)))*$C16)</f>
        <v/>
      </c>
      <c r="FU16" s="149" t="str">
        <f>IF($B16=0,"",('MF Rollover'!FT16*($P16*(1+'Property Summary'!$L$22)^('MF Releasing'!FU$3-1)))*$C16)</f>
        <v/>
      </c>
      <c r="FV16" s="149" t="str">
        <f>IF($B16=0,"",('MF Rollover'!FU16*($P16*(1+'Property Summary'!$L$22)^('MF Releasing'!FV$3-1)))*$C16)</f>
        <v/>
      </c>
      <c r="FW16" s="149" t="str">
        <f>IF($B16=0,"",('MF Rollover'!FV16*($P16*(1+'Property Summary'!$L$22)^('MF Releasing'!FW$3-1)))*$C16)</f>
        <v/>
      </c>
      <c r="FX16" s="149" t="str">
        <f>IF($B16=0,"",('MF Rollover'!FW16*($P16*(1+'Property Summary'!$L$22)^('MF Releasing'!FX$3-1)))*$C16)</f>
        <v/>
      </c>
      <c r="FY16" s="149" t="str">
        <f>IF($B16=0,"",('MF Rollover'!FX16*($P16*(1+'Property Summary'!$L$22)^('MF Releasing'!FY$3-1)))*$C16)</f>
        <v/>
      </c>
      <c r="FZ16" s="149" t="str">
        <f>IF($B16=0,"",('MF Rollover'!FY16*($P16*(1+'Property Summary'!$L$22)^('MF Releasing'!FZ$3-1)))*$C16)</f>
        <v/>
      </c>
      <c r="GA16" s="149" t="str">
        <f>IF($B16=0,"",('MF Rollover'!FZ16*($P16*(1+'Property Summary'!$L$22)^('MF Releasing'!GA$3-1)))*$C16)</f>
        <v/>
      </c>
      <c r="GB16" s="149" t="str">
        <f>IF($B16=0,"",('MF Rollover'!GA16*($P16*(1+'Property Summary'!$L$22)^('MF Releasing'!GB$3-1)))*$C16)</f>
        <v/>
      </c>
      <c r="GC16" s="149" t="str">
        <f>IF($B16=0,"",('MF Rollover'!GB16*($P16*(1+'Property Summary'!$L$22)^('MF Releasing'!GC$3-1)))*$C16)</f>
        <v/>
      </c>
      <c r="GD16" s="149" t="str">
        <f>IF($B16=0,"",('MF Rollover'!GC16*($P16*(1+'Property Summary'!$L$22)^('MF Releasing'!GD$3-1)))*$C16)</f>
        <v/>
      </c>
      <c r="GE16" s="149" t="str">
        <f>IF($B16=0,"",('MF Rollover'!GD16*($P16*(1+'Property Summary'!$L$22)^('MF Releasing'!GE$3-1)))*$C16)</f>
        <v/>
      </c>
      <c r="GF16" s="149" t="str">
        <f>IF($B16=0,"",('MF Rollover'!GE16*($P16*(1+'Property Summary'!$L$22)^('MF Releasing'!GF$3-1)))*$C16)</f>
        <v/>
      </c>
      <c r="GG16" s="149" t="str">
        <f>IF($B16=0,"",('MF Rollover'!GF16*($P16*(1+'Property Summary'!$L$22)^('MF Releasing'!GG$3-1)))*$C16)</f>
        <v/>
      </c>
      <c r="GH16" s="149" t="str">
        <f>IF($B16=0,"",('MF Rollover'!GG16*($P16*(1+'Property Summary'!$L$22)^('MF Releasing'!GH$3-1)))*$C16)</f>
        <v/>
      </c>
      <c r="GI16" s="149" t="str">
        <f>IF($B16=0,"",('MF Rollover'!GH16*($P16*(1+'Property Summary'!$L$22)^('MF Releasing'!GI$3-1)))*$C16)</f>
        <v/>
      </c>
      <c r="GJ16" s="149" t="str">
        <f>IF($B16=0,"",('MF Rollover'!GI16*($P16*(1+'Property Summary'!$L$22)^('MF Releasing'!GJ$3-1)))*$C16)</f>
        <v/>
      </c>
      <c r="GK16" s="149" t="str">
        <f>IF($B16=0,"",('MF Rollover'!GJ16*($P16*(1+'Property Summary'!$L$22)^('MF Releasing'!GK$3-1)))*$C16)</f>
        <v/>
      </c>
      <c r="GL16" s="149" t="str">
        <f>IF($B16=0,"",('MF Rollover'!GK16*($P16*(1+'Property Summary'!$L$22)^('MF Releasing'!GL$3-1)))*$C16)</f>
        <v/>
      </c>
      <c r="GM16" s="149" t="str">
        <f>IF($B16=0,"",('MF Rollover'!GL16*($P16*(1+'Property Summary'!$L$22)^('MF Releasing'!GM$3-1)))*$C16)</f>
        <v/>
      </c>
      <c r="GN16" s="149" t="str">
        <f>IF($B16=0,"",('MF Rollover'!GM16*($P16*(1+'Property Summary'!$L$22)^('MF Releasing'!GN$3-1)))*$C16)</f>
        <v/>
      </c>
      <c r="GO16" s="149" t="str">
        <f>IF($B16=0,"",('MF Rollover'!GN16*($P16*(1+'Property Summary'!$L$22)^('MF Releasing'!GO$3-1)))*$C16)</f>
        <v/>
      </c>
      <c r="GP16" s="149" t="str">
        <f>IF($B16=0,"",('MF Rollover'!GO16*($P16*(1+'Property Summary'!$L$22)^('MF Releasing'!GP$3-1)))*$C16)</f>
        <v/>
      </c>
    </row>
    <row r="17" spans="2:198" x14ac:dyDescent="0.3">
      <c r="B17" s="184">
        <f>'MF Rent Roll'!B16</f>
        <v>0</v>
      </c>
      <c r="C17" s="171">
        <f>'MF Rent Roll'!C16</f>
        <v>0</v>
      </c>
      <c r="D17" s="172">
        <f>'MF Rent Roll'!D16</f>
        <v>0</v>
      </c>
      <c r="E17" s="172">
        <f>'MF Rent Roll'!E16</f>
        <v>0</v>
      </c>
      <c r="F17" s="173">
        <f>'MF Rent Roll'!F16</f>
        <v>0</v>
      </c>
      <c r="G17" s="174">
        <f>'MF Rent Roll'!G16</f>
        <v>0</v>
      </c>
      <c r="H17" s="176">
        <f>'MF Rent Roll'!J16</f>
        <v>0</v>
      </c>
      <c r="I17" s="174">
        <f>'MF Rent Roll'!K16</f>
        <v>0</v>
      </c>
      <c r="J17" s="177">
        <f>'MF Rent Roll'!L16</f>
        <v>0</v>
      </c>
      <c r="K17" s="178">
        <f>'MF Rent Roll'!M16</f>
        <v>0</v>
      </c>
      <c r="L17" s="174">
        <f>'MF Rent Roll'!N16</f>
        <v>0</v>
      </c>
      <c r="M17" s="179">
        <f>'MF Rent Roll'!O16</f>
        <v>0</v>
      </c>
      <c r="N17" s="180" t="str">
        <f>'MF Rent Roll'!P16</f>
        <v/>
      </c>
      <c r="O17" s="181" t="str">
        <f>'MF Rent Roll'!Q16</f>
        <v/>
      </c>
      <c r="P17" s="104" t="str">
        <f>'MF Rent Roll'!R16</f>
        <v/>
      </c>
      <c r="S17" s="149" t="str">
        <f>IF($B17=0,"",('MF Rollover'!R17*($P17*(1+'Property Summary'!$L$22)^('MF Releasing'!S$3-1)))*$C17)</f>
        <v/>
      </c>
      <c r="T17" s="149" t="str">
        <f>IF($B17=0,"",('MF Rollover'!S17*($P17*(1+'Property Summary'!$L$22)^('MF Releasing'!T$3-1)))*$C17)</f>
        <v/>
      </c>
      <c r="U17" s="149" t="str">
        <f>IF($B17=0,"",('MF Rollover'!T17*($P17*(1+'Property Summary'!$L$22)^('MF Releasing'!U$3-1)))*$C17)</f>
        <v/>
      </c>
      <c r="V17" s="149" t="str">
        <f>IF($B17=0,"",('MF Rollover'!U17*($P17*(1+'Property Summary'!$L$22)^('MF Releasing'!V$3-1)))*$C17)</f>
        <v/>
      </c>
      <c r="W17" s="149" t="str">
        <f>IF($B17=0,"",('MF Rollover'!V17*($P17*(1+'Property Summary'!$L$22)^('MF Releasing'!W$3-1)))*$C17)</f>
        <v/>
      </c>
      <c r="X17" s="149" t="str">
        <f>IF($B17=0,"",('MF Rollover'!W17*($P17*(1+'Property Summary'!$L$22)^('MF Releasing'!X$3-1)))*$C17)</f>
        <v/>
      </c>
      <c r="Y17" s="149" t="str">
        <f>IF($B17=0,"",('MF Rollover'!X17*($P17*(1+'Property Summary'!$L$22)^('MF Releasing'!Y$3-1)))*$C17)</f>
        <v/>
      </c>
      <c r="Z17" s="149" t="str">
        <f>IF($B17=0,"",('MF Rollover'!Y17*($P17*(1+'Property Summary'!$L$22)^('MF Releasing'!Z$3-1)))*$C17)</f>
        <v/>
      </c>
      <c r="AA17" s="149" t="str">
        <f>IF($B17=0,"",('MF Rollover'!Z17*($P17*(1+'Property Summary'!$L$22)^('MF Releasing'!AA$3-1)))*$C17)</f>
        <v/>
      </c>
      <c r="AB17" s="149" t="str">
        <f>IF($B17=0,"",('MF Rollover'!AA17*($P17*(1+'Property Summary'!$L$22)^('MF Releasing'!AB$3-1)))*$C17)</f>
        <v/>
      </c>
      <c r="AC17" s="149" t="str">
        <f>IF($B17=0,"",('MF Rollover'!AB17*($P17*(1+'Property Summary'!$L$22)^('MF Releasing'!AC$3-1)))*$C17)</f>
        <v/>
      </c>
      <c r="AD17" s="149" t="str">
        <f>IF($B17=0,"",('MF Rollover'!AC17*($P17*(1+'Property Summary'!$L$22)^('MF Releasing'!AD$3-1)))*$C17)</f>
        <v/>
      </c>
      <c r="AE17" s="149" t="str">
        <f>IF($B17=0,"",('MF Rollover'!AD17*($P17*(1+'Property Summary'!$L$22)^('MF Releasing'!AE$3-1)))*$C17)</f>
        <v/>
      </c>
      <c r="AF17" s="149" t="str">
        <f>IF($B17=0,"",('MF Rollover'!AE17*($P17*(1+'Property Summary'!$L$22)^('MF Releasing'!AF$3-1)))*$C17)</f>
        <v/>
      </c>
      <c r="AG17" s="149" t="str">
        <f>IF($B17=0,"",('MF Rollover'!AF17*($P17*(1+'Property Summary'!$L$22)^('MF Releasing'!AG$3-1)))*$C17)</f>
        <v/>
      </c>
      <c r="AH17" s="149" t="str">
        <f>IF($B17=0,"",('MF Rollover'!AG17*($P17*(1+'Property Summary'!$L$22)^('MF Releasing'!AH$3-1)))*$C17)</f>
        <v/>
      </c>
      <c r="AI17" s="149" t="str">
        <f>IF($B17=0,"",('MF Rollover'!AH17*($P17*(1+'Property Summary'!$L$22)^('MF Releasing'!AI$3-1)))*$C17)</f>
        <v/>
      </c>
      <c r="AJ17" s="149" t="str">
        <f>IF($B17=0,"",('MF Rollover'!AI17*($P17*(1+'Property Summary'!$L$22)^('MF Releasing'!AJ$3-1)))*$C17)</f>
        <v/>
      </c>
      <c r="AK17" s="149" t="str">
        <f>IF($B17=0,"",('MF Rollover'!AJ17*($P17*(1+'Property Summary'!$L$22)^('MF Releasing'!AK$3-1)))*$C17)</f>
        <v/>
      </c>
      <c r="AL17" s="149" t="str">
        <f>IF($B17=0,"",('MF Rollover'!AK17*($P17*(1+'Property Summary'!$L$22)^('MF Releasing'!AL$3-1)))*$C17)</f>
        <v/>
      </c>
      <c r="AM17" s="149" t="str">
        <f>IF($B17=0,"",('MF Rollover'!AL17*($P17*(1+'Property Summary'!$L$22)^('MF Releasing'!AM$3-1)))*$C17)</f>
        <v/>
      </c>
      <c r="AN17" s="149" t="str">
        <f>IF($B17=0,"",('MF Rollover'!AM17*($P17*(1+'Property Summary'!$L$22)^('MF Releasing'!AN$3-1)))*$C17)</f>
        <v/>
      </c>
      <c r="AO17" s="149" t="str">
        <f>IF($B17=0,"",('MF Rollover'!AN17*($P17*(1+'Property Summary'!$L$22)^('MF Releasing'!AO$3-1)))*$C17)</f>
        <v/>
      </c>
      <c r="AP17" s="149" t="str">
        <f>IF($B17=0,"",('MF Rollover'!AO17*($P17*(1+'Property Summary'!$L$22)^('MF Releasing'!AP$3-1)))*$C17)</f>
        <v/>
      </c>
      <c r="AQ17" s="149" t="str">
        <f>IF($B17=0,"",('MF Rollover'!AP17*($P17*(1+'Property Summary'!$L$22)^('MF Releasing'!AQ$3-1)))*$C17)</f>
        <v/>
      </c>
      <c r="AR17" s="149" t="str">
        <f>IF($B17=0,"",('MF Rollover'!AQ17*($P17*(1+'Property Summary'!$L$22)^('MF Releasing'!AR$3-1)))*$C17)</f>
        <v/>
      </c>
      <c r="AS17" s="149" t="str">
        <f>IF($B17=0,"",('MF Rollover'!AR17*($P17*(1+'Property Summary'!$L$22)^('MF Releasing'!AS$3-1)))*$C17)</f>
        <v/>
      </c>
      <c r="AT17" s="149" t="str">
        <f>IF($B17=0,"",('MF Rollover'!AS17*($P17*(1+'Property Summary'!$L$22)^('MF Releasing'!AT$3-1)))*$C17)</f>
        <v/>
      </c>
      <c r="AU17" s="149" t="str">
        <f>IF($B17=0,"",('MF Rollover'!AT17*($P17*(1+'Property Summary'!$L$22)^('MF Releasing'!AU$3-1)))*$C17)</f>
        <v/>
      </c>
      <c r="AV17" s="149" t="str">
        <f>IF($B17=0,"",('MF Rollover'!AU17*($P17*(1+'Property Summary'!$L$22)^('MF Releasing'!AV$3-1)))*$C17)</f>
        <v/>
      </c>
      <c r="AW17" s="149" t="str">
        <f>IF($B17=0,"",('MF Rollover'!AV17*($P17*(1+'Property Summary'!$L$22)^('MF Releasing'!AW$3-1)))*$C17)</f>
        <v/>
      </c>
      <c r="AX17" s="149" t="str">
        <f>IF($B17=0,"",('MF Rollover'!AW17*($P17*(1+'Property Summary'!$L$22)^('MF Releasing'!AX$3-1)))*$C17)</f>
        <v/>
      </c>
      <c r="AY17" s="149" t="str">
        <f>IF($B17=0,"",('MF Rollover'!AX17*($P17*(1+'Property Summary'!$L$22)^('MF Releasing'!AY$3-1)))*$C17)</f>
        <v/>
      </c>
      <c r="AZ17" s="149" t="str">
        <f>IF($B17=0,"",('MF Rollover'!AY17*($P17*(1+'Property Summary'!$L$22)^('MF Releasing'!AZ$3-1)))*$C17)</f>
        <v/>
      </c>
      <c r="BA17" s="149" t="str">
        <f>IF($B17=0,"",('MF Rollover'!AZ17*($P17*(1+'Property Summary'!$L$22)^('MF Releasing'!BA$3-1)))*$C17)</f>
        <v/>
      </c>
      <c r="BB17" s="149" t="str">
        <f>IF($B17=0,"",('MF Rollover'!BA17*($P17*(1+'Property Summary'!$L$22)^('MF Releasing'!BB$3-1)))*$C17)</f>
        <v/>
      </c>
      <c r="BC17" s="149" t="str">
        <f>IF($B17=0,"",('MF Rollover'!BB17*($P17*(1+'Property Summary'!$L$22)^('MF Releasing'!BC$3-1)))*$C17)</f>
        <v/>
      </c>
      <c r="BD17" s="149" t="str">
        <f>IF($B17=0,"",('MF Rollover'!BC17*($P17*(1+'Property Summary'!$L$22)^('MF Releasing'!BD$3-1)))*$C17)</f>
        <v/>
      </c>
      <c r="BE17" s="149" t="str">
        <f>IF($B17=0,"",('MF Rollover'!BD17*($P17*(1+'Property Summary'!$L$22)^('MF Releasing'!BE$3-1)))*$C17)</f>
        <v/>
      </c>
      <c r="BF17" s="149" t="str">
        <f>IF($B17=0,"",('MF Rollover'!BE17*($P17*(1+'Property Summary'!$L$22)^('MF Releasing'!BF$3-1)))*$C17)</f>
        <v/>
      </c>
      <c r="BG17" s="149" t="str">
        <f>IF($B17=0,"",('MF Rollover'!BF17*($P17*(1+'Property Summary'!$L$22)^('MF Releasing'!BG$3-1)))*$C17)</f>
        <v/>
      </c>
      <c r="BH17" s="149" t="str">
        <f>IF($B17=0,"",('MF Rollover'!BG17*($P17*(1+'Property Summary'!$L$22)^('MF Releasing'!BH$3-1)))*$C17)</f>
        <v/>
      </c>
      <c r="BI17" s="149" t="str">
        <f>IF($B17=0,"",('MF Rollover'!BH17*($P17*(1+'Property Summary'!$L$22)^('MF Releasing'!BI$3-1)))*$C17)</f>
        <v/>
      </c>
      <c r="BJ17" s="149" t="str">
        <f>IF($B17=0,"",('MF Rollover'!BI17*($P17*(1+'Property Summary'!$L$22)^('MF Releasing'!BJ$3-1)))*$C17)</f>
        <v/>
      </c>
      <c r="BK17" s="149" t="str">
        <f>IF($B17=0,"",('MF Rollover'!BJ17*($P17*(1+'Property Summary'!$L$22)^('MF Releasing'!BK$3-1)))*$C17)</f>
        <v/>
      </c>
      <c r="BL17" s="149" t="str">
        <f>IF($B17=0,"",('MF Rollover'!BK17*($P17*(1+'Property Summary'!$L$22)^('MF Releasing'!BL$3-1)))*$C17)</f>
        <v/>
      </c>
      <c r="BM17" s="149" t="str">
        <f>IF($B17=0,"",('MF Rollover'!BL17*($P17*(1+'Property Summary'!$L$22)^('MF Releasing'!BM$3-1)))*$C17)</f>
        <v/>
      </c>
      <c r="BN17" s="149" t="str">
        <f>IF($B17=0,"",('MF Rollover'!BM17*($P17*(1+'Property Summary'!$L$22)^('MF Releasing'!BN$3-1)))*$C17)</f>
        <v/>
      </c>
      <c r="BO17" s="149" t="str">
        <f>IF($B17=0,"",('MF Rollover'!BN17*($P17*(1+'Property Summary'!$L$22)^('MF Releasing'!BO$3-1)))*$C17)</f>
        <v/>
      </c>
      <c r="BP17" s="149" t="str">
        <f>IF($B17=0,"",('MF Rollover'!BO17*($P17*(1+'Property Summary'!$L$22)^('MF Releasing'!BP$3-1)))*$C17)</f>
        <v/>
      </c>
      <c r="BQ17" s="149" t="str">
        <f>IF($B17=0,"",('MF Rollover'!BP17*($P17*(1+'Property Summary'!$L$22)^('MF Releasing'!BQ$3-1)))*$C17)</f>
        <v/>
      </c>
      <c r="BR17" s="149" t="str">
        <f>IF($B17=0,"",('MF Rollover'!BQ17*($P17*(1+'Property Summary'!$L$22)^('MF Releasing'!BR$3-1)))*$C17)</f>
        <v/>
      </c>
      <c r="BS17" s="149" t="str">
        <f>IF($B17=0,"",('MF Rollover'!BR17*($P17*(1+'Property Summary'!$L$22)^('MF Releasing'!BS$3-1)))*$C17)</f>
        <v/>
      </c>
      <c r="BT17" s="149" t="str">
        <f>IF($B17=0,"",('MF Rollover'!BS17*($P17*(1+'Property Summary'!$L$22)^('MF Releasing'!BT$3-1)))*$C17)</f>
        <v/>
      </c>
      <c r="BU17" s="149" t="str">
        <f>IF($B17=0,"",('MF Rollover'!BT17*($P17*(1+'Property Summary'!$L$22)^('MF Releasing'!BU$3-1)))*$C17)</f>
        <v/>
      </c>
      <c r="BV17" s="149" t="str">
        <f>IF($B17=0,"",('MF Rollover'!BU17*($P17*(1+'Property Summary'!$L$22)^('MF Releasing'!BV$3-1)))*$C17)</f>
        <v/>
      </c>
      <c r="BW17" s="149" t="str">
        <f>IF($B17=0,"",('MF Rollover'!BV17*($P17*(1+'Property Summary'!$L$22)^('MF Releasing'!BW$3-1)))*$C17)</f>
        <v/>
      </c>
      <c r="BX17" s="149" t="str">
        <f>IF($B17=0,"",('MF Rollover'!BW17*($P17*(1+'Property Summary'!$L$22)^('MF Releasing'!BX$3-1)))*$C17)</f>
        <v/>
      </c>
      <c r="BY17" s="149" t="str">
        <f>IF($B17=0,"",('MF Rollover'!BX17*($P17*(1+'Property Summary'!$L$22)^('MF Releasing'!BY$3-1)))*$C17)</f>
        <v/>
      </c>
      <c r="BZ17" s="149" t="str">
        <f>IF($B17=0,"",('MF Rollover'!BY17*($P17*(1+'Property Summary'!$L$22)^('MF Releasing'!BZ$3-1)))*$C17)</f>
        <v/>
      </c>
      <c r="CA17" s="149" t="str">
        <f>IF($B17=0,"",('MF Rollover'!BZ17*($P17*(1+'Property Summary'!$L$22)^('MF Releasing'!CA$3-1)))*$C17)</f>
        <v/>
      </c>
      <c r="CB17" s="149" t="str">
        <f>IF($B17=0,"",('MF Rollover'!CA17*($P17*(1+'Property Summary'!$L$22)^('MF Releasing'!CB$3-1)))*$C17)</f>
        <v/>
      </c>
      <c r="CC17" s="149" t="str">
        <f>IF($B17=0,"",('MF Rollover'!CB17*($P17*(1+'Property Summary'!$L$22)^('MF Releasing'!CC$3-1)))*$C17)</f>
        <v/>
      </c>
      <c r="CD17" s="149" t="str">
        <f>IF($B17=0,"",('MF Rollover'!CC17*($P17*(1+'Property Summary'!$L$22)^('MF Releasing'!CD$3-1)))*$C17)</f>
        <v/>
      </c>
      <c r="CE17" s="149" t="str">
        <f>IF($B17=0,"",('MF Rollover'!CD17*($P17*(1+'Property Summary'!$L$22)^('MF Releasing'!CE$3-1)))*$C17)</f>
        <v/>
      </c>
      <c r="CF17" s="149" t="str">
        <f>IF($B17=0,"",('MF Rollover'!CE17*($P17*(1+'Property Summary'!$L$22)^('MF Releasing'!CF$3-1)))*$C17)</f>
        <v/>
      </c>
      <c r="CG17" s="149" t="str">
        <f>IF($B17=0,"",('MF Rollover'!CF17*($P17*(1+'Property Summary'!$L$22)^('MF Releasing'!CG$3-1)))*$C17)</f>
        <v/>
      </c>
      <c r="CH17" s="149" t="str">
        <f>IF($B17=0,"",('MF Rollover'!CG17*($P17*(1+'Property Summary'!$L$22)^('MF Releasing'!CH$3-1)))*$C17)</f>
        <v/>
      </c>
      <c r="CI17" s="149" t="str">
        <f>IF($B17=0,"",('MF Rollover'!CH17*($P17*(1+'Property Summary'!$L$22)^('MF Releasing'!CI$3-1)))*$C17)</f>
        <v/>
      </c>
      <c r="CJ17" s="149" t="str">
        <f>IF($B17=0,"",('MF Rollover'!CI17*($P17*(1+'Property Summary'!$L$22)^('MF Releasing'!CJ$3-1)))*$C17)</f>
        <v/>
      </c>
      <c r="CK17" s="149" t="str">
        <f>IF($B17=0,"",('MF Rollover'!CJ17*($P17*(1+'Property Summary'!$L$22)^('MF Releasing'!CK$3-1)))*$C17)</f>
        <v/>
      </c>
      <c r="CL17" s="149" t="str">
        <f>IF($B17=0,"",('MF Rollover'!CK17*($P17*(1+'Property Summary'!$L$22)^('MF Releasing'!CL$3-1)))*$C17)</f>
        <v/>
      </c>
      <c r="CM17" s="149" t="str">
        <f>IF($B17=0,"",('MF Rollover'!CL17*($P17*(1+'Property Summary'!$L$22)^('MF Releasing'!CM$3-1)))*$C17)</f>
        <v/>
      </c>
      <c r="CN17" s="149" t="str">
        <f>IF($B17=0,"",('MF Rollover'!CM17*($P17*(1+'Property Summary'!$L$22)^('MF Releasing'!CN$3-1)))*$C17)</f>
        <v/>
      </c>
      <c r="CO17" s="149" t="str">
        <f>IF($B17=0,"",('MF Rollover'!CN17*($P17*(1+'Property Summary'!$L$22)^('MF Releasing'!CO$3-1)))*$C17)</f>
        <v/>
      </c>
      <c r="CP17" s="149" t="str">
        <f>IF($B17=0,"",('MF Rollover'!CO17*($P17*(1+'Property Summary'!$L$22)^('MF Releasing'!CP$3-1)))*$C17)</f>
        <v/>
      </c>
      <c r="CQ17" s="149" t="str">
        <f>IF($B17=0,"",('MF Rollover'!CP17*($P17*(1+'Property Summary'!$L$22)^('MF Releasing'!CQ$3-1)))*$C17)</f>
        <v/>
      </c>
      <c r="CR17" s="149" t="str">
        <f>IF($B17=0,"",('MF Rollover'!CQ17*($P17*(1+'Property Summary'!$L$22)^('MF Releasing'!CR$3-1)))*$C17)</f>
        <v/>
      </c>
      <c r="CS17" s="149" t="str">
        <f>IF($B17=0,"",('MF Rollover'!CR17*($P17*(1+'Property Summary'!$L$22)^('MF Releasing'!CS$3-1)))*$C17)</f>
        <v/>
      </c>
      <c r="CT17" s="149" t="str">
        <f>IF($B17=0,"",('MF Rollover'!CS17*($P17*(1+'Property Summary'!$L$22)^('MF Releasing'!CT$3-1)))*$C17)</f>
        <v/>
      </c>
      <c r="CU17" s="149" t="str">
        <f>IF($B17=0,"",('MF Rollover'!CT17*($P17*(1+'Property Summary'!$L$22)^('MF Releasing'!CU$3-1)))*$C17)</f>
        <v/>
      </c>
      <c r="CV17" s="149" t="str">
        <f>IF($B17=0,"",('MF Rollover'!CU17*($P17*(1+'Property Summary'!$L$22)^('MF Releasing'!CV$3-1)))*$C17)</f>
        <v/>
      </c>
      <c r="CW17" s="149" t="str">
        <f>IF($B17=0,"",('MF Rollover'!CV17*($P17*(1+'Property Summary'!$L$22)^('MF Releasing'!CW$3-1)))*$C17)</f>
        <v/>
      </c>
      <c r="CX17" s="149" t="str">
        <f>IF($B17=0,"",('MF Rollover'!CW17*($P17*(1+'Property Summary'!$L$22)^('MF Releasing'!CX$3-1)))*$C17)</f>
        <v/>
      </c>
      <c r="CY17" s="149" t="str">
        <f>IF($B17=0,"",('MF Rollover'!CX17*($P17*(1+'Property Summary'!$L$22)^('MF Releasing'!CY$3-1)))*$C17)</f>
        <v/>
      </c>
      <c r="CZ17" s="149" t="str">
        <f>IF($B17=0,"",('MF Rollover'!CY17*($P17*(1+'Property Summary'!$L$22)^('MF Releasing'!CZ$3-1)))*$C17)</f>
        <v/>
      </c>
      <c r="DA17" s="149" t="str">
        <f>IF($B17=0,"",('MF Rollover'!CZ17*($P17*(1+'Property Summary'!$L$22)^('MF Releasing'!DA$3-1)))*$C17)</f>
        <v/>
      </c>
      <c r="DB17" s="149" t="str">
        <f>IF($B17=0,"",('MF Rollover'!DA17*($P17*(1+'Property Summary'!$L$22)^('MF Releasing'!DB$3-1)))*$C17)</f>
        <v/>
      </c>
      <c r="DC17" s="149" t="str">
        <f>IF($B17=0,"",('MF Rollover'!DB17*($P17*(1+'Property Summary'!$L$22)^('MF Releasing'!DC$3-1)))*$C17)</f>
        <v/>
      </c>
      <c r="DD17" s="149" t="str">
        <f>IF($B17=0,"",('MF Rollover'!DC17*($P17*(1+'Property Summary'!$L$22)^('MF Releasing'!DD$3-1)))*$C17)</f>
        <v/>
      </c>
      <c r="DE17" s="149" t="str">
        <f>IF($B17=0,"",('MF Rollover'!DD17*($P17*(1+'Property Summary'!$L$22)^('MF Releasing'!DE$3-1)))*$C17)</f>
        <v/>
      </c>
      <c r="DF17" s="149" t="str">
        <f>IF($B17=0,"",('MF Rollover'!DE17*($P17*(1+'Property Summary'!$L$22)^('MF Releasing'!DF$3-1)))*$C17)</f>
        <v/>
      </c>
      <c r="DG17" s="149" t="str">
        <f>IF($B17=0,"",('MF Rollover'!DF17*($P17*(1+'Property Summary'!$L$22)^('MF Releasing'!DG$3-1)))*$C17)</f>
        <v/>
      </c>
      <c r="DH17" s="149" t="str">
        <f>IF($B17=0,"",('MF Rollover'!DG17*($P17*(1+'Property Summary'!$L$22)^('MF Releasing'!DH$3-1)))*$C17)</f>
        <v/>
      </c>
      <c r="DI17" s="149" t="str">
        <f>IF($B17=0,"",('MF Rollover'!DH17*($P17*(1+'Property Summary'!$L$22)^('MF Releasing'!DI$3-1)))*$C17)</f>
        <v/>
      </c>
      <c r="DJ17" s="149" t="str">
        <f>IF($B17=0,"",('MF Rollover'!DI17*($P17*(1+'Property Summary'!$L$22)^('MF Releasing'!DJ$3-1)))*$C17)</f>
        <v/>
      </c>
      <c r="DK17" s="149" t="str">
        <f>IF($B17=0,"",('MF Rollover'!DJ17*($P17*(1+'Property Summary'!$L$22)^('MF Releasing'!DK$3-1)))*$C17)</f>
        <v/>
      </c>
      <c r="DL17" s="149" t="str">
        <f>IF($B17=0,"",('MF Rollover'!DK17*($P17*(1+'Property Summary'!$L$22)^('MF Releasing'!DL$3-1)))*$C17)</f>
        <v/>
      </c>
      <c r="DM17" s="149" t="str">
        <f>IF($B17=0,"",('MF Rollover'!DL17*($P17*(1+'Property Summary'!$L$22)^('MF Releasing'!DM$3-1)))*$C17)</f>
        <v/>
      </c>
      <c r="DN17" s="149" t="str">
        <f>IF($B17=0,"",('MF Rollover'!DM17*($P17*(1+'Property Summary'!$L$22)^('MF Releasing'!DN$3-1)))*$C17)</f>
        <v/>
      </c>
      <c r="DO17" s="149" t="str">
        <f>IF($B17=0,"",('MF Rollover'!DN17*($P17*(1+'Property Summary'!$L$22)^('MF Releasing'!DO$3-1)))*$C17)</f>
        <v/>
      </c>
      <c r="DP17" s="149" t="str">
        <f>IF($B17=0,"",('MF Rollover'!DO17*($P17*(1+'Property Summary'!$L$22)^('MF Releasing'!DP$3-1)))*$C17)</f>
        <v/>
      </c>
      <c r="DQ17" s="149" t="str">
        <f>IF($B17=0,"",('MF Rollover'!DP17*($P17*(1+'Property Summary'!$L$22)^('MF Releasing'!DQ$3-1)))*$C17)</f>
        <v/>
      </c>
      <c r="DR17" s="149" t="str">
        <f>IF($B17=0,"",('MF Rollover'!DQ17*($P17*(1+'Property Summary'!$L$22)^('MF Releasing'!DR$3-1)))*$C17)</f>
        <v/>
      </c>
      <c r="DS17" s="149" t="str">
        <f>IF($B17=0,"",('MF Rollover'!DR17*($P17*(1+'Property Summary'!$L$22)^('MF Releasing'!DS$3-1)))*$C17)</f>
        <v/>
      </c>
      <c r="DT17" s="149" t="str">
        <f>IF($B17=0,"",('MF Rollover'!DS17*($P17*(1+'Property Summary'!$L$22)^('MF Releasing'!DT$3-1)))*$C17)</f>
        <v/>
      </c>
      <c r="DU17" s="149" t="str">
        <f>IF($B17=0,"",('MF Rollover'!DT17*($P17*(1+'Property Summary'!$L$22)^('MF Releasing'!DU$3-1)))*$C17)</f>
        <v/>
      </c>
      <c r="DV17" s="149" t="str">
        <f>IF($B17=0,"",('MF Rollover'!DU17*($P17*(1+'Property Summary'!$L$22)^('MF Releasing'!DV$3-1)))*$C17)</f>
        <v/>
      </c>
      <c r="DW17" s="149" t="str">
        <f>IF($B17=0,"",('MF Rollover'!DV17*($P17*(1+'Property Summary'!$L$22)^('MF Releasing'!DW$3-1)))*$C17)</f>
        <v/>
      </c>
      <c r="DX17" s="149" t="str">
        <f>IF($B17=0,"",('MF Rollover'!DW17*($P17*(1+'Property Summary'!$L$22)^('MF Releasing'!DX$3-1)))*$C17)</f>
        <v/>
      </c>
      <c r="DY17" s="149" t="str">
        <f>IF($B17=0,"",('MF Rollover'!DX17*($P17*(1+'Property Summary'!$L$22)^('MF Releasing'!DY$3-1)))*$C17)</f>
        <v/>
      </c>
      <c r="DZ17" s="149" t="str">
        <f>IF($B17=0,"",('MF Rollover'!DY17*($P17*(1+'Property Summary'!$L$22)^('MF Releasing'!DZ$3-1)))*$C17)</f>
        <v/>
      </c>
      <c r="EA17" s="149" t="str">
        <f>IF($B17=0,"",('MF Rollover'!DZ17*($P17*(1+'Property Summary'!$L$22)^('MF Releasing'!EA$3-1)))*$C17)</f>
        <v/>
      </c>
      <c r="EB17" s="149" t="str">
        <f>IF($B17=0,"",('MF Rollover'!EA17*($P17*(1+'Property Summary'!$L$22)^('MF Releasing'!EB$3-1)))*$C17)</f>
        <v/>
      </c>
      <c r="EC17" s="149" t="str">
        <f>IF($B17=0,"",('MF Rollover'!EB17*($P17*(1+'Property Summary'!$L$22)^('MF Releasing'!EC$3-1)))*$C17)</f>
        <v/>
      </c>
      <c r="ED17" s="149" t="str">
        <f>IF($B17=0,"",('MF Rollover'!EC17*($P17*(1+'Property Summary'!$L$22)^('MF Releasing'!ED$3-1)))*$C17)</f>
        <v/>
      </c>
      <c r="EE17" s="149" t="str">
        <f>IF($B17=0,"",('MF Rollover'!ED17*($P17*(1+'Property Summary'!$L$22)^('MF Releasing'!EE$3-1)))*$C17)</f>
        <v/>
      </c>
      <c r="EF17" s="149" t="str">
        <f>IF($B17=0,"",('MF Rollover'!EE17*($P17*(1+'Property Summary'!$L$22)^('MF Releasing'!EF$3-1)))*$C17)</f>
        <v/>
      </c>
      <c r="EG17" s="149" t="str">
        <f>IF($B17=0,"",('MF Rollover'!EF17*($P17*(1+'Property Summary'!$L$22)^('MF Releasing'!EG$3-1)))*$C17)</f>
        <v/>
      </c>
      <c r="EH17" s="149" t="str">
        <f>IF($B17=0,"",('MF Rollover'!EG17*($P17*(1+'Property Summary'!$L$22)^('MF Releasing'!EH$3-1)))*$C17)</f>
        <v/>
      </c>
      <c r="EI17" s="149" t="str">
        <f>IF($B17=0,"",('MF Rollover'!EH17*($P17*(1+'Property Summary'!$L$22)^('MF Releasing'!EI$3-1)))*$C17)</f>
        <v/>
      </c>
      <c r="EJ17" s="149" t="str">
        <f>IF($B17=0,"",('MF Rollover'!EI17*($P17*(1+'Property Summary'!$L$22)^('MF Releasing'!EJ$3-1)))*$C17)</f>
        <v/>
      </c>
      <c r="EK17" s="149" t="str">
        <f>IF($B17=0,"",('MF Rollover'!EJ17*($P17*(1+'Property Summary'!$L$22)^('MF Releasing'!EK$3-1)))*$C17)</f>
        <v/>
      </c>
      <c r="EL17" s="149" t="str">
        <f>IF($B17=0,"",('MF Rollover'!EK17*($P17*(1+'Property Summary'!$L$22)^('MF Releasing'!EL$3-1)))*$C17)</f>
        <v/>
      </c>
      <c r="EM17" s="149" t="str">
        <f>IF($B17=0,"",('MF Rollover'!EL17*($P17*(1+'Property Summary'!$L$22)^('MF Releasing'!EM$3-1)))*$C17)</f>
        <v/>
      </c>
      <c r="EN17" s="149" t="str">
        <f>IF($B17=0,"",('MF Rollover'!EM17*($P17*(1+'Property Summary'!$L$22)^('MF Releasing'!EN$3-1)))*$C17)</f>
        <v/>
      </c>
      <c r="EO17" s="149" t="str">
        <f>IF($B17=0,"",('MF Rollover'!EN17*($P17*(1+'Property Summary'!$L$22)^('MF Releasing'!EO$3-1)))*$C17)</f>
        <v/>
      </c>
      <c r="EP17" s="149" t="str">
        <f>IF($B17=0,"",('MF Rollover'!EO17*($P17*(1+'Property Summary'!$L$22)^('MF Releasing'!EP$3-1)))*$C17)</f>
        <v/>
      </c>
      <c r="EQ17" s="149" t="str">
        <f>IF($B17=0,"",('MF Rollover'!EP17*($P17*(1+'Property Summary'!$L$22)^('MF Releasing'!EQ$3-1)))*$C17)</f>
        <v/>
      </c>
      <c r="ER17" s="149" t="str">
        <f>IF($B17=0,"",('MF Rollover'!EQ17*($P17*(1+'Property Summary'!$L$22)^('MF Releasing'!ER$3-1)))*$C17)</f>
        <v/>
      </c>
      <c r="ES17" s="149" t="str">
        <f>IF($B17=0,"",('MF Rollover'!ER17*($P17*(1+'Property Summary'!$L$22)^('MF Releasing'!ES$3-1)))*$C17)</f>
        <v/>
      </c>
      <c r="ET17" s="149" t="str">
        <f>IF($B17=0,"",('MF Rollover'!ES17*($P17*(1+'Property Summary'!$L$22)^('MF Releasing'!ET$3-1)))*$C17)</f>
        <v/>
      </c>
      <c r="EU17" s="149" t="str">
        <f>IF($B17=0,"",('MF Rollover'!ET17*($P17*(1+'Property Summary'!$L$22)^('MF Releasing'!EU$3-1)))*$C17)</f>
        <v/>
      </c>
      <c r="EV17" s="149" t="str">
        <f>IF($B17=0,"",('MF Rollover'!EU17*($P17*(1+'Property Summary'!$L$22)^('MF Releasing'!EV$3-1)))*$C17)</f>
        <v/>
      </c>
      <c r="EW17" s="149" t="str">
        <f>IF($B17=0,"",('MF Rollover'!EV17*($P17*(1+'Property Summary'!$L$22)^('MF Releasing'!EW$3-1)))*$C17)</f>
        <v/>
      </c>
      <c r="EX17" s="149" t="str">
        <f>IF($B17=0,"",('MF Rollover'!EW17*($P17*(1+'Property Summary'!$L$22)^('MF Releasing'!EX$3-1)))*$C17)</f>
        <v/>
      </c>
      <c r="EY17" s="149" t="str">
        <f>IF($B17=0,"",('MF Rollover'!EX17*($P17*(1+'Property Summary'!$L$22)^('MF Releasing'!EY$3-1)))*$C17)</f>
        <v/>
      </c>
      <c r="EZ17" s="149" t="str">
        <f>IF($B17=0,"",('MF Rollover'!EY17*($P17*(1+'Property Summary'!$L$22)^('MF Releasing'!EZ$3-1)))*$C17)</f>
        <v/>
      </c>
      <c r="FA17" s="149" t="str">
        <f>IF($B17=0,"",('MF Rollover'!EZ17*($P17*(1+'Property Summary'!$L$22)^('MF Releasing'!FA$3-1)))*$C17)</f>
        <v/>
      </c>
      <c r="FB17" s="149" t="str">
        <f>IF($B17=0,"",('MF Rollover'!FA17*($P17*(1+'Property Summary'!$L$22)^('MF Releasing'!FB$3-1)))*$C17)</f>
        <v/>
      </c>
      <c r="FC17" s="149" t="str">
        <f>IF($B17=0,"",('MF Rollover'!FB17*($P17*(1+'Property Summary'!$L$22)^('MF Releasing'!FC$3-1)))*$C17)</f>
        <v/>
      </c>
      <c r="FD17" s="149" t="str">
        <f>IF($B17=0,"",('MF Rollover'!FC17*($P17*(1+'Property Summary'!$L$22)^('MF Releasing'!FD$3-1)))*$C17)</f>
        <v/>
      </c>
      <c r="FE17" s="149" t="str">
        <f>IF($B17=0,"",('MF Rollover'!FD17*($P17*(1+'Property Summary'!$L$22)^('MF Releasing'!FE$3-1)))*$C17)</f>
        <v/>
      </c>
      <c r="FF17" s="149" t="str">
        <f>IF($B17=0,"",('MF Rollover'!FE17*($P17*(1+'Property Summary'!$L$22)^('MF Releasing'!FF$3-1)))*$C17)</f>
        <v/>
      </c>
      <c r="FG17" s="149" t="str">
        <f>IF($B17=0,"",('MF Rollover'!FF17*($P17*(1+'Property Summary'!$L$22)^('MF Releasing'!FG$3-1)))*$C17)</f>
        <v/>
      </c>
      <c r="FH17" s="149" t="str">
        <f>IF($B17=0,"",('MF Rollover'!FG17*($P17*(1+'Property Summary'!$L$22)^('MF Releasing'!FH$3-1)))*$C17)</f>
        <v/>
      </c>
      <c r="FI17" s="149" t="str">
        <f>IF($B17=0,"",('MF Rollover'!FH17*($P17*(1+'Property Summary'!$L$22)^('MF Releasing'!FI$3-1)))*$C17)</f>
        <v/>
      </c>
      <c r="FJ17" s="149" t="str">
        <f>IF($B17=0,"",('MF Rollover'!FI17*($P17*(1+'Property Summary'!$L$22)^('MF Releasing'!FJ$3-1)))*$C17)</f>
        <v/>
      </c>
      <c r="FK17" s="149" t="str">
        <f>IF($B17=0,"",('MF Rollover'!FJ17*($P17*(1+'Property Summary'!$L$22)^('MF Releasing'!FK$3-1)))*$C17)</f>
        <v/>
      </c>
      <c r="FL17" s="149" t="str">
        <f>IF($B17=0,"",('MF Rollover'!FK17*($P17*(1+'Property Summary'!$L$22)^('MF Releasing'!FL$3-1)))*$C17)</f>
        <v/>
      </c>
      <c r="FM17" s="149" t="str">
        <f>IF($B17=0,"",('MF Rollover'!FL17*($P17*(1+'Property Summary'!$L$22)^('MF Releasing'!FM$3-1)))*$C17)</f>
        <v/>
      </c>
      <c r="FN17" s="149" t="str">
        <f>IF($B17=0,"",('MF Rollover'!FM17*($P17*(1+'Property Summary'!$L$22)^('MF Releasing'!FN$3-1)))*$C17)</f>
        <v/>
      </c>
      <c r="FO17" s="149" t="str">
        <f>IF($B17=0,"",('MF Rollover'!FN17*($P17*(1+'Property Summary'!$L$22)^('MF Releasing'!FO$3-1)))*$C17)</f>
        <v/>
      </c>
      <c r="FP17" s="149" t="str">
        <f>IF($B17=0,"",('MF Rollover'!FO17*($P17*(1+'Property Summary'!$L$22)^('MF Releasing'!FP$3-1)))*$C17)</f>
        <v/>
      </c>
      <c r="FQ17" s="149" t="str">
        <f>IF($B17=0,"",('MF Rollover'!FP17*($P17*(1+'Property Summary'!$L$22)^('MF Releasing'!FQ$3-1)))*$C17)</f>
        <v/>
      </c>
      <c r="FR17" s="149" t="str">
        <f>IF($B17=0,"",('MF Rollover'!FQ17*($P17*(1+'Property Summary'!$L$22)^('MF Releasing'!FR$3-1)))*$C17)</f>
        <v/>
      </c>
      <c r="FS17" s="149" t="str">
        <f>IF($B17=0,"",('MF Rollover'!FR17*($P17*(1+'Property Summary'!$L$22)^('MF Releasing'!FS$3-1)))*$C17)</f>
        <v/>
      </c>
      <c r="FT17" s="149" t="str">
        <f>IF($B17=0,"",('MF Rollover'!FS17*($P17*(1+'Property Summary'!$L$22)^('MF Releasing'!FT$3-1)))*$C17)</f>
        <v/>
      </c>
      <c r="FU17" s="149" t="str">
        <f>IF($B17=0,"",('MF Rollover'!FT17*($P17*(1+'Property Summary'!$L$22)^('MF Releasing'!FU$3-1)))*$C17)</f>
        <v/>
      </c>
      <c r="FV17" s="149" t="str">
        <f>IF($B17=0,"",('MF Rollover'!FU17*($P17*(1+'Property Summary'!$L$22)^('MF Releasing'!FV$3-1)))*$C17)</f>
        <v/>
      </c>
      <c r="FW17" s="149" t="str">
        <f>IF($B17=0,"",('MF Rollover'!FV17*($P17*(1+'Property Summary'!$L$22)^('MF Releasing'!FW$3-1)))*$C17)</f>
        <v/>
      </c>
      <c r="FX17" s="149" t="str">
        <f>IF($B17=0,"",('MF Rollover'!FW17*($P17*(1+'Property Summary'!$L$22)^('MF Releasing'!FX$3-1)))*$C17)</f>
        <v/>
      </c>
      <c r="FY17" s="149" t="str">
        <f>IF($B17=0,"",('MF Rollover'!FX17*($P17*(1+'Property Summary'!$L$22)^('MF Releasing'!FY$3-1)))*$C17)</f>
        <v/>
      </c>
      <c r="FZ17" s="149" t="str">
        <f>IF($B17=0,"",('MF Rollover'!FY17*($P17*(1+'Property Summary'!$L$22)^('MF Releasing'!FZ$3-1)))*$C17)</f>
        <v/>
      </c>
      <c r="GA17" s="149" t="str">
        <f>IF($B17=0,"",('MF Rollover'!FZ17*($P17*(1+'Property Summary'!$L$22)^('MF Releasing'!GA$3-1)))*$C17)</f>
        <v/>
      </c>
      <c r="GB17" s="149" t="str">
        <f>IF($B17=0,"",('MF Rollover'!GA17*($P17*(1+'Property Summary'!$L$22)^('MF Releasing'!GB$3-1)))*$C17)</f>
        <v/>
      </c>
      <c r="GC17" s="149" t="str">
        <f>IF($B17=0,"",('MF Rollover'!GB17*($P17*(1+'Property Summary'!$L$22)^('MF Releasing'!GC$3-1)))*$C17)</f>
        <v/>
      </c>
      <c r="GD17" s="149" t="str">
        <f>IF($B17=0,"",('MF Rollover'!GC17*($P17*(1+'Property Summary'!$L$22)^('MF Releasing'!GD$3-1)))*$C17)</f>
        <v/>
      </c>
      <c r="GE17" s="149" t="str">
        <f>IF($B17=0,"",('MF Rollover'!GD17*($P17*(1+'Property Summary'!$L$22)^('MF Releasing'!GE$3-1)))*$C17)</f>
        <v/>
      </c>
      <c r="GF17" s="149" t="str">
        <f>IF($B17=0,"",('MF Rollover'!GE17*($P17*(1+'Property Summary'!$L$22)^('MF Releasing'!GF$3-1)))*$C17)</f>
        <v/>
      </c>
      <c r="GG17" s="149" t="str">
        <f>IF($B17=0,"",('MF Rollover'!GF17*($P17*(1+'Property Summary'!$L$22)^('MF Releasing'!GG$3-1)))*$C17)</f>
        <v/>
      </c>
      <c r="GH17" s="149" t="str">
        <f>IF($B17=0,"",('MF Rollover'!GG17*($P17*(1+'Property Summary'!$L$22)^('MF Releasing'!GH$3-1)))*$C17)</f>
        <v/>
      </c>
      <c r="GI17" s="149" t="str">
        <f>IF($B17=0,"",('MF Rollover'!GH17*($P17*(1+'Property Summary'!$L$22)^('MF Releasing'!GI$3-1)))*$C17)</f>
        <v/>
      </c>
      <c r="GJ17" s="149" t="str">
        <f>IF($B17=0,"",('MF Rollover'!GI17*($P17*(1+'Property Summary'!$L$22)^('MF Releasing'!GJ$3-1)))*$C17)</f>
        <v/>
      </c>
      <c r="GK17" s="149" t="str">
        <f>IF($B17=0,"",('MF Rollover'!GJ17*($P17*(1+'Property Summary'!$L$22)^('MF Releasing'!GK$3-1)))*$C17)</f>
        <v/>
      </c>
      <c r="GL17" s="149" t="str">
        <f>IF($B17=0,"",('MF Rollover'!GK17*($P17*(1+'Property Summary'!$L$22)^('MF Releasing'!GL$3-1)))*$C17)</f>
        <v/>
      </c>
      <c r="GM17" s="149" t="str">
        <f>IF($B17=0,"",('MF Rollover'!GL17*($P17*(1+'Property Summary'!$L$22)^('MF Releasing'!GM$3-1)))*$C17)</f>
        <v/>
      </c>
      <c r="GN17" s="149" t="str">
        <f>IF($B17=0,"",('MF Rollover'!GM17*($P17*(1+'Property Summary'!$L$22)^('MF Releasing'!GN$3-1)))*$C17)</f>
        <v/>
      </c>
      <c r="GO17" s="149" t="str">
        <f>IF($B17=0,"",('MF Rollover'!GN17*($P17*(1+'Property Summary'!$L$22)^('MF Releasing'!GO$3-1)))*$C17)</f>
        <v/>
      </c>
      <c r="GP17" s="149" t="str">
        <f>IF($B17=0,"",('MF Rollover'!GO17*($P17*(1+'Property Summary'!$L$22)^('MF Releasing'!GP$3-1)))*$C17)</f>
        <v/>
      </c>
    </row>
    <row r="18" spans="2:198" x14ac:dyDescent="0.3">
      <c r="B18" s="184">
        <f>'MF Rent Roll'!B17</f>
        <v>0</v>
      </c>
      <c r="C18" s="171">
        <f>'MF Rent Roll'!C17</f>
        <v>0</v>
      </c>
      <c r="D18" s="172">
        <f>'MF Rent Roll'!D17</f>
        <v>0</v>
      </c>
      <c r="E18" s="172">
        <f>'MF Rent Roll'!E17</f>
        <v>0</v>
      </c>
      <c r="F18" s="173">
        <f>'MF Rent Roll'!F17</f>
        <v>0</v>
      </c>
      <c r="G18" s="174">
        <f>'MF Rent Roll'!G17</f>
        <v>0</v>
      </c>
      <c r="H18" s="176">
        <f>'MF Rent Roll'!J17</f>
        <v>0</v>
      </c>
      <c r="I18" s="174">
        <f>'MF Rent Roll'!K17</f>
        <v>0</v>
      </c>
      <c r="J18" s="177">
        <f>'MF Rent Roll'!L17</f>
        <v>0</v>
      </c>
      <c r="K18" s="178">
        <f>'MF Rent Roll'!M17</f>
        <v>0</v>
      </c>
      <c r="L18" s="174">
        <f>'MF Rent Roll'!N17</f>
        <v>0</v>
      </c>
      <c r="M18" s="179">
        <f>'MF Rent Roll'!O17</f>
        <v>0</v>
      </c>
      <c r="N18" s="180" t="str">
        <f>'MF Rent Roll'!P17</f>
        <v/>
      </c>
      <c r="O18" s="181" t="str">
        <f>'MF Rent Roll'!Q17</f>
        <v/>
      </c>
      <c r="P18" s="104" t="str">
        <f>'MF Rent Roll'!R17</f>
        <v/>
      </c>
      <c r="S18" s="149" t="str">
        <f>IF($B18=0,"",('MF Rollover'!R18*($P18*(1+'Property Summary'!$L$22)^('MF Releasing'!S$3-1)))*$C18)</f>
        <v/>
      </c>
      <c r="T18" s="149" t="str">
        <f>IF($B18=0,"",('MF Rollover'!S18*($P18*(1+'Property Summary'!$L$22)^('MF Releasing'!T$3-1)))*$C18)</f>
        <v/>
      </c>
      <c r="U18" s="149" t="str">
        <f>IF($B18=0,"",('MF Rollover'!T18*($P18*(1+'Property Summary'!$L$22)^('MF Releasing'!U$3-1)))*$C18)</f>
        <v/>
      </c>
      <c r="V18" s="149" t="str">
        <f>IF($B18=0,"",('MF Rollover'!U18*($P18*(1+'Property Summary'!$L$22)^('MF Releasing'!V$3-1)))*$C18)</f>
        <v/>
      </c>
      <c r="W18" s="149" t="str">
        <f>IF($B18=0,"",('MF Rollover'!V18*($P18*(1+'Property Summary'!$L$22)^('MF Releasing'!W$3-1)))*$C18)</f>
        <v/>
      </c>
      <c r="X18" s="149" t="str">
        <f>IF($B18=0,"",('MF Rollover'!W18*($P18*(1+'Property Summary'!$L$22)^('MF Releasing'!X$3-1)))*$C18)</f>
        <v/>
      </c>
      <c r="Y18" s="149" t="str">
        <f>IF($B18=0,"",('MF Rollover'!X18*($P18*(1+'Property Summary'!$L$22)^('MF Releasing'!Y$3-1)))*$C18)</f>
        <v/>
      </c>
      <c r="Z18" s="149" t="str">
        <f>IF($B18=0,"",('MF Rollover'!Y18*($P18*(1+'Property Summary'!$L$22)^('MF Releasing'!Z$3-1)))*$C18)</f>
        <v/>
      </c>
      <c r="AA18" s="149" t="str">
        <f>IF($B18=0,"",('MF Rollover'!Z18*($P18*(1+'Property Summary'!$L$22)^('MF Releasing'!AA$3-1)))*$C18)</f>
        <v/>
      </c>
      <c r="AB18" s="149" t="str">
        <f>IF($B18=0,"",('MF Rollover'!AA18*($P18*(1+'Property Summary'!$L$22)^('MF Releasing'!AB$3-1)))*$C18)</f>
        <v/>
      </c>
      <c r="AC18" s="149" t="str">
        <f>IF($B18=0,"",('MF Rollover'!AB18*($P18*(1+'Property Summary'!$L$22)^('MF Releasing'!AC$3-1)))*$C18)</f>
        <v/>
      </c>
      <c r="AD18" s="149" t="str">
        <f>IF($B18=0,"",('MF Rollover'!AC18*($P18*(1+'Property Summary'!$L$22)^('MF Releasing'!AD$3-1)))*$C18)</f>
        <v/>
      </c>
      <c r="AE18" s="149" t="str">
        <f>IF($B18=0,"",('MF Rollover'!AD18*($P18*(1+'Property Summary'!$L$22)^('MF Releasing'!AE$3-1)))*$C18)</f>
        <v/>
      </c>
      <c r="AF18" s="149" t="str">
        <f>IF($B18=0,"",('MF Rollover'!AE18*($P18*(1+'Property Summary'!$L$22)^('MF Releasing'!AF$3-1)))*$C18)</f>
        <v/>
      </c>
      <c r="AG18" s="149" t="str">
        <f>IF($B18=0,"",('MF Rollover'!AF18*($P18*(1+'Property Summary'!$L$22)^('MF Releasing'!AG$3-1)))*$C18)</f>
        <v/>
      </c>
      <c r="AH18" s="149" t="str">
        <f>IF($B18=0,"",('MF Rollover'!AG18*($P18*(1+'Property Summary'!$L$22)^('MF Releasing'!AH$3-1)))*$C18)</f>
        <v/>
      </c>
      <c r="AI18" s="149" t="str">
        <f>IF($B18=0,"",('MF Rollover'!AH18*($P18*(1+'Property Summary'!$L$22)^('MF Releasing'!AI$3-1)))*$C18)</f>
        <v/>
      </c>
      <c r="AJ18" s="149" t="str">
        <f>IF($B18=0,"",('MF Rollover'!AI18*($P18*(1+'Property Summary'!$L$22)^('MF Releasing'!AJ$3-1)))*$C18)</f>
        <v/>
      </c>
      <c r="AK18" s="149" t="str">
        <f>IF($B18=0,"",('MF Rollover'!AJ18*($P18*(1+'Property Summary'!$L$22)^('MF Releasing'!AK$3-1)))*$C18)</f>
        <v/>
      </c>
      <c r="AL18" s="149" t="str">
        <f>IF($B18=0,"",('MF Rollover'!AK18*($P18*(1+'Property Summary'!$L$22)^('MF Releasing'!AL$3-1)))*$C18)</f>
        <v/>
      </c>
      <c r="AM18" s="149" t="str">
        <f>IF($B18=0,"",('MF Rollover'!AL18*($P18*(1+'Property Summary'!$L$22)^('MF Releasing'!AM$3-1)))*$C18)</f>
        <v/>
      </c>
      <c r="AN18" s="149" t="str">
        <f>IF($B18=0,"",('MF Rollover'!AM18*($P18*(1+'Property Summary'!$L$22)^('MF Releasing'!AN$3-1)))*$C18)</f>
        <v/>
      </c>
      <c r="AO18" s="149" t="str">
        <f>IF($B18=0,"",('MF Rollover'!AN18*($P18*(1+'Property Summary'!$L$22)^('MF Releasing'!AO$3-1)))*$C18)</f>
        <v/>
      </c>
      <c r="AP18" s="149" t="str">
        <f>IF($B18=0,"",('MF Rollover'!AO18*($P18*(1+'Property Summary'!$L$22)^('MF Releasing'!AP$3-1)))*$C18)</f>
        <v/>
      </c>
      <c r="AQ18" s="149" t="str">
        <f>IF($B18=0,"",('MF Rollover'!AP18*($P18*(1+'Property Summary'!$L$22)^('MF Releasing'!AQ$3-1)))*$C18)</f>
        <v/>
      </c>
      <c r="AR18" s="149" t="str">
        <f>IF($B18=0,"",('MF Rollover'!AQ18*($P18*(1+'Property Summary'!$L$22)^('MF Releasing'!AR$3-1)))*$C18)</f>
        <v/>
      </c>
      <c r="AS18" s="149" t="str">
        <f>IF($B18=0,"",('MF Rollover'!AR18*($P18*(1+'Property Summary'!$L$22)^('MF Releasing'!AS$3-1)))*$C18)</f>
        <v/>
      </c>
      <c r="AT18" s="149" t="str">
        <f>IF($B18=0,"",('MF Rollover'!AS18*($P18*(1+'Property Summary'!$L$22)^('MF Releasing'!AT$3-1)))*$C18)</f>
        <v/>
      </c>
      <c r="AU18" s="149" t="str">
        <f>IF($B18=0,"",('MF Rollover'!AT18*($P18*(1+'Property Summary'!$L$22)^('MF Releasing'!AU$3-1)))*$C18)</f>
        <v/>
      </c>
      <c r="AV18" s="149" t="str">
        <f>IF($B18=0,"",('MF Rollover'!AU18*($P18*(1+'Property Summary'!$L$22)^('MF Releasing'!AV$3-1)))*$C18)</f>
        <v/>
      </c>
      <c r="AW18" s="149" t="str">
        <f>IF($B18=0,"",('MF Rollover'!AV18*($P18*(1+'Property Summary'!$L$22)^('MF Releasing'!AW$3-1)))*$C18)</f>
        <v/>
      </c>
      <c r="AX18" s="149" t="str">
        <f>IF($B18=0,"",('MF Rollover'!AW18*($P18*(1+'Property Summary'!$L$22)^('MF Releasing'!AX$3-1)))*$C18)</f>
        <v/>
      </c>
      <c r="AY18" s="149" t="str">
        <f>IF($B18=0,"",('MF Rollover'!AX18*($P18*(1+'Property Summary'!$L$22)^('MF Releasing'!AY$3-1)))*$C18)</f>
        <v/>
      </c>
      <c r="AZ18" s="149" t="str">
        <f>IF($B18=0,"",('MF Rollover'!AY18*($P18*(1+'Property Summary'!$L$22)^('MF Releasing'!AZ$3-1)))*$C18)</f>
        <v/>
      </c>
      <c r="BA18" s="149" t="str">
        <f>IF($B18=0,"",('MF Rollover'!AZ18*($P18*(1+'Property Summary'!$L$22)^('MF Releasing'!BA$3-1)))*$C18)</f>
        <v/>
      </c>
      <c r="BB18" s="149" t="str">
        <f>IF($B18=0,"",('MF Rollover'!BA18*($P18*(1+'Property Summary'!$L$22)^('MF Releasing'!BB$3-1)))*$C18)</f>
        <v/>
      </c>
      <c r="BC18" s="149" t="str">
        <f>IF($B18=0,"",('MF Rollover'!BB18*($P18*(1+'Property Summary'!$L$22)^('MF Releasing'!BC$3-1)))*$C18)</f>
        <v/>
      </c>
      <c r="BD18" s="149" t="str">
        <f>IF($B18=0,"",('MF Rollover'!BC18*($P18*(1+'Property Summary'!$L$22)^('MF Releasing'!BD$3-1)))*$C18)</f>
        <v/>
      </c>
      <c r="BE18" s="149" t="str">
        <f>IF($B18=0,"",('MF Rollover'!BD18*($P18*(1+'Property Summary'!$L$22)^('MF Releasing'!BE$3-1)))*$C18)</f>
        <v/>
      </c>
      <c r="BF18" s="149" t="str">
        <f>IF($B18=0,"",('MF Rollover'!BE18*($P18*(1+'Property Summary'!$L$22)^('MF Releasing'!BF$3-1)))*$C18)</f>
        <v/>
      </c>
      <c r="BG18" s="149" t="str">
        <f>IF($B18=0,"",('MF Rollover'!BF18*($P18*(1+'Property Summary'!$L$22)^('MF Releasing'!BG$3-1)))*$C18)</f>
        <v/>
      </c>
      <c r="BH18" s="149" t="str">
        <f>IF($B18=0,"",('MF Rollover'!BG18*($P18*(1+'Property Summary'!$L$22)^('MF Releasing'!BH$3-1)))*$C18)</f>
        <v/>
      </c>
      <c r="BI18" s="149" t="str">
        <f>IF($B18=0,"",('MF Rollover'!BH18*($P18*(1+'Property Summary'!$L$22)^('MF Releasing'!BI$3-1)))*$C18)</f>
        <v/>
      </c>
      <c r="BJ18" s="149" t="str">
        <f>IF($B18=0,"",('MF Rollover'!BI18*($P18*(1+'Property Summary'!$L$22)^('MF Releasing'!BJ$3-1)))*$C18)</f>
        <v/>
      </c>
      <c r="BK18" s="149" t="str">
        <f>IF($B18=0,"",('MF Rollover'!BJ18*($P18*(1+'Property Summary'!$L$22)^('MF Releasing'!BK$3-1)))*$C18)</f>
        <v/>
      </c>
      <c r="BL18" s="149" t="str">
        <f>IF($B18=0,"",('MF Rollover'!BK18*($P18*(1+'Property Summary'!$L$22)^('MF Releasing'!BL$3-1)))*$C18)</f>
        <v/>
      </c>
      <c r="BM18" s="149" t="str">
        <f>IF($B18=0,"",('MF Rollover'!BL18*($P18*(1+'Property Summary'!$L$22)^('MF Releasing'!BM$3-1)))*$C18)</f>
        <v/>
      </c>
      <c r="BN18" s="149" t="str">
        <f>IF($B18=0,"",('MF Rollover'!BM18*($P18*(1+'Property Summary'!$L$22)^('MF Releasing'!BN$3-1)))*$C18)</f>
        <v/>
      </c>
      <c r="BO18" s="149" t="str">
        <f>IF($B18=0,"",('MF Rollover'!BN18*($P18*(1+'Property Summary'!$L$22)^('MF Releasing'!BO$3-1)))*$C18)</f>
        <v/>
      </c>
      <c r="BP18" s="149" t="str">
        <f>IF($B18=0,"",('MF Rollover'!BO18*($P18*(1+'Property Summary'!$L$22)^('MF Releasing'!BP$3-1)))*$C18)</f>
        <v/>
      </c>
      <c r="BQ18" s="149" t="str">
        <f>IF($B18=0,"",('MF Rollover'!BP18*($P18*(1+'Property Summary'!$L$22)^('MF Releasing'!BQ$3-1)))*$C18)</f>
        <v/>
      </c>
      <c r="BR18" s="149" t="str">
        <f>IF($B18=0,"",('MF Rollover'!BQ18*($P18*(1+'Property Summary'!$L$22)^('MF Releasing'!BR$3-1)))*$C18)</f>
        <v/>
      </c>
      <c r="BS18" s="149" t="str">
        <f>IF($B18=0,"",('MF Rollover'!BR18*($P18*(1+'Property Summary'!$L$22)^('MF Releasing'!BS$3-1)))*$C18)</f>
        <v/>
      </c>
      <c r="BT18" s="149" t="str">
        <f>IF($B18=0,"",('MF Rollover'!BS18*($P18*(1+'Property Summary'!$L$22)^('MF Releasing'!BT$3-1)))*$C18)</f>
        <v/>
      </c>
      <c r="BU18" s="149" t="str">
        <f>IF($B18=0,"",('MF Rollover'!BT18*($P18*(1+'Property Summary'!$L$22)^('MF Releasing'!BU$3-1)))*$C18)</f>
        <v/>
      </c>
      <c r="BV18" s="149" t="str">
        <f>IF($B18=0,"",('MF Rollover'!BU18*($P18*(1+'Property Summary'!$L$22)^('MF Releasing'!BV$3-1)))*$C18)</f>
        <v/>
      </c>
      <c r="BW18" s="149" t="str">
        <f>IF($B18=0,"",('MF Rollover'!BV18*($P18*(1+'Property Summary'!$L$22)^('MF Releasing'!BW$3-1)))*$C18)</f>
        <v/>
      </c>
      <c r="BX18" s="149" t="str">
        <f>IF($B18=0,"",('MF Rollover'!BW18*($P18*(1+'Property Summary'!$L$22)^('MF Releasing'!BX$3-1)))*$C18)</f>
        <v/>
      </c>
      <c r="BY18" s="149" t="str">
        <f>IF($B18=0,"",('MF Rollover'!BX18*($P18*(1+'Property Summary'!$L$22)^('MF Releasing'!BY$3-1)))*$C18)</f>
        <v/>
      </c>
      <c r="BZ18" s="149" t="str">
        <f>IF($B18=0,"",('MF Rollover'!BY18*($P18*(1+'Property Summary'!$L$22)^('MF Releasing'!BZ$3-1)))*$C18)</f>
        <v/>
      </c>
      <c r="CA18" s="149" t="str">
        <f>IF($B18=0,"",('MF Rollover'!BZ18*($P18*(1+'Property Summary'!$L$22)^('MF Releasing'!CA$3-1)))*$C18)</f>
        <v/>
      </c>
      <c r="CB18" s="149" t="str">
        <f>IF($B18=0,"",('MF Rollover'!CA18*($P18*(1+'Property Summary'!$L$22)^('MF Releasing'!CB$3-1)))*$C18)</f>
        <v/>
      </c>
      <c r="CC18" s="149" t="str">
        <f>IF($B18=0,"",('MF Rollover'!CB18*($P18*(1+'Property Summary'!$L$22)^('MF Releasing'!CC$3-1)))*$C18)</f>
        <v/>
      </c>
      <c r="CD18" s="149" t="str">
        <f>IF($B18=0,"",('MF Rollover'!CC18*($P18*(1+'Property Summary'!$L$22)^('MF Releasing'!CD$3-1)))*$C18)</f>
        <v/>
      </c>
      <c r="CE18" s="149" t="str">
        <f>IF($B18=0,"",('MF Rollover'!CD18*($P18*(1+'Property Summary'!$L$22)^('MF Releasing'!CE$3-1)))*$C18)</f>
        <v/>
      </c>
      <c r="CF18" s="149" t="str">
        <f>IF($B18=0,"",('MF Rollover'!CE18*($P18*(1+'Property Summary'!$L$22)^('MF Releasing'!CF$3-1)))*$C18)</f>
        <v/>
      </c>
      <c r="CG18" s="149" t="str">
        <f>IF($B18=0,"",('MF Rollover'!CF18*($P18*(1+'Property Summary'!$L$22)^('MF Releasing'!CG$3-1)))*$C18)</f>
        <v/>
      </c>
      <c r="CH18" s="149" t="str">
        <f>IF($B18=0,"",('MF Rollover'!CG18*($P18*(1+'Property Summary'!$L$22)^('MF Releasing'!CH$3-1)))*$C18)</f>
        <v/>
      </c>
      <c r="CI18" s="149" t="str">
        <f>IF($B18=0,"",('MF Rollover'!CH18*($P18*(1+'Property Summary'!$L$22)^('MF Releasing'!CI$3-1)))*$C18)</f>
        <v/>
      </c>
      <c r="CJ18" s="149" t="str">
        <f>IF($B18=0,"",('MF Rollover'!CI18*($P18*(1+'Property Summary'!$L$22)^('MF Releasing'!CJ$3-1)))*$C18)</f>
        <v/>
      </c>
      <c r="CK18" s="149" t="str">
        <f>IF($B18=0,"",('MF Rollover'!CJ18*($P18*(1+'Property Summary'!$L$22)^('MF Releasing'!CK$3-1)))*$C18)</f>
        <v/>
      </c>
      <c r="CL18" s="149" t="str">
        <f>IF($B18=0,"",('MF Rollover'!CK18*($P18*(1+'Property Summary'!$L$22)^('MF Releasing'!CL$3-1)))*$C18)</f>
        <v/>
      </c>
      <c r="CM18" s="149" t="str">
        <f>IF($B18=0,"",('MF Rollover'!CL18*($P18*(1+'Property Summary'!$L$22)^('MF Releasing'!CM$3-1)))*$C18)</f>
        <v/>
      </c>
      <c r="CN18" s="149" t="str">
        <f>IF($B18=0,"",('MF Rollover'!CM18*($P18*(1+'Property Summary'!$L$22)^('MF Releasing'!CN$3-1)))*$C18)</f>
        <v/>
      </c>
      <c r="CO18" s="149" t="str">
        <f>IF($B18=0,"",('MF Rollover'!CN18*($P18*(1+'Property Summary'!$L$22)^('MF Releasing'!CO$3-1)))*$C18)</f>
        <v/>
      </c>
      <c r="CP18" s="149" t="str">
        <f>IF($B18=0,"",('MF Rollover'!CO18*($P18*(1+'Property Summary'!$L$22)^('MF Releasing'!CP$3-1)))*$C18)</f>
        <v/>
      </c>
      <c r="CQ18" s="149" t="str">
        <f>IF($B18=0,"",('MF Rollover'!CP18*($P18*(1+'Property Summary'!$L$22)^('MF Releasing'!CQ$3-1)))*$C18)</f>
        <v/>
      </c>
      <c r="CR18" s="149" t="str">
        <f>IF($B18=0,"",('MF Rollover'!CQ18*($P18*(1+'Property Summary'!$L$22)^('MF Releasing'!CR$3-1)))*$C18)</f>
        <v/>
      </c>
      <c r="CS18" s="149" t="str">
        <f>IF($B18=0,"",('MF Rollover'!CR18*($P18*(1+'Property Summary'!$L$22)^('MF Releasing'!CS$3-1)))*$C18)</f>
        <v/>
      </c>
      <c r="CT18" s="149" t="str">
        <f>IF($B18=0,"",('MF Rollover'!CS18*($P18*(1+'Property Summary'!$L$22)^('MF Releasing'!CT$3-1)))*$C18)</f>
        <v/>
      </c>
      <c r="CU18" s="149" t="str">
        <f>IF($B18=0,"",('MF Rollover'!CT18*($P18*(1+'Property Summary'!$L$22)^('MF Releasing'!CU$3-1)))*$C18)</f>
        <v/>
      </c>
      <c r="CV18" s="149" t="str">
        <f>IF($B18=0,"",('MF Rollover'!CU18*($P18*(1+'Property Summary'!$L$22)^('MF Releasing'!CV$3-1)))*$C18)</f>
        <v/>
      </c>
      <c r="CW18" s="149" t="str">
        <f>IF($B18=0,"",('MF Rollover'!CV18*($P18*(1+'Property Summary'!$L$22)^('MF Releasing'!CW$3-1)))*$C18)</f>
        <v/>
      </c>
      <c r="CX18" s="149" t="str">
        <f>IF($B18=0,"",('MF Rollover'!CW18*($P18*(1+'Property Summary'!$L$22)^('MF Releasing'!CX$3-1)))*$C18)</f>
        <v/>
      </c>
      <c r="CY18" s="149" t="str">
        <f>IF($B18=0,"",('MF Rollover'!CX18*($P18*(1+'Property Summary'!$L$22)^('MF Releasing'!CY$3-1)))*$C18)</f>
        <v/>
      </c>
      <c r="CZ18" s="149" t="str">
        <f>IF($B18=0,"",('MF Rollover'!CY18*($P18*(1+'Property Summary'!$L$22)^('MF Releasing'!CZ$3-1)))*$C18)</f>
        <v/>
      </c>
      <c r="DA18" s="149" t="str">
        <f>IF($B18=0,"",('MF Rollover'!CZ18*($P18*(1+'Property Summary'!$L$22)^('MF Releasing'!DA$3-1)))*$C18)</f>
        <v/>
      </c>
      <c r="DB18" s="149" t="str">
        <f>IF($B18=0,"",('MF Rollover'!DA18*($P18*(1+'Property Summary'!$L$22)^('MF Releasing'!DB$3-1)))*$C18)</f>
        <v/>
      </c>
      <c r="DC18" s="149" t="str">
        <f>IF($B18=0,"",('MF Rollover'!DB18*($P18*(1+'Property Summary'!$L$22)^('MF Releasing'!DC$3-1)))*$C18)</f>
        <v/>
      </c>
      <c r="DD18" s="149" t="str">
        <f>IF($B18=0,"",('MF Rollover'!DC18*($P18*(1+'Property Summary'!$L$22)^('MF Releasing'!DD$3-1)))*$C18)</f>
        <v/>
      </c>
      <c r="DE18" s="149" t="str">
        <f>IF($B18=0,"",('MF Rollover'!DD18*($P18*(1+'Property Summary'!$L$22)^('MF Releasing'!DE$3-1)))*$C18)</f>
        <v/>
      </c>
      <c r="DF18" s="149" t="str">
        <f>IF($B18=0,"",('MF Rollover'!DE18*($P18*(1+'Property Summary'!$L$22)^('MF Releasing'!DF$3-1)))*$C18)</f>
        <v/>
      </c>
      <c r="DG18" s="149" t="str">
        <f>IF($B18=0,"",('MF Rollover'!DF18*($P18*(1+'Property Summary'!$L$22)^('MF Releasing'!DG$3-1)))*$C18)</f>
        <v/>
      </c>
      <c r="DH18" s="149" t="str">
        <f>IF($B18=0,"",('MF Rollover'!DG18*($P18*(1+'Property Summary'!$L$22)^('MF Releasing'!DH$3-1)))*$C18)</f>
        <v/>
      </c>
      <c r="DI18" s="149" t="str">
        <f>IF($B18=0,"",('MF Rollover'!DH18*($P18*(1+'Property Summary'!$L$22)^('MF Releasing'!DI$3-1)))*$C18)</f>
        <v/>
      </c>
      <c r="DJ18" s="149" t="str">
        <f>IF($B18=0,"",('MF Rollover'!DI18*($P18*(1+'Property Summary'!$L$22)^('MF Releasing'!DJ$3-1)))*$C18)</f>
        <v/>
      </c>
      <c r="DK18" s="149" t="str">
        <f>IF($B18=0,"",('MF Rollover'!DJ18*($P18*(1+'Property Summary'!$L$22)^('MF Releasing'!DK$3-1)))*$C18)</f>
        <v/>
      </c>
      <c r="DL18" s="149" t="str">
        <f>IF($B18=0,"",('MF Rollover'!DK18*($P18*(1+'Property Summary'!$L$22)^('MF Releasing'!DL$3-1)))*$C18)</f>
        <v/>
      </c>
      <c r="DM18" s="149" t="str">
        <f>IF($B18=0,"",('MF Rollover'!DL18*($P18*(1+'Property Summary'!$L$22)^('MF Releasing'!DM$3-1)))*$C18)</f>
        <v/>
      </c>
      <c r="DN18" s="149" t="str">
        <f>IF($B18=0,"",('MF Rollover'!DM18*($P18*(1+'Property Summary'!$L$22)^('MF Releasing'!DN$3-1)))*$C18)</f>
        <v/>
      </c>
      <c r="DO18" s="149" t="str">
        <f>IF($B18=0,"",('MF Rollover'!DN18*($P18*(1+'Property Summary'!$L$22)^('MF Releasing'!DO$3-1)))*$C18)</f>
        <v/>
      </c>
      <c r="DP18" s="149" t="str">
        <f>IF($B18=0,"",('MF Rollover'!DO18*($P18*(1+'Property Summary'!$L$22)^('MF Releasing'!DP$3-1)))*$C18)</f>
        <v/>
      </c>
      <c r="DQ18" s="149" t="str">
        <f>IF($B18=0,"",('MF Rollover'!DP18*($P18*(1+'Property Summary'!$L$22)^('MF Releasing'!DQ$3-1)))*$C18)</f>
        <v/>
      </c>
      <c r="DR18" s="149" t="str">
        <f>IF($B18=0,"",('MF Rollover'!DQ18*($P18*(1+'Property Summary'!$L$22)^('MF Releasing'!DR$3-1)))*$C18)</f>
        <v/>
      </c>
      <c r="DS18" s="149" t="str">
        <f>IF($B18=0,"",('MF Rollover'!DR18*($P18*(1+'Property Summary'!$L$22)^('MF Releasing'!DS$3-1)))*$C18)</f>
        <v/>
      </c>
      <c r="DT18" s="149" t="str">
        <f>IF($B18=0,"",('MF Rollover'!DS18*($P18*(1+'Property Summary'!$L$22)^('MF Releasing'!DT$3-1)))*$C18)</f>
        <v/>
      </c>
      <c r="DU18" s="149" t="str">
        <f>IF($B18=0,"",('MF Rollover'!DT18*($P18*(1+'Property Summary'!$L$22)^('MF Releasing'!DU$3-1)))*$C18)</f>
        <v/>
      </c>
      <c r="DV18" s="149" t="str">
        <f>IF($B18=0,"",('MF Rollover'!DU18*($P18*(1+'Property Summary'!$L$22)^('MF Releasing'!DV$3-1)))*$C18)</f>
        <v/>
      </c>
      <c r="DW18" s="149" t="str">
        <f>IF($B18=0,"",('MF Rollover'!DV18*($P18*(1+'Property Summary'!$L$22)^('MF Releasing'!DW$3-1)))*$C18)</f>
        <v/>
      </c>
      <c r="DX18" s="149" t="str">
        <f>IF($B18=0,"",('MF Rollover'!DW18*($P18*(1+'Property Summary'!$L$22)^('MF Releasing'!DX$3-1)))*$C18)</f>
        <v/>
      </c>
      <c r="DY18" s="149" t="str">
        <f>IF($B18=0,"",('MF Rollover'!DX18*($P18*(1+'Property Summary'!$L$22)^('MF Releasing'!DY$3-1)))*$C18)</f>
        <v/>
      </c>
      <c r="DZ18" s="149" t="str">
        <f>IF($B18=0,"",('MF Rollover'!DY18*($P18*(1+'Property Summary'!$L$22)^('MF Releasing'!DZ$3-1)))*$C18)</f>
        <v/>
      </c>
      <c r="EA18" s="149" t="str">
        <f>IF($B18=0,"",('MF Rollover'!DZ18*($P18*(1+'Property Summary'!$L$22)^('MF Releasing'!EA$3-1)))*$C18)</f>
        <v/>
      </c>
      <c r="EB18" s="149" t="str">
        <f>IF($B18=0,"",('MF Rollover'!EA18*($P18*(1+'Property Summary'!$L$22)^('MF Releasing'!EB$3-1)))*$C18)</f>
        <v/>
      </c>
      <c r="EC18" s="149" t="str">
        <f>IF($B18=0,"",('MF Rollover'!EB18*($P18*(1+'Property Summary'!$L$22)^('MF Releasing'!EC$3-1)))*$C18)</f>
        <v/>
      </c>
      <c r="ED18" s="149" t="str">
        <f>IF($B18=0,"",('MF Rollover'!EC18*($P18*(1+'Property Summary'!$L$22)^('MF Releasing'!ED$3-1)))*$C18)</f>
        <v/>
      </c>
      <c r="EE18" s="149" t="str">
        <f>IF($B18=0,"",('MF Rollover'!ED18*($P18*(1+'Property Summary'!$L$22)^('MF Releasing'!EE$3-1)))*$C18)</f>
        <v/>
      </c>
      <c r="EF18" s="149" t="str">
        <f>IF($B18=0,"",('MF Rollover'!EE18*($P18*(1+'Property Summary'!$L$22)^('MF Releasing'!EF$3-1)))*$C18)</f>
        <v/>
      </c>
      <c r="EG18" s="149" t="str">
        <f>IF($B18=0,"",('MF Rollover'!EF18*($P18*(1+'Property Summary'!$L$22)^('MF Releasing'!EG$3-1)))*$C18)</f>
        <v/>
      </c>
      <c r="EH18" s="149" t="str">
        <f>IF($B18=0,"",('MF Rollover'!EG18*($P18*(1+'Property Summary'!$L$22)^('MF Releasing'!EH$3-1)))*$C18)</f>
        <v/>
      </c>
      <c r="EI18" s="149" t="str">
        <f>IF($B18=0,"",('MF Rollover'!EH18*($P18*(1+'Property Summary'!$L$22)^('MF Releasing'!EI$3-1)))*$C18)</f>
        <v/>
      </c>
      <c r="EJ18" s="149" t="str">
        <f>IF($B18=0,"",('MF Rollover'!EI18*($P18*(1+'Property Summary'!$L$22)^('MF Releasing'!EJ$3-1)))*$C18)</f>
        <v/>
      </c>
      <c r="EK18" s="149" t="str">
        <f>IF($B18=0,"",('MF Rollover'!EJ18*($P18*(1+'Property Summary'!$L$22)^('MF Releasing'!EK$3-1)))*$C18)</f>
        <v/>
      </c>
      <c r="EL18" s="149" t="str">
        <f>IF($B18=0,"",('MF Rollover'!EK18*($P18*(1+'Property Summary'!$L$22)^('MF Releasing'!EL$3-1)))*$C18)</f>
        <v/>
      </c>
      <c r="EM18" s="149" t="str">
        <f>IF($B18=0,"",('MF Rollover'!EL18*($P18*(1+'Property Summary'!$L$22)^('MF Releasing'!EM$3-1)))*$C18)</f>
        <v/>
      </c>
      <c r="EN18" s="149" t="str">
        <f>IF($B18=0,"",('MF Rollover'!EM18*($P18*(1+'Property Summary'!$L$22)^('MF Releasing'!EN$3-1)))*$C18)</f>
        <v/>
      </c>
      <c r="EO18" s="149" t="str">
        <f>IF($B18=0,"",('MF Rollover'!EN18*($P18*(1+'Property Summary'!$L$22)^('MF Releasing'!EO$3-1)))*$C18)</f>
        <v/>
      </c>
      <c r="EP18" s="149" t="str">
        <f>IF($B18=0,"",('MF Rollover'!EO18*($P18*(1+'Property Summary'!$L$22)^('MF Releasing'!EP$3-1)))*$C18)</f>
        <v/>
      </c>
      <c r="EQ18" s="149" t="str">
        <f>IF($B18=0,"",('MF Rollover'!EP18*($P18*(1+'Property Summary'!$L$22)^('MF Releasing'!EQ$3-1)))*$C18)</f>
        <v/>
      </c>
      <c r="ER18" s="149" t="str">
        <f>IF($B18=0,"",('MF Rollover'!EQ18*($P18*(1+'Property Summary'!$L$22)^('MF Releasing'!ER$3-1)))*$C18)</f>
        <v/>
      </c>
      <c r="ES18" s="149" t="str">
        <f>IF($B18=0,"",('MF Rollover'!ER18*($P18*(1+'Property Summary'!$L$22)^('MF Releasing'!ES$3-1)))*$C18)</f>
        <v/>
      </c>
      <c r="ET18" s="149" t="str">
        <f>IF($B18=0,"",('MF Rollover'!ES18*($P18*(1+'Property Summary'!$L$22)^('MF Releasing'!ET$3-1)))*$C18)</f>
        <v/>
      </c>
      <c r="EU18" s="149" t="str">
        <f>IF($B18=0,"",('MF Rollover'!ET18*($P18*(1+'Property Summary'!$L$22)^('MF Releasing'!EU$3-1)))*$C18)</f>
        <v/>
      </c>
      <c r="EV18" s="149" t="str">
        <f>IF($B18=0,"",('MF Rollover'!EU18*($P18*(1+'Property Summary'!$L$22)^('MF Releasing'!EV$3-1)))*$C18)</f>
        <v/>
      </c>
      <c r="EW18" s="149" t="str">
        <f>IF($B18=0,"",('MF Rollover'!EV18*($P18*(1+'Property Summary'!$L$22)^('MF Releasing'!EW$3-1)))*$C18)</f>
        <v/>
      </c>
      <c r="EX18" s="149" t="str">
        <f>IF($B18=0,"",('MF Rollover'!EW18*($P18*(1+'Property Summary'!$L$22)^('MF Releasing'!EX$3-1)))*$C18)</f>
        <v/>
      </c>
      <c r="EY18" s="149" t="str">
        <f>IF($B18=0,"",('MF Rollover'!EX18*($P18*(1+'Property Summary'!$L$22)^('MF Releasing'!EY$3-1)))*$C18)</f>
        <v/>
      </c>
      <c r="EZ18" s="149" t="str">
        <f>IF($B18=0,"",('MF Rollover'!EY18*($P18*(1+'Property Summary'!$L$22)^('MF Releasing'!EZ$3-1)))*$C18)</f>
        <v/>
      </c>
      <c r="FA18" s="149" t="str">
        <f>IF($B18=0,"",('MF Rollover'!EZ18*($P18*(1+'Property Summary'!$L$22)^('MF Releasing'!FA$3-1)))*$C18)</f>
        <v/>
      </c>
      <c r="FB18" s="149" t="str">
        <f>IF($B18=0,"",('MF Rollover'!FA18*($P18*(1+'Property Summary'!$L$22)^('MF Releasing'!FB$3-1)))*$C18)</f>
        <v/>
      </c>
      <c r="FC18" s="149" t="str">
        <f>IF($B18=0,"",('MF Rollover'!FB18*($P18*(1+'Property Summary'!$L$22)^('MF Releasing'!FC$3-1)))*$C18)</f>
        <v/>
      </c>
      <c r="FD18" s="149" t="str">
        <f>IF($B18=0,"",('MF Rollover'!FC18*($P18*(1+'Property Summary'!$L$22)^('MF Releasing'!FD$3-1)))*$C18)</f>
        <v/>
      </c>
      <c r="FE18" s="149" t="str">
        <f>IF($B18=0,"",('MF Rollover'!FD18*($P18*(1+'Property Summary'!$L$22)^('MF Releasing'!FE$3-1)))*$C18)</f>
        <v/>
      </c>
      <c r="FF18" s="149" t="str">
        <f>IF($B18=0,"",('MF Rollover'!FE18*($P18*(1+'Property Summary'!$L$22)^('MF Releasing'!FF$3-1)))*$C18)</f>
        <v/>
      </c>
      <c r="FG18" s="149" t="str">
        <f>IF($B18=0,"",('MF Rollover'!FF18*($P18*(1+'Property Summary'!$L$22)^('MF Releasing'!FG$3-1)))*$C18)</f>
        <v/>
      </c>
      <c r="FH18" s="149" t="str">
        <f>IF($B18=0,"",('MF Rollover'!FG18*($P18*(1+'Property Summary'!$L$22)^('MF Releasing'!FH$3-1)))*$C18)</f>
        <v/>
      </c>
      <c r="FI18" s="149" t="str">
        <f>IF($B18=0,"",('MF Rollover'!FH18*($P18*(1+'Property Summary'!$L$22)^('MF Releasing'!FI$3-1)))*$C18)</f>
        <v/>
      </c>
      <c r="FJ18" s="149" t="str">
        <f>IF($B18=0,"",('MF Rollover'!FI18*($P18*(1+'Property Summary'!$L$22)^('MF Releasing'!FJ$3-1)))*$C18)</f>
        <v/>
      </c>
      <c r="FK18" s="149" t="str">
        <f>IF($B18=0,"",('MF Rollover'!FJ18*($P18*(1+'Property Summary'!$L$22)^('MF Releasing'!FK$3-1)))*$C18)</f>
        <v/>
      </c>
      <c r="FL18" s="149" t="str">
        <f>IF($B18=0,"",('MF Rollover'!FK18*($P18*(1+'Property Summary'!$L$22)^('MF Releasing'!FL$3-1)))*$C18)</f>
        <v/>
      </c>
      <c r="FM18" s="149" t="str">
        <f>IF($B18=0,"",('MF Rollover'!FL18*($P18*(1+'Property Summary'!$L$22)^('MF Releasing'!FM$3-1)))*$C18)</f>
        <v/>
      </c>
      <c r="FN18" s="149" t="str">
        <f>IF($B18=0,"",('MF Rollover'!FM18*($P18*(1+'Property Summary'!$L$22)^('MF Releasing'!FN$3-1)))*$C18)</f>
        <v/>
      </c>
      <c r="FO18" s="149" t="str">
        <f>IF($B18=0,"",('MF Rollover'!FN18*($P18*(1+'Property Summary'!$L$22)^('MF Releasing'!FO$3-1)))*$C18)</f>
        <v/>
      </c>
      <c r="FP18" s="149" t="str">
        <f>IF($B18=0,"",('MF Rollover'!FO18*($P18*(1+'Property Summary'!$L$22)^('MF Releasing'!FP$3-1)))*$C18)</f>
        <v/>
      </c>
      <c r="FQ18" s="149" t="str">
        <f>IF($B18=0,"",('MF Rollover'!FP18*($P18*(1+'Property Summary'!$L$22)^('MF Releasing'!FQ$3-1)))*$C18)</f>
        <v/>
      </c>
      <c r="FR18" s="149" t="str">
        <f>IF($B18=0,"",('MF Rollover'!FQ18*($P18*(1+'Property Summary'!$L$22)^('MF Releasing'!FR$3-1)))*$C18)</f>
        <v/>
      </c>
      <c r="FS18" s="149" t="str">
        <f>IF($B18=0,"",('MF Rollover'!FR18*($P18*(1+'Property Summary'!$L$22)^('MF Releasing'!FS$3-1)))*$C18)</f>
        <v/>
      </c>
      <c r="FT18" s="149" t="str">
        <f>IF($B18=0,"",('MF Rollover'!FS18*($P18*(1+'Property Summary'!$L$22)^('MF Releasing'!FT$3-1)))*$C18)</f>
        <v/>
      </c>
      <c r="FU18" s="149" t="str">
        <f>IF($B18=0,"",('MF Rollover'!FT18*($P18*(1+'Property Summary'!$L$22)^('MF Releasing'!FU$3-1)))*$C18)</f>
        <v/>
      </c>
      <c r="FV18" s="149" t="str">
        <f>IF($B18=0,"",('MF Rollover'!FU18*($P18*(1+'Property Summary'!$L$22)^('MF Releasing'!FV$3-1)))*$C18)</f>
        <v/>
      </c>
      <c r="FW18" s="149" t="str">
        <f>IF($B18=0,"",('MF Rollover'!FV18*($P18*(1+'Property Summary'!$L$22)^('MF Releasing'!FW$3-1)))*$C18)</f>
        <v/>
      </c>
      <c r="FX18" s="149" t="str">
        <f>IF($B18=0,"",('MF Rollover'!FW18*($P18*(1+'Property Summary'!$L$22)^('MF Releasing'!FX$3-1)))*$C18)</f>
        <v/>
      </c>
      <c r="FY18" s="149" t="str">
        <f>IF($B18=0,"",('MF Rollover'!FX18*($P18*(1+'Property Summary'!$L$22)^('MF Releasing'!FY$3-1)))*$C18)</f>
        <v/>
      </c>
      <c r="FZ18" s="149" t="str">
        <f>IF($B18=0,"",('MF Rollover'!FY18*($P18*(1+'Property Summary'!$L$22)^('MF Releasing'!FZ$3-1)))*$C18)</f>
        <v/>
      </c>
      <c r="GA18" s="149" t="str">
        <f>IF($B18=0,"",('MF Rollover'!FZ18*($P18*(1+'Property Summary'!$L$22)^('MF Releasing'!GA$3-1)))*$C18)</f>
        <v/>
      </c>
      <c r="GB18" s="149" t="str">
        <f>IF($B18=0,"",('MF Rollover'!GA18*($P18*(1+'Property Summary'!$L$22)^('MF Releasing'!GB$3-1)))*$C18)</f>
        <v/>
      </c>
      <c r="GC18" s="149" t="str">
        <f>IF($B18=0,"",('MF Rollover'!GB18*($P18*(1+'Property Summary'!$L$22)^('MF Releasing'!GC$3-1)))*$C18)</f>
        <v/>
      </c>
      <c r="GD18" s="149" t="str">
        <f>IF($B18=0,"",('MF Rollover'!GC18*($P18*(1+'Property Summary'!$L$22)^('MF Releasing'!GD$3-1)))*$C18)</f>
        <v/>
      </c>
      <c r="GE18" s="149" t="str">
        <f>IF($B18=0,"",('MF Rollover'!GD18*($P18*(1+'Property Summary'!$L$22)^('MF Releasing'!GE$3-1)))*$C18)</f>
        <v/>
      </c>
      <c r="GF18" s="149" t="str">
        <f>IF($B18=0,"",('MF Rollover'!GE18*($P18*(1+'Property Summary'!$L$22)^('MF Releasing'!GF$3-1)))*$C18)</f>
        <v/>
      </c>
      <c r="GG18" s="149" t="str">
        <f>IF($B18=0,"",('MF Rollover'!GF18*($P18*(1+'Property Summary'!$L$22)^('MF Releasing'!GG$3-1)))*$C18)</f>
        <v/>
      </c>
      <c r="GH18" s="149" t="str">
        <f>IF($B18=0,"",('MF Rollover'!GG18*($P18*(1+'Property Summary'!$L$22)^('MF Releasing'!GH$3-1)))*$C18)</f>
        <v/>
      </c>
      <c r="GI18" s="149" t="str">
        <f>IF($B18=0,"",('MF Rollover'!GH18*($P18*(1+'Property Summary'!$L$22)^('MF Releasing'!GI$3-1)))*$C18)</f>
        <v/>
      </c>
      <c r="GJ18" s="149" t="str">
        <f>IF($B18=0,"",('MF Rollover'!GI18*($P18*(1+'Property Summary'!$L$22)^('MF Releasing'!GJ$3-1)))*$C18)</f>
        <v/>
      </c>
      <c r="GK18" s="149" t="str">
        <f>IF($B18=0,"",('MF Rollover'!GJ18*($P18*(1+'Property Summary'!$L$22)^('MF Releasing'!GK$3-1)))*$C18)</f>
        <v/>
      </c>
      <c r="GL18" s="149" t="str">
        <f>IF($B18=0,"",('MF Rollover'!GK18*($P18*(1+'Property Summary'!$L$22)^('MF Releasing'!GL$3-1)))*$C18)</f>
        <v/>
      </c>
      <c r="GM18" s="149" t="str">
        <f>IF($B18=0,"",('MF Rollover'!GL18*($P18*(1+'Property Summary'!$L$22)^('MF Releasing'!GM$3-1)))*$C18)</f>
        <v/>
      </c>
      <c r="GN18" s="149" t="str">
        <f>IF($B18=0,"",('MF Rollover'!GM18*($P18*(1+'Property Summary'!$L$22)^('MF Releasing'!GN$3-1)))*$C18)</f>
        <v/>
      </c>
      <c r="GO18" s="149" t="str">
        <f>IF($B18=0,"",('MF Rollover'!GN18*($P18*(1+'Property Summary'!$L$22)^('MF Releasing'!GO$3-1)))*$C18)</f>
        <v/>
      </c>
      <c r="GP18" s="149" t="str">
        <f>IF($B18=0,"",('MF Rollover'!GO18*($P18*(1+'Property Summary'!$L$22)^('MF Releasing'!GP$3-1)))*$C18)</f>
        <v/>
      </c>
    </row>
    <row r="19" spans="2:198" x14ac:dyDescent="0.3">
      <c r="B19" s="184">
        <f>'MF Rent Roll'!B18</f>
        <v>0</v>
      </c>
      <c r="C19" s="171">
        <f>'MF Rent Roll'!C18</f>
        <v>0</v>
      </c>
      <c r="D19" s="172">
        <f>'MF Rent Roll'!D18</f>
        <v>0</v>
      </c>
      <c r="E19" s="172">
        <f>'MF Rent Roll'!E18</f>
        <v>0</v>
      </c>
      <c r="F19" s="173">
        <f>'MF Rent Roll'!F18</f>
        <v>0</v>
      </c>
      <c r="G19" s="174">
        <f>'MF Rent Roll'!G18</f>
        <v>0</v>
      </c>
      <c r="H19" s="176">
        <f>'MF Rent Roll'!J18</f>
        <v>0</v>
      </c>
      <c r="I19" s="174">
        <f>'MF Rent Roll'!K18</f>
        <v>0</v>
      </c>
      <c r="J19" s="177">
        <f>'MF Rent Roll'!L18</f>
        <v>0</v>
      </c>
      <c r="K19" s="178">
        <f>'MF Rent Roll'!M18</f>
        <v>0</v>
      </c>
      <c r="L19" s="174">
        <f>'MF Rent Roll'!N18</f>
        <v>0</v>
      </c>
      <c r="M19" s="179">
        <f>'MF Rent Roll'!O18</f>
        <v>0</v>
      </c>
      <c r="N19" s="180" t="str">
        <f>'MF Rent Roll'!P18</f>
        <v/>
      </c>
      <c r="O19" s="181" t="str">
        <f>'MF Rent Roll'!Q18</f>
        <v/>
      </c>
      <c r="P19" s="104" t="str">
        <f>'MF Rent Roll'!R18</f>
        <v/>
      </c>
      <c r="S19" s="149" t="str">
        <f>IF($B19=0,"",('MF Rollover'!R19*($P19*(1+'Property Summary'!$L$22)^('MF Releasing'!S$3-1)))*$C19)</f>
        <v/>
      </c>
      <c r="T19" s="149" t="str">
        <f>IF($B19=0,"",('MF Rollover'!S19*($P19*(1+'Property Summary'!$L$22)^('MF Releasing'!T$3-1)))*$C19)</f>
        <v/>
      </c>
      <c r="U19" s="149" t="str">
        <f>IF($B19=0,"",('MF Rollover'!T19*($P19*(1+'Property Summary'!$L$22)^('MF Releasing'!U$3-1)))*$C19)</f>
        <v/>
      </c>
      <c r="V19" s="149" t="str">
        <f>IF($B19=0,"",('MF Rollover'!U19*($P19*(1+'Property Summary'!$L$22)^('MF Releasing'!V$3-1)))*$C19)</f>
        <v/>
      </c>
      <c r="W19" s="149" t="str">
        <f>IF($B19=0,"",('MF Rollover'!V19*($P19*(1+'Property Summary'!$L$22)^('MF Releasing'!W$3-1)))*$C19)</f>
        <v/>
      </c>
      <c r="X19" s="149" t="str">
        <f>IF($B19=0,"",('MF Rollover'!W19*($P19*(1+'Property Summary'!$L$22)^('MF Releasing'!X$3-1)))*$C19)</f>
        <v/>
      </c>
      <c r="Y19" s="149" t="str">
        <f>IF($B19=0,"",('MF Rollover'!X19*($P19*(1+'Property Summary'!$L$22)^('MF Releasing'!Y$3-1)))*$C19)</f>
        <v/>
      </c>
      <c r="Z19" s="149" t="str">
        <f>IF($B19=0,"",('MF Rollover'!Y19*($P19*(1+'Property Summary'!$L$22)^('MF Releasing'!Z$3-1)))*$C19)</f>
        <v/>
      </c>
      <c r="AA19" s="149" t="str">
        <f>IF($B19=0,"",('MF Rollover'!Z19*($P19*(1+'Property Summary'!$L$22)^('MF Releasing'!AA$3-1)))*$C19)</f>
        <v/>
      </c>
      <c r="AB19" s="149" t="str">
        <f>IF($B19=0,"",('MF Rollover'!AA19*($P19*(1+'Property Summary'!$L$22)^('MF Releasing'!AB$3-1)))*$C19)</f>
        <v/>
      </c>
      <c r="AC19" s="149" t="str">
        <f>IF($B19=0,"",('MF Rollover'!AB19*($P19*(1+'Property Summary'!$L$22)^('MF Releasing'!AC$3-1)))*$C19)</f>
        <v/>
      </c>
      <c r="AD19" s="149" t="str">
        <f>IF($B19=0,"",('MF Rollover'!AC19*($P19*(1+'Property Summary'!$L$22)^('MF Releasing'!AD$3-1)))*$C19)</f>
        <v/>
      </c>
      <c r="AE19" s="149" t="str">
        <f>IF($B19=0,"",('MF Rollover'!AD19*($P19*(1+'Property Summary'!$L$22)^('MF Releasing'!AE$3-1)))*$C19)</f>
        <v/>
      </c>
      <c r="AF19" s="149" t="str">
        <f>IF($B19=0,"",('MF Rollover'!AE19*($P19*(1+'Property Summary'!$L$22)^('MF Releasing'!AF$3-1)))*$C19)</f>
        <v/>
      </c>
      <c r="AG19" s="149" t="str">
        <f>IF($B19=0,"",('MF Rollover'!AF19*($P19*(1+'Property Summary'!$L$22)^('MF Releasing'!AG$3-1)))*$C19)</f>
        <v/>
      </c>
      <c r="AH19" s="149" t="str">
        <f>IF($B19=0,"",('MF Rollover'!AG19*($P19*(1+'Property Summary'!$L$22)^('MF Releasing'!AH$3-1)))*$C19)</f>
        <v/>
      </c>
      <c r="AI19" s="149" t="str">
        <f>IF($B19=0,"",('MF Rollover'!AH19*($P19*(1+'Property Summary'!$L$22)^('MF Releasing'!AI$3-1)))*$C19)</f>
        <v/>
      </c>
      <c r="AJ19" s="149" t="str">
        <f>IF($B19=0,"",('MF Rollover'!AI19*($P19*(1+'Property Summary'!$L$22)^('MF Releasing'!AJ$3-1)))*$C19)</f>
        <v/>
      </c>
      <c r="AK19" s="149" t="str">
        <f>IF($B19=0,"",('MF Rollover'!AJ19*($P19*(1+'Property Summary'!$L$22)^('MF Releasing'!AK$3-1)))*$C19)</f>
        <v/>
      </c>
      <c r="AL19" s="149" t="str">
        <f>IF($B19=0,"",('MF Rollover'!AK19*($P19*(1+'Property Summary'!$L$22)^('MF Releasing'!AL$3-1)))*$C19)</f>
        <v/>
      </c>
      <c r="AM19" s="149" t="str">
        <f>IF($B19=0,"",('MF Rollover'!AL19*($P19*(1+'Property Summary'!$L$22)^('MF Releasing'!AM$3-1)))*$C19)</f>
        <v/>
      </c>
      <c r="AN19" s="149" t="str">
        <f>IF($B19=0,"",('MF Rollover'!AM19*($P19*(1+'Property Summary'!$L$22)^('MF Releasing'!AN$3-1)))*$C19)</f>
        <v/>
      </c>
      <c r="AO19" s="149" t="str">
        <f>IF($B19=0,"",('MF Rollover'!AN19*($P19*(1+'Property Summary'!$L$22)^('MF Releasing'!AO$3-1)))*$C19)</f>
        <v/>
      </c>
      <c r="AP19" s="149" t="str">
        <f>IF($B19=0,"",('MF Rollover'!AO19*($P19*(1+'Property Summary'!$L$22)^('MF Releasing'!AP$3-1)))*$C19)</f>
        <v/>
      </c>
      <c r="AQ19" s="149" t="str">
        <f>IF($B19=0,"",('MF Rollover'!AP19*($P19*(1+'Property Summary'!$L$22)^('MF Releasing'!AQ$3-1)))*$C19)</f>
        <v/>
      </c>
      <c r="AR19" s="149" t="str">
        <f>IF($B19=0,"",('MF Rollover'!AQ19*($P19*(1+'Property Summary'!$L$22)^('MF Releasing'!AR$3-1)))*$C19)</f>
        <v/>
      </c>
      <c r="AS19" s="149" t="str">
        <f>IF($B19=0,"",('MF Rollover'!AR19*($P19*(1+'Property Summary'!$L$22)^('MF Releasing'!AS$3-1)))*$C19)</f>
        <v/>
      </c>
      <c r="AT19" s="149" t="str">
        <f>IF($B19=0,"",('MF Rollover'!AS19*($P19*(1+'Property Summary'!$L$22)^('MF Releasing'!AT$3-1)))*$C19)</f>
        <v/>
      </c>
      <c r="AU19" s="149" t="str">
        <f>IF($B19=0,"",('MF Rollover'!AT19*($P19*(1+'Property Summary'!$L$22)^('MF Releasing'!AU$3-1)))*$C19)</f>
        <v/>
      </c>
      <c r="AV19" s="149" t="str">
        <f>IF($B19=0,"",('MF Rollover'!AU19*($P19*(1+'Property Summary'!$L$22)^('MF Releasing'!AV$3-1)))*$C19)</f>
        <v/>
      </c>
      <c r="AW19" s="149" t="str">
        <f>IF($B19=0,"",('MF Rollover'!AV19*($P19*(1+'Property Summary'!$L$22)^('MF Releasing'!AW$3-1)))*$C19)</f>
        <v/>
      </c>
      <c r="AX19" s="149" t="str">
        <f>IF($B19=0,"",('MF Rollover'!AW19*($P19*(1+'Property Summary'!$L$22)^('MF Releasing'!AX$3-1)))*$C19)</f>
        <v/>
      </c>
      <c r="AY19" s="149" t="str">
        <f>IF($B19=0,"",('MF Rollover'!AX19*($P19*(1+'Property Summary'!$L$22)^('MF Releasing'!AY$3-1)))*$C19)</f>
        <v/>
      </c>
      <c r="AZ19" s="149" t="str">
        <f>IF($B19=0,"",('MF Rollover'!AY19*($P19*(1+'Property Summary'!$L$22)^('MF Releasing'!AZ$3-1)))*$C19)</f>
        <v/>
      </c>
      <c r="BA19" s="149" t="str">
        <f>IF($B19=0,"",('MF Rollover'!AZ19*($P19*(1+'Property Summary'!$L$22)^('MF Releasing'!BA$3-1)))*$C19)</f>
        <v/>
      </c>
      <c r="BB19" s="149" t="str">
        <f>IF($B19=0,"",('MF Rollover'!BA19*($P19*(1+'Property Summary'!$L$22)^('MF Releasing'!BB$3-1)))*$C19)</f>
        <v/>
      </c>
      <c r="BC19" s="149" t="str">
        <f>IF($B19=0,"",('MF Rollover'!BB19*($P19*(1+'Property Summary'!$L$22)^('MF Releasing'!BC$3-1)))*$C19)</f>
        <v/>
      </c>
      <c r="BD19" s="149" t="str">
        <f>IF($B19=0,"",('MF Rollover'!BC19*($P19*(1+'Property Summary'!$L$22)^('MF Releasing'!BD$3-1)))*$C19)</f>
        <v/>
      </c>
      <c r="BE19" s="149" t="str">
        <f>IF($B19=0,"",('MF Rollover'!BD19*($P19*(1+'Property Summary'!$L$22)^('MF Releasing'!BE$3-1)))*$C19)</f>
        <v/>
      </c>
      <c r="BF19" s="149" t="str">
        <f>IF($B19=0,"",('MF Rollover'!BE19*($P19*(1+'Property Summary'!$L$22)^('MF Releasing'!BF$3-1)))*$C19)</f>
        <v/>
      </c>
      <c r="BG19" s="149" t="str">
        <f>IF($B19=0,"",('MF Rollover'!BF19*($P19*(1+'Property Summary'!$L$22)^('MF Releasing'!BG$3-1)))*$C19)</f>
        <v/>
      </c>
      <c r="BH19" s="149" t="str">
        <f>IF($B19=0,"",('MF Rollover'!BG19*($P19*(1+'Property Summary'!$L$22)^('MF Releasing'!BH$3-1)))*$C19)</f>
        <v/>
      </c>
      <c r="BI19" s="149" t="str">
        <f>IF($B19=0,"",('MF Rollover'!BH19*($P19*(1+'Property Summary'!$L$22)^('MF Releasing'!BI$3-1)))*$C19)</f>
        <v/>
      </c>
      <c r="BJ19" s="149" t="str">
        <f>IF($B19=0,"",('MF Rollover'!BI19*($P19*(1+'Property Summary'!$L$22)^('MF Releasing'!BJ$3-1)))*$C19)</f>
        <v/>
      </c>
      <c r="BK19" s="149" t="str">
        <f>IF($B19=0,"",('MF Rollover'!BJ19*($P19*(1+'Property Summary'!$L$22)^('MF Releasing'!BK$3-1)))*$C19)</f>
        <v/>
      </c>
      <c r="BL19" s="149" t="str">
        <f>IF($B19=0,"",('MF Rollover'!BK19*($P19*(1+'Property Summary'!$L$22)^('MF Releasing'!BL$3-1)))*$C19)</f>
        <v/>
      </c>
      <c r="BM19" s="149" t="str">
        <f>IF($B19=0,"",('MF Rollover'!BL19*($P19*(1+'Property Summary'!$L$22)^('MF Releasing'!BM$3-1)))*$C19)</f>
        <v/>
      </c>
      <c r="BN19" s="149" t="str">
        <f>IF($B19=0,"",('MF Rollover'!BM19*($P19*(1+'Property Summary'!$L$22)^('MF Releasing'!BN$3-1)))*$C19)</f>
        <v/>
      </c>
      <c r="BO19" s="149" t="str">
        <f>IF($B19=0,"",('MF Rollover'!BN19*($P19*(1+'Property Summary'!$L$22)^('MF Releasing'!BO$3-1)))*$C19)</f>
        <v/>
      </c>
      <c r="BP19" s="149" t="str">
        <f>IF($B19=0,"",('MF Rollover'!BO19*($P19*(1+'Property Summary'!$L$22)^('MF Releasing'!BP$3-1)))*$C19)</f>
        <v/>
      </c>
      <c r="BQ19" s="149" t="str">
        <f>IF($B19=0,"",('MF Rollover'!BP19*($P19*(1+'Property Summary'!$L$22)^('MF Releasing'!BQ$3-1)))*$C19)</f>
        <v/>
      </c>
      <c r="BR19" s="149" t="str">
        <f>IF($B19=0,"",('MF Rollover'!BQ19*($P19*(1+'Property Summary'!$L$22)^('MF Releasing'!BR$3-1)))*$C19)</f>
        <v/>
      </c>
      <c r="BS19" s="149" t="str">
        <f>IF($B19=0,"",('MF Rollover'!BR19*($P19*(1+'Property Summary'!$L$22)^('MF Releasing'!BS$3-1)))*$C19)</f>
        <v/>
      </c>
      <c r="BT19" s="149" t="str">
        <f>IF($B19=0,"",('MF Rollover'!BS19*($P19*(1+'Property Summary'!$L$22)^('MF Releasing'!BT$3-1)))*$C19)</f>
        <v/>
      </c>
      <c r="BU19" s="149" t="str">
        <f>IF($B19=0,"",('MF Rollover'!BT19*($P19*(1+'Property Summary'!$L$22)^('MF Releasing'!BU$3-1)))*$C19)</f>
        <v/>
      </c>
      <c r="BV19" s="149" t="str">
        <f>IF($B19=0,"",('MF Rollover'!BU19*($P19*(1+'Property Summary'!$L$22)^('MF Releasing'!BV$3-1)))*$C19)</f>
        <v/>
      </c>
      <c r="BW19" s="149" t="str">
        <f>IF($B19=0,"",('MF Rollover'!BV19*($P19*(1+'Property Summary'!$L$22)^('MF Releasing'!BW$3-1)))*$C19)</f>
        <v/>
      </c>
      <c r="BX19" s="149" t="str">
        <f>IF($B19=0,"",('MF Rollover'!BW19*($P19*(1+'Property Summary'!$L$22)^('MF Releasing'!BX$3-1)))*$C19)</f>
        <v/>
      </c>
      <c r="BY19" s="149" t="str">
        <f>IF($B19=0,"",('MF Rollover'!BX19*($P19*(1+'Property Summary'!$L$22)^('MF Releasing'!BY$3-1)))*$C19)</f>
        <v/>
      </c>
      <c r="BZ19" s="149" t="str">
        <f>IF($B19=0,"",('MF Rollover'!BY19*($P19*(1+'Property Summary'!$L$22)^('MF Releasing'!BZ$3-1)))*$C19)</f>
        <v/>
      </c>
      <c r="CA19" s="149" t="str">
        <f>IF($B19=0,"",('MF Rollover'!BZ19*($P19*(1+'Property Summary'!$L$22)^('MF Releasing'!CA$3-1)))*$C19)</f>
        <v/>
      </c>
      <c r="CB19" s="149" t="str">
        <f>IF($B19=0,"",('MF Rollover'!CA19*($P19*(1+'Property Summary'!$L$22)^('MF Releasing'!CB$3-1)))*$C19)</f>
        <v/>
      </c>
      <c r="CC19" s="149" t="str">
        <f>IF($B19=0,"",('MF Rollover'!CB19*($P19*(1+'Property Summary'!$L$22)^('MF Releasing'!CC$3-1)))*$C19)</f>
        <v/>
      </c>
      <c r="CD19" s="149" t="str">
        <f>IF($B19=0,"",('MF Rollover'!CC19*($P19*(1+'Property Summary'!$L$22)^('MF Releasing'!CD$3-1)))*$C19)</f>
        <v/>
      </c>
      <c r="CE19" s="149" t="str">
        <f>IF($B19=0,"",('MF Rollover'!CD19*($P19*(1+'Property Summary'!$L$22)^('MF Releasing'!CE$3-1)))*$C19)</f>
        <v/>
      </c>
      <c r="CF19" s="149" t="str">
        <f>IF($B19=0,"",('MF Rollover'!CE19*($P19*(1+'Property Summary'!$L$22)^('MF Releasing'!CF$3-1)))*$C19)</f>
        <v/>
      </c>
      <c r="CG19" s="149" t="str">
        <f>IF($B19=0,"",('MF Rollover'!CF19*($P19*(1+'Property Summary'!$L$22)^('MF Releasing'!CG$3-1)))*$C19)</f>
        <v/>
      </c>
      <c r="CH19" s="149" t="str">
        <f>IF($B19=0,"",('MF Rollover'!CG19*($P19*(1+'Property Summary'!$L$22)^('MF Releasing'!CH$3-1)))*$C19)</f>
        <v/>
      </c>
      <c r="CI19" s="149" t="str">
        <f>IF($B19=0,"",('MF Rollover'!CH19*($P19*(1+'Property Summary'!$L$22)^('MF Releasing'!CI$3-1)))*$C19)</f>
        <v/>
      </c>
      <c r="CJ19" s="149" t="str">
        <f>IF($B19=0,"",('MF Rollover'!CI19*($P19*(1+'Property Summary'!$L$22)^('MF Releasing'!CJ$3-1)))*$C19)</f>
        <v/>
      </c>
      <c r="CK19" s="149" t="str">
        <f>IF($B19=0,"",('MF Rollover'!CJ19*($P19*(1+'Property Summary'!$L$22)^('MF Releasing'!CK$3-1)))*$C19)</f>
        <v/>
      </c>
      <c r="CL19" s="149" t="str">
        <f>IF($B19=0,"",('MF Rollover'!CK19*($P19*(1+'Property Summary'!$L$22)^('MF Releasing'!CL$3-1)))*$C19)</f>
        <v/>
      </c>
      <c r="CM19" s="149" t="str">
        <f>IF($B19=0,"",('MF Rollover'!CL19*($P19*(1+'Property Summary'!$L$22)^('MF Releasing'!CM$3-1)))*$C19)</f>
        <v/>
      </c>
      <c r="CN19" s="149" t="str">
        <f>IF($B19=0,"",('MF Rollover'!CM19*($P19*(1+'Property Summary'!$L$22)^('MF Releasing'!CN$3-1)))*$C19)</f>
        <v/>
      </c>
      <c r="CO19" s="149" t="str">
        <f>IF($B19=0,"",('MF Rollover'!CN19*($P19*(1+'Property Summary'!$L$22)^('MF Releasing'!CO$3-1)))*$C19)</f>
        <v/>
      </c>
      <c r="CP19" s="149" t="str">
        <f>IF($B19=0,"",('MF Rollover'!CO19*($P19*(1+'Property Summary'!$L$22)^('MF Releasing'!CP$3-1)))*$C19)</f>
        <v/>
      </c>
      <c r="CQ19" s="149" t="str">
        <f>IF($B19=0,"",('MF Rollover'!CP19*($P19*(1+'Property Summary'!$L$22)^('MF Releasing'!CQ$3-1)))*$C19)</f>
        <v/>
      </c>
      <c r="CR19" s="149" t="str">
        <f>IF($B19=0,"",('MF Rollover'!CQ19*($P19*(1+'Property Summary'!$L$22)^('MF Releasing'!CR$3-1)))*$C19)</f>
        <v/>
      </c>
      <c r="CS19" s="149" t="str">
        <f>IF($B19=0,"",('MF Rollover'!CR19*($P19*(1+'Property Summary'!$L$22)^('MF Releasing'!CS$3-1)))*$C19)</f>
        <v/>
      </c>
      <c r="CT19" s="149" t="str">
        <f>IF($B19=0,"",('MF Rollover'!CS19*($P19*(1+'Property Summary'!$L$22)^('MF Releasing'!CT$3-1)))*$C19)</f>
        <v/>
      </c>
      <c r="CU19" s="149" t="str">
        <f>IF($B19=0,"",('MF Rollover'!CT19*($P19*(1+'Property Summary'!$L$22)^('MF Releasing'!CU$3-1)))*$C19)</f>
        <v/>
      </c>
      <c r="CV19" s="149" t="str">
        <f>IF($B19=0,"",('MF Rollover'!CU19*($P19*(1+'Property Summary'!$L$22)^('MF Releasing'!CV$3-1)))*$C19)</f>
        <v/>
      </c>
      <c r="CW19" s="149" t="str">
        <f>IF($B19=0,"",('MF Rollover'!CV19*($P19*(1+'Property Summary'!$L$22)^('MF Releasing'!CW$3-1)))*$C19)</f>
        <v/>
      </c>
      <c r="CX19" s="149" t="str">
        <f>IF($B19=0,"",('MF Rollover'!CW19*($P19*(1+'Property Summary'!$L$22)^('MF Releasing'!CX$3-1)))*$C19)</f>
        <v/>
      </c>
      <c r="CY19" s="149" t="str">
        <f>IF($B19=0,"",('MF Rollover'!CX19*($P19*(1+'Property Summary'!$L$22)^('MF Releasing'!CY$3-1)))*$C19)</f>
        <v/>
      </c>
      <c r="CZ19" s="149" t="str">
        <f>IF($B19=0,"",('MF Rollover'!CY19*($P19*(1+'Property Summary'!$L$22)^('MF Releasing'!CZ$3-1)))*$C19)</f>
        <v/>
      </c>
      <c r="DA19" s="149" t="str">
        <f>IF($B19=0,"",('MF Rollover'!CZ19*($P19*(1+'Property Summary'!$L$22)^('MF Releasing'!DA$3-1)))*$C19)</f>
        <v/>
      </c>
      <c r="DB19" s="149" t="str">
        <f>IF($B19=0,"",('MF Rollover'!DA19*($P19*(1+'Property Summary'!$L$22)^('MF Releasing'!DB$3-1)))*$C19)</f>
        <v/>
      </c>
      <c r="DC19" s="149" t="str">
        <f>IF($B19=0,"",('MF Rollover'!DB19*($P19*(1+'Property Summary'!$L$22)^('MF Releasing'!DC$3-1)))*$C19)</f>
        <v/>
      </c>
      <c r="DD19" s="149" t="str">
        <f>IF($B19=0,"",('MF Rollover'!DC19*($P19*(1+'Property Summary'!$L$22)^('MF Releasing'!DD$3-1)))*$C19)</f>
        <v/>
      </c>
      <c r="DE19" s="149" t="str">
        <f>IF($B19=0,"",('MF Rollover'!DD19*($P19*(1+'Property Summary'!$L$22)^('MF Releasing'!DE$3-1)))*$C19)</f>
        <v/>
      </c>
      <c r="DF19" s="149" t="str">
        <f>IF($B19=0,"",('MF Rollover'!DE19*($P19*(1+'Property Summary'!$L$22)^('MF Releasing'!DF$3-1)))*$C19)</f>
        <v/>
      </c>
      <c r="DG19" s="149" t="str">
        <f>IF($B19=0,"",('MF Rollover'!DF19*($P19*(1+'Property Summary'!$L$22)^('MF Releasing'!DG$3-1)))*$C19)</f>
        <v/>
      </c>
      <c r="DH19" s="149" t="str">
        <f>IF($B19=0,"",('MF Rollover'!DG19*($P19*(1+'Property Summary'!$L$22)^('MF Releasing'!DH$3-1)))*$C19)</f>
        <v/>
      </c>
      <c r="DI19" s="149" t="str">
        <f>IF($B19=0,"",('MF Rollover'!DH19*($P19*(1+'Property Summary'!$L$22)^('MF Releasing'!DI$3-1)))*$C19)</f>
        <v/>
      </c>
      <c r="DJ19" s="149" t="str">
        <f>IF($B19=0,"",('MF Rollover'!DI19*($P19*(1+'Property Summary'!$L$22)^('MF Releasing'!DJ$3-1)))*$C19)</f>
        <v/>
      </c>
      <c r="DK19" s="149" t="str">
        <f>IF($B19=0,"",('MF Rollover'!DJ19*($P19*(1+'Property Summary'!$L$22)^('MF Releasing'!DK$3-1)))*$C19)</f>
        <v/>
      </c>
      <c r="DL19" s="149" t="str">
        <f>IF($B19=0,"",('MF Rollover'!DK19*($P19*(1+'Property Summary'!$L$22)^('MF Releasing'!DL$3-1)))*$C19)</f>
        <v/>
      </c>
      <c r="DM19" s="149" t="str">
        <f>IF($B19=0,"",('MF Rollover'!DL19*($P19*(1+'Property Summary'!$L$22)^('MF Releasing'!DM$3-1)))*$C19)</f>
        <v/>
      </c>
      <c r="DN19" s="149" t="str">
        <f>IF($B19=0,"",('MF Rollover'!DM19*($P19*(1+'Property Summary'!$L$22)^('MF Releasing'!DN$3-1)))*$C19)</f>
        <v/>
      </c>
      <c r="DO19" s="149" t="str">
        <f>IF($B19=0,"",('MF Rollover'!DN19*($P19*(1+'Property Summary'!$L$22)^('MF Releasing'!DO$3-1)))*$C19)</f>
        <v/>
      </c>
      <c r="DP19" s="149" t="str">
        <f>IF($B19=0,"",('MF Rollover'!DO19*($P19*(1+'Property Summary'!$L$22)^('MF Releasing'!DP$3-1)))*$C19)</f>
        <v/>
      </c>
      <c r="DQ19" s="149" t="str">
        <f>IF($B19=0,"",('MF Rollover'!DP19*($P19*(1+'Property Summary'!$L$22)^('MF Releasing'!DQ$3-1)))*$C19)</f>
        <v/>
      </c>
      <c r="DR19" s="149" t="str">
        <f>IF($B19=0,"",('MF Rollover'!DQ19*($P19*(1+'Property Summary'!$L$22)^('MF Releasing'!DR$3-1)))*$C19)</f>
        <v/>
      </c>
      <c r="DS19" s="149" t="str">
        <f>IF($B19=0,"",('MF Rollover'!DR19*($P19*(1+'Property Summary'!$L$22)^('MF Releasing'!DS$3-1)))*$C19)</f>
        <v/>
      </c>
      <c r="DT19" s="149" t="str">
        <f>IF($B19=0,"",('MF Rollover'!DS19*($P19*(1+'Property Summary'!$L$22)^('MF Releasing'!DT$3-1)))*$C19)</f>
        <v/>
      </c>
      <c r="DU19" s="149" t="str">
        <f>IF($B19=0,"",('MF Rollover'!DT19*($P19*(1+'Property Summary'!$L$22)^('MF Releasing'!DU$3-1)))*$C19)</f>
        <v/>
      </c>
      <c r="DV19" s="149" t="str">
        <f>IF($B19=0,"",('MF Rollover'!DU19*($P19*(1+'Property Summary'!$L$22)^('MF Releasing'!DV$3-1)))*$C19)</f>
        <v/>
      </c>
      <c r="DW19" s="149" t="str">
        <f>IF($B19=0,"",('MF Rollover'!DV19*($P19*(1+'Property Summary'!$L$22)^('MF Releasing'!DW$3-1)))*$C19)</f>
        <v/>
      </c>
      <c r="DX19" s="149" t="str">
        <f>IF($B19=0,"",('MF Rollover'!DW19*($P19*(1+'Property Summary'!$L$22)^('MF Releasing'!DX$3-1)))*$C19)</f>
        <v/>
      </c>
      <c r="DY19" s="149" t="str">
        <f>IF($B19=0,"",('MF Rollover'!DX19*($P19*(1+'Property Summary'!$L$22)^('MF Releasing'!DY$3-1)))*$C19)</f>
        <v/>
      </c>
      <c r="DZ19" s="149" t="str">
        <f>IF($B19=0,"",('MF Rollover'!DY19*($P19*(1+'Property Summary'!$L$22)^('MF Releasing'!DZ$3-1)))*$C19)</f>
        <v/>
      </c>
      <c r="EA19" s="149" t="str">
        <f>IF($B19=0,"",('MF Rollover'!DZ19*($P19*(1+'Property Summary'!$L$22)^('MF Releasing'!EA$3-1)))*$C19)</f>
        <v/>
      </c>
      <c r="EB19" s="149" t="str">
        <f>IF($B19=0,"",('MF Rollover'!EA19*($P19*(1+'Property Summary'!$L$22)^('MF Releasing'!EB$3-1)))*$C19)</f>
        <v/>
      </c>
      <c r="EC19" s="149" t="str">
        <f>IF($B19=0,"",('MF Rollover'!EB19*($P19*(1+'Property Summary'!$L$22)^('MF Releasing'!EC$3-1)))*$C19)</f>
        <v/>
      </c>
      <c r="ED19" s="149" t="str">
        <f>IF($B19=0,"",('MF Rollover'!EC19*($P19*(1+'Property Summary'!$L$22)^('MF Releasing'!ED$3-1)))*$C19)</f>
        <v/>
      </c>
      <c r="EE19" s="149" t="str">
        <f>IF($B19=0,"",('MF Rollover'!ED19*($P19*(1+'Property Summary'!$L$22)^('MF Releasing'!EE$3-1)))*$C19)</f>
        <v/>
      </c>
      <c r="EF19" s="149" t="str">
        <f>IF($B19=0,"",('MF Rollover'!EE19*($P19*(1+'Property Summary'!$L$22)^('MF Releasing'!EF$3-1)))*$C19)</f>
        <v/>
      </c>
      <c r="EG19" s="149" t="str">
        <f>IF($B19=0,"",('MF Rollover'!EF19*($P19*(1+'Property Summary'!$L$22)^('MF Releasing'!EG$3-1)))*$C19)</f>
        <v/>
      </c>
      <c r="EH19" s="149" t="str">
        <f>IF($B19=0,"",('MF Rollover'!EG19*($P19*(1+'Property Summary'!$L$22)^('MF Releasing'!EH$3-1)))*$C19)</f>
        <v/>
      </c>
      <c r="EI19" s="149" t="str">
        <f>IF($B19=0,"",('MF Rollover'!EH19*($P19*(1+'Property Summary'!$L$22)^('MF Releasing'!EI$3-1)))*$C19)</f>
        <v/>
      </c>
      <c r="EJ19" s="149" t="str">
        <f>IF($B19=0,"",('MF Rollover'!EI19*($P19*(1+'Property Summary'!$L$22)^('MF Releasing'!EJ$3-1)))*$C19)</f>
        <v/>
      </c>
      <c r="EK19" s="149" t="str">
        <f>IF($B19=0,"",('MF Rollover'!EJ19*($P19*(1+'Property Summary'!$L$22)^('MF Releasing'!EK$3-1)))*$C19)</f>
        <v/>
      </c>
      <c r="EL19" s="149" t="str">
        <f>IF($B19=0,"",('MF Rollover'!EK19*($P19*(1+'Property Summary'!$L$22)^('MF Releasing'!EL$3-1)))*$C19)</f>
        <v/>
      </c>
      <c r="EM19" s="149" t="str">
        <f>IF($B19=0,"",('MF Rollover'!EL19*($P19*(1+'Property Summary'!$L$22)^('MF Releasing'!EM$3-1)))*$C19)</f>
        <v/>
      </c>
      <c r="EN19" s="149" t="str">
        <f>IF($B19=0,"",('MF Rollover'!EM19*($P19*(1+'Property Summary'!$L$22)^('MF Releasing'!EN$3-1)))*$C19)</f>
        <v/>
      </c>
      <c r="EO19" s="149" t="str">
        <f>IF($B19=0,"",('MF Rollover'!EN19*($P19*(1+'Property Summary'!$L$22)^('MF Releasing'!EO$3-1)))*$C19)</f>
        <v/>
      </c>
      <c r="EP19" s="149" t="str">
        <f>IF($B19=0,"",('MF Rollover'!EO19*($P19*(1+'Property Summary'!$L$22)^('MF Releasing'!EP$3-1)))*$C19)</f>
        <v/>
      </c>
      <c r="EQ19" s="149" t="str">
        <f>IF($B19=0,"",('MF Rollover'!EP19*($P19*(1+'Property Summary'!$L$22)^('MF Releasing'!EQ$3-1)))*$C19)</f>
        <v/>
      </c>
      <c r="ER19" s="149" t="str">
        <f>IF($B19=0,"",('MF Rollover'!EQ19*($P19*(1+'Property Summary'!$L$22)^('MF Releasing'!ER$3-1)))*$C19)</f>
        <v/>
      </c>
      <c r="ES19" s="149" t="str">
        <f>IF($B19=0,"",('MF Rollover'!ER19*($P19*(1+'Property Summary'!$L$22)^('MF Releasing'!ES$3-1)))*$C19)</f>
        <v/>
      </c>
      <c r="ET19" s="149" t="str">
        <f>IF($B19=0,"",('MF Rollover'!ES19*($P19*(1+'Property Summary'!$L$22)^('MF Releasing'!ET$3-1)))*$C19)</f>
        <v/>
      </c>
      <c r="EU19" s="149" t="str">
        <f>IF($B19=0,"",('MF Rollover'!ET19*($P19*(1+'Property Summary'!$L$22)^('MF Releasing'!EU$3-1)))*$C19)</f>
        <v/>
      </c>
      <c r="EV19" s="149" t="str">
        <f>IF($B19=0,"",('MF Rollover'!EU19*($P19*(1+'Property Summary'!$L$22)^('MF Releasing'!EV$3-1)))*$C19)</f>
        <v/>
      </c>
      <c r="EW19" s="149" t="str">
        <f>IF($B19=0,"",('MF Rollover'!EV19*($P19*(1+'Property Summary'!$L$22)^('MF Releasing'!EW$3-1)))*$C19)</f>
        <v/>
      </c>
      <c r="EX19" s="149" t="str">
        <f>IF($B19=0,"",('MF Rollover'!EW19*($P19*(1+'Property Summary'!$L$22)^('MF Releasing'!EX$3-1)))*$C19)</f>
        <v/>
      </c>
      <c r="EY19" s="149" t="str">
        <f>IF($B19=0,"",('MF Rollover'!EX19*($P19*(1+'Property Summary'!$L$22)^('MF Releasing'!EY$3-1)))*$C19)</f>
        <v/>
      </c>
      <c r="EZ19" s="149" t="str">
        <f>IF($B19=0,"",('MF Rollover'!EY19*($P19*(1+'Property Summary'!$L$22)^('MF Releasing'!EZ$3-1)))*$C19)</f>
        <v/>
      </c>
      <c r="FA19" s="149" t="str">
        <f>IF($B19=0,"",('MF Rollover'!EZ19*($P19*(1+'Property Summary'!$L$22)^('MF Releasing'!FA$3-1)))*$C19)</f>
        <v/>
      </c>
      <c r="FB19" s="149" t="str">
        <f>IF($B19=0,"",('MF Rollover'!FA19*($P19*(1+'Property Summary'!$L$22)^('MF Releasing'!FB$3-1)))*$C19)</f>
        <v/>
      </c>
      <c r="FC19" s="149" t="str">
        <f>IF($B19=0,"",('MF Rollover'!FB19*($P19*(1+'Property Summary'!$L$22)^('MF Releasing'!FC$3-1)))*$C19)</f>
        <v/>
      </c>
      <c r="FD19" s="149" t="str">
        <f>IF($B19=0,"",('MF Rollover'!FC19*($P19*(1+'Property Summary'!$L$22)^('MF Releasing'!FD$3-1)))*$C19)</f>
        <v/>
      </c>
      <c r="FE19" s="149" t="str">
        <f>IF($B19=0,"",('MF Rollover'!FD19*($P19*(1+'Property Summary'!$L$22)^('MF Releasing'!FE$3-1)))*$C19)</f>
        <v/>
      </c>
      <c r="FF19" s="149" t="str">
        <f>IF($B19=0,"",('MF Rollover'!FE19*($P19*(1+'Property Summary'!$L$22)^('MF Releasing'!FF$3-1)))*$C19)</f>
        <v/>
      </c>
      <c r="FG19" s="149" t="str">
        <f>IF($B19=0,"",('MF Rollover'!FF19*($P19*(1+'Property Summary'!$L$22)^('MF Releasing'!FG$3-1)))*$C19)</f>
        <v/>
      </c>
      <c r="FH19" s="149" t="str">
        <f>IF($B19=0,"",('MF Rollover'!FG19*($P19*(1+'Property Summary'!$L$22)^('MF Releasing'!FH$3-1)))*$C19)</f>
        <v/>
      </c>
      <c r="FI19" s="149" t="str">
        <f>IF($B19=0,"",('MF Rollover'!FH19*($P19*(1+'Property Summary'!$L$22)^('MF Releasing'!FI$3-1)))*$C19)</f>
        <v/>
      </c>
      <c r="FJ19" s="149" t="str">
        <f>IF($B19=0,"",('MF Rollover'!FI19*($P19*(1+'Property Summary'!$L$22)^('MF Releasing'!FJ$3-1)))*$C19)</f>
        <v/>
      </c>
      <c r="FK19" s="149" t="str">
        <f>IF($B19=0,"",('MF Rollover'!FJ19*($P19*(1+'Property Summary'!$L$22)^('MF Releasing'!FK$3-1)))*$C19)</f>
        <v/>
      </c>
      <c r="FL19" s="149" t="str">
        <f>IF($B19=0,"",('MF Rollover'!FK19*($P19*(1+'Property Summary'!$L$22)^('MF Releasing'!FL$3-1)))*$C19)</f>
        <v/>
      </c>
      <c r="FM19" s="149" t="str">
        <f>IF($B19=0,"",('MF Rollover'!FL19*($P19*(1+'Property Summary'!$L$22)^('MF Releasing'!FM$3-1)))*$C19)</f>
        <v/>
      </c>
      <c r="FN19" s="149" t="str">
        <f>IF($B19=0,"",('MF Rollover'!FM19*($P19*(1+'Property Summary'!$L$22)^('MF Releasing'!FN$3-1)))*$C19)</f>
        <v/>
      </c>
      <c r="FO19" s="149" t="str">
        <f>IF($B19=0,"",('MF Rollover'!FN19*($P19*(1+'Property Summary'!$L$22)^('MF Releasing'!FO$3-1)))*$C19)</f>
        <v/>
      </c>
      <c r="FP19" s="149" t="str">
        <f>IF($B19=0,"",('MF Rollover'!FO19*($P19*(1+'Property Summary'!$L$22)^('MF Releasing'!FP$3-1)))*$C19)</f>
        <v/>
      </c>
      <c r="FQ19" s="149" t="str">
        <f>IF($B19=0,"",('MF Rollover'!FP19*($P19*(1+'Property Summary'!$L$22)^('MF Releasing'!FQ$3-1)))*$C19)</f>
        <v/>
      </c>
      <c r="FR19" s="149" t="str">
        <f>IF($B19=0,"",('MF Rollover'!FQ19*($P19*(1+'Property Summary'!$L$22)^('MF Releasing'!FR$3-1)))*$C19)</f>
        <v/>
      </c>
      <c r="FS19" s="149" t="str">
        <f>IF($B19=0,"",('MF Rollover'!FR19*($P19*(1+'Property Summary'!$L$22)^('MF Releasing'!FS$3-1)))*$C19)</f>
        <v/>
      </c>
      <c r="FT19" s="149" t="str">
        <f>IF($B19=0,"",('MF Rollover'!FS19*($P19*(1+'Property Summary'!$L$22)^('MF Releasing'!FT$3-1)))*$C19)</f>
        <v/>
      </c>
      <c r="FU19" s="149" t="str">
        <f>IF($B19=0,"",('MF Rollover'!FT19*($P19*(1+'Property Summary'!$L$22)^('MF Releasing'!FU$3-1)))*$C19)</f>
        <v/>
      </c>
      <c r="FV19" s="149" t="str">
        <f>IF($B19=0,"",('MF Rollover'!FU19*($P19*(1+'Property Summary'!$L$22)^('MF Releasing'!FV$3-1)))*$C19)</f>
        <v/>
      </c>
      <c r="FW19" s="149" t="str">
        <f>IF($B19=0,"",('MF Rollover'!FV19*($P19*(1+'Property Summary'!$L$22)^('MF Releasing'!FW$3-1)))*$C19)</f>
        <v/>
      </c>
      <c r="FX19" s="149" t="str">
        <f>IF($B19=0,"",('MF Rollover'!FW19*($P19*(1+'Property Summary'!$L$22)^('MF Releasing'!FX$3-1)))*$C19)</f>
        <v/>
      </c>
      <c r="FY19" s="149" t="str">
        <f>IF($B19=0,"",('MF Rollover'!FX19*($P19*(1+'Property Summary'!$L$22)^('MF Releasing'!FY$3-1)))*$C19)</f>
        <v/>
      </c>
      <c r="FZ19" s="149" t="str">
        <f>IF($B19=0,"",('MF Rollover'!FY19*($P19*(1+'Property Summary'!$L$22)^('MF Releasing'!FZ$3-1)))*$C19)</f>
        <v/>
      </c>
      <c r="GA19" s="149" t="str">
        <f>IF($B19=0,"",('MF Rollover'!FZ19*($P19*(1+'Property Summary'!$L$22)^('MF Releasing'!GA$3-1)))*$C19)</f>
        <v/>
      </c>
      <c r="GB19" s="149" t="str">
        <f>IF($B19=0,"",('MF Rollover'!GA19*($P19*(1+'Property Summary'!$L$22)^('MF Releasing'!GB$3-1)))*$C19)</f>
        <v/>
      </c>
      <c r="GC19" s="149" t="str">
        <f>IF($B19=0,"",('MF Rollover'!GB19*($P19*(1+'Property Summary'!$L$22)^('MF Releasing'!GC$3-1)))*$C19)</f>
        <v/>
      </c>
      <c r="GD19" s="149" t="str">
        <f>IF($B19=0,"",('MF Rollover'!GC19*($P19*(1+'Property Summary'!$L$22)^('MF Releasing'!GD$3-1)))*$C19)</f>
        <v/>
      </c>
      <c r="GE19" s="149" t="str">
        <f>IF($B19=0,"",('MF Rollover'!GD19*($P19*(1+'Property Summary'!$L$22)^('MF Releasing'!GE$3-1)))*$C19)</f>
        <v/>
      </c>
      <c r="GF19" s="149" t="str">
        <f>IF($B19=0,"",('MF Rollover'!GE19*($P19*(1+'Property Summary'!$L$22)^('MF Releasing'!GF$3-1)))*$C19)</f>
        <v/>
      </c>
      <c r="GG19" s="149" t="str">
        <f>IF($B19=0,"",('MF Rollover'!GF19*($P19*(1+'Property Summary'!$L$22)^('MF Releasing'!GG$3-1)))*$C19)</f>
        <v/>
      </c>
      <c r="GH19" s="149" t="str">
        <f>IF($B19=0,"",('MF Rollover'!GG19*($P19*(1+'Property Summary'!$L$22)^('MF Releasing'!GH$3-1)))*$C19)</f>
        <v/>
      </c>
      <c r="GI19" s="149" t="str">
        <f>IF($B19=0,"",('MF Rollover'!GH19*($P19*(1+'Property Summary'!$L$22)^('MF Releasing'!GI$3-1)))*$C19)</f>
        <v/>
      </c>
      <c r="GJ19" s="149" t="str">
        <f>IF($B19=0,"",('MF Rollover'!GI19*($P19*(1+'Property Summary'!$L$22)^('MF Releasing'!GJ$3-1)))*$C19)</f>
        <v/>
      </c>
      <c r="GK19" s="149" t="str">
        <f>IF($B19=0,"",('MF Rollover'!GJ19*($P19*(1+'Property Summary'!$L$22)^('MF Releasing'!GK$3-1)))*$C19)</f>
        <v/>
      </c>
      <c r="GL19" s="149" t="str">
        <f>IF($B19=0,"",('MF Rollover'!GK19*($P19*(1+'Property Summary'!$L$22)^('MF Releasing'!GL$3-1)))*$C19)</f>
        <v/>
      </c>
      <c r="GM19" s="149" t="str">
        <f>IF($B19=0,"",('MF Rollover'!GL19*($P19*(1+'Property Summary'!$L$22)^('MF Releasing'!GM$3-1)))*$C19)</f>
        <v/>
      </c>
      <c r="GN19" s="149" t="str">
        <f>IF($B19=0,"",('MF Rollover'!GM19*($P19*(1+'Property Summary'!$L$22)^('MF Releasing'!GN$3-1)))*$C19)</f>
        <v/>
      </c>
      <c r="GO19" s="149" t="str">
        <f>IF($B19=0,"",('MF Rollover'!GN19*($P19*(1+'Property Summary'!$L$22)^('MF Releasing'!GO$3-1)))*$C19)</f>
        <v/>
      </c>
      <c r="GP19" s="149" t="str">
        <f>IF($B19=0,"",('MF Rollover'!GO19*($P19*(1+'Property Summary'!$L$22)^('MF Releasing'!GP$3-1)))*$C19)</f>
        <v/>
      </c>
    </row>
    <row r="20" spans="2:198" x14ac:dyDescent="0.3">
      <c r="B20" s="184">
        <f>'MF Rent Roll'!B19</f>
        <v>0</v>
      </c>
      <c r="C20" s="171">
        <f>'MF Rent Roll'!C19</f>
        <v>0</v>
      </c>
      <c r="D20" s="172">
        <f>'MF Rent Roll'!D19</f>
        <v>0</v>
      </c>
      <c r="E20" s="172">
        <f>'MF Rent Roll'!E19</f>
        <v>0</v>
      </c>
      <c r="F20" s="173">
        <f>'MF Rent Roll'!F19</f>
        <v>0</v>
      </c>
      <c r="G20" s="174">
        <f>'MF Rent Roll'!G19</f>
        <v>0</v>
      </c>
      <c r="H20" s="176">
        <f>'MF Rent Roll'!J19</f>
        <v>0</v>
      </c>
      <c r="I20" s="174">
        <f>'MF Rent Roll'!K19</f>
        <v>0</v>
      </c>
      <c r="J20" s="177">
        <f>'MF Rent Roll'!L19</f>
        <v>0</v>
      </c>
      <c r="K20" s="178">
        <f>'MF Rent Roll'!M19</f>
        <v>0</v>
      </c>
      <c r="L20" s="174">
        <f>'MF Rent Roll'!N19</f>
        <v>0</v>
      </c>
      <c r="M20" s="179">
        <f>'MF Rent Roll'!O19</f>
        <v>0</v>
      </c>
      <c r="N20" s="180" t="str">
        <f>'MF Rent Roll'!P19</f>
        <v/>
      </c>
      <c r="O20" s="181" t="str">
        <f>'MF Rent Roll'!Q19</f>
        <v/>
      </c>
      <c r="P20" s="104" t="str">
        <f>'MF Rent Roll'!R19</f>
        <v/>
      </c>
      <c r="S20" s="149" t="str">
        <f>IF($B20=0,"",('MF Rollover'!R20*($P20*(1+'Property Summary'!$L$22)^('MF Releasing'!S$3-1)))*$C20)</f>
        <v/>
      </c>
      <c r="T20" s="149" t="str">
        <f>IF($B20=0,"",('MF Rollover'!S20*($P20*(1+'Property Summary'!$L$22)^('MF Releasing'!T$3-1)))*$C20)</f>
        <v/>
      </c>
      <c r="U20" s="149" t="str">
        <f>IF($B20=0,"",('MF Rollover'!T20*($P20*(1+'Property Summary'!$L$22)^('MF Releasing'!U$3-1)))*$C20)</f>
        <v/>
      </c>
      <c r="V20" s="149" t="str">
        <f>IF($B20=0,"",('MF Rollover'!U20*($P20*(1+'Property Summary'!$L$22)^('MF Releasing'!V$3-1)))*$C20)</f>
        <v/>
      </c>
      <c r="W20" s="149" t="str">
        <f>IF($B20=0,"",('MF Rollover'!V20*($P20*(1+'Property Summary'!$L$22)^('MF Releasing'!W$3-1)))*$C20)</f>
        <v/>
      </c>
      <c r="X20" s="149" t="str">
        <f>IF($B20=0,"",('MF Rollover'!W20*($P20*(1+'Property Summary'!$L$22)^('MF Releasing'!X$3-1)))*$C20)</f>
        <v/>
      </c>
      <c r="Y20" s="149" t="str">
        <f>IF($B20=0,"",('MF Rollover'!X20*($P20*(1+'Property Summary'!$L$22)^('MF Releasing'!Y$3-1)))*$C20)</f>
        <v/>
      </c>
      <c r="Z20" s="149" t="str">
        <f>IF($B20=0,"",('MF Rollover'!Y20*($P20*(1+'Property Summary'!$L$22)^('MF Releasing'!Z$3-1)))*$C20)</f>
        <v/>
      </c>
      <c r="AA20" s="149" t="str">
        <f>IF($B20=0,"",('MF Rollover'!Z20*($P20*(1+'Property Summary'!$L$22)^('MF Releasing'!AA$3-1)))*$C20)</f>
        <v/>
      </c>
      <c r="AB20" s="149" t="str">
        <f>IF($B20=0,"",('MF Rollover'!AA20*($P20*(1+'Property Summary'!$L$22)^('MF Releasing'!AB$3-1)))*$C20)</f>
        <v/>
      </c>
      <c r="AC20" s="149" t="str">
        <f>IF($B20=0,"",('MF Rollover'!AB20*($P20*(1+'Property Summary'!$L$22)^('MF Releasing'!AC$3-1)))*$C20)</f>
        <v/>
      </c>
      <c r="AD20" s="149" t="str">
        <f>IF($B20=0,"",('MF Rollover'!AC20*($P20*(1+'Property Summary'!$L$22)^('MF Releasing'!AD$3-1)))*$C20)</f>
        <v/>
      </c>
      <c r="AE20" s="149" t="str">
        <f>IF($B20=0,"",('MF Rollover'!AD20*($P20*(1+'Property Summary'!$L$22)^('MF Releasing'!AE$3-1)))*$C20)</f>
        <v/>
      </c>
      <c r="AF20" s="149" t="str">
        <f>IF($B20=0,"",('MF Rollover'!AE20*($P20*(1+'Property Summary'!$L$22)^('MF Releasing'!AF$3-1)))*$C20)</f>
        <v/>
      </c>
      <c r="AG20" s="149" t="str">
        <f>IF($B20=0,"",('MF Rollover'!AF20*($P20*(1+'Property Summary'!$L$22)^('MF Releasing'!AG$3-1)))*$C20)</f>
        <v/>
      </c>
      <c r="AH20" s="149" t="str">
        <f>IF($B20=0,"",('MF Rollover'!AG20*($P20*(1+'Property Summary'!$L$22)^('MF Releasing'!AH$3-1)))*$C20)</f>
        <v/>
      </c>
      <c r="AI20" s="149" t="str">
        <f>IF($B20=0,"",('MF Rollover'!AH20*($P20*(1+'Property Summary'!$L$22)^('MF Releasing'!AI$3-1)))*$C20)</f>
        <v/>
      </c>
      <c r="AJ20" s="149" t="str">
        <f>IF($B20=0,"",('MF Rollover'!AI20*($P20*(1+'Property Summary'!$L$22)^('MF Releasing'!AJ$3-1)))*$C20)</f>
        <v/>
      </c>
      <c r="AK20" s="149" t="str">
        <f>IF($B20=0,"",('MF Rollover'!AJ20*($P20*(1+'Property Summary'!$L$22)^('MF Releasing'!AK$3-1)))*$C20)</f>
        <v/>
      </c>
      <c r="AL20" s="149" t="str">
        <f>IF($B20=0,"",('MF Rollover'!AK20*($P20*(1+'Property Summary'!$L$22)^('MF Releasing'!AL$3-1)))*$C20)</f>
        <v/>
      </c>
      <c r="AM20" s="149" t="str">
        <f>IF($B20=0,"",('MF Rollover'!AL20*($P20*(1+'Property Summary'!$L$22)^('MF Releasing'!AM$3-1)))*$C20)</f>
        <v/>
      </c>
      <c r="AN20" s="149" t="str">
        <f>IF($B20=0,"",('MF Rollover'!AM20*($P20*(1+'Property Summary'!$L$22)^('MF Releasing'!AN$3-1)))*$C20)</f>
        <v/>
      </c>
      <c r="AO20" s="149" t="str">
        <f>IF($B20=0,"",('MF Rollover'!AN20*($P20*(1+'Property Summary'!$L$22)^('MF Releasing'!AO$3-1)))*$C20)</f>
        <v/>
      </c>
      <c r="AP20" s="149" t="str">
        <f>IF($B20=0,"",('MF Rollover'!AO20*($P20*(1+'Property Summary'!$L$22)^('MF Releasing'!AP$3-1)))*$C20)</f>
        <v/>
      </c>
      <c r="AQ20" s="149" t="str">
        <f>IF($B20=0,"",('MF Rollover'!AP20*($P20*(1+'Property Summary'!$L$22)^('MF Releasing'!AQ$3-1)))*$C20)</f>
        <v/>
      </c>
      <c r="AR20" s="149" t="str">
        <f>IF($B20=0,"",('MF Rollover'!AQ20*($P20*(1+'Property Summary'!$L$22)^('MF Releasing'!AR$3-1)))*$C20)</f>
        <v/>
      </c>
      <c r="AS20" s="149" t="str">
        <f>IF($B20=0,"",('MF Rollover'!AR20*($P20*(1+'Property Summary'!$L$22)^('MF Releasing'!AS$3-1)))*$C20)</f>
        <v/>
      </c>
      <c r="AT20" s="149" t="str">
        <f>IF($B20=0,"",('MF Rollover'!AS20*($P20*(1+'Property Summary'!$L$22)^('MF Releasing'!AT$3-1)))*$C20)</f>
        <v/>
      </c>
      <c r="AU20" s="149" t="str">
        <f>IF($B20=0,"",('MF Rollover'!AT20*($P20*(1+'Property Summary'!$L$22)^('MF Releasing'!AU$3-1)))*$C20)</f>
        <v/>
      </c>
      <c r="AV20" s="149" t="str">
        <f>IF($B20=0,"",('MF Rollover'!AU20*($P20*(1+'Property Summary'!$L$22)^('MF Releasing'!AV$3-1)))*$C20)</f>
        <v/>
      </c>
      <c r="AW20" s="149" t="str">
        <f>IF($B20=0,"",('MF Rollover'!AV20*($P20*(1+'Property Summary'!$L$22)^('MF Releasing'!AW$3-1)))*$C20)</f>
        <v/>
      </c>
      <c r="AX20" s="149" t="str">
        <f>IF($B20=0,"",('MF Rollover'!AW20*($P20*(1+'Property Summary'!$L$22)^('MF Releasing'!AX$3-1)))*$C20)</f>
        <v/>
      </c>
      <c r="AY20" s="149" t="str">
        <f>IF($B20=0,"",('MF Rollover'!AX20*($P20*(1+'Property Summary'!$L$22)^('MF Releasing'!AY$3-1)))*$C20)</f>
        <v/>
      </c>
      <c r="AZ20" s="149" t="str">
        <f>IF($B20=0,"",('MF Rollover'!AY20*($P20*(1+'Property Summary'!$L$22)^('MF Releasing'!AZ$3-1)))*$C20)</f>
        <v/>
      </c>
      <c r="BA20" s="149" t="str">
        <f>IF($B20=0,"",('MF Rollover'!AZ20*($P20*(1+'Property Summary'!$L$22)^('MF Releasing'!BA$3-1)))*$C20)</f>
        <v/>
      </c>
      <c r="BB20" s="149" t="str">
        <f>IF($B20=0,"",('MF Rollover'!BA20*($P20*(1+'Property Summary'!$L$22)^('MF Releasing'!BB$3-1)))*$C20)</f>
        <v/>
      </c>
      <c r="BC20" s="149" t="str">
        <f>IF($B20=0,"",('MF Rollover'!BB20*($P20*(1+'Property Summary'!$L$22)^('MF Releasing'!BC$3-1)))*$C20)</f>
        <v/>
      </c>
      <c r="BD20" s="149" t="str">
        <f>IF($B20=0,"",('MF Rollover'!BC20*($P20*(1+'Property Summary'!$L$22)^('MF Releasing'!BD$3-1)))*$C20)</f>
        <v/>
      </c>
      <c r="BE20" s="149" t="str">
        <f>IF($B20=0,"",('MF Rollover'!BD20*($P20*(1+'Property Summary'!$L$22)^('MF Releasing'!BE$3-1)))*$C20)</f>
        <v/>
      </c>
      <c r="BF20" s="149" t="str">
        <f>IF($B20=0,"",('MF Rollover'!BE20*($P20*(1+'Property Summary'!$L$22)^('MF Releasing'!BF$3-1)))*$C20)</f>
        <v/>
      </c>
      <c r="BG20" s="149" t="str">
        <f>IF($B20=0,"",('MF Rollover'!BF20*($P20*(1+'Property Summary'!$L$22)^('MF Releasing'!BG$3-1)))*$C20)</f>
        <v/>
      </c>
      <c r="BH20" s="149" t="str">
        <f>IF($B20=0,"",('MF Rollover'!BG20*($P20*(1+'Property Summary'!$L$22)^('MF Releasing'!BH$3-1)))*$C20)</f>
        <v/>
      </c>
      <c r="BI20" s="149" t="str">
        <f>IF($B20=0,"",('MF Rollover'!BH20*($P20*(1+'Property Summary'!$L$22)^('MF Releasing'!BI$3-1)))*$C20)</f>
        <v/>
      </c>
      <c r="BJ20" s="149" t="str">
        <f>IF($B20=0,"",('MF Rollover'!BI20*($P20*(1+'Property Summary'!$L$22)^('MF Releasing'!BJ$3-1)))*$C20)</f>
        <v/>
      </c>
      <c r="BK20" s="149" t="str">
        <f>IF($B20=0,"",('MF Rollover'!BJ20*($P20*(1+'Property Summary'!$L$22)^('MF Releasing'!BK$3-1)))*$C20)</f>
        <v/>
      </c>
      <c r="BL20" s="149" t="str">
        <f>IF($B20=0,"",('MF Rollover'!BK20*($P20*(1+'Property Summary'!$L$22)^('MF Releasing'!BL$3-1)))*$C20)</f>
        <v/>
      </c>
      <c r="BM20" s="149" t="str">
        <f>IF($B20=0,"",('MF Rollover'!BL20*($P20*(1+'Property Summary'!$L$22)^('MF Releasing'!BM$3-1)))*$C20)</f>
        <v/>
      </c>
      <c r="BN20" s="149" t="str">
        <f>IF($B20=0,"",('MF Rollover'!BM20*($P20*(1+'Property Summary'!$L$22)^('MF Releasing'!BN$3-1)))*$C20)</f>
        <v/>
      </c>
      <c r="BO20" s="149" t="str">
        <f>IF($B20=0,"",('MF Rollover'!BN20*($P20*(1+'Property Summary'!$L$22)^('MF Releasing'!BO$3-1)))*$C20)</f>
        <v/>
      </c>
      <c r="BP20" s="149" t="str">
        <f>IF($B20=0,"",('MF Rollover'!BO20*($P20*(1+'Property Summary'!$L$22)^('MF Releasing'!BP$3-1)))*$C20)</f>
        <v/>
      </c>
      <c r="BQ20" s="149" t="str">
        <f>IF($B20=0,"",('MF Rollover'!BP20*($P20*(1+'Property Summary'!$L$22)^('MF Releasing'!BQ$3-1)))*$C20)</f>
        <v/>
      </c>
      <c r="BR20" s="149" t="str">
        <f>IF($B20=0,"",('MF Rollover'!BQ20*($P20*(1+'Property Summary'!$L$22)^('MF Releasing'!BR$3-1)))*$C20)</f>
        <v/>
      </c>
      <c r="BS20" s="149" t="str">
        <f>IF($B20=0,"",('MF Rollover'!BR20*($P20*(1+'Property Summary'!$L$22)^('MF Releasing'!BS$3-1)))*$C20)</f>
        <v/>
      </c>
      <c r="BT20" s="149" t="str">
        <f>IF($B20=0,"",('MF Rollover'!BS20*($P20*(1+'Property Summary'!$L$22)^('MF Releasing'!BT$3-1)))*$C20)</f>
        <v/>
      </c>
      <c r="BU20" s="149" t="str">
        <f>IF($B20=0,"",('MF Rollover'!BT20*($P20*(1+'Property Summary'!$L$22)^('MF Releasing'!BU$3-1)))*$C20)</f>
        <v/>
      </c>
      <c r="BV20" s="149" t="str">
        <f>IF($B20=0,"",('MF Rollover'!BU20*($P20*(1+'Property Summary'!$L$22)^('MF Releasing'!BV$3-1)))*$C20)</f>
        <v/>
      </c>
      <c r="BW20" s="149" t="str">
        <f>IF($B20=0,"",('MF Rollover'!BV20*($P20*(1+'Property Summary'!$L$22)^('MF Releasing'!BW$3-1)))*$C20)</f>
        <v/>
      </c>
      <c r="BX20" s="149" t="str">
        <f>IF($B20=0,"",('MF Rollover'!BW20*($P20*(1+'Property Summary'!$L$22)^('MF Releasing'!BX$3-1)))*$C20)</f>
        <v/>
      </c>
      <c r="BY20" s="149" t="str">
        <f>IF($B20=0,"",('MF Rollover'!BX20*($P20*(1+'Property Summary'!$L$22)^('MF Releasing'!BY$3-1)))*$C20)</f>
        <v/>
      </c>
      <c r="BZ20" s="149" t="str">
        <f>IF($B20=0,"",('MF Rollover'!BY20*($P20*(1+'Property Summary'!$L$22)^('MF Releasing'!BZ$3-1)))*$C20)</f>
        <v/>
      </c>
      <c r="CA20" s="149" t="str">
        <f>IF($B20=0,"",('MF Rollover'!BZ20*($P20*(1+'Property Summary'!$L$22)^('MF Releasing'!CA$3-1)))*$C20)</f>
        <v/>
      </c>
      <c r="CB20" s="149" t="str">
        <f>IF($B20=0,"",('MF Rollover'!CA20*($P20*(1+'Property Summary'!$L$22)^('MF Releasing'!CB$3-1)))*$C20)</f>
        <v/>
      </c>
      <c r="CC20" s="149" t="str">
        <f>IF($B20=0,"",('MF Rollover'!CB20*($P20*(1+'Property Summary'!$L$22)^('MF Releasing'!CC$3-1)))*$C20)</f>
        <v/>
      </c>
      <c r="CD20" s="149" t="str">
        <f>IF($B20=0,"",('MF Rollover'!CC20*($P20*(1+'Property Summary'!$L$22)^('MF Releasing'!CD$3-1)))*$C20)</f>
        <v/>
      </c>
      <c r="CE20" s="149" t="str">
        <f>IF($B20=0,"",('MF Rollover'!CD20*($P20*(1+'Property Summary'!$L$22)^('MF Releasing'!CE$3-1)))*$C20)</f>
        <v/>
      </c>
      <c r="CF20" s="149" t="str">
        <f>IF($B20=0,"",('MF Rollover'!CE20*($P20*(1+'Property Summary'!$L$22)^('MF Releasing'!CF$3-1)))*$C20)</f>
        <v/>
      </c>
      <c r="CG20" s="149" t="str">
        <f>IF($B20=0,"",('MF Rollover'!CF20*($P20*(1+'Property Summary'!$L$22)^('MF Releasing'!CG$3-1)))*$C20)</f>
        <v/>
      </c>
      <c r="CH20" s="149" t="str">
        <f>IF($B20=0,"",('MF Rollover'!CG20*($P20*(1+'Property Summary'!$L$22)^('MF Releasing'!CH$3-1)))*$C20)</f>
        <v/>
      </c>
      <c r="CI20" s="149" t="str">
        <f>IF($B20=0,"",('MF Rollover'!CH20*($P20*(1+'Property Summary'!$L$22)^('MF Releasing'!CI$3-1)))*$C20)</f>
        <v/>
      </c>
      <c r="CJ20" s="149" t="str">
        <f>IF($B20=0,"",('MF Rollover'!CI20*($P20*(1+'Property Summary'!$L$22)^('MF Releasing'!CJ$3-1)))*$C20)</f>
        <v/>
      </c>
      <c r="CK20" s="149" t="str">
        <f>IF($B20=0,"",('MF Rollover'!CJ20*($P20*(1+'Property Summary'!$L$22)^('MF Releasing'!CK$3-1)))*$C20)</f>
        <v/>
      </c>
      <c r="CL20" s="149" t="str">
        <f>IF($B20=0,"",('MF Rollover'!CK20*($P20*(1+'Property Summary'!$L$22)^('MF Releasing'!CL$3-1)))*$C20)</f>
        <v/>
      </c>
      <c r="CM20" s="149" t="str">
        <f>IF($B20=0,"",('MF Rollover'!CL20*($P20*(1+'Property Summary'!$L$22)^('MF Releasing'!CM$3-1)))*$C20)</f>
        <v/>
      </c>
      <c r="CN20" s="149" t="str">
        <f>IF($B20=0,"",('MF Rollover'!CM20*($P20*(1+'Property Summary'!$L$22)^('MF Releasing'!CN$3-1)))*$C20)</f>
        <v/>
      </c>
      <c r="CO20" s="149" t="str">
        <f>IF($B20=0,"",('MF Rollover'!CN20*($P20*(1+'Property Summary'!$L$22)^('MF Releasing'!CO$3-1)))*$C20)</f>
        <v/>
      </c>
      <c r="CP20" s="149" t="str">
        <f>IF($B20=0,"",('MF Rollover'!CO20*($P20*(1+'Property Summary'!$L$22)^('MF Releasing'!CP$3-1)))*$C20)</f>
        <v/>
      </c>
      <c r="CQ20" s="149" t="str">
        <f>IF($B20=0,"",('MF Rollover'!CP20*($P20*(1+'Property Summary'!$L$22)^('MF Releasing'!CQ$3-1)))*$C20)</f>
        <v/>
      </c>
      <c r="CR20" s="149" t="str">
        <f>IF($B20=0,"",('MF Rollover'!CQ20*($P20*(1+'Property Summary'!$L$22)^('MF Releasing'!CR$3-1)))*$C20)</f>
        <v/>
      </c>
      <c r="CS20" s="149" t="str">
        <f>IF($B20=0,"",('MF Rollover'!CR20*($P20*(1+'Property Summary'!$L$22)^('MF Releasing'!CS$3-1)))*$C20)</f>
        <v/>
      </c>
      <c r="CT20" s="149" t="str">
        <f>IF($B20=0,"",('MF Rollover'!CS20*($P20*(1+'Property Summary'!$L$22)^('MF Releasing'!CT$3-1)))*$C20)</f>
        <v/>
      </c>
      <c r="CU20" s="149" t="str">
        <f>IF($B20=0,"",('MF Rollover'!CT20*($P20*(1+'Property Summary'!$L$22)^('MF Releasing'!CU$3-1)))*$C20)</f>
        <v/>
      </c>
      <c r="CV20" s="149" t="str">
        <f>IF($B20=0,"",('MF Rollover'!CU20*($P20*(1+'Property Summary'!$L$22)^('MF Releasing'!CV$3-1)))*$C20)</f>
        <v/>
      </c>
      <c r="CW20" s="149" t="str">
        <f>IF($B20=0,"",('MF Rollover'!CV20*($P20*(1+'Property Summary'!$L$22)^('MF Releasing'!CW$3-1)))*$C20)</f>
        <v/>
      </c>
      <c r="CX20" s="149" t="str">
        <f>IF($B20=0,"",('MF Rollover'!CW20*($P20*(1+'Property Summary'!$L$22)^('MF Releasing'!CX$3-1)))*$C20)</f>
        <v/>
      </c>
      <c r="CY20" s="149" t="str">
        <f>IF($B20=0,"",('MF Rollover'!CX20*($P20*(1+'Property Summary'!$L$22)^('MF Releasing'!CY$3-1)))*$C20)</f>
        <v/>
      </c>
      <c r="CZ20" s="149" t="str">
        <f>IF($B20=0,"",('MF Rollover'!CY20*($P20*(1+'Property Summary'!$L$22)^('MF Releasing'!CZ$3-1)))*$C20)</f>
        <v/>
      </c>
      <c r="DA20" s="149" t="str">
        <f>IF($B20=0,"",('MF Rollover'!CZ20*($P20*(1+'Property Summary'!$L$22)^('MF Releasing'!DA$3-1)))*$C20)</f>
        <v/>
      </c>
      <c r="DB20" s="149" t="str">
        <f>IF($B20=0,"",('MF Rollover'!DA20*($P20*(1+'Property Summary'!$L$22)^('MF Releasing'!DB$3-1)))*$C20)</f>
        <v/>
      </c>
      <c r="DC20" s="149" t="str">
        <f>IF($B20=0,"",('MF Rollover'!DB20*($P20*(1+'Property Summary'!$L$22)^('MF Releasing'!DC$3-1)))*$C20)</f>
        <v/>
      </c>
      <c r="DD20" s="149" t="str">
        <f>IF($B20=0,"",('MF Rollover'!DC20*($P20*(1+'Property Summary'!$L$22)^('MF Releasing'!DD$3-1)))*$C20)</f>
        <v/>
      </c>
      <c r="DE20" s="149" t="str">
        <f>IF($B20=0,"",('MF Rollover'!DD20*($P20*(1+'Property Summary'!$L$22)^('MF Releasing'!DE$3-1)))*$C20)</f>
        <v/>
      </c>
      <c r="DF20" s="149" t="str">
        <f>IF($B20=0,"",('MF Rollover'!DE20*($P20*(1+'Property Summary'!$L$22)^('MF Releasing'!DF$3-1)))*$C20)</f>
        <v/>
      </c>
      <c r="DG20" s="149" t="str">
        <f>IF($B20=0,"",('MF Rollover'!DF20*($P20*(1+'Property Summary'!$L$22)^('MF Releasing'!DG$3-1)))*$C20)</f>
        <v/>
      </c>
      <c r="DH20" s="149" t="str">
        <f>IF($B20=0,"",('MF Rollover'!DG20*($P20*(1+'Property Summary'!$L$22)^('MF Releasing'!DH$3-1)))*$C20)</f>
        <v/>
      </c>
      <c r="DI20" s="149" t="str">
        <f>IF($B20=0,"",('MF Rollover'!DH20*($P20*(1+'Property Summary'!$L$22)^('MF Releasing'!DI$3-1)))*$C20)</f>
        <v/>
      </c>
      <c r="DJ20" s="149" t="str">
        <f>IF($B20=0,"",('MF Rollover'!DI20*($P20*(1+'Property Summary'!$L$22)^('MF Releasing'!DJ$3-1)))*$C20)</f>
        <v/>
      </c>
      <c r="DK20" s="149" t="str">
        <f>IF($B20=0,"",('MF Rollover'!DJ20*($P20*(1+'Property Summary'!$L$22)^('MF Releasing'!DK$3-1)))*$C20)</f>
        <v/>
      </c>
      <c r="DL20" s="149" t="str">
        <f>IF($B20=0,"",('MF Rollover'!DK20*($P20*(1+'Property Summary'!$L$22)^('MF Releasing'!DL$3-1)))*$C20)</f>
        <v/>
      </c>
      <c r="DM20" s="149" t="str">
        <f>IF($B20=0,"",('MF Rollover'!DL20*($P20*(1+'Property Summary'!$L$22)^('MF Releasing'!DM$3-1)))*$C20)</f>
        <v/>
      </c>
      <c r="DN20" s="149" t="str">
        <f>IF($B20=0,"",('MF Rollover'!DM20*($P20*(1+'Property Summary'!$L$22)^('MF Releasing'!DN$3-1)))*$C20)</f>
        <v/>
      </c>
      <c r="DO20" s="149" t="str">
        <f>IF($B20=0,"",('MF Rollover'!DN20*($P20*(1+'Property Summary'!$L$22)^('MF Releasing'!DO$3-1)))*$C20)</f>
        <v/>
      </c>
      <c r="DP20" s="149" t="str">
        <f>IF($B20=0,"",('MF Rollover'!DO20*($P20*(1+'Property Summary'!$L$22)^('MF Releasing'!DP$3-1)))*$C20)</f>
        <v/>
      </c>
      <c r="DQ20" s="149" t="str">
        <f>IF($B20=0,"",('MF Rollover'!DP20*($P20*(1+'Property Summary'!$L$22)^('MF Releasing'!DQ$3-1)))*$C20)</f>
        <v/>
      </c>
      <c r="DR20" s="149" t="str">
        <f>IF($B20=0,"",('MF Rollover'!DQ20*($P20*(1+'Property Summary'!$L$22)^('MF Releasing'!DR$3-1)))*$C20)</f>
        <v/>
      </c>
      <c r="DS20" s="149" t="str">
        <f>IF($B20=0,"",('MF Rollover'!DR20*($P20*(1+'Property Summary'!$L$22)^('MF Releasing'!DS$3-1)))*$C20)</f>
        <v/>
      </c>
      <c r="DT20" s="149" t="str">
        <f>IF($B20=0,"",('MF Rollover'!DS20*($P20*(1+'Property Summary'!$L$22)^('MF Releasing'!DT$3-1)))*$C20)</f>
        <v/>
      </c>
      <c r="DU20" s="149" t="str">
        <f>IF($B20=0,"",('MF Rollover'!DT20*($P20*(1+'Property Summary'!$L$22)^('MF Releasing'!DU$3-1)))*$C20)</f>
        <v/>
      </c>
      <c r="DV20" s="149" t="str">
        <f>IF($B20=0,"",('MF Rollover'!DU20*($P20*(1+'Property Summary'!$L$22)^('MF Releasing'!DV$3-1)))*$C20)</f>
        <v/>
      </c>
      <c r="DW20" s="149" t="str">
        <f>IF($B20=0,"",('MF Rollover'!DV20*($P20*(1+'Property Summary'!$L$22)^('MF Releasing'!DW$3-1)))*$C20)</f>
        <v/>
      </c>
      <c r="DX20" s="149" t="str">
        <f>IF($B20=0,"",('MF Rollover'!DW20*($P20*(1+'Property Summary'!$L$22)^('MF Releasing'!DX$3-1)))*$C20)</f>
        <v/>
      </c>
      <c r="DY20" s="149" t="str">
        <f>IF($B20=0,"",('MF Rollover'!DX20*($P20*(1+'Property Summary'!$L$22)^('MF Releasing'!DY$3-1)))*$C20)</f>
        <v/>
      </c>
      <c r="DZ20" s="149" t="str">
        <f>IF($B20=0,"",('MF Rollover'!DY20*($P20*(1+'Property Summary'!$L$22)^('MF Releasing'!DZ$3-1)))*$C20)</f>
        <v/>
      </c>
      <c r="EA20" s="149" t="str">
        <f>IF($B20=0,"",('MF Rollover'!DZ20*($P20*(1+'Property Summary'!$L$22)^('MF Releasing'!EA$3-1)))*$C20)</f>
        <v/>
      </c>
      <c r="EB20" s="149" t="str">
        <f>IF($B20=0,"",('MF Rollover'!EA20*($P20*(1+'Property Summary'!$L$22)^('MF Releasing'!EB$3-1)))*$C20)</f>
        <v/>
      </c>
      <c r="EC20" s="149" t="str">
        <f>IF($B20=0,"",('MF Rollover'!EB20*($P20*(1+'Property Summary'!$L$22)^('MF Releasing'!EC$3-1)))*$C20)</f>
        <v/>
      </c>
      <c r="ED20" s="149" t="str">
        <f>IF($B20=0,"",('MF Rollover'!EC20*($P20*(1+'Property Summary'!$L$22)^('MF Releasing'!ED$3-1)))*$C20)</f>
        <v/>
      </c>
      <c r="EE20" s="149" t="str">
        <f>IF($B20=0,"",('MF Rollover'!ED20*($P20*(1+'Property Summary'!$L$22)^('MF Releasing'!EE$3-1)))*$C20)</f>
        <v/>
      </c>
      <c r="EF20" s="149" t="str">
        <f>IF($B20=0,"",('MF Rollover'!EE20*($P20*(1+'Property Summary'!$L$22)^('MF Releasing'!EF$3-1)))*$C20)</f>
        <v/>
      </c>
      <c r="EG20" s="149" t="str">
        <f>IF($B20=0,"",('MF Rollover'!EF20*($P20*(1+'Property Summary'!$L$22)^('MF Releasing'!EG$3-1)))*$C20)</f>
        <v/>
      </c>
      <c r="EH20" s="149" t="str">
        <f>IF($B20=0,"",('MF Rollover'!EG20*($P20*(1+'Property Summary'!$L$22)^('MF Releasing'!EH$3-1)))*$C20)</f>
        <v/>
      </c>
      <c r="EI20" s="149" t="str">
        <f>IF($B20=0,"",('MF Rollover'!EH20*($P20*(1+'Property Summary'!$L$22)^('MF Releasing'!EI$3-1)))*$C20)</f>
        <v/>
      </c>
      <c r="EJ20" s="149" t="str">
        <f>IF($B20=0,"",('MF Rollover'!EI20*($P20*(1+'Property Summary'!$L$22)^('MF Releasing'!EJ$3-1)))*$C20)</f>
        <v/>
      </c>
      <c r="EK20" s="149" t="str">
        <f>IF($B20=0,"",('MF Rollover'!EJ20*($P20*(1+'Property Summary'!$L$22)^('MF Releasing'!EK$3-1)))*$C20)</f>
        <v/>
      </c>
      <c r="EL20" s="149" t="str">
        <f>IF($B20=0,"",('MF Rollover'!EK20*($P20*(1+'Property Summary'!$L$22)^('MF Releasing'!EL$3-1)))*$C20)</f>
        <v/>
      </c>
      <c r="EM20" s="149" t="str">
        <f>IF($B20=0,"",('MF Rollover'!EL20*($P20*(1+'Property Summary'!$L$22)^('MF Releasing'!EM$3-1)))*$C20)</f>
        <v/>
      </c>
      <c r="EN20" s="149" t="str">
        <f>IF($B20=0,"",('MF Rollover'!EM20*($P20*(1+'Property Summary'!$L$22)^('MF Releasing'!EN$3-1)))*$C20)</f>
        <v/>
      </c>
      <c r="EO20" s="149" t="str">
        <f>IF($B20=0,"",('MF Rollover'!EN20*($P20*(1+'Property Summary'!$L$22)^('MF Releasing'!EO$3-1)))*$C20)</f>
        <v/>
      </c>
      <c r="EP20" s="149" t="str">
        <f>IF($B20=0,"",('MF Rollover'!EO20*($P20*(1+'Property Summary'!$L$22)^('MF Releasing'!EP$3-1)))*$C20)</f>
        <v/>
      </c>
      <c r="EQ20" s="149" t="str">
        <f>IF($B20=0,"",('MF Rollover'!EP20*($P20*(1+'Property Summary'!$L$22)^('MF Releasing'!EQ$3-1)))*$C20)</f>
        <v/>
      </c>
      <c r="ER20" s="149" t="str">
        <f>IF($B20=0,"",('MF Rollover'!EQ20*($P20*(1+'Property Summary'!$L$22)^('MF Releasing'!ER$3-1)))*$C20)</f>
        <v/>
      </c>
      <c r="ES20" s="149" t="str">
        <f>IF($B20=0,"",('MF Rollover'!ER20*($P20*(1+'Property Summary'!$L$22)^('MF Releasing'!ES$3-1)))*$C20)</f>
        <v/>
      </c>
      <c r="ET20" s="149" t="str">
        <f>IF($B20=0,"",('MF Rollover'!ES20*($P20*(1+'Property Summary'!$L$22)^('MF Releasing'!ET$3-1)))*$C20)</f>
        <v/>
      </c>
      <c r="EU20" s="149" t="str">
        <f>IF($B20=0,"",('MF Rollover'!ET20*($P20*(1+'Property Summary'!$L$22)^('MF Releasing'!EU$3-1)))*$C20)</f>
        <v/>
      </c>
      <c r="EV20" s="149" t="str">
        <f>IF($B20=0,"",('MF Rollover'!EU20*($P20*(1+'Property Summary'!$L$22)^('MF Releasing'!EV$3-1)))*$C20)</f>
        <v/>
      </c>
      <c r="EW20" s="149" t="str">
        <f>IF($B20=0,"",('MF Rollover'!EV20*($P20*(1+'Property Summary'!$L$22)^('MF Releasing'!EW$3-1)))*$C20)</f>
        <v/>
      </c>
      <c r="EX20" s="149" t="str">
        <f>IF($B20=0,"",('MF Rollover'!EW20*($P20*(1+'Property Summary'!$L$22)^('MF Releasing'!EX$3-1)))*$C20)</f>
        <v/>
      </c>
      <c r="EY20" s="149" t="str">
        <f>IF($B20=0,"",('MF Rollover'!EX20*($P20*(1+'Property Summary'!$L$22)^('MF Releasing'!EY$3-1)))*$C20)</f>
        <v/>
      </c>
      <c r="EZ20" s="149" t="str">
        <f>IF($B20=0,"",('MF Rollover'!EY20*($P20*(1+'Property Summary'!$L$22)^('MF Releasing'!EZ$3-1)))*$C20)</f>
        <v/>
      </c>
      <c r="FA20" s="149" t="str">
        <f>IF($B20=0,"",('MF Rollover'!EZ20*($P20*(1+'Property Summary'!$L$22)^('MF Releasing'!FA$3-1)))*$C20)</f>
        <v/>
      </c>
      <c r="FB20" s="149" t="str">
        <f>IF($B20=0,"",('MF Rollover'!FA20*($P20*(1+'Property Summary'!$L$22)^('MF Releasing'!FB$3-1)))*$C20)</f>
        <v/>
      </c>
      <c r="FC20" s="149" t="str">
        <f>IF($B20=0,"",('MF Rollover'!FB20*($P20*(1+'Property Summary'!$L$22)^('MF Releasing'!FC$3-1)))*$C20)</f>
        <v/>
      </c>
      <c r="FD20" s="149" t="str">
        <f>IF($B20=0,"",('MF Rollover'!FC20*($P20*(1+'Property Summary'!$L$22)^('MF Releasing'!FD$3-1)))*$C20)</f>
        <v/>
      </c>
      <c r="FE20" s="149" t="str">
        <f>IF($B20=0,"",('MF Rollover'!FD20*($P20*(1+'Property Summary'!$L$22)^('MF Releasing'!FE$3-1)))*$C20)</f>
        <v/>
      </c>
      <c r="FF20" s="149" t="str">
        <f>IF($B20=0,"",('MF Rollover'!FE20*($P20*(1+'Property Summary'!$L$22)^('MF Releasing'!FF$3-1)))*$C20)</f>
        <v/>
      </c>
      <c r="FG20" s="149" t="str">
        <f>IF($B20=0,"",('MF Rollover'!FF20*($P20*(1+'Property Summary'!$L$22)^('MF Releasing'!FG$3-1)))*$C20)</f>
        <v/>
      </c>
      <c r="FH20" s="149" t="str">
        <f>IF($B20=0,"",('MF Rollover'!FG20*($P20*(1+'Property Summary'!$L$22)^('MF Releasing'!FH$3-1)))*$C20)</f>
        <v/>
      </c>
      <c r="FI20" s="149" t="str">
        <f>IF($B20=0,"",('MF Rollover'!FH20*($P20*(1+'Property Summary'!$L$22)^('MF Releasing'!FI$3-1)))*$C20)</f>
        <v/>
      </c>
      <c r="FJ20" s="149" t="str">
        <f>IF($B20=0,"",('MF Rollover'!FI20*($P20*(1+'Property Summary'!$L$22)^('MF Releasing'!FJ$3-1)))*$C20)</f>
        <v/>
      </c>
      <c r="FK20" s="149" t="str">
        <f>IF($B20=0,"",('MF Rollover'!FJ20*($P20*(1+'Property Summary'!$L$22)^('MF Releasing'!FK$3-1)))*$C20)</f>
        <v/>
      </c>
      <c r="FL20" s="149" t="str">
        <f>IF($B20=0,"",('MF Rollover'!FK20*($P20*(1+'Property Summary'!$L$22)^('MF Releasing'!FL$3-1)))*$C20)</f>
        <v/>
      </c>
      <c r="FM20" s="149" t="str">
        <f>IF($B20=0,"",('MF Rollover'!FL20*($P20*(1+'Property Summary'!$L$22)^('MF Releasing'!FM$3-1)))*$C20)</f>
        <v/>
      </c>
      <c r="FN20" s="149" t="str">
        <f>IF($B20=0,"",('MF Rollover'!FM20*($P20*(1+'Property Summary'!$L$22)^('MF Releasing'!FN$3-1)))*$C20)</f>
        <v/>
      </c>
      <c r="FO20" s="149" t="str">
        <f>IF($B20=0,"",('MF Rollover'!FN20*($P20*(1+'Property Summary'!$L$22)^('MF Releasing'!FO$3-1)))*$C20)</f>
        <v/>
      </c>
      <c r="FP20" s="149" t="str">
        <f>IF($B20=0,"",('MF Rollover'!FO20*($P20*(1+'Property Summary'!$L$22)^('MF Releasing'!FP$3-1)))*$C20)</f>
        <v/>
      </c>
      <c r="FQ20" s="149" t="str">
        <f>IF($B20=0,"",('MF Rollover'!FP20*($P20*(1+'Property Summary'!$L$22)^('MF Releasing'!FQ$3-1)))*$C20)</f>
        <v/>
      </c>
      <c r="FR20" s="149" t="str">
        <f>IF($B20=0,"",('MF Rollover'!FQ20*($P20*(1+'Property Summary'!$L$22)^('MF Releasing'!FR$3-1)))*$C20)</f>
        <v/>
      </c>
      <c r="FS20" s="149" t="str">
        <f>IF($B20=0,"",('MF Rollover'!FR20*($P20*(1+'Property Summary'!$L$22)^('MF Releasing'!FS$3-1)))*$C20)</f>
        <v/>
      </c>
      <c r="FT20" s="149" t="str">
        <f>IF($B20=0,"",('MF Rollover'!FS20*($P20*(1+'Property Summary'!$L$22)^('MF Releasing'!FT$3-1)))*$C20)</f>
        <v/>
      </c>
      <c r="FU20" s="149" t="str">
        <f>IF($B20=0,"",('MF Rollover'!FT20*($P20*(1+'Property Summary'!$L$22)^('MF Releasing'!FU$3-1)))*$C20)</f>
        <v/>
      </c>
      <c r="FV20" s="149" t="str">
        <f>IF($B20=0,"",('MF Rollover'!FU20*($P20*(1+'Property Summary'!$L$22)^('MF Releasing'!FV$3-1)))*$C20)</f>
        <v/>
      </c>
      <c r="FW20" s="149" t="str">
        <f>IF($B20=0,"",('MF Rollover'!FV20*($P20*(1+'Property Summary'!$L$22)^('MF Releasing'!FW$3-1)))*$C20)</f>
        <v/>
      </c>
      <c r="FX20" s="149" t="str">
        <f>IF($B20=0,"",('MF Rollover'!FW20*($P20*(1+'Property Summary'!$L$22)^('MF Releasing'!FX$3-1)))*$C20)</f>
        <v/>
      </c>
      <c r="FY20" s="149" t="str">
        <f>IF($B20=0,"",('MF Rollover'!FX20*($P20*(1+'Property Summary'!$L$22)^('MF Releasing'!FY$3-1)))*$C20)</f>
        <v/>
      </c>
      <c r="FZ20" s="149" t="str">
        <f>IF($B20=0,"",('MF Rollover'!FY20*($P20*(1+'Property Summary'!$L$22)^('MF Releasing'!FZ$3-1)))*$C20)</f>
        <v/>
      </c>
      <c r="GA20" s="149" t="str">
        <f>IF($B20=0,"",('MF Rollover'!FZ20*($P20*(1+'Property Summary'!$L$22)^('MF Releasing'!GA$3-1)))*$C20)</f>
        <v/>
      </c>
      <c r="GB20" s="149" t="str">
        <f>IF($B20=0,"",('MF Rollover'!GA20*($P20*(1+'Property Summary'!$L$22)^('MF Releasing'!GB$3-1)))*$C20)</f>
        <v/>
      </c>
      <c r="GC20" s="149" t="str">
        <f>IF($B20=0,"",('MF Rollover'!GB20*($P20*(1+'Property Summary'!$L$22)^('MF Releasing'!GC$3-1)))*$C20)</f>
        <v/>
      </c>
      <c r="GD20" s="149" t="str">
        <f>IF($B20=0,"",('MF Rollover'!GC20*($P20*(1+'Property Summary'!$L$22)^('MF Releasing'!GD$3-1)))*$C20)</f>
        <v/>
      </c>
      <c r="GE20" s="149" t="str">
        <f>IF($B20=0,"",('MF Rollover'!GD20*($P20*(1+'Property Summary'!$L$22)^('MF Releasing'!GE$3-1)))*$C20)</f>
        <v/>
      </c>
      <c r="GF20" s="149" t="str">
        <f>IF($B20=0,"",('MF Rollover'!GE20*($P20*(1+'Property Summary'!$L$22)^('MF Releasing'!GF$3-1)))*$C20)</f>
        <v/>
      </c>
      <c r="GG20" s="149" t="str">
        <f>IF($B20=0,"",('MF Rollover'!GF20*($P20*(1+'Property Summary'!$L$22)^('MF Releasing'!GG$3-1)))*$C20)</f>
        <v/>
      </c>
      <c r="GH20" s="149" t="str">
        <f>IF($B20=0,"",('MF Rollover'!GG20*($P20*(1+'Property Summary'!$L$22)^('MF Releasing'!GH$3-1)))*$C20)</f>
        <v/>
      </c>
      <c r="GI20" s="149" t="str">
        <f>IF($B20=0,"",('MF Rollover'!GH20*($P20*(1+'Property Summary'!$L$22)^('MF Releasing'!GI$3-1)))*$C20)</f>
        <v/>
      </c>
      <c r="GJ20" s="149" t="str">
        <f>IF($B20=0,"",('MF Rollover'!GI20*($P20*(1+'Property Summary'!$L$22)^('MF Releasing'!GJ$3-1)))*$C20)</f>
        <v/>
      </c>
      <c r="GK20" s="149" t="str">
        <f>IF($B20=0,"",('MF Rollover'!GJ20*($P20*(1+'Property Summary'!$L$22)^('MF Releasing'!GK$3-1)))*$C20)</f>
        <v/>
      </c>
      <c r="GL20" s="149" t="str">
        <f>IF($B20=0,"",('MF Rollover'!GK20*($P20*(1+'Property Summary'!$L$22)^('MF Releasing'!GL$3-1)))*$C20)</f>
        <v/>
      </c>
      <c r="GM20" s="149" t="str">
        <f>IF($B20=0,"",('MF Rollover'!GL20*($P20*(1+'Property Summary'!$L$22)^('MF Releasing'!GM$3-1)))*$C20)</f>
        <v/>
      </c>
      <c r="GN20" s="149" t="str">
        <f>IF($B20=0,"",('MF Rollover'!GM20*($P20*(1+'Property Summary'!$L$22)^('MF Releasing'!GN$3-1)))*$C20)</f>
        <v/>
      </c>
      <c r="GO20" s="149" t="str">
        <f>IF($B20=0,"",('MF Rollover'!GN20*($P20*(1+'Property Summary'!$L$22)^('MF Releasing'!GO$3-1)))*$C20)</f>
        <v/>
      </c>
      <c r="GP20" s="149" t="str">
        <f>IF($B20=0,"",('MF Rollover'!GO20*($P20*(1+'Property Summary'!$L$22)^('MF Releasing'!GP$3-1)))*$C20)</f>
        <v/>
      </c>
    </row>
    <row r="21" spans="2:198" x14ac:dyDescent="0.3">
      <c r="B21" s="184">
        <f>'MF Rent Roll'!B20</f>
        <v>0</v>
      </c>
      <c r="C21" s="171">
        <f>'MF Rent Roll'!C20</f>
        <v>0</v>
      </c>
      <c r="D21" s="172">
        <f>'MF Rent Roll'!D20</f>
        <v>0</v>
      </c>
      <c r="E21" s="172">
        <f>'MF Rent Roll'!E20</f>
        <v>0</v>
      </c>
      <c r="F21" s="173">
        <f>'MF Rent Roll'!F20</f>
        <v>0</v>
      </c>
      <c r="G21" s="174">
        <f>'MF Rent Roll'!G20</f>
        <v>0</v>
      </c>
      <c r="H21" s="176">
        <f>'MF Rent Roll'!J20</f>
        <v>0</v>
      </c>
      <c r="I21" s="174">
        <f>'MF Rent Roll'!K20</f>
        <v>0</v>
      </c>
      <c r="J21" s="177">
        <f>'MF Rent Roll'!L20</f>
        <v>0</v>
      </c>
      <c r="K21" s="178">
        <f>'MF Rent Roll'!M20</f>
        <v>0</v>
      </c>
      <c r="L21" s="174">
        <f>'MF Rent Roll'!N20</f>
        <v>0</v>
      </c>
      <c r="M21" s="179">
        <f>'MF Rent Roll'!O20</f>
        <v>0</v>
      </c>
      <c r="N21" s="180" t="str">
        <f>'MF Rent Roll'!P20</f>
        <v/>
      </c>
      <c r="O21" s="181" t="str">
        <f>'MF Rent Roll'!Q20</f>
        <v/>
      </c>
      <c r="P21" s="104" t="str">
        <f>'MF Rent Roll'!R20</f>
        <v/>
      </c>
      <c r="S21" s="149" t="str">
        <f>IF($B21=0,"",('MF Rollover'!R21*($P21*(1+'Property Summary'!$L$22)^('MF Releasing'!S$3-1)))*$C21)</f>
        <v/>
      </c>
      <c r="T21" s="149" t="str">
        <f>IF($B21=0,"",('MF Rollover'!S21*($P21*(1+'Property Summary'!$L$22)^('MF Releasing'!T$3-1)))*$C21)</f>
        <v/>
      </c>
      <c r="U21" s="149" t="str">
        <f>IF($B21=0,"",('MF Rollover'!T21*($P21*(1+'Property Summary'!$L$22)^('MF Releasing'!U$3-1)))*$C21)</f>
        <v/>
      </c>
      <c r="V21" s="149" t="str">
        <f>IF($B21=0,"",('MF Rollover'!U21*($P21*(1+'Property Summary'!$L$22)^('MF Releasing'!V$3-1)))*$C21)</f>
        <v/>
      </c>
      <c r="W21" s="149" t="str">
        <f>IF($B21=0,"",('MF Rollover'!V21*($P21*(1+'Property Summary'!$L$22)^('MF Releasing'!W$3-1)))*$C21)</f>
        <v/>
      </c>
      <c r="X21" s="149" t="str">
        <f>IF($B21=0,"",('MF Rollover'!W21*($P21*(1+'Property Summary'!$L$22)^('MF Releasing'!X$3-1)))*$C21)</f>
        <v/>
      </c>
      <c r="Y21" s="149" t="str">
        <f>IF($B21=0,"",('MF Rollover'!X21*($P21*(1+'Property Summary'!$L$22)^('MF Releasing'!Y$3-1)))*$C21)</f>
        <v/>
      </c>
      <c r="Z21" s="149" t="str">
        <f>IF($B21=0,"",('MF Rollover'!Y21*($P21*(1+'Property Summary'!$L$22)^('MF Releasing'!Z$3-1)))*$C21)</f>
        <v/>
      </c>
      <c r="AA21" s="149" t="str">
        <f>IF($B21=0,"",('MF Rollover'!Z21*($P21*(1+'Property Summary'!$L$22)^('MF Releasing'!AA$3-1)))*$C21)</f>
        <v/>
      </c>
      <c r="AB21" s="149" t="str">
        <f>IF($B21=0,"",('MF Rollover'!AA21*($P21*(1+'Property Summary'!$L$22)^('MF Releasing'!AB$3-1)))*$C21)</f>
        <v/>
      </c>
      <c r="AC21" s="149" t="str">
        <f>IF($B21=0,"",('MF Rollover'!AB21*($P21*(1+'Property Summary'!$L$22)^('MF Releasing'!AC$3-1)))*$C21)</f>
        <v/>
      </c>
      <c r="AD21" s="149" t="str">
        <f>IF($B21=0,"",('MF Rollover'!AC21*($P21*(1+'Property Summary'!$L$22)^('MF Releasing'!AD$3-1)))*$C21)</f>
        <v/>
      </c>
      <c r="AE21" s="149" t="str">
        <f>IF($B21=0,"",('MF Rollover'!AD21*($P21*(1+'Property Summary'!$L$22)^('MF Releasing'!AE$3-1)))*$C21)</f>
        <v/>
      </c>
      <c r="AF21" s="149" t="str">
        <f>IF($B21=0,"",('MF Rollover'!AE21*($P21*(1+'Property Summary'!$L$22)^('MF Releasing'!AF$3-1)))*$C21)</f>
        <v/>
      </c>
      <c r="AG21" s="149" t="str">
        <f>IF($B21=0,"",('MF Rollover'!AF21*($P21*(1+'Property Summary'!$L$22)^('MF Releasing'!AG$3-1)))*$C21)</f>
        <v/>
      </c>
      <c r="AH21" s="149" t="str">
        <f>IF($B21=0,"",('MF Rollover'!AG21*($P21*(1+'Property Summary'!$L$22)^('MF Releasing'!AH$3-1)))*$C21)</f>
        <v/>
      </c>
      <c r="AI21" s="149" t="str">
        <f>IF($B21=0,"",('MF Rollover'!AH21*($P21*(1+'Property Summary'!$L$22)^('MF Releasing'!AI$3-1)))*$C21)</f>
        <v/>
      </c>
      <c r="AJ21" s="149" t="str">
        <f>IF($B21=0,"",('MF Rollover'!AI21*($P21*(1+'Property Summary'!$L$22)^('MF Releasing'!AJ$3-1)))*$C21)</f>
        <v/>
      </c>
      <c r="AK21" s="149" t="str">
        <f>IF($B21=0,"",('MF Rollover'!AJ21*($P21*(1+'Property Summary'!$L$22)^('MF Releasing'!AK$3-1)))*$C21)</f>
        <v/>
      </c>
      <c r="AL21" s="149" t="str">
        <f>IF($B21=0,"",('MF Rollover'!AK21*($P21*(1+'Property Summary'!$L$22)^('MF Releasing'!AL$3-1)))*$C21)</f>
        <v/>
      </c>
      <c r="AM21" s="149" t="str">
        <f>IF($B21=0,"",('MF Rollover'!AL21*($P21*(1+'Property Summary'!$L$22)^('MF Releasing'!AM$3-1)))*$C21)</f>
        <v/>
      </c>
      <c r="AN21" s="149" t="str">
        <f>IF($B21=0,"",('MF Rollover'!AM21*($P21*(1+'Property Summary'!$L$22)^('MF Releasing'!AN$3-1)))*$C21)</f>
        <v/>
      </c>
      <c r="AO21" s="149" t="str">
        <f>IF($B21=0,"",('MF Rollover'!AN21*($P21*(1+'Property Summary'!$L$22)^('MF Releasing'!AO$3-1)))*$C21)</f>
        <v/>
      </c>
      <c r="AP21" s="149" t="str">
        <f>IF($B21=0,"",('MF Rollover'!AO21*($P21*(1+'Property Summary'!$L$22)^('MF Releasing'!AP$3-1)))*$C21)</f>
        <v/>
      </c>
      <c r="AQ21" s="149" t="str">
        <f>IF($B21=0,"",('MF Rollover'!AP21*($P21*(1+'Property Summary'!$L$22)^('MF Releasing'!AQ$3-1)))*$C21)</f>
        <v/>
      </c>
      <c r="AR21" s="149" t="str">
        <f>IF($B21=0,"",('MF Rollover'!AQ21*($P21*(1+'Property Summary'!$L$22)^('MF Releasing'!AR$3-1)))*$C21)</f>
        <v/>
      </c>
      <c r="AS21" s="149" t="str">
        <f>IF($B21=0,"",('MF Rollover'!AR21*($P21*(1+'Property Summary'!$L$22)^('MF Releasing'!AS$3-1)))*$C21)</f>
        <v/>
      </c>
      <c r="AT21" s="149" t="str">
        <f>IF($B21=0,"",('MF Rollover'!AS21*($P21*(1+'Property Summary'!$L$22)^('MF Releasing'!AT$3-1)))*$C21)</f>
        <v/>
      </c>
      <c r="AU21" s="149" t="str">
        <f>IF($B21=0,"",('MF Rollover'!AT21*($P21*(1+'Property Summary'!$L$22)^('MF Releasing'!AU$3-1)))*$C21)</f>
        <v/>
      </c>
      <c r="AV21" s="149" t="str">
        <f>IF($B21=0,"",('MF Rollover'!AU21*($P21*(1+'Property Summary'!$L$22)^('MF Releasing'!AV$3-1)))*$C21)</f>
        <v/>
      </c>
      <c r="AW21" s="149" t="str">
        <f>IF($B21=0,"",('MF Rollover'!AV21*($P21*(1+'Property Summary'!$L$22)^('MF Releasing'!AW$3-1)))*$C21)</f>
        <v/>
      </c>
      <c r="AX21" s="149" t="str">
        <f>IF($B21=0,"",('MF Rollover'!AW21*($P21*(1+'Property Summary'!$L$22)^('MF Releasing'!AX$3-1)))*$C21)</f>
        <v/>
      </c>
      <c r="AY21" s="149" t="str">
        <f>IF($B21=0,"",('MF Rollover'!AX21*($P21*(1+'Property Summary'!$L$22)^('MF Releasing'!AY$3-1)))*$C21)</f>
        <v/>
      </c>
      <c r="AZ21" s="149" t="str">
        <f>IF($B21=0,"",('MF Rollover'!AY21*($P21*(1+'Property Summary'!$L$22)^('MF Releasing'!AZ$3-1)))*$C21)</f>
        <v/>
      </c>
      <c r="BA21" s="149" t="str">
        <f>IF($B21=0,"",('MF Rollover'!AZ21*($P21*(1+'Property Summary'!$L$22)^('MF Releasing'!BA$3-1)))*$C21)</f>
        <v/>
      </c>
      <c r="BB21" s="149" t="str">
        <f>IF($B21=0,"",('MF Rollover'!BA21*($P21*(1+'Property Summary'!$L$22)^('MF Releasing'!BB$3-1)))*$C21)</f>
        <v/>
      </c>
      <c r="BC21" s="149" t="str">
        <f>IF($B21=0,"",('MF Rollover'!BB21*($P21*(1+'Property Summary'!$L$22)^('MF Releasing'!BC$3-1)))*$C21)</f>
        <v/>
      </c>
      <c r="BD21" s="149" t="str">
        <f>IF($B21=0,"",('MF Rollover'!BC21*($P21*(1+'Property Summary'!$L$22)^('MF Releasing'!BD$3-1)))*$C21)</f>
        <v/>
      </c>
      <c r="BE21" s="149" t="str">
        <f>IF($B21=0,"",('MF Rollover'!BD21*($P21*(1+'Property Summary'!$L$22)^('MF Releasing'!BE$3-1)))*$C21)</f>
        <v/>
      </c>
      <c r="BF21" s="149" t="str">
        <f>IF($B21=0,"",('MF Rollover'!BE21*($P21*(1+'Property Summary'!$L$22)^('MF Releasing'!BF$3-1)))*$C21)</f>
        <v/>
      </c>
      <c r="BG21" s="149" t="str">
        <f>IF($B21=0,"",('MF Rollover'!BF21*($P21*(1+'Property Summary'!$L$22)^('MF Releasing'!BG$3-1)))*$C21)</f>
        <v/>
      </c>
      <c r="BH21" s="149" t="str">
        <f>IF($B21=0,"",('MF Rollover'!BG21*($P21*(1+'Property Summary'!$L$22)^('MF Releasing'!BH$3-1)))*$C21)</f>
        <v/>
      </c>
      <c r="BI21" s="149" t="str">
        <f>IF($B21=0,"",('MF Rollover'!BH21*($P21*(1+'Property Summary'!$L$22)^('MF Releasing'!BI$3-1)))*$C21)</f>
        <v/>
      </c>
      <c r="BJ21" s="149" t="str">
        <f>IF($B21=0,"",('MF Rollover'!BI21*($P21*(1+'Property Summary'!$L$22)^('MF Releasing'!BJ$3-1)))*$C21)</f>
        <v/>
      </c>
      <c r="BK21" s="149" t="str">
        <f>IF($B21=0,"",('MF Rollover'!BJ21*($P21*(1+'Property Summary'!$L$22)^('MF Releasing'!BK$3-1)))*$C21)</f>
        <v/>
      </c>
      <c r="BL21" s="149" t="str">
        <f>IF($B21=0,"",('MF Rollover'!BK21*($P21*(1+'Property Summary'!$L$22)^('MF Releasing'!BL$3-1)))*$C21)</f>
        <v/>
      </c>
      <c r="BM21" s="149" t="str">
        <f>IF($B21=0,"",('MF Rollover'!BL21*($P21*(1+'Property Summary'!$L$22)^('MF Releasing'!BM$3-1)))*$C21)</f>
        <v/>
      </c>
      <c r="BN21" s="149" t="str">
        <f>IF($B21=0,"",('MF Rollover'!BM21*($P21*(1+'Property Summary'!$L$22)^('MF Releasing'!BN$3-1)))*$C21)</f>
        <v/>
      </c>
      <c r="BO21" s="149" t="str">
        <f>IF($B21=0,"",('MF Rollover'!BN21*($P21*(1+'Property Summary'!$L$22)^('MF Releasing'!BO$3-1)))*$C21)</f>
        <v/>
      </c>
      <c r="BP21" s="149" t="str">
        <f>IF($B21=0,"",('MF Rollover'!BO21*($P21*(1+'Property Summary'!$L$22)^('MF Releasing'!BP$3-1)))*$C21)</f>
        <v/>
      </c>
      <c r="BQ21" s="149" t="str">
        <f>IF($B21=0,"",('MF Rollover'!BP21*($P21*(1+'Property Summary'!$L$22)^('MF Releasing'!BQ$3-1)))*$C21)</f>
        <v/>
      </c>
      <c r="BR21" s="149" t="str">
        <f>IF($B21=0,"",('MF Rollover'!BQ21*($P21*(1+'Property Summary'!$L$22)^('MF Releasing'!BR$3-1)))*$C21)</f>
        <v/>
      </c>
      <c r="BS21" s="149" t="str">
        <f>IF($B21=0,"",('MF Rollover'!BR21*($P21*(1+'Property Summary'!$L$22)^('MF Releasing'!BS$3-1)))*$C21)</f>
        <v/>
      </c>
      <c r="BT21" s="149" t="str">
        <f>IF($B21=0,"",('MF Rollover'!BS21*($P21*(1+'Property Summary'!$L$22)^('MF Releasing'!BT$3-1)))*$C21)</f>
        <v/>
      </c>
      <c r="BU21" s="149" t="str">
        <f>IF($B21=0,"",('MF Rollover'!BT21*($P21*(1+'Property Summary'!$L$22)^('MF Releasing'!BU$3-1)))*$C21)</f>
        <v/>
      </c>
      <c r="BV21" s="149" t="str">
        <f>IF($B21=0,"",('MF Rollover'!BU21*($P21*(1+'Property Summary'!$L$22)^('MF Releasing'!BV$3-1)))*$C21)</f>
        <v/>
      </c>
      <c r="BW21" s="149" t="str">
        <f>IF($B21=0,"",('MF Rollover'!BV21*($P21*(1+'Property Summary'!$L$22)^('MF Releasing'!BW$3-1)))*$C21)</f>
        <v/>
      </c>
      <c r="BX21" s="149" t="str">
        <f>IF($B21=0,"",('MF Rollover'!BW21*($P21*(1+'Property Summary'!$L$22)^('MF Releasing'!BX$3-1)))*$C21)</f>
        <v/>
      </c>
      <c r="BY21" s="149" t="str">
        <f>IF($B21=0,"",('MF Rollover'!BX21*($P21*(1+'Property Summary'!$L$22)^('MF Releasing'!BY$3-1)))*$C21)</f>
        <v/>
      </c>
      <c r="BZ21" s="149" t="str">
        <f>IF($B21=0,"",('MF Rollover'!BY21*($P21*(1+'Property Summary'!$L$22)^('MF Releasing'!BZ$3-1)))*$C21)</f>
        <v/>
      </c>
      <c r="CA21" s="149" t="str">
        <f>IF($B21=0,"",('MF Rollover'!BZ21*($P21*(1+'Property Summary'!$L$22)^('MF Releasing'!CA$3-1)))*$C21)</f>
        <v/>
      </c>
      <c r="CB21" s="149" t="str">
        <f>IF($B21=0,"",('MF Rollover'!CA21*($P21*(1+'Property Summary'!$L$22)^('MF Releasing'!CB$3-1)))*$C21)</f>
        <v/>
      </c>
      <c r="CC21" s="149" t="str">
        <f>IF($B21=0,"",('MF Rollover'!CB21*($P21*(1+'Property Summary'!$L$22)^('MF Releasing'!CC$3-1)))*$C21)</f>
        <v/>
      </c>
      <c r="CD21" s="149" t="str">
        <f>IF($B21=0,"",('MF Rollover'!CC21*($P21*(1+'Property Summary'!$L$22)^('MF Releasing'!CD$3-1)))*$C21)</f>
        <v/>
      </c>
      <c r="CE21" s="149" t="str">
        <f>IF($B21=0,"",('MF Rollover'!CD21*($P21*(1+'Property Summary'!$L$22)^('MF Releasing'!CE$3-1)))*$C21)</f>
        <v/>
      </c>
      <c r="CF21" s="149" t="str">
        <f>IF($B21=0,"",('MF Rollover'!CE21*($P21*(1+'Property Summary'!$L$22)^('MF Releasing'!CF$3-1)))*$C21)</f>
        <v/>
      </c>
      <c r="CG21" s="149" t="str">
        <f>IF($B21=0,"",('MF Rollover'!CF21*($P21*(1+'Property Summary'!$L$22)^('MF Releasing'!CG$3-1)))*$C21)</f>
        <v/>
      </c>
      <c r="CH21" s="149" t="str">
        <f>IF($B21=0,"",('MF Rollover'!CG21*($P21*(1+'Property Summary'!$L$22)^('MF Releasing'!CH$3-1)))*$C21)</f>
        <v/>
      </c>
      <c r="CI21" s="149" t="str">
        <f>IF($B21=0,"",('MF Rollover'!CH21*($P21*(1+'Property Summary'!$L$22)^('MF Releasing'!CI$3-1)))*$C21)</f>
        <v/>
      </c>
      <c r="CJ21" s="149" t="str">
        <f>IF($B21=0,"",('MF Rollover'!CI21*($P21*(1+'Property Summary'!$L$22)^('MF Releasing'!CJ$3-1)))*$C21)</f>
        <v/>
      </c>
      <c r="CK21" s="149" t="str">
        <f>IF($B21=0,"",('MF Rollover'!CJ21*($P21*(1+'Property Summary'!$L$22)^('MF Releasing'!CK$3-1)))*$C21)</f>
        <v/>
      </c>
      <c r="CL21" s="149" t="str">
        <f>IF($B21=0,"",('MF Rollover'!CK21*($P21*(1+'Property Summary'!$L$22)^('MF Releasing'!CL$3-1)))*$C21)</f>
        <v/>
      </c>
      <c r="CM21" s="149" t="str">
        <f>IF($B21=0,"",('MF Rollover'!CL21*($P21*(1+'Property Summary'!$L$22)^('MF Releasing'!CM$3-1)))*$C21)</f>
        <v/>
      </c>
      <c r="CN21" s="149" t="str">
        <f>IF($B21=0,"",('MF Rollover'!CM21*($P21*(1+'Property Summary'!$L$22)^('MF Releasing'!CN$3-1)))*$C21)</f>
        <v/>
      </c>
      <c r="CO21" s="149" t="str">
        <f>IF($B21=0,"",('MF Rollover'!CN21*($P21*(1+'Property Summary'!$L$22)^('MF Releasing'!CO$3-1)))*$C21)</f>
        <v/>
      </c>
      <c r="CP21" s="149" t="str">
        <f>IF($B21=0,"",('MF Rollover'!CO21*($P21*(1+'Property Summary'!$L$22)^('MF Releasing'!CP$3-1)))*$C21)</f>
        <v/>
      </c>
      <c r="CQ21" s="149" t="str">
        <f>IF($B21=0,"",('MF Rollover'!CP21*($P21*(1+'Property Summary'!$L$22)^('MF Releasing'!CQ$3-1)))*$C21)</f>
        <v/>
      </c>
      <c r="CR21" s="149" t="str">
        <f>IF($B21=0,"",('MF Rollover'!CQ21*($P21*(1+'Property Summary'!$L$22)^('MF Releasing'!CR$3-1)))*$C21)</f>
        <v/>
      </c>
      <c r="CS21" s="149" t="str">
        <f>IF($B21=0,"",('MF Rollover'!CR21*($P21*(1+'Property Summary'!$L$22)^('MF Releasing'!CS$3-1)))*$C21)</f>
        <v/>
      </c>
      <c r="CT21" s="149" t="str">
        <f>IF($B21=0,"",('MF Rollover'!CS21*($P21*(1+'Property Summary'!$L$22)^('MF Releasing'!CT$3-1)))*$C21)</f>
        <v/>
      </c>
      <c r="CU21" s="149" t="str">
        <f>IF($B21=0,"",('MF Rollover'!CT21*($P21*(1+'Property Summary'!$L$22)^('MF Releasing'!CU$3-1)))*$C21)</f>
        <v/>
      </c>
      <c r="CV21" s="149" t="str">
        <f>IF($B21=0,"",('MF Rollover'!CU21*($P21*(1+'Property Summary'!$L$22)^('MF Releasing'!CV$3-1)))*$C21)</f>
        <v/>
      </c>
      <c r="CW21" s="149" t="str">
        <f>IF($B21=0,"",('MF Rollover'!CV21*($P21*(1+'Property Summary'!$L$22)^('MF Releasing'!CW$3-1)))*$C21)</f>
        <v/>
      </c>
      <c r="CX21" s="149" t="str">
        <f>IF($B21=0,"",('MF Rollover'!CW21*($P21*(1+'Property Summary'!$L$22)^('MF Releasing'!CX$3-1)))*$C21)</f>
        <v/>
      </c>
      <c r="CY21" s="149" t="str">
        <f>IF($B21=0,"",('MF Rollover'!CX21*($P21*(1+'Property Summary'!$L$22)^('MF Releasing'!CY$3-1)))*$C21)</f>
        <v/>
      </c>
      <c r="CZ21" s="149" t="str">
        <f>IF($B21=0,"",('MF Rollover'!CY21*($P21*(1+'Property Summary'!$L$22)^('MF Releasing'!CZ$3-1)))*$C21)</f>
        <v/>
      </c>
      <c r="DA21" s="149" t="str">
        <f>IF($B21=0,"",('MF Rollover'!CZ21*($P21*(1+'Property Summary'!$L$22)^('MF Releasing'!DA$3-1)))*$C21)</f>
        <v/>
      </c>
      <c r="DB21" s="149" t="str">
        <f>IF($B21=0,"",('MF Rollover'!DA21*($P21*(1+'Property Summary'!$L$22)^('MF Releasing'!DB$3-1)))*$C21)</f>
        <v/>
      </c>
      <c r="DC21" s="149" t="str">
        <f>IF($B21=0,"",('MF Rollover'!DB21*($P21*(1+'Property Summary'!$L$22)^('MF Releasing'!DC$3-1)))*$C21)</f>
        <v/>
      </c>
      <c r="DD21" s="149" t="str">
        <f>IF($B21=0,"",('MF Rollover'!DC21*($P21*(1+'Property Summary'!$L$22)^('MF Releasing'!DD$3-1)))*$C21)</f>
        <v/>
      </c>
      <c r="DE21" s="149" t="str">
        <f>IF($B21=0,"",('MF Rollover'!DD21*($P21*(1+'Property Summary'!$L$22)^('MF Releasing'!DE$3-1)))*$C21)</f>
        <v/>
      </c>
      <c r="DF21" s="149" t="str">
        <f>IF($B21=0,"",('MF Rollover'!DE21*($P21*(1+'Property Summary'!$L$22)^('MF Releasing'!DF$3-1)))*$C21)</f>
        <v/>
      </c>
      <c r="DG21" s="149" t="str">
        <f>IF($B21=0,"",('MF Rollover'!DF21*($P21*(1+'Property Summary'!$L$22)^('MF Releasing'!DG$3-1)))*$C21)</f>
        <v/>
      </c>
      <c r="DH21" s="149" t="str">
        <f>IF($B21=0,"",('MF Rollover'!DG21*($P21*(1+'Property Summary'!$L$22)^('MF Releasing'!DH$3-1)))*$C21)</f>
        <v/>
      </c>
      <c r="DI21" s="149" t="str">
        <f>IF($B21=0,"",('MF Rollover'!DH21*($P21*(1+'Property Summary'!$L$22)^('MF Releasing'!DI$3-1)))*$C21)</f>
        <v/>
      </c>
      <c r="DJ21" s="149" t="str">
        <f>IF($B21=0,"",('MF Rollover'!DI21*($P21*(1+'Property Summary'!$L$22)^('MF Releasing'!DJ$3-1)))*$C21)</f>
        <v/>
      </c>
      <c r="DK21" s="149" t="str">
        <f>IF($B21=0,"",('MF Rollover'!DJ21*($P21*(1+'Property Summary'!$L$22)^('MF Releasing'!DK$3-1)))*$C21)</f>
        <v/>
      </c>
      <c r="DL21" s="149" t="str">
        <f>IF($B21=0,"",('MF Rollover'!DK21*($P21*(1+'Property Summary'!$L$22)^('MF Releasing'!DL$3-1)))*$C21)</f>
        <v/>
      </c>
      <c r="DM21" s="149" t="str">
        <f>IF($B21=0,"",('MF Rollover'!DL21*($P21*(1+'Property Summary'!$L$22)^('MF Releasing'!DM$3-1)))*$C21)</f>
        <v/>
      </c>
      <c r="DN21" s="149" t="str">
        <f>IF($B21=0,"",('MF Rollover'!DM21*($P21*(1+'Property Summary'!$L$22)^('MF Releasing'!DN$3-1)))*$C21)</f>
        <v/>
      </c>
      <c r="DO21" s="149" t="str">
        <f>IF($B21=0,"",('MF Rollover'!DN21*($P21*(1+'Property Summary'!$L$22)^('MF Releasing'!DO$3-1)))*$C21)</f>
        <v/>
      </c>
      <c r="DP21" s="149" t="str">
        <f>IF($B21=0,"",('MF Rollover'!DO21*($P21*(1+'Property Summary'!$L$22)^('MF Releasing'!DP$3-1)))*$C21)</f>
        <v/>
      </c>
      <c r="DQ21" s="149" t="str">
        <f>IF($B21=0,"",('MF Rollover'!DP21*($P21*(1+'Property Summary'!$L$22)^('MF Releasing'!DQ$3-1)))*$C21)</f>
        <v/>
      </c>
      <c r="DR21" s="149" t="str">
        <f>IF($B21=0,"",('MF Rollover'!DQ21*($P21*(1+'Property Summary'!$L$22)^('MF Releasing'!DR$3-1)))*$C21)</f>
        <v/>
      </c>
      <c r="DS21" s="149" t="str">
        <f>IF($B21=0,"",('MF Rollover'!DR21*($P21*(1+'Property Summary'!$L$22)^('MF Releasing'!DS$3-1)))*$C21)</f>
        <v/>
      </c>
      <c r="DT21" s="149" t="str">
        <f>IF($B21=0,"",('MF Rollover'!DS21*($P21*(1+'Property Summary'!$L$22)^('MF Releasing'!DT$3-1)))*$C21)</f>
        <v/>
      </c>
      <c r="DU21" s="149" t="str">
        <f>IF($B21=0,"",('MF Rollover'!DT21*($P21*(1+'Property Summary'!$L$22)^('MF Releasing'!DU$3-1)))*$C21)</f>
        <v/>
      </c>
      <c r="DV21" s="149" t="str">
        <f>IF($B21=0,"",('MF Rollover'!DU21*($P21*(1+'Property Summary'!$L$22)^('MF Releasing'!DV$3-1)))*$C21)</f>
        <v/>
      </c>
      <c r="DW21" s="149" t="str">
        <f>IF($B21=0,"",('MF Rollover'!DV21*($P21*(1+'Property Summary'!$L$22)^('MF Releasing'!DW$3-1)))*$C21)</f>
        <v/>
      </c>
      <c r="DX21" s="149" t="str">
        <f>IF($B21=0,"",('MF Rollover'!DW21*($P21*(1+'Property Summary'!$L$22)^('MF Releasing'!DX$3-1)))*$C21)</f>
        <v/>
      </c>
      <c r="DY21" s="149" t="str">
        <f>IF($B21=0,"",('MF Rollover'!DX21*($P21*(1+'Property Summary'!$L$22)^('MF Releasing'!DY$3-1)))*$C21)</f>
        <v/>
      </c>
      <c r="DZ21" s="149" t="str">
        <f>IF($B21=0,"",('MF Rollover'!DY21*($P21*(1+'Property Summary'!$L$22)^('MF Releasing'!DZ$3-1)))*$C21)</f>
        <v/>
      </c>
      <c r="EA21" s="149" t="str">
        <f>IF($B21=0,"",('MF Rollover'!DZ21*($P21*(1+'Property Summary'!$L$22)^('MF Releasing'!EA$3-1)))*$C21)</f>
        <v/>
      </c>
      <c r="EB21" s="149" t="str">
        <f>IF($B21=0,"",('MF Rollover'!EA21*($P21*(1+'Property Summary'!$L$22)^('MF Releasing'!EB$3-1)))*$C21)</f>
        <v/>
      </c>
      <c r="EC21" s="149" t="str">
        <f>IF($B21=0,"",('MF Rollover'!EB21*($P21*(1+'Property Summary'!$L$22)^('MF Releasing'!EC$3-1)))*$C21)</f>
        <v/>
      </c>
      <c r="ED21" s="149" t="str">
        <f>IF($B21=0,"",('MF Rollover'!EC21*($P21*(1+'Property Summary'!$L$22)^('MF Releasing'!ED$3-1)))*$C21)</f>
        <v/>
      </c>
      <c r="EE21" s="149" t="str">
        <f>IF($B21=0,"",('MF Rollover'!ED21*($P21*(1+'Property Summary'!$L$22)^('MF Releasing'!EE$3-1)))*$C21)</f>
        <v/>
      </c>
      <c r="EF21" s="149" t="str">
        <f>IF($B21=0,"",('MF Rollover'!EE21*($P21*(1+'Property Summary'!$L$22)^('MF Releasing'!EF$3-1)))*$C21)</f>
        <v/>
      </c>
      <c r="EG21" s="149" t="str">
        <f>IF($B21=0,"",('MF Rollover'!EF21*($P21*(1+'Property Summary'!$L$22)^('MF Releasing'!EG$3-1)))*$C21)</f>
        <v/>
      </c>
      <c r="EH21" s="149" t="str">
        <f>IF($B21=0,"",('MF Rollover'!EG21*($P21*(1+'Property Summary'!$L$22)^('MF Releasing'!EH$3-1)))*$C21)</f>
        <v/>
      </c>
      <c r="EI21" s="149" t="str">
        <f>IF($B21=0,"",('MF Rollover'!EH21*($P21*(1+'Property Summary'!$L$22)^('MF Releasing'!EI$3-1)))*$C21)</f>
        <v/>
      </c>
      <c r="EJ21" s="149" t="str">
        <f>IF($B21=0,"",('MF Rollover'!EI21*($P21*(1+'Property Summary'!$L$22)^('MF Releasing'!EJ$3-1)))*$C21)</f>
        <v/>
      </c>
      <c r="EK21" s="149" t="str">
        <f>IF($B21=0,"",('MF Rollover'!EJ21*($P21*(1+'Property Summary'!$L$22)^('MF Releasing'!EK$3-1)))*$C21)</f>
        <v/>
      </c>
      <c r="EL21" s="149" t="str">
        <f>IF($B21=0,"",('MF Rollover'!EK21*($P21*(1+'Property Summary'!$L$22)^('MF Releasing'!EL$3-1)))*$C21)</f>
        <v/>
      </c>
      <c r="EM21" s="149" t="str">
        <f>IF($B21=0,"",('MF Rollover'!EL21*($P21*(1+'Property Summary'!$L$22)^('MF Releasing'!EM$3-1)))*$C21)</f>
        <v/>
      </c>
      <c r="EN21" s="149" t="str">
        <f>IF($B21=0,"",('MF Rollover'!EM21*($P21*(1+'Property Summary'!$L$22)^('MF Releasing'!EN$3-1)))*$C21)</f>
        <v/>
      </c>
      <c r="EO21" s="149" t="str">
        <f>IF($B21=0,"",('MF Rollover'!EN21*($P21*(1+'Property Summary'!$L$22)^('MF Releasing'!EO$3-1)))*$C21)</f>
        <v/>
      </c>
      <c r="EP21" s="149" t="str">
        <f>IF($B21=0,"",('MF Rollover'!EO21*($P21*(1+'Property Summary'!$L$22)^('MF Releasing'!EP$3-1)))*$C21)</f>
        <v/>
      </c>
      <c r="EQ21" s="149" t="str">
        <f>IF($B21=0,"",('MF Rollover'!EP21*($P21*(1+'Property Summary'!$L$22)^('MF Releasing'!EQ$3-1)))*$C21)</f>
        <v/>
      </c>
      <c r="ER21" s="149" t="str">
        <f>IF($B21=0,"",('MF Rollover'!EQ21*($P21*(1+'Property Summary'!$L$22)^('MF Releasing'!ER$3-1)))*$C21)</f>
        <v/>
      </c>
      <c r="ES21" s="149" t="str">
        <f>IF($B21=0,"",('MF Rollover'!ER21*($P21*(1+'Property Summary'!$L$22)^('MF Releasing'!ES$3-1)))*$C21)</f>
        <v/>
      </c>
      <c r="ET21" s="149" t="str">
        <f>IF($B21=0,"",('MF Rollover'!ES21*($P21*(1+'Property Summary'!$L$22)^('MF Releasing'!ET$3-1)))*$C21)</f>
        <v/>
      </c>
      <c r="EU21" s="149" t="str">
        <f>IF($B21=0,"",('MF Rollover'!ET21*($P21*(1+'Property Summary'!$L$22)^('MF Releasing'!EU$3-1)))*$C21)</f>
        <v/>
      </c>
      <c r="EV21" s="149" t="str">
        <f>IF($B21=0,"",('MF Rollover'!EU21*($P21*(1+'Property Summary'!$L$22)^('MF Releasing'!EV$3-1)))*$C21)</f>
        <v/>
      </c>
      <c r="EW21" s="149" t="str">
        <f>IF($B21=0,"",('MF Rollover'!EV21*($P21*(1+'Property Summary'!$L$22)^('MF Releasing'!EW$3-1)))*$C21)</f>
        <v/>
      </c>
      <c r="EX21" s="149" t="str">
        <f>IF($B21=0,"",('MF Rollover'!EW21*($P21*(1+'Property Summary'!$L$22)^('MF Releasing'!EX$3-1)))*$C21)</f>
        <v/>
      </c>
      <c r="EY21" s="149" t="str">
        <f>IF($B21=0,"",('MF Rollover'!EX21*($P21*(1+'Property Summary'!$L$22)^('MF Releasing'!EY$3-1)))*$C21)</f>
        <v/>
      </c>
      <c r="EZ21" s="149" t="str">
        <f>IF($B21=0,"",('MF Rollover'!EY21*($P21*(1+'Property Summary'!$L$22)^('MF Releasing'!EZ$3-1)))*$C21)</f>
        <v/>
      </c>
      <c r="FA21" s="149" t="str">
        <f>IF($B21=0,"",('MF Rollover'!EZ21*($P21*(1+'Property Summary'!$L$22)^('MF Releasing'!FA$3-1)))*$C21)</f>
        <v/>
      </c>
      <c r="FB21" s="149" t="str">
        <f>IF($B21=0,"",('MF Rollover'!FA21*($P21*(1+'Property Summary'!$L$22)^('MF Releasing'!FB$3-1)))*$C21)</f>
        <v/>
      </c>
      <c r="FC21" s="149" t="str">
        <f>IF($B21=0,"",('MF Rollover'!FB21*($P21*(1+'Property Summary'!$L$22)^('MF Releasing'!FC$3-1)))*$C21)</f>
        <v/>
      </c>
      <c r="FD21" s="149" t="str">
        <f>IF($B21=0,"",('MF Rollover'!FC21*($P21*(1+'Property Summary'!$L$22)^('MF Releasing'!FD$3-1)))*$C21)</f>
        <v/>
      </c>
      <c r="FE21" s="149" t="str">
        <f>IF($B21=0,"",('MF Rollover'!FD21*($P21*(1+'Property Summary'!$L$22)^('MF Releasing'!FE$3-1)))*$C21)</f>
        <v/>
      </c>
      <c r="FF21" s="149" t="str">
        <f>IF($B21=0,"",('MF Rollover'!FE21*($P21*(1+'Property Summary'!$L$22)^('MF Releasing'!FF$3-1)))*$C21)</f>
        <v/>
      </c>
      <c r="FG21" s="149" t="str">
        <f>IF($B21=0,"",('MF Rollover'!FF21*($P21*(1+'Property Summary'!$L$22)^('MF Releasing'!FG$3-1)))*$C21)</f>
        <v/>
      </c>
      <c r="FH21" s="149" t="str">
        <f>IF($B21=0,"",('MF Rollover'!FG21*($P21*(1+'Property Summary'!$L$22)^('MF Releasing'!FH$3-1)))*$C21)</f>
        <v/>
      </c>
      <c r="FI21" s="149" t="str">
        <f>IF($B21=0,"",('MF Rollover'!FH21*($P21*(1+'Property Summary'!$L$22)^('MF Releasing'!FI$3-1)))*$C21)</f>
        <v/>
      </c>
      <c r="FJ21" s="149" t="str">
        <f>IF($B21=0,"",('MF Rollover'!FI21*($P21*(1+'Property Summary'!$L$22)^('MF Releasing'!FJ$3-1)))*$C21)</f>
        <v/>
      </c>
      <c r="FK21" s="149" t="str">
        <f>IF($B21=0,"",('MF Rollover'!FJ21*($P21*(1+'Property Summary'!$L$22)^('MF Releasing'!FK$3-1)))*$C21)</f>
        <v/>
      </c>
      <c r="FL21" s="149" t="str">
        <f>IF($B21=0,"",('MF Rollover'!FK21*($P21*(1+'Property Summary'!$L$22)^('MF Releasing'!FL$3-1)))*$C21)</f>
        <v/>
      </c>
      <c r="FM21" s="149" t="str">
        <f>IF($B21=0,"",('MF Rollover'!FL21*($P21*(1+'Property Summary'!$L$22)^('MF Releasing'!FM$3-1)))*$C21)</f>
        <v/>
      </c>
      <c r="FN21" s="149" t="str">
        <f>IF($B21=0,"",('MF Rollover'!FM21*($P21*(1+'Property Summary'!$L$22)^('MF Releasing'!FN$3-1)))*$C21)</f>
        <v/>
      </c>
      <c r="FO21" s="149" t="str">
        <f>IF($B21=0,"",('MF Rollover'!FN21*($P21*(1+'Property Summary'!$L$22)^('MF Releasing'!FO$3-1)))*$C21)</f>
        <v/>
      </c>
      <c r="FP21" s="149" t="str">
        <f>IF($B21=0,"",('MF Rollover'!FO21*($P21*(1+'Property Summary'!$L$22)^('MF Releasing'!FP$3-1)))*$C21)</f>
        <v/>
      </c>
      <c r="FQ21" s="149" t="str">
        <f>IF($B21=0,"",('MF Rollover'!FP21*($P21*(1+'Property Summary'!$L$22)^('MF Releasing'!FQ$3-1)))*$C21)</f>
        <v/>
      </c>
      <c r="FR21" s="149" t="str">
        <f>IF($B21=0,"",('MF Rollover'!FQ21*($P21*(1+'Property Summary'!$L$22)^('MF Releasing'!FR$3-1)))*$C21)</f>
        <v/>
      </c>
      <c r="FS21" s="149" t="str">
        <f>IF($B21=0,"",('MF Rollover'!FR21*($P21*(1+'Property Summary'!$L$22)^('MF Releasing'!FS$3-1)))*$C21)</f>
        <v/>
      </c>
      <c r="FT21" s="149" t="str">
        <f>IF($B21=0,"",('MF Rollover'!FS21*($P21*(1+'Property Summary'!$L$22)^('MF Releasing'!FT$3-1)))*$C21)</f>
        <v/>
      </c>
      <c r="FU21" s="149" t="str">
        <f>IF($B21=0,"",('MF Rollover'!FT21*($P21*(1+'Property Summary'!$L$22)^('MF Releasing'!FU$3-1)))*$C21)</f>
        <v/>
      </c>
      <c r="FV21" s="149" t="str">
        <f>IF($B21=0,"",('MF Rollover'!FU21*($P21*(1+'Property Summary'!$L$22)^('MF Releasing'!FV$3-1)))*$C21)</f>
        <v/>
      </c>
      <c r="FW21" s="149" t="str">
        <f>IF($B21=0,"",('MF Rollover'!FV21*($P21*(1+'Property Summary'!$L$22)^('MF Releasing'!FW$3-1)))*$C21)</f>
        <v/>
      </c>
      <c r="FX21" s="149" t="str">
        <f>IF($B21=0,"",('MF Rollover'!FW21*($P21*(1+'Property Summary'!$L$22)^('MF Releasing'!FX$3-1)))*$C21)</f>
        <v/>
      </c>
      <c r="FY21" s="149" t="str">
        <f>IF($B21=0,"",('MF Rollover'!FX21*($P21*(1+'Property Summary'!$L$22)^('MF Releasing'!FY$3-1)))*$C21)</f>
        <v/>
      </c>
      <c r="FZ21" s="149" t="str">
        <f>IF($B21=0,"",('MF Rollover'!FY21*($P21*(1+'Property Summary'!$L$22)^('MF Releasing'!FZ$3-1)))*$C21)</f>
        <v/>
      </c>
      <c r="GA21" s="149" t="str">
        <f>IF($B21=0,"",('MF Rollover'!FZ21*($P21*(1+'Property Summary'!$L$22)^('MF Releasing'!GA$3-1)))*$C21)</f>
        <v/>
      </c>
      <c r="GB21" s="149" t="str">
        <f>IF($B21=0,"",('MF Rollover'!GA21*($P21*(1+'Property Summary'!$L$22)^('MF Releasing'!GB$3-1)))*$C21)</f>
        <v/>
      </c>
      <c r="GC21" s="149" t="str">
        <f>IF($B21=0,"",('MF Rollover'!GB21*($P21*(1+'Property Summary'!$L$22)^('MF Releasing'!GC$3-1)))*$C21)</f>
        <v/>
      </c>
      <c r="GD21" s="149" t="str">
        <f>IF($B21=0,"",('MF Rollover'!GC21*($P21*(1+'Property Summary'!$L$22)^('MF Releasing'!GD$3-1)))*$C21)</f>
        <v/>
      </c>
      <c r="GE21" s="149" t="str">
        <f>IF($B21=0,"",('MF Rollover'!GD21*($P21*(1+'Property Summary'!$L$22)^('MF Releasing'!GE$3-1)))*$C21)</f>
        <v/>
      </c>
      <c r="GF21" s="149" t="str">
        <f>IF($B21=0,"",('MF Rollover'!GE21*($P21*(1+'Property Summary'!$L$22)^('MF Releasing'!GF$3-1)))*$C21)</f>
        <v/>
      </c>
      <c r="GG21" s="149" t="str">
        <f>IF($B21=0,"",('MF Rollover'!GF21*($P21*(1+'Property Summary'!$L$22)^('MF Releasing'!GG$3-1)))*$C21)</f>
        <v/>
      </c>
      <c r="GH21" s="149" t="str">
        <f>IF($B21=0,"",('MF Rollover'!GG21*($P21*(1+'Property Summary'!$L$22)^('MF Releasing'!GH$3-1)))*$C21)</f>
        <v/>
      </c>
      <c r="GI21" s="149" t="str">
        <f>IF($B21=0,"",('MF Rollover'!GH21*($P21*(1+'Property Summary'!$L$22)^('MF Releasing'!GI$3-1)))*$C21)</f>
        <v/>
      </c>
      <c r="GJ21" s="149" t="str">
        <f>IF($B21=0,"",('MF Rollover'!GI21*($P21*(1+'Property Summary'!$L$22)^('MF Releasing'!GJ$3-1)))*$C21)</f>
        <v/>
      </c>
      <c r="GK21" s="149" t="str">
        <f>IF($B21=0,"",('MF Rollover'!GJ21*($P21*(1+'Property Summary'!$L$22)^('MF Releasing'!GK$3-1)))*$C21)</f>
        <v/>
      </c>
      <c r="GL21" s="149" t="str">
        <f>IF($B21=0,"",('MF Rollover'!GK21*($P21*(1+'Property Summary'!$L$22)^('MF Releasing'!GL$3-1)))*$C21)</f>
        <v/>
      </c>
      <c r="GM21" s="149" t="str">
        <f>IF($B21=0,"",('MF Rollover'!GL21*($P21*(1+'Property Summary'!$L$22)^('MF Releasing'!GM$3-1)))*$C21)</f>
        <v/>
      </c>
      <c r="GN21" s="149" t="str">
        <f>IF($B21=0,"",('MF Rollover'!GM21*($P21*(1+'Property Summary'!$L$22)^('MF Releasing'!GN$3-1)))*$C21)</f>
        <v/>
      </c>
      <c r="GO21" s="149" t="str">
        <f>IF($B21=0,"",('MF Rollover'!GN21*($P21*(1+'Property Summary'!$L$22)^('MF Releasing'!GO$3-1)))*$C21)</f>
        <v/>
      </c>
      <c r="GP21" s="149" t="str">
        <f>IF($B21=0,"",('MF Rollover'!GO21*($P21*(1+'Property Summary'!$L$22)^('MF Releasing'!GP$3-1)))*$C21)</f>
        <v/>
      </c>
    </row>
    <row r="22" spans="2:198" x14ac:dyDescent="0.3">
      <c r="B22" s="184">
        <f>'MF Rent Roll'!B21</f>
        <v>0</v>
      </c>
      <c r="C22" s="171">
        <f>'MF Rent Roll'!C21</f>
        <v>0</v>
      </c>
      <c r="D22" s="172">
        <f>'MF Rent Roll'!D21</f>
        <v>0</v>
      </c>
      <c r="E22" s="172">
        <f>'MF Rent Roll'!E21</f>
        <v>0</v>
      </c>
      <c r="F22" s="173">
        <f>'MF Rent Roll'!F21</f>
        <v>0</v>
      </c>
      <c r="G22" s="174">
        <f>'MF Rent Roll'!G21</f>
        <v>0</v>
      </c>
      <c r="H22" s="176">
        <f>'MF Rent Roll'!J21</f>
        <v>0</v>
      </c>
      <c r="I22" s="174">
        <f>'MF Rent Roll'!K21</f>
        <v>0</v>
      </c>
      <c r="J22" s="177">
        <f>'MF Rent Roll'!L21</f>
        <v>0</v>
      </c>
      <c r="K22" s="178">
        <f>'MF Rent Roll'!M21</f>
        <v>0</v>
      </c>
      <c r="L22" s="174">
        <f>'MF Rent Roll'!N21</f>
        <v>0</v>
      </c>
      <c r="M22" s="179">
        <f>'MF Rent Roll'!O21</f>
        <v>0</v>
      </c>
      <c r="N22" s="180" t="str">
        <f>'MF Rent Roll'!P21</f>
        <v/>
      </c>
      <c r="O22" s="181" t="str">
        <f>'MF Rent Roll'!Q21</f>
        <v/>
      </c>
      <c r="P22" s="104" t="str">
        <f>'MF Rent Roll'!R21</f>
        <v/>
      </c>
      <c r="S22" s="149" t="str">
        <f>IF($B22=0,"",('MF Rollover'!R22*($P22*(1+'Property Summary'!$L$22)^('MF Releasing'!S$3-1)))*$C22)</f>
        <v/>
      </c>
      <c r="T22" s="149" t="str">
        <f>IF($B22=0,"",('MF Rollover'!S22*($P22*(1+'Property Summary'!$L$22)^('MF Releasing'!T$3-1)))*$C22)</f>
        <v/>
      </c>
      <c r="U22" s="149" t="str">
        <f>IF($B22=0,"",('MF Rollover'!T22*($P22*(1+'Property Summary'!$L$22)^('MF Releasing'!U$3-1)))*$C22)</f>
        <v/>
      </c>
      <c r="V22" s="149" t="str">
        <f>IF($B22=0,"",('MF Rollover'!U22*($P22*(1+'Property Summary'!$L$22)^('MF Releasing'!V$3-1)))*$C22)</f>
        <v/>
      </c>
      <c r="W22" s="149" t="str">
        <f>IF($B22=0,"",('MF Rollover'!V22*($P22*(1+'Property Summary'!$L$22)^('MF Releasing'!W$3-1)))*$C22)</f>
        <v/>
      </c>
      <c r="X22" s="149" t="str">
        <f>IF($B22=0,"",('MF Rollover'!W22*($P22*(1+'Property Summary'!$L$22)^('MF Releasing'!X$3-1)))*$C22)</f>
        <v/>
      </c>
      <c r="Y22" s="149" t="str">
        <f>IF($B22=0,"",('MF Rollover'!X22*($P22*(1+'Property Summary'!$L$22)^('MF Releasing'!Y$3-1)))*$C22)</f>
        <v/>
      </c>
      <c r="Z22" s="149" t="str">
        <f>IF($B22=0,"",('MF Rollover'!Y22*($P22*(1+'Property Summary'!$L$22)^('MF Releasing'!Z$3-1)))*$C22)</f>
        <v/>
      </c>
      <c r="AA22" s="149" t="str">
        <f>IF($B22=0,"",('MF Rollover'!Z22*($P22*(1+'Property Summary'!$L$22)^('MF Releasing'!AA$3-1)))*$C22)</f>
        <v/>
      </c>
      <c r="AB22" s="149" t="str">
        <f>IF($B22=0,"",('MF Rollover'!AA22*($P22*(1+'Property Summary'!$L$22)^('MF Releasing'!AB$3-1)))*$C22)</f>
        <v/>
      </c>
      <c r="AC22" s="149" t="str">
        <f>IF($B22=0,"",('MF Rollover'!AB22*($P22*(1+'Property Summary'!$L$22)^('MF Releasing'!AC$3-1)))*$C22)</f>
        <v/>
      </c>
      <c r="AD22" s="149" t="str">
        <f>IF($B22=0,"",('MF Rollover'!AC22*($P22*(1+'Property Summary'!$L$22)^('MF Releasing'!AD$3-1)))*$C22)</f>
        <v/>
      </c>
      <c r="AE22" s="149" t="str">
        <f>IF($B22=0,"",('MF Rollover'!AD22*($P22*(1+'Property Summary'!$L$22)^('MF Releasing'!AE$3-1)))*$C22)</f>
        <v/>
      </c>
      <c r="AF22" s="149" t="str">
        <f>IF($B22=0,"",('MF Rollover'!AE22*($P22*(1+'Property Summary'!$L$22)^('MF Releasing'!AF$3-1)))*$C22)</f>
        <v/>
      </c>
      <c r="AG22" s="149" t="str">
        <f>IF($B22=0,"",('MF Rollover'!AF22*($P22*(1+'Property Summary'!$L$22)^('MF Releasing'!AG$3-1)))*$C22)</f>
        <v/>
      </c>
      <c r="AH22" s="149" t="str">
        <f>IF($B22=0,"",('MF Rollover'!AG22*($P22*(1+'Property Summary'!$L$22)^('MF Releasing'!AH$3-1)))*$C22)</f>
        <v/>
      </c>
      <c r="AI22" s="149" t="str">
        <f>IF($B22=0,"",('MF Rollover'!AH22*($P22*(1+'Property Summary'!$L$22)^('MF Releasing'!AI$3-1)))*$C22)</f>
        <v/>
      </c>
      <c r="AJ22" s="149" t="str">
        <f>IF($B22=0,"",('MF Rollover'!AI22*($P22*(1+'Property Summary'!$L$22)^('MF Releasing'!AJ$3-1)))*$C22)</f>
        <v/>
      </c>
      <c r="AK22" s="149" t="str">
        <f>IF($B22=0,"",('MF Rollover'!AJ22*($P22*(1+'Property Summary'!$L$22)^('MF Releasing'!AK$3-1)))*$C22)</f>
        <v/>
      </c>
      <c r="AL22" s="149" t="str">
        <f>IF($B22=0,"",('MF Rollover'!AK22*($P22*(1+'Property Summary'!$L$22)^('MF Releasing'!AL$3-1)))*$C22)</f>
        <v/>
      </c>
      <c r="AM22" s="149" t="str">
        <f>IF($B22=0,"",('MF Rollover'!AL22*($P22*(1+'Property Summary'!$L$22)^('MF Releasing'!AM$3-1)))*$C22)</f>
        <v/>
      </c>
      <c r="AN22" s="149" t="str">
        <f>IF($B22=0,"",('MF Rollover'!AM22*($P22*(1+'Property Summary'!$L$22)^('MF Releasing'!AN$3-1)))*$C22)</f>
        <v/>
      </c>
      <c r="AO22" s="149" t="str">
        <f>IF($B22=0,"",('MF Rollover'!AN22*($P22*(1+'Property Summary'!$L$22)^('MF Releasing'!AO$3-1)))*$C22)</f>
        <v/>
      </c>
      <c r="AP22" s="149" t="str">
        <f>IF($B22=0,"",('MF Rollover'!AO22*($P22*(1+'Property Summary'!$L$22)^('MF Releasing'!AP$3-1)))*$C22)</f>
        <v/>
      </c>
      <c r="AQ22" s="149" t="str">
        <f>IF($B22=0,"",('MF Rollover'!AP22*($P22*(1+'Property Summary'!$L$22)^('MF Releasing'!AQ$3-1)))*$C22)</f>
        <v/>
      </c>
      <c r="AR22" s="149" t="str">
        <f>IF($B22=0,"",('MF Rollover'!AQ22*($P22*(1+'Property Summary'!$L$22)^('MF Releasing'!AR$3-1)))*$C22)</f>
        <v/>
      </c>
      <c r="AS22" s="149" t="str">
        <f>IF($B22=0,"",('MF Rollover'!AR22*($P22*(1+'Property Summary'!$L$22)^('MF Releasing'!AS$3-1)))*$C22)</f>
        <v/>
      </c>
      <c r="AT22" s="149" t="str">
        <f>IF($B22=0,"",('MF Rollover'!AS22*($P22*(1+'Property Summary'!$L$22)^('MF Releasing'!AT$3-1)))*$C22)</f>
        <v/>
      </c>
      <c r="AU22" s="149" t="str">
        <f>IF($B22=0,"",('MF Rollover'!AT22*($P22*(1+'Property Summary'!$L$22)^('MF Releasing'!AU$3-1)))*$C22)</f>
        <v/>
      </c>
      <c r="AV22" s="149" t="str">
        <f>IF($B22=0,"",('MF Rollover'!AU22*($P22*(1+'Property Summary'!$L$22)^('MF Releasing'!AV$3-1)))*$C22)</f>
        <v/>
      </c>
      <c r="AW22" s="149" t="str">
        <f>IF($B22=0,"",('MF Rollover'!AV22*($P22*(1+'Property Summary'!$L$22)^('MF Releasing'!AW$3-1)))*$C22)</f>
        <v/>
      </c>
      <c r="AX22" s="149" t="str">
        <f>IF($B22=0,"",('MF Rollover'!AW22*($P22*(1+'Property Summary'!$L$22)^('MF Releasing'!AX$3-1)))*$C22)</f>
        <v/>
      </c>
      <c r="AY22" s="149" t="str">
        <f>IF($B22=0,"",('MF Rollover'!AX22*($P22*(1+'Property Summary'!$L$22)^('MF Releasing'!AY$3-1)))*$C22)</f>
        <v/>
      </c>
      <c r="AZ22" s="149" t="str">
        <f>IF($B22=0,"",('MF Rollover'!AY22*($P22*(1+'Property Summary'!$L$22)^('MF Releasing'!AZ$3-1)))*$C22)</f>
        <v/>
      </c>
      <c r="BA22" s="149" t="str">
        <f>IF($B22=0,"",('MF Rollover'!AZ22*($P22*(1+'Property Summary'!$L$22)^('MF Releasing'!BA$3-1)))*$C22)</f>
        <v/>
      </c>
      <c r="BB22" s="149" t="str">
        <f>IF($B22=0,"",('MF Rollover'!BA22*($P22*(1+'Property Summary'!$L$22)^('MF Releasing'!BB$3-1)))*$C22)</f>
        <v/>
      </c>
      <c r="BC22" s="149" t="str">
        <f>IF($B22=0,"",('MF Rollover'!BB22*($P22*(1+'Property Summary'!$L$22)^('MF Releasing'!BC$3-1)))*$C22)</f>
        <v/>
      </c>
      <c r="BD22" s="149" t="str">
        <f>IF($B22=0,"",('MF Rollover'!BC22*($P22*(1+'Property Summary'!$L$22)^('MF Releasing'!BD$3-1)))*$C22)</f>
        <v/>
      </c>
      <c r="BE22" s="149" t="str">
        <f>IF($B22=0,"",('MF Rollover'!BD22*($P22*(1+'Property Summary'!$L$22)^('MF Releasing'!BE$3-1)))*$C22)</f>
        <v/>
      </c>
      <c r="BF22" s="149" t="str">
        <f>IF($B22=0,"",('MF Rollover'!BE22*($P22*(1+'Property Summary'!$L$22)^('MF Releasing'!BF$3-1)))*$C22)</f>
        <v/>
      </c>
      <c r="BG22" s="149" t="str">
        <f>IF($B22=0,"",('MF Rollover'!BF22*($P22*(1+'Property Summary'!$L$22)^('MF Releasing'!BG$3-1)))*$C22)</f>
        <v/>
      </c>
      <c r="BH22" s="149" t="str">
        <f>IF($B22=0,"",('MF Rollover'!BG22*($P22*(1+'Property Summary'!$L$22)^('MF Releasing'!BH$3-1)))*$C22)</f>
        <v/>
      </c>
      <c r="BI22" s="149" t="str">
        <f>IF($B22=0,"",('MF Rollover'!BH22*($P22*(1+'Property Summary'!$L$22)^('MF Releasing'!BI$3-1)))*$C22)</f>
        <v/>
      </c>
      <c r="BJ22" s="149" t="str">
        <f>IF($B22=0,"",('MF Rollover'!BI22*($P22*(1+'Property Summary'!$L$22)^('MF Releasing'!BJ$3-1)))*$C22)</f>
        <v/>
      </c>
      <c r="BK22" s="149" t="str">
        <f>IF($B22=0,"",('MF Rollover'!BJ22*($P22*(1+'Property Summary'!$L$22)^('MF Releasing'!BK$3-1)))*$C22)</f>
        <v/>
      </c>
      <c r="BL22" s="149" t="str">
        <f>IF($B22=0,"",('MF Rollover'!BK22*($P22*(1+'Property Summary'!$L$22)^('MF Releasing'!BL$3-1)))*$C22)</f>
        <v/>
      </c>
      <c r="BM22" s="149" t="str">
        <f>IF($B22=0,"",('MF Rollover'!BL22*($P22*(1+'Property Summary'!$L$22)^('MF Releasing'!BM$3-1)))*$C22)</f>
        <v/>
      </c>
      <c r="BN22" s="149" t="str">
        <f>IF($B22=0,"",('MF Rollover'!BM22*($P22*(1+'Property Summary'!$L$22)^('MF Releasing'!BN$3-1)))*$C22)</f>
        <v/>
      </c>
      <c r="BO22" s="149" t="str">
        <f>IF($B22=0,"",('MF Rollover'!BN22*($P22*(1+'Property Summary'!$L$22)^('MF Releasing'!BO$3-1)))*$C22)</f>
        <v/>
      </c>
      <c r="BP22" s="149" t="str">
        <f>IF($B22=0,"",('MF Rollover'!BO22*($P22*(1+'Property Summary'!$L$22)^('MF Releasing'!BP$3-1)))*$C22)</f>
        <v/>
      </c>
      <c r="BQ22" s="149" t="str">
        <f>IF($B22=0,"",('MF Rollover'!BP22*($P22*(1+'Property Summary'!$L$22)^('MF Releasing'!BQ$3-1)))*$C22)</f>
        <v/>
      </c>
      <c r="BR22" s="149" t="str">
        <f>IF($B22=0,"",('MF Rollover'!BQ22*($P22*(1+'Property Summary'!$L$22)^('MF Releasing'!BR$3-1)))*$C22)</f>
        <v/>
      </c>
      <c r="BS22" s="149" t="str">
        <f>IF($B22=0,"",('MF Rollover'!BR22*($P22*(1+'Property Summary'!$L$22)^('MF Releasing'!BS$3-1)))*$C22)</f>
        <v/>
      </c>
      <c r="BT22" s="149" t="str">
        <f>IF($B22=0,"",('MF Rollover'!BS22*($P22*(1+'Property Summary'!$L$22)^('MF Releasing'!BT$3-1)))*$C22)</f>
        <v/>
      </c>
      <c r="BU22" s="149" t="str">
        <f>IF($B22=0,"",('MF Rollover'!BT22*($P22*(1+'Property Summary'!$L$22)^('MF Releasing'!BU$3-1)))*$C22)</f>
        <v/>
      </c>
      <c r="BV22" s="149" t="str">
        <f>IF($B22=0,"",('MF Rollover'!BU22*($P22*(1+'Property Summary'!$L$22)^('MF Releasing'!BV$3-1)))*$C22)</f>
        <v/>
      </c>
      <c r="BW22" s="149" t="str">
        <f>IF($B22=0,"",('MF Rollover'!BV22*($P22*(1+'Property Summary'!$L$22)^('MF Releasing'!BW$3-1)))*$C22)</f>
        <v/>
      </c>
      <c r="BX22" s="149" t="str">
        <f>IF($B22=0,"",('MF Rollover'!BW22*($P22*(1+'Property Summary'!$L$22)^('MF Releasing'!BX$3-1)))*$C22)</f>
        <v/>
      </c>
      <c r="BY22" s="149" t="str">
        <f>IF($B22=0,"",('MF Rollover'!BX22*($P22*(1+'Property Summary'!$L$22)^('MF Releasing'!BY$3-1)))*$C22)</f>
        <v/>
      </c>
      <c r="BZ22" s="149" t="str">
        <f>IF($B22=0,"",('MF Rollover'!BY22*($P22*(1+'Property Summary'!$L$22)^('MF Releasing'!BZ$3-1)))*$C22)</f>
        <v/>
      </c>
      <c r="CA22" s="149" t="str">
        <f>IF($B22=0,"",('MF Rollover'!BZ22*($P22*(1+'Property Summary'!$L$22)^('MF Releasing'!CA$3-1)))*$C22)</f>
        <v/>
      </c>
      <c r="CB22" s="149" t="str">
        <f>IF($B22=0,"",('MF Rollover'!CA22*($P22*(1+'Property Summary'!$L$22)^('MF Releasing'!CB$3-1)))*$C22)</f>
        <v/>
      </c>
      <c r="CC22" s="149" t="str">
        <f>IF($B22=0,"",('MF Rollover'!CB22*($P22*(1+'Property Summary'!$L$22)^('MF Releasing'!CC$3-1)))*$C22)</f>
        <v/>
      </c>
      <c r="CD22" s="149" t="str">
        <f>IF($B22=0,"",('MF Rollover'!CC22*($P22*(1+'Property Summary'!$L$22)^('MF Releasing'!CD$3-1)))*$C22)</f>
        <v/>
      </c>
      <c r="CE22" s="149" t="str">
        <f>IF($B22=0,"",('MF Rollover'!CD22*($P22*(1+'Property Summary'!$L$22)^('MF Releasing'!CE$3-1)))*$C22)</f>
        <v/>
      </c>
      <c r="CF22" s="149" t="str">
        <f>IF($B22=0,"",('MF Rollover'!CE22*($P22*(1+'Property Summary'!$L$22)^('MF Releasing'!CF$3-1)))*$C22)</f>
        <v/>
      </c>
      <c r="CG22" s="149" t="str">
        <f>IF($B22=0,"",('MF Rollover'!CF22*($P22*(1+'Property Summary'!$L$22)^('MF Releasing'!CG$3-1)))*$C22)</f>
        <v/>
      </c>
      <c r="CH22" s="149" t="str">
        <f>IF($B22=0,"",('MF Rollover'!CG22*($P22*(1+'Property Summary'!$L$22)^('MF Releasing'!CH$3-1)))*$C22)</f>
        <v/>
      </c>
      <c r="CI22" s="149" t="str">
        <f>IF($B22=0,"",('MF Rollover'!CH22*($P22*(1+'Property Summary'!$L$22)^('MF Releasing'!CI$3-1)))*$C22)</f>
        <v/>
      </c>
      <c r="CJ22" s="149" t="str">
        <f>IF($B22=0,"",('MF Rollover'!CI22*($P22*(1+'Property Summary'!$L$22)^('MF Releasing'!CJ$3-1)))*$C22)</f>
        <v/>
      </c>
      <c r="CK22" s="149" t="str">
        <f>IF($B22=0,"",('MF Rollover'!CJ22*($P22*(1+'Property Summary'!$L$22)^('MF Releasing'!CK$3-1)))*$C22)</f>
        <v/>
      </c>
      <c r="CL22" s="149" t="str">
        <f>IF($B22=0,"",('MF Rollover'!CK22*($P22*(1+'Property Summary'!$L$22)^('MF Releasing'!CL$3-1)))*$C22)</f>
        <v/>
      </c>
      <c r="CM22" s="149" t="str">
        <f>IF($B22=0,"",('MF Rollover'!CL22*($P22*(1+'Property Summary'!$L$22)^('MF Releasing'!CM$3-1)))*$C22)</f>
        <v/>
      </c>
      <c r="CN22" s="149" t="str">
        <f>IF($B22=0,"",('MF Rollover'!CM22*($P22*(1+'Property Summary'!$L$22)^('MF Releasing'!CN$3-1)))*$C22)</f>
        <v/>
      </c>
      <c r="CO22" s="149" t="str">
        <f>IF($B22=0,"",('MF Rollover'!CN22*($P22*(1+'Property Summary'!$L$22)^('MF Releasing'!CO$3-1)))*$C22)</f>
        <v/>
      </c>
      <c r="CP22" s="149" t="str">
        <f>IF($B22=0,"",('MF Rollover'!CO22*($P22*(1+'Property Summary'!$L$22)^('MF Releasing'!CP$3-1)))*$C22)</f>
        <v/>
      </c>
      <c r="CQ22" s="149" t="str">
        <f>IF($B22=0,"",('MF Rollover'!CP22*($P22*(1+'Property Summary'!$L$22)^('MF Releasing'!CQ$3-1)))*$C22)</f>
        <v/>
      </c>
      <c r="CR22" s="149" t="str">
        <f>IF($B22=0,"",('MF Rollover'!CQ22*($P22*(1+'Property Summary'!$L$22)^('MF Releasing'!CR$3-1)))*$C22)</f>
        <v/>
      </c>
      <c r="CS22" s="149" t="str">
        <f>IF($B22=0,"",('MF Rollover'!CR22*($P22*(1+'Property Summary'!$L$22)^('MF Releasing'!CS$3-1)))*$C22)</f>
        <v/>
      </c>
      <c r="CT22" s="149" t="str">
        <f>IF($B22=0,"",('MF Rollover'!CS22*($P22*(1+'Property Summary'!$L$22)^('MF Releasing'!CT$3-1)))*$C22)</f>
        <v/>
      </c>
      <c r="CU22" s="149" t="str">
        <f>IF($B22=0,"",('MF Rollover'!CT22*($P22*(1+'Property Summary'!$L$22)^('MF Releasing'!CU$3-1)))*$C22)</f>
        <v/>
      </c>
      <c r="CV22" s="149" t="str">
        <f>IF($B22=0,"",('MF Rollover'!CU22*($P22*(1+'Property Summary'!$L$22)^('MF Releasing'!CV$3-1)))*$C22)</f>
        <v/>
      </c>
      <c r="CW22" s="149" t="str">
        <f>IF($B22=0,"",('MF Rollover'!CV22*($P22*(1+'Property Summary'!$L$22)^('MF Releasing'!CW$3-1)))*$C22)</f>
        <v/>
      </c>
      <c r="CX22" s="149" t="str">
        <f>IF($B22=0,"",('MF Rollover'!CW22*($P22*(1+'Property Summary'!$L$22)^('MF Releasing'!CX$3-1)))*$C22)</f>
        <v/>
      </c>
      <c r="CY22" s="149" t="str">
        <f>IF($B22=0,"",('MF Rollover'!CX22*($P22*(1+'Property Summary'!$L$22)^('MF Releasing'!CY$3-1)))*$C22)</f>
        <v/>
      </c>
      <c r="CZ22" s="149" t="str">
        <f>IF($B22=0,"",('MF Rollover'!CY22*($P22*(1+'Property Summary'!$L$22)^('MF Releasing'!CZ$3-1)))*$C22)</f>
        <v/>
      </c>
      <c r="DA22" s="149" t="str">
        <f>IF($B22=0,"",('MF Rollover'!CZ22*($P22*(1+'Property Summary'!$L$22)^('MF Releasing'!DA$3-1)))*$C22)</f>
        <v/>
      </c>
      <c r="DB22" s="149" t="str">
        <f>IF($B22=0,"",('MF Rollover'!DA22*($P22*(1+'Property Summary'!$L$22)^('MF Releasing'!DB$3-1)))*$C22)</f>
        <v/>
      </c>
      <c r="DC22" s="149" t="str">
        <f>IF($B22=0,"",('MF Rollover'!DB22*($P22*(1+'Property Summary'!$L$22)^('MF Releasing'!DC$3-1)))*$C22)</f>
        <v/>
      </c>
      <c r="DD22" s="149" t="str">
        <f>IF($B22=0,"",('MF Rollover'!DC22*($P22*(1+'Property Summary'!$L$22)^('MF Releasing'!DD$3-1)))*$C22)</f>
        <v/>
      </c>
      <c r="DE22" s="149" t="str">
        <f>IF($B22=0,"",('MF Rollover'!DD22*($P22*(1+'Property Summary'!$L$22)^('MF Releasing'!DE$3-1)))*$C22)</f>
        <v/>
      </c>
      <c r="DF22" s="149" t="str">
        <f>IF($B22=0,"",('MF Rollover'!DE22*($P22*(1+'Property Summary'!$L$22)^('MF Releasing'!DF$3-1)))*$C22)</f>
        <v/>
      </c>
      <c r="DG22" s="149" t="str">
        <f>IF($B22=0,"",('MF Rollover'!DF22*($P22*(1+'Property Summary'!$L$22)^('MF Releasing'!DG$3-1)))*$C22)</f>
        <v/>
      </c>
      <c r="DH22" s="149" t="str">
        <f>IF($B22=0,"",('MF Rollover'!DG22*($P22*(1+'Property Summary'!$L$22)^('MF Releasing'!DH$3-1)))*$C22)</f>
        <v/>
      </c>
      <c r="DI22" s="149" t="str">
        <f>IF($B22=0,"",('MF Rollover'!DH22*($P22*(1+'Property Summary'!$L$22)^('MF Releasing'!DI$3-1)))*$C22)</f>
        <v/>
      </c>
      <c r="DJ22" s="149" t="str">
        <f>IF($B22=0,"",('MF Rollover'!DI22*($P22*(1+'Property Summary'!$L$22)^('MF Releasing'!DJ$3-1)))*$C22)</f>
        <v/>
      </c>
      <c r="DK22" s="149" t="str">
        <f>IF($B22=0,"",('MF Rollover'!DJ22*($P22*(1+'Property Summary'!$L$22)^('MF Releasing'!DK$3-1)))*$C22)</f>
        <v/>
      </c>
      <c r="DL22" s="149" t="str">
        <f>IF($B22=0,"",('MF Rollover'!DK22*($P22*(1+'Property Summary'!$L$22)^('MF Releasing'!DL$3-1)))*$C22)</f>
        <v/>
      </c>
      <c r="DM22" s="149" t="str">
        <f>IF($B22=0,"",('MF Rollover'!DL22*($P22*(1+'Property Summary'!$L$22)^('MF Releasing'!DM$3-1)))*$C22)</f>
        <v/>
      </c>
      <c r="DN22" s="149" t="str">
        <f>IF($B22=0,"",('MF Rollover'!DM22*($P22*(1+'Property Summary'!$L$22)^('MF Releasing'!DN$3-1)))*$C22)</f>
        <v/>
      </c>
      <c r="DO22" s="149" t="str">
        <f>IF($B22=0,"",('MF Rollover'!DN22*($P22*(1+'Property Summary'!$L$22)^('MF Releasing'!DO$3-1)))*$C22)</f>
        <v/>
      </c>
      <c r="DP22" s="149" t="str">
        <f>IF($B22=0,"",('MF Rollover'!DO22*($P22*(1+'Property Summary'!$L$22)^('MF Releasing'!DP$3-1)))*$C22)</f>
        <v/>
      </c>
      <c r="DQ22" s="149" t="str">
        <f>IF($B22=0,"",('MF Rollover'!DP22*($P22*(1+'Property Summary'!$L$22)^('MF Releasing'!DQ$3-1)))*$C22)</f>
        <v/>
      </c>
      <c r="DR22" s="149" t="str">
        <f>IF($B22=0,"",('MF Rollover'!DQ22*($P22*(1+'Property Summary'!$L$22)^('MF Releasing'!DR$3-1)))*$C22)</f>
        <v/>
      </c>
      <c r="DS22" s="149" t="str">
        <f>IF($B22=0,"",('MF Rollover'!DR22*($P22*(1+'Property Summary'!$L$22)^('MF Releasing'!DS$3-1)))*$C22)</f>
        <v/>
      </c>
      <c r="DT22" s="149" t="str">
        <f>IF($B22=0,"",('MF Rollover'!DS22*($P22*(1+'Property Summary'!$L$22)^('MF Releasing'!DT$3-1)))*$C22)</f>
        <v/>
      </c>
      <c r="DU22" s="149" t="str">
        <f>IF($B22=0,"",('MF Rollover'!DT22*($P22*(1+'Property Summary'!$L$22)^('MF Releasing'!DU$3-1)))*$C22)</f>
        <v/>
      </c>
      <c r="DV22" s="149" t="str">
        <f>IF($B22=0,"",('MF Rollover'!DU22*($P22*(1+'Property Summary'!$L$22)^('MF Releasing'!DV$3-1)))*$C22)</f>
        <v/>
      </c>
      <c r="DW22" s="149" t="str">
        <f>IF($B22=0,"",('MF Rollover'!DV22*($P22*(1+'Property Summary'!$L$22)^('MF Releasing'!DW$3-1)))*$C22)</f>
        <v/>
      </c>
      <c r="DX22" s="149" t="str">
        <f>IF($B22=0,"",('MF Rollover'!DW22*($P22*(1+'Property Summary'!$L$22)^('MF Releasing'!DX$3-1)))*$C22)</f>
        <v/>
      </c>
      <c r="DY22" s="149" t="str">
        <f>IF($B22=0,"",('MF Rollover'!DX22*($P22*(1+'Property Summary'!$L$22)^('MF Releasing'!DY$3-1)))*$C22)</f>
        <v/>
      </c>
      <c r="DZ22" s="149" t="str">
        <f>IF($B22=0,"",('MF Rollover'!DY22*($P22*(1+'Property Summary'!$L$22)^('MF Releasing'!DZ$3-1)))*$C22)</f>
        <v/>
      </c>
      <c r="EA22" s="149" t="str">
        <f>IF($B22=0,"",('MF Rollover'!DZ22*($P22*(1+'Property Summary'!$L$22)^('MF Releasing'!EA$3-1)))*$C22)</f>
        <v/>
      </c>
      <c r="EB22" s="149" t="str">
        <f>IF($B22=0,"",('MF Rollover'!EA22*($P22*(1+'Property Summary'!$L$22)^('MF Releasing'!EB$3-1)))*$C22)</f>
        <v/>
      </c>
      <c r="EC22" s="149" t="str">
        <f>IF($B22=0,"",('MF Rollover'!EB22*($P22*(1+'Property Summary'!$L$22)^('MF Releasing'!EC$3-1)))*$C22)</f>
        <v/>
      </c>
      <c r="ED22" s="149" t="str">
        <f>IF($B22=0,"",('MF Rollover'!EC22*($P22*(1+'Property Summary'!$L$22)^('MF Releasing'!ED$3-1)))*$C22)</f>
        <v/>
      </c>
      <c r="EE22" s="149" t="str">
        <f>IF($B22=0,"",('MF Rollover'!ED22*($P22*(1+'Property Summary'!$L$22)^('MF Releasing'!EE$3-1)))*$C22)</f>
        <v/>
      </c>
      <c r="EF22" s="149" t="str">
        <f>IF($B22=0,"",('MF Rollover'!EE22*($P22*(1+'Property Summary'!$L$22)^('MF Releasing'!EF$3-1)))*$C22)</f>
        <v/>
      </c>
      <c r="EG22" s="149" t="str">
        <f>IF($B22=0,"",('MF Rollover'!EF22*($P22*(1+'Property Summary'!$L$22)^('MF Releasing'!EG$3-1)))*$C22)</f>
        <v/>
      </c>
      <c r="EH22" s="149" t="str">
        <f>IF($B22=0,"",('MF Rollover'!EG22*($P22*(1+'Property Summary'!$L$22)^('MF Releasing'!EH$3-1)))*$C22)</f>
        <v/>
      </c>
      <c r="EI22" s="149" t="str">
        <f>IF($B22=0,"",('MF Rollover'!EH22*($P22*(1+'Property Summary'!$L$22)^('MF Releasing'!EI$3-1)))*$C22)</f>
        <v/>
      </c>
      <c r="EJ22" s="149" t="str">
        <f>IF($B22=0,"",('MF Rollover'!EI22*($P22*(1+'Property Summary'!$L$22)^('MF Releasing'!EJ$3-1)))*$C22)</f>
        <v/>
      </c>
      <c r="EK22" s="149" t="str">
        <f>IF($B22=0,"",('MF Rollover'!EJ22*($P22*(1+'Property Summary'!$L$22)^('MF Releasing'!EK$3-1)))*$C22)</f>
        <v/>
      </c>
      <c r="EL22" s="149" t="str">
        <f>IF($B22=0,"",('MF Rollover'!EK22*($P22*(1+'Property Summary'!$L$22)^('MF Releasing'!EL$3-1)))*$C22)</f>
        <v/>
      </c>
      <c r="EM22" s="149" t="str">
        <f>IF($B22=0,"",('MF Rollover'!EL22*($P22*(1+'Property Summary'!$L$22)^('MF Releasing'!EM$3-1)))*$C22)</f>
        <v/>
      </c>
      <c r="EN22" s="149" t="str">
        <f>IF($B22=0,"",('MF Rollover'!EM22*($P22*(1+'Property Summary'!$L$22)^('MF Releasing'!EN$3-1)))*$C22)</f>
        <v/>
      </c>
      <c r="EO22" s="149" t="str">
        <f>IF($B22=0,"",('MF Rollover'!EN22*($P22*(1+'Property Summary'!$L$22)^('MF Releasing'!EO$3-1)))*$C22)</f>
        <v/>
      </c>
      <c r="EP22" s="149" t="str">
        <f>IF($B22=0,"",('MF Rollover'!EO22*($P22*(1+'Property Summary'!$L$22)^('MF Releasing'!EP$3-1)))*$C22)</f>
        <v/>
      </c>
      <c r="EQ22" s="149" t="str">
        <f>IF($B22=0,"",('MF Rollover'!EP22*($P22*(1+'Property Summary'!$L$22)^('MF Releasing'!EQ$3-1)))*$C22)</f>
        <v/>
      </c>
      <c r="ER22" s="149" t="str">
        <f>IF($B22=0,"",('MF Rollover'!EQ22*($P22*(1+'Property Summary'!$L$22)^('MF Releasing'!ER$3-1)))*$C22)</f>
        <v/>
      </c>
      <c r="ES22" s="149" t="str">
        <f>IF($B22=0,"",('MF Rollover'!ER22*($P22*(1+'Property Summary'!$L$22)^('MF Releasing'!ES$3-1)))*$C22)</f>
        <v/>
      </c>
      <c r="ET22" s="149" t="str">
        <f>IF($B22=0,"",('MF Rollover'!ES22*($P22*(1+'Property Summary'!$L$22)^('MF Releasing'!ET$3-1)))*$C22)</f>
        <v/>
      </c>
      <c r="EU22" s="149" t="str">
        <f>IF($B22=0,"",('MF Rollover'!ET22*($P22*(1+'Property Summary'!$L$22)^('MF Releasing'!EU$3-1)))*$C22)</f>
        <v/>
      </c>
      <c r="EV22" s="149" t="str">
        <f>IF($B22=0,"",('MF Rollover'!EU22*($P22*(1+'Property Summary'!$L$22)^('MF Releasing'!EV$3-1)))*$C22)</f>
        <v/>
      </c>
      <c r="EW22" s="149" t="str">
        <f>IF($B22=0,"",('MF Rollover'!EV22*($P22*(1+'Property Summary'!$L$22)^('MF Releasing'!EW$3-1)))*$C22)</f>
        <v/>
      </c>
      <c r="EX22" s="149" t="str">
        <f>IF($B22=0,"",('MF Rollover'!EW22*($P22*(1+'Property Summary'!$L$22)^('MF Releasing'!EX$3-1)))*$C22)</f>
        <v/>
      </c>
      <c r="EY22" s="149" t="str">
        <f>IF($B22=0,"",('MF Rollover'!EX22*($P22*(1+'Property Summary'!$L$22)^('MF Releasing'!EY$3-1)))*$C22)</f>
        <v/>
      </c>
      <c r="EZ22" s="149" t="str">
        <f>IF($B22=0,"",('MF Rollover'!EY22*($P22*(1+'Property Summary'!$L$22)^('MF Releasing'!EZ$3-1)))*$C22)</f>
        <v/>
      </c>
      <c r="FA22" s="149" t="str">
        <f>IF($B22=0,"",('MF Rollover'!EZ22*($P22*(1+'Property Summary'!$L$22)^('MF Releasing'!FA$3-1)))*$C22)</f>
        <v/>
      </c>
      <c r="FB22" s="149" t="str">
        <f>IF($B22=0,"",('MF Rollover'!FA22*($P22*(1+'Property Summary'!$L$22)^('MF Releasing'!FB$3-1)))*$C22)</f>
        <v/>
      </c>
      <c r="FC22" s="149" t="str">
        <f>IF($B22=0,"",('MF Rollover'!FB22*($P22*(1+'Property Summary'!$L$22)^('MF Releasing'!FC$3-1)))*$C22)</f>
        <v/>
      </c>
      <c r="FD22" s="149" t="str">
        <f>IF($B22=0,"",('MF Rollover'!FC22*($P22*(1+'Property Summary'!$L$22)^('MF Releasing'!FD$3-1)))*$C22)</f>
        <v/>
      </c>
      <c r="FE22" s="149" t="str">
        <f>IF($B22=0,"",('MF Rollover'!FD22*($P22*(1+'Property Summary'!$L$22)^('MF Releasing'!FE$3-1)))*$C22)</f>
        <v/>
      </c>
      <c r="FF22" s="149" t="str">
        <f>IF($B22=0,"",('MF Rollover'!FE22*($P22*(1+'Property Summary'!$L$22)^('MF Releasing'!FF$3-1)))*$C22)</f>
        <v/>
      </c>
      <c r="FG22" s="149" t="str">
        <f>IF($B22=0,"",('MF Rollover'!FF22*($P22*(1+'Property Summary'!$L$22)^('MF Releasing'!FG$3-1)))*$C22)</f>
        <v/>
      </c>
      <c r="FH22" s="149" t="str">
        <f>IF($B22=0,"",('MF Rollover'!FG22*($P22*(1+'Property Summary'!$L$22)^('MF Releasing'!FH$3-1)))*$C22)</f>
        <v/>
      </c>
      <c r="FI22" s="149" t="str">
        <f>IF($B22=0,"",('MF Rollover'!FH22*($P22*(1+'Property Summary'!$L$22)^('MF Releasing'!FI$3-1)))*$C22)</f>
        <v/>
      </c>
      <c r="FJ22" s="149" t="str">
        <f>IF($B22=0,"",('MF Rollover'!FI22*($P22*(1+'Property Summary'!$L$22)^('MF Releasing'!FJ$3-1)))*$C22)</f>
        <v/>
      </c>
      <c r="FK22" s="149" t="str">
        <f>IF($B22=0,"",('MF Rollover'!FJ22*($P22*(1+'Property Summary'!$L$22)^('MF Releasing'!FK$3-1)))*$C22)</f>
        <v/>
      </c>
      <c r="FL22" s="149" t="str">
        <f>IF($B22=0,"",('MF Rollover'!FK22*($P22*(1+'Property Summary'!$L$22)^('MF Releasing'!FL$3-1)))*$C22)</f>
        <v/>
      </c>
      <c r="FM22" s="149" t="str">
        <f>IF($B22=0,"",('MF Rollover'!FL22*($P22*(1+'Property Summary'!$L$22)^('MF Releasing'!FM$3-1)))*$C22)</f>
        <v/>
      </c>
      <c r="FN22" s="149" t="str">
        <f>IF($B22=0,"",('MF Rollover'!FM22*($P22*(1+'Property Summary'!$L$22)^('MF Releasing'!FN$3-1)))*$C22)</f>
        <v/>
      </c>
      <c r="FO22" s="149" t="str">
        <f>IF($B22=0,"",('MF Rollover'!FN22*($P22*(1+'Property Summary'!$L$22)^('MF Releasing'!FO$3-1)))*$C22)</f>
        <v/>
      </c>
      <c r="FP22" s="149" t="str">
        <f>IF($B22=0,"",('MF Rollover'!FO22*($P22*(1+'Property Summary'!$L$22)^('MF Releasing'!FP$3-1)))*$C22)</f>
        <v/>
      </c>
      <c r="FQ22" s="149" t="str">
        <f>IF($B22=0,"",('MF Rollover'!FP22*($P22*(1+'Property Summary'!$L$22)^('MF Releasing'!FQ$3-1)))*$C22)</f>
        <v/>
      </c>
      <c r="FR22" s="149" t="str">
        <f>IF($B22=0,"",('MF Rollover'!FQ22*($P22*(1+'Property Summary'!$L$22)^('MF Releasing'!FR$3-1)))*$C22)</f>
        <v/>
      </c>
      <c r="FS22" s="149" t="str">
        <f>IF($B22=0,"",('MF Rollover'!FR22*($P22*(1+'Property Summary'!$L$22)^('MF Releasing'!FS$3-1)))*$C22)</f>
        <v/>
      </c>
      <c r="FT22" s="149" t="str">
        <f>IF($B22=0,"",('MF Rollover'!FS22*($P22*(1+'Property Summary'!$L$22)^('MF Releasing'!FT$3-1)))*$C22)</f>
        <v/>
      </c>
      <c r="FU22" s="149" t="str">
        <f>IF($B22=0,"",('MF Rollover'!FT22*($P22*(1+'Property Summary'!$L$22)^('MF Releasing'!FU$3-1)))*$C22)</f>
        <v/>
      </c>
      <c r="FV22" s="149" t="str">
        <f>IF($B22=0,"",('MF Rollover'!FU22*($P22*(1+'Property Summary'!$L$22)^('MF Releasing'!FV$3-1)))*$C22)</f>
        <v/>
      </c>
      <c r="FW22" s="149" t="str">
        <f>IF($B22=0,"",('MF Rollover'!FV22*($P22*(1+'Property Summary'!$L$22)^('MF Releasing'!FW$3-1)))*$C22)</f>
        <v/>
      </c>
      <c r="FX22" s="149" t="str">
        <f>IF($B22=0,"",('MF Rollover'!FW22*($P22*(1+'Property Summary'!$L$22)^('MF Releasing'!FX$3-1)))*$C22)</f>
        <v/>
      </c>
      <c r="FY22" s="149" t="str">
        <f>IF($B22=0,"",('MF Rollover'!FX22*($P22*(1+'Property Summary'!$L$22)^('MF Releasing'!FY$3-1)))*$C22)</f>
        <v/>
      </c>
      <c r="FZ22" s="149" t="str">
        <f>IF($B22=0,"",('MF Rollover'!FY22*($P22*(1+'Property Summary'!$L$22)^('MF Releasing'!FZ$3-1)))*$C22)</f>
        <v/>
      </c>
      <c r="GA22" s="149" t="str">
        <f>IF($B22=0,"",('MF Rollover'!FZ22*($P22*(1+'Property Summary'!$L$22)^('MF Releasing'!GA$3-1)))*$C22)</f>
        <v/>
      </c>
      <c r="GB22" s="149" t="str">
        <f>IF($B22=0,"",('MF Rollover'!GA22*($P22*(1+'Property Summary'!$L$22)^('MF Releasing'!GB$3-1)))*$C22)</f>
        <v/>
      </c>
      <c r="GC22" s="149" t="str">
        <f>IF($B22=0,"",('MF Rollover'!GB22*($P22*(1+'Property Summary'!$L$22)^('MF Releasing'!GC$3-1)))*$C22)</f>
        <v/>
      </c>
      <c r="GD22" s="149" t="str">
        <f>IF($B22=0,"",('MF Rollover'!GC22*($P22*(1+'Property Summary'!$L$22)^('MF Releasing'!GD$3-1)))*$C22)</f>
        <v/>
      </c>
      <c r="GE22" s="149" t="str">
        <f>IF($B22=0,"",('MF Rollover'!GD22*($P22*(1+'Property Summary'!$L$22)^('MF Releasing'!GE$3-1)))*$C22)</f>
        <v/>
      </c>
      <c r="GF22" s="149" t="str">
        <f>IF($B22=0,"",('MF Rollover'!GE22*($P22*(1+'Property Summary'!$L$22)^('MF Releasing'!GF$3-1)))*$C22)</f>
        <v/>
      </c>
      <c r="GG22" s="149" t="str">
        <f>IF($B22=0,"",('MF Rollover'!GF22*($P22*(1+'Property Summary'!$L$22)^('MF Releasing'!GG$3-1)))*$C22)</f>
        <v/>
      </c>
      <c r="GH22" s="149" t="str">
        <f>IF($B22=0,"",('MF Rollover'!GG22*($P22*(1+'Property Summary'!$L$22)^('MF Releasing'!GH$3-1)))*$C22)</f>
        <v/>
      </c>
      <c r="GI22" s="149" t="str">
        <f>IF($B22=0,"",('MF Rollover'!GH22*($P22*(1+'Property Summary'!$L$22)^('MF Releasing'!GI$3-1)))*$C22)</f>
        <v/>
      </c>
      <c r="GJ22" s="149" t="str">
        <f>IF($B22=0,"",('MF Rollover'!GI22*($P22*(1+'Property Summary'!$L$22)^('MF Releasing'!GJ$3-1)))*$C22)</f>
        <v/>
      </c>
      <c r="GK22" s="149" t="str">
        <f>IF($B22=0,"",('MF Rollover'!GJ22*($P22*(1+'Property Summary'!$L$22)^('MF Releasing'!GK$3-1)))*$C22)</f>
        <v/>
      </c>
      <c r="GL22" s="149" t="str">
        <f>IF($B22=0,"",('MF Rollover'!GK22*($P22*(1+'Property Summary'!$L$22)^('MF Releasing'!GL$3-1)))*$C22)</f>
        <v/>
      </c>
      <c r="GM22" s="149" t="str">
        <f>IF($B22=0,"",('MF Rollover'!GL22*($P22*(1+'Property Summary'!$L$22)^('MF Releasing'!GM$3-1)))*$C22)</f>
        <v/>
      </c>
      <c r="GN22" s="149" t="str">
        <f>IF($B22=0,"",('MF Rollover'!GM22*($P22*(1+'Property Summary'!$L$22)^('MF Releasing'!GN$3-1)))*$C22)</f>
        <v/>
      </c>
      <c r="GO22" s="149" t="str">
        <f>IF($B22=0,"",('MF Rollover'!GN22*($P22*(1+'Property Summary'!$L$22)^('MF Releasing'!GO$3-1)))*$C22)</f>
        <v/>
      </c>
      <c r="GP22" s="149" t="str">
        <f>IF($B22=0,"",('MF Rollover'!GO22*($P22*(1+'Property Summary'!$L$22)^('MF Releasing'!GP$3-1)))*$C22)</f>
        <v/>
      </c>
    </row>
    <row r="23" spans="2:198" x14ac:dyDescent="0.3">
      <c r="B23" s="184">
        <f>'MF Rent Roll'!B22</f>
        <v>0</v>
      </c>
      <c r="C23" s="171">
        <f>'MF Rent Roll'!C22</f>
        <v>0</v>
      </c>
      <c r="D23" s="172">
        <f>'MF Rent Roll'!D22</f>
        <v>0</v>
      </c>
      <c r="E23" s="172">
        <f>'MF Rent Roll'!E22</f>
        <v>0</v>
      </c>
      <c r="F23" s="173">
        <f>'MF Rent Roll'!F22</f>
        <v>0</v>
      </c>
      <c r="G23" s="174">
        <f>'MF Rent Roll'!G22</f>
        <v>0</v>
      </c>
      <c r="H23" s="176">
        <f>'MF Rent Roll'!J22</f>
        <v>0</v>
      </c>
      <c r="I23" s="174">
        <f>'MF Rent Roll'!K22</f>
        <v>0</v>
      </c>
      <c r="J23" s="177">
        <f>'MF Rent Roll'!L22</f>
        <v>0</v>
      </c>
      <c r="K23" s="178">
        <f>'MF Rent Roll'!M22</f>
        <v>0</v>
      </c>
      <c r="L23" s="174">
        <f>'MF Rent Roll'!N22</f>
        <v>0</v>
      </c>
      <c r="M23" s="179">
        <f>'MF Rent Roll'!O22</f>
        <v>0</v>
      </c>
      <c r="N23" s="180" t="str">
        <f>'MF Rent Roll'!P22</f>
        <v/>
      </c>
      <c r="O23" s="181" t="str">
        <f>'MF Rent Roll'!Q22</f>
        <v/>
      </c>
      <c r="P23" s="104" t="str">
        <f>'MF Rent Roll'!R22</f>
        <v/>
      </c>
      <c r="S23" s="149" t="str">
        <f>IF($B23=0,"",('MF Rollover'!R23*($P23*(1+'Property Summary'!$L$22)^('MF Releasing'!S$3-1)))*$C23)</f>
        <v/>
      </c>
      <c r="T23" s="149" t="str">
        <f>IF($B23=0,"",('MF Rollover'!S23*($P23*(1+'Property Summary'!$L$22)^('MF Releasing'!T$3-1)))*$C23)</f>
        <v/>
      </c>
      <c r="U23" s="149" t="str">
        <f>IF($B23=0,"",('MF Rollover'!T23*($P23*(1+'Property Summary'!$L$22)^('MF Releasing'!U$3-1)))*$C23)</f>
        <v/>
      </c>
      <c r="V23" s="149" t="str">
        <f>IF($B23=0,"",('MF Rollover'!U23*($P23*(1+'Property Summary'!$L$22)^('MF Releasing'!V$3-1)))*$C23)</f>
        <v/>
      </c>
      <c r="W23" s="149" t="str">
        <f>IF($B23=0,"",('MF Rollover'!V23*($P23*(1+'Property Summary'!$L$22)^('MF Releasing'!W$3-1)))*$C23)</f>
        <v/>
      </c>
      <c r="X23" s="149" t="str">
        <f>IF($B23=0,"",('MF Rollover'!W23*($P23*(1+'Property Summary'!$L$22)^('MF Releasing'!X$3-1)))*$C23)</f>
        <v/>
      </c>
      <c r="Y23" s="149" t="str">
        <f>IF($B23=0,"",('MF Rollover'!X23*($P23*(1+'Property Summary'!$L$22)^('MF Releasing'!Y$3-1)))*$C23)</f>
        <v/>
      </c>
      <c r="Z23" s="149" t="str">
        <f>IF($B23=0,"",('MF Rollover'!Y23*($P23*(1+'Property Summary'!$L$22)^('MF Releasing'!Z$3-1)))*$C23)</f>
        <v/>
      </c>
      <c r="AA23" s="149" t="str">
        <f>IF($B23=0,"",('MF Rollover'!Z23*($P23*(1+'Property Summary'!$L$22)^('MF Releasing'!AA$3-1)))*$C23)</f>
        <v/>
      </c>
      <c r="AB23" s="149" t="str">
        <f>IF($B23=0,"",('MF Rollover'!AA23*($P23*(1+'Property Summary'!$L$22)^('MF Releasing'!AB$3-1)))*$C23)</f>
        <v/>
      </c>
      <c r="AC23" s="149" t="str">
        <f>IF($B23=0,"",('MF Rollover'!AB23*($P23*(1+'Property Summary'!$L$22)^('MF Releasing'!AC$3-1)))*$C23)</f>
        <v/>
      </c>
      <c r="AD23" s="149" t="str">
        <f>IF($B23=0,"",('MF Rollover'!AC23*($P23*(1+'Property Summary'!$L$22)^('MF Releasing'!AD$3-1)))*$C23)</f>
        <v/>
      </c>
      <c r="AE23" s="149" t="str">
        <f>IF($B23=0,"",('MF Rollover'!AD23*($P23*(1+'Property Summary'!$L$22)^('MF Releasing'!AE$3-1)))*$C23)</f>
        <v/>
      </c>
      <c r="AF23" s="149" t="str">
        <f>IF($B23=0,"",('MF Rollover'!AE23*($P23*(1+'Property Summary'!$L$22)^('MF Releasing'!AF$3-1)))*$C23)</f>
        <v/>
      </c>
      <c r="AG23" s="149" t="str">
        <f>IF($B23=0,"",('MF Rollover'!AF23*($P23*(1+'Property Summary'!$L$22)^('MF Releasing'!AG$3-1)))*$C23)</f>
        <v/>
      </c>
      <c r="AH23" s="149" t="str">
        <f>IF($B23=0,"",('MF Rollover'!AG23*($P23*(1+'Property Summary'!$L$22)^('MF Releasing'!AH$3-1)))*$C23)</f>
        <v/>
      </c>
      <c r="AI23" s="149" t="str">
        <f>IF($B23=0,"",('MF Rollover'!AH23*($P23*(1+'Property Summary'!$L$22)^('MF Releasing'!AI$3-1)))*$C23)</f>
        <v/>
      </c>
      <c r="AJ23" s="149" t="str">
        <f>IF($B23=0,"",('MF Rollover'!AI23*($P23*(1+'Property Summary'!$L$22)^('MF Releasing'!AJ$3-1)))*$C23)</f>
        <v/>
      </c>
      <c r="AK23" s="149" t="str">
        <f>IF($B23=0,"",('MF Rollover'!AJ23*($P23*(1+'Property Summary'!$L$22)^('MF Releasing'!AK$3-1)))*$C23)</f>
        <v/>
      </c>
      <c r="AL23" s="149" t="str">
        <f>IF($B23=0,"",('MF Rollover'!AK23*($P23*(1+'Property Summary'!$L$22)^('MF Releasing'!AL$3-1)))*$C23)</f>
        <v/>
      </c>
      <c r="AM23" s="149" t="str">
        <f>IF($B23=0,"",('MF Rollover'!AL23*($P23*(1+'Property Summary'!$L$22)^('MF Releasing'!AM$3-1)))*$C23)</f>
        <v/>
      </c>
      <c r="AN23" s="149" t="str">
        <f>IF($B23=0,"",('MF Rollover'!AM23*($P23*(1+'Property Summary'!$L$22)^('MF Releasing'!AN$3-1)))*$C23)</f>
        <v/>
      </c>
      <c r="AO23" s="149" t="str">
        <f>IF($B23=0,"",('MF Rollover'!AN23*($P23*(1+'Property Summary'!$L$22)^('MF Releasing'!AO$3-1)))*$C23)</f>
        <v/>
      </c>
      <c r="AP23" s="149" t="str">
        <f>IF($B23=0,"",('MF Rollover'!AO23*($P23*(1+'Property Summary'!$L$22)^('MF Releasing'!AP$3-1)))*$C23)</f>
        <v/>
      </c>
      <c r="AQ23" s="149" t="str">
        <f>IF($B23=0,"",('MF Rollover'!AP23*($P23*(1+'Property Summary'!$L$22)^('MF Releasing'!AQ$3-1)))*$C23)</f>
        <v/>
      </c>
      <c r="AR23" s="149" t="str">
        <f>IF($B23=0,"",('MF Rollover'!AQ23*($P23*(1+'Property Summary'!$L$22)^('MF Releasing'!AR$3-1)))*$C23)</f>
        <v/>
      </c>
      <c r="AS23" s="149" t="str">
        <f>IF($B23=0,"",('MF Rollover'!AR23*($P23*(1+'Property Summary'!$L$22)^('MF Releasing'!AS$3-1)))*$C23)</f>
        <v/>
      </c>
      <c r="AT23" s="149" t="str">
        <f>IF($B23=0,"",('MF Rollover'!AS23*($P23*(1+'Property Summary'!$L$22)^('MF Releasing'!AT$3-1)))*$C23)</f>
        <v/>
      </c>
      <c r="AU23" s="149" t="str">
        <f>IF($B23=0,"",('MF Rollover'!AT23*($P23*(1+'Property Summary'!$L$22)^('MF Releasing'!AU$3-1)))*$C23)</f>
        <v/>
      </c>
      <c r="AV23" s="149" t="str">
        <f>IF($B23=0,"",('MF Rollover'!AU23*($P23*(1+'Property Summary'!$L$22)^('MF Releasing'!AV$3-1)))*$C23)</f>
        <v/>
      </c>
      <c r="AW23" s="149" t="str">
        <f>IF($B23=0,"",('MF Rollover'!AV23*($P23*(1+'Property Summary'!$L$22)^('MF Releasing'!AW$3-1)))*$C23)</f>
        <v/>
      </c>
      <c r="AX23" s="149" t="str">
        <f>IF($B23=0,"",('MF Rollover'!AW23*($P23*(1+'Property Summary'!$L$22)^('MF Releasing'!AX$3-1)))*$C23)</f>
        <v/>
      </c>
      <c r="AY23" s="149" t="str">
        <f>IF($B23=0,"",('MF Rollover'!AX23*($P23*(1+'Property Summary'!$L$22)^('MF Releasing'!AY$3-1)))*$C23)</f>
        <v/>
      </c>
      <c r="AZ23" s="149" t="str">
        <f>IF($B23=0,"",('MF Rollover'!AY23*($P23*(1+'Property Summary'!$L$22)^('MF Releasing'!AZ$3-1)))*$C23)</f>
        <v/>
      </c>
      <c r="BA23" s="149" t="str">
        <f>IF($B23=0,"",('MF Rollover'!AZ23*($P23*(1+'Property Summary'!$L$22)^('MF Releasing'!BA$3-1)))*$C23)</f>
        <v/>
      </c>
      <c r="BB23" s="149" t="str">
        <f>IF($B23=0,"",('MF Rollover'!BA23*($P23*(1+'Property Summary'!$L$22)^('MF Releasing'!BB$3-1)))*$C23)</f>
        <v/>
      </c>
      <c r="BC23" s="149" t="str">
        <f>IF($B23=0,"",('MF Rollover'!BB23*($P23*(1+'Property Summary'!$L$22)^('MF Releasing'!BC$3-1)))*$C23)</f>
        <v/>
      </c>
      <c r="BD23" s="149" t="str">
        <f>IF($B23=0,"",('MF Rollover'!BC23*($P23*(1+'Property Summary'!$L$22)^('MF Releasing'!BD$3-1)))*$C23)</f>
        <v/>
      </c>
      <c r="BE23" s="149" t="str">
        <f>IF($B23=0,"",('MF Rollover'!BD23*($P23*(1+'Property Summary'!$L$22)^('MF Releasing'!BE$3-1)))*$C23)</f>
        <v/>
      </c>
      <c r="BF23" s="149" t="str">
        <f>IF($B23=0,"",('MF Rollover'!BE23*($P23*(1+'Property Summary'!$L$22)^('MF Releasing'!BF$3-1)))*$C23)</f>
        <v/>
      </c>
      <c r="BG23" s="149" t="str">
        <f>IF($B23=0,"",('MF Rollover'!BF23*($P23*(1+'Property Summary'!$L$22)^('MF Releasing'!BG$3-1)))*$C23)</f>
        <v/>
      </c>
      <c r="BH23" s="149" t="str">
        <f>IF($B23=0,"",('MF Rollover'!BG23*($P23*(1+'Property Summary'!$L$22)^('MF Releasing'!BH$3-1)))*$C23)</f>
        <v/>
      </c>
      <c r="BI23" s="149" t="str">
        <f>IF($B23=0,"",('MF Rollover'!BH23*($P23*(1+'Property Summary'!$L$22)^('MF Releasing'!BI$3-1)))*$C23)</f>
        <v/>
      </c>
      <c r="BJ23" s="149" t="str">
        <f>IF($B23=0,"",('MF Rollover'!BI23*($P23*(1+'Property Summary'!$L$22)^('MF Releasing'!BJ$3-1)))*$C23)</f>
        <v/>
      </c>
      <c r="BK23" s="149" t="str">
        <f>IF($B23=0,"",('MF Rollover'!BJ23*($P23*(1+'Property Summary'!$L$22)^('MF Releasing'!BK$3-1)))*$C23)</f>
        <v/>
      </c>
      <c r="BL23" s="149" t="str">
        <f>IF($B23=0,"",('MF Rollover'!BK23*($P23*(1+'Property Summary'!$L$22)^('MF Releasing'!BL$3-1)))*$C23)</f>
        <v/>
      </c>
      <c r="BM23" s="149" t="str">
        <f>IF($B23=0,"",('MF Rollover'!BL23*($P23*(1+'Property Summary'!$L$22)^('MF Releasing'!BM$3-1)))*$C23)</f>
        <v/>
      </c>
      <c r="BN23" s="149" t="str">
        <f>IF($B23=0,"",('MF Rollover'!BM23*($P23*(1+'Property Summary'!$L$22)^('MF Releasing'!BN$3-1)))*$C23)</f>
        <v/>
      </c>
      <c r="BO23" s="149" t="str">
        <f>IF($B23=0,"",('MF Rollover'!BN23*($P23*(1+'Property Summary'!$L$22)^('MF Releasing'!BO$3-1)))*$C23)</f>
        <v/>
      </c>
      <c r="BP23" s="149" t="str">
        <f>IF($B23=0,"",('MF Rollover'!BO23*($P23*(1+'Property Summary'!$L$22)^('MF Releasing'!BP$3-1)))*$C23)</f>
        <v/>
      </c>
      <c r="BQ23" s="149" t="str">
        <f>IF($B23=0,"",('MF Rollover'!BP23*($P23*(1+'Property Summary'!$L$22)^('MF Releasing'!BQ$3-1)))*$C23)</f>
        <v/>
      </c>
      <c r="BR23" s="149" t="str">
        <f>IF($B23=0,"",('MF Rollover'!BQ23*($P23*(1+'Property Summary'!$L$22)^('MF Releasing'!BR$3-1)))*$C23)</f>
        <v/>
      </c>
      <c r="BS23" s="149" t="str">
        <f>IF($B23=0,"",('MF Rollover'!BR23*($P23*(1+'Property Summary'!$L$22)^('MF Releasing'!BS$3-1)))*$C23)</f>
        <v/>
      </c>
      <c r="BT23" s="149" t="str">
        <f>IF($B23=0,"",('MF Rollover'!BS23*($P23*(1+'Property Summary'!$L$22)^('MF Releasing'!BT$3-1)))*$C23)</f>
        <v/>
      </c>
      <c r="BU23" s="149" t="str">
        <f>IF($B23=0,"",('MF Rollover'!BT23*($P23*(1+'Property Summary'!$L$22)^('MF Releasing'!BU$3-1)))*$C23)</f>
        <v/>
      </c>
      <c r="BV23" s="149" t="str">
        <f>IF($B23=0,"",('MF Rollover'!BU23*($P23*(1+'Property Summary'!$L$22)^('MF Releasing'!BV$3-1)))*$C23)</f>
        <v/>
      </c>
      <c r="BW23" s="149" t="str">
        <f>IF($B23=0,"",('MF Rollover'!BV23*($P23*(1+'Property Summary'!$L$22)^('MF Releasing'!BW$3-1)))*$C23)</f>
        <v/>
      </c>
      <c r="BX23" s="149" t="str">
        <f>IF($B23=0,"",('MF Rollover'!BW23*($P23*(1+'Property Summary'!$L$22)^('MF Releasing'!BX$3-1)))*$C23)</f>
        <v/>
      </c>
      <c r="BY23" s="149" t="str">
        <f>IF($B23=0,"",('MF Rollover'!BX23*($P23*(1+'Property Summary'!$L$22)^('MF Releasing'!BY$3-1)))*$C23)</f>
        <v/>
      </c>
      <c r="BZ23" s="149" t="str">
        <f>IF($B23=0,"",('MF Rollover'!BY23*($P23*(1+'Property Summary'!$L$22)^('MF Releasing'!BZ$3-1)))*$C23)</f>
        <v/>
      </c>
      <c r="CA23" s="149" t="str">
        <f>IF($B23=0,"",('MF Rollover'!BZ23*($P23*(1+'Property Summary'!$L$22)^('MF Releasing'!CA$3-1)))*$C23)</f>
        <v/>
      </c>
      <c r="CB23" s="149" t="str">
        <f>IF($B23=0,"",('MF Rollover'!CA23*($P23*(1+'Property Summary'!$L$22)^('MF Releasing'!CB$3-1)))*$C23)</f>
        <v/>
      </c>
      <c r="CC23" s="149" t="str">
        <f>IF($B23=0,"",('MF Rollover'!CB23*($P23*(1+'Property Summary'!$L$22)^('MF Releasing'!CC$3-1)))*$C23)</f>
        <v/>
      </c>
      <c r="CD23" s="149" t="str">
        <f>IF($B23=0,"",('MF Rollover'!CC23*($P23*(1+'Property Summary'!$L$22)^('MF Releasing'!CD$3-1)))*$C23)</f>
        <v/>
      </c>
      <c r="CE23" s="149" t="str">
        <f>IF($B23=0,"",('MF Rollover'!CD23*($P23*(1+'Property Summary'!$L$22)^('MF Releasing'!CE$3-1)))*$C23)</f>
        <v/>
      </c>
      <c r="CF23" s="149" t="str">
        <f>IF($B23=0,"",('MF Rollover'!CE23*($P23*(1+'Property Summary'!$L$22)^('MF Releasing'!CF$3-1)))*$C23)</f>
        <v/>
      </c>
      <c r="CG23" s="149" t="str">
        <f>IF($B23=0,"",('MF Rollover'!CF23*($P23*(1+'Property Summary'!$L$22)^('MF Releasing'!CG$3-1)))*$C23)</f>
        <v/>
      </c>
      <c r="CH23" s="149" t="str">
        <f>IF($B23=0,"",('MF Rollover'!CG23*($P23*(1+'Property Summary'!$L$22)^('MF Releasing'!CH$3-1)))*$C23)</f>
        <v/>
      </c>
      <c r="CI23" s="149" t="str">
        <f>IF($B23=0,"",('MF Rollover'!CH23*($P23*(1+'Property Summary'!$L$22)^('MF Releasing'!CI$3-1)))*$C23)</f>
        <v/>
      </c>
      <c r="CJ23" s="149" t="str">
        <f>IF($B23=0,"",('MF Rollover'!CI23*($P23*(1+'Property Summary'!$L$22)^('MF Releasing'!CJ$3-1)))*$C23)</f>
        <v/>
      </c>
      <c r="CK23" s="149" t="str">
        <f>IF($B23=0,"",('MF Rollover'!CJ23*($P23*(1+'Property Summary'!$L$22)^('MF Releasing'!CK$3-1)))*$C23)</f>
        <v/>
      </c>
      <c r="CL23" s="149" t="str">
        <f>IF($B23=0,"",('MF Rollover'!CK23*($P23*(1+'Property Summary'!$L$22)^('MF Releasing'!CL$3-1)))*$C23)</f>
        <v/>
      </c>
      <c r="CM23" s="149" t="str">
        <f>IF($B23=0,"",('MF Rollover'!CL23*($P23*(1+'Property Summary'!$L$22)^('MF Releasing'!CM$3-1)))*$C23)</f>
        <v/>
      </c>
      <c r="CN23" s="149" t="str">
        <f>IF($B23=0,"",('MF Rollover'!CM23*($P23*(1+'Property Summary'!$L$22)^('MF Releasing'!CN$3-1)))*$C23)</f>
        <v/>
      </c>
      <c r="CO23" s="149" t="str">
        <f>IF($B23=0,"",('MF Rollover'!CN23*($P23*(1+'Property Summary'!$L$22)^('MF Releasing'!CO$3-1)))*$C23)</f>
        <v/>
      </c>
      <c r="CP23" s="149" t="str">
        <f>IF($B23=0,"",('MF Rollover'!CO23*($P23*(1+'Property Summary'!$L$22)^('MF Releasing'!CP$3-1)))*$C23)</f>
        <v/>
      </c>
      <c r="CQ23" s="149" t="str">
        <f>IF($B23=0,"",('MF Rollover'!CP23*($P23*(1+'Property Summary'!$L$22)^('MF Releasing'!CQ$3-1)))*$C23)</f>
        <v/>
      </c>
      <c r="CR23" s="149" t="str">
        <f>IF($B23=0,"",('MF Rollover'!CQ23*($P23*(1+'Property Summary'!$L$22)^('MF Releasing'!CR$3-1)))*$C23)</f>
        <v/>
      </c>
      <c r="CS23" s="149" t="str">
        <f>IF($B23=0,"",('MF Rollover'!CR23*($P23*(1+'Property Summary'!$L$22)^('MF Releasing'!CS$3-1)))*$C23)</f>
        <v/>
      </c>
      <c r="CT23" s="149" t="str">
        <f>IF($B23=0,"",('MF Rollover'!CS23*($P23*(1+'Property Summary'!$L$22)^('MF Releasing'!CT$3-1)))*$C23)</f>
        <v/>
      </c>
      <c r="CU23" s="149" t="str">
        <f>IF($B23=0,"",('MF Rollover'!CT23*($P23*(1+'Property Summary'!$L$22)^('MF Releasing'!CU$3-1)))*$C23)</f>
        <v/>
      </c>
      <c r="CV23" s="149" t="str">
        <f>IF($B23=0,"",('MF Rollover'!CU23*($P23*(1+'Property Summary'!$L$22)^('MF Releasing'!CV$3-1)))*$C23)</f>
        <v/>
      </c>
      <c r="CW23" s="149" t="str">
        <f>IF($B23=0,"",('MF Rollover'!CV23*($P23*(1+'Property Summary'!$L$22)^('MF Releasing'!CW$3-1)))*$C23)</f>
        <v/>
      </c>
      <c r="CX23" s="149" t="str">
        <f>IF($B23=0,"",('MF Rollover'!CW23*($P23*(1+'Property Summary'!$L$22)^('MF Releasing'!CX$3-1)))*$C23)</f>
        <v/>
      </c>
      <c r="CY23" s="149" t="str">
        <f>IF($B23=0,"",('MF Rollover'!CX23*($P23*(1+'Property Summary'!$L$22)^('MF Releasing'!CY$3-1)))*$C23)</f>
        <v/>
      </c>
      <c r="CZ23" s="149" t="str">
        <f>IF($B23=0,"",('MF Rollover'!CY23*($P23*(1+'Property Summary'!$L$22)^('MF Releasing'!CZ$3-1)))*$C23)</f>
        <v/>
      </c>
      <c r="DA23" s="149" t="str">
        <f>IF($B23=0,"",('MF Rollover'!CZ23*($P23*(1+'Property Summary'!$L$22)^('MF Releasing'!DA$3-1)))*$C23)</f>
        <v/>
      </c>
      <c r="DB23" s="149" t="str">
        <f>IF($B23=0,"",('MF Rollover'!DA23*($P23*(1+'Property Summary'!$L$22)^('MF Releasing'!DB$3-1)))*$C23)</f>
        <v/>
      </c>
      <c r="DC23" s="149" t="str">
        <f>IF($B23=0,"",('MF Rollover'!DB23*($P23*(1+'Property Summary'!$L$22)^('MF Releasing'!DC$3-1)))*$C23)</f>
        <v/>
      </c>
      <c r="DD23" s="149" t="str">
        <f>IF($B23=0,"",('MF Rollover'!DC23*($P23*(1+'Property Summary'!$L$22)^('MF Releasing'!DD$3-1)))*$C23)</f>
        <v/>
      </c>
      <c r="DE23" s="149" t="str">
        <f>IF($B23=0,"",('MF Rollover'!DD23*($P23*(1+'Property Summary'!$L$22)^('MF Releasing'!DE$3-1)))*$C23)</f>
        <v/>
      </c>
      <c r="DF23" s="149" t="str">
        <f>IF($B23=0,"",('MF Rollover'!DE23*($P23*(1+'Property Summary'!$L$22)^('MF Releasing'!DF$3-1)))*$C23)</f>
        <v/>
      </c>
      <c r="DG23" s="149" t="str">
        <f>IF($B23=0,"",('MF Rollover'!DF23*($P23*(1+'Property Summary'!$L$22)^('MF Releasing'!DG$3-1)))*$C23)</f>
        <v/>
      </c>
      <c r="DH23" s="149" t="str">
        <f>IF($B23=0,"",('MF Rollover'!DG23*($P23*(1+'Property Summary'!$L$22)^('MF Releasing'!DH$3-1)))*$C23)</f>
        <v/>
      </c>
      <c r="DI23" s="149" t="str">
        <f>IF($B23=0,"",('MF Rollover'!DH23*($P23*(1+'Property Summary'!$L$22)^('MF Releasing'!DI$3-1)))*$C23)</f>
        <v/>
      </c>
      <c r="DJ23" s="149" t="str">
        <f>IF($B23=0,"",('MF Rollover'!DI23*($P23*(1+'Property Summary'!$L$22)^('MF Releasing'!DJ$3-1)))*$C23)</f>
        <v/>
      </c>
      <c r="DK23" s="149" t="str">
        <f>IF($B23=0,"",('MF Rollover'!DJ23*($P23*(1+'Property Summary'!$L$22)^('MF Releasing'!DK$3-1)))*$C23)</f>
        <v/>
      </c>
      <c r="DL23" s="149" t="str">
        <f>IF($B23=0,"",('MF Rollover'!DK23*($P23*(1+'Property Summary'!$L$22)^('MF Releasing'!DL$3-1)))*$C23)</f>
        <v/>
      </c>
      <c r="DM23" s="149" t="str">
        <f>IF($B23=0,"",('MF Rollover'!DL23*($P23*(1+'Property Summary'!$L$22)^('MF Releasing'!DM$3-1)))*$C23)</f>
        <v/>
      </c>
      <c r="DN23" s="149" t="str">
        <f>IF($B23=0,"",('MF Rollover'!DM23*($P23*(1+'Property Summary'!$L$22)^('MF Releasing'!DN$3-1)))*$C23)</f>
        <v/>
      </c>
      <c r="DO23" s="149" t="str">
        <f>IF($B23=0,"",('MF Rollover'!DN23*($P23*(1+'Property Summary'!$L$22)^('MF Releasing'!DO$3-1)))*$C23)</f>
        <v/>
      </c>
      <c r="DP23" s="149" t="str">
        <f>IF($B23=0,"",('MF Rollover'!DO23*($P23*(1+'Property Summary'!$L$22)^('MF Releasing'!DP$3-1)))*$C23)</f>
        <v/>
      </c>
      <c r="DQ23" s="149" t="str">
        <f>IF($B23=0,"",('MF Rollover'!DP23*($P23*(1+'Property Summary'!$L$22)^('MF Releasing'!DQ$3-1)))*$C23)</f>
        <v/>
      </c>
      <c r="DR23" s="149" t="str">
        <f>IF($B23=0,"",('MF Rollover'!DQ23*($P23*(1+'Property Summary'!$L$22)^('MF Releasing'!DR$3-1)))*$C23)</f>
        <v/>
      </c>
      <c r="DS23" s="149" t="str">
        <f>IF($B23=0,"",('MF Rollover'!DR23*($P23*(1+'Property Summary'!$L$22)^('MF Releasing'!DS$3-1)))*$C23)</f>
        <v/>
      </c>
      <c r="DT23" s="149" t="str">
        <f>IF($B23=0,"",('MF Rollover'!DS23*($P23*(1+'Property Summary'!$L$22)^('MF Releasing'!DT$3-1)))*$C23)</f>
        <v/>
      </c>
      <c r="DU23" s="149" t="str">
        <f>IF($B23=0,"",('MF Rollover'!DT23*($P23*(1+'Property Summary'!$L$22)^('MF Releasing'!DU$3-1)))*$C23)</f>
        <v/>
      </c>
      <c r="DV23" s="149" t="str">
        <f>IF($B23=0,"",('MF Rollover'!DU23*($P23*(1+'Property Summary'!$L$22)^('MF Releasing'!DV$3-1)))*$C23)</f>
        <v/>
      </c>
      <c r="DW23" s="149" t="str">
        <f>IF($B23=0,"",('MF Rollover'!DV23*($P23*(1+'Property Summary'!$L$22)^('MF Releasing'!DW$3-1)))*$C23)</f>
        <v/>
      </c>
      <c r="DX23" s="149" t="str">
        <f>IF($B23=0,"",('MF Rollover'!DW23*($P23*(1+'Property Summary'!$L$22)^('MF Releasing'!DX$3-1)))*$C23)</f>
        <v/>
      </c>
      <c r="DY23" s="149" t="str">
        <f>IF($B23=0,"",('MF Rollover'!DX23*($P23*(1+'Property Summary'!$L$22)^('MF Releasing'!DY$3-1)))*$C23)</f>
        <v/>
      </c>
      <c r="DZ23" s="149" t="str">
        <f>IF($B23=0,"",('MF Rollover'!DY23*($P23*(1+'Property Summary'!$L$22)^('MF Releasing'!DZ$3-1)))*$C23)</f>
        <v/>
      </c>
      <c r="EA23" s="149" t="str">
        <f>IF($B23=0,"",('MF Rollover'!DZ23*($P23*(1+'Property Summary'!$L$22)^('MF Releasing'!EA$3-1)))*$C23)</f>
        <v/>
      </c>
      <c r="EB23" s="149" t="str">
        <f>IF($B23=0,"",('MF Rollover'!EA23*($P23*(1+'Property Summary'!$L$22)^('MF Releasing'!EB$3-1)))*$C23)</f>
        <v/>
      </c>
      <c r="EC23" s="149" t="str">
        <f>IF($B23=0,"",('MF Rollover'!EB23*($P23*(1+'Property Summary'!$L$22)^('MF Releasing'!EC$3-1)))*$C23)</f>
        <v/>
      </c>
      <c r="ED23" s="149" t="str">
        <f>IF($B23=0,"",('MF Rollover'!EC23*($P23*(1+'Property Summary'!$L$22)^('MF Releasing'!ED$3-1)))*$C23)</f>
        <v/>
      </c>
      <c r="EE23" s="149" t="str">
        <f>IF($B23=0,"",('MF Rollover'!ED23*($P23*(1+'Property Summary'!$L$22)^('MF Releasing'!EE$3-1)))*$C23)</f>
        <v/>
      </c>
      <c r="EF23" s="149" t="str">
        <f>IF($B23=0,"",('MF Rollover'!EE23*($P23*(1+'Property Summary'!$L$22)^('MF Releasing'!EF$3-1)))*$C23)</f>
        <v/>
      </c>
      <c r="EG23" s="149" t="str">
        <f>IF($B23=0,"",('MF Rollover'!EF23*($P23*(1+'Property Summary'!$L$22)^('MF Releasing'!EG$3-1)))*$C23)</f>
        <v/>
      </c>
      <c r="EH23" s="149" t="str">
        <f>IF($B23=0,"",('MF Rollover'!EG23*($P23*(1+'Property Summary'!$L$22)^('MF Releasing'!EH$3-1)))*$C23)</f>
        <v/>
      </c>
      <c r="EI23" s="149" t="str">
        <f>IF($B23=0,"",('MF Rollover'!EH23*($P23*(1+'Property Summary'!$L$22)^('MF Releasing'!EI$3-1)))*$C23)</f>
        <v/>
      </c>
      <c r="EJ23" s="149" t="str">
        <f>IF($B23=0,"",('MF Rollover'!EI23*($P23*(1+'Property Summary'!$L$22)^('MF Releasing'!EJ$3-1)))*$C23)</f>
        <v/>
      </c>
      <c r="EK23" s="149" t="str">
        <f>IF($B23=0,"",('MF Rollover'!EJ23*($P23*(1+'Property Summary'!$L$22)^('MF Releasing'!EK$3-1)))*$C23)</f>
        <v/>
      </c>
      <c r="EL23" s="149" t="str">
        <f>IF($B23=0,"",('MF Rollover'!EK23*($P23*(1+'Property Summary'!$L$22)^('MF Releasing'!EL$3-1)))*$C23)</f>
        <v/>
      </c>
      <c r="EM23" s="149" t="str">
        <f>IF($B23=0,"",('MF Rollover'!EL23*($P23*(1+'Property Summary'!$L$22)^('MF Releasing'!EM$3-1)))*$C23)</f>
        <v/>
      </c>
      <c r="EN23" s="149" t="str">
        <f>IF($B23=0,"",('MF Rollover'!EM23*($P23*(1+'Property Summary'!$L$22)^('MF Releasing'!EN$3-1)))*$C23)</f>
        <v/>
      </c>
      <c r="EO23" s="149" t="str">
        <f>IF($B23=0,"",('MF Rollover'!EN23*($P23*(1+'Property Summary'!$L$22)^('MF Releasing'!EO$3-1)))*$C23)</f>
        <v/>
      </c>
      <c r="EP23" s="149" t="str">
        <f>IF($B23=0,"",('MF Rollover'!EO23*($P23*(1+'Property Summary'!$L$22)^('MF Releasing'!EP$3-1)))*$C23)</f>
        <v/>
      </c>
      <c r="EQ23" s="149" t="str">
        <f>IF($B23=0,"",('MF Rollover'!EP23*($P23*(1+'Property Summary'!$L$22)^('MF Releasing'!EQ$3-1)))*$C23)</f>
        <v/>
      </c>
      <c r="ER23" s="149" t="str">
        <f>IF($B23=0,"",('MF Rollover'!EQ23*($P23*(1+'Property Summary'!$L$22)^('MF Releasing'!ER$3-1)))*$C23)</f>
        <v/>
      </c>
      <c r="ES23" s="149" t="str">
        <f>IF($B23=0,"",('MF Rollover'!ER23*($P23*(1+'Property Summary'!$L$22)^('MF Releasing'!ES$3-1)))*$C23)</f>
        <v/>
      </c>
      <c r="ET23" s="149" t="str">
        <f>IF($B23=0,"",('MF Rollover'!ES23*($P23*(1+'Property Summary'!$L$22)^('MF Releasing'!ET$3-1)))*$C23)</f>
        <v/>
      </c>
      <c r="EU23" s="149" t="str">
        <f>IF($B23=0,"",('MF Rollover'!ET23*($P23*(1+'Property Summary'!$L$22)^('MF Releasing'!EU$3-1)))*$C23)</f>
        <v/>
      </c>
      <c r="EV23" s="149" t="str">
        <f>IF($B23=0,"",('MF Rollover'!EU23*($P23*(1+'Property Summary'!$L$22)^('MF Releasing'!EV$3-1)))*$C23)</f>
        <v/>
      </c>
      <c r="EW23" s="149" t="str">
        <f>IF($B23=0,"",('MF Rollover'!EV23*($P23*(1+'Property Summary'!$L$22)^('MF Releasing'!EW$3-1)))*$C23)</f>
        <v/>
      </c>
      <c r="EX23" s="149" t="str">
        <f>IF($B23=0,"",('MF Rollover'!EW23*($P23*(1+'Property Summary'!$L$22)^('MF Releasing'!EX$3-1)))*$C23)</f>
        <v/>
      </c>
      <c r="EY23" s="149" t="str">
        <f>IF($B23=0,"",('MF Rollover'!EX23*($P23*(1+'Property Summary'!$L$22)^('MF Releasing'!EY$3-1)))*$C23)</f>
        <v/>
      </c>
      <c r="EZ23" s="149" t="str">
        <f>IF($B23=0,"",('MF Rollover'!EY23*($P23*(1+'Property Summary'!$L$22)^('MF Releasing'!EZ$3-1)))*$C23)</f>
        <v/>
      </c>
      <c r="FA23" s="149" t="str">
        <f>IF($B23=0,"",('MF Rollover'!EZ23*($P23*(1+'Property Summary'!$L$22)^('MF Releasing'!FA$3-1)))*$C23)</f>
        <v/>
      </c>
      <c r="FB23" s="149" t="str">
        <f>IF($B23=0,"",('MF Rollover'!FA23*($P23*(1+'Property Summary'!$L$22)^('MF Releasing'!FB$3-1)))*$C23)</f>
        <v/>
      </c>
      <c r="FC23" s="149" t="str">
        <f>IF($B23=0,"",('MF Rollover'!FB23*($P23*(1+'Property Summary'!$L$22)^('MF Releasing'!FC$3-1)))*$C23)</f>
        <v/>
      </c>
      <c r="FD23" s="149" t="str">
        <f>IF($B23=0,"",('MF Rollover'!FC23*($P23*(1+'Property Summary'!$L$22)^('MF Releasing'!FD$3-1)))*$C23)</f>
        <v/>
      </c>
      <c r="FE23" s="149" t="str">
        <f>IF($B23=0,"",('MF Rollover'!FD23*($P23*(1+'Property Summary'!$L$22)^('MF Releasing'!FE$3-1)))*$C23)</f>
        <v/>
      </c>
      <c r="FF23" s="149" t="str">
        <f>IF($B23=0,"",('MF Rollover'!FE23*($P23*(1+'Property Summary'!$L$22)^('MF Releasing'!FF$3-1)))*$C23)</f>
        <v/>
      </c>
      <c r="FG23" s="149" t="str">
        <f>IF($B23=0,"",('MF Rollover'!FF23*($P23*(1+'Property Summary'!$L$22)^('MF Releasing'!FG$3-1)))*$C23)</f>
        <v/>
      </c>
      <c r="FH23" s="149" t="str">
        <f>IF($B23=0,"",('MF Rollover'!FG23*($P23*(1+'Property Summary'!$L$22)^('MF Releasing'!FH$3-1)))*$C23)</f>
        <v/>
      </c>
      <c r="FI23" s="149" t="str">
        <f>IF($B23=0,"",('MF Rollover'!FH23*($P23*(1+'Property Summary'!$L$22)^('MF Releasing'!FI$3-1)))*$C23)</f>
        <v/>
      </c>
      <c r="FJ23" s="149" t="str">
        <f>IF($B23=0,"",('MF Rollover'!FI23*($P23*(1+'Property Summary'!$L$22)^('MF Releasing'!FJ$3-1)))*$C23)</f>
        <v/>
      </c>
      <c r="FK23" s="149" t="str">
        <f>IF($B23=0,"",('MF Rollover'!FJ23*($P23*(1+'Property Summary'!$L$22)^('MF Releasing'!FK$3-1)))*$C23)</f>
        <v/>
      </c>
      <c r="FL23" s="149" t="str">
        <f>IF($B23=0,"",('MF Rollover'!FK23*($P23*(1+'Property Summary'!$L$22)^('MF Releasing'!FL$3-1)))*$C23)</f>
        <v/>
      </c>
      <c r="FM23" s="149" t="str">
        <f>IF($B23=0,"",('MF Rollover'!FL23*($P23*(1+'Property Summary'!$L$22)^('MF Releasing'!FM$3-1)))*$C23)</f>
        <v/>
      </c>
      <c r="FN23" s="149" t="str">
        <f>IF($B23=0,"",('MF Rollover'!FM23*($P23*(1+'Property Summary'!$L$22)^('MF Releasing'!FN$3-1)))*$C23)</f>
        <v/>
      </c>
      <c r="FO23" s="149" t="str">
        <f>IF($B23=0,"",('MF Rollover'!FN23*($P23*(1+'Property Summary'!$L$22)^('MF Releasing'!FO$3-1)))*$C23)</f>
        <v/>
      </c>
      <c r="FP23" s="149" t="str">
        <f>IF($B23=0,"",('MF Rollover'!FO23*($P23*(1+'Property Summary'!$L$22)^('MF Releasing'!FP$3-1)))*$C23)</f>
        <v/>
      </c>
      <c r="FQ23" s="149" t="str">
        <f>IF($B23=0,"",('MF Rollover'!FP23*($P23*(1+'Property Summary'!$L$22)^('MF Releasing'!FQ$3-1)))*$C23)</f>
        <v/>
      </c>
      <c r="FR23" s="149" t="str">
        <f>IF($B23=0,"",('MF Rollover'!FQ23*($P23*(1+'Property Summary'!$L$22)^('MF Releasing'!FR$3-1)))*$C23)</f>
        <v/>
      </c>
      <c r="FS23" s="149" t="str">
        <f>IF($B23=0,"",('MF Rollover'!FR23*($P23*(1+'Property Summary'!$L$22)^('MF Releasing'!FS$3-1)))*$C23)</f>
        <v/>
      </c>
      <c r="FT23" s="149" t="str">
        <f>IF($B23=0,"",('MF Rollover'!FS23*($P23*(1+'Property Summary'!$L$22)^('MF Releasing'!FT$3-1)))*$C23)</f>
        <v/>
      </c>
      <c r="FU23" s="149" t="str">
        <f>IF($B23=0,"",('MF Rollover'!FT23*($P23*(1+'Property Summary'!$L$22)^('MF Releasing'!FU$3-1)))*$C23)</f>
        <v/>
      </c>
      <c r="FV23" s="149" t="str">
        <f>IF($B23=0,"",('MF Rollover'!FU23*($P23*(1+'Property Summary'!$L$22)^('MF Releasing'!FV$3-1)))*$C23)</f>
        <v/>
      </c>
      <c r="FW23" s="149" t="str">
        <f>IF($B23=0,"",('MF Rollover'!FV23*($P23*(1+'Property Summary'!$L$22)^('MF Releasing'!FW$3-1)))*$C23)</f>
        <v/>
      </c>
      <c r="FX23" s="149" t="str">
        <f>IF($B23=0,"",('MF Rollover'!FW23*($P23*(1+'Property Summary'!$L$22)^('MF Releasing'!FX$3-1)))*$C23)</f>
        <v/>
      </c>
      <c r="FY23" s="149" t="str">
        <f>IF($B23=0,"",('MF Rollover'!FX23*($P23*(1+'Property Summary'!$L$22)^('MF Releasing'!FY$3-1)))*$C23)</f>
        <v/>
      </c>
      <c r="FZ23" s="149" t="str">
        <f>IF($B23=0,"",('MF Rollover'!FY23*($P23*(1+'Property Summary'!$L$22)^('MF Releasing'!FZ$3-1)))*$C23)</f>
        <v/>
      </c>
      <c r="GA23" s="149" t="str">
        <f>IF($B23=0,"",('MF Rollover'!FZ23*($P23*(1+'Property Summary'!$L$22)^('MF Releasing'!GA$3-1)))*$C23)</f>
        <v/>
      </c>
      <c r="GB23" s="149" t="str">
        <f>IF($B23=0,"",('MF Rollover'!GA23*($P23*(1+'Property Summary'!$L$22)^('MF Releasing'!GB$3-1)))*$C23)</f>
        <v/>
      </c>
      <c r="GC23" s="149" t="str">
        <f>IF($B23=0,"",('MF Rollover'!GB23*($P23*(1+'Property Summary'!$L$22)^('MF Releasing'!GC$3-1)))*$C23)</f>
        <v/>
      </c>
      <c r="GD23" s="149" t="str">
        <f>IF($B23=0,"",('MF Rollover'!GC23*($P23*(1+'Property Summary'!$L$22)^('MF Releasing'!GD$3-1)))*$C23)</f>
        <v/>
      </c>
      <c r="GE23" s="149" t="str">
        <f>IF($B23=0,"",('MF Rollover'!GD23*($P23*(1+'Property Summary'!$L$22)^('MF Releasing'!GE$3-1)))*$C23)</f>
        <v/>
      </c>
      <c r="GF23" s="149" t="str">
        <f>IF($B23=0,"",('MF Rollover'!GE23*($P23*(1+'Property Summary'!$L$22)^('MF Releasing'!GF$3-1)))*$C23)</f>
        <v/>
      </c>
      <c r="GG23" s="149" t="str">
        <f>IF($B23=0,"",('MF Rollover'!GF23*($P23*(1+'Property Summary'!$L$22)^('MF Releasing'!GG$3-1)))*$C23)</f>
        <v/>
      </c>
      <c r="GH23" s="149" t="str">
        <f>IF($B23=0,"",('MF Rollover'!GG23*($P23*(1+'Property Summary'!$L$22)^('MF Releasing'!GH$3-1)))*$C23)</f>
        <v/>
      </c>
      <c r="GI23" s="149" t="str">
        <f>IF($B23=0,"",('MF Rollover'!GH23*($P23*(1+'Property Summary'!$L$22)^('MF Releasing'!GI$3-1)))*$C23)</f>
        <v/>
      </c>
      <c r="GJ23" s="149" t="str">
        <f>IF($B23=0,"",('MF Rollover'!GI23*($P23*(1+'Property Summary'!$L$22)^('MF Releasing'!GJ$3-1)))*$C23)</f>
        <v/>
      </c>
      <c r="GK23" s="149" t="str">
        <f>IF($B23=0,"",('MF Rollover'!GJ23*($P23*(1+'Property Summary'!$L$22)^('MF Releasing'!GK$3-1)))*$C23)</f>
        <v/>
      </c>
      <c r="GL23" s="149" t="str">
        <f>IF($B23=0,"",('MF Rollover'!GK23*($P23*(1+'Property Summary'!$L$22)^('MF Releasing'!GL$3-1)))*$C23)</f>
        <v/>
      </c>
      <c r="GM23" s="149" t="str">
        <f>IF($B23=0,"",('MF Rollover'!GL23*($P23*(1+'Property Summary'!$L$22)^('MF Releasing'!GM$3-1)))*$C23)</f>
        <v/>
      </c>
      <c r="GN23" s="149" t="str">
        <f>IF($B23=0,"",('MF Rollover'!GM23*($P23*(1+'Property Summary'!$L$22)^('MF Releasing'!GN$3-1)))*$C23)</f>
        <v/>
      </c>
      <c r="GO23" s="149" t="str">
        <f>IF($B23=0,"",('MF Rollover'!GN23*($P23*(1+'Property Summary'!$L$22)^('MF Releasing'!GO$3-1)))*$C23)</f>
        <v/>
      </c>
      <c r="GP23" s="149" t="str">
        <f>IF($B23=0,"",('MF Rollover'!GO23*($P23*(1+'Property Summary'!$L$22)^('MF Releasing'!GP$3-1)))*$C23)</f>
        <v/>
      </c>
    </row>
    <row r="24" spans="2:198" x14ac:dyDescent="0.3">
      <c r="B24" s="184">
        <f>'MF Rent Roll'!B23</f>
        <v>0</v>
      </c>
      <c r="C24" s="171">
        <f>'MF Rent Roll'!C23</f>
        <v>0</v>
      </c>
      <c r="D24" s="172">
        <f>'MF Rent Roll'!D23</f>
        <v>0</v>
      </c>
      <c r="E24" s="172">
        <f>'MF Rent Roll'!E23</f>
        <v>0</v>
      </c>
      <c r="F24" s="173">
        <f>'MF Rent Roll'!F23</f>
        <v>0</v>
      </c>
      <c r="G24" s="174">
        <f>'MF Rent Roll'!G23</f>
        <v>0</v>
      </c>
      <c r="H24" s="176">
        <f>'MF Rent Roll'!J23</f>
        <v>0</v>
      </c>
      <c r="I24" s="174">
        <f>'MF Rent Roll'!K23</f>
        <v>0</v>
      </c>
      <c r="J24" s="177">
        <f>'MF Rent Roll'!L23</f>
        <v>0</v>
      </c>
      <c r="K24" s="178">
        <f>'MF Rent Roll'!M23</f>
        <v>0</v>
      </c>
      <c r="L24" s="174">
        <f>'MF Rent Roll'!N23</f>
        <v>0</v>
      </c>
      <c r="M24" s="179">
        <f>'MF Rent Roll'!O23</f>
        <v>0</v>
      </c>
      <c r="N24" s="180" t="str">
        <f>'MF Rent Roll'!P23</f>
        <v/>
      </c>
      <c r="O24" s="181" t="str">
        <f>'MF Rent Roll'!Q23</f>
        <v/>
      </c>
      <c r="P24" s="104" t="str">
        <f>'MF Rent Roll'!R23</f>
        <v/>
      </c>
      <c r="S24" s="149" t="str">
        <f>IF($B24=0,"",('MF Rollover'!R24*($P24*(1+'Property Summary'!$L$22)^('MF Releasing'!S$3-1)))*$C24)</f>
        <v/>
      </c>
      <c r="T24" s="149" t="str">
        <f>IF($B24=0,"",('MF Rollover'!S24*($P24*(1+'Property Summary'!$L$22)^('MF Releasing'!T$3-1)))*$C24)</f>
        <v/>
      </c>
      <c r="U24" s="149" t="str">
        <f>IF($B24=0,"",('MF Rollover'!T24*($P24*(1+'Property Summary'!$L$22)^('MF Releasing'!U$3-1)))*$C24)</f>
        <v/>
      </c>
      <c r="V24" s="149" t="str">
        <f>IF($B24=0,"",('MF Rollover'!U24*($P24*(1+'Property Summary'!$L$22)^('MF Releasing'!V$3-1)))*$C24)</f>
        <v/>
      </c>
      <c r="W24" s="149" t="str">
        <f>IF($B24=0,"",('MF Rollover'!V24*($P24*(1+'Property Summary'!$L$22)^('MF Releasing'!W$3-1)))*$C24)</f>
        <v/>
      </c>
      <c r="X24" s="149" t="str">
        <f>IF($B24=0,"",('MF Rollover'!W24*($P24*(1+'Property Summary'!$L$22)^('MF Releasing'!X$3-1)))*$C24)</f>
        <v/>
      </c>
      <c r="Y24" s="149" t="str">
        <f>IF($B24=0,"",('MF Rollover'!X24*($P24*(1+'Property Summary'!$L$22)^('MF Releasing'!Y$3-1)))*$C24)</f>
        <v/>
      </c>
      <c r="Z24" s="149" t="str">
        <f>IF($B24=0,"",('MF Rollover'!Y24*($P24*(1+'Property Summary'!$L$22)^('MF Releasing'!Z$3-1)))*$C24)</f>
        <v/>
      </c>
      <c r="AA24" s="149" t="str">
        <f>IF($B24=0,"",('MF Rollover'!Z24*($P24*(1+'Property Summary'!$L$22)^('MF Releasing'!AA$3-1)))*$C24)</f>
        <v/>
      </c>
      <c r="AB24" s="149" t="str">
        <f>IF($B24=0,"",('MF Rollover'!AA24*($P24*(1+'Property Summary'!$L$22)^('MF Releasing'!AB$3-1)))*$C24)</f>
        <v/>
      </c>
      <c r="AC24" s="149" t="str">
        <f>IF($B24=0,"",('MF Rollover'!AB24*($P24*(1+'Property Summary'!$L$22)^('MF Releasing'!AC$3-1)))*$C24)</f>
        <v/>
      </c>
      <c r="AD24" s="149" t="str">
        <f>IF($B24=0,"",('MF Rollover'!AC24*($P24*(1+'Property Summary'!$L$22)^('MF Releasing'!AD$3-1)))*$C24)</f>
        <v/>
      </c>
      <c r="AE24" s="149" t="str">
        <f>IF($B24=0,"",('MF Rollover'!AD24*($P24*(1+'Property Summary'!$L$22)^('MF Releasing'!AE$3-1)))*$C24)</f>
        <v/>
      </c>
      <c r="AF24" s="149" t="str">
        <f>IF($B24=0,"",('MF Rollover'!AE24*($P24*(1+'Property Summary'!$L$22)^('MF Releasing'!AF$3-1)))*$C24)</f>
        <v/>
      </c>
      <c r="AG24" s="149" t="str">
        <f>IF($B24=0,"",('MF Rollover'!AF24*($P24*(1+'Property Summary'!$L$22)^('MF Releasing'!AG$3-1)))*$C24)</f>
        <v/>
      </c>
      <c r="AH24" s="149" t="str">
        <f>IF($B24=0,"",('MF Rollover'!AG24*($P24*(1+'Property Summary'!$L$22)^('MF Releasing'!AH$3-1)))*$C24)</f>
        <v/>
      </c>
      <c r="AI24" s="149" t="str">
        <f>IF($B24=0,"",('MF Rollover'!AH24*($P24*(1+'Property Summary'!$L$22)^('MF Releasing'!AI$3-1)))*$C24)</f>
        <v/>
      </c>
      <c r="AJ24" s="149" t="str">
        <f>IF($B24=0,"",('MF Rollover'!AI24*($P24*(1+'Property Summary'!$L$22)^('MF Releasing'!AJ$3-1)))*$C24)</f>
        <v/>
      </c>
      <c r="AK24" s="149" t="str">
        <f>IF($B24=0,"",('MF Rollover'!AJ24*($P24*(1+'Property Summary'!$L$22)^('MF Releasing'!AK$3-1)))*$C24)</f>
        <v/>
      </c>
      <c r="AL24" s="149" t="str">
        <f>IF($B24=0,"",('MF Rollover'!AK24*($P24*(1+'Property Summary'!$L$22)^('MF Releasing'!AL$3-1)))*$C24)</f>
        <v/>
      </c>
      <c r="AM24" s="149" t="str">
        <f>IF($B24=0,"",('MF Rollover'!AL24*($P24*(1+'Property Summary'!$L$22)^('MF Releasing'!AM$3-1)))*$C24)</f>
        <v/>
      </c>
      <c r="AN24" s="149" t="str">
        <f>IF($B24=0,"",('MF Rollover'!AM24*($P24*(1+'Property Summary'!$L$22)^('MF Releasing'!AN$3-1)))*$C24)</f>
        <v/>
      </c>
      <c r="AO24" s="149" t="str">
        <f>IF($B24=0,"",('MF Rollover'!AN24*($P24*(1+'Property Summary'!$L$22)^('MF Releasing'!AO$3-1)))*$C24)</f>
        <v/>
      </c>
      <c r="AP24" s="149" t="str">
        <f>IF($B24=0,"",('MF Rollover'!AO24*($P24*(1+'Property Summary'!$L$22)^('MF Releasing'!AP$3-1)))*$C24)</f>
        <v/>
      </c>
      <c r="AQ24" s="149" t="str">
        <f>IF($B24=0,"",('MF Rollover'!AP24*($P24*(1+'Property Summary'!$L$22)^('MF Releasing'!AQ$3-1)))*$C24)</f>
        <v/>
      </c>
      <c r="AR24" s="149" t="str">
        <f>IF($B24=0,"",('MF Rollover'!AQ24*($P24*(1+'Property Summary'!$L$22)^('MF Releasing'!AR$3-1)))*$C24)</f>
        <v/>
      </c>
      <c r="AS24" s="149" t="str">
        <f>IF($B24=0,"",('MF Rollover'!AR24*($P24*(1+'Property Summary'!$L$22)^('MF Releasing'!AS$3-1)))*$C24)</f>
        <v/>
      </c>
      <c r="AT24" s="149" t="str">
        <f>IF($B24=0,"",('MF Rollover'!AS24*($P24*(1+'Property Summary'!$L$22)^('MF Releasing'!AT$3-1)))*$C24)</f>
        <v/>
      </c>
      <c r="AU24" s="149" t="str">
        <f>IF($B24=0,"",('MF Rollover'!AT24*($P24*(1+'Property Summary'!$L$22)^('MF Releasing'!AU$3-1)))*$C24)</f>
        <v/>
      </c>
      <c r="AV24" s="149" t="str">
        <f>IF($B24=0,"",('MF Rollover'!AU24*($P24*(1+'Property Summary'!$L$22)^('MF Releasing'!AV$3-1)))*$C24)</f>
        <v/>
      </c>
      <c r="AW24" s="149" t="str">
        <f>IF($B24=0,"",('MF Rollover'!AV24*($P24*(1+'Property Summary'!$L$22)^('MF Releasing'!AW$3-1)))*$C24)</f>
        <v/>
      </c>
      <c r="AX24" s="149" t="str">
        <f>IF($B24=0,"",('MF Rollover'!AW24*($P24*(1+'Property Summary'!$L$22)^('MF Releasing'!AX$3-1)))*$C24)</f>
        <v/>
      </c>
      <c r="AY24" s="149" t="str">
        <f>IF($B24=0,"",('MF Rollover'!AX24*($P24*(1+'Property Summary'!$L$22)^('MF Releasing'!AY$3-1)))*$C24)</f>
        <v/>
      </c>
      <c r="AZ24" s="149" t="str">
        <f>IF($B24=0,"",('MF Rollover'!AY24*($P24*(1+'Property Summary'!$L$22)^('MF Releasing'!AZ$3-1)))*$C24)</f>
        <v/>
      </c>
      <c r="BA24" s="149" t="str">
        <f>IF($B24=0,"",('MF Rollover'!AZ24*($P24*(1+'Property Summary'!$L$22)^('MF Releasing'!BA$3-1)))*$C24)</f>
        <v/>
      </c>
      <c r="BB24" s="149" t="str">
        <f>IF($B24=0,"",('MF Rollover'!BA24*($P24*(1+'Property Summary'!$L$22)^('MF Releasing'!BB$3-1)))*$C24)</f>
        <v/>
      </c>
      <c r="BC24" s="149" t="str">
        <f>IF($B24=0,"",('MF Rollover'!BB24*($P24*(1+'Property Summary'!$L$22)^('MF Releasing'!BC$3-1)))*$C24)</f>
        <v/>
      </c>
      <c r="BD24" s="149" t="str">
        <f>IF($B24=0,"",('MF Rollover'!BC24*($P24*(1+'Property Summary'!$L$22)^('MF Releasing'!BD$3-1)))*$C24)</f>
        <v/>
      </c>
      <c r="BE24" s="149" t="str">
        <f>IF($B24=0,"",('MF Rollover'!BD24*($P24*(1+'Property Summary'!$L$22)^('MF Releasing'!BE$3-1)))*$C24)</f>
        <v/>
      </c>
      <c r="BF24" s="149" t="str">
        <f>IF($B24=0,"",('MF Rollover'!BE24*($P24*(1+'Property Summary'!$L$22)^('MF Releasing'!BF$3-1)))*$C24)</f>
        <v/>
      </c>
      <c r="BG24" s="149" t="str">
        <f>IF($B24=0,"",('MF Rollover'!BF24*($P24*(1+'Property Summary'!$L$22)^('MF Releasing'!BG$3-1)))*$C24)</f>
        <v/>
      </c>
      <c r="BH24" s="149" t="str">
        <f>IF($B24=0,"",('MF Rollover'!BG24*($P24*(1+'Property Summary'!$L$22)^('MF Releasing'!BH$3-1)))*$C24)</f>
        <v/>
      </c>
      <c r="BI24" s="149" t="str">
        <f>IF($B24=0,"",('MF Rollover'!BH24*($P24*(1+'Property Summary'!$L$22)^('MF Releasing'!BI$3-1)))*$C24)</f>
        <v/>
      </c>
      <c r="BJ24" s="149" t="str">
        <f>IF($B24=0,"",('MF Rollover'!BI24*($P24*(1+'Property Summary'!$L$22)^('MF Releasing'!BJ$3-1)))*$C24)</f>
        <v/>
      </c>
      <c r="BK24" s="149" t="str">
        <f>IF($B24=0,"",('MF Rollover'!BJ24*($P24*(1+'Property Summary'!$L$22)^('MF Releasing'!BK$3-1)))*$C24)</f>
        <v/>
      </c>
      <c r="BL24" s="149" t="str">
        <f>IF($B24=0,"",('MF Rollover'!BK24*($P24*(1+'Property Summary'!$L$22)^('MF Releasing'!BL$3-1)))*$C24)</f>
        <v/>
      </c>
      <c r="BM24" s="149" t="str">
        <f>IF($B24=0,"",('MF Rollover'!BL24*($P24*(1+'Property Summary'!$L$22)^('MF Releasing'!BM$3-1)))*$C24)</f>
        <v/>
      </c>
      <c r="BN24" s="149" t="str">
        <f>IF($B24=0,"",('MF Rollover'!BM24*($P24*(1+'Property Summary'!$L$22)^('MF Releasing'!BN$3-1)))*$C24)</f>
        <v/>
      </c>
      <c r="BO24" s="149" t="str">
        <f>IF($B24=0,"",('MF Rollover'!BN24*($P24*(1+'Property Summary'!$L$22)^('MF Releasing'!BO$3-1)))*$C24)</f>
        <v/>
      </c>
      <c r="BP24" s="149" t="str">
        <f>IF($B24=0,"",('MF Rollover'!BO24*($P24*(1+'Property Summary'!$L$22)^('MF Releasing'!BP$3-1)))*$C24)</f>
        <v/>
      </c>
      <c r="BQ24" s="149" t="str">
        <f>IF($B24=0,"",('MF Rollover'!BP24*($P24*(1+'Property Summary'!$L$22)^('MF Releasing'!BQ$3-1)))*$C24)</f>
        <v/>
      </c>
      <c r="BR24" s="149" t="str">
        <f>IF($B24=0,"",('MF Rollover'!BQ24*($P24*(1+'Property Summary'!$L$22)^('MF Releasing'!BR$3-1)))*$C24)</f>
        <v/>
      </c>
      <c r="BS24" s="149" t="str">
        <f>IF($B24=0,"",('MF Rollover'!BR24*($P24*(1+'Property Summary'!$L$22)^('MF Releasing'!BS$3-1)))*$C24)</f>
        <v/>
      </c>
      <c r="BT24" s="149" t="str">
        <f>IF($B24=0,"",('MF Rollover'!BS24*($P24*(1+'Property Summary'!$L$22)^('MF Releasing'!BT$3-1)))*$C24)</f>
        <v/>
      </c>
      <c r="BU24" s="149" t="str">
        <f>IF($B24=0,"",('MF Rollover'!BT24*($P24*(1+'Property Summary'!$L$22)^('MF Releasing'!BU$3-1)))*$C24)</f>
        <v/>
      </c>
      <c r="BV24" s="149" t="str">
        <f>IF($B24=0,"",('MF Rollover'!BU24*($P24*(1+'Property Summary'!$L$22)^('MF Releasing'!BV$3-1)))*$C24)</f>
        <v/>
      </c>
      <c r="BW24" s="149" t="str">
        <f>IF($B24=0,"",('MF Rollover'!BV24*($P24*(1+'Property Summary'!$L$22)^('MF Releasing'!BW$3-1)))*$C24)</f>
        <v/>
      </c>
      <c r="BX24" s="149" t="str">
        <f>IF($B24=0,"",('MF Rollover'!BW24*($P24*(1+'Property Summary'!$L$22)^('MF Releasing'!BX$3-1)))*$C24)</f>
        <v/>
      </c>
      <c r="BY24" s="149" t="str">
        <f>IF($B24=0,"",('MF Rollover'!BX24*($P24*(1+'Property Summary'!$L$22)^('MF Releasing'!BY$3-1)))*$C24)</f>
        <v/>
      </c>
      <c r="BZ24" s="149" t="str">
        <f>IF($B24=0,"",('MF Rollover'!BY24*($P24*(1+'Property Summary'!$L$22)^('MF Releasing'!BZ$3-1)))*$C24)</f>
        <v/>
      </c>
      <c r="CA24" s="149" t="str">
        <f>IF($B24=0,"",('MF Rollover'!BZ24*($P24*(1+'Property Summary'!$L$22)^('MF Releasing'!CA$3-1)))*$C24)</f>
        <v/>
      </c>
      <c r="CB24" s="149" t="str">
        <f>IF($B24=0,"",('MF Rollover'!CA24*($P24*(1+'Property Summary'!$L$22)^('MF Releasing'!CB$3-1)))*$C24)</f>
        <v/>
      </c>
      <c r="CC24" s="149" t="str">
        <f>IF($B24=0,"",('MF Rollover'!CB24*($P24*(1+'Property Summary'!$L$22)^('MF Releasing'!CC$3-1)))*$C24)</f>
        <v/>
      </c>
      <c r="CD24" s="149" t="str">
        <f>IF($B24=0,"",('MF Rollover'!CC24*($P24*(1+'Property Summary'!$L$22)^('MF Releasing'!CD$3-1)))*$C24)</f>
        <v/>
      </c>
      <c r="CE24" s="149" t="str">
        <f>IF($B24=0,"",('MF Rollover'!CD24*($P24*(1+'Property Summary'!$L$22)^('MF Releasing'!CE$3-1)))*$C24)</f>
        <v/>
      </c>
      <c r="CF24" s="149" t="str">
        <f>IF($B24=0,"",('MF Rollover'!CE24*($P24*(1+'Property Summary'!$L$22)^('MF Releasing'!CF$3-1)))*$C24)</f>
        <v/>
      </c>
      <c r="CG24" s="149" t="str">
        <f>IF($B24=0,"",('MF Rollover'!CF24*($P24*(1+'Property Summary'!$L$22)^('MF Releasing'!CG$3-1)))*$C24)</f>
        <v/>
      </c>
      <c r="CH24" s="149" t="str">
        <f>IF($B24=0,"",('MF Rollover'!CG24*($P24*(1+'Property Summary'!$L$22)^('MF Releasing'!CH$3-1)))*$C24)</f>
        <v/>
      </c>
      <c r="CI24" s="149" t="str">
        <f>IF($B24=0,"",('MF Rollover'!CH24*($P24*(1+'Property Summary'!$L$22)^('MF Releasing'!CI$3-1)))*$C24)</f>
        <v/>
      </c>
      <c r="CJ24" s="149" t="str">
        <f>IF($B24=0,"",('MF Rollover'!CI24*($P24*(1+'Property Summary'!$L$22)^('MF Releasing'!CJ$3-1)))*$C24)</f>
        <v/>
      </c>
      <c r="CK24" s="149" t="str">
        <f>IF($B24=0,"",('MF Rollover'!CJ24*($P24*(1+'Property Summary'!$L$22)^('MF Releasing'!CK$3-1)))*$C24)</f>
        <v/>
      </c>
      <c r="CL24" s="149" t="str">
        <f>IF($B24=0,"",('MF Rollover'!CK24*($P24*(1+'Property Summary'!$L$22)^('MF Releasing'!CL$3-1)))*$C24)</f>
        <v/>
      </c>
      <c r="CM24" s="149" t="str">
        <f>IF($B24=0,"",('MF Rollover'!CL24*($P24*(1+'Property Summary'!$L$22)^('MF Releasing'!CM$3-1)))*$C24)</f>
        <v/>
      </c>
      <c r="CN24" s="149" t="str">
        <f>IF($B24=0,"",('MF Rollover'!CM24*($P24*(1+'Property Summary'!$L$22)^('MF Releasing'!CN$3-1)))*$C24)</f>
        <v/>
      </c>
      <c r="CO24" s="149" t="str">
        <f>IF($B24=0,"",('MF Rollover'!CN24*($P24*(1+'Property Summary'!$L$22)^('MF Releasing'!CO$3-1)))*$C24)</f>
        <v/>
      </c>
      <c r="CP24" s="149" t="str">
        <f>IF($B24=0,"",('MF Rollover'!CO24*($P24*(1+'Property Summary'!$L$22)^('MF Releasing'!CP$3-1)))*$C24)</f>
        <v/>
      </c>
      <c r="CQ24" s="149" t="str">
        <f>IF($B24=0,"",('MF Rollover'!CP24*($P24*(1+'Property Summary'!$L$22)^('MF Releasing'!CQ$3-1)))*$C24)</f>
        <v/>
      </c>
      <c r="CR24" s="149" t="str">
        <f>IF($B24=0,"",('MF Rollover'!CQ24*($P24*(1+'Property Summary'!$L$22)^('MF Releasing'!CR$3-1)))*$C24)</f>
        <v/>
      </c>
      <c r="CS24" s="149" t="str">
        <f>IF($B24=0,"",('MF Rollover'!CR24*($P24*(1+'Property Summary'!$L$22)^('MF Releasing'!CS$3-1)))*$C24)</f>
        <v/>
      </c>
      <c r="CT24" s="149" t="str">
        <f>IF($B24=0,"",('MF Rollover'!CS24*($P24*(1+'Property Summary'!$L$22)^('MF Releasing'!CT$3-1)))*$C24)</f>
        <v/>
      </c>
      <c r="CU24" s="149" t="str">
        <f>IF($B24=0,"",('MF Rollover'!CT24*($P24*(1+'Property Summary'!$L$22)^('MF Releasing'!CU$3-1)))*$C24)</f>
        <v/>
      </c>
      <c r="CV24" s="149" t="str">
        <f>IF($B24=0,"",('MF Rollover'!CU24*($P24*(1+'Property Summary'!$L$22)^('MF Releasing'!CV$3-1)))*$C24)</f>
        <v/>
      </c>
      <c r="CW24" s="149" t="str">
        <f>IF($B24=0,"",('MF Rollover'!CV24*($P24*(1+'Property Summary'!$L$22)^('MF Releasing'!CW$3-1)))*$C24)</f>
        <v/>
      </c>
      <c r="CX24" s="149" t="str">
        <f>IF($B24=0,"",('MF Rollover'!CW24*($P24*(1+'Property Summary'!$L$22)^('MF Releasing'!CX$3-1)))*$C24)</f>
        <v/>
      </c>
      <c r="CY24" s="149" t="str">
        <f>IF($B24=0,"",('MF Rollover'!CX24*($P24*(1+'Property Summary'!$L$22)^('MF Releasing'!CY$3-1)))*$C24)</f>
        <v/>
      </c>
      <c r="CZ24" s="149" t="str">
        <f>IF($B24=0,"",('MF Rollover'!CY24*($P24*(1+'Property Summary'!$L$22)^('MF Releasing'!CZ$3-1)))*$C24)</f>
        <v/>
      </c>
      <c r="DA24" s="149" t="str">
        <f>IF($B24=0,"",('MF Rollover'!CZ24*($P24*(1+'Property Summary'!$L$22)^('MF Releasing'!DA$3-1)))*$C24)</f>
        <v/>
      </c>
      <c r="DB24" s="149" t="str">
        <f>IF($B24=0,"",('MF Rollover'!DA24*($P24*(1+'Property Summary'!$L$22)^('MF Releasing'!DB$3-1)))*$C24)</f>
        <v/>
      </c>
      <c r="DC24" s="149" t="str">
        <f>IF($B24=0,"",('MF Rollover'!DB24*($P24*(1+'Property Summary'!$L$22)^('MF Releasing'!DC$3-1)))*$C24)</f>
        <v/>
      </c>
      <c r="DD24" s="149" t="str">
        <f>IF($B24=0,"",('MF Rollover'!DC24*($P24*(1+'Property Summary'!$L$22)^('MF Releasing'!DD$3-1)))*$C24)</f>
        <v/>
      </c>
      <c r="DE24" s="149" t="str">
        <f>IF($B24=0,"",('MF Rollover'!DD24*($P24*(1+'Property Summary'!$L$22)^('MF Releasing'!DE$3-1)))*$C24)</f>
        <v/>
      </c>
      <c r="DF24" s="149" t="str">
        <f>IF($B24=0,"",('MF Rollover'!DE24*($P24*(1+'Property Summary'!$L$22)^('MF Releasing'!DF$3-1)))*$C24)</f>
        <v/>
      </c>
      <c r="DG24" s="149" t="str">
        <f>IF($B24=0,"",('MF Rollover'!DF24*($P24*(1+'Property Summary'!$L$22)^('MF Releasing'!DG$3-1)))*$C24)</f>
        <v/>
      </c>
      <c r="DH24" s="149" t="str">
        <f>IF($B24=0,"",('MF Rollover'!DG24*($P24*(1+'Property Summary'!$L$22)^('MF Releasing'!DH$3-1)))*$C24)</f>
        <v/>
      </c>
      <c r="DI24" s="149" t="str">
        <f>IF($B24=0,"",('MF Rollover'!DH24*($P24*(1+'Property Summary'!$L$22)^('MF Releasing'!DI$3-1)))*$C24)</f>
        <v/>
      </c>
      <c r="DJ24" s="149" t="str">
        <f>IF($B24=0,"",('MF Rollover'!DI24*($P24*(1+'Property Summary'!$L$22)^('MF Releasing'!DJ$3-1)))*$C24)</f>
        <v/>
      </c>
      <c r="DK24" s="149" t="str">
        <f>IF($B24=0,"",('MF Rollover'!DJ24*($P24*(1+'Property Summary'!$L$22)^('MF Releasing'!DK$3-1)))*$C24)</f>
        <v/>
      </c>
      <c r="DL24" s="149" t="str">
        <f>IF($B24=0,"",('MF Rollover'!DK24*($P24*(1+'Property Summary'!$L$22)^('MF Releasing'!DL$3-1)))*$C24)</f>
        <v/>
      </c>
      <c r="DM24" s="149" t="str">
        <f>IF($B24=0,"",('MF Rollover'!DL24*($P24*(1+'Property Summary'!$L$22)^('MF Releasing'!DM$3-1)))*$C24)</f>
        <v/>
      </c>
      <c r="DN24" s="149" t="str">
        <f>IF($B24=0,"",('MF Rollover'!DM24*($P24*(1+'Property Summary'!$L$22)^('MF Releasing'!DN$3-1)))*$C24)</f>
        <v/>
      </c>
      <c r="DO24" s="149" t="str">
        <f>IF($B24=0,"",('MF Rollover'!DN24*($P24*(1+'Property Summary'!$L$22)^('MF Releasing'!DO$3-1)))*$C24)</f>
        <v/>
      </c>
      <c r="DP24" s="149" t="str">
        <f>IF($B24=0,"",('MF Rollover'!DO24*($P24*(1+'Property Summary'!$L$22)^('MF Releasing'!DP$3-1)))*$C24)</f>
        <v/>
      </c>
      <c r="DQ24" s="149" t="str">
        <f>IF($B24=0,"",('MF Rollover'!DP24*($P24*(1+'Property Summary'!$L$22)^('MF Releasing'!DQ$3-1)))*$C24)</f>
        <v/>
      </c>
      <c r="DR24" s="149" t="str">
        <f>IF($B24=0,"",('MF Rollover'!DQ24*($P24*(1+'Property Summary'!$L$22)^('MF Releasing'!DR$3-1)))*$C24)</f>
        <v/>
      </c>
      <c r="DS24" s="149" t="str">
        <f>IF($B24=0,"",('MF Rollover'!DR24*($P24*(1+'Property Summary'!$L$22)^('MF Releasing'!DS$3-1)))*$C24)</f>
        <v/>
      </c>
      <c r="DT24" s="149" t="str">
        <f>IF($B24=0,"",('MF Rollover'!DS24*($P24*(1+'Property Summary'!$L$22)^('MF Releasing'!DT$3-1)))*$C24)</f>
        <v/>
      </c>
      <c r="DU24" s="149" t="str">
        <f>IF($B24=0,"",('MF Rollover'!DT24*($P24*(1+'Property Summary'!$L$22)^('MF Releasing'!DU$3-1)))*$C24)</f>
        <v/>
      </c>
      <c r="DV24" s="149" t="str">
        <f>IF($B24=0,"",('MF Rollover'!DU24*($P24*(1+'Property Summary'!$L$22)^('MF Releasing'!DV$3-1)))*$C24)</f>
        <v/>
      </c>
      <c r="DW24" s="149" t="str">
        <f>IF($B24=0,"",('MF Rollover'!DV24*($P24*(1+'Property Summary'!$L$22)^('MF Releasing'!DW$3-1)))*$C24)</f>
        <v/>
      </c>
      <c r="DX24" s="149" t="str">
        <f>IF($B24=0,"",('MF Rollover'!DW24*($P24*(1+'Property Summary'!$L$22)^('MF Releasing'!DX$3-1)))*$C24)</f>
        <v/>
      </c>
      <c r="DY24" s="149" t="str">
        <f>IF($B24=0,"",('MF Rollover'!DX24*($P24*(1+'Property Summary'!$L$22)^('MF Releasing'!DY$3-1)))*$C24)</f>
        <v/>
      </c>
      <c r="DZ24" s="149" t="str">
        <f>IF($B24=0,"",('MF Rollover'!DY24*($P24*(1+'Property Summary'!$L$22)^('MF Releasing'!DZ$3-1)))*$C24)</f>
        <v/>
      </c>
      <c r="EA24" s="149" t="str">
        <f>IF($B24=0,"",('MF Rollover'!DZ24*($P24*(1+'Property Summary'!$L$22)^('MF Releasing'!EA$3-1)))*$C24)</f>
        <v/>
      </c>
      <c r="EB24" s="149" t="str">
        <f>IF($B24=0,"",('MF Rollover'!EA24*($P24*(1+'Property Summary'!$L$22)^('MF Releasing'!EB$3-1)))*$C24)</f>
        <v/>
      </c>
      <c r="EC24" s="149" t="str">
        <f>IF($B24=0,"",('MF Rollover'!EB24*($P24*(1+'Property Summary'!$L$22)^('MF Releasing'!EC$3-1)))*$C24)</f>
        <v/>
      </c>
      <c r="ED24" s="149" t="str">
        <f>IF($B24=0,"",('MF Rollover'!EC24*($P24*(1+'Property Summary'!$L$22)^('MF Releasing'!ED$3-1)))*$C24)</f>
        <v/>
      </c>
      <c r="EE24" s="149" t="str">
        <f>IF($B24=0,"",('MF Rollover'!ED24*($P24*(1+'Property Summary'!$L$22)^('MF Releasing'!EE$3-1)))*$C24)</f>
        <v/>
      </c>
      <c r="EF24" s="149" t="str">
        <f>IF($B24=0,"",('MF Rollover'!EE24*($P24*(1+'Property Summary'!$L$22)^('MF Releasing'!EF$3-1)))*$C24)</f>
        <v/>
      </c>
      <c r="EG24" s="149" t="str">
        <f>IF($B24=0,"",('MF Rollover'!EF24*($P24*(1+'Property Summary'!$L$22)^('MF Releasing'!EG$3-1)))*$C24)</f>
        <v/>
      </c>
      <c r="EH24" s="149" t="str">
        <f>IF($B24=0,"",('MF Rollover'!EG24*($P24*(1+'Property Summary'!$L$22)^('MF Releasing'!EH$3-1)))*$C24)</f>
        <v/>
      </c>
      <c r="EI24" s="149" t="str">
        <f>IF($B24=0,"",('MF Rollover'!EH24*($P24*(1+'Property Summary'!$L$22)^('MF Releasing'!EI$3-1)))*$C24)</f>
        <v/>
      </c>
      <c r="EJ24" s="149" t="str">
        <f>IF($B24=0,"",('MF Rollover'!EI24*($P24*(1+'Property Summary'!$L$22)^('MF Releasing'!EJ$3-1)))*$C24)</f>
        <v/>
      </c>
      <c r="EK24" s="149" t="str">
        <f>IF($B24=0,"",('MF Rollover'!EJ24*($P24*(1+'Property Summary'!$L$22)^('MF Releasing'!EK$3-1)))*$C24)</f>
        <v/>
      </c>
      <c r="EL24" s="149" t="str">
        <f>IF($B24=0,"",('MF Rollover'!EK24*($P24*(1+'Property Summary'!$L$22)^('MF Releasing'!EL$3-1)))*$C24)</f>
        <v/>
      </c>
      <c r="EM24" s="149" t="str">
        <f>IF($B24=0,"",('MF Rollover'!EL24*($P24*(1+'Property Summary'!$L$22)^('MF Releasing'!EM$3-1)))*$C24)</f>
        <v/>
      </c>
      <c r="EN24" s="149" t="str">
        <f>IF($B24=0,"",('MF Rollover'!EM24*($P24*(1+'Property Summary'!$L$22)^('MF Releasing'!EN$3-1)))*$C24)</f>
        <v/>
      </c>
      <c r="EO24" s="149" t="str">
        <f>IF($B24=0,"",('MF Rollover'!EN24*($P24*(1+'Property Summary'!$L$22)^('MF Releasing'!EO$3-1)))*$C24)</f>
        <v/>
      </c>
      <c r="EP24" s="149" t="str">
        <f>IF($B24=0,"",('MF Rollover'!EO24*($P24*(1+'Property Summary'!$L$22)^('MF Releasing'!EP$3-1)))*$C24)</f>
        <v/>
      </c>
      <c r="EQ24" s="149" t="str">
        <f>IF($B24=0,"",('MF Rollover'!EP24*($P24*(1+'Property Summary'!$L$22)^('MF Releasing'!EQ$3-1)))*$C24)</f>
        <v/>
      </c>
      <c r="ER24" s="149" t="str">
        <f>IF($B24=0,"",('MF Rollover'!EQ24*($P24*(1+'Property Summary'!$L$22)^('MF Releasing'!ER$3-1)))*$C24)</f>
        <v/>
      </c>
      <c r="ES24" s="149" t="str">
        <f>IF($B24=0,"",('MF Rollover'!ER24*($P24*(1+'Property Summary'!$L$22)^('MF Releasing'!ES$3-1)))*$C24)</f>
        <v/>
      </c>
      <c r="ET24" s="149" t="str">
        <f>IF($B24=0,"",('MF Rollover'!ES24*($P24*(1+'Property Summary'!$L$22)^('MF Releasing'!ET$3-1)))*$C24)</f>
        <v/>
      </c>
      <c r="EU24" s="149" t="str">
        <f>IF($B24=0,"",('MF Rollover'!ET24*($P24*(1+'Property Summary'!$L$22)^('MF Releasing'!EU$3-1)))*$C24)</f>
        <v/>
      </c>
      <c r="EV24" s="149" t="str">
        <f>IF($B24=0,"",('MF Rollover'!EU24*($P24*(1+'Property Summary'!$L$22)^('MF Releasing'!EV$3-1)))*$C24)</f>
        <v/>
      </c>
      <c r="EW24" s="149" t="str">
        <f>IF($B24=0,"",('MF Rollover'!EV24*($P24*(1+'Property Summary'!$L$22)^('MF Releasing'!EW$3-1)))*$C24)</f>
        <v/>
      </c>
      <c r="EX24" s="149" t="str">
        <f>IF($B24=0,"",('MF Rollover'!EW24*($P24*(1+'Property Summary'!$L$22)^('MF Releasing'!EX$3-1)))*$C24)</f>
        <v/>
      </c>
      <c r="EY24" s="149" t="str">
        <f>IF($B24=0,"",('MF Rollover'!EX24*($P24*(1+'Property Summary'!$L$22)^('MF Releasing'!EY$3-1)))*$C24)</f>
        <v/>
      </c>
      <c r="EZ24" s="149" t="str">
        <f>IF($B24=0,"",('MF Rollover'!EY24*($P24*(1+'Property Summary'!$L$22)^('MF Releasing'!EZ$3-1)))*$C24)</f>
        <v/>
      </c>
      <c r="FA24" s="149" t="str">
        <f>IF($B24=0,"",('MF Rollover'!EZ24*($P24*(1+'Property Summary'!$L$22)^('MF Releasing'!FA$3-1)))*$C24)</f>
        <v/>
      </c>
      <c r="FB24" s="149" t="str">
        <f>IF($B24=0,"",('MF Rollover'!FA24*($P24*(1+'Property Summary'!$L$22)^('MF Releasing'!FB$3-1)))*$C24)</f>
        <v/>
      </c>
      <c r="FC24" s="149" t="str">
        <f>IF($B24=0,"",('MF Rollover'!FB24*($P24*(1+'Property Summary'!$L$22)^('MF Releasing'!FC$3-1)))*$C24)</f>
        <v/>
      </c>
      <c r="FD24" s="149" t="str">
        <f>IF($B24=0,"",('MF Rollover'!FC24*($P24*(1+'Property Summary'!$L$22)^('MF Releasing'!FD$3-1)))*$C24)</f>
        <v/>
      </c>
      <c r="FE24" s="149" t="str">
        <f>IF($B24=0,"",('MF Rollover'!FD24*($P24*(1+'Property Summary'!$L$22)^('MF Releasing'!FE$3-1)))*$C24)</f>
        <v/>
      </c>
      <c r="FF24" s="149" t="str">
        <f>IF($B24=0,"",('MF Rollover'!FE24*($P24*(1+'Property Summary'!$L$22)^('MF Releasing'!FF$3-1)))*$C24)</f>
        <v/>
      </c>
      <c r="FG24" s="149" t="str">
        <f>IF($B24=0,"",('MF Rollover'!FF24*($P24*(1+'Property Summary'!$L$22)^('MF Releasing'!FG$3-1)))*$C24)</f>
        <v/>
      </c>
      <c r="FH24" s="149" t="str">
        <f>IF($B24=0,"",('MF Rollover'!FG24*($P24*(1+'Property Summary'!$L$22)^('MF Releasing'!FH$3-1)))*$C24)</f>
        <v/>
      </c>
      <c r="FI24" s="149" t="str">
        <f>IF($B24=0,"",('MF Rollover'!FH24*($P24*(1+'Property Summary'!$L$22)^('MF Releasing'!FI$3-1)))*$C24)</f>
        <v/>
      </c>
      <c r="FJ24" s="149" t="str">
        <f>IF($B24=0,"",('MF Rollover'!FI24*($P24*(1+'Property Summary'!$L$22)^('MF Releasing'!FJ$3-1)))*$C24)</f>
        <v/>
      </c>
      <c r="FK24" s="149" t="str">
        <f>IF($B24=0,"",('MF Rollover'!FJ24*($P24*(1+'Property Summary'!$L$22)^('MF Releasing'!FK$3-1)))*$C24)</f>
        <v/>
      </c>
      <c r="FL24" s="149" t="str">
        <f>IF($B24=0,"",('MF Rollover'!FK24*($P24*(1+'Property Summary'!$L$22)^('MF Releasing'!FL$3-1)))*$C24)</f>
        <v/>
      </c>
      <c r="FM24" s="149" t="str">
        <f>IF($B24=0,"",('MF Rollover'!FL24*($P24*(1+'Property Summary'!$L$22)^('MF Releasing'!FM$3-1)))*$C24)</f>
        <v/>
      </c>
      <c r="FN24" s="149" t="str">
        <f>IF($B24=0,"",('MF Rollover'!FM24*($P24*(1+'Property Summary'!$L$22)^('MF Releasing'!FN$3-1)))*$C24)</f>
        <v/>
      </c>
      <c r="FO24" s="149" t="str">
        <f>IF($B24=0,"",('MF Rollover'!FN24*($P24*(1+'Property Summary'!$L$22)^('MF Releasing'!FO$3-1)))*$C24)</f>
        <v/>
      </c>
      <c r="FP24" s="149" t="str">
        <f>IF($B24=0,"",('MF Rollover'!FO24*($P24*(1+'Property Summary'!$L$22)^('MF Releasing'!FP$3-1)))*$C24)</f>
        <v/>
      </c>
      <c r="FQ24" s="149" t="str">
        <f>IF($B24=0,"",('MF Rollover'!FP24*($P24*(1+'Property Summary'!$L$22)^('MF Releasing'!FQ$3-1)))*$C24)</f>
        <v/>
      </c>
      <c r="FR24" s="149" t="str">
        <f>IF($B24=0,"",('MF Rollover'!FQ24*($P24*(1+'Property Summary'!$L$22)^('MF Releasing'!FR$3-1)))*$C24)</f>
        <v/>
      </c>
      <c r="FS24" s="149" t="str">
        <f>IF($B24=0,"",('MF Rollover'!FR24*($P24*(1+'Property Summary'!$L$22)^('MF Releasing'!FS$3-1)))*$C24)</f>
        <v/>
      </c>
      <c r="FT24" s="149" t="str">
        <f>IF($B24=0,"",('MF Rollover'!FS24*($P24*(1+'Property Summary'!$L$22)^('MF Releasing'!FT$3-1)))*$C24)</f>
        <v/>
      </c>
      <c r="FU24" s="149" t="str">
        <f>IF($B24=0,"",('MF Rollover'!FT24*($P24*(1+'Property Summary'!$L$22)^('MF Releasing'!FU$3-1)))*$C24)</f>
        <v/>
      </c>
      <c r="FV24" s="149" t="str">
        <f>IF($B24=0,"",('MF Rollover'!FU24*($P24*(1+'Property Summary'!$L$22)^('MF Releasing'!FV$3-1)))*$C24)</f>
        <v/>
      </c>
      <c r="FW24" s="149" t="str">
        <f>IF($B24=0,"",('MF Rollover'!FV24*($P24*(1+'Property Summary'!$L$22)^('MF Releasing'!FW$3-1)))*$C24)</f>
        <v/>
      </c>
      <c r="FX24" s="149" t="str">
        <f>IF($B24=0,"",('MF Rollover'!FW24*($P24*(1+'Property Summary'!$L$22)^('MF Releasing'!FX$3-1)))*$C24)</f>
        <v/>
      </c>
      <c r="FY24" s="149" t="str">
        <f>IF($B24=0,"",('MF Rollover'!FX24*($P24*(1+'Property Summary'!$L$22)^('MF Releasing'!FY$3-1)))*$C24)</f>
        <v/>
      </c>
      <c r="FZ24" s="149" t="str">
        <f>IF($B24=0,"",('MF Rollover'!FY24*($P24*(1+'Property Summary'!$L$22)^('MF Releasing'!FZ$3-1)))*$C24)</f>
        <v/>
      </c>
      <c r="GA24" s="149" t="str">
        <f>IF($B24=0,"",('MF Rollover'!FZ24*($P24*(1+'Property Summary'!$L$22)^('MF Releasing'!GA$3-1)))*$C24)</f>
        <v/>
      </c>
      <c r="GB24" s="149" t="str">
        <f>IF($B24=0,"",('MF Rollover'!GA24*($P24*(1+'Property Summary'!$L$22)^('MF Releasing'!GB$3-1)))*$C24)</f>
        <v/>
      </c>
      <c r="GC24" s="149" t="str">
        <f>IF($B24=0,"",('MF Rollover'!GB24*($P24*(1+'Property Summary'!$L$22)^('MF Releasing'!GC$3-1)))*$C24)</f>
        <v/>
      </c>
      <c r="GD24" s="149" t="str">
        <f>IF($B24=0,"",('MF Rollover'!GC24*($P24*(1+'Property Summary'!$L$22)^('MF Releasing'!GD$3-1)))*$C24)</f>
        <v/>
      </c>
      <c r="GE24" s="149" t="str">
        <f>IF($B24=0,"",('MF Rollover'!GD24*($P24*(1+'Property Summary'!$L$22)^('MF Releasing'!GE$3-1)))*$C24)</f>
        <v/>
      </c>
      <c r="GF24" s="149" t="str">
        <f>IF($B24=0,"",('MF Rollover'!GE24*($P24*(1+'Property Summary'!$L$22)^('MF Releasing'!GF$3-1)))*$C24)</f>
        <v/>
      </c>
      <c r="GG24" s="149" t="str">
        <f>IF($B24=0,"",('MF Rollover'!GF24*($P24*(1+'Property Summary'!$L$22)^('MF Releasing'!GG$3-1)))*$C24)</f>
        <v/>
      </c>
      <c r="GH24" s="149" t="str">
        <f>IF($B24=0,"",('MF Rollover'!GG24*($P24*(1+'Property Summary'!$L$22)^('MF Releasing'!GH$3-1)))*$C24)</f>
        <v/>
      </c>
      <c r="GI24" s="149" t="str">
        <f>IF($B24=0,"",('MF Rollover'!GH24*($P24*(1+'Property Summary'!$L$22)^('MF Releasing'!GI$3-1)))*$C24)</f>
        <v/>
      </c>
      <c r="GJ24" s="149" t="str">
        <f>IF($B24=0,"",('MF Rollover'!GI24*($P24*(1+'Property Summary'!$L$22)^('MF Releasing'!GJ$3-1)))*$C24)</f>
        <v/>
      </c>
      <c r="GK24" s="149" t="str">
        <f>IF($B24=0,"",('MF Rollover'!GJ24*($P24*(1+'Property Summary'!$L$22)^('MF Releasing'!GK$3-1)))*$C24)</f>
        <v/>
      </c>
      <c r="GL24" s="149" t="str">
        <f>IF($B24=0,"",('MF Rollover'!GK24*($P24*(1+'Property Summary'!$L$22)^('MF Releasing'!GL$3-1)))*$C24)</f>
        <v/>
      </c>
      <c r="GM24" s="149" t="str">
        <f>IF($B24=0,"",('MF Rollover'!GL24*($P24*(1+'Property Summary'!$L$22)^('MF Releasing'!GM$3-1)))*$C24)</f>
        <v/>
      </c>
      <c r="GN24" s="149" t="str">
        <f>IF($B24=0,"",('MF Rollover'!GM24*($P24*(1+'Property Summary'!$L$22)^('MF Releasing'!GN$3-1)))*$C24)</f>
        <v/>
      </c>
      <c r="GO24" s="149" t="str">
        <f>IF($B24=0,"",('MF Rollover'!GN24*($P24*(1+'Property Summary'!$L$22)^('MF Releasing'!GO$3-1)))*$C24)</f>
        <v/>
      </c>
      <c r="GP24" s="149" t="str">
        <f>IF($B24=0,"",('MF Rollover'!GO24*($P24*(1+'Property Summary'!$L$22)^('MF Releasing'!GP$3-1)))*$C24)</f>
        <v/>
      </c>
    </row>
    <row r="25" spans="2:198" x14ac:dyDescent="0.3">
      <c r="B25" s="184">
        <f>'MF Rent Roll'!B24</f>
        <v>0</v>
      </c>
      <c r="C25" s="171">
        <f>'MF Rent Roll'!C24</f>
        <v>0</v>
      </c>
      <c r="D25" s="172">
        <f>'MF Rent Roll'!D24</f>
        <v>0</v>
      </c>
      <c r="E25" s="172">
        <f>'MF Rent Roll'!E24</f>
        <v>0</v>
      </c>
      <c r="F25" s="173">
        <f>'MF Rent Roll'!F24</f>
        <v>0</v>
      </c>
      <c r="G25" s="174">
        <f>'MF Rent Roll'!G24</f>
        <v>0</v>
      </c>
      <c r="H25" s="176">
        <f>'MF Rent Roll'!J24</f>
        <v>0</v>
      </c>
      <c r="I25" s="174">
        <f>'MF Rent Roll'!K24</f>
        <v>0</v>
      </c>
      <c r="J25" s="177">
        <f>'MF Rent Roll'!L24</f>
        <v>0</v>
      </c>
      <c r="K25" s="178">
        <f>'MF Rent Roll'!M24</f>
        <v>0</v>
      </c>
      <c r="L25" s="174">
        <f>'MF Rent Roll'!N24</f>
        <v>0</v>
      </c>
      <c r="M25" s="179">
        <f>'MF Rent Roll'!O24</f>
        <v>0</v>
      </c>
      <c r="N25" s="180" t="str">
        <f>'MF Rent Roll'!P24</f>
        <v/>
      </c>
      <c r="O25" s="181" t="str">
        <f>'MF Rent Roll'!Q24</f>
        <v/>
      </c>
      <c r="P25" s="104" t="str">
        <f>'MF Rent Roll'!R24</f>
        <v/>
      </c>
      <c r="S25" s="149" t="str">
        <f>IF($B25=0,"",('MF Rollover'!R25*($P25*(1+'Property Summary'!$L$22)^('MF Releasing'!S$3-1)))*$C25)</f>
        <v/>
      </c>
      <c r="T25" s="149" t="str">
        <f>IF($B25=0,"",('MF Rollover'!S25*($P25*(1+'Property Summary'!$L$22)^('MF Releasing'!T$3-1)))*$C25)</f>
        <v/>
      </c>
      <c r="U25" s="149" t="str">
        <f>IF($B25=0,"",('MF Rollover'!T25*($P25*(1+'Property Summary'!$L$22)^('MF Releasing'!U$3-1)))*$C25)</f>
        <v/>
      </c>
      <c r="V25" s="149" t="str">
        <f>IF($B25=0,"",('MF Rollover'!U25*($P25*(1+'Property Summary'!$L$22)^('MF Releasing'!V$3-1)))*$C25)</f>
        <v/>
      </c>
      <c r="W25" s="149" t="str">
        <f>IF($B25=0,"",('MF Rollover'!V25*($P25*(1+'Property Summary'!$L$22)^('MF Releasing'!W$3-1)))*$C25)</f>
        <v/>
      </c>
      <c r="X25" s="149" t="str">
        <f>IF($B25=0,"",('MF Rollover'!W25*($P25*(1+'Property Summary'!$L$22)^('MF Releasing'!X$3-1)))*$C25)</f>
        <v/>
      </c>
      <c r="Y25" s="149" t="str">
        <f>IF($B25=0,"",('MF Rollover'!X25*($P25*(1+'Property Summary'!$L$22)^('MF Releasing'!Y$3-1)))*$C25)</f>
        <v/>
      </c>
      <c r="Z25" s="149" t="str">
        <f>IF($B25=0,"",('MF Rollover'!Y25*($P25*(1+'Property Summary'!$L$22)^('MF Releasing'!Z$3-1)))*$C25)</f>
        <v/>
      </c>
      <c r="AA25" s="149" t="str">
        <f>IF($B25=0,"",('MF Rollover'!Z25*($P25*(1+'Property Summary'!$L$22)^('MF Releasing'!AA$3-1)))*$C25)</f>
        <v/>
      </c>
      <c r="AB25" s="149" t="str">
        <f>IF($B25=0,"",('MF Rollover'!AA25*($P25*(1+'Property Summary'!$L$22)^('MF Releasing'!AB$3-1)))*$C25)</f>
        <v/>
      </c>
      <c r="AC25" s="149" t="str">
        <f>IF($B25=0,"",('MF Rollover'!AB25*($P25*(1+'Property Summary'!$L$22)^('MF Releasing'!AC$3-1)))*$C25)</f>
        <v/>
      </c>
      <c r="AD25" s="149" t="str">
        <f>IF($B25=0,"",('MF Rollover'!AC25*($P25*(1+'Property Summary'!$L$22)^('MF Releasing'!AD$3-1)))*$C25)</f>
        <v/>
      </c>
      <c r="AE25" s="149" t="str">
        <f>IF($B25=0,"",('MF Rollover'!AD25*($P25*(1+'Property Summary'!$L$22)^('MF Releasing'!AE$3-1)))*$C25)</f>
        <v/>
      </c>
      <c r="AF25" s="149" t="str">
        <f>IF($B25=0,"",('MF Rollover'!AE25*($P25*(1+'Property Summary'!$L$22)^('MF Releasing'!AF$3-1)))*$C25)</f>
        <v/>
      </c>
      <c r="AG25" s="149" t="str">
        <f>IF($B25=0,"",('MF Rollover'!AF25*($P25*(1+'Property Summary'!$L$22)^('MF Releasing'!AG$3-1)))*$C25)</f>
        <v/>
      </c>
      <c r="AH25" s="149" t="str">
        <f>IF($B25=0,"",('MF Rollover'!AG25*($P25*(1+'Property Summary'!$L$22)^('MF Releasing'!AH$3-1)))*$C25)</f>
        <v/>
      </c>
      <c r="AI25" s="149" t="str">
        <f>IF($B25=0,"",('MF Rollover'!AH25*($P25*(1+'Property Summary'!$L$22)^('MF Releasing'!AI$3-1)))*$C25)</f>
        <v/>
      </c>
      <c r="AJ25" s="149" t="str">
        <f>IF($B25=0,"",('MF Rollover'!AI25*($P25*(1+'Property Summary'!$L$22)^('MF Releasing'!AJ$3-1)))*$C25)</f>
        <v/>
      </c>
      <c r="AK25" s="149" t="str">
        <f>IF($B25=0,"",('MF Rollover'!AJ25*($P25*(1+'Property Summary'!$L$22)^('MF Releasing'!AK$3-1)))*$C25)</f>
        <v/>
      </c>
      <c r="AL25" s="149" t="str">
        <f>IF($B25=0,"",('MF Rollover'!AK25*($P25*(1+'Property Summary'!$L$22)^('MF Releasing'!AL$3-1)))*$C25)</f>
        <v/>
      </c>
      <c r="AM25" s="149" t="str">
        <f>IF($B25=0,"",('MF Rollover'!AL25*($P25*(1+'Property Summary'!$L$22)^('MF Releasing'!AM$3-1)))*$C25)</f>
        <v/>
      </c>
      <c r="AN25" s="149" t="str">
        <f>IF($B25=0,"",('MF Rollover'!AM25*($P25*(1+'Property Summary'!$L$22)^('MF Releasing'!AN$3-1)))*$C25)</f>
        <v/>
      </c>
      <c r="AO25" s="149" t="str">
        <f>IF($B25=0,"",('MF Rollover'!AN25*($P25*(1+'Property Summary'!$L$22)^('MF Releasing'!AO$3-1)))*$C25)</f>
        <v/>
      </c>
      <c r="AP25" s="149" t="str">
        <f>IF($B25=0,"",('MF Rollover'!AO25*($P25*(1+'Property Summary'!$L$22)^('MF Releasing'!AP$3-1)))*$C25)</f>
        <v/>
      </c>
      <c r="AQ25" s="149" t="str">
        <f>IF($B25=0,"",('MF Rollover'!AP25*($P25*(1+'Property Summary'!$L$22)^('MF Releasing'!AQ$3-1)))*$C25)</f>
        <v/>
      </c>
      <c r="AR25" s="149" t="str">
        <f>IF($B25=0,"",('MF Rollover'!AQ25*($P25*(1+'Property Summary'!$L$22)^('MF Releasing'!AR$3-1)))*$C25)</f>
        <v/>
      </c>
      <c r="AS25" s="149" t="str">
        <f>IF($B25=0,"",('MF Rollover'!AR25*($P25*(1+'Property Summary'!$L$22)^('MF Releasing'!AS$3-1)))*$C25)</f>
        <v/>
      </c>
      <c r="AT25" s="149" t="str">
        <f>IF($B25=0,"",('MF Rollover'!AS25*($P25*(1+'Property Summary'!$L$22)^('MF Releasing'!AT$3-1)))*$C25)</f>
        <v/>
      </c>
      <c r="AU25" s="149" t="str">
        <f>IF($B25=0,"",('MF Rollover'!AT25*($P25*(1+'Property Summary'!$L$22)^('MF Releasing'!AU$3-1)))*$C25)</f>
        <v/>
      </c>
      <c r="AV25" s="149" t="str">
        <f>IF($B25=0,"",('MF Rollover'!AU25*($P25*(1+'Property Summary'!$L$22)^('MF Releasing'!AV$3-1)))*$C25)</f>
        <v/>
      </c>
      <c r="AW25" s="149" t="str">
        <f>IF($B25=0,"",('MF Rollover'!AV25*($P25*(1+'Property Summary'!$L$22)^('MF Releasing'!AW$3-1)))*$C25)</f>
        <v/>
      </c>
      <c r="AX25" s="149" t="str">
        <f>IF($B25=0,"",('MF Rollover'!AW25*($P25*(1+'Property Summary'!$L$22)^('MF Releasing'!AX$3-1)))*$C25)</f>
        <v/>
      </c>
      <c r="AY25" s="149" t="str">
        <f>IF($B25=0,"",('MF Rollover'!AX25*($P25*(1+'Property Summary'!$L$22)^('MF Releasing'!AY$3-1)))*$C25)</f>
        <v/>
      </c>
      <c r="AZ25" s="149" t="str">
        <f>IF($B25=0,"",('MF Rollover'!AY25*($P25*(1+'Property Summary'!$L$22)^('MF Releasing'!AZ$3-1)))*$C25)</f>
        <v/>
      </c>
      <c r="BA25" s="149" t="str">
        <f>IF($B25=0,"",('MF Rollover'!AZ25*($P25*(1+'Property Summary'!$L$22)^('MF Releasing'!BA$3-1)))*$C25)</f>
        <v/>
      </c>
      <c r="BB25" s="149" t="str">
        <f>IF($B25=0,"",('MF Rollover'!BA25*($P25*(1+'Property Summary'!$L$22)^('MF Releasing'!BB$3-1)))*$C25)</f>
        <v/>
      </c>
      <c r="BC25" s="149" t="str">
        <f>IF($B25=0,"",('MF Rollover'!BB25*($P25*(1+'Property Summary'!$L$22)^('MF Releasing'!BC$3-1)))*$C25)</f>
        <v/>
      </c>
      <c r="BD25" s="149" t="str">
        <f>IF($B25=0,"",('MF Rollover'!BC25*($P25*(1+'Property Summary'!$L$22)^('MF Releasing'!BD$3-1)))*$C25)</f>
        <v/>
      </c>
      <c r="BE25" s="149" t="str">
        <f>IF($B25=0,"",('MF Rollover'!BD25*($P25*(1+'Property Summary'!$L$22)^('MF Releasing'!BE$3-1)))*$C25)</f>
        <v/>
      </c>
      <c r="BF25" s="149" t="str">
        <f>IF($B25=0,"",('MF Rollover'!BE25*($P25*(1+'Property Summary'!$L$22)^('MF Releasing'!BF$3-1)))*$C25)</f>
        <v/>
      </c>
      <c r="BG25" s="149" t="str">
        <f>IF($B25=0,"",('MF Rollover'!BF25*($P25*(1+'Property Summary'!$L$22)^('MF Releasing'!BG$3-1)))*$C25)</f>
        <v/>
      </c>
      <c r="BH25" s="149" t="str">
        <f>IF($B25=0,"",('MF Rollover'!BG25*($P25*(1+'Property Summary'!$L$22)^('MF Releasing'!BH$3-1)))*$C25)</f>
        <v/>
      </c>
      <c r="BI25" s="149" t="str">
        <f>IF($B25=0,"",('MF Rollover'!BH25*($P25*(1+'Property Summary'!$L$22)^('MF Releasing'!BI$3-1)))*$C25)</f>
        <v/>
      </c>
      <c r="BJ25" s="149" t="str">
        <f>IF($B25=0,"",('MF Rollover'!BI25*($P25*(1+'Property Summary'!$L$22)^('MF Releasing'!BJ$3-1)))*$C25)</f>
        <v/>
      </c>
      <c r="BK25" s="149" t="str">
        <f>IF($B25=0,"",('MF Rollover'!BJ25*($P25*(1+'Property Summary'!$L$22)^('MF Releasing'!BK$3-1)))*$C25)</f>
        <v/>
      </c>
      <c r="BL25" s="149" t="str">
        <f>IF($B25=0,"",('MF Rollover'!BK25*($P25*(1+'Property Summary'!$L$22)^('MF Releasing'!BL$3-1)))*$C25)</f>
        <v/>
      </c>
      <c r="BM25" s="149" t="str">
        <f>IF($B25=0,"",('MF Rollover'!BL25*($P25*(1+'Property Summary'!$L$22)^('MF Releasing'!BM$3-1)))*$C25)</f>
        <v/>
      </c>
      <c r="BN25" s="149" t="str">
        <f>IF($B25=0,"",('MF Rollover'!BM25*($P25*(1+'Property Summary'!$L$22)^('MF Releasing'!BN$3-1)))*$C25)</f>
        <v/>
      </c>
      <c r="BO25" s="149" t="str">
        <f>IF($B25=0,"",('MF Rollover'!BN25*($P25*(1+'Property Summary'!$L$22)^('MF Releasing'!BO$3-1)))*$C25)</f>
        <v/>
      </c>
      <c r="BP25" s="149" t="str">
        <f>IF($B25=0,"",('MF Rollover'!BO25*($P25*(1+'Property Summary'!$L$22)^('MF Releasing'!BP$3-1)))*$C25)</f>
        <v/>
      </c>
      <c r="BQ25" s="149" t="str">
        <f>IF($B25=0,"",('MF Rollover'!BP25*($P25*(1+'Property Summary'!$L$22)^('MF Releasing'!BQ$3-1)))*$C25)</f>
        <v/>
      </c>
      <c r="BR25" s="149" t="str">
        <f>IF($B25=0,"",('MF Rollover'!BQ25*($P25*(1+'Property Summary'!$L$22)^('MF Releasing'!BR$3-1)))*$C25)</f>
        <v/>
      </c>
      <c r="BS25" s="149" t="str">
        <f>IF($B25=0,"",('MF Rollover'!BR25*($P25*(1+'Property Summary'!$L$22)^('MF Releasing'!BS$3-1)))*$C25)</f>
        <v/>
      </c>
      <c r="BT25" s="149" t="str">
        <f>IF($B25=0,"",('MF Rollover'!BS25*($P25*(1+'Property Summary'!$L$22)^('MF Releasing'!BT$3-1)))*$C25)</f>
        <v/>
      </c>
      <c r="BU25" s="149" t="str">
        <f>IF($B25=0,"",('MF Rollover'!BT25*($P25*(1+'Property Summary'!$L$22)^('MF Releasing'!BU$3-1)))*$C25)</f>
        <v/>
      </c>
      <c r="BV25" s="149" t="str">
        <f>IF($B25=0,"",('MF Rollover'!BU25*($P25*(1+'Property Summary'!$L$22)^('MF Releasing'!BV$3-1)))*$C25)</f>
        <v/>
      </c>
      <c r="BW25" s="149" t="str">
        <f>IF($B25=0,"",('MF Rollover'!BV25*($P25*(1+'Property Summary'!$L$22)^('MF Releasing'!BW$3-1)))*$C25)</f>
        <v/>
      </c>
      <c r="BX25" s="149" t="str">
        <f>IF($B25=0,"",('MF Rollover'!BW25*($P25*(1+'Property Summary'!$L$22)^('MF Releasing'!BX$3-1)))*$C25)</f>
        <v/>
      </c>
      <c r="BY25" s="149" t="str">
        <f>IF($B25=0,"",('MF Rollover'!BX25*($P25*(1+'Property Summary'!$L$22)^('MF Releasing'!BY$3-1)))*$C25)</f>
        <v/>
      </c>
      <c r="BZ25" s="149" t="str">
        <f>IF($B25=0,"",('MF Rollover'!BY25*($P25*(1+'Property Summary'!$L$22)^('MF Releasing'!BZ$3-1)))*$C25)</f>
        <v/>
      </c>
      <c r="CA25" s="149" t="str">
        <f>IF($B25=0,"",('MF Rollover'!BZ25*($P25*(1+'Property Summary'!$L$22)^('MF Releasing'!CA$3-1)))*$C25)</f>
        <v/>
      </c>
      <c r="CB25" s="149" t="str">
        <f>IF($B25=0,"",('MF Rollover'!CA25*($P25*(1+'Property Summary'!$L$22)^('MF Releasing'!CB$3-1)))*$C25)</f>
        <v/>
      </c>
      <c r="CC25" s="149" t="str">
        <f>IF($B25=0,"",('MF Rollover'!CB25*($P25*(1+'Property Summary'!$L$22)^('MF Releasing'!CC$3-1)))*$C25)</f>
        <v/>
      </c>
      <c r="CD25" s="149" t="str">
        <f>IF($B25=0,"",('MF Rollover'!CC25*($P25*(1+'Property Summary'!$L$22)^('MF Releasing'!CD$3-1)))*$C25)</f>
        <v/>
      </c>
      <c r="CE25" s="149" t="str">
        <f>IF($B25=0,"",('MF Rollover'!CD25*($P25*(1+'Property Summary'!$L$22)^('MF Releasing'!CE$3-1)))*$C25)</f>
        <v/>
      </c>
      <c r="CF25" s="149" t="str">
        <f>IF($B25=0,"",('MF Rollover'!CE25*($P25*(1+'Property Summary'!$L$22)^('MF Releasing'!CF$3-1)))*$C25)</f>
        <v/>
      </c>
      <c r="CG25" s="149" t="str">
        <f>IF($B25=0,"",('MF Rollover'!CF25*($P25*(1+'Property Summary'!$L$22)^('MF Releasing'!CG$3-1)))*$C25)</f>
        <v/>
      </c>
      <c r="CH25" s="149" t="str">
        <f>IF($B25=0,"",('MF Rollover'!CG25*($P25*(1+'Property Summary'!$L$22)^('MF Releasing'!CH$3-1)))*$C25)</f>
        <v/>
      </c>
      <c r="CI25" s="149" t="str">
        <f>IF($B25=0,"",('MF Rollover'!CH25*($P25*(1+'Property Summary'!$L$22)^('MF Releasing'!CI$3-1)))*$C25)</f>
        <v/>
      </c>
      <c r="CJ25" s="149" t="str">
        <f>IF($B25=0,"",('MF Rollover'!CI25*($P25*(1+'Property Summary'!$L$22)^('MF Releasing'!CJ$3-1)))*$C25)</f>
        <v/>
      </c>
      <c r="CK25" s="149" t="str">
        <f>IF($B25=0,"",('MF Rollover'!CJ25*($P25*(1+'Property Summary'!$L$22)^('MF Releasing'!CK$3-1)))*$C25)</f>
        <v/>
      </c>
      <c r="CL25" s="149" t="str">
        <f>IF($B25=0,"",('MF Rollover'!CK25*($P25*(1+'Property Summary'!$L$22)^('MF Releasing'!CL$3-1)))*$C25)</f>
        <v/>
      </c>
      <c r="CM25" s="149" t="str">
        <f>IF($B25=0,"",('MF Rollover'!CL25*($P25*(1+'Property Summary'!$L$22)^('MF Releasing'!CM$3-1)))*$C25)</f>
        <v/>
      </c>
      <c r="CN25" s="149" t="str">
        <f>IF($B25=0,"",('MF Rollover'!CM25*($P25*(1+'Property Summary'!$L$22)^('MF Releasing'!CN$3-1)))*$C25)</f>
        <v/>
      </c>
      <c r="CO25" s="149" t="str">
        <f>IF($B25=0,"",('MF Rollover'!CN25*($P25*(1+'Property Summary'!$L$22)^('MF Releasing'!CO$3-1)))*$C25)</f>
        <v/>
      </c>
      <c r="CP25" s="149" t="str">
        <f>IF($B25=0,"",('MF Rollover'!CO25*($P25*(1+'Property Summary'!$L$22)^('MF Releasing'!CP$3-1)))*$C25)</f>
        <v/>
      </c>
      <c r="CQ25" s="149" t="str">
        <f>IF($B25=0,"",('MF Rollover'!CP25*($P25*(1+'Property Summary'!$L$22)^('MF Releasing'!CQ$3-1)))*$C25)</f>
        <v/>
      </c>
      <c r="CR25" s="149" t="str">
        <f>IF($B25=0,"",('MF Rollover'!CQ25*($P25*(1+'Property Summary'!$L$22)^('MF Releasing'!CR$3-1)))*$C25)</f>
        <v/>
      </c>
      <c r="CS25" s="149" t="str">
        <f>IF($B25=0,"",('MF Rollover'!CR25*($P25*(1+'Property Summary'!$L$22)^('MF Releasing'!CS$3-1)))*$C25)</f>
        <v/>
      </c>
      <c r="CT25" s="149" t="str">
        <f>IF($B25=0,"",('MF Rollover'!CS25*($P25*(1+'Property Summary'!$L$22)^('MF Releasing'!CT$3-1)))*$C25)</f>
        <v/>
      </c>
      <c r="CU25" s="149" t="str">
        <f>IF($B25=0,"",('MF Rollover'!CT25*($P25*(1+'Property Summary'!$L$22)^('MF Releasing'!CU$3-1)))*$C25)</f>
        <v/>
      </c>
      <c r="CV25" s="149" t="str">
        <f>IF($B25=0,"",('MF Rollover'!CU25*($P25*(1+'Property Summary'!$L$22)^('MF Releasing'!CV$3-1)))*$C25)</f>
        <v/>
      </c>
      <c r="CW25" s="149" t="str">
        <f>IF($B25=0,"",('MF Rollover'!CV25*($P25*(1+'Property Summary'!$L$22)^('MF Releasing'!CW$3-1)))*$C25)</f>
        <v/>
      </c>
      <c r="CX25" s="149" t="str">
        <f>IF($B25=0,"",('MF Rollover'!CW25*($P25*(1+'Property Summary'!$L$22)^('MF Releasing'!CX$3-1)))*$C25)</f>
        <v/>
      </c>
      <c r="CY25" s="149" t="str">
        <f>IF($B25=0,"",('MF Rollover'!CX25*($P25*(1+'Property Summary'!$L$22)^('MF Releasing'!CY$3-1)))*$C25)</f>
        <v/>
      </c>
      <c r="CZ25" s="149" t="str">
        <f>IF($B25=0,"",('MF Rollover'!CY25*($P25*(1+'Property Summary'!$L$22)^('MF Releasing'!CZ$3-1)))*$C25)</f>
        <v/>
      </c>
      <c r="DA25" s="149" t="str">
        <f>IF($B25=0,"",('MF Rollover'!CZ25*($P25*(1+'Property Summary'!$L$22)^('MF Releasing'!DA$3-1)))*$C25)</f>
        <v/>
      </c>
      <c r="DB25" s="149" t="str">
        <f>IF($B25=0,"",('MF Rollover'!DA25*($P25*(1+'Property Summary'!$L$22)^('MF Releasing'!DB$3-1)))*$C25)</f>
        <v/>
      </c>
      <c r="DC25" s="149" t="str">
        <f>IF($B25=0,"",('MF Rollover'!DB25*($P25*(1+'Property Summary'!$L$22)^('MF Releasing'!DC$3-1)))*$C25)</f>
        <v/>
      </c>
      <c r="DD25" s="149" t="str">
        <f>IF($B25=0,"",('MF Rollover'!DC25*($P25*(1+'Property Summary'!$L$22)^('MF Releasing'!DD$3-1)))*$C25)</f>
        <v/>
      </c>
      <c r="DE25" s="149" t="str">
        <f>IF($B25=0,"",('MF Rollover'!DD25*($P25*(1+'Property Summary'!$L$22)^('MF Releasing'!DE$3-1)))*$C25)</f>
        <v/>
      </c>
      <c r="DF25" s="149" t="str">
        <f>IF($B25=0,"",('MF Rollover'!DE25*($P25*(1+'Property Summary'!$L$22)^('MF Releasing'!DF$3-1)))*$C25)</f>
        <v/>
      </c>
      <c r="DG25" s="149" t="str">
        <f>IF($B25=0,"",('MF Rollover'!DF25*($P25*(1+'Property Summary'!$L$22)^('MF Releasing'!DG$3-1)))*$C25)</f>
        <v/>
      </c>
      <c r="DH25" s="149" t="str">
        <f>IF($B25=0,"",('MF Rollover'!DG25*($P25*(1+'Property Summary'!$L$22)^('MF Releasing'!DH$3-1)))*$C25)</f>
        <v/>
      </c>
      <c r="DI25" s="149" t="str">
        <f>IF($B25=0,"",('MF Rollover'!DH25*($P25*(1+'Property Summary'!$L$22)^('MF Releasing'!DI$3-1)))*$C25)</f>
        <v/>
      </c>
      <c r="DJ25" s="149" t="str">
        <f>IF($B25=0,"",('MF Rollover'!DI25*($P25*(1+'Property Summary'!$L$22)^('MF Releasing'!DJ$3-1)))*$C25)</f>
        <v/>
      </c>
      <c r="DK25" s="149" t="str">
        <f>IF($B25=0,"",('MF Rollover'!DJ25*($P25*(1+'Property Summary'!$L$22)^('MF Releasing'!DK$3-1)))*$C25)</f>
        <v/>
      </c>
      <c r="DL25" s="149" t="str">
        <f>IF($B25=0,"",('MF Rollover'!DK25*($P25*(1+'Property Summary'!$L$22)^('MF Releasing'!DL$3-1)))*$C25)</f>
        <v/>
      </c>
      <c r="DM25" s="149" t="str">
        <f>IF($B25=0,"",('MF Rollover'!DL25*($P25*(1+'Property Summary'!$L$22)^('MF Releasing'!DM$3-1)))*$C25)</f>
        <v/>
      </c>
      <c r="DN25" s="149" t="str">
        <f>IF($B25=0,"",('MF Rollover'!DM25*($P25*(1+'Property Summary'!$L$22)^('MF Releasing'!DN$3-1)))*$C25)</f>
        <v/>
      </c>
      <c r="DO25" s="149" t="str">
        <f>IF($B25=0,"",('MF Rollover'!DN25*($P25*(1+'Property Summary'!$L$22)^('MF Releasing'!DO$3-1)))*$C25)</f>
        <v/>
      </c>
      <c r="DP25" s="149" t="str">
        <f>IF($B25=0,"",('MF Rollover'!DO25*($P25*(1+'Property Summary'!$L$22)^('MF Releasing'!DP$3-1)))*$C25)</f>
        <v/>
      </c>
      <c r="DQ25" s="149" t="str">
        <f>IF($B25=0,"",('MF Rollover'!DP25*($P25*(1+'Property Summary'!$L$22)^('MF Releasing'!DQ$3-1)))*$C25)</f>
        <v/>
      </c>
      <c r="DR25" s="149" t="str">
        <f>IF($B25=0,"",('MF Rollover'!DQ25*($P25*(1+'Property Summary'!$L$22)^('MF Releasing'!DR$3-1)))*$C25)</f>
        <v/>
      </c>
      <c r="DS25" s="149" t="str">
        <f>IF($B25=0,"",('MF Rollover'!DR25*($P25*(1+'Property Summary'!$L$22)^('MF Releasing'!DS$3-1)))*$C25)</f>
        <v/>
      </c>
      <c r="DT25" s="149" t="str">
        <f>IF($B25=0,"",('MF Rollover'!DS25*($P25*(1+'Property Summary'!$L$22)^('MF Releasing'!DT$3-1)))*$C25)</f>
        <v/>
      </c>
      <c r="DU25" s="149" t="str">
        <f>IF($B25=0,"",('MF Rollover'!DT25*($P25*(1+'Property Summary'!$L$22)^('MF Releasing'!DU$3-1)))*$C25)</f>
        <v/>
      </c>
      <c r="DV25" s="149" t="str">
        <f>IF($B25=0,"",('MF Rollover'!DU25*($P25*(1+'Property Summary'!$L$22)^('MF Releasing'!DV$3-1)))*$C25)</f>
        <v/>
      </c>
      <c r="DW25" s="149" t="str">
        <f>IF($B25=0,"",('MF Rollover'!DV25*($P25*(1+'Property Summary'!$L$22)^('MF Releasing'!DW$3-1)))*$C25)</f>
        <v/>
      </c>
      <c r="DX25" s="149" t="str">
        <f>IF($B25=0,"",('MF Rollover'!DW25*($P25*(1+'Property Summary'!$L$22)^('MF Releasing'!DX$3-1)))*$C25)</f>
        <v/>
      </c>
      <c r="DY25" s="149" t="str">
        <f>IF($B25=0,"",('MF Rollover'!DX25*($P25*(1+'Property Summary'!$L$22)^('MF Releasing'!DY$3-1)))*$C25)</f>
        <v/>
      </c>
      <c r="DZ25" s="149" t="str">
        <f>IF($B25=0,"",('MF Rollover'!DY25*($P25*(1+'Property Summary'!$L$22)^('MF Releasing'!DZ$3-1)))*$C25)</f>
        <v/>
      </c>
      <c r="EA25" s="149" t="str">
        <f>IF($B25=0,"",('MF Rollover'!DZ25*($P25*(1+'Property Summary'!$L$22)^('MF Releasing'!EA$3-1)))*$C25)</f>
        <v/>
      </c>
      <c r="EB25" s="149" t="str">
        <f>IF($B25=0,"",('MF Rollover'!EA25*($P25*(1+'Property Summary'!$L$22)^('MF Releasing'!EB$3-1)))*$C25)</f>
        <v/>
      </c>
      <c r="EC25" s="149" t="str">
        <f>IF($B25=0,"",('MF Rollover'!EB25*($P25*(1+'Property Summary'!$L$22)^('MF Releasing'!EC$3-1)))*$C25)</f>
        <v/>
      </c>
      <c r="ED25" s="149" t="str">
        <f>IF($B25=0,"",('MF Rollover'!EC25*($P25*(1+'Property Summary'!$L$22)^('MF Releasing'!ED$3-1)))*$C25)</f>
        <v/>
      </c>
      <c r="EE25" s="149" t="str">
        <f>IF($B25=0,"",('MF Rollover'!ED25*($P25*(1+'Property Summary'!$L$22)^('MF Releasing'!EE$3-1)))*$C25)</f>
        <v/>
      </c>
      <c r="EF25" s="149" t="str">
        <f>IF($B25=0,"",('MF Rollover'!EE25*($P25*(1+'Property Summary'!$L$22)^('MF Releasing'!EF$3-1)))*$C25)</f>
        <v/>
      </c>
      <c r="EG25" s="149" t="str">
        <f>IF($B25=0,"",('MF Rollover'!EF25*($P25*(1+'Property Summary'!$L$22)^('MF Releasing'!EG$3-1)))*$C25)</f>
        <v/>
      </c>
      <c r="EH25" s="149" t="str">
        <f>IF($B25=0,"",('MF Rollover'!EG25*($P25*(1+'Property Summary'!$L$22)^('MF Releasing'!EH$3-1)))*$C25)</f>
        <v/>
      </c>
      <c r="EI25" s="149" t="str">
        <f>IF($B25=0,"",('MF Rollover'!EH25*($P25*(1+'Property Summary'!$L$22)^('MF Releasing'!EI$3-1)))*$C25)</f>
        <v/>
      </c>
      <c r="EJ25" s="149" t="str">
        <f>IF($B25=0,"",('MF Rollover'!EI25*($P25*(1+'Property Summary'!$L$22)^('MF Releasing'!EJ$3-1)))*$C25)</f>
        <v/>
      </c>
      <c r="EK25" s="149" t="str">
        <f>IF($B25=0,"",('MF Rollover'!EJ25*($P25*(1+'Property Summary'!$L$22)^('MF Releasing'!EK$3-1)))*$C25)</f>
        <v/>
      </c>
      <c r="EL25" s="149" t="str">
        <f>IF($B25=0,"",('MF Rollover'!EK25*($P25*(1+'Property Summary'!$L$22)^('MF Releasing'!EL$3-1)))*$C25)</f>
        <v/>
      </c>
      <c r="EM25" s="149" t="str">
        <f>IF($B25=0,"",('MF Rollover'!EL25*($P25*(1+'Property Summary'!$L$22)^('MF Releasing'!EM$3-1)))*$C25)</f>
        <v/>
      </c>
      <c r="EN25" s="149" t="str">
        <f>IF($B25=0,"",('MF Rollover'!EM25*($P25*(1+'Property Summary'!$L$22)^('MF Releasing'!EN$3-1)))*$C25)</f>
        <v/>
      </c>
      <c r="EO25" s="149" t="str">
        <f>IF($B25=0,"",('MF Rollover'!EN25*($P25*(1+'Property Summary'!$L$22)^('MF Releasing'!EO$3-1)))*$C25)</f>
        <v/>
      </c>
      <c r="EP25" s="149" t="str">
        <f>IF($B25=0,"",('MF Rollover'!EO25*($P25*(1+'Property Summary'!$L$22)^('MF Releasing'!EP$3-1)))*$C25)</f>
        <v/>
      </c>
      <c r="EQ25" s="149" t="str">
        <f>IF($B25=0,"",('MF Rollover'!EP25*($P25*(1+'Property Summary'!$L$22)^('MF Releasing'!EQ$3-1)))*$C25)</f>
        <v/>
      </c>
      <c r="ER25" s="149" t="str">
        <f>IF($B25=0,"",('MF Rollover'!EQ25*($P25*(1+'Property Summary'!$L$22)^('MF Releasing'!ER$3-1)))*$C25)</f>
        <v/>
      </c>
      <c r="ES25" s="149" t="str">
        <f>IF($B25=0,"",('MF Rollover'!ER25*($P25*(1+'Property Summary'!$L$22)^('MF Releasing'!ES$3-1)))*$C25)</f>
        <v/>
      </c>
      <c r="ET25" s="149" t="str">
        <f>IF($B25=0,"",('MF Rollover'!ES25*($P25*(1+'Property Summary'!$L$22)^('MF Releasing'!ET$3-1)))*$C25)</f>
        <v/>
      </c>
      <c r="EU25" s="149" t="str">
        <f>IF($B25=0,"",('MF Rollover'!ET25*($P25*(1+'Property Summary'!$L$22)^('MF Releasing'!EU$3-1)))*$C25)</f>
        <v/>
      </c>
      <c r="EV25" s="149" t="str">
        <f>IF($B25=0,"",('MF Rollover'!EU25*($P25*(1+'Property Summary'!$L$22)^('MF Releasing'!EV$3-1)))*$C25)</f>
        <v/>
      </c>
      <c r="EW25" s="149" t="str">
        <f>IF($B25=0,"",('MF Rollover'!EV25*($P25*(1+'Property Summary'!$L$22)^('MF Releasing'!EW$3-1)))*$C25)</f>
        <v/>
      </c>
      <c r="EX25" s="149" t="str">
        <f>IF($B25=0,"",('MF Rollover'!EW25*($P25*(1+'Property Summary'!$L$22)^('MF Releasing'!EX$3-1)))*$C25)</f>
        <v/>
      </c>
      <c r="EY25" s="149" t="str">
        <f>IF($B25=0,"",('MF Rollover'!EX25*($P25*(1+'Property Summary'!$L$22)^('MF Releasing'!EY$3-1)))*$C25)</f>
        <v/>
      </c>
      <c r="EZ25" s="149" t="str">
        <f>IF($B25=0,"",('MF Rollover'!EY25*($P25*(1+'Property Summary'!$L$22)^('MF Releasing'!EZ$3-1)))*$C25)</f>
        <v/>
      </c>
      <c r="FA25" s="149" t="str">
        <f>IF($B25=0,"",('MF Rollover'!EZ25*($P25*(1+'Property Summary'!$L$22)^('MF Releasing'!FA$3-1)))*$C25)</f>
        <v/>
      </c>
      <c r="FB25" s="149" t="str">
        <f>IF($B25=0,"",('MF Rollover'!FA25*($P25*(1+'Property Summary'!$L$22)^('MF Releasing'!FB$3-1)))*$C25)</f>
        <v/>
      </c>
      <c r="FC25" s="149" t="str">
        <f>IF($B25=0,"",('MF Rollover'!FB25*($P25*(1+'Property Summary'!$L$22)^('MF Releasing'!FC$3-1)))*$C25)</f>
        <v/>
      </c>
      <c r="FD25" s="149" t="str">
        <f>IF($B25=0,"",('MF Rollover'!FC25*($P25*(1+'Property Summary'!$L$22)^('MF Releasing'!FD$3-1)))*$C25)</f>
        <v/>
      </c>
      <c r="FE25" s="149" t="str">
        <f>IF($B25=0,"",('MF Rollover'!FD25*($P25*(1+'Property Summary'!$L$22)^('MF Releasing'!FE$3-1)))*$C25)</f>
        <v/>
      </c>
      <c r="FF25" s="149" t="str">
        <f>IF($B25=0,"",('MF Rollover'!FE25*($P25*(1+'Property Summary'!$L$22)^('MF Releasing'!FF$3-1)))*$C25)</f>
        <v/>
      </c>
      <c r="FG25" s="149" t="str">
        <f>IF($B25=0,"",('MF Rollover'!FF25*($P25*(1+'Property Summary'!$L$22)^('MF Releasing'!FG$3-1)))*$C25)</f>
        <v/>
      </c>
      <c r="FH25" s="149" t="str">
        <f>IF($B25=0,"",('MF Rollover'!FG25*($P25*(1+'Property Summary'!$L$22)^('MF Releasing'!FH$3-1)))*$C25)</f>
        <v/>
      </c>
      <c r="FI25" s="149" t="str">
        <f>IF($B25=0,"",('MF Rollover'!FH25*($P25*(1+'Property Summary'!$L$22)^('MF Releasing'!FI$3-1)))*$C25)</f>
        <v/>
      </c>
      <c r="FJ25" s="149" t="str">
        <f>IF($B25=0,"",('MF Rollover'!FI25*($P25*(1+'Property Summary'!$L$22)^('MF Releasing'!FJ$3-1)))*$C25)</f>
        <v/>
      </c>
      <c r="FK25" s="149" t="str">
        <f>IF($B25=0,"",('MF Rollover'!FJ25*($P25*(1+'Property Summary'!$L$22)^('MF Releasing'!FK$3-1)))*$C25)</f>
        <v/>
      </c>
      <c r="FL25" s="149" t="str">
        <f>IF($B25=0,"",('MF Rollover'!FK25*($P25*(1+'Property Summary'!$L$22)^('MF Releasing'!FL$3-1)))*$C25)</f>
        <v/>
      </c>
      <c r="FM25" s="149" t="str">
        <f>IF($B25=0,"",('MF Rollover'!FL25*($P25*(1+'Property Summary'!$L$22)^('MF Releasing'!FM$3-1)))*$C25)</f>
        <v/>
      </c>
      <c r="FN25" s="149" t="str">
        <f>IF($B25=0,"",('MF Rollover'!FM25*($P25*(1+'Property Summary'!$L$22)^('MF Releasing'!FN$3-1)))*$C25)</f>
        <v/>
      </c>
      <c r="FO25" s="149" t="str">
        <f>IF($B25=0,"",('MF Rollover'!FN25*($P25*(1+'Property Summary'!$L$22)^('MF Releasing'!FO$3-1)))*$C25)</f>
        <v/>
      </c>
      <c r="FP25" s="149" t="str">
        <f>IF($B25=0,"",('MF Rollover'!FO25*($P25*(1+'Property Summary'!$L$22)^('MF Releasing'!FP$3-1)))*$C25)</f>
        <v/>
      </c>
      <c r="FQ25" s="149" t="str">
        <f>IF($B25=0,"",('MF Rollover'!FP25*($P25*(1+'Property Summary'!$L$22)^('MF Releasing'!FQ$3-1)))*$C25)</f>
        <v/>
      </c>
      <c r="FR25" s="149" t="str">
        <f>IF($B25=0,"",('MF Rollover'!FQ25*($P25*(1+'Property Summary'!$L$22)^('MF Releasing'!FR$3-1)))*$C25)</f>
        <v/>
      </c>
      <c r="FS25" s="149" t="str">
        <f>IF($B25=0,"",('MF Rollover'!FR25*($P25*(1+'Property Summary'!$L$22)^('MF Releasing'!FS$3-1)))*$C25)</f>
        <v/>
      </c>
      <c r="FT25" s="149" t="str">
        <f>IF($B25=0,"",('MF Rollover'!FS25*($P25*(1+'Property Summary'!$L$22)^('MF Releasing'!FT$3-1)))*$C25)</f>
        <v/>
      </c>
      <c r="FU25" s="149" t="str">
        <f>IF($B25=0,"",('MF Rollover'!FT25*($P25*(1+'Property Summary'!$L$22)^('MF Releasing'!FU$3-1)))*$C25)</f>
        <v/>
      </c>
      <c r="FV25" s="149" t="str">
        <f>IF($B25=0,"",('MF Rollover'!FU25*($P25*(1+'Property Summary'!$L$22)^('MF Releasing'!FV$3-1)))*$C25)</f>
        <v/>
      </c>
      <c r="FW25" s="149" t="str">
        <f>IF($B25=0,"",('MF Rollover'!FV25*($P25*(1+'Property Summary'!$L$22)^('MF Releasing'!FW$3-1)))*$C25)</f>
        <v/>
      </c>
      <c r="FX25" s="149" t="str">
        <f>IF($B25=0,"",('MF Rollover'!FW25*($P25*(1+'Property Summary'!$L$22)^('MF Releasing'!FX$3-1)))*$C25)</f>
        <v/>
      </c>
      <c r="FY25" s="149" t="str">
        <f>IF($B25=0,"",('MF Rollover'!FX25*($P25*(1+'Property Summary'!$L$22)^('MF Releasing'!FY$3-1)))*$C25)</f>
        <v/>
      </c>
      <c r="FZ25" s="149" t="str">
        <f>IF($B25=0,"",('MF Rollover'!FY25*($P25*(1+'Property Summary'!$L$22)^('MF Releasing'!FZ$3-1)))*$C25)</f>
        <v/>
      </c>
      <c r="GA25" s="149" t="str">
        <f>IF($B25=0,"",('MF Rollover'!FZ25*($P25*(1+'Property Summary'!$L$22)^('MF Releasing'!GA$3-1)))*$C25)</f>
        <v/>
      </c>
      <c r="GB25" s="149" t="str">
        <f>IF($B25=0,"",('MF Rollover'!GA25*($P25*(1+'Property Summary'!$L$22)^('MF Releasing'!GB$3-1)))*$C25)</f>
        <v/>
      </c>
      <c r="GC25" s="149" t="str">
        <f>IF($B25=0,"",('MF Rollover'!GB25*($P25*(1+'Property Summary'!$L$22)^('MF Releasing'!GC$3-1)))*$C25)</f>
        <v/>
      </c>
      <c r="GD25" s="149" t="str">
        <f>IF($B25=0,"",('MF Rollover'!GC25*($P25*(1+'Property Summary'!$L$22)^('MF Releasing'!GD$3-1)))*$C25)</f>
        <v/>
      </c>
      <c r="GE25" s="149" t="str">
        <f>IF($B25=0,"",('MF Rollover'!GD25*($P25*(1+'Property Summary'!$L$22)^('MF Releasing'!GE$3-1)))*$C25)</f>
        <v/>
      </c>
      <c r="GF25" s="149" t="str">
        <f>IF($B25=0,"",('MF Rollover'!GE25*($P25*(1+'Property Summary'!$L$22)^('MF Releasing'!GF$3-1)))*$C25)</f>
        <v/>
      </c>
      <c r="GG25" s="149" t="str">
        <f>IF($B25=0,"",('MF Rollover'!GF25*($P25*(1+'Property Summary'!$L$22)^('MF Releasing'!GG$3-1)))*$C25)</f>
        <v/>
      </c>
      <c r="GH25" s="149" t="str">
        <f>IF($B25=0,"",('MF Rollover'!GG25*($P25*(1+'Property Summary'!$L$22)^('MF Releasing'!GH$3-1)))*$C25)</f>
        <v/>
      </c>
      <c r="GI25" s="149" t="str">
        <f>IF($B25=0,"",('MF Rollover'!GH25*($P25*(1+'Property Summary'!$L$22)^('MF Releasing'!GI$3-1)))*$C25)</f>
        <v/>
      </c>
      <c r="GJ25" s="149" t="str">
        <f>IF($B25=0,"",('MF Rollover'!GI25*($P25*(1+'Property Summary'!$L$22)^('MF Releasing'!GJ$3-1)))*$C25)</f>
        <v/>
      </c>
      <c r="GK25" s="149" t="str">
        <f>IF($B25=0,"",('MF Rollover'!GJ25*($P25*(1+'Property Summary'!$L$22)^('MF Releasing'!GK$3-1)))*$C25)</f>
        <v/>
      </c>
      <c r="GL25" s="149" t="str">
        <f>IF($B25=0,"",('MF Rollover'!GK25*($P25*(1+'Property Summary'!$L$22)^('MF Releasing'!GL$3-1)))*$C25)</f>
        <v/>
      </c>
      <c r="GM25" s="149" t="str">
        <f>IF($B25=0,"",('MF Rollover'!GL25*($P25*(1+'Property Summary'!$L$22)^('MF Releasing'!GM$3-1)))*$C25)</f>
        <v/>
      </c>
      <c r="GN25" s="149" t="str">
        <f>IF($B25=0,"",('MF Rollover'!GM25*($P25*(1+'Property Summary'!$L$22)^('MF Releasing'!GN$3-1)))*$C25)</f>
        <v/>
      </c>
      <c r="GO25" s="149" t="str">
        <f>IF($B25=0,"",('MF Rollover'!GN25*($P25*(1+'Property Summary'!$L$22)^('MF Releasing'!GO$3-1)))*$C25)</f>
        <v/>
      </c>
      <c r="GP25" s="149" t="str">
        <f>IF($B25=0,"",('MF Rollover'!GO25*($P25*(1+'Property Summary'!$L$22)^('MF Releasing'!GP$3-1)))*$C25)</f>
        <v/>
      </c>
    </row>
    <row r="26" spans="2:198" x14ac:dyDescent="0.3">
      <c r="B26" s="184">
        <f>'MF Rent Roll'!B25</f>
        <v>0</v>
      </c>
      <c r="C26" s="171">
        <f>'MF Rent Roll'!C25</f>
        <v>0</v>
      </c>
      <c r="D26" s="172">
        <f>'MF Rent Roll'!D25</f>
        <v>0</v>
      </c>
      <c r="E26" s="172">
        <f>'MF Rent Roll'!E25</f>
        <v>0</v>
      </c>
      <c r="F26" s="173">
        <f>'MF Rent Roll'!F25</f>
        <v>0</v>
      </c>
      <c r="G26" s="174">
        <f>'MF Rent Roll'!G25</f>
        <v>0</v>
      </c>
      <c r="H26" s="176">
        <f>'MF Rent Roll'!J25</f>
        <v>0</v>
      </c>
      <c r="I26" s="174">
        <f>'MF Rent Roll'!K25</f>
        <v>0</v>
      </c>
      <c r="J26" s="177">
        <f>'MF Rent Roll'!L25</f>
        <v>0</v>
      </c>
      <c r="K26" s="178">
        <f>'MF Rent Roll'!M25</f>
        <v>0</v>
      </c>
      <c r="L26" s="174">
        <f>'MF Rent Roll'!N25</f>
        <v>0</v>
      </c>
      <c r="M26" s="179">
        <f>'MF Rent Roll'!O25</f>
        <v>0</v>
      </c>
      <c r="N26" s="180" t="str">
        <f>'MF Rent Roll'!P25</f>
        <v/>
      </c>
      <c r="O26" s="181" t="str">
        <f>'MF Rent Roll'!Q25</f>
        <v/>
      </c>
      <c r="P26" s="104" t="str">
        <f>'MF Rent Roll'!R25</f>
        <v/>
      </c>
      <c r="S26" s="149" t="str">
        <f>IF($B26=0,"",('MF Rollover'!R26*($P26*(1+'Property Summary'!$L$22)^('MF Releasing'!S$3-1)))*$C26)</f>
        <v/>
      </c>
      <c r="T26" s="149" t="str">
        <f>IF($B26=0,"",('MF Rollover'!S26*($P26*(1+'Property Summary'!$L$22)^('MF Releasing'!T$3-1)))*$C26)</f>
        <v/>
      </c>
      <c r="U26" s="149" t="str">
        <f>IF($B26=0,"",('MF Rollover'!T26*($P26*(1+'Property Summary'!$L$22)^('MF Releasing'!U$3-1)))*$C26)</f>
        <v/>
      </c>
      <c r="V26" s="149" t="str">
        <f>IF($B26=0,"",('MF Rollover'!U26*($P26*(1+'Property Summary'!$L$22)^('MF Releasing'!V$3-1)))*$C26)</f>
        <v/>
      </c>
      <c r="W26" s="149" t="str">
        <f>IF($B26=0,"",('MF Rollover'!V26*($P26*(1+'Property Summary'!$L$22)^('MF Releasing'!W$3-1)))*$C26)</f>
        <v/>
      </c>
      <c r="X26" s="149" t="str">
        <f>IF($B26=0,"",('MF Rollover'!W26*($P26*(1+'Property Summary'!$L$22)^('MF Releasing'!X$3-1)))*$C26)</f>
        <v/>
      </c>
      <c r="Y26" s="149" t="str">
        <f>IF($B26=0,"",('MF Rollover'!X26*($P26*(1+'Property Summary'!$L$22)^('MF Releasing'!Y$3-1)))*$C26)</f>
        <v/>
      </c>
      <c r="Z26" s="149" t="str">
        <f>IF($B26=0,"",('MF Rollover'!Y26*($P26*(1+'Property Summary'!$L$22)^('MF Releasing'!Z$3-1)))*$C26)</f>
        <v/>
      </c>
      <c r="AA26" s="149" t="str">
        <f>IF($B26=0,"",('MF Rollover'!Z26*($P26*(1+'Property Summary'!$L$22)^('MF Releasing'!AA$3-1)))*$C26)</f>
        <v/>
      </c>
      <c r="AB26" s="149" t="str">
        <f>IF($B26=0,"",('MF Rollover'!AA26*($P26*(1+'Property Summary'!$L$22)^('MF Releasing'!AB$3-1)))*$C26)</f>
        <v/>
      </c>
      <c r="AC26" s="149" t="str">
        <f>IF($B26=0,"",('MF Rollover'!AB26*($P26*(1+'Property Summary'!$L$22)^('MF Releasing'!AC$3-1)))*$C26)</f>
        <v/>
      </c>
      <c r="AD26" s="149" t="str">
        <f>IF($B26=0,"",('MF Rollover'!AC26*($P26*(1+'Property Summary'!$L$22)^('MF Releasing'!AD$3-1)))*$C26)</f>
        <v/>
      </c>
      <c r="AE26" s="149" t="str">
        <f>IF($B26=0,"",('MF Rollover'!AD26*($P26*(1+'Property Summary'!$L$22)^('MF Releasing'!AE$3-1)))*$C26)</f>
        <v/>
      </c>
      <c r="AF26" s="149" t="str">
        <f>IF($B26=0,"",('MF Rollover'!AE26*($P26*(1+'Property Summary'!$L$22)^('MF Releasing'!AF$3-1)))*$C26)</f>
        <v/>
      </c>
      <c r="AG26" s="149" t="str">
        <f>IF($B26=0,"",('MF Rollover'!AF26*($P26*(1+'Property Summary'!$L$22)^('MF Releasing'!AG$3-1)))*$C26)</f>
        <v/>
      </c>
      <c r="AH26" s="149" t="str">
        <f>IF($B26=0,"",('MF Rollover'!AG26*($P26*(1+'Property Summary'!$L$22)^('MF Releasing'!AH$3-1)))*$C26)</f>
        <v/>
      </c>
      <c r="AI26" s="149" t="str">
        <f>IF($B26=0,"",('MF Rollover'!AH26*($P26*(1+'Property Summary'!$L$22)^('MF Releasing'!AI$3-1)))*$C26)</f>
        <v/>
      </c>
      <c r="AJ26" s="149" t="str">
        <f>IF($B26=0,"",('MF Rollover'!AI26*($P26*(1+'Property Summary'!$L$22)^('MF Releasing'!AJ$3-1)))*$C26)</f>
        <v/>
      </c>
      <c r="AK26" s="149" t="str">
        <f>IF($B26=0,"",('MF Rollover'!AJ26*($P26*(1+'Property Summary'!$L$22)^('MF Releasing'!AK$3-1)))*$C26)</f>
        <v/>
      </c>
      <c r="AL26" s="149" t="str">
        <f>IF($B26=0,"",('MF Rollover'!AK26*($P26*(1+'Property Summary'!$L$22)^('MF Releasing'!AL$3-1)))*$C26)</f>
        <v/>
      </c>
      <c r="AM26" s="149" t="str">
        <f>IF($B26=0,"",('MF Rollover'!AL26*($P26*(1+'Property Summary'!$L$22)^('MF Releasing'!AM$3-1)))*$C26)</f>
        <v/>
      </c>
      <c r="AN26" s="149" t="str">
        <f>IF($B26=0,"",('MF Rollover'!AM26*($P26*(1+'Property Summary'!$L$22)^('MF Releasing'!AN$3-1)))*$C26)</f>
        <v/>
      </c>
      <c r="AO26" s="149" t="str">
        <f>IF($B26=0,"",('MF Rollover'!AN26*($P26*(1+'Property Summary'!$L$22)^('MF Releasing'!AO$3-1)))*$C26)</f>
        <v/>
      </c>
      <c r="AP26" s="149" t="str">
        <f>IF($B26=0,"",('MF Rollover'!AO26*($P26*(1+'Property Summary'!$L$22)^('MF Releasing'!AP$3-1)))*$C26)</f>
        <v/>
      </c>
      <c r="AQ26" s="149" t="str">
        <f>IF($B26=0,"",('MF Rollover'!AP26*($P26*(1+'Property Summary'!$L$22)^('MF Releasing'!AQ$3-1)))*$C26)</f>
        <v/>
      </c>
      <c r="AR26" s="149" t="str">
        <f>IF($B26=0,"",('MF Rollover'!AQ26*($P26*(1+'Property Summary'!$L$22)^('MF Releasing'!AR$3-1)))*$C26)</f>
        <v/>
      </c>
      <c r="AS26" s="149" t="str">
        <f>IF($B26=0,"",('MF Rollover'!AR26*($P26*(1+'Property Summary'!$L$22)^('MF Releasing'!AS$3-1)))*$C26)</f>
        <v/>
      </c>
      <c r="AT26" s="149" t="str">
        <f>IF($B26=0,"",('MF Rollover'!AS26*($P26*(1+'Property Summary'!$L$22)^('MF Releasing'!AT$3-1)))*$C26)</f>
        <v/>
      </c>
      <c r="AU26" s="149" t="str">
        <f>IF($B26=0,"",('MF Rollover'!AT26*($P26*(1+'Property Summary'!$L$22)^('MF Releasing'!AU$3-1)))*$C26)</f>
        <v/>
      </c>
      <c r="AV26" s="149" t="str">
        <f>IF($B26=0,"",('MF Rollover'!AU26*($P26*(1+'Property Summary'!$L$22)^('MF Releasing'!AV$3-1)))*$C26)</f>
        <v/>
      </c>
      <c r="AW26" s="149" t="str">
        <f>IF($B26=0,"",('MF Rollover'!AV26*($P26*(1+'Property Summary'!$L$22)^('MF Releasing'!AW$3-1)))*$C26)</f>
        <v/>
      </c>
      <c r="AX26" s="149" t="str">
        <f>IF($B26=0,"",('MF Rollover'!AW26*($P26*(1+'Property Summary'!$L$22)^('MF Releasing'!AX$3-1)))*$C26)</f>
        <v/>
      </c>
      <c r="AY26" s="149" t="str">
        <f>IF($B26=0,"",('MF Rollover'!AX26*($P26*(1+'Property Summary'!$L$22)^('MF Releasing'!AY$3-1)))*$C26)</f>
        <v/>
      </c>
      <c r="AZ26" s="149" t="str">
        <f>IF($B26=0,"",('MF Rollover'!AY26*($P26*(1+'Property Summary'!$L$22)^('MF Releasing'!AZ$3-1)))*$C26)</f>
        <v/>
      </c>
      <c r="BA26" s="149" t="str">
        <f>IF($B26=0,"",('MF Rollover'!AZ26*($P26*(1+'Property Summary'!$L$22)^('MF Releasing'!BA$3-1)))*$C26)</f>
        <v/>
      </c>
      <c r="BB26" s="149" t="str">
        <f>IF($B26=0,"",('MF Rollover'!BA26*($P26*(1+'Property Summary'!$L$22)^('MF Releasing'!BB$3-1)))*$C26)</f>
        <v/>
      </c>
      <c r="BC26" s="149" t="str">
        <f>IF($B26=0,"",('MF Rollover'!BB26*($P26*(1+'Property Summary'!$L$22)^('MF Releasing'!BC$3-1)))*$C26)</f>
        <v/>
      </c>
      <c r="BD26" s="149" t="str">
        <f>IF($B26=0,"",('MF Rollover'!BC26*($P26*(1+'Property Summary'!$L$22)^('MF Releasing'!BD$3-1)))*$C26)</f>
        <v/>
      </c>
      <c r="BE26" s="149" t="str">
        <f>IF($B26=0,"",('MF Rollover'!BD26*($P26*(1+'Property Summary'!$L$22)^('MF Releasing'!BE$3-1)))*$C26)</f>
        <v/>
      </c>
      <c r="BF26" s="149" t="str">
        <f>IF($B26=0,"",('MF Rollover'!BE26*($P26*(1+'Property Summary'!$L$22)^('MF Releasing'!BF$3-1)))*$C26)</f>
        <v/>
      </c>
      <c r="BG26" s="149" t="str">
        <f>IF($B26=0,"",('MF Rollover'!BF26*($P26*(1+'Property Summary'!$L$22)^('MF Releasing'!BG$3-1)))*$C26)</f>
        <v/>
      </c>
      <c r="BH26" s="149" t="str">
        <f>IF($B26=0,"",('MF Rollover'!BG26*($P26*(1+'Property Summary'!$L$22)^('MF Releasing'!BH$3-1)))*$C26)</f>
        <v/>
      </c>
      <c r="BI26" s="149" t="str">
        <f>IF($B26=0,"",('MF Rollover'!BH26*($P26*(1+'Property Summary'!$L$22)^('MF Releasing'!BI$3-1)))*$C26)</f>
        <v/>
      </c>
      <c r="BJ26" s="149" t="str">
        <f>IF($B26=0,"",('MF Rollover'!BI26*($P26*(1+'Property Summary'!$L$22)^('MF Releasing'!BJ$3-1)))*$C26)</f>
        <v/>
      </c>
      <c r="BK26" s="149" t="str">
        <f>IF($B26=0,"",('MF Rollover'!BJ26*($P26*(1+'Property Summary'!$L$22)^('MF Releasing'!BK$3-1)))*$C26)</f>
        <v/>
      </c>
      <c r="BL26" s="149" t="str">
        <f>IF($B26=0,"",('MF Rollover'!BK26*($P26*(1+'Property Summary'!$L$22)^('MF Releasing'!BL$3-1)))*$C26)</f>
        <v/>
      </c>
      <c r="BM26" s="149" t="str">
        <f>IF($B26=0,"",('MF Rollover'!BL26*($P26*(1+'Property Summary'!$L$22)^('MF Releasing'!BM$3-1)))*$C26)</f>
        <v/>
      </c>
      <c r="BN26" s="149" t="str">
        <f>IF($B26=0,"",('MF Rollover'!BM26*($P26*(1+'Property Summary'!$L$22)^('MF Releasing'!BN$3-1)))*$C26)</f>
        <v/>
      </c>
      <c r="BO26" s="149" t="str">
        <f>IF($B26=0,"",('MF Rollover'!BN26*($P26*(1+'Property Summary'!$L$22)^('MF Releasing'!BO$3-1)))*$C26)</f>
        <v/>
      </c>
      <c r="BP26" s="149" t="str">
        <f>IF($B26=0,"",('MF Rollover'!BO26*($P26*(1+'Property Summary'!$L$22)^('MF Releasing'!BP$3-1)))*$C26)</f>
        <v/>
      </c>
      <c r="BQ26" s="149" t="str">
        <f>IF($B26=0,"",('MF Rollover'!BP26*($P26*(1+'Property Summary'!$L$22)^('MF Releasing'!BQ$3-1)))*$C26)</f>
        <v/>
      </c>
      <c r="BR26" s="149" t="str">
        <f>IF($B26=0,"",('MF Rollover'!BQ26*($P26*(1+'Property Summary'!$L$22)^('MF Releasing'!BR$3-1)))*$C26)</f>
        <v/>
      </c>
      <c r="BS26" s="149" t="str">
        <f>IF($B26=0,"",('MF Rollover'!BR26*($P26*(1+'Property Summary'!$L$22)^('MF Releasing'!BS$3-1)))*$C26)</f>
        <v/>
      </c>
      <c r="BT26" s="149" t="str">
        <f>IF($B26=0,"",('MF Rollover'!BS26*($P26*(1+'Property Summary'!$L$22)^('MF Releasing'!BT$3-1)))*$C26)</f>
        <v/>
      </c>
      <c r="BU26" s="149" t="str">
        <f>IF($B26=0,"",('MF Rollover'!BT26*($P26*(1+'Property Summary'!$L$22)^('MF Releasing'!BU$3-1)))*$C26)</f>
        <v/>
      </c>
      <c r="BV26" s="149" t="str">
        <f>IF($B26=0,"",('MF Rollover'!BU26*($P26*(1+'Property Summary'!$L$22)^('MF Releasing'!BV$3-1)))*$C26)</f>
        <v/>
      </c>
      <c r="BW26" s="149" t="str">
        <f>IF($B26=0,"",('MF Rollover'!BV26*($P26*(1+'Property Summary'!$L$22)^('MF Releasing'!BW$3-1)))*$C26)</f>
        <v/>
      </c>
      <c r="BX26" s="149" t="str">
        <f>IF($B26=0,"",('MF Rollover'!BW26*($P26*(1+'Property Summary'!$L$22)^('MF Releasing'!BX$3-1)))*$C26)</f>
        <v/>
      </c>
      <c r="BY26" s="149" t="str">
        <f>IF($B26=0,"",('MF Rollover'!BX26*($P26*(1+'Property Summary'!$L$22)^('MF Releasing'!BY$3-1)))*$C26)</f>
        <v/>
      </c>
      <c r="BZ26" s="149" t="str">
        <f>IF($B26=0,"",('MF Rollover'!BY26*($P26*(1+'Property Summary'!$L$22)^('MF Releasing'!BZ$3-1)))*$C26)</f>
        <v/>
      </c>
      <c r="CA26" s="149" t="str">
        <f>IF($B26=0,"",('MF Rollover'!BZ26*($P26*(1+'Property Summary'!$L$22)^('MF Releasing'!CA$3-1)))*$C26)</f>
        <v/>
      </c>
      <c r="CB26" s="149" t="str">
        <f>IF($B26=0,"",('MF Rollover'!CA26*($P26*(1+'Property Summary'!$L$22)^('MF Releasing'!CB$3-1)))*$C26)</f>
        <v/>
      </c>
      <c r="CC26" s="149" t="str">
        <f>IF($B26=0,"",('MF Rollover'!CB26*($P26*(1+'Property Summary'!$L$22)^('MF Releasing'!CC$3-1)))*$C26)</f>
        <v/>
      </c>
      <c r="CD26" s="149" t="str">
        <f>IF($B26=0,"",('MF Rollover'!CC26*($P26*(1+'Property Summary'!$L$22)^('MF Releasing'!CD$3-1)))*$C26)</f>
        <v/>
      </c>
      <c r="CE26" s="149" t="str">
        <f>IF($B26=0,"",('MF Rollover'!CD26*($P26*(1+'Property Summary'!$L$22)^('MF Releasing'!CE$3-1)))*$C26)</f>
        <v/>
      </c>
      <c r="CF26" s="149" t="str">
        <f>IF($B26=0,"",('MF Rollover'!CE26*($P26*(1+'Property Summary'!$L$22)^('MF Releasing'!CF$3-1)))*$C26)</f>
        <v/>
      </c>
      <c r="CG26" s="149" t="str">
        <f>IF($B26=0,"",('MF Rollover'!CF26*($P26*(1+'Property Summary'!$L$22)^('MF Releasing'!CG$3-1)))*$C26)</f>
        <v/>
      </c>
      <c r="CH26" s="149" t="str">
        <f>IF($B26=0,"",('MF Rollover'!CG26*($P26*(1+'Property Summary'!$L$22)^('MF Releasing'!CH$3-1)))*$C26)</f>
        <v/>
      </c>
      <c r="CI26" s="149" t="str">
        <f>IF($B26=0,"",('MF Rollover'!CH26*($P26*(1+'Property Summary'!$L$22)^('MF Releasing'!CI$3-1)))*$C26)</f>
        <v/>
      </c>
      <c r="CJ26" s="149" t="str">
        <f>IF($B26=0,"",('MF Rollover'!CI26*($P26*(1+'Property Summary'!$L$22)^('MF Releasing'!CJ$3-1)))*$C26)</f>
        <v/>
      </c>
      <c r="CK26" s="149" t="str">
        <f>IF($B26=0,"",('MF Rollover'!CJ26*($P26*(1+'Property Summary'!$L$22)^('MF Releasing'!CK$3-1)))*$C26)</f>
        <v/>
      </c>
      <c r="CL26" s="149" t="str">
        <f>IF($B26=0,"",('MF Rollover'!CK26*($P26*(1+'Property Summary'!$L$22)^('MF Releasing'!CL$3-1)))*$C26)</f>
        <v/>
      </c>
      <c r="CM26" s="149" t="str">
        <f>IF($B26=0,"",('MF Rollover'!CL26*($P26*(1+'Property Summary'!$L$22)^('MF Releasing'!CM$3-1)))*$C26)</f>
        <v/>
      </c>
      <c r="CN26" s="149" t="str">
        <f>IF($B26=0,"",('MF Rollover'!CM26*($P26*(1+'Property Summary'!$L$22)^('MF Releasing'!CN$3-1)))*$C26)</f>
        <v/>
      </c>
      <c r="CO26" s="149" t="str">
        <f>IF($B26=0,"",('MF Rollover'!CN26*($P26*(1+'Property Summary'!$L$22)^('MF Releasing'!CO$3-1)))*$C26)</f>
        <v/>
      </c>
      <c r="CP26" s="149" t="str">
        <f>IF($B26=0,"",('MF Rollover'!CO26*($P26*(1+'Property Summary'!$L$22)^('MF Releasing'!CP$3-1)))*$C26)</f>
        <v/>
      </c>
      <c r="CQ26" s="149" t="str">
        <f>IF($B26=0,"",('MF Rollover'!CP26*($P26*(1+'Property Summary'!$L$22)^('MF Releasing'!CQ$3-1)))*$C26)</f>
        <v/>
      </c>
      <c r="CR26" s="149" t="str">
        <f>IF($B26=0,"",('MF Rollover'!CQ26*($P26*(1+'Property Summary'!$L$22)^('MF Releasing'!CR$3-1)))*$C26)</f>
        <v/>
      </c>
      <c r="CS26" s="149" t="str">
        <f>IF($B26=0,"",('MF Rollover'!CR26*($P26*(1+'Property Summary'!$L$22)^('MF Releasing'!CS$3-1)))*$C26)</f>
        <v/>
      </c>
      <c r="CT26" s="149" t="str">
        <f>IF($B26=0,"",('MF Rollover'!CS26*($P26*(1+'Property Summary'!$L$22)^('MF Releasing'!CT$3-1)))*$C26)</f>
        <v/>
      </c>
      <c r="CU26" s="149" t="str">
        <f>IF($B26=0,"",('MF Rollover'!CT26*($P26*(1+'Property Summary'!$L$22)^('MF Releasing'!CU$3-1)))*$C26)</f>
        <v/>
      </c>
      <c r="CV26" s="149" t="str">
        <f>IF($B26=0,"",('MF Rollover'!CU26*($P26*(1+'Property Summary'!$L$22)^('MF Releasing'!CV$3-1)))*$C26)</f>
        <v/>
      </c>
      <c r="CW26" s="149" t="str">
        <f>IF($B26=0,"",('MF Rollover'!CV26*($P26*(1+'Property Summary'!$L$22)^('MF Releasing'!CW$3-1)))*$C26)</f>
        <v/>
      </c>
      <c r="CX26" s="149" t="str">
        <f>IF($B26=0,"",('MF Rollover'!CW26*($P26*(1+'Property Summary'!$L$22)^('MF Releasing'!CX$3-1)))*$C26)</f>
        <v/>
      </c>
      <c r="CY26" s="149" t="str">
        <f>IF($B26=0,"",('MF Rollover'!CX26*($P26*(1+'Property Summary'!$L$22)^('MF Releasing'!CY$3-1)))*$C26)</f>
        <v/>
      </c>
      <c r="CZ26" s="149" t="str">
        <f>IF($B26=0,"",('MF Rollover'!CY26*($P26*(1+'Property Summary'!$L$22)^('MF Releasing'!CZ$3-1)))*$C26)</f>
        <v/>
      </c>
      <c r="DA26" s="149" t="str">
        <f>IF($B26=0,"",('MF Rollover'!CZ26*($P26*(1+'Property Summary'!$L$22)^('MF Releasing'!DA$3-1)))*$C26)</f>
        <v/>
      </c>
      <c r="DB26" s="149" t="str">
        <f>IF($B26=0,"",('MF Rollover'!DA26*($P26*(1+'Property Summary'!$L$22)^('MF Releasing'!DB$3-1)))*$C26)</f>
        <v/>
      </c>
      <c r="DC26" s="149" t="str">
        <f>IF($B26=0,"",('MF Rollover'!DB26*($P26*(1+'Property Summary'!$L$22)^('MF Releasing'!DC$3-1)))*$C26)</f>
        <v/>
      </c>
      <c r="DD26" s="149" t="str">
        <f>IF($B26=0,"",('MF Rollover'!DC26*($P26*(1+'Property Summary'!$L$22)^('MF Releasing'!DD$3-1)))*$C26)</f>
        <v/>
      </c>
      <c r="DE26" s="149" t="str">
        <f>IF($B26=0,"",('MF Rollover'!DD26*($P26*(1+'Property Summary'!$L$22)^('MF Releasing'!DE$3-1)))*$C26)</f>
        <v/>
      </c>
      <c r="DF26" s="149" t="str">
        <f>IF($B26=0,"",('MF Rollover'!DE26*($P26*(1+'Property Summary'!$L$22)^('MF Releasing'!DF$3-1)))*$C26)</f>
        <v/>
      </c>
      <c r="DG26" s="149" t="str">
        <f>IF($B26=0,"",('MF Rollover'!DF26*($P26*(1+'Property Summary'!$L$22)^('MF Releasing'!DG$3-1)))*$C26)</f>
        <v/>
      </c>
      <c r="DH26" s="149" t="str">
        <f>IF($B26=0,"",('MF Rollover'!DG26*($P26*(1+'Property Summary'!$L$22)^('MF Releasing'!DH$3-1)))*$C26)</f>
        <v/>
      </c>
      <c r="DI26" s="149" t="str">
        <f>IF($B26=0,"",('MF Rollover'!DH26*($P26*(1+'Property Summary'!$L$22)^('MF Releasing'!DI$3-1)))*$C26)</f>
        <v/>
      </c>
      <c r="DJ26" s="149" t="str">
        <f>IF($B26=0,"",('MF Rollover'!DI26*($P26*(1+'Property Summary'!$L$22)^('MF Releasing'!DJ$3-1)))*$C26)</f>
        <v/>
      </c>
      <c r="DK26" s="149" t="str">
        <f>IF($B26=0,"",('MF Rollover'!DJ26*($P26*(1+'Property Summary'!$L$22)^('MF Releasing'!DK$3-1)))*$C26)</f>
        <v/>
      </c>
      <c r="DL26" s="149" t="str">
        <f>IF($B26=0,"",('MF Rollover'!DK26*($P26*(1+'Property Summary'!$L$22)^('MF Releasing'!DL$3-1)))*$C26)</f>
        <v/>
      </c>
      <c r="DM26" s="149" t="str">
        <f>IF($B26=0,"",('MF Rollover'!DL26*($P26*(1+'Property Summary'!$L$22)^('MF Releasing'!DM$3-1)))*$C26)</f>
        <v/>
      </c>
      <c r="DN26" s="149" t="str">
        <f>IF($B26=0,"",('MF Rollover'!DM26*($P26*(1+'Property Summary'!$L$22)^('MF Releasing'!DN$3-1)))*$C26)</f>
        <v/>
      </c>
      <c r="DO26" s="149" t="str">
        <f>IF($B26=0,"",('MF Rollover'!DN26*($P26*(1+'Property Summary'!$L$22)^('MF Releasing'!DO$3-1)))*$C26)</f>
        <v/>
      </c>
      <c r="DP26" s="149" t="str">
        <f>IF($B26=0,"",('MF Rollover'!DO26*($P26*(1+'Property Summary'!$L$22)^('MF Releasing'!DP$3-1)))*$C26)</f>
        <v/>
      </c>
      <c r="DQ26" s="149" t="str">
        <f>IF($B26=0,"",('MF Rollover'!DP26*($P26*(1+'Property Summary'!$L$22)^('MF Releasing'!DQ$3-1)))*$C26)</f>
        <v/>
      </c>
      <c r="DR26" s="149" t="str">
        <f>IF($B26=0,"",('MF Rollover'!DQ26*($P26*(1+'Property Summary'!$L$22)^('MF Releasing'!DR$3-1)))*$C26)</f>
        <v/>
      </c>
      <c r="DS26" s="149" t="str">
        <f>IF($B26=0,"",('MF Rollover'!DR26*($P26*(1+'Property Summary'!$L$22)^('MF Releasing'!DS$3-1)))*$C26)</f>
        <v/>
      </c>
      <c r="DT26" s="149" t="str">
        <f>IF($B26=0,"",('MF Rollover'!DS26*($P26*(1+'Property Summary'!$L$22)^('MF Releasing'!DT$3-1)))*$C26)</f>
        <v/>
      </c>
      <c r="DU26" s="149" t="str">
        <f>IF($B26=0,"",('MF Rollover'!DT26*($P26*(1+'Property Summary'!$L$22)^('MF Releasing'!DU$3-1)))*$C26)</f>
        <v/>
      </c>
      <c r="DV26" s="149" t="str">
        <f>IF($B26=0,"",('MF Rollover'!DU26*($P26*(1+'Property Summary'!$L$22)^('MF Releasing'!DV$3-1)))*$C26)</f>
        <v/>
      </c>
      <c r="DW26" s="149" t="str">
        <f>IF($B26=0,"",('MF Rollover'!DV26*($P26*(1+'Property Summary'!$L$22)^('MF Releasing'!DW$3-1)))*$C26)</f>
        <v/>
      </c>
      <c r="DX26" s="149" t="str">
        <f>IF($B26=0,"",('MF Rollover'!DW26*($P26*(1+'Property Summary'!$L$22)^('MF Releasing'!DX$3-1)))*$C26)</f>
        <v/>
      </c>
      <c r="DY26" s="149" t="str">
        <f>IF($B26=0,"",('MF Rollover'!DX26*($P26*(1+'Property Summary'!$L$22)^('MF Releasing'!DY$3-1)))*$C26)</f>
        <v/>
      </c>
      <c r="DZ26" s="149" t="str">
        <f>IF($B26=0,"",('MF Rollover'!DY26*($P26*(1+'Property Summary'!$L$22)^('MF Releasing'!DZ$3-1)))*$C26)</f>
        <v/>
      </c>
      <c r="EA26" s="149" t="str">
        <f>IF($B26=0,"",('MF Rollover'!DZ26*($P26*(1+'Property Summary'!$L$22)^('MF Releasing'!EA$3-1)))*$C26)</f>
        <v/>
      </c>
      <c r="EB26" s="149" t="str">
        <f>IF($B26=0,"",('MF Rollover'!EA26*($P26*(1+'Property Summary'!$L$22)^('MF Releasing'!EB$3-1)))*$C26)</f>
        <v/>
      </c>
      <c r="EC26" s="149" t="str">
        <f>IF($B26=0,"",('MF Rollover'!EB26*($P26*(1+'Property Summary'!$L$22)^('MF Releasing'!EC$3-1)))*$C26)</f>
        <v/>
      </c>
      <c r="ED26" s="149" t="str">
        <f>IF($B26=0,"",('MF Rollover'!EC26*($P26*(1+'Property Summary'!$L$22)^('MF Releasing'!ED$3-1)))*$C26)</f>
        <v/>
      </c>
      <c r="EE26" s="149" t="str">
        <f>IF($B26=0,"",('MF Rollover'!ED26*($P26*(1+'Property Summary'!$L$22)^('MF Releasing'!EE$3-1)))*$C26)</f>
        <v/>
      </c>
      <c r="EF26" s="149" t="str">
        <f>IF($B26=0,"",('MF Rollover'!EE26*($P26*(1+'Property Summary'!$L$22)^('MF Releasing'!EF$3-1)))*$C26)</f>
        <v/>
      </c>
      <c r="EG26" s="149" t="str">
        <f>IF($B26=0,"",('MF Rollover'!EF26*($P26*(1+'Property Summary'!$L$22)^('MF Releasing'!EG$3-1)))*$C26)</f>
        <v/>
      </c>
      <c r="EH26" s="149" t="str">
        <f>IF($B26=0,"",('MF Rollover'!EG26*($P26*(1+'Property Summary'!$L$22)^('MF Releasing'!EH$3-1)))*$C26)</f>
        <v/>
      </c>
      <c r="EI26" s="149" t="str">
        <f>IF($B26=0,"",('MF Rollover'!EH26*($P26*(1+'Property Summary'!$L$22)^('MF Releasing'!EI$3-1)))*$C26)</f>
        <v/>
      </c>
      <c r="EJ26" s="149" t="str">
        <f>IF($B26=0,"",('MF Rollover'!EI26*($P26*(1+'Property Summary'!$L$22)^('MF Releasing'!EJ$3-1)))*$C26)</f>
        <v/>
      </c>
      <c r="EK26" s="149" t="str">
        <f>IF($B26=0,"",('MF Rollover'!EJ26*($P26*(1+'Property Summary'!$L$22)^('MF Releasing'!EK$3-1)))*$C26)</f>
        <v/>
      </c>
      <c r="EL26" s="149" t="str">
        <f>IF($B26=0,"",('MF Rollover'!EK26*($P26*(1+'Property Summary'!$L$22)^('MF Releasing'!EL$3-1)))*$C26)</f>
        <v/>
      </c>
      <c r="EM26" s="149" t="str">
        <f>IF($B26=0,"",('MF Rollover'!EL26*($P26*(1+'Property Summary'!$L$22)^('MF Releasing'!EM$3-1)))*$C26)</f>
        <v/>
      </c>
      <c r="EN26" s="149" t="str">
        <f>IF($B26=0,"",('MF Rollover'!EM26*($P26*(1+'Property Summary'!$L$22)^('MF Releasing'!EN$3-1)))*$C26)</f>
        <v/>
      </c>
      <c r="EO26" s="149" t="str">
        <f>IF($B26=0,"",('MF Rollover'!EN26*($P26*(1+'Property Summary'!$L$22)^('MF Releasing'!EO$3-1)))*$C26)</f>
        <v/>
      </c>
      <c r="EP26" s="149" t="str">
        <f>IF($B26=0,"",('MF Rollover'!EO26*($P26*(1+'Property Summary'!$L$22)^('MF Releasing'!EP$3-1)))*$C26)</f>
        <v/>
      </c>
      <c r="EQ26" s="149" t="str">
        <f>IF($B26=0,"",('MF Rollover'!EP26*($P26*(1+'Property Summary'!$L$22)^('MF Releasing'!EQ$3-1)))*$C26)</f>
        <v/>
      </c>
      <c r="ER26" s="149" t="str">
        <f>IF($B26=0,"",('MF Rollover'!EQ26*($P26*(1+'Property Summary'!$L$22)^('MF Releasing'!ER$3-1)))*$C26)</f>
        <v/>
      </c>
      <c r="ES26" s="149" t="str">
        <f>IF($B26=0,"",('MF Rollover'!ER26*($P26*(1+'Property Summary'!$L$22)^('MF Releasing'!ES$3-1)))*$C26)</f>
        <v/>
      </c>
      <c r="ET26" s="149" t="str">
        <f>IF($B26=0,"",('MF Rollover'!ES26*($P26*(1+'Property Summary'!$L$22)^('MF Releasing'!ET$3-1)))*$C26)</f>
        <v/>
      </c>
      <c r="EU26" s="149" t="str">
        <f>IF($B26=0,"",('MF Rollover'!ET26*($P26*(1+'Property Summary'!$L$22)^('MF Releasing'!EU$3-1)))*$C26)</f>
        <v/>
      </c>
      <c r="EV26" s="149" t="str">
        <f>IF($B26=0,"",('MF Rollover'!EU26*($P26*(1+'Property Summary'!$L$22)^('MF Releasing'!EV$3-1)))*$C26)</f>
        <v/>
      </c>
      <c r="EW26" s="149" t="str">
        <f>IF($B26=0,"",('MF Rollover'!EV26*($P26*(1+'Property Summary'!$L$22)^('MF Releasing'!EW$3-1)))*$C26)</f>
        <v/>
      </c>
      <c r="EX26" s="149" t="str">
        <f>IF($B26=0,"",('MF Rollover'!EW26*($P26*(1+'Property Summary'!$L$22)^('MF Releasing'!EX$3-1)))*$C26)</f>
        <v/>
      </c>
      <c r="EY26" s="149" t="str">
        <f>IF($B26=0,"",('MF Rollover'!EX26*($P26*(1+'Property Summary'!$L$22)^('MF Releasing'!EY$3-1)))*$C26)</f>
        <v/>
      </c>
      <c r="EZ26" s="149" t="str">
        <f>IF($B26=0,"",('MF Rollover'!EY26*($P26*(1+'Property Summary'!$L$22)^('MF Releasing'!EZ$3-1)))*$C26)</f>
        <v/>
      </c>
      <c r="FA26" s="149" t="str">
        <f>IF($B26=0,"",('MF Rollover'!EZ26*($P26*(1+'Property Summary'!$L$22)^('MF Releasing'!FA$3-1)))*$C26)</f>
        <v/>
      </c>
      <c r="FB26" s="149" t="str">
        <f>IF($B26=0,"",('MF Rollover'!FA26*($P26*(1+'Property Summary'!$L$22)^('MF Releasing'!FB$3-1)))*$C26)</f>
        <v/>
      </c>
      <c r="FC26" s="149" t="str">
        <f>IF($B26=0,"",('MF Rollover'!FB26*($P26*(1+'Property Summary'!$L$22)^('MF Releasing'!FC$3-1)))*$C26)</f>
        <v/>
      </c>
      <c r="FD26" s="149" t="str">
        <f>IF($B26=0,"",('MF Rollover'!FC26*($P26*(1+'Property Summary'!$L$22)^('MF Releasing'!FD$3-1)))*$C26)</f>
        <v/>
      </c>
      <c r="FE26" s="149" t="str">
        <f>IF($B26=0,"",('MF Rollover'!FD26*($P26*(1+'Property Summary'!$L$22)^('MF Releasing'!FE$3-1)))*$C26)</f>
        <v/>
      </c>
      <c r="FF26" s="149" t="str">
        <f>IF($B26=0,"",('MF Rollover'!FE26*($P26*(1+'Property Summary'!$L$22)^('MF Releasing'!FF$3-1)))*$C26)</f>
        <v/>
      </c>
      <c r="FG26" s="149" t="str">
        <f>IF($B26=0,"",('MF Rollover'!FF26*($P26*(1+'Property Summary'!$L$22)^('MF Releasing'!FG$3-1)))*$C26)</f>
        <v/>
      </c>
      <c r="FH26" s="149" t="str">
        <f>IF($B26=0,"",('MF Rollover'!FG26*($P26*(1+'Property Summary'!$L$22)^('MF Releasing'!FH$3-1)))*$C26)</f>
        <v/>
      </c>
      <c r="FI26" s="149" t="str">
        <f>IF($B26=0,"",('MF Rollover'!FH26*($P26*(1+'Property Summary'!$L$22)^('MF Releasing'!FI$3-1)))*$C26)</f>
        <v/>
      </c>
      <c r="FJ26" s="149" t="str">
        <f>IF($B26=0,"",('MF Rollover'!FI26*($P26*(1+'Property Summary'!$L$22)^('MF Releasing'!FJ$3-1)))*$C26)</f>
        <v/>
      </c>
      <c r="FK26" s="149" t="str">
        <f>IF($B26=0,"",('MF Rollover'!FJ26*($P26*(1+'Property Summary'!$L$22)^('MF Releasing'!FK$3-1)))*$C26)</f>
        <v/>
      </c>
      <c r="FL26" s="149" t="str">
        <f>IF($B26=0,"",('MF Rollover'!FK26*($P26*(1+'Property Summary'!$L$22)^('MF Releasing'!FL$3-1)))*$C26)</f>
        <v/>
      </c>
      <c r="FM26" s="149" t="str">
        <f>IF($B26=0,"",('MF Rollover'!FL26*($P26*(1+'Property Summary'!$L$22)^('MF Releasing'!FM$3-1)))*$C26)</f>
        <v/>
      </c>
      <c r="FN26" s="149" t="str">
        <f>IF($B26=0,"",('MF Rollover'!FM26*($P26*(1+'Property Summary'!$L$22)^('MF Releasing'!FN$3-1)))*$C26)</f>
        <v/>
      </c>
      <c r="FO26" s="149" t="str">
        <f>IF($B26=0,"",('MF Rollover'!FN26*($P26*(1+'Property Summary'!$L$22)^('MF Releasing'!FO$3-1)))*$C26)</f>
        <v/>
      </c>
      <c r="FP26" s="149" t="str">
        <f>IF($B26=0,"",('MF Rollover'!FO26*($P26*(1+'Property Summary'!$L$22)^('MF Releasing'!FP$3-1)))*$C26)</f>
        <v/>
      </c>
      <c r="FQ26" s="149" t="str">
        <f>IF($B26=0,"",('MF Rollover'!FP26*($P26*(1+'Property Summary'!$L$22)^('MF Releasing'!FQ$3-1)))*$C26)</f>
        <v/>
      </c>
      <c r="FR26" s="149" t="str">
        <f>IF($B26=0,"",('MF Rollover'!FQ26*($P26*(1+'Property Summary'!$L$22)^('MF Releasing'!FR$3-1)))*$C26)</f>
        <v/>
      </c>
      <c r="FS26" s="149" t="str">
        <f>IF($B26=0,"",('MF Rollover'!FR26*($P26*(1+'Property Summary'!$L$22)^('MF Releasing'!FS$3-1)))*$C26)</f>
        <v/>
      </c>
      <c r="FT26" s="149" t="str">
        <f>IF($B26=0,"",('MF Rollover'!FS26*($P26*(1+'Property Summary'!$L$22)^('MF Releasing'!FT$3-1)))*$C26)</f>
        <v/>
      </c>
      <c r="FU26" s="149" t="str">
        <f>IF($B26=0,"",('MF Rollover'!FT26*($P26*(1+'Property Summary'!$L$22)^('MF Releasing'!FU$3-1)))*$C26)</f>
        <v/>
      </c>
      <c r="FV26" s="149" t="str">
        <f>IF($B26=0,"",('MF Rollover'!FU26*($P26*(1+'Property Summary'!$L$22)^('MF Releasing'!FV$3-1)))*$C26)</f>
        <v/>
      </c>
      <c r="FW26" s="149" t="str">
        <f>IF($B26=0,"",('MF Rollover'!FV26*($P26*(1+'Property Summary'!$L$22)^('MF Releasing'!FW$3-1)))*$C26)</f>
        <v/>
      </c>
      <c r="FX26" s="149" t="str">
        <f>IF($B26=0,"",('MF Rollover'!FW26*($P26*(1+'Property Summary'!$L$22)^('MF Releasing'!FX$3-1)))*$C26)</f>
        <v/>
      </c>
      <c r="FY26" s="149" t="str">
        <f>IF($B26=0,"",('MF Rollover'!FX26*($P26*(1+'Property Summary'!$L$22)^('MF Releasing'!FY$3-1)))*$C26)</f>
        <v/>
      </c>
      <c r="FZ26" s="149" t="str">
        <f>IF($B26=0,"",('MF Rollover'!FY26*($P26*(1+'Property Summary'!$L$22)^('MF Releasing'!FZ$3-1)))*$C26)</f>
        <v/>
      </c>
      <c r="GA26" s="149" t="str">
        <f>IF($B26=0,"",('MF Rollover'!FZ26*($P26*(1+'Property Summary'!$L$22)^('MF Releasing'!GA$3-1)))*$C26)</f>
        <v/>
      </c>
      <c r="GB26" s="149" t="str">
        <f>IF($B26=0,"",('MF Rollover'!GA26*($P26*(1+'Property Summary'!$L$22)^('MF Releasing'!GB$3-1)))*$C26)</f>
        <v/>
      </c>
      <c r="GC26" s="149" t="str">
        <f>IF($B26=0,"",('MF Rollover'!GB26*($P26*(1+'Property Summary'!$L$22)^('MF Releasing'!GC$3-1)))*$C26)</f>
        <v/>
      </c>
      <c r="GD26" s="149" t="str">
        <f>IF($B26=0,"",('MF Rollover'!GC26*($P26*(1+'Property Summary'!$L$22)^('MF Releasing'!GD$3-1)))*$C26)</f>
        <v/>
      </c>
      <c r="GE26" s="149" t="str">
        <f>IF($B26=0,"",('MF Rollover'!GD26*($P26*(1+'Property Summary'!$L$22)^('MF Releasing'!GE$3-1)))*$C26)</f>
        <v/>
      </c>
      <c r="GF26" s="149" t="str">
        <f>IF($B26=0,"",('MF Rollover'!GE26*($P26*(1+'Property Summary'!$L$22)^('MF Releasing'!GF$3-1)))*$C26)</f>
        <v/>
      </c>
      <c r="GG26" s="149" t="str">
        <f>IF($B26=0,"",('MF Rollover'!GF26*($P26*(1+'Property Summary'!$L$22)^('MF Releasing'!GG$3-1)))*$C26)</f>
        <v/>
      </c>
      <c r="GH26" s="149" t="str">
        <f>IF($B26=0,"",('MF Rollover'!GG26*($P26*(1+'Property Summary'!$L$22)^('MF Releasing'!GH$3-1)))*$C26)</f>
        <v/>
      </c>
      <c r="GI26" s="149" t="str">
        <f>IF($B26=0,"",('MF Rollover'!GH26*($P26*(1+'Property Summary'!$L$22)^('MF Releasing'!GI$3-1)))*$C26)</f>
        <v/>
      </c>
      <c r="GJ26" s="149" t="str">
        <f>IF($B26=0,"",('MF Rollover'!GI26*($P26*(1+'Property Summary'!$L$22)^('MF Releasing'!GJ$3-1)))*$C26)</f>
        <v/>
      </c>
      <c r="GK26" s="149" t="str">
        <f>IF($B26=0,"",('MF Rollover'!GJ26*($P26*(1+'Property Summary'!$L$22)^('MF Releasing'!GK$3-1)))*$C26)</f>
        <v/>
      </c>
      <c r="GL26" s="149" t="str">
        <f>IF($B26=0,"",('MF Rollover'!GK26*($P26*(1+'Property Summary'!$L$22)^('MF Releasing'!GL$3-1)))*$C26)</f>
        <v/>
      </c>
      <c r="GM26" s="149" t="str">
        <f>IF($B26=0,"",('MF Rollover'!GL26*($P26*(1+'Property Summary'!$L$22)^('MF Releasing'!GM$3-1)))*$C26)</f>
        <v/>
      </c>
      <c r="GN26" s="149" t="str">
        <f>IF($B26=0,"",('MF Rollover'!GM26*($P26*(1+'Property Summary'!$L$22)^('MF Releasing'!GN$3-1)))*$C26)</f>
        <v/>
      </c>
      <c r="GO26" s="149" t="str">
        <f>IF($B26=0,"",('MF Rollover'!GN26*($P26*(1+'Property Summary'!$L$22)^('MF Releasing'!GO$3-1)))*$C26)</f>
        <v/>
      </c>
      <c r="GP26" s="149" t="str">
        <f>IF($B26=0,"",('MF Rollover'!GO26*($P26*(1+'Property Summary'!$L$22)^('MF Releasing'!GP$3-1)))*$C26)</f>
        <v/>
      </c>
    </row>
    <row r="27" spans="2:198" x14ac:dyDescent="0.3">
      <c r="B27" s="184">
        <f>'MF Rent Roll'!B26</f>
        <v>0</v>
      </c>
      <c r="C27" s="171">
        <f>'MF Rent Roll'!C26</f>
        <v>0</v>
      </c>
      <c r="D27" s="172">
        <f>'MF Rent Roll'!D26</f>
        <v>0</v>
      </c>
      <c r="E27" s="172">
        <f>'MF Rent Roll'!E26</f>
        <v>0</v>
      </c>
      <c r="F27" s="173">
        <f>'MF Rent Roll'!F26</f>
        <v>0</v>
      </c>
      <c r="G27" s="174">
        <f>'MF Rent Roll'!G26</f>
        <v>0</v>
      </c>
      <c r="H27" s="176">
        <f>'MF Rent Roll'!J26</f>
        <v>0</v>
      </c>
      <c r="I27" s="174">
        <f>'MF Rent Roll'!K26</f>
        <v>0</v>
      </c>
      <c r="J27" s="177">
        <f>'MF Rent Roll'!L26</f>
        <v>0</v>
      </c>
      <c r="K27" s="178">
        <f>'MF Rent Roll'!M26</f>
        <v>0</v>
      </c>
      <c r="L27" s="174">
        <f>'MF Rent Roll'!N26</f>
        <v>0</v>
      </c>
      <c r="M27" s="179">
        <f>'MF Rent Roll'!O26</f>
        <v>0</v>
      </c>
      <c r="N27" s="180" t="str">
        <f>'MF Rent Roll'!P26</f>
        <v/>
      </c>
      <c r="O27" s="181" t="str">
        <f>'MF Rent Roll'!Q26</f>
        <v/>
      </c>
      <c r="P27" s="104" t="str">
        <f>'MF Rent Roll'!R26</f>
        <v/>
      </c>
      <c r="S27" s="149" t="str">
        <f>IF($B27=0,"",('MF Rollover'!R27*($P27*(1+'Property Summary'!$L$22)^('MF Releasing'!S$3-1)))*$C27)</f>
        <v/>
      </c>
      <c r="T27" s="149" t="str">
        <f>IF($B27=0,"",('MF Rollover'!S27*($P27*(1+'Property Summary'!$L$22)^('MF Releasing'!T$3-1)))*$C27)</f>
        <v/>
      </c>
      <c r="U27" s="149" t="str">
        <f>IF($B27=0,"",('MF Rollover'!T27*($P27*(1+'Property Summary'!$L$22)^('MF Releasing'!U$3-1)))*$C27)</f>
        <v/>
      </c>
      <c r="V27" s="149" t="str">
        <f>IF($B27=0,"",('MF Rollover'!U27*($P27*(1+'Property Summary'!$L$22)^('MF Releasing'!V$3-1)))*$C27)</f>
        <v/>
      </c>
      <c r="W27" s="149" t="str">
        <f>IF($B27=0,"",('MF Rollover'!V27*($P27*(1+'Property Summary'!$L$22)^('MF Releasing'!W$3-1)))*$C27)</f>
        <v/>
      </c>
      <c r="X27" s="149" t="str">
        <f>IF($B27=0,"",('MF Rollover'!W27*($P27*(1+'Property Summary'!$L$22)^('MF Releasing'!X$3-1)))*$C27)</f>
        <v/>
      </c>
      <c r="Y27" s="149" t="str">
        <f>IF($B27=0,"",('MF Rollover'!X27*($P27*(1+'Property Summary'!$L$22)^('MF Releasing'!Y$3-1)))*$C27)</f>
        <v/>
      </c>
      <c r="Z27" s="149" t="str">
        <f>IF($B27=0,"",('MF Rollover'!Y27*($P27*(1+'Property Summary'!$L$22)^('MF Releasing'!Z$3-1)))*$C27)</f>
        <v/>
      </c>
      <c r="AA27" s="149" t="str">
        <f>IF($B27=0,"",('MF Rollover'!Z27*($P27*(1+'Property Summary'!$L$22)^('MF Releasing'!AA$3-1)))*$C27)</f>
        <v/>
      </c>
      <c r="AB27" s="149" t="str">
        <f>IF($B27=0,"",('MF Rollover'!AA27*($P27*(1+'Property Summary'!$L$22)^('MF Releasing'!AB$3-1)))*$C27)</f>
        <v/>
      </c>
      <c r="AC27" s="149" t="str">
        <f>IF($B27=0,"",('MF Rollover'!AB27*($P27*(1+'Property Summary'!$L$22)^('MF Releasing'!AC$3-1)))*$C27)</f>
        <v/>
      </c>
      <c r="AD27" s="149" t="str">
        <f>IF($B27=0,"",('MF Rollover'!AC27*($P27*(1+'Property Summary'!$L$22)^('MF Releasing'!AD$3-1)))*$C27)</f>
        <v/>
      </c>
      <c r="AE27" s="149" t="str">
        <f>IF($B27=0,"",('MF Rollover'!AD27*($P27*(1+'Property Summary'!$L$22)^('MF Releasing'!AE$3-1)))*$C27)</f>
        <v/>
      </c>
      <c r="AF27" s="149" t="str">
        <f>IF($B27=0,"",('MF Rollover'!AE27*($P27*(1+'Property Summary'!$L$22)^('MF Releasing'!AF$3-1)))*$C27)</f>
        <v/>
      </c>
      <c r="AG27" s="149" t="str">
        <f>IF($B27=0,"",('MF Rollover'!AF27*($P27*(1+'Property Summary'!$L$22)^('MF Releasing'!AG$3-1)))*$C27)</f>
        <v/>
      </c>
      <c r="AH27" s="149" t="str">
        <f>IF($B27=0,"",('MF Rollover'!AG27*($P27*(1+'Property Summary'!$L$22)^('MF Releasing'!AH$3-1)))*$C27)</f>
        <v/>
      </c>
      <c r="AI27" s="149" t="str">
        <f>IF($B27=0,"",('MF Rollover'!AH27*($P27*(1+'Property Summary'!$L$22)^('MF Releasing'!AI$3-1)))*$C27)</f>
        <v/>
      </c>
      <c r="AJ27" s="149" t="str">
        <f>IF($B27=0,"",('MF Rollover'!AI27*($P27*(1+'Property Summary'!$L$22)^('MF Releasing'!AJ$3-1)))*$C27)</f>
        <v/>
      </c>
      <c r="AK27" s="149" t="str">
        <f>IF($B27=0,"",('MF Rollover'!AJ27*($P27*(1+'Property Summary'!$L$22)^('MF Releasing'!AK$3-1)))*$C27)</f>
        <v/>
      </c>
      <c r="AL27" s="149" t="str">
        <f>IF($B27=0,"",('MF Rollover'!AK27*($P27*(1+'Property Summary'!$L$22)^('MF Releasing'!AL$3-1)))*$C27)</f>
        <v/>
      </c>
      <c r="AM27" s="149" t="str">
        <f>IF($B27=0,"",('MF Rollover'!AL27*($P27*(1+'Property Summary'!$L$22)^('MF Releasing'!AM$3-1)))*$C27)</f>
        <v/>
      </c>
      <c r="AN27" s="149" t="str">
        <f>IF($B27=0,"",('MF Rollover'!AM27*($P27*(1+'Property Summary'!$L$22)^('MF Releasing'!AN$3-1)))*$C27)</f>
        <v/>
      </c>
      <c r="AO27" s="149" t="str">
        <f>IF($B27=0,"",('MF Rollover'!AN27*($P27*(1+'Property Summary'!$L$22)^('MF Releasing'!AO$3-1)))*$C27)</f>
        <v/>
      </c>
      <c r="AP27" s="149" t="str">
        <f>IF($B27=0,"",('MF Rollover'!AO27*($P27*(1+'Property Summary'!$L$22)^('MF Releasing'!AP$3-1)))*$C27)</f>
        <v/>
      </c>
      <c r="AQ27" s="149" t="str">
        <f>IF($B27=0,"",('MF Rollover'!AP27*($P27*(1+'Property Summary'!$L$22)^('MF Releasing'!AQ$3-1)))*$C27)</f>
        <v/>
      </c>
      <c r="AR27" s="149" t="str">
        <f>IF($B27=0,"",('MF Rollover'!AQ27*($P27*(1+'Property Summary'!$L$22)^('MF Releasing'!AR$3-1)))*$C27)</f>
        <v/>
      </c>
      <c r="AS27" s="149" t="str">
        <f>IF($B27=0,"",('MF Rollover'!AR27*($P27*(1+'Property Summary'!$L$22)^('MF Releasing'!AS$3-1)))*$C27)</f>
        <v/>
      </c>
      <c r="AT27" s="149" t="str">
        <f>IF($B27=0,"",('MF Rollover'!AS27*($P27*(1+'Property Summary'!$L$22)^('MF Releasing'!AT$3-1)))*$C27)</f>
        <v/>
      </c>
      <c r="AU27" s="149" t="str">
        <f>IF($B27=0,"",('MF Rollover'!AT27*($P27*(1+'Property Summary'!$L$22)^('MF Releasing'!AU$3-1)))*$C27)</f>
        <v/>
      </c>
      <c r="AV27" s="149" t="str">
        <f>IF($B27=0,"",('MF Rollover'!AU27*($P27*(1+'Property Summary'!$L$22)^('MF Releasing'!AV$3-1)))*$C27)</f>
        <v/>
      </c>
      <c r="AW27" s="149" t="str">
        <f>IF($B27=0,"",('MF Rollover'!AV27*($P27*(1+'Property Summary'!$L$22)^('MF Releasing'!AW$3-1)))*$C27)</f>
        <v/>
      </c>
      <c r="AX27" s="149" t="str">
        <f>IF($B27=0,"",('MF Rollover'!AW27*($P27*(1+'Property Summary'!$L$22)^('MF Releasing'!AX$3-1)))*$C27)</f>
        <v/>
      </c>
      <c r="AY27" s="149" t="str">
        <f>IF($B27=0,"",('MF Rollover'!AX27*($P27*(1+'Property Summary'!$L$22)^('MF Releasing'!AY$3-1)))*$C27)</f>
        <v/>
      </c>
      <c r="AZ27" s="149" t="str">
        <f>IF($B27=0,"",('MF Rollover'!AY27*($P27*(1+'Property Summary'!$L$22)^('MF Releasing'!AZ$3-1)))*$C27)</f>
        <v/>
      </c>
      <c r="BA27" s="149" t="str">
        <f>IF($B27=0,"",('MF Rollover'!AZ27*($P27*(1+'Property Summary'!$L$22)^('MF Releasing'!BA$3-1)))*$C27)</f>
        <v/>
      </c>
      <c r="BB27" s="149" t="str">
        <f>IF($B27=0,"",('MF Rollover'!BA27*($P27*(1+'Property Summary'!$L$22)^('MF Releasing'!BB$3-1)))*$C27)</f>
        <v/>
      </c>
      <c r="BC27" s="149" t="str">
        <f>IF($B27=0,"",('MF Rollover'!BB27*($P27*(1+'Property Summary'!$L$22)^('MF Releasing'!BC$3-1)))*$C27)</f>
        <v/>
      </c>
      <c r="BD27" s="149" t="str">
        <f>IF($B27=0,"",('MF Rollover'!BC27*($P27*(1+'Property Summary'!$L$22)^('MF Releasing'!BD$3-1)))*$C27)</f>
        <v/>
      </c>
      <c r="BE27" s="149" t="str">
        <f>IF($B27=0,"",('MF Rollover'!BD27*($P27*(1+'Property Summary'!$L$22)^('MF Releasing'!BE$3-1)))*$C27)</f>
        <v/>
      </c>
      <c r="BF27" s="149" t="str">
        <f>IF($B27=0,"",('MF Rollover'!BE27*($P27*(1+'Property Summary'!$L$22)^('MF Releasing'!BF$3-1)))*$C27)</f>
        <v/>
      </c>
      <c r="BG27" s="149" t="str">
        <f>IF($B27=0,"",('MF Rollover'!BF27*($P27*(1+'Property Summary'!$L$22)^('MF Releasing'!BG$3-1)))*$C27)</f>
        <v/>
      </c>
      <c r="BH27" s="149" t="str">
        <f>IF($B27=0,"",('MF Rollover'!BG27*($P27*(1+'Property Summary'!$L$22)^('MF Releasing'!BH$3-1)))*$C27)</f>
        <v/>
      </c>
      <c r="BI27" s="149" t="str">
        <f>IF($B27=0,"",('MF Rollover'!BH27*($P27*(1+'Property Summary'!$L$22)^('MF Releasing'!BI$3-1)))*$C27)</f>
        <v/>
      </c>
      <c r="BJ27" s="149" t="str">
        <f>IF($B27=0,"",('MF Rollover'!BI27*($P27*(1+'Property Summary'!$L$22)^('MF Releasing'!BJ$3-1)))*$C27)</f>
        <v/>
      </c>
      <c r="BK27" s="149" t="str">
        <f>IF($B27=0,"",('MF Rollover'!BJ27*($P27*(1+'Property Summary'!$L$22)^('MF Releasing'!BK$3-1)))*$C27)</f>
        <v/>
      </c>
      <c r="BL27" s="149" t="str">
        <f>IF($B27=0,"",('MF Rollover'!BK27*($P27*(1+'Property Summary'!$L$22)^('MF Releasing'!BL$3-1)))*$C27)</f>
        <v/>
      </c>
      <c r="BM27" s="149" t="str">
        <f>IF($B27=0,"",('MF Rollover'!BL27*($P27*(1+'Property Summary'!$L$22)^('MF Releasing'!BM$3-1)))*$C27)</f>
        <v/>
      </c>
      <c r="BN27" s="149" t="str">
        <f>IF($B27=0,"",('MF Rollover'!BM27*($P27*(1+'Property Summary'!$L$22)^('MF Releasing'!BN$3-1)))*$C27)</f>
        <v/>
      </c>
      <c r="BO27" s="149" t="str">
        <f>IF($B27=0,"",('MF Rollover'!BN27*($P27*(1+'Property Summary'!$L$22)^('MF Releasing'!BO$3-1)))*$C27)</f>
        <v/>
      </c>
      <c r="BP27" s="149" t="str">
        <f>IF($B27=0,"",('MF Rollover'!BO27*($P27*(1+'Property Summary'!$L$22)^('MF Releasing'!BP$3-1)))*$C27)</f>
        <v/>
      </c>
      <c r="BQ27" s="149" t="str">
        <f>IF($B27=0,"",('MF Rollover'!BP27*($P27*(1+'Property Summary'!$L$22)^('MF Releasing'!BQ$3-1)))*$C27)</f>
        <v/>
      </c>
      <c r="BR27" s="149" t="str">
        <f>IF($B27=0,"",('MF Rollover'!BQ27*($P27*(1+'Property Summary'!$L$22)^('MF Releasing'!BR$3-1)))*$C27)</f>
        <v/>
      </c>
      <c r="BS27" s="149" t="str">
        <f>IF($B27=0,"",('MF Rollover'!BR27*($P27*(1+'Property Summary'!$L$22)^('MF Releasing'!BS$3-1)))*$C27)</f>
        <v/>
      </c>
      <c r="BT27" s="149" t="str">
        <f>IF($B27=0,"",('MF Rollover'!BS27*($P27*(1+'Property Summary'!$L$22)^('MF Releasing'!BT$3-1)))*$C27)</f>
        <v/>
      </c>
      <c r="BU27" s="149" t="str">
        <f>IF($B27=0,"",('MF Rollover'!BT27*($P27*(1+'Property Summary'!$L$22)^('MF Releasing'!BU$3-1)))*$C27)</f>
        <v/>
      </c>
      <c r="BV27" s="149" t="str">
        <f>IF($B27=0,"",('MF Rollover'!BU27*($P27*(1+'Property Summary'!$L$22)^('MF Releasing'!BV$3-1)))*$C27)</f>
        <v/>
      </c>
      <c r="BW27" s="149" t="str">
        <f>IF($B27=0,"",('MF Rollover'!BV27*($P27*(1+'Property Summary'!$L$22)^('MF Releasing'!BW$3-1)))*$C27)</f>
        <v/>
      </c>
      <c r="BX27" s="149" t="str">
        <f>IF($B27=0,"",('MF Rollover'!BW27*($P27*(1+'Property Summary'!$L$22)^('MF Releasing'!BX$3-1)))*$C27)</f>
        <v/>
      </c>
      <c r="BY27" s="149" t="str">
        <f>IF($B27=0,"",('MF Rollover'!BX27*($P27*(1+'Property Summary'!$L$22)^('MF Releasing'!BY$3-1)))*$C27)</f>
        <v/>
      </c>
      <c r="BZ27" s="149" t="str">
        <f>IF($B27=0,"",('MF Rollover'!BY27*($P27*(1+'Property Summary'!$L$22)^('MF Releasing'!BZ$3-1)))*$C27)</f>
        <v/>
      </c>
      <c r="CA27" s="149" t="str">
        <f>IF($B27=0,"",('MF Rollover'!BZ27*($P27*(1+'Property Summary'!$L$22)^('MF Releasing'!CA$3-1)))*$C27)</f>
        <v/>
      </c>
      <c r="CB27" s="149" t="str">
        <f>IF($B27=0,"",('MF Rollover'!CA27*($P27*(1+'Property Summary'!$L$22)^('MF Releasing'!CB$3-1)))*$C27)</f>
        <v/>
      </c>
      <c r="CC27" s="149" t="str">
        <f>IF($B27=0,"",('MF Rollover'!CB27*($P27*(1+'Property Summary'!$L$22)^('MF Releasing'!CC$3-1)))*$C27)</f>
        <v/>
      </c>
      <c r="CD27" s="149" t="str">
        <f>IF($B27=0,"",('MF Rollover'!CC27*($P27*(1+'Property Summary'!$L$22)^('MF Releasing'!CD$3-1)))*$C27)</f>
        <v/>
      </c>
      <c r="CE27" s="149" t="str">
        <f>IF($B27=0,"",('MF Rollover'!CD27*($P27*(1+'Property Summary'!$L$22)^('MF Releasing'!CE$3-1)))*$C27)</f>
        <v/>
      </c>
      <c r="CF27" s="149" t="str">
        <f>IF($B27=0,"",('MF Rollover'!CE27*($P27*(1+'Property Summary'!$L$22)^('MF Releasing'!CF$3-1)))*$C27)</f>
        <v/>
      </c>
      <c r="CG27" s="149" t="str">
        <f>IF($B27=0,"",('MF Rollover'!CF27*($P27*(1+'Property Summary'!$L$22)^('MF Releasing'!CG$3-1)))*$C27)</f>
        <v/>
      </c>
      <c r="CH27" s="149" t="str">
        <f>IF($B27=0,"",('MF Rollover'!CG27*($P27*(1+'Property Summary'!$L$22)^('MF Releasing'!CH$3-1)))*$C27)</f>
        <v/>
      </c>
      <c r="CI27" s="149" t="str">
        <f>IF($B27=0,"",('MF Rollover'!CH27*($P27*(1+'Property Summary'!$L$22)^('MF Releasing'!CI$3-1)))*$C27)</f>
        <v/>
      </c>
      <c r="CJ27" s="149" t="str">
        <f>IF($B27=0,"",('MF Rollover'!CI27*($P27*(1+'Property Summary'!$L$22)^('MF Releasing'!CJ$3-1)))*$C27)</f>
        <v/>
      </c>
      <c r="CK27" s="149" t="str">
        <f>IF($B27=0,"",('MF Rollover'!CJ27*($P27*(1+'Property Summary'!$L$22)^('MF Releasing'!CK$3-1)))*$C27)</f>
        <v/>
      </c>
      <c r="CL27" s="149" t="str">
        <f>IF($B27=0,"",('MF Rollover'!CK27*($P27*(1+'Property Summary'!$L$22)^('MF Releasing'!CL$3-1)))*$C27)</f>
        <v/>
      </c>
      <c r="CM27" s="149" t="str">
        <f>IF($B27=0,"",('MF Rollover'!CL27*($P27*(1+'Property Summary'!$L$22)^('MF Releasing'!CM$3-1)))*$C27)</f>
        <v/>
      </c>
      <c r="CN27" s="149" t="str">
        <f>IF($B27=0,"",('MF Rollover'!CM27*($P27*(1+'Property Summary'!$L$22)^('MF Releasing'!CN$3-1)))*$C27)</f>
        <v/>
      </c>
      <c r="CO27" s="149" t="str">
        <f>IF($B27=0,"",('MF Rollover'!CN27*($P27*(1+'Property Summary'!$L$22)^('MF Releasing'!CO$3-1)))*$C27)</f>
        <v/>
      </c>
      <c r="CP27" s="149" t="str">
        <f>IF($B27=0,"",('MF Rollover'!CO27*($P27*(1+'Property Summary'!$L$22)^('MF Releasing'!CP$3-1)))*$C27)</f>
        <v/>
      </c>
      <c r="CQ27" s="149" t="str">
        <f>IF($B27=0,"",('MF Rollover'!CP27*($P27*(1+'Property Summary'!$L$22)^('MF Releasing'!CQ$3-1)))*$C27)</f>
        <v/>
      </c>
      <c r="CR27" s="149" t="str">
        <f>IF($B27=0,"",('MF Rollover'!CQ27*($P27*(1+'Property Summary'!$L$22)^('MF Releasing'!CR$3-1)))*$C27)</f>
        <v/>
      </c>
      <c r="CS27" s="149" t="str">
        <f>IF($B27=0,"",('MF Rollover'!CR27*($P27*(1+'Property Summary'!$L$22)^('MF Releasing'!CS$3-1)))*$C27)</f>
        <v/>
      </c>
      <c r="CT27" s="149" t="str">
        <f>IF($B27=0,"",('MF Rollover'!CS27*($P27*(1+'Property Summary'!$L$22)^('MF Releasing'!CT$3-1)))*$C27)</f>
        <v/>
      </c>
      <c r="CU27" s="149" t="str">
        <f>IF($B27=0,"",('MF Rollover'!CT27*($P27*(1+'Property Summary'!$L$22)^('MF Releasing'!CU$3-1)))*$C27)</f>
        <v/>
      </c>
      <c r="CV27" s="149" t="str">
        <f>IF($B27=0,"",('MF Rollover'!CU27*($P27*(1+'Property Summary'!$L$22)^('MF Releasing'!CV$3-1)))*$C27)</f>
        <v/>
      </c>
      <c r="CW27" s="149" t="str">
        <f>IF($B27=0,"",('MF Rollover'!CV27*($P27*(1+'Property Summary'!$L$22)^('MF Releasing'!CW$3-1)))*$C27)</f>
        <v/>
      </c>
      <c r="CX27" s="149" t="str">
        <f>IF($B27=0,"",('MF Rollover'!CW27*($P27*(1+'Property Summary'!$L$22)^('MF Releasing'!CX$3-1)))*$C27)</f>
        <v/>
      </c>
      <c r="CY27" s="149" t="str">
        <f>IF($B27=0,"",('MF Rollover'!CX27*($P27*(1+'Property Summary'!$L$22)^('MF Releasing'!CY$3-1)))*$C27)</f>
        <v/>
      </c>
      <c r="CZ27" s="149" t="str">
        <f>IF($B27=0,"",('MF Rollover'!CY27*($P27*(1+'Property Summary'!$L$22)^('MF Releasing'!CZ$3-1)))*$C27)</f>
        <v/>
      </c>
      <c r="DA27" s="149" t="str">
        <f>IF($B27=0,"",('MF Rollover'!CZ27*($P27*(1+'Property Summary'!$L$22)^('MF Releasing'!DA$3-1)))*$C27)</f>
        <v/>
      </c>
      <c r="DB27" s="149" t="str">
        <f>IF($B27=0,"",('MF Rollover'!DA27*($P27*(1+'Property Summary'!$L$22)^('MF Releasing'!DB$3-1)))*$C27)</f>
        <v/>
      </c>
      <c r="DC27" s="149" t="str">
        <f>IF($B27=0,"",('MF Rollover'!DB27*($P27*(1+'Property Summary'!$L$22)^('MF Releasing'!DC$3-1)))*$C27)</f>
        <v/>
      </c>
      <c r="DD27" s="149" t="str">
        <f>IF($B27=0,"",('MF Rollover'!DC27*($P27*(1+'Property Summary'!$L$22)^('MF Releasing'!DD$3-1)))*$C27)</f>
        <v/>
      </c>
      <c r="DE27" s="149" t="str">
        <f>IF($B27=0,"",('MF Rollover'!DD27*($P27*(1+'Property Summary'!$L$22)^('MF Releasing'!DE$3-1)))*$C27)</f>
        <v/>
      </c>
      <c r="DF27" s="149" t="str">
        <f>IF($B27=0,"",('MF Rollover'!DE27*($P27*(1+'Property Summary'!$L$22)^('MF Releasing'!DF$3-1)))*$C27)</f>
        <v/>
      </c>
      <c r="DG27" s="149" t="str">
        <f>IF($B27=0,"",('MF Rollover'!DF27*($P27*(1+'Property Summary'!$L$22)^('MF Releasing'!DG$3-1)))*$C27)</f>
        <v/>
      </c>
      <c r="DH27" s="149" t="str">
        <f>IF($B27=0,"",('MF Rollover'!DG27*($P27*(1+'Property Summary'!$L$22)^('MF Releasing'!DH$3-1)))*$C27)</f>
        <v/>
      </c>
      <c r="DI27" s="149" t="str">
        <f>IF($B27=0,"",('MF Rollover'!DH27*($P27*(1+'Property Summary'!$L$22)^('MF Releasing'!DI$3-1)))*$C27)</f>
        <v/>
      </c>
      <c r="DJ27" s="149" t="str">
        <f>IF($B27=0,"",('MF Rollover'!DI27*($P27*(1+'Property Summary'!$L$22)^('MF Releasing'!DJ$3-1)))*$C27)</f>
        <v/>
      </c>
      <c r="DK27" s="149" t="str">
        <f>IF($B27=0,"",('MF Rollover'!DJ27*($P27*(1+'Property Summary'!$L$22)^('MF Releasing'!DK$3-1)))*$C27)</f>
        <v/>
      </c>
      <c r="DL27" s="149" t="str">
        <f>IF($B27=0,"",('MF Rollover'!DK27*($P27*(1+'Property Summary'!$L$22)^('MF Releasing'!DL$3-1)))*$C27)</f>
        <v/>
      </c>
      <c r="DM27" s="149" t="str">
        <f>IF($B27=0,"",('MF Rollover'!DL27*($P27*(1+'Property Summary'!$L$22)^('MF Releasing'!DM$3-1)))*$C27)</f>
        <v/>
      </c>
      <c r="DN27" s="149" t="str">
        <f>IF($B27=0,"",('MF Rollover'!DM27*($P27*(1+'Property Summary'!$L$22)^('MF Releasing'!DN$3-1)))*$C27)</f>
        <v/>
      </c>
      <c r="DO27" s="149" t="str">
        <f>IF($B27=0,"",('MF Rollover'!DN27*($P27*(1+'Property Summary'!$L$22)^('MF Releasing'!DO$3-1)))*$C27)</f>
        <v/>
      </c>
      <c r="DP27" s="149" t="str">
        <f>IF($B27=0,"",('MF Rollover'!DO27*($P27*(1+'Property Summary'!$L$22)^('MF Releasing'!DP$3-1)))*$C27)</f>
        <v/>
      </c>
      <c r="DQ27" s="149" t="str">
        <f>IF($B27=0,"",('MF Rollover'!DP27*($P27*(1+'Property Summary'!$L$22)^('MF Releasing'!DQ$3-1)))*$C27)</f>
        <v/>
      </c>
      <c r="DR27" s="149" t="str">
        <f>IF($B27=0,"",('MF Rollover'!DQ27*($P27*(1+'Property Summary'!$L$22)^('MF Releasing'!DR$3-1)))*$C27)</f>
        <v/>
      </c>
      <c r="DS27" s="149" t="str">
        <f>IF($B27=0,"",('MF Rollover'!DR27*($P27*(1+'Property Summary'!$L$22)^('MF Releasing'!DS$3-1)))*$C27)</f>
        <v/>
      </c>
      <c r="DT27" s="149" t="str">
        <f>IF($B27=0,"",('MF Rollover'!DS27*($P27*(1+'Property Summary'!$L$22)^('MF Releasing'!DT$3-1)))*$C27)</f>
        <v/>
      </c>
      <c r="DU27" s="149" t="str">
        <f>IF($B27=0,"",('MF Rollover'!DT27*($P27*(1+'Property Summary'!$L$22)^('MF Releasing'!DU$3-1)))*$C27)</f>
        <v/>
      </c>
      <c r="DV27" s="149" t="str">
        <f>IF($B27=0,"",('MF Rollover'!DU27*($P27*(1+'Property Summary'!$L$22)^('MF Releasing'!DV$3-1)))*$C27)</f>
        <v/>
      </c>
      <c r="DW27" s="149" t="str">
        <f>IF($B27=0,"",('MF Rollover'!DV27*($P27*(1+'Property Summary'!$L$22)^('MF Releasing'!DW$3-1)))*$C27)</f>
        <v/>
      </c>
      <c r="DX27" s="149" t="str">
        <f>IF($B27=0,"",('MF Rollover'!DW27*($P27*(1+'Property Summary'!$L$22)^('MF Releasing'!DX$3-1)))*$C27)</f>
        <v/>
      </c>
      <c r="DY27" s="149" t="str">
        <f>IF($B27=0,"",('MF Rollover'!DX27*($P27*(1+'Property Summary'!$L$22)^('MF Releasing'!DY$3-1)))*$C27)</f>
        <v/>
      </c>
      <c r="DZ27" s="149" t="str">
        <f>IF($B27=0,"",('MF Rollover'!DY27*($P27*(1+'Property Summary'!$L$22)^('MF Releasing'!DZ$3-1)))*$C27)</f>
        <v/>
      </c>
      <c r="EA27" s="149" t="str">
        <f>IF($B27=0,"",('MF Rollover'!DZ27*($P27*(1+'Property Summary'!$L$22)^('MF Releasing'!EA$3-1)))*$C27)</f>
        <v/>
      </c>
      <c r="EB27" s="149" t="str">
        <f>IF($B27=0,"",('MF Rollover'!EA27*($P27*(1+'Property Summary'!$L$22)^('MF Releasing'!EB$3-1)))*$C27)</f>
        <v/>
      </c>
      <c r="EC27" s="149" t="str">
        <f>IF($B27=0,"",('MF Rollover'!EB27*($P27*(1+'Property Summary'!$L$22)^('MF Releasing'!EC$3-1)))*$C27)</f>
        <v/>
      </c>
      <c r="ED27" s="149" t="str">
        <f>IF($B27=0,"",('MF Rollover'!EC27*($P27*(1+'Property Summary'!$L$22)^('MF Releasing'!ED$3-1)))*$C27)</f>
        <v/>
      </c>
      <c r="EE27" s="149" t="str">
        <f>IF($B27=0,"",('MF Rollover'!ED27*($P27*(1+'Property Summary'!$L$22)^('MF Releasing'!EE$3-1)))*$C27)</f>
        <v/>
      </c>
      <c r="EF27" s="149" t="str">
        <f>IF($B27=0,"",('MF Rollover'!EE27*($P27*(1+'Property Summary'!$L$22)^('MF Releasing'!EF$3-1)))*$C27)</f>
        <v/>
      </c>
      <c r="EG27" s="149" t="str">
        <f>IF($B27=0,"",('MF Rollover'!EF27*($P27*(1+'Property Summary'!$L$22)^('MF Releasing'!EG$3-1)))*$C27)</f>
        <v/>
      </c>
      <c r="EH27" s="149" t="str">
        <f>IF($B27=0,"",('MF Rollover'!EG27*($P27*(1+'Property Summary'!$L$22)^('MF Releasing'!EH$3-1)))*$C27)</f>
        <v/>
      </c>
      <c r="EI27" s="149" t="str">
        <f>IF($B27=0,"",('MF Rollover'!EH27*($P27*(1+'Property Summary'!$L$22)^('MF Releasing'!EI$3-1)))*$C27)</f>
        <v/>
      </c>
      <c r="EJ27" s="149" t="str">
        <f>IF($B27=0,"",('MF Rollover'!EI27*($P27*(1+'Property Summary'!$L$22)^('MF Releasing'!EJ$3-1)))*$C27)</f>
        <v/>
      </c>
      <c r="EK27" s="149" t="str">
        <f>IF($B27=0,"",('MF Rollover'!EJ27*($P27*(1+'Property Summary'!$L$22)^('MF Releasing'!EK$3-1)))*$C27)</f>
        <v/>
      </c>
      <c r="EL27" s="149" t="str">
        <f>IF($B27=0,"",('MF Rollover'!EK27*($P27*(1+'Property Summary'!$L$22)^('MF Releasing'!EL$3-1)))*$C27)</f>
        <v/>
      </c>
      <c r="EM27" s="149" t="str">
        <f>IF($B27=0,"",('MF Rollover'!EL27*($P27*(1+'Property Summary'!$L$22)^('MF Releasing'!EM$3-1)))*$C27)</f>
        <v/>
      </c>
      <c r="EN27" s="149" t="str">
        <f>IF($B27=0,"",('MF Rollover'!EM27*($P27*(1+'Property Summary'!$L$22)^('MF Releasing'!EN$3-1)))*$C27)</f>
        <v/>
      </c>
      <c r="EO27" s="149" t="str">
        <f>IF($B27=0,"",('MF Rollover'!EN27*($P27*(1+'Property Summary'!$L$22)^('MF Releasing'!EO$3-1)))*$C27)</f>
        <v/>
      </c>
      <c r="EP27" s="149" t="str">
        <f>IF($B27=0,"",('MF Rollover'!EO27*($P27*(1+'Property Summary'!$L$22)^('MF Releasing'!EP$3-1)))*$C27)</f>
        <v/>
      </c>
      <c r="EQ27" s="149" t="str">
        <f>IF($B27=0,"",('MF Rollover'!EP27*($P27*(1+'Property Summary'!$L$22)^('MF Releasing'!EQ$3-1)))*$C27)</f>
        <v/>
      </c>
      <c r="ER27" s="149" t="str">
        <f>IF($B27=0,"",('MF Rollover'!EQ27*($P27*(1+'Property Summary'!$L$22)^('MF Releasing'!ER$3-1)))*$C27)</f>
        <v/>
      </c>
      <c r="ES27" s="149" t="str">
        <f>IF($B27=0,"",('MF Rollover'!ER27*($P27*(1+'Property Summary'!$L$22)^('MF Releasing'!ES$3-1)))*$C27)</f>
        <v/>
      </c>
      <c r="ET27" s="149" t="str">
        <f>IF($B27=0,"",('MF Rollover'!ES27*($P27*(1+'Property Summary'!$L$22)^('MF Releasing'!ET$3-1)))*$C27)</f>
        <v/>
      </c>
      <c r="EU27" s="149" t="str">
        <f>IF($B27=0,"",('MF Rollover'!ET27*($P27*(1+'Property Summary'!$L$22)^('MF Releasing'!EU$3-1)))*$C27)</f>
        <v/>
      </c>
      <c r="EV27" s="149" t="str">
        <f>IF($B27=0,"",('MF Rollover'!EU27*($P27*(1+'Property Summary'!$L$22)^('MF Releasing'!EV$3-1)))*$C27)</f>
        <v/>
      </c>
      <c r="EW27" s="149" t="str">
        <f>IF($B27=0,"",('MF Rollover'!EV27*($P27*(1+'Property Summary'!$L$22)^('MF Releasing'!EW$3-1)))*$C27)</f>
        <v/>
      </c>
      <c r="EX27" s="149" t="str">
        <f>IF($B27=0,"",('MF Rollover'!EW27*($P27*(1+'Property Summary'!$L$22)^('MF Releasing'!EX$3-1)))*$C27)</f>
        <v/>
      </c>
      <c r="EY27" s="149" t="str">
        <f>IF($B27=0,"",('MF Rollover'!EX27*($P27*(1+'Property Summary'!$L$22)^('MF Releasing'!EY$3-1)))*$C27)</f>
        <v/>
      </c>
      <c r="EZ27" s="149" t="str">
        <f>IF($B27=0,"",('MF Rollover'!EY27*($P27*(1+'Property Summary'!$L$22)^('MF Releasing'!EZ$3-1)))*$C27)</f>
        <v/>
      </c>
      <c r="FA27" s="149" t="str">
        <f>IF($B27=0,"",('MF Rollover'!EZ27*($P27*(1+'Property Summary'!$L$22)^('MF Releasing'!FA$3-1)))*$C27)</f>
        <v/>
      </c>
      <c r="FB27" s="149" t="str">
        <f>IF($B27=0,"",('MF Rollover'!FA27*($P27*(1+'Property Summary'!$L$22)^('MF Releasing'!FB$3-1)))*$C27)</f>
        <v/>
      </c>
      <c r="FC27" s="149" t="str">
        <f>IF($B27=0,"",('MF Rollover'!FB27*($P27*(1+'Property Summary'!$L$22)^('MF Releasing'!FC$3-1)))*$C27)</f>
        <v/>
      </c>
      <c r="FD27" s="149" t="str">
        <f>IF($B27=0,"",('MF Rollover'!FC27*($P27*(1+'Property Summary'!$L$22)^('MF Releasing'!FD$3-1)))*$C27)</f>
        <v/>
      </c>
      <c r="FE27" s="149" t="str">
        <f>IF($B27=0,"",('MF Rollover'!FD27*($P27*(1+'Property Summary'!$L$22)^('MF Releasing'!FE$3-1)))*$C27)</f>
        <v/>
      </c>
      <c r="FF27" s="149" t="str">
        <f>IF($B27=0,"",('MF Rollover'!FE27*($P27*(1+'Property Summary'!$L$22)^('MF Releasing'!FF$3-1)))*$C27)</f>
        <v/>
      </c>
      <c r="FG27" s="149" t="str">
        <f>IF($B27=0,"",('MF Rollover'!FF27*($P27*(1+'Property Summary'!$L$22)^('MF Releasing'!FG$3-1)))*$C27)</f>
        <v/>
      </c>
      <c r="FH27" s="149" t="str">
        <f>IF($B27=0,"",('MF Rollover'!FG27*($P27*(1+'Property Summary'!$L$22)^('MF Releasing'!FH$3-1)))*$C27)</f>
        <v/>
      </c>
      <c r="FI27" s="149" t="str">
        <f>IF($B27=0,"",('MF Rollover'!FH27*($P27*(1+'Property Summary'!$L$22)^('MF Releasing'!FI$3-1)))*$C27)</f>
        <v/>
      </c>
      <c r="FJ27" s="149" t="str">
        <f>IF($B27=0,"",('MF Rollover'!FI27*($P27*(1+'Property Summary'!$L$22)^('MF Releasing'!FJ$3-1)))*$C27)</f>
        <v/>
      </c>
      <c r="FK27" s="149" t="str">
        <f>IF($B27=0,"",('MF Rollover'!FJ27*($P27*(1+'Property Summary'!$L$22)^('MF Releasing'!FK$3-1)))*$C27)</f>
        <v/>
      </c>
      <c r="FL27" s="149" t="str">
        <f>IF($B27=0,"",('MF Rollover'!FK27*($P27*(1+'Property Summary'!$L$22)^('MF Releasing'!FL$3-1)))*$C27)</f>
        <v/>
      </c>
      <c r="FM27" s="149" t="str">
        <f>IF($B27=0,"",('MF Rollover'!FL27*($P27*(1+'Property Summary'!$L$22)^('MF Releasing'!FM$3-1)))*$C27)</f>
        <v/>
      </c>
      <c r="FN27" s="149" t="str">
        <f>IF($B27=0,"",('MF Rollover'!FM27*($P27*(1+'Property Summary'!$L$22)^('MF Releasing'!FN$3-1)))*$C27)</f>
        <v/>
      </c>
      <c r="FO27" s="149" t="str">
        <f>IF($B27=0,"",('MF Rollover'!FN27*($P27*(1+'Property Summary'!$L$22)^('MF Releasing'!FO$3-1)))*$C27)</f>
        <v/>
      </c>
      <c r="FP27" s="149" t="str">
        <f>IF($B27=0,"",('MF Rollover'!FO27*($P27*(1+'Property Summary'!$L$22)^('MF Releasing'!FP$3-1)))*$C27)</f>
        <v/>
      </c>
      <c r="FQ27" s="149" t="str">
        <f>IF($B27=0,"",('MF Rollover'!FP27*($P27*(1+'Property Summary'!$L$22)^('MF Releasing'!FQ$3-1)))*$C27)</f>
        <v/>
      </c>
      <c r="FR27" s="149" t="str">
        <f>IF($B27=0,"",('MF Rollover'!FQ27*($P27*(1+'Property Summary'!$L$22)^('MF Releasing'!FR$3-1)))*$C27)</f>
        <v/>
      </c>
      <c r="FS27" s="149" t="str">
        <f>IF($B27=0,"",('MF Rollover'!FR27*($P27*(1+'Property Summary'!$L$22)^('MF Releasing'!FS$3-1)))*$C27)</f>
        <v/>
      </c>
      <c r="FT27" s="149" t="str">
        <f>IF($B27=0,"",('MF Rollover'!FS27*($P27*(1+'Property Summary'!$L$22)^('MF Releasing'!FT$3-1)))*$C27)</f>
        <v/>
      </c>
      <c r="FU27" s="149" t="str">
        <f>IF($B27=0,"",('MF Rollover'!FT27*($P27*(1+'Property Summary'!$L$22)^('MF Releasing'!FU$3-1)))*$C27)</f>
        <v/>
      </c>
      <c r="FV27" s="149" t="str">
        <f>IF($B27=0,"",('MF Rollover'!FU27*($P27*(1+'Property Summary'!$L$22)^('MF Releasing'!FV$3-1)))*$C27)</f>
        <v/>
      </c>
      <c r="FW27" s="149" t="str">
        <f>IF($B27=0,"",('MF Rollover'!FV27*($P27*(1+'Property Summary'!$L$22)^('MF Releasing'!FW$3-1)))*$C27)</f>
        <v/>
      </c>
      <c r="FX27" s="149" t="str">
        <f>IF($B27=0,"",('MF Rollover'!FW27*($P27*(1+'Property Summary'!$L$22)^('MF Releasing'!FX$3-1)))*$C27)</f>
        <v/>
      </c>
      <c r="FY27" s="149" t="str">
        <f>IF($B27=0,"",('MF Rollover'!FX27*($P27*(1+'Property Summary'!$L$22)^('MF Releasing'!FY$3-1)))*$C27)</f>
        <v/>
      </c>
      <c r="FZ27" s="149" t="str">
        <f>IF($B27=0,"",('MF Rollover'!FY27*($P27*(1+'Property Summary'!$L$22)^('MF Releasing'!FZ$3-1)))*$C27)</f>
        <v/>
      </c>
      <c r="GA27" s="149" t="str">
        <f>IF($B27=0,"",('MF Rollover'!FZ27*($P27*(1+'Property Summary'!$L$22)^('MF Releasing'!GA$3-1)))*$C27)</f>
        <v/>
      </c>
      <c r="GB27" s="149" t="str">
        <f>IF($B27=0,"",('MF Rollover'!GA27*($P27*(1+'Property Summary'!$L$22)^('MF Releasing'!GB$3-1)))*$C27)</f>
        <v/>
      </c>
      <c r="GC27" s="149" t="str">
        <f>IF($B27=0,"",('MF Rollover'!GB27*($P27*(1+'Property Summary'!$L$22)^('MF Releasing'!GC$3-1)))*$C27)</f>
        <v/>
      </c>
      <c r="GD27" s="149" t="str">
        <f>IF($B27=0,"",('MF Rollover'!GC27*($P27*(1+'Property Summary'!$L$22)^('MF Releasing'!GD$3-1)))*$C27)</f>
        <v/>
      </c>
      <c r="GE27" s="149" t="str">
        <f>IF($B27=0,"",('MF Rollover'!GD27*($P27*(1+'Property Summary'!$L$22)^('MF Releasing'!GE$3-1)))*$C27)</f>
        <v/>
      </c>
      <c r="GF27" s="149" t="str">
        <f>IF($B27=0,"",('MF Rollover'!GE27*($P27*(1+'Property Summary'!$L$22)^('MF Releasing'!GF$3-1)))*$C27)</f>
        <v/>
      </c>
      <c r="GG27" s="149" t="str">
        <f>IF($B27=0,"",('MF Rollover'!GF27*($P27*(1+'Property Summary'!$L$22)^('MF Releasing'!GG$3-1)))*$C27)</f>
        <v/>
      </c>
      <c r="GH27" s="149" t="str">
        <f>IF($B27=0,"",('MF Rollover'!GG27*($P27*(1+'Property Summary'!$L$22)^('MF Releasing'!GH$3-1)))*$C27)</f>
        <v/>
      </c>
      <c r="GI27" s="149" t="str">
        <f>IF($B27=0,"",('MF Rollover'!GH27*($P27*(1+'Property Summary'!$L$22)^('MF Releasing'!GI$3-1)))*$C27)</f>
        <v/>
      </c>
      <c r="GJ27" s="149" t="str">
        <f>IF($B27=0,"",('MF Rollover'!GI27*($P27*(1+'Property Summary'!$L$22)^('MF Releasing'!GJ$3-1)))*$C27)</f>
        <v/>
      </c>
      <c r="GK27" s="149" t="str">
        <f>IF($B27=0,"",('MF Rollover'!GJ27*($P27*(1+'Property Summary'!$L$22)^('MF Releasing'!GK$3-1)))*$C27)</f>
        <v/>
      </c>
      <c r="GL27" s="149" t="str">
        <f>IF($B27=0,"",('MF Rollover'!GK27*($P27*(1+'Property Summary'!$L$22)^('MF Releasing'!GL$3-1)))*$C27)</f>
        <v/>
      </c>
      <c r="GM27" s="149" t="str">
        <f>IF($B27=0,"",('MF Rollover'!GL27*($P27*(1+'Property Summary'!$L$22)^('MF Releasing'!GM$3-1)))*$C27)</f>
        <v/>
      </c>
      <c r="GN27" s="149" t="str">
        <f>IF($B27=0,"",('MF Rollover'!GM27*($P27*(1+'Property Summary'!$L$22)^('MF Releasing'!GN$3-1)))*$C27)</f>
        <v/>
      </c>
      <c r="GO27" s="149" t="str">
        <f>IF($B27=0,"",('MF Rollover'!GN27*($P27*(1+'Property Summary'!$L$22)^('MF Releasing'!GO$3-1)))*$C27)</f>
        <v/>
      </c>
      <c r="GP27" s="149" t="str">
        <f>IF($B27=0,"",('MF Rollover'!GO27*($P27*(1+'Property Summary'!$L$22)^('MF Releasing'!GP$3-1)))*$C27)</f>
        <v/>
      </c>
    </row>
    <row r="28" spans="2:198" x14ac:dyDescent="0.3">
      <c r="B28" s="184">
        <f>'MF Rent Roll'!B27</f>
        <v>0</v>
      </c>
      <c r="C28" s="171">
        <f>'MF Rent Roll'!C27</f>
        <v>0</v>
      </c>
      <c r="D28" s="172">
        <f>'MF Rent Roll'!D27</f>
        <v>0</v>
      </c>
      <c r="E28" s="172">
        <f>'MF Rent Roll'!E27</f>
        <v>0</v>
      </c>
      <c r="F28" s="173">
        <f>'MF Rent Roll'!F27</f>
        <v>0</v>
      </c>
      <c r="G28" s="174">
        <f>'MF Rent Roll'!G27</f>
        <v>0</v>
      </c>
      <c r="H28" s="176">
        <f>'MF Rent Roll'!J27</f>
        <v>0</v>
      </c>
      <c r="I28" s="174">
        <f>'MF Rent Roll'!K27</f>
        <v>0</v>
      </c>
      <c r="J28" s="177">
        <f>'MF Rent Roll'!L27</f>
        <v>0</v>
      </c>
      <c r="K28" s="178">
        <f>'MF Rent Roll'!M27</f>
        <v>0</v>
      </c>
      <c r="L28" s="174">
        <f>'MF Rent Roll'!N27</f>
        <v>0</v>
      </c>
      <c r="M28" s="179">
        <f>'MF Rent Roll'!O27</f>
        <v>0</v>
      </c>
      <c r="N28" s="180" t="str">
        <f>'MF Rent Roll'!P27</f>
        <v/>
      </c>
      <c r="O28" s="181" t="str">
        <f>'MF Rent Roll'!Q27</f>
        <v/>
      </c>
      <c r="P28" s="104" t="str">
        <f>'MF Rent Roll'!R27</f>
        <v/>
      </c>
      <c r="S28" s="149" t="str">
        <f>IF($B28=0,"",('MF Rollover'!R28*($P28*(1+'Property Summary'!$L$22)^('MF Releasing'!S$3-1)))*$C28)</f>
        <v/>
      </c>
      <c r="T28" s="149" t="str">
        <f>IF($B28=0,"",('MF Rollover'!S28*($P28*(1+'Property Summary'!$L$22)^('MF Releasing'!T$3-1)))*$C28)</f>
        <v/>
      </c>
      <c r="U28" s="149" t="str">
        <f>IF($B28=0,"",('MF Rollover'!T28*($P28*(1+'Property Summary'!$L$22)^('MF Releasing'!U$3-1)))*$C28)</f>
        <v/>
      </c>
      <c r="V28" s="149" t="str">
        <f>IF($B28=0,"",('MF Rollover'!U28*($P28*(1+'Property Summary'!$L$22)^('MF Releasing'!V$3-1)))*$C28)</f>
        <v/>
      </c>
      <c r="W28" s="149" t="str">
        <f>IF($B28=0,"",('MF Rollover'!V28*($P28*(1+'Property Summary'!$L$22)^('MF Releasing'!W$3-1)))*$C28)</f>
        <v/>
      </c>
      <c r="X28" s="149" t="str">
        <f>IF($B28=0,"",('MF Rollover'!W28*($P28*(1+'Property Summary'!$L$22)^('MF Releasing'!X$3-1)))*$C28)</f>
        <v/>
      </c>
      <c r="Y28" s="149" t="str">
        <f>IF($B28=0,"",('MF Rollover'!X28*($P28*(1+'Property Summary'!$L$22)^('MF Releasing'!Y$3-1)))*$C28)</f>
        <v/>
      </c>
      <c r="Z28" s="149" t="str">
        <f>IF($B28=0,"",('MF Rollover'!Y28*($P28*(1+'Property Summary'!$L$22)^('MF Releasing'!Z$3-1)))*$C28)</f>
        <v/>
      </c>
      <c r="AA28" s="149" t="str">
        <f>IF($B28=0,"",('MF Rollover'!Z28*($P28*(1+'Property Summary'!$L$22)^('MF Releasing'!AA$3-1)))*$C28)</f>
        <v/>
      </c>
      <c r="AB28" s="149" t="str">
        <f>IF($B28=0,"",('MF Rollover'!AA28*($P28*(1+'Property Summary'!$L$22)^('MF Releasing'!AB$3-1)))*$C28)</f>
        <v/>
      </c>
      <c r="AC28" s="149" t="str">
        <f>IF($B28=0,"",('MF Rollover'!AB28*($P28*(1+'Property Summary'!$L$22)^('MF Releasing'!AC$3-1)))*$C28)</f>
        <v/>
      </c>
      <c r="AD28" s="149" t="str">
        <f>IF($B28=0,"",('MF Rollover'!AC28*($P28*(1+'Property Summary'!$L$22)^('MF Releasing'!AD$3-1)))*$C28)</f>
        <v/>
      </c>
      <c r="AE28" s="149" t="str">
        <f>IF($B28=0,"",('MF Rollover'!AD28*($P28*(1+'Property Summary'!$L$22)^('MF Releasing'!AE$3-1)))*$C28)</f>
        <v/>
      </c>
      <c r="AF28" s="149" t="str">
        <f>IF($B28=0,"",('MF Rollover'!AE28*($P28*(1+'Property Summary'!$L$22)^('MF Releasing'!AF$3-1)))*$C28)</f>
        <v/>
      </c>
      <c r="AG28" s="149" t="str">
        <f>IF($B28=0,"",('MF Rollover'!AF28*($P28*(1+'Property Summary'!$L$22)^('MF Releasing'!AG$3-1)))*$C28)</f>
        <v/>
      </c>
      <c r="AH28" s="149" t="str">
        <f>IF($B28=0,"",('MF Rollover'!AG28*($P28*(1+'Property Summary'!$L$22)^('MF Releasing'!AH$3-1)))*$C28)</f>
        <v/>
      </c>
      <c r="AI28" s="149" t="str">
        <f>IF($B28=0,"",('MF Rollover'!AH28*($P28*(1+'Property Summary'!$L$22)^('MF Releasing'!AI$3-1)))*$C28)</f>
        <v/>
      </c>
      <c r="AJ28" s="149" t="str">
        <f>IF($B28=0,"",('MF Rollover'!AI28*($P28*(1+'Property Summary'!$L$22)^('MF Releasing'!AJ$3-1)))*$C28)</f>
        <v/>
      </c>
      <c r="AK28" s="149" t="str">
        <f>IF($B28=0,"",('MF Rollover'!AJ28*($P28*(1+'Property Summary'!$L$22)^('MF Releasing'!AK$3-1)))*$C28)</f>
        <v/>
      </c>
      <c r="AL28" s="149" t="str">
        <f>IF($B28=0,"",('MF Rollover'!AK28*($P28*(1+'Property Summary'!$L$22)^('MF Releasing'!AL$3-1)))*$C28)</f>
        <v/>
      </c>
      <c r="AM28" s="149" t="str">
        <f>IF($B28=0,"",('MF Rollover'!AL28*($P28*(1+'Property Summary'!$L$22)^('MF Releasing'!AM$3-1)))*$C28)</f>
        <v/>
      </c>
      <c r="AN28" s="149" t="str">
        <f>IF($B28=0,"",('MF Rollover'!AM28*($P28*(1+'Property Summary'!$L$22)^('MF Releasing'!AN$3-1)))*$C28)</f>
        <v/>
      </c>
      <c r="AO28" s="149" t="str">
        <f>IF($B28=0,"",('MF Rollover'!AN28*($P28*(1+'Property Summary'!$L$22)^('MF Releasing'!AO$3-1)))*$C28)</f>
        <v/>
      </c>
      <c r="AP28" s="149" t="str">
        <f>IF($B28=0,"",('MF Rollover'!AO28*($P28*(1+'Property Summary'!$L$22)^('MF Releasing'!AP$3-1)))*$C28)</f>
        <v/>
      </c>
      <c r="AQ28" s="149" t="str">
        <f>IF($B28=0,"",('MF Rollover'!AP28*($P28*(1+'Property Summary'!$L$22)^('MF Releasing'!AQ$3-1)))*$C28)</f>
        <v/>
      </c>
      <c r="AR28" s="149" t="str">
        <f>IF($B28=0,"",('MF Rollover'!AQ28*($P28*(1+'Property Summary'!$L$22)^('MF Releasing'!AR$3-1)))*$C28)</f>
        <v/>
      </c>
      <c r="AS28" s="149" t="str">
        <f>IF($B28=0,"",('MF Rollover'!AR28*($P28*(1+'Property Summary'!$L$22)^('MF Releasing'!AS$3-1)))*$C28)</f>
        <v/>
      </c>
      <c r="AT28" s="149" t="str">
        <f>IF($B28=0,"",('MF Rollover'!AS28*($P28*(1+'Property Summary'!$L$22)^('MF Releasing'!AT$3-1)))*$C28)</f>
        <v/>
      </c>
      <c r="AU28" s="149" t="str">
        <f>IF($B28=0,"",('MF Rollover'!AT28*($P28*(1+'Property Summary'!$L$22)^('MF Releasing'!AU$3-1)))*$C28)</f>
        <v/>
      </c>
      <c r="AV28" s="149" t="str">
        <f>IF($B28=0,"",('MF Rollover'!AU28*($P28*(1+'Property Summary'!$L$22)^('MF Releasing'!AV$3-1)))*$C28)</f>
        <v/>
      </c>
      <c r="AW28" s="149" t="str">
        <f>IF($B28=0,"",('MF Rollover'!AV28*($P28*(1+'Property Summary'!$L$22)^('MF Releasing'!AW$3-1)))*$C28)</f>
        <v/>
      </c>
      <c r="AX28" s="149" t="str">
        <f>IF($B28=0,"",('MF Rollover'!AW28*($P28*(1+'Property Summary'!$L$22)^('MF Releasing'!AX$3-1)))*$C28)</f>
        <v/>
      </c>
      <c r="AY28" s="149" t="str">
        <f>IF($B28=0,"",('MF Rollover'!AX28*($P28*(1+'Property Summary'!$L$22)^('MF Releasing'!AY$3-1)))*$C28)</f>
        <v/>
      </c>
      <c r="AZ28" s="149" t="str">
        <f>IF($B28=0,"",('MF Rollover'!AY28*($P28*(1+'Property Summary'!$L$22)^('MF Releasing'!AZ$3-1)))*$C28)</f>
        <v/>
      </c>
      <c r="BA28" s="149" t="str">
        <f>IF($B28=0,"",('MF Rollover'!AZ28*($P28*(1+'Property Summary'!$L$22)^('MF Releasing'!BA$3-1)))*$C28)</f>
        <v/>
      </c>
      <c r="BB28" s="149" t="str">
        <f>IF($B28=0,"",('MF Rollover'!BA28*($P28*(1+'Property Summary'!$L$22)^('MF Releasing'!BB$3-1)))*$C28)</f>
        <v/>
      </c>
      <c r="BC28" s="149" t="str">
        <f>IF($B28=0,"",('MF Rollover'!BB28*($P28*(1+'Property Summary'!$L$22)^('MF Releasing'!BC$3-1)))*$C28)</f>
        <v/>
      </c>
      <c r="BD28" s="149" t="str">
        <f>IF($B28=0,"",('MF Rollover'!BC28*($P28*(1+'Property Summary'!$L$22)^('MF Releasing'!BD$3-1)))*$C28)</f>
        <v/>
      </c>
      <c r="BE28" s="149" t="str">
        <f>IF($B28=0,"",('MF Rollover'!BD28*($P28*(1+'Property Summary'!$L$22)^('MF Releasing'!BE$3-1)))*$C28)</f>
        <v/>
      </c>
      <c r="BF28" s="149" t="str">
        <f>IF($B28=0,"",('MF Rollover'!BE28*($P28*(1+'Property Summary'!$L$22)^('MF Releasing'!BF$3-1)))*$C28)</f>
        <v/>
      </c>
      <c r="BG28" s="149" t="str">
        <f>IF($B28=0,"",('MF Rollover'!BF28*($P28*(1+'Property Summary'!$L$22)^('MF Releasing'!BG$3-1)))*$C28)</f>
        <v/>
      </c>
      <c r="BH28" s="149" t="str">
        <f>IF($B28=0,"",('MF Rollover'!BG28*($P28*(1+'Property Summary'!$L$22)^('MF Releasing'!BH$3-1)))*$C28)</f>
        <v/>
      </c>
      <c r="BI28" s="149" t="str">
        <f>IF($B28=0,"",('MF Rollover'!BH28*($P28*(1+'Property Summary'!$L$22)^('MF Releasing'!BI$3-1)))*$C28)</f>
        <v/>
      </c>
      <c r="BJ28" s="149" t="str">
        <f>IF($B28=0,"",('MF Rollover'!BI28*($P28*(1+'Property Summary'!$L$22)^('MF Releasing'!BJ$3-1)))*$C28)</f>
        <v/>
      </c>
      <c r="BK28" s="149" t="str">
        <f>IF($B28=0,"",('MF Rollover'!BJ28*($P28*(1+'Property Summary'!$L$22)^('MF Releasing'!BK$3-1)))*$C28)</f>
        <v/>
      </c>
      <c r="BL28" s="149" t="str">
        <f>IF($B28=0,"",('MF Rollover'!BK28*($P28*(1+'Property Summary'!$L$22)^('MF Releasing'!BL$3-1)))*$C28)</f>
        <v/>
      </c>
      <c r="BM28" s="149" t="str">
        <f>IF($B28=0,"",('MF Rollover'!BL28*($P28*(1+'Property Summary'!$L$22)^('MF Releasing'!BM$3-1)))*$C28)</f>
        <v/>
      </c>
      <c r="BN28" s="149" t="str">
        <f>IF($B28=0,"",('MF Rollover'!BM28*($P28*(1+'Property Summary'!$L$22)^('MF Releasing'!BN$3-1)))*$C28)</f>
        <v/>
      </c>
      <c r="BO28" s="149" t="str">
        <f>IF($B28=0,"",('MF Rollover'!BN28*($P28*(1+'Property Summary'!$L$22)^('MF Releasing'!BO$3-1)))*$C28)</f>
        <v/>
      </c>
      <c r="BP28" s="149" t="str">
        <f>IF($B28=0,"",('MF Rollover'!BO28*($P28*(1+'Property Summary'!$L$22)^('MF Releasing'!BP$3-1)))*$C28)</f>
        <v/>
      </c>
      <c r="BQ28" s="149" t="str">
        <f>IF($B28=0,"",('MF Rollover'!BP28*($P28*(1+'Property Summary'!$L$22)^('MF Releasing'!BQ$3-1)))*$C28)</f>
        <v/>
      </c>
      <c r="BR28" s="149" t="str">
        <f>IF($B28=0,"",('MF Rollover'!BQ28*($P28*(1+'Property Summary'!$L$22)^('MF Releasing'!BR$3-1)))*$C28)</f>
        <v/>
      </c>
      <c r="BS28" s="149" t="str">
        <f>IF($B28=0,"",('MF Rollover'!BR28*($P28*(1+'Property Summary'!$L$22)^('MF Releasing'!BS$3-1)))*$C28)</f>
        <v/>
      </c>
      <c r="BT28" s="149" t="str">
        <f>IF($B28=0,"",('MF Rollover'!BS28*($P28*(1+'Property Summary'!$L$22)^('MF Releasing'!BT$3-1)))*$C28)</f>
        <v/>
      </c>
      <c r="BU28" s="149" t="str">
        <f>IF($B28=0,"",('MF Rollover'!BT28*($P28*(1+'Property Summary'!$L$22)^('MF Releasing'!BU$3-1)))*$C28)</f>
        <v/>
      </c>
      <c r="BV28" s="149" t="str">
        <f>IF($B28=0,"",('MF Rollover'!BU28*($P28*(1+'Property Summary'!$L$22)^('MF Releasing'!BV$3-1)))*$C28)</f>
        <v/>
      </c>
      <c r="BW28" s="149" t="str">
        <f>IF($B28=0,"",('MF Rollover'!BV28*($P28*(1+'Property Summary'!$L$22)^('MF Releasing'!BW$3-1)))*$C28)</f>
        <v/>
      </c>
      <c r="BX28" s="149" t="str">
        <f>IF($B28=0,"",('MF Rollover'!BW28*($P28*(1+'Property Summary'!$L$22)^('MF Releasing'!BX$3-1)))*$C28)</f>
        <v/>
      </c>
      <c r="BY28" s="149" t="str">
        <f>IF($B28=0,"",('MF Rollover'!BX28*($P28*(1+'Property Summary'!$L$22)^('MF Releasing'!BY$3-1)))*$C28)</f>
        <v/>
      </c>
      <c r="BZ28" s="149" t="str">
        <f>IF($B28=0,"",('MF Rollover'!BY28*($P28*(1+'Property Summary'!$L$22)^('MF Releasing'!BZ$3-1)))*$C28)</f>
        <v/>
      </c>
      <c r="CA28" s="149" t="str">
        <f>IF($B28=0,"",('MF Rollover'!BZ28*($P28*(1+'Property Summary'!$L$22)^('MF Releasing'!CA$3-1)))*$C28)</f>
        <v/>
      </c>
      <c r="CB28" s="149" t="str">
        <f>IF($B28=0,"",('MF Rollover'!CA28*($P28*(1+'Property Summary'!$L$22)^('MF Releasing'!CB$3-1)))*$C28)</f>
        <v/>
      </c>
      <c r="CC28" s="149" t="str">
        <f>IF($B28=0,"",('MF Rollover'!CB28*($P28*(1+'Property Summary'!$L$22)^('MF Releasing'!CC$3-1)))*$C28)</f>
        <v/>
      </c>
      <c r="CD28" s="149" t="str">
        <f>IF($B28=0,"",('MF Rollover'!CC28*($P28*(1+'Property Summary'!$L$22)^('MF Releasing'!CD$3-1)))*$C28)</f>
        <v/>
      </c>
      <c r="CE28" s="149" t="str">
        <f>IF($B28=0,"",('MF Rollover'!CD28*($P28*(1+'Property Summary'!$L$22)^('MF Releasing'!CE$3-1)))*$C28)</f>
        <v/>
      </c>
      <c r="CF28" s="149" t="str">
        <f>IF($B28=0,"",('MF Rollover'!CE28*($P28*(1+'Property Summary'!$L$22)^('MF Releasing'!CF$3-1)))*$C28)</f>
        <v/>
      </c>
      <c r="CG28" s="149" t="str">
        <f>IF($B28=0,"",('MF Rollover'!CF28*($P28*(1+'Property Summary'!$L$22)^('MF Releasing'!CG$3-1)))*$C28)</f>
        <v/>
      </c>
      <c r="CH28" s="149" t="str">
        <f>IF($B28=0,"",('MF Rollover'!CG28*($P28*(1+'Property Summary'!$L$22)^('MF Releasing'!CH$3-1)))*$C28)</f>
        <v/>
      </c>
      <c r="CI28" s="149" t="str">
        <f>IF($B28=0,"",('MF Rollover'!CH28*($P28*(1+'Property Summary'!$L$22)^('MF Releasing'!CI$3-1)))*$C28)</f>
        <v/>
      </c>
      <c r="CJ28" s="149" t="str">
        <f>IF($B28=0,"",('MF Rollover'!CI28*($P28*(1+'Property Summary'!$L$22)^('MF Releasing'!CJ$3-1)))*$C28)</f>
        <v/>
      </c>
      <c r="CK28" s="149" t="str">
        <f>IF($B28=0,"",('MF Rollover'!CJ28*($P28*(1+'Property Summary'!$L$22)^('MF Releasing'!CK$3-1)))*$C28)</f>
        <v/>
      </c>
      <c r="CL28" s="149" t="str">
        <f>IF($B28=0,"",('MF Rollover'!CK28*($P28*(1+'Property Summary'!$L$22)^('MF Releasing'!CL$3-1)))*$C28)</f>
        <v/>
      </c>
      <c r="CM28" s="149" t="str">
        <f>IF($B28=0,"",('MF Rollover'!CL28*($P28*(1+'Property Summary'!$L$22)^('MF Releasing'!CM$3-1)))*$C28)</f>
        <v/>
      </c>
      <c r="CN28" s="149" t="str">
        <f>IF($B28=0,"",('MF Rollover'!CM28*($P28*(1+'Property Summary'!$L$22)^('MF Releasing'!CN$3-1)))*$C28)</f>
        <v/>
      </c>
      <c r="CO28" s="149" t="str">
        <f>IF($B28=0,"",('MF Rollover'!CN28*($P28*(1+'Property Summary'!$L$22)^('MF Releasing'!CO$3-1)))*$C28)</f>
        <v/>
      </c>
      <c r="CP28" s="149" t="str">
        <f>IF($B28=0,"",('MF Rollover'!CO28*($P28*(1+'Property Summary'!$L$22)^('MF Releasing'!CP$3-1)))*$C28)</f>
        <v/>
      </c>
      <c r="CQ28" s="149" t="str">
        <f>IF($B28=0,"",('MF Rollover'!CP28*($P28*(1+'Property Summary'!$L$22)^('MF Releasing'!CQ$3-1)))*$C28)</f>
        <v/>
      </c>
      <c r="CR28" s="149" t="str">
        <f>IF($B28=0,"",('MF Rollover'!CQ28*($P28*(1+'Property Summary'!$L$22)^('MF Releasing'!CR$3-1)))*$C28)</f>
        <v/>
      </c>
      <c r="CS28" s="149" t="str">
        <f>IF($B28=0,"",('MF Rollover'!CR28*($P28*(1+'Property Summary'!$L$22)^('MF Releasing'!CS$3-1)))*$C28)</f>
        <v/>
      </c>
      <c r="CT28" s="149" t="str">
        <f>IF($B28=0,"",('MF Rollover'!CS28*($P28*(1+'Property Summary'!$L$22)^('MF Releasing'!CT$3-1)))*$C28)</f>
        <v/>
      </c>
      <c r="CU28" s="149" t="str">
        <f>IF($B28=0,"",('MF Rollover'!CT28*($P28*(1+'Property Summary'!$L$22)^('MF Releasing'!CU$3-1)))*$C28)</f>
        <v/>
      </c>
      <c r="CV28" s="149" t="str">
        <f>IF($B28=0,"",('MF Rollover'!CU28*($P28*(1+'Property Summary'!$L$22)^('MF Releasing'!CV$3-1)))*$C28)</f>
        <v/>
      </c>
      <c r="CW28" s="149" t="str">
        <f>IF($B28=0,"",('MF Rollover'!CV28*($P28*(1+'Property Summary'!$L$22)^('MF Releasing'!CW$3-1)))*$C28)</f>
        <v/>
      </c>
      <c r="CX28" s="149" t="str">
        <f>IF($B28=0,"",('MF Rollover'!CW28*($P28*(1+'Property Summary'!$L$22)^('MF Releasing'!CX$3-1)))*$C28)</f>
        <v/>
      </c>
      <c r="CY28" s="149" t="str">
        <f>IF($B28=0,"",('MF Rollover'!CX28*($P28*(1+'Property Summary'!$L$22)^('MF Releasing'!CY$3-1)))*$C28)</f>
        <v/>
      </c>
      <c r="CZ28" s="149" t="str">
        <f>IF($B28=0,"",('MF Rollover'!CY28*($P28*(1+'Property Summary'!$L$22)^('MF Releasing'!CZ$3-1)))*$C28)</f>
        <v/>
      </c>
      <c r="DA28" s="149" t="str">
        <f>IF($B28=0,"",('MF Rollover'!CZ28*($P28*(1+'Property Summary'!$L$22)^('MF Releasing'!DA$3-1)))*$C28)</f>
        <v/>
      </c>
      <c r="DB28" s="149" t="str">
        <f>IF($B28=0,"",('MF Rollover'!DA28*($P28*(1+'Property Summary'!$L$22)^('MF Releasing'!DB$3-1)))*$C28)</f>
        <v/>
      </c>
      <c r="DC28" s="149" t="str">
        <f>IF($B28=0,"",('MF Rollover'!DB28*($P28*(1+'Property Summary'!$L$22)^('MF Releasing'!DC$3-1)))*$C28)</f>
        <v/>
      </c>
      <c r="DD28" s="149" t="str">
        <f>IF($B28=0,"",('MF Rollover'!DC28*($P28*(1+'Property Summary'!$L$22)^('MF Releasing'!DD$3-1)))*$C28)</f>
        <v/>
      </c>
      <c r="DE28" s="149" t="str">
        <f>IF($B28=0,"",('MF Rollover'!DD28*($P28*(1+'Property Summary'!$L$22)^('MF Releasing'!DE$3-1)))*$C28)</f>
        <v/>
      </c>
      <c r="DF28" s="149" t="str">
        <f>IF($B28=0,"",('MF Rollover'!DE28*($P28*(1+'Property Summary'!$L$22)^('MF Releasing'!DF$3-1)))*$C28)</f>
        <v/>
      </c>
      <c r="DG28" s="149" t="str">
        <f>IF($B28=0,"",('MF Rollover'!DF28*($P28*(1+'Property Summary'!$L$22)^('MF Releasing'!DG$3-1)))*$C28)</f>
        <v/>
      </c>
      <c r="DH28" s="149" t="str">
        <f>IF($B28=0,"",('MF Rollover'!DG28*($P28*(1+'Property Summary'!$L$22)^('MF Releasing'!DH$3-1)))*$C28)</f>
        <v/>
      </c>
      <c r="DI28" s="149" t="str">
        <f>IF($B28=0,"",('MF Rollover'!DH28*($P28*(1+'Property Summary'!$L$22)^('MF Releasing'!DI$3-1)))*$C28)</f>
        <v/>
      </c>
      <c r="DJ28" s="149" t="str">
        <f>IF($B28=0,"",('MF Rollover'!DI28*($P28*(1+'Property Summary'!$L$22)^('MF Releasing'!DJ$3-1)))*$C28)</f>
        <v/>
      </c>
      <c r="DK28" s="149" t="str">
        <f>IF($B28=0,"",('MF Rollover'!DJ28*($P28*(1+'Property Summary'!$L$22)^('MF Releasing'!DK$3-1)))*$C28)</f>
        <v/>
      </c>
      <c r="DL28" s="149" t="str">
        <f>IF($B28=0,"",('MF Rollover'!DK28*($P28*(1+'Property Summary'!$L$22)^('MF Releasing'!DL$3-1)))*$C28)</f>
        <v/>
      </c>
      <c r="DM28" s="149" t="str">
        <f>IF($B28=0,"",('MF Rollover'!DL28*($P28*(1+'Property Summary'!$L$22)^('MF Releasing'!DM$3-1)))*$C28)</f>
        <v/>
      </c>
      <c r="DN28" s="149" t="str">
        <f>IF($B28=0,"",('MF Rollover'!DM28*($P28*(1+'Property Summary'!$L$22)^('MF Releasing'!DN$3-1)))*$C28)</f>
        <v/>
      </c>
      <c r="DO28" s="149" t="str">
        <f>IF($B28=0,"",('MF Rollover'!DN28*($P28*(1+'Property Summary'!$L$22)^('MF Releasing'!DO$3-1)))*$C28)</f>
        <v/>
      </c>
      <c r="DP28" s="149" t="str">
        <f>IF($B28=0,"",('MF Rollover'!DO28*($P28*(1+'Property Summary'!$L$22)^('MF Releasing'!DP$3-1)))*$C28)</f>
        <v/>
      </c>
      <c r="DQ28" s="149" t="str">
        <f>IF($B28=0,"",('MF Rollover'!DP28*($P28*(1+'Property Summary'!$L$22)^('MF Releasing'!DQ$3-1)))*$C28)</f>
        <v/>
      </c>
      <c r="DR28" s="149" t="str">
        <f>IF($B28=0,"",('MF Rollover'!DQ28*($P28*(1+'Property Summary'!$L$22)^('MF Releasing'!DR$3-1)))*$C28)</f>
        <v/>
      </c>
      <c r="DS28" s="149" t="str">
        <f>IF($B28=0,"",('MF Rollover'!DR28*($P28*(1+'Property Summary'!$L$22)^('MF Releasing'!DS$3-1)))*$C28)</f>
        <v/>
      </c>
      <c r="DT28" s="149" t="str">
        <f>IF($B28=0,"",('MF Rollover'!DS28*($P28*(1+'Property Summary'!$L$22)^('MF Releasing'!DT$3-1)))*$C28)</f>
        <v/>
      </c>
      <c r="DU28" s="149" t="str">
        <f>IF($B28=0,"",('MF Rollover'!DT28*($P28*(1+'Property Summary'!$L$22)^('MF Releasing'!DU$3-1)))*$C28)</f>
        <v/>
      </c>
      <c r="DV28" s="149" t="str">
        <f>IF($B28=0,"",('MF Rollover'!DU28*($P28*(1+'Property Summary'!$L$22)^('MF Releasing'!DV$3-1)))*$C28)</f>
        <v/>
      </c>
      <c r="DW28" s="149" t="str">
        <f>IF($B28=0,"",('MF Rollover'!DV28*($P28*(1+'Property Summary'!$L$22)^('MF Releasing'!DW$3-1)))*$C28)</f>
        <v/>
      </c>
      <c r="DX28" s="149" t="str">
        <f>IF($B28=0,"",('MF Rollover'!DW28*($P28*(1+'Property Summary'!$L$22)^('MF Releasing'!DX$3-1)))*$C28)</f>
        <v/>
      </c>
      <c r="DY28" s="149" t="str">
        <f>IF($B28=0,"",('MF Rollover'!DX28*($P28*(1+'Property Summary'!$L$22)^('MF Releasing'!DY$3-1)))*$C28)</f>
        <v/>
      </c>
      <c r="DZ28" s="149" t="str">
        <f>IF($B28=0,"",('MF Rollover'!DY28*($P28*(1+'Property Summary'!$L$22)^('MF Releasing'!DZ$3-1)))*$C28)</f>
        <v/>
      </c>
      <c r="EA28" s="149" t="str">
        <f>IF($B28=0,"",('MF Rollover'!DZ28*($P28*(1+'Property Summary'!$L$22)^('MF Releasing'!EA$3-1)))*$C28)</f>
        <v/>
      </c>
      <c r="EB28" s="149" t="str">
        <f>IF($B28=0,"",('MF Rollover'!EA28*($P28*(1+'Property Summary'!$L$22)^('MF Releasing'!EB$3-1)))*$C28)</f>
        <v/>
      </c>
      <c r="EC28" s="149" t="str">
        <f>IF($B28=0,"",('MF Rollover'!EB28*($P28*(1+'Property Summary'!$L$22)^('MF Releasing'!EC$3-1)))*$C28)</f>
        <v/>
      </c>
      <c r="ED28" s="149" t="str">
        <f>IF($B28=0,"",('MF Rollover'!EC28*($P28*(1+'Property Summary'!$L$22)^('MF Releasing'!ED$3-1)))*$C28)</f>
        <v/>
      </c>
      <c r="EE28" s="149" t="str">
        <f>IF($B28=0,"",('MF Rollover'!ED28*($P28*(1+'Property Summary'!$L$22)^('MF Releasing'!EE$3-1)))*$C28)</f>
        <v/>
      </c>
      <c r="EF28" s="149" t="str">
        <f>IF($B28=0,"",('MF Rollover'!EE28*($P28*(1+'Property Summary'!$L$22)^('MF Releasing'!EF$3-1)))*$C28)</f>
        <v/>
      </c>
      <c r="EG28" s="149" t="str">
        <f>IF($B28=0,"",('MF Rollover'!EF28*($P28*(1+'Property Summary'!$L$22)^('MF Releasing'!EG$3-1)))*$C28)</f>
        <v/>
      </c>
      <c r="EH28" s="149" t="str">
        <f>IF($B28=0,"",('MF Rollover'!EG28*($P28*(1+'Property Summary'!$L$22)^('MF Releasing'!EH$3-1)))*$C28)</f>
        <v/>
      </c>
      <c r="EI28" s="149" t="str">
        <f>IF($B28=0,"",('MF Rollover'!EH28*($P28*(1+'Property Summary'!$L$22)^('MF Releasing'!EI$3-1)))*$C28)</f>
        <v/>
      </c>
      <c r="EJ28" s="149" t="str">
        <f>IF($B28=0,"",('MF Rollover'!EI28*($P28*(1+'Property Summary'!$L$22)^('MF Releasing'!EJ$3-1)))*$C28)</f>
        <v/>
      </c>
      <c r="EK28" s="149" t="str">
        <f>IF($B28=0,"",('MF Rollover'!EJ28*($P28*(1+'Property Summary'!$L$22)^('MF Releasing'!EK$3-1)))*$C28)</f>
        <v/>
      </c>
      <c r="EL28" s="149" t="str">
        <f>IF($B28=0,"",('MF Rollover'!EK28*($P28*(1+'Property Summary'!$L$22)^('MF Releasing'!EL$3-1)))*$C28)</f>
        <v/>
      </c>
      <c r="EM28" s="149" t="str">
        <f>IF($B28=0,"",('MF Rollover'!EL28*($P28*(1+'Property Summary'!$L$22)^('MF Releasing'!EM$3-1)))*$C28)</f>
        <v/>
      </c>
      <c r="EN28" s="149" t="str">
        <f>IF($B28=0,"",('MF Rollover'!EM28*($P28*(1+'Property Summary'!$L$22)^('MF Releasing'!EN$3-1)))*$C28)</f>
        <v/>
      </c>
      <c r="EO28" s="149" t="str">
        <f>IF($B28=0,"",('MF Rollover'!EN28*($P28*(1+'Property Summary'!$L$22)^('MF Releasing'!EO$3-1)))*$C28)</f>
        <v/>
      </c>
      <c r="EP28" s="149" t="str">
        <f>IF($B28=0,"",('MF Rollover'!EO28*($P28*(1+'Property Summary'!$L$22)^('MF Releasing'!EP$3-1)))*$C28)</f>
        <v/>
      </c>
      <c r="EQ28" s="149" t="str">
        <f>IF($B28=0,"",('MF Rollover'!EP28*($P28*(1+'Property Summary'!$L$22)^('MF Releasing'!EQ$3-1)))*$C28)</f>
        <v/>
      </c>
      <c r="ER28" s="149" t="str">
        <f>IF($B28=0,"",('MF Rollover'!EQ28*($P28*(1+'Property Summary'!$L$22)^('MF Releasing'!ER$3-1)))*$C28)</f>
        <v/>
      </c>
      <c r="ES28" s="149" t="str">
        <f>IF($B28=0,"",('MF Rollover'!ER28*($P28*(1+'Property Summary'!$L$22)^('MF Releasing'!ES$3-1)))*$C28)</f>
        <v/>
      </c>
      <c r="ET28" s="149" t="str">
        <f>IF($B28=0,"",('MF Rollover'!ES28*($P28*(1+'Property Summary'!$L$22)^('MF Releasing'!ET$3-1)))*$C28)</f>
        <v/>
      </c>
      <c r="EU28" s="149" t="str">
        <f>IF($B28=0,"",('MF Rollover'!ET28*($P28*(1+'Property Summary'!$L$22)^('MF Releasing'!EU$3-1)))*$C28)</f>
        <v/>
      </c>
      <c r="EV28" s="149" t="str">
        <f>IF($B28=0,"",('MF Rollover'!EU28*($P28*(1+'Property Summary'!$L$22)^('MF Releasing'!EV$3-1)))*$C28)</f>
        <v/>
      </c>
      <c r="EW28" s="149" t="str">
        <f>IF($B28=0,"",('MF Rollover'!EV28*($P28*(1+'Property Summary'!$L$22)^('MF Releasing'!EW$3-1)))*$C28)</f>
        <v/>
      </c>
      <c r="EX28" s="149" t="str">
        <f>IF($B28=0,"",('MF Rollover'!EW28*($P28*(1+'Property Summary'!$L$22)^('MF Releasing'!EX$3-1)))*$C28)</f>
        <v/>
      </c>
      <c r="EY28" s="149" t="str">
        <f>IF($B28=0,"",('MF Rollover'!EX28*($P28*(1+'Property Summary'!$L$22)^('MF Releasing'!EY$3-1)))*$C28)</f>
        <v/>
      </c>
      <c r="EZ28" s="149" t="str">
        <f>IF($B28=0,"",('MF Rollover'!EY28*($P28*(1+'Property Summary'!$L$22)^('MF Releasing'!EZ$3-1)))*$C28)</f>
        <v/>
      </c>
      <c r="FA28" s="149" t="str">
        <f>IF($B28=0,"",('MF Rollover'!EZ28*($P28*(1+'Property Summary'!$L$22)^('MF Releasing'!FA$3-1)))*$C28)</f>
        <v/>
      </c>
      <c r="FB28" s="149" t="str">
        <f>IF($B28=0,"",('MF Rollover'!FA28*($P28*(1+'Property Summary'!$L$22)^('MF Releasing'!FB$3-1)))*$C28)</f>
        <v/>
      </c>
      <c r="FC28" s="149" t="str">
        <f>IF($B28=0,"",('MF Rollover'!FB28*($P28*(1+'Property Summary'!$L$22)^('MF Releasing'!FC$3-1)))*$C28)</f>
        <v/>
      </c>
      <c r="FD28" s="149" t="str">
        <f>IF($B28=0,"",('MF Rollover'!FC28*($P28*(1+'Property Summary'!$L$22)^('MF Releasing'!FD$3-1)))*$C28)</f>
        <v/>
      </c>
      <c r="FE28" s="149" t="str">
        <f>IF($B28=0,"",('MF Rollover'!FD28*($P28*(1+'Property Summary'!$L$22)^('MF Releasing'!FE$3-1)))*$C28)</f>
        <v/>
      </c>
      <c r="FF28" s="149" t="str">
        <f>IF($B28=0,"",('MF Rollover'!FE28*($P28*(1+'Property Summary'!$L$22)^('MF Releasing'!FF$3-1)))*$C28)</f>
        <v/>
      </c>
      <c r="FG28" s="149" t="str">
        <f>IF($B28=0,"",('MF Rollover'!FF28*($P28*(1+'Property Summary'!$L$22)^('MF Releasing'!FG$3-1)))*$C28)</f>
        <v/>
      </c>
      <c r="FH28" s="149" t="str">
        <f>IF($B28=0,"",('MF Rollover'!FG28*($P28*(1+'Property Summary'!$L$22)^('MF Releasing'!FH$3-1)))*$C28)</f>
        <v/>
      </c>
      <c r="FI28" s="149" t="str">
        <f>IF($B28=0,"",('MF Rollover'!FH28*($P28*(1+'Property Summary'!$L$22)^('MF Releasing'!FI$3-1)))*$C28)</f>
        <v/>
      </c>
      <c r="FJ28" s="149" t="str">
        <f>IF($B28=0,"",('MF Rollover'!FI28*($P28*(1+'Property Summary'!$L$22)^('MF Releasing'!FJ$3-1)))*$C28)</f>
        <v/>
      </c>
      <c r="FK28" s="149" t="str">
        <f>IF($B28=0,"",('MF Rollover'!FJ28*($P28*(1+'Property Summary'!$L$22)^('MF Releasing'!FK$3-1)))*$C28)</f>
        <v/>
      </c>
      <c r="FL28" s="149" t="str">
        <f>IF($B28=0,"",('MF Rollover'!FK28*($P28*(1+'Property Summary'!$L$22)^('MF Releasing'!FL$3-1)))*$C28)</f>
        <v/>
      </c>
      <c r="FM28" s="149" t="str">
        <f>IF($B28=0,"",('MF Rollover'!FL28*($P28*(1+'Property Summary'!$L$22)^('MF Releasing'!FM$3-1)))*$C28)</f>
        <v/>
      </c>
      <c r="FN28" s="149" t="str">
        <f>IF($B28=0,"",('MF Rollover'!FM28*($P28*(1+'Property Summary'!$L$22)^('MF Releasing'!FN$3-1)))*$C28)</f>
        <v/>
      </c>
      <c r="FO28" s="149" t="str">
        <f>IF($B28=0,"",('MF Rollover'!FN28*($P28*(1+'Property Summary'!$L$22)^('MF Releasing'!FO$3-1)))*$C28)</f>
        <v/>
      </c>
      <c r="FP28" s="149" t="str">
        <f>IF($B28=0,"",('MF Rollover'!FO28*($P28*(1+'Property Summary'!$L$22)^('MF Releasing'!FP$3-1)))*$C28)</f>
        <v/>
      </c>
      <c r="FQ28" s="149" t="str">
        <f>IF($B28=0,"",('MF Rollover'!FP28*($P28*(1+'Property Summary'!$L$22)^('MF Releasing'!FQ$3-1)))*$C28)</f>
        <v/>
      </c>
      <c r="FR28" s="149" t="str">
        <f>IF($B28=0,"",('MF Rollover'!FQ28*($P28*(1+'Property Summary'!$L$22)^('MF Releasing'!FR$3-1)))*$C28)</f>
        <v/>
      </c>
      <c r="FS28" s="149" t="str">
        <f>IF($B28=0,"",('MF Rollover'!FR28*($P28*(1+'Property Summary'!$L$22)^('MF Releasing'!FS$3-1)))*$C28)</f>
        <v/>
      </c>
      <c r="FT28" s="149" t="str">
        <f>IF($B28=0,"",('MF Rollover'!FS28*($P28*(1+'Property Summary'!$L$22)^('MF Releasing'!FT$3-1)))*$C28)</f>
        <v/>
      </c>
      <c r="FU28" s="149" t="str">
        <f>IF($B28=0,"",('MF Rollover'!FT28*($P28*(1+'Property Summary'!$L$22)^('MF Releasing'!FU$3-1)))*$C28)</f>
        <v/>
      </c>
      <c r="FV28" s="149" t="str">
        <f>IF($B28=0,"",('MF Rollover'!FU28*($P28*(1+'Property Summary'!$L$22)^('MF Releasing'!FV$3-1)))*$C28)</f>
        <v/>
      </c>
      <c r="FW28" s="149" t="str">
        <f>IF($B28=0,"",('MF Rollover'!FV28*($P28*(1+'Property Summary'!$L$22)^('MF Releasing'!FW$3-1)))*$C28)</f>
        <v/>
      </c>
      <c r="FX28" s="149" t="str">
        <f>IF($B28=0,"",('MF Rollover'!FW28*($P28*(1+'Property Summary'!$L$22)^('MF Releasing'!FX$3-1)))*$C28)</f>
        <v/>
      </c>
      <c r="FY28" s="149" t="str">
        <f>IF($B28=0,"",('MF Rollover'!FX28*($P28*(1+'Property Summary'!$L$22)^('MF Releasing'!FY$3-1)))*$C28)</f>
        <v/>
      </c>
      <c r="FZ28" s="149" t="str">
        <f>IF($B28=0,"",('MF Rollover'!FY28*($P28*(1+'Property Summary'!$L$22)^('MF Releasing'!FZ$3-1)))*$C28)</f>
        <v/>
      </c>
      <c r="GA28" s="149" t="str">
        <f>IF($B28=0,"",('MF Rollover'!FZ28*($P28*(1+'Property Summary'!$L$22)^('MF Releasing'!GA$3-1)))*$C28)</f>
        <v/>
      </c>
      <c r="GB28" s="149" t="str">
        <f>IF($B28=0,"",('MF Rollover'!GA28*($P28*(1+'Property Summary'!$L$22)^('MF Releasing'!GB$3-1)))*$C28)</f>
        <v/>
      </c>
      <c r="GC28" s="149" t="str">
        <f>IF($B28=0,"",('MF Rollover'!GB28*($P28*(1+'Property Summary'!$L$22)^('MF Releasing'!GC$3-1)))*$C28)</f>
        <v/>
      </c>
      <c r="GD28" s="149" t="str">
        <f>IF($B28=0,"",('MF Rollover'!GC28*($P28*(1+'Property Summary'!$L$22)^('MF Releasing'!GD$3-1)))*$C28)</f>
        <v/>
      </c>
      <c r="GE28" s="149" t="str">
        <f>IF($B28=0,"",('MF Rollover'!GD28*($P28*(1+'Property Summary'!$L$22)^('MF Releasing'!GE$3-1)))*$C28)</f>
        <v/>
      </c>
      <c r="GF28" s="149" t="str">
        <f>IF($B28=0,"",('MF Rollover'!GE28*($P28*(1+'Property Summary'!$L$22)^('MF Releasing'!GF$3-1)))*$C28)</f>
        <v/>
      </c>
      <c r="GG28" s="149" t="str">
        <f>IF($B28=0,"",('MF Rollover'!GF28*($P28*(1+'Property Summary'!$L$22)^('MF Releasing'!GG$3-1)))*$C28)</f>
        <v/>
      </c>
      <c r="GH28" s="149" t="str">
        <f>IF($B28=0,"",('MF Rollover'!GG28*($P28*(1+'Property Summary'!$L$22)^('MF Releasing'!GH$3-1)))*$C28)</f>
        <v/>
      </c>
      <c r="GI28" s="149" t="str">
        <f>IF($B28=0,"",('MF Rollover'!GH28*($P28*(1+'Property Summary'!$L$22)^('MF Releasing'!GI$3-1)))*$C28)</f>
        <v/>
      </c>
      <c r="GJ28" s="149" t="str">
        <f>IF($B28=0,"",('MF Rollover'!GI28*($P28*(1+'Property Summary'!$L$22)^('MF Releasing'!GJ$3-1)))*$C28)</f>
        <v/>
      </c>
      <c r="GK28" s="149" t="str">
        <f>IF($B28=0,"",('MF Rollover'!GJ28*($P28*(1+'Property Summary'!$L$22)^('MF Releasing'!GK$3-1)))*$C28)</f>
        <v/>
      </c>
      <c r="GL28" s="149" t="str">
        <f>IF($B28=0,"",('MF Rollover'!GK28*($P28*(1+'Property Summary'!$L$22)^('MF Releasing'!GL$3-1)))*$C28)</f>
        <v/>
      </c>
      <c r="GM28" s="149" t="str">
        <f>IF($B28=0,"",('MF Rollover'!GL28*($P28*(1+'Property Summary'!$L$22)^('MF Releasing'!GM$3-1)))*$C28)</f>
        <v/>
      </c>
      <c r="GN28" s="149" t="str">
        <f>IF($B28=0,"",('MF Rollover'!GM28*($P28*(1+'Property Summary'!$L$22)^('MF Releasing'!GN$3-1)))*$C28)</f>
        <v/>
      </c>
      <c r="GO28" s="149" t="str">
        <f>IF($B28=0,"",('MF Rollover'!GN28*($P28*(1+'Property Summary'!$L$22)^('MF Releasing'!GO$3-1)))*$C28)</f>
        <v/>
      </c>
      <c r="GP28" s="149" t="str">
        <f>IF($B28=0,"",('MF Rollover'!GO28*($P28*(1+'Property Summary'!$L$22)^('MF Releasing'!GP$3-1)))*$C28)</f>
        <v/>
      </c>
    </row>
    <row r="29" spans="2:198" x14ac:dyDescent="0.3">
      <c r="B29" s="184">
        <f>'MF Rent Roll'!B28</f>
        <v>0</v>
      </c>
      <c r="C29" s="171">
        <f>'MF Rent Roll'!C28</f>
        <v>0</v>
      </c>
      <c r="D29" s="172">
        <f>'MF Rent Roll'!D28</f>
        <v>0</v>
      </c>
      <c r="E29" s="172">
        <f>'MF Rent Roll'!E28</f>
        <v>0</v>
      </c>
      <c r="F29" s="173">
        <f>'MF Rent Roll'!F28</f>
        <v>0</v>
      </c>
      <c r="G29" s="174">
        <f>'MF Rent Roll'!G28</f>
        <v>0</v>
      </c>
      <c r="H29" s="176">
        <f>'MF Rent Roll'!J28</f>
        <v>0</v>
      </c>
      <c r="I29" s="174">
        <f>'MF Rent Roll'!K28</f>
        <v>0</v>
      </c>
      <c r="J29" s="177">
        <f>'MF Rent Roll'!L28</f>
        <v>0</v>
      </c>
      <c r="K29" s="178">
        <f>'MF Rent Roll'!M28</f>
        <v>0</v>
      </c>
      <c r="L29" s="174">
        <f>'MF Rent Roll'!N28</f>
        <v>0</v>
      </c>
      <c r="M29" s="179">
        <f>'MF Rent Roll'!O28</f>
        <v>0</v>
      </c>
      <c r="N29" s="180" t="str">
        <f>'MF Rent Roll'!P28</f>
        <v/>
      </c>
      <c r="O29" s="181" t="str">
        <f>'MF Rent Roll'!Q28</f>
        <v/>
      </c>
      <c r="P29" s="104" t="str">
        <f>'MF Rent Roll'!R28</f>
        <v/>
      </c>
      <c r="S29" s="149" t="str">
        <f>IF($B29=0,"",('MF Rollover'!R29*($P29*(1+'Property Summary'!$L$22)^('MF Releasing'!S$3-1)))*$C29)</f>
        <v/>
      </c>
      <c r="T29" s="149" t="str">
        <f>IF($B29=0,"",('MF Rollover'!S29*($P29*(1+'Property Summary'!$L$22)^('MF Releasing'!T$3-1)))*$C29)</f>
        <v/>
      </c>
      <c r="U29" s="149" t="str">
        <f>IF($B29=0,"",('MF Rollover'!T29*($P29*(1+'Property Summary'!$L$22)^('MF Releasing'!U$3-1)))*$C29)</f>
        <v/>
      </c>
      <c r="V29" s="149" t="str">
        <f>IF($B29=0,"",('MF Rollover'!U29*($P29*(1+'Property Summary'!$L$22)^('MF Releasing'!V$3-1)))*$C29)</f>
        <v/>
      </c>
      <c r="W29" s="149" t="str">
        <f>IF($B29=0,"",('MF Rollover'!V29*($P29*(1+'Property Summary'!$L$22)^('MF Releasing'!W$3-1)))*$C29)</f>
        <v/>
      </c>
      <c r="X29" s="149" t="str">
        <f>IF($B29=0,"",('MF Rollover'!W29*($P29*(1+'Property Summary'!$L$22)^('MF Releasing'!X$3-1)))*$C29)</f>
        <v/>
      </c>
      <c r="Y29" s="149" t="str">
        <f>IF($B29=0,"",('MF Rollover'!X29*($P29*(1+'Property Summary'!$L$22)^('MF Releasing'!Y$3-1)))*$C29)</f>
        <v/>
      </c>
      <c r="Z29" s="149" t="str">
        <f>IF($B29=0,"",('MF Rollover'!Y29*($P29*(1+'Property Summary'!$L$22)^('MF Releasing'!Z$3-1)))*$C29)</f>
        <v/>
      </c>
      <c r="AA29" s="149" t="str">
        <f>IF($B29=0,"",('MF Rollover'!Z29*($P29*(1+'Property Summary'!$L$22)^('MF Releasing'!AA$3-1)))*$C29)</f>
        <v/>
      </c>
      <c r="AB29" s="149" t="str">
        <f>IF($B29=0,"",('MF Rollover'!AA29*($P29*(1+'Property Summary'!$L$22)^('MF Releasing'!AB$3-1)))*$C29)</f>
        <v/>
      </c>
      <c r="AC29" s="149" t="str">
        <f>IF($B29=0,"",('MF Rollover'!AB29*($P29*(1+'Property Summary'!$L$22)^('MF Releasing'!AC$3-1)))*$C29)</f>
        <v/>
      </c>
      <c r="AD29" s="149" t="str">
        <f>IF($B29=0,"",('MF Rollover'!AC29*($P29*(1+'Property Summary'!$L$22)^('MF Releasing'!AD$3-1)))*$C29)</f>
        <v/>
      </c>
      <c r="AE29" s="149" t="str">
        <f>IF($B29=0,"",('MF Rollover'!AD29*($P29*(1+'Property Summary'!$L$22)^('MF Releasing'!AE$3-1)))*$C29)</f>
        <v/>
      </c>
      <c r="AF29" s="149" t="str">
        <f>IF($B29=0,"",('MF Rollover'!AE29*($P29*(1+'Property Summary'!$L$22)^('MF Releasing'!AF$3-1)))*$C29)</f>
        <v/>
      </c>
      <c r="AG29" s="149" t="str">
        <f>IF($B29=0,"",('MF Rollover'!AF29*($P29*(1+'Property Summary'!$L$22)^('MF Releasing'!AG$3-1)))*$C29)</f>
        <v/>
      </c>
      <c r="AH29" s="149" t="str">
        <f>IF($B29=0,"",('MF Rollover'!AG29*($P29*(1+'Property Summary'!$L$22)^('MF Releasing'!AH$3-1)))*$C29)</f>
        <v/>
      </c>
      <c r="AI29" s="149" t="str">
        <f>IF($B29=0,"",('MF Rollover'!AH29*($P29*(1+'Property Summary'!$L$22)^('MF Releasing'!AI$3-1)))*$C29)</f>
        <v/>
      </c>
      <c r="AJ29" s="149" t="str">
        <f>IF($B29=0,"",('MF Rollover'!AI29*($P29*(1+'Property Summary'!$L$22)^('MF Releasing'!AJ$3-1)))*$C29)</f>
        <v/>
      </c>
      <c r="AK29" s="149" t="str">
        <f>IF($B29=0,"",('MF Rollover'!AJ29*($P29*(1+'Property Summary'!$L$22)^('MF Releasing'!AK$3-1)))*$C29)</f>
        <v/>
      </c>
      <c r="AL29" s="149" t="str">
        <f>IF($B29=0,"",('MF Rollover'!AK29*($P29*(1+'Property Summary'!$L$22)^('MF Releasing'!AL$3-1)))*$C29)</f>
        <v/>
      </c>
      <c r="AM29" s="149" t="str">
        <f>IF($B29=0,"",('MF Rollover'!AL29*($P29*(1+'Property Summary'!$L$22)^('MF Releasing'!AM$3-1)))*$C29)</f>
        <v/>
      </c>
      <c r="AN29" s="149" t="str">
        <f>IF($B29=0,"",('MF Rollover'!AM29*($P29*(1+'Property Summary'!$L$22)^('MF Releasing'!AN$3-1)))*$C29)</f>
        <v/>
      </c>
      <c r="AO29" s="149" t="str">
        <f>IF($B29=0,"",('MF Rollover'!AN29*($P29*(1+'Property Summary'!$L$22)^('MF Releasing'!AO$3-1)))*$C29)</f>
        <v/>
      </c>
      <c r="AP29" s="149" t="str">
        <f>IF($B29=0,"",('MF Rollover'!AO29*($P29*(1+'Property Summary'!$L$22)^('MF Releasing'!AP$3-1)))*$C29)</f>
        <v/>
      </c>
      <c r="AQ29" s="149" t="str">
        <f>IF($B29=0,"",('MF Rollover'!AP29*($P29*(1+'Property Summary'!$L$22)^('MF Releasing'!AQ$3-1)))*$C29)</f>
        <v/>
      </c>
      <c r="AR29" s="149" t="str">
        <f>IF($B29=0,"",('MF Rollover'!AQ29*($P29*(1+'Property Summary'!$L$22)^('MF Releasing'!AR$3-1)))*$C29)</f>
        <v/>
      </c>
      <c r="AS29" s="149" t="str">
        <f>IF($B29=0,"",('MF Rollover'!AR29*($P29*(1+'Property Summary'!$L$22)^('MF Releasing'!AS$3-1)))*$C29)</f>
        <v/>
      </c>
      <c r="AT29" s="149" t="str">
        <f>IF($B29=0,"",('MF Rollover'!AS29*($P29*(1+'Property Summary'!$L$22)^('MF Releasing'!AT$3-1)))*$C29)</f>
        <v/>
      </c>
      <c r="AU29" s="149" t="str">
        <f>IF($B29=0,"",('MF Rollover'!AT29*($P29*(1+'Property Summary'!$L$22)^('MF Releasing'!AU$3-1)))*$C29)</f>
        <v/>
      </c>
      <c r="AV29" s="149" t="str">
        <f>IF($B29=0,"",('MF Rollover'!AU29*($P29*(1+'Property Summary'!$L$22)^('MF Releasing'!AV$3-1)))*$C29)</f>
        <v/>
      </c>
      <c r="AW29" s="149" t="str">
        <f>IF($B29=0,"",('MF Rollover'!AV29*($P29*(1+'Property Summary'!$L$22)^('MF Releasing'!AW$3-1)))*$C29)</f>
        <v/>
      </c>
      <c r="AX29" s="149" t="str">
        <f>IF($B29=0,"",('MF Rollover'!AW29*($P29*(1+'Property Summary'!$L$22)^('MF Releasing'!AX$3-1)))*$C29)</f>
        <v/>
      </c>
      <c r="AY29" s="149" t="str">
        <f>IF($B29=0,"",('MF Rollover'!AX29*($P29*(1+'Property Summary'!$L$22)^('MF Releasing'!AY$3-1)))*$C29)</f>
        <v/>
      </c>
      <c r="AZ29" s="149" t="str">
        <f>IF($B29=0,"",('MF Rollover'!AY29*($P29*(1+'Property Summary'!$L$22)^('MF Releasing'!AZ$3-1)))*$C29)</f>
        <v/>
      </c>
      <c r="BA29" s="149" t="str">
        <f>IF($B29=0,"",('MF Rollover'!AZ29*($P29*(1+'Property Summary'!$L$22)^('MF Releasing'!BA$3-1)))*$C29)</f>
        <v/>
      </c>
      <c r="BB29" s="149" t="str">
        <f>IF($B29=0,"",('MF Rollover'!BA29*($P29*(1+'Property Summary'!$L$22)^('MF Releasing'!BB$3-1)))*$C29)</f>
        <v/>
      </c>
      <c r="BC29" s="149" t="str">
        <f>IF($B29=0,"",('MF Rollover'!BB29*($P29*(1+'Property Summary'!$L$22)^('MF Releasing'!BC$3-1)))*$C29)</f>
        <v/>
      </c>
      <c r="BD29" s="149" t="str">
        <f>IF($B29=0,"",('MF Rollover'!BC29*($P29*(1+'Property Summary'!$L$22)^('MF Releasing'!BD$3-1)))*$C29)</f>
        <v/>
      </c>
      <c r="BE29" s="149" t="str">
        <f>IF($B29=0,"",('MF Rollover'!BD29*($P29*(1+'Property Summary'!$L$22)^('MF Releasing'!BE$3-1)))*$C29)</f>
        <v/>
      </c>
      <c r="BF29" s="149" t="str">
        <f>IF($B29=0,"",('MF Rollover'!BE29*($P29*(1+'Property Summary'!$L$22)^('MF Releasing'!BF$3-1)))*$C29)</f>
        <v/>
      </c>
      <c r="BG29" s="149" t="str">
        <f>IF($B29=0,"",('MF Rollover'!BF29*($P29*(1+'Property Summary'!$L$22)^('MF Releasing'!BG$3-1)))*$C29)</f>
        <v/>
      </c>
      <c r="BH29" s="149" t="str">
        <f>IF($B29=0,"",('MF Rollover'!BG29*($P29*(1+'Property Summary'!$L$22)^('MF Releasing'!BH$3-1)))*$C29)</f>
        <v/>
      </c>
      <c r="BI29" s="149" t="str">
        <f>IF($B29=0,"",('MF Rollover'!BH29*($P29*(1+'Property Summary'!$L$22)^('MF Releasing'!BI$3-1)))*$C29)</f>
        <v/>
      </c>
      <c r="BJ29" s="149" t="str">
        <f>IF($B29=0,"",('MF Rollover'!BI29*($P29*(1+'Property Summary'!$L$22)^('MF Releasing'!BJ$3-1)))*$C29)</f>
        <v/>
      </c>
      <c r="BK29" s="149" t="str">
        <f>IF($B29=0,"",('MF Rollover'!BJ29*($P29*(1+'Property Summary'!$L$22)^('MF Releasing'!BK$3-1)))*$C29)</f>
        <v/>
      </c>
      <c r="BL29" s="149" t="str">
        <f>IF($B29=0,"",('MF Rollover'!BK29*($P29*(1+'Property Summary'!$L$22)^('MF Releasing'!BL$3-1)))*$C29)</f>
        <v/>
      </c>
      <c r="BM29" s="149" t="str">
        <f>IF($B29=0,"",('MF Rollover'!BL29*($P29*(1+'Property Summary'!$L$22)^('MF Releasing'!BM$3-1)))*$C29)</f>
        <v/>
      </c>
      <c r="BN29" s="149" t="str">
        <f>IF($B29=0,"",('MF Rollover'!BM29*($P29*(1+'Property Summary'!$L$22)^('MF Releasing'!BN$3-1)))*$C29)</f>
        <v/>
      </c>
      <c r="BO29" s="149" t="str">
        <f>IF($B29=0,"",('MF Rollover'!BN29*($P29*(1+'Property Summary'!$L$22)^('MF Releasing'!BO$3-1)))*$C29)</f>
        <v/>
      </c>
      <c r="BP29" s="149" t="str">
        <f>IF($B29=0,"",('MF Rollover'!BO29*($P29*(1+'Property Summary'!$L$22)^('MF Releasing'!BP$3-1)))*$C29)</f>
        <v/>
      </c>
      <c r="BQ29" s="149" t="str">
        <f>IF($B29=0,"",('MF Rollover'!BP29*($P29*(1+'Property Summary'!$L$22)^('MF Releasing'!BQ$3-1)))*$C29)</f>
        <v/>
      </c>
      <c r="BR29" s="149" t="str">
        <f>IF($B29=0,"",('MF Rollover'!BQ29*($P29*(1+'Property Summary'!$L$22)^('MF Releasing'!BR$3-1)))*$C29)</f>
        <v/>
      </c>
      <c r="BS29" s="149" t="str">
        <f>IF($B29=0,"",('MF Rollover'!BR29*($P29*(1+'Property Summary'!$L$22)^('MF Releasing'!BS$3-1)))*$C29)</f>
        <v/>
      </c>
      <c r="BT29" s="149" t="str">
        <f>IF($B29=0,"",('MF Rollover'!BS29*($P29*(1+'Property Summary'!$L$22)^('MF Releasing'!BT$3-1)))*$C29)</f>
        <v/>
      </c>
      <c r="BU29" s="149" t="str">
        <f>IF($B29=0,"",('MF Rollover'!BT29*($P29*(1+'Property Summary'!$L$22)^('MF Releasing'!BU$3-1)))*$C29)</f>
        <v/>
      </c>
      <c r="BV29" s="149" t="str">
        <f>IF($B29=0,"",('MF Rollover'!BU29*($P29*(1+'Property Summary'!$L$22)^('MF Releasing'!BV$3-1)))*$C29)</f>
        <v/>
      </c>
      <c r="BW29" s="149" t="str">
        <f>IF($B29=0,"",('MF Rollover'!BV29*($P29*(1+'Property Summary'!$L$22)^('MF Releasing'!BW$3-1)))*$C29)</f>
        <v/>
      </c>
      <c r="BX29" s="149" t="str">
        <f>IF($B29=0,"",('MF Rollover'!BW29*($P29*(1+'Property Summary'!$L$22)^('MF Releasing'!BX$3-1)))*$C29)</f>
        <v/>
      </c>
      <c r="BY29" s="149" t="str">
        <f>IF($B29=0,"",('MF Rollover'!BX29*($P29*(1+'Property Summary'!$L$22)^('MF Releasing'!BY$3-1)))*$C29)</f>
        <v/>
      </c>
      <c r="BZ29" s="149" t="str">
        <f>IF($B29=0,"",('MF Rollover'!BY29*($P29*(1+'Property Summary'!$L$22)^('MF Releasing'!BZ$3-1)))*$C29)</f>
        <v/>
      </c>
      <c r="CA29" s="149" t="str">
        <f>IF($B29=0,"",('MF Rollover'!BZ29*($P29*(1+'Property Summary'!$L$22)^('MF Releasing'!CA$3-1)))*$C29)</f>
        <v/>
      </c>
      <c r="CB29" s="149" t="str">
        <f>IF($B29=0,"",('MF Rollover'!CA29*($P29*(1+'Property Summary'!$L$22)^('MF Releasing'!CB$3-1)))*$C29)</f>
        <v/>
      </c>
      <c r="CC29" s="149" t="str">
        <f>IF($B29=0,"",('MF Rollover'!CB29*($P29*(1+'Property Summary'!$L$22)^('MF Releasing'!CC$3-1)))*$C29)</f>
        <v/>
      </c>
      <c r="CD29" s="149" t="str">
        <f>IF($B29=0,"",('MF Rollover'!CC29*($P29*(1+'Property Summary'!$L$22)^('MF Releasing'!CD$3-1)))*$C29)</f>
        <v/>
      </c>
      <c r="CE29" s="149" t="str">
        <f>IF($B29=0,"",('MF Rollover'!CD29*($P29*(1+'Property Summary'!$L$22)^('MF Releasing'!CE$3-1)))*$C29)</f>
        <v/>
      </c>
      <c r="CF29" s="149" t="str">
        <f>IF($B29=0,"",('MF Rollover'!CE29*($P29*(1+'Property Summary'!$L$22)^('MF Releasing'!CF$3-1)))*$C29)</f>
        <v/>
      </c>
      <c r="CG29" s="149" t="str">
        <f>IF($B29=0,"",('MF Rollover'!CF29*($P29*(1+'Property Summary'!$L$22)^('MF Releasing'!CG$3-1)))*$C29)</f>
        <v/>
      </c>
      <c r="CH29" s="149" t="str">
        <f>IF($B29=0,"",('MF Rollover'!CG29*($P29*(1+'Property Summary'!$L$22)^('MF Releasing'!CH$3-1)))*$C29)</f>
        <v/>
      </c>
      <c r="CI29" s="149" t="str">
        <f>IF($B29=0,"",('MF Rollover'!CH29*($P29*(1+'Property Summary'!$L$22)^('MF Releasing'!CI$3-1)))*$C29)</f>
        <v/>
      </c>
      <c r="CJ29" s="149" t="str">
        <f>IF($B29=0,"",('MF Rollover'!CI29*($P29*(1+'Property Summary'!$L$22)^('MF Releasing'!CJ$3-1)))*$C29)</f>
        <v/>
      </c>
      <c r="CK29" s="149" t="str">
        <f>IF($B29=0,"",('MF Rollover'!CJ29*($P29*(1+'Property Summary'!$L$22)^('MF Releasing'!CK$3-1)))*$C29)</f>
        <v/>
      </c>
      <c r="CL29" s="149" t="str">
        <f>IF($B29=0,"",('MF Rollover'!CK29*($P29*(1+'Property Summary'!$L$22)^('MF Releasing'!CL$3-1)))*$C29)</f>
        <v/>
      </c>
      <c r="CM29" s="149" t="str">
        <f>IF($B29=0,"",('MF Rollover'!CL29*($P29*(1+'Property Summary'!$L$22)^('MF Releasing'!CM$3-1)))*$C29)</f>
        <v/>
      </c>
      <c r="CN29" s="149" t="str">
        <f>IF($B29=0,"",('MF Rollover'!CM29*($P29*(1+'Property Summary'!$L$22)^('MF Releasing'!CN$3-1)))*$C29)</f>
        <v/>
      </c>
      <c r="CO29" s="149" t="str">
        <f>IF($B29=0,"",('MF Rollover'!CN29*($P29*(1+'Property Summary'!$L$22)^('MF Releasing'!CO$3-1)))*$C29)</f>
        <v/>
      </c>
      <c r="CP29" s="149" t="str">
        <f>IF($B29=0,"",('MF Rollover'!CO29*($P29*(1+'Property Summary'!$L$22)^('MF Releasing'!CP$3-1)))*$C29)</f>
        <v/>
      </c>
      <c r="CQ29" s="149" t="str">
        <f>IF($B29=0,"",('MF Rollover'!CP29*($P29*(1+'Property Summary'!$L$22)^('MF Releasing'!CQ$3-1)))*$C29)</f>
        <v/>
      </c>
      <c r="CR29" s="149" t="str">
        <f>IF($B29=0,"",('MF Rollover'!CQ29*($P29*(1+'Property Summary'!$L$22)^('MF Releasing'!CR$3-1)))*$C29)</f>
        <v/>
      </c>
      <c r="CS29" s="149" t="str">
        <f>IF($B29=0,"",('MF Rollover'!CR29*($P29*(1+'Property Summary'!$L$22)^('MF Releasing'!CS$3-1)))*$C29)</f>
        <v/>
      </c>
      <c r="CT29" s="149" t="str">
        <f>IF($B29=0,"",('MF Rollover'!CS29*($P29*(1+'Property Summary'!$L$22)^('MF Releasing'!CT$3-1)))*$C29)</f>
        <v/>
      </c>
      <c r="CU29" s="149" t="str">
        <f>IF($B29=0,"",('MF Rollover'!CT29*($P29*(1+'Property Summary'!$L$22)^('MF Releasing'!CU$3-1)))*$C29)</f>
        <v/>
      </c>
      <c r="CV29" s="149" t="str">
        <f>IF($B29=0,"",('MF Rollover'!CU29*($P29*(1+'Property Summary'!$L$22)^('MF Releasing'!CV$3-1)))*$C29)</f>
        <v/>
      </c>
      <c r="CW29" s="149" t="str">
        <f>IF($B29=0,"",('MF Rollover'!CV29*($P29*(1+'Property Summary'!$L$22)^('MF Releasing'!CW$3-1)))*$C29)</f>
        <v/>
      </c>
      <c r="CX29" s="149" t="str">
        <f>IF($B29=0,"",('MF Rollover'!CW29*($P29*(1+'Property Summary'!$L$22)^('MF Releasing'!CX$3-1)))*$C29)</f>
        <v/>
      </c>
      <c r="CY29" s="149" t="str">
        <f>IF($B29=0,"",('MF Rollover'!CX29*($P29*(1+'Property Summary'!$L$22)^('MF Releasing'!CY$3-1)))*$C29)</f>
        <v/>
      </c>
      <c r="CZ29" s="149" t="str">
        <f>IF($B29=0,"",('MF Rollover'!CY29*($P29*(1+'Property Summary'!$L$22)^('MF Releasing'!CZ$3-1)))*$C29)</f>
        <v/>
      </c>
      <c r="DA29" s="149" t="str">
        <f>IF($B29=0,"",('MF Rollover'!CZ29*($P29*(1+'Property Summary'!$L$22)^('MF Releasing'!DA$3-1)))*$C29)</f>
        <v/>
      </c>
      <c r="DB29" s="149" t="str">
        <f>IF($B29=0,"",('MF Rollover'!DA29*($P29*(1+'Property Summary'!$L$22)^('MF Releasing'!DB$3-1)))*$C29)</f>
        <v/>
      </c>
      <c r="DC29" s="149" t="str">
        <f>IF($B29=0,"",('MF Rollover'!DB29*($P29*(1+'Property Summary'!$L$22)^('MF Releasing'!DC$3-1)))*$C29)</f>
        <v/>
      </c>
      <c r="DD29" s="149" t="str">
        <f>IF($B29=0,"",('MF Rollover'!DC29*($P29*(1+'Property Summary'!$L$22)^('MF Releasing'!DD$3-1)))*$C29)</f>
        <v/>
      </c>
      <c r="DE29" s="149" t="str">
        <f>IF($B29=0,"",('MF Rollover'!DD29*($P29*(1+'Property Summary'!$L$22)^('MF Releasing'!DE$3-1)))*$C29)</f>
        <v/>
      </c>
      <c r="DF29" s="149" t="str">
        <f>IF($B29=0,"",('MF Rollover'!DE29*($P29*(1+'Property Summary'!$L$22)^('MF Releasing'!DF$3-1)))*$C29)</f>
        <v/>
      </c>
      <c r="DG29" s="149" t="str">
        <f>IF($B29=0,"",('MF Rollover'!DF29*($P29*(1+'Property Summary'!$L$22)^('MF Releasing'!DG$3-1)))*$C29)</f>
        <v/>
      </c>
      <c r="DH29" s="149" t="str">
        <f>IF($B29=0,"",('MF Rollover'!DG29*($P29*(1+'Property Summary'!$L$22)^('MF Releasing'!DH$3-1)))*$C29)</f>
        <v/>
      </c>
      <c r="DI29" s="149" t="str">
        <f>IF($B29=0,"",('MF Rollover'!DH29*($P29*(1+'Property Summary'!$L$22)^('MF Releasing'!DI$3-1)))*$C29)</f>
        <v/>
      </c>
      <c r="DJ29" s="149" t="str">
        <f>IF($B29=0,"",('MF Rollover'!DI29*($P29*(1+'Property Summary'!$L$22)^('MF Releasing'!DJ$3-1)))*$C29)</f>
        <v/>
      </c>
      <c r="DK29" s="149" t="str">
        <f>IF($B29=0,"",('MF Rollover'!DJ29*($P29*(1+'Property Summary'!$L$22)^('MF Releasing'!DK$3-1)))*$C29)</f>
        <v/>
      </c>
      <c r="DL29" s="149" t="str">
        <f>IF($B29=0,"",('MF Rollover'!DK29*($P29*(1+'Property Summary'!$L$22)^('MF Releasing'!DL$3-1)))*$C29)</f>
        <v/>
      </c>
      <c r="DM29" s="149" t="str">
        <f>IF($B29=0,"",('MF Rollover'!DL29*($P29*(1+'Property Summary'!$L$22)^('MF Releasing'!DM$3-1)))*$C29)</f>
        <v/>
      </c>
      <c r="DN29" s="149" t="str">
        <f>IF($B29=0,"",('MF Rollover'!DM29*($P29*(1+'Property Summary'!$L$22)^('MF Releasing'!DN$3-1)))*$C29)</f>
        <v/>
      </c>
      <c r="DO29" s="149" t="str">
        <f>IF($B29=0,"",('MF Rollover'!DN29*($P29*(1+'Property Summary'!$L$22)^('MF Releasing'!DO$3-1)))*$C29)</f>
        <v/>
      </c>
      <c r="DP29" s="149" t="str">
        <f>IF($B29=0,"",('MF Rollover'!DO29*($P29*(1+'Property Summary'!$L$22)^('MF Releasing'!DP$3-1)))*$C29)</f>
        <v/>
      </c>
      <c r="DQ29" s="149" t="str">
        <f>IF($B29=0,"",('MF Rollover'!DP29*($P29*(1+'Property Summary'!$L$22)^('MF Releasing'!DQ$3-1)))*$C29)</f>
        <v/>
      </c>
      <c r="DR29" s="149" t="str">
        <f>IF($B29=0,"",('MF Rollover'!DQ29*($P29*(1+'Property Summary'!$L$22)^('MF Releasing'!DR$3-1)))*$C29)</f>
        <v/>
      </c>
      <c r="DS29" s="149" t="str">
        <f>IF($B29=0,"",('MF Rollover'!DR29*($P29*(1+'Property Summary'!$L$22)^('MF Releasing'!DS$3-1)))*$C29)</f>
        <v/>
      </c>
      <c r="DT29" s="149" t="str">
        <f>IF($B29=0,"",('MF Rollover'!DS29*($P29*(1+'Property Summary'!$L$22)^('MF Releasing'!DT$3-1)))*$C29)</f>
        <v/>
      </c>
      <c r="DU29" s="149" t="str">
        <f>IF($B29=0,"",('MF Rollover'!DT29*($P29*(1+'Property Summary'!$L$22)^('MF Releasing'!DU$3-1)))*$C29)</f>
        <v/>
      </c>
      <c r="DV29" s="149" t="str">
        <f>IF($B29=0,"",('MF Rollover'!DU29*($P29*(1+'Property Summary'!$L$22)^('MF Releasing'!DV$3-1)))*$C29)</f>
        <v/>
      </c>
      <c r="DW29" s="149" t="str">
        <f>IF($B29=0,"",('MF Rollover'!DV29*($P29*(1+'Property Summary'!$L$22)^('MF Releasing'!DW$3-1)))*$C29)</f>
        <v/>
      </c>
      <c r="DX29" s="149" t="str">
        <f>IF($B29=0,"",('MF Rollover'!DW29*($P29*(1+'Property Summary'!$L$22)^('MF Releasing'!DX$3-1)))*$C29)</f>
        <v/>
      </c>
      <c r="DY29" s="149" t="str">
        <f>IF($B29=0,"",('MF Rollover'!DX29*($P29*(1+'Property Summary'!$L$22)^('MF Releasing'!DY$3-1)))*$C29)</f>
        <v/>
      </c>
      <c r="DZ29" s="149" t="str">
        <f>IF($B29=0,"",('MF Rollover'!DY29*($P29*(1+'Property Summary'!$L$22)^('MF Releasing'!DZ$3-1)))*$C29)</f>
        <v/>
      </c>
      <c r="EA29" s="149" t="str">
        <f>IF($B29=0,"",('MF Rollover'!DZ29*($P29*(1+'Property Summary'!$L$22)^('MF Releasing'!EA$3-1)))*$C29)</f>
        <v/>
      </c>
      <c r="EB29" s="149" t="str">
        <f>IF($B29=0,"",('MF Rollover'!EA29*($P29*(1+'Property Summary'!$L$22)^('MF Releasing'!EB$3-1)))*$C29)</f>
        <v/>
      </c>
      <c r="EC29" s="149" t="str">
        <f>IF($B29=0,"",('MF Rollover'!EB29*($P29*(1+'Property Summary'!$L$22)^('MF Releasing'!EC$3-1)))*$C29)</f>
        <v/>
      </c>
      <c r="ED29" s="149" t="str">
        <f>IF($B29=0,"",('MF Rollover'!EC29*($P29*(1+'Property Summary'!$L$22)^('MF Releasing'!ED$3-1)))*$C29)</f>
        <v/>
      </c>
      <c r="EE29" s="149" t="str">
        <f>IF($B29=0,"",('MF Rollover'!ED29*($P29*(1+'Property Summary'!$L$22)^('MF Releasing'!EE$3-1)))*$C29)</f>
        <v/>
      </c>
      <c r="EF29" s="149" t="str">
        <f>IF($B29=0,"",('MF Rollover'!EE29*($P29*(1+'Property Summary'!$L$22)^('MF Releasing'!EF$3-1)))*$C29)</f>
        <v/>
      </c>
      <c r="EG29" s="149" t="str">
        <f>IF($B29=0,"",('MF Rollover'!EF29*($P29*(1+'Property Summary'!$L$22)^('MF Releasing'!EG$3-1)))*$C29)</f>
        <v/>
      </c>
      <c r="EH29" s="149" t="str">
        <f>IF($B29=0,"",('MF Rollover'!EG29*($P29*(1+'Property Summary'!$L$22)^('MF Releasing'!EH$3-1)))*$C29)</f>
        <v/>
      </c>
      <c r="EI29" s="149" t="str">
        <f>IF($B29=0,"",('MF Rollover'!EH29*($P29*(1+'Property Summary'!$L$22)^('MF Releasing'!EI$3-1)))*$C29)</f>
        <v/>
      </c>
      <c r="EJ29" s="149" t="str">
        <f>IF($B29=0,"",('MF Rollover'!EI29*($P29*(1+'Property Summary'!$L$22)^('MF Releasing'!EJ$3-1)))*$C29)</f>
        <v/>
      </c>
      <c r="EK29" s="149" t="str">
        <f>IF($B29=0,"",('MF Rollover'!EJ29*($P29*(1+'Property Summary'!$L$22)^('MF Releasing'!EK$3-1)))*$C29)</f>
        <v/>
      </c>
      <c r="EL29" s="149" t="str">
        <f>IF($B29=0,"",('MF Rollover'!EK29*($P29*(1+'Property Summary'!$L$22)^('MF Releasing'!EL$3-1)))*$C29)</f>
        <v/>
      </c>
      <c r="EM29" s="149" t="str">
        <f>IF($B29=0,"",('MF Rollover'!EL29*($P29*(1+'Property Summary'!$L$22)^('MF Releasing'!EM$3-1)))*$C29)</f>
        <v/>
      </c>
      <c r="EN29" s="149" t="str">
        <f>IF($B29=0,"",('MF Rollover'!EM29*($P29*(1+'Property Summary'!$L$22)^('MF Releasing'!EN$3-1)))*$C29)</f>
        <v/>
      </c>
      <c r="EO29" s="149" t="str">
        <f>IF($B29=0,"",('MF Rollover'!EN29*($P29*(1+'Property Summary'!$L$22)^('MF Releasing'!EO$3-1)))*$C29)</f>
        <v/>
      </c>
      <c r="EP29" s="149" t="str">
        <f>IF($B29=0,"",('MF Rollover'!EO29*($P29*(1+'Property Summary'!$L$22)^('MF Releasing'!EP$3-1)))*$C29)</f>
        <v/>
      </c>
      <c r="EQ29" s="149" t="str">
        <f>IF($B29=0,"",('MF Rollover'!EP29*($P29*(1+'Property Summary'!$L$22)^('MF Releasing'!EQ$3-1)))*$C29)</f>
        <v/>
      </c>
      <c r="ER29" s="149" t="str">
        <f>IF($B29=0,"",('MF Rollover'!EQ29*($P29*(1+'Property Summary'!$L$22)^('MF Releasing'!ER$3-1)))*$C29)</f>
        <v/>
      </c>
      <c r="ES29" s="149" t="str">
        <f>IF($B29=0,"",('MF Rollover'!ER29*($P29*(1+'Property Summary'!$L$22)^('MF Releasing'!ES$3-1)))*$C29)</f>
        <v/>
      </c>
      <c r="ET29" s="149" t="str">
        <f>IF($B29=0,"",('MF Rollover'!ES29*($P29*(1+'Property Summary'!$L$22)^('MF Releasing'!ET$3-1)))*$C29)</f>
        <v/>
      </c>
      <c r="EU29" s="149" t="str">
        <f>IF($B29=0,"",('MF Rollover'!ET29*($P29*(1+'Property Summary'!$L$22)^('MF Releasing'!EU$3-1)))*$C29)</f>
        <v/>
      </c>
      <c r="EV29" s="149" t="str">
        <f>IF($B29=0,"",('MF Rollover'!EU29*($P29*(1+'Property Summary'!$L$22)^('MF Releasing'!EV$3-1)))*$C29)</f>
        <v/>
      </c>
      <c r="EW29" s="149" t="str">
        <f>IF($B29=0,"",('MF Rollover'!EV29*($P29*(1+'Property Summary'!$L$22)^('MF Releasing'!EW$3-1)))*$C29)</f>
        <v/>
      </c>
      <c r="EX29" s="149" t="str">
        <f>IF($B29=0,"",('MF Rollover'!EW29*($P29*(1+'Property Summary'!$L$22)^('MF Releasing'!EX$3-1)))*$C29)</f>
        <v/>
      </c>
      <c r="EY29" s="149" t="str">
        <f>IF($B29=0,"",('MF Rollover'!EX29*($P29*(1+'Property Summary'!$L$22)^('MF Releasing'!EY$3-1)))*$C29)</f>
        <v/>
      </c>
      <c r="EZ29" s="149" t="str">
        <f>IF($B29=0,"",('MF Rollover'!EY29*($P29*(1+'Property Summary'!$L$22)^('MF Releasing'!EZ$3-1)))*$C29)</f>
        <v/>
      </c>
      <c r="FA29" s="149" t="str">
        <f>IF($B29=0,"",('MF Rollover'!EZ29*($P29*(1+'Property Summary'!$L$22)^('MF Releasing'!FA$3-1)))*$C29)</f>
        <v/>
      </c>
      <c r="FB29" s="149" t="str">
        <f>IF($B29=0,"",('MF Rollover'!FA29*($P29*(1+'Property Summary'!$L$22)^('MF Releasing'!FB$3-1)))*$C29)</f>
        <v/>
      </c>
      <c r="FC29" s="149" t="str">
        <f>IF($B29=0,"",('MF Rollover'!FB29*($P29*(1+'Property Summary'!$L$22)^('MF Releasing'!FC$3-1)))*$C29)</f>
        <v/>
      </c>
      <c r="FD29" s="149" t="str">
        <f>IF($B29=0,"",('MF Rollover'!FC29*($P29*(1+'Property Summary'!$L$22)^('MF Releasing'!FD$3-1)))*$C29)</f>
        <v/>
      </c>
      <c r="FE29" s="149" t="str">
        <f>IF($B29=0,"",('MF Rollover'!FD29*($P29*(1+'Property Summary'!$L$22)^('MF Releasing'!FE$3-1)))*$C29)</f>
        <v/>
      </c>
      <c r="FF29" s="149" t="str">
        <f>IF($B29=0,"",('MF Rollover'!FE29*($P29*(1+'Property Summary'!$L$22)^('MF Releasing'!FF$3-1)))*$C29)</f>
        <v/>
      </c>
      <c r="FG29" s="149" t="str">
        <f>IF($B29=0,"",('MF Rollover'!FF29*($P29*(1+'Property Summary'!$L$22)^('MF Releasing'!FG$3-1)))*$C29)</f>
        <v/>
      </c>
      <c r="FH29" s="149" t="str">
        <f>IF($B29=0,"",('MF Rollover'!FG29*($P29*(1+'Property Summary'!$L$22)^('MF Releasing'!FH$3-1)))*$C29)</f>
        <v/>
      </c>
      <c r="FI29" s="149" t="str">
        <f>IF($B29=0,"",('MF Rollover'!FH29*($P29*(1+'Property Summary'!$L$22)^('MF Releasing'!FI$3-1)))*$C29)</f>
        <v/>
      </c>
      <c r="FJ29" s="149" t="str">
        <f>IF($B29=0,"",('MF Rollover'!FI29*($P29*(1+'Property Summary'!$L$22)^('MF Releasing'!FJ$3-1)))*$C29)</f>
        <v/>
      </c>
      <c r="FK29" s="149" t="str">
        <f>IF($B29=0,"",('MF Rollover'!FJ29*($P29*(1+'Property Summary'!$L$22)^('MF Releasing'!FK$3-1)))*$C29)</f>
        <v/>
      </c>
      <c r="FL29" s="149" t="str">
        <f>IF($B29=0,"",('MF Rollover'!FK29*($P29*(1+'Property Summary'!$L$22)^('MF Releasing'!FL$3-1)))*$C29)</f>
        <v/>
      </c>
      <c r="FM29" s="149" t="str">
        <f>IF($B29=0,"",('MF Rollover'!FL29*($P29*(1+'Property Summary'!$L$22)^('MF Releasing'!FM$3-1)))*$C29)</f>
        <v/>
      </c>
      <c r="FN29" s="149" t="str">
        <f>IF($B29=0,"",('MF Rollover'!FM29*($P29*(1+'Property Summary'!$L$22)^('MF Releasing'!FN$3-1)))*$C29)</f>
        <v/>
      </c>
      <c r="FO29" s="149" t="str">
        <f>IF($B29=0,"",('MF Rollover'!FN29*($P29*(1+'Property Summary'!$L$22)^('MF Releasing'!FO$3-1)))*$C29)</f>
        <v/>
      </c>
      <c r="FP29" s="149" t="str">
        <f>IF($B29=0,"",('MF Rollover'!FO29*($P29*(1+'Property Summary'!$L$22)^('MF Releasing'!FP$3-1)))*$C29)</f>
        <v/>
      </c>
      <c r="FQ29" s="149" t="str">
        <f>IF($B29=0,"",('MF Rollover'!FP29*($P29*(1+'Property Summary'!$L$22)^('MF Releasing'!FQ$3-1)))*$C29)</f>
        <v/>
      </c>
      <c r="FR29" s="149" t="str">
        <f>IF($B29=0,"",('MF Rollover'!FQ29*($P29*(1+'Property Summary'!$L$22)^('MF Releasing'!FR$3-1)))*$C29)</f>
        <v/>
      </c>
      <c r="FS29" s="149" t="str">
        <f>IF($B29=0,"",('MF Rollover'!FR29*($P29*(1+'Property Summary'!$L$22)^('MF Releasing'!FS$3-1)))*$C29)</f>
        <v/>
      </c>
      <c r="FT29" s="149" t="str">
        <f>IF($B29=0,"",('MF Rollover'!FS29*($P29*(1+'Property Summary'!$L$22)^('MF Releasing'!FT$3-1)))*$C29)</f>
        <v/>
      </c>
      <c r="FU29" s="149" t="str">
        <f>IF($B29=0,"",('MF Rollover'!FT29*($P29*(1+'Property Summary'!$L$22)^('MF Releasing'!FU$3-1)))*$C29)</f>
        <v/>
      </c>
      <c r="FV29" s="149" t="str">
        <f>IF($B29=0,"",('MF Rollover'!FU29*($P29*(1+'Property Summary'!$L$22)^('MF Releasing'!FV$3-1)))*$C29)</f>
        <v/>
      </c>
      <c r="FW29" s="149" t="str">
        <f>IF($B29=0,"",('MF Rollover'!FV29*($P29*(1+'Property Summary'!$L$22)^('MF Releasing'!FW$3-1)))*$C29)</f>
        <v/>
      </c>
      <c r="FX29" s="149" t="str">
        <f>IF($B29=0,"",('MF Rollover'!FW29*($P29*(1+'Property Summary'!$L$22)^('MF Releasing'!FX$3-1)))*$C29)</f>
        <v/>
      </c>
      <c r="FY29" s="149" t="str">
        <f>IF($B29=0,"",('MF Rollover'!FX29*($P29*(1+'Property Summary'!$L$22)^('MF Releasing'!FY$3-1)))*$C29)</f>
        <v/>
      </c>
      <c r="FZ29" s="149" t="str">
        <f>IF($B29=0,"",('MF Rollover'!FY29*($P29*(1+'Property Summary'!$L$22)^('MF Releasing'!FZ$3-1)))*$C29)</f>
        <v/>
      </c>
      <c r="GA29" s="149" t="str">
        <f>IF($B29=0,"",('MF Rollover'!FZ29*($P29*(1+'Property Summary'!$L$22)^('MF Releasing'!GA$3-1)))*$C29)</f>
        <v/>
      </c>
      <c r="GB29" s="149" t="str">
        <f>IF($B29=0,"",('MF Rollover'!GA29*($P29*(1+'Property Summary'!$L$22)^('MF Releasing'!GB$3-1)))*$C29)</f>
        <v/>
      </c>
      <c r="GC29" s="149" t="str">
        <f>IF($B29=0,"",('MF Rollover'!GB29*($P29*(1+'Property Summary'!$L$22)^('MF Releasing'!GC$3-1)))*$C29)</f>
        <v/>
      </c>
      <c r="GD29" s="149" t="str">
        <f>IF($B29=0,"",('MF Rollover'!GC29*($P29*(1+'Property Summary'!$L$22)^('MF Releasing'!GD$3-1)))*$C29)</f>
        <v/>
      </c>
      <c r="GE29" s="149" t="str">
        <f>IF($B29=0,"",('MF Rollover'!GD29*($P29*(1+'Property Summary'!$L$22)^('MF Releasing'!GE$3-1)))*$C29)</f>
        <v/>
      </c>
      <c r="GF29" s="149" t="str">
        <f>IF($B29=0,"",('MF Rollover'!GE29*($P29*(1+'Property Summary'!$L$22)^('MF Releasing'!GF$3-1)))*$C29)</f>
        <v/>
      </c>
      <c r="GG29" s="149" t="str">
        <f>IF($B29=0,"",('MF Rollover'!GF29*($P29*(1+'Property Summary'!$L$22)^('MF Releasing'!GG$3-1)))*$C29)</f>
        <v/>
      </c>
      <c r="GH29" s="149" t="str">
        <f>IF($B29=0,"",('MF Rollover'!GG29*($P29*(1+'Property Summary'!$L$22)^('MF Releasing'!GH$3-1)))*$C29)</f>
        <v/>
      </c>
      <c r="GI29" s="149" t="str">
        <f>IF($B29=0,"",('MF Rollover'!GH29*($P29*(1+'Property Summary'!$L$22)^('MF Releasing'!GI$3-1)))*$C29)</f>
        <v/>
      </c>
      <c r="GJ29" s="149" t="str">
        <f>IF($B29=0,"",('MF Rollover'!GI29*($P29*(1+'Property Summary'!$L$22)^('MF Releasing'!GJ$3-1)))*$C29)</f>
        <v/>
      </c>
      <c r="GK29" s="149" t="str">
        <f>IF($B29=0,"",('MF Rollover'!GJ29*($P29*(1+'Property Summary'!$L$22)^('MF Releasing'!GK$3-1)))*$C29)</f>
        <v/>
      </c>
      <c r="GL29" s="149" t="str">
        <f>IF($B29=0,"",('MF Rollover'!GK29*($P29*(1+'Property Summary'!$L$22)^('MF Releasing'!GL$3-1)))*$C29)</f>
        <v/>
      </c>
      <c r="GM29" s="149" t="str">
        <f>IF($B29=0,"",('MF Rollover'!GL29*($P29*(1+'Property Summary'!$L$22)^('MF Releasing'!GM$3-1)))*$C29)</f>
        <v/>
      </c>
      <c r="GN29" s="149" t="str">
        <f>IF($B29=0,"",('MF Rollover'!GM29*($P29*(1+'Property Summary'!$L$22)^('MF Releasing'!GN$3-1)))*$C29)</f>
        <v/>
      </c>
      <c r="GO29" s="149" t="str">
        <f>IF($B29=0,"",('MF Rollover'!GN29*($P29*(1+'Property Summary'!$L$22)^('MF Releasing'!GO$3-1)))*$C29)</f>
        <v/>
      </c>
      <c r="GP29" s="149" t="str">
        <f>IF($B29=0,"",('MF Rollover'!GO29*($P29*(1+'Property Summary'!$L$22)^('MF Releasing'!GP$3-1)))*$C29)</f>
        <v/>
      </c>
    </row>
    <row r="30" spans="2:198" x14ac:dyDescent="0.3">
      <c r="B30" s="184">
        <f>'MF Rent Roll'!B29</f>
        <v>0</v>
      </c>
      <c r="C30" s="171">
        <f>'MF Rent Roll'!C29</f>
        <v>0</v>
      </c>
      <c r="D30" s="172">
        <f>'MF Rent Roll'!D29</f>
        <v>0</v>
      </c>
      <c r="E30" s="172">
        <f>'MF Rent Roll'!E29</f>
        <v>0</v>
      </c>
      <c r="F30" s="173">
        <f>'MF Rent Roll'!F29</f>
        <v>0</v>
      </c>
      <c r="G30" s="174">
        <f>'MF Rent Roll'!G29</f>
        <v>0</v>
      </c>
      <c r="H30" s="176">
        <f>'MF Rent Roll'!J29</f>
        <v>0</v>
      </c>
      <c r="I30" s="174">
        <f>'MF Rent Roll'!K29</f>
        <v>0</v>
      </c>
      <c r="J30" s="177">
        <f>'MF Rent Roll'!L29</f>
        <v>0</v>
      </c>
      <c r="K30" s="178">
        <f>'MF Rent Roll'!M29</f>
        <v>0</v>
      </c>
      <c r="L30" s="174">
        <f>'MF Rent Roll'!N29</f>
        <v>0</v>
      </c>
      <c r="M30" s="179">
        <f>'MF Rent Roll'!O29</f>
        <v>0</v>
      </c>
      <c r="N30" s="180" t="str">
        <f>'MF Rent Roll'!P29</f>
        <v/>
      </c>
      <c r="O30" s="181" t="str">
        <f>'MF Rent Roll'!Q29</f>
        <v/>
      </c>
      <c r="P30" s="104" t="str">
        <f>'MF Rent Roll'!R29</f>
        <v/>
      </c>
      <c r="S30" s="149" t="str">
        <f>IF($B30=0,"",('MF Rollover'!R30*($P30*(1+'Property Summary'!$L$22)^('MF Releasing'!S$3-1)))*$C30)</f>
        <v/>
      </c>
      <c r="T30" s="149" t="str">
        <f>IF($B30=0,"",('MF Rollover'!S30*($P30*(1+'Property Summary'!$L$22)^('MF Releasing'!T$3-1)))*$C30)</f>
        <v/>
      </c>
      <c r="U30" s="149" t="str">
        <f>IF($B30=0,"",('MF Rollover'!T30*($P30*(1+'Property Summary'!$L$22)^('MF Releasing'!U$3-1)))*$C30)</f>
        <v/>
      </c>
      <c r="V30" s="149" t="str">
        <f>IF($B30=0,"",('MF Rollover'!U30*($P30*(1+'Property Summary'!$L$22)^('MF Releasing'!V$3-1)))*$C30)</f>
        <v/>
      </c>
      <c r="W30" s="149" t="str">
        <f>IF($B30=0,"",('MF Rollover'!V30*($P30*(1+'Property Summary'!$L$22)^('MF Releasing'!W$3-1)))*$C30)</f>
        <v/>
      </c>
      <c r="X30" s="149" t="str">
        <f>IF($B30=0,"",('MF Rollover'!W30*($P30*(1+'Property Summary'!$L$22)^('MF Releasing'!X$3-1)))*$C30)</f>
        <v/>
      </c>
      <c r="Y30" s="149" t="str">
        <f>IF($B30=0,"",('MF Rollover'!X30*($P30*(1+'Property Summary'!$L$22)^('MF Releasing'!Y$3-1)))*$C30)</f>
        <v/>
      </c>
      <c r="Z30" s="149" t="str">
        <f>IF($B30=0,"",('MF Rollover'!Y30*($P30*(1+'Property Summary'!$L$22)^('MF Releasing'!Z$3-1)))*$C30)</f>
        <v/>
      </c>
      <c r="AA30" s="149" t="str">
        <f>IF($B30=0,"",('MF Rollover'!Z30*($P30*(1+'Property Summary'!$L$22)^('MF Releasing'!AA$3-1)))*$C30)</f>
        <v/>
      </c>
      <c r="AB30" s="149" t="str">
        <f>IF($B30=0,"",('MF Rollover'!AA30*($P30*(1+'Property Summary'!$L$22)^('MF Releasing'!AB$3-1)))*$C30)</f>
        <v/>
      </c>
      <c r="AC30" s="149" t="str">
        <f>IF($B30=0,"",('MF Rollover'!AB30*($P30*(1+'Property Summary'!$L$22)^('MF Releasing'!AC$3-1)))*$C30)</f>
        <v/>
      </c>
      <c r="AD30" s="149" t="str">
        <f>IF($B30=0,"",('MF Rollover'!AC30*($P30*(1+'Property Summary'!$L$22)^('MF Releasing'!AD$3-1)))*$C30)</f>
        <v/>
      </c>
      <c r="AE30" s="149" t="str">
        <f>IF($B30=0,"",('MF Rollover'!AD30*($P30*(1+'Property Summary'!$L$22)^('MF Releasing'!AE$3-1)))*$C30)</f>
        <v/>
      </c>
      <c r="AF30" s="149" t="str">
        <f>IF($B30=0,"",('MF Rollover'!AE30*($P30*(1+'Property Summary'!$L$22)^('MF Releasing'!AF$3-1)))*$C30)</f>
        <v/>
      </c>
      <c r="AG30" s="149" t="str">
        <f>IF($B30=0,"",('MF Rollover'!AF30*($P30*(1+'Property Summary'!$L$22)^('MF Releasing'!AG$3-1)))*$C30)</f>
        <v/>
      </c>
      <c r="AH30" s="149" t="str">
        <f>IF($B30=0,"",('MF Rollover'!AG30*($P30*(1+'Property Summary'!$L$22)^('MF Releasing'!AH$3-1)))*$C30)</f>
        <v/>
      </c>
      <c r="AI30" s="149" t="str">
        <f>IF($B30=0,"",('MF Rollover'!AH30*($P30*(1+'Property Summary'!$L$22)^('MF Releasing'!AI$3-1)))*$C30)</f>
        <v/>
      </c>
      <c r="AJ30" s="149" t="str">
        <f>IF($B30=0,"",('MF Rollover'!AI30*($P30*(1+'Property Summary'!$L$22)^('MF Releasing'!AJ$3-1)))*$C30)</f>
        <v/>
      </c>
      <c r="AK30" s="149" t="str">
        <f>IF($B30=0,"",('MF Rollover'!AJ30*($P30*(1+'Property Summary'!$L$22)^('MF Releasing'!AK$3-1)))*$C30)</f>
        <v/>
      </c>
      <c r="AL30" s="149" t="str">
        <f>IF($B30=0,"",('MF Rollover'!AK30*($P30*(1+'Property Summary'!$L$22)^('MF Releasing'!AL$3-1)))*$C30)</f>
        <v/>
      </c>
      <c r="AM30" s="149" t="str">
        <f>IF($B30=0,"",('MF Rollover'!AL30*($P30*(1+'Property Summary'!$L$22)^('MF Releasing'!AM$3-1)))*$C30)</f>
        <v/>
      </c>
      <c r="AN30" s="149" t="str">
        <f>IF($B30=0,"",('MF Rollover'!AM30*($P30*(1+'Property Summary'!$L$22)^('MF Releasing'!AN$3-1)))*$C30)</f>
        <v/>
      </c>
      <c r="AO30" s="149" t="str">
        <f>IF($B30=0,"",('MF Rollover'!AN30*($P30*(1+'Property Summary'!$L$22)^('MF Releasing'!AO$3-1)))*$C30)</f>
        <v/>
      </c>
      <c r="AP30" s="149" t="str">
        <f>IF($B30=0,"",('MF Rollover'!AO30*($P30*(1+'Property Summary'!$L$22)^('MF Releasing'!AP$3-1)))*$C30)</f>
        <v/>
      </c>
      <c r="AQ30" s="149" t="str">
        <f>IF($B30=0,"",('MF Rollover'!AP30*($P30*(1+'Property Summary'!$L$22)^('MF Releasing'!AQ$3-1)))*$C30)</f>
        <v/>
      </c>
      <c r="AR30" s="149" t="str">
        <f>IF($B30=0,"",('MF Rollover'!AQ30*($P30*(1+'Property Summary'!$L$22)^('MF Releasing'!AR$3-1)))*$C30)</f>
        <v/>
      </c>
      <c r="AS30" s="149" t="str">
        <f>IF($B30=0,"",('MF Rollover'!AR30*($P30*(1+'Property Summary'!$L$22)^('MF Releasing'!AS$3-1)))*$C30)</f>
        <v/>
      </c>
      <c r="AT30" s="149" t="str">
        <f>IF($B30=0,"",('MF Rollover'!AS30*($P30*(1+'Property Summary'!$L$22)^('MF Releasing'!AT$3-1)))*$C30)</f>
        <v/>
      </c>
      <c r="AU30" s="149" t="str">
        <f>IF($B30=0,"",('MF Rollover'!AT30*($P30*(1+'Property Summary'!$L$22)^('MF Releasing'!AU$3-1)))*$C30)</f>
        <v/>
      </c>
      <c r="AV30" s="149" t="str">
        <f>IF($B30=0,"",('MF Rollover'!AU30*($P30*(1+'Property Summary'!$L$22)^('MF Releasing'!AV$3-1)))*$C30)</f>
        <v/>
      </c>
      <c r="AW30" s="149" t="str">
        <f>IF($B30=0,"",('MF Rollover'!AV30*($P30*(1+'Property Summary'!$L$22)^('MF Releasing'!AW$3-1)))*$C30)</f>
        <v/>
      </c>
      <c r="AX30" s="149" t="str">
        <f>IF($B30=0,"",('MF Rollover'!AW30*($P30*(1+'Property Summary'!$L$22)^('MF Releasing'!AX$3-1)))*$C30)</f>
        <v/>
      </c>
      <c r="AY30" s="149" t="str">
        <f>IF($B30=0,"",('MF Rollover'!AX30*($P30*(1+'Property Summary'!$L$22)^('MF Releasing'!AY$3-1)))*$C30)</f>
        <v/>
      </c>
      <c r="AZ30" s="149" t="str">
        <f>IF($B30=0,"",('MF Rollover'!AY30*($P30*(1+'Property Summary'!$L$22)^('MF Releasing'!AZ$3-1)))*$C30)</f>
        <v/>
      </c>
      <c r="BA30" s="149" t="str">
        <f>IF($B30=0,"",('MF Rollover'!AZ30*($P30*(1+'Property Summary'!$L$22)^('MF Releasing'!BA$3-1)))*$C30)</f>
        <v/>
      </c>
      <c r="BB30" s="149" t="str">
        <f>IF($B30=0,"",('MF Rollover'!BA30*($P30*(1+'Property Summary'!$L$22)^('MF Releasing'!BB$3-1)))*$C30)</f>
        <v/>
      </c>
      <c r="BC30" s="149" t="str">
        <f>IF($B30=0,"",('MF Rollover'!BB30*($P30*(1+'Property Summary'!$L$22)^('MF Releasing'!BC$3-1)))*$C30)</f>
        <v/>
      </c>
      <c r="BD30" s="149" t="str">
        <f>IF($B30=0,"",('MF Rollover'!BC30*($P30*(1+'Property Summary'!$L$22)^('MF Releasing'!BD$3-1)))*$C30)</f>
        <v/>
      </c>
      <c r="BE30" s="149" t="str">
        <f>IF($B30=0,"",('MF Rollover'!BD30*($P30*(1+'Property Summary'!$L$22)^('MF Releasing'!BE$3-1)))*$C30)</f>
        <v/>
      </c>
      <c r="BF30" s="149" t="str">
        <f>IF($B30=0,"",('MF Rollover'!BE30*($P30*(1+'Property Summary'!$L$22)^('MF Releasing'!BF$3-1)))*$C30)</f>
        <v/>
      </c>
      <c r="BG30" s="149" t="str">
        <f>IF($B30=0,"",('MF Rollover'!BF30*($P30*(1+'Property Summary'!$L$22)^('MF Releasing'!BG$3-1)))*$C30)</f>
        <v/>
      </c>
      <c r="BH30" s="149" t="str">
        <f>IF($B30=0,"",('MF Rollover'!BG30*($P30*(1+'Property Summary'!$L$22)^('MF Releasing'!BH$3-1)))*$C30)</f>
        <v/>
      </c>
      <c r="BI30" s="149" t="str">
        <f>IF($B30=0,"",('MF Rollover'!BH30*($P30*(1+'Property Summary'!$L$22)^('MF Releasing'!BI$3-1)))*$C30)</f>
        <v/>
      </c>
      <c r="BJ30" s="149" t="str">
        <f>IF($B30=0,"",('MF Rollover'!BI30*($P30*(1+'Property Summary'!$L$22)^('MF Releasing'!BJ$3-1)))*$C30)</f>
        <v/>
      </c>
      <c r="BK30" s="149" t="str">
        <f>IF($B30=0,"",('MF Rollover'!BJ30*($P30*(1+'Property Summary'!$L$22)^('MF Releasing'!BK$3-1)))*$C30)</f>
        <v/>
      </c>
      <c r="BL30" s="149" t="str">
        <f>IF($B30=0,"",('MF Rollover'!BK30*($P30*(1+'Property Summary'!$L$22)^('MF Releasing'!BL$3-1)))*$C30)</f>
        <v/>
      </c>
      <c r="BM30" s="149" t="str">
        <f>IF($B30=0,"",('MF Rollover'!BL30*($P30*(1+'Property Summary'!$L$22)^('MF Releasing'!BM$3-1)))*$C30)</f>
        <v/>
      </c>
      <c r="BN30" s="149" t="str">
        <f>IF($B30=0,"",('MF Rollover'!BM30*($P30*(1+'Property Summary'!$L$22)^('MF Releasing'!BN$3-1)))*$C30)</f>
        <v/>
      </c>
      <c r="BO30" s="149" t="str">
        <f>IF($B30=0,"",('MF Rollover'!BN30*($P30*(1+'Property Summary'!$L$22)^('MF Releasing'!BO$3-1)))*$C30)</f>
        <v/>
      </c>
      <c r="BP30" s="149" t="str">
        <f>IF($B30=0,"",('MF Rollover'!BO30*($P30*(1+'Property Summary'!$L$22)^('MF Releasing'!BP$3-1)))*$C30)</f>
        <v/>
      </c>
      <c r="BQ30" s="149" t="str">
        <f>IF($B30=0,"",('MF Rollover'!BP30*($P30*(1+'Property Summary'!$L$22)^('MF Releasing'!BQ$3-1)))*$C30)</f>
        <v/>
      </c>
      <c r="BR30" s="149" t="str">
        <f>IF($B30=0,"",('MF Rollover'!BQ30*($P30*(1+'Property Summary'!$L$22)^('MF Releasing'!BR$3-1)))*$C30)</f>
        <v/>
      </c>
      <c r="BS30" s="149" t="str">
        <f>IF($B30=0,"",('MF Rollover'!BR30*($P30*(1+'Property Summary'!$L$22)^('MF Releasing'!BS$3-1)))*$C30)</f>
        <v/>
      </c>
      <c r="BT30" s="149" t="str">
        <f>IF($B30=0,"",('MF Rollover'!BS30*($P30*(1+'Property Summary'!$L$22)^('MF Releasing'!BT$3-1)))*$C30)</f>
        <v/>
      </c>
      <c r="BU30" s="149" t="str">
        <f>IF($B30=0,"",('MF Rollover'!BT30*($P30*(1+'Property Summary'!$L$22)^('MF Releasing'!BU$3-1)))*$C30)</f>
        <v/>
      </c>
      <c r="BV30" s="149" t="str">
        <f>IF($B30=0,"",('MF Rollover'!BU30*($P30*(1+'Property Summary'!$L$22)^('MF Releasing'!BV$3-1)))*$C30)</f>
        <v/>
      </c>
      <c r="BW30" s="149" t="str">
        <f>IF($B30=0,"",('MF Rollover'!BV30*($P30*(1+'Property Summary'!$L$22)^('MF Releasing'!BW$3-1)))*$C30)</f>
        <v/>
      </c>
      <c r="BX30" s="149" t="str">
        <f>IF($B30=0,"",('MF Rollover'!BW30*($P30*(1+'Property Summary'!$L$22)^('MF Releasing'!BX$3-1)))*$C30)</f>
        <v/>
      </c>
      <c r="BY30" s="149" t="str">
        <f>IF($B30=0,"",('MF Rollover'!BX30*($P30*(1+'Property Summary'!$L$22)^('MF Releasing'!BY$3-1)))*$C30)</f>
        <v/>
      </c>
      <c r="BZ30" s="149" t="str">
        <f>IF($B30=0,"",('MF Rollover'!BY30*($P30*(1+'Property Summary'!$L$22)^('MF Releasing'!BZ$3-1)))*$C30)</f>
        <v/>
      </c>
      <c r="CA30" s="149" t="str">
        <f>IF($B30=0,"",('MF Rollover'!BZ30*($P30*(1+'Property Summary'!$L$22)^('MF Releasing'!CA$3-1)))*$C30)</f>
        <v/>
      </c>
      <c r="CB30" s="149" t="str">
        <f>IF($B30=0,"",('MF Rollover'!CA30*($P30*(1+'Property Summary'!$L$22)^('MF Releasing'!CB$3-1)))*$C30)</f>
        <v/>
      </c>
      <c r="CC30" s="149" t="str">
        <f>IF($B30=0,"",('MF Rollover'!CB30*($P30*(1+'Property Summary'!$L$22)^('MF Releasing'!CC$3-1)))*$C30)</f>
        <v/>
      </c>
      <c r="CD30" s="149" t="str">
        <f>IF($B30=0,"",('MF Rollover'!CC30*($P30*(1+'Property Summary'!$L$22)^('MF Releasing'!CD$3-1)))*$C30)</f>
        <v/>
      </c>
      <c r="CE30" s="149" t="str">
        <f>IF($B30=0,"",('MF Rollover'!CD30*($P30*(1+'Property Summary'!$L$22)^('MF Releasing'!CE$3-1)))*$C30)</f>
        <v/>
      </c>
      <c r="CF30" s="149" t="str">
        <f>IF($B30=0,"",('MF Rollover'!CE30*($P30*(1+'Property Summary'!$L$22)^('MF Releasing'!CF$3-1)))*$C30)</f>
        <v/>
      </c>
      <c r="CG30" s="149" t="str">
        <f>IF($B30=0,"",('MF Rollover'!CF30*($P30*(1+'Property Summary'!$L$22)^('MF Releasing'!CG$3-1)))*$C30)</f>
        <v/>
      </c>
      <c r="CH30" s="149" t="str">
        <f>IF($B30=0,"",('MF Rollover'!CG30*($P30*(1+'Property Summary'!$L$22)^('MF Releasing'!CH$3-1)))*$C30)</f>
        <v/>
      </c>
      <c r="CI30" s="149" t="str">
        <f>IF($B30=0,"",('MF Rollover'!CH30*($P30*(1+'Property Summary'!$L$22)^('MF Releasing'!CI$3-1)))*$C30)</f>
        <v/>
      </c>
      <c r="CJ30" s="149" t="str">
        <f>IF($B30=0,"",('MF Rollover'!CI30*($P30*(1+'Property Summary'!$L$22)^('MF Releasing'!CJ$3-1)))*$C30)</f>
        <v/>
      </c>
      <c r="CK30" s="149" t="str">
        <f>IF($B30=0,"",('MF Rollover'!CJ30*($P30*(1+'Property Summary'!$L$22)^('MF Releasing'!CK$3-1)))*$C30)</f>
        <v/>
      </c>
      <c r="CL30" s="149" t="str">
        <f>IF($B30=0,"",('MF Rollover'!CK30*($P30*(1+'Property Summary'!$L$22)^('MF Releasing'!CL$3-1)))*$C30)</f>
        <v/>
      </c>
      <c r="CM30" s="149" t="str">
        <f>IF($B30=0,"",('MF Rollover'!CL30*($P30*(1+'Property Summary'!$L$22)^('MF Releasing'!CM$3-1)))*$C30)</f>
        <v/>
      </c>
      <c r="CN30" s="149" t="str">
        <f>IF($B30=0,"",('MF Rollover'!CM30*($P30*(1+'Property Summary'!$L$22)^('MF Releasing'!CN$3-1)))*$C30)</f>
        <v/>
      </c>
      <c r="CO30" s="149" t="str">
        <f>IF($B30=0,"",('MF Rollover'!CN30*($P30*(1+'Property Summary'!$L$22)^('MF Releasing'!CO$3-1)))*$C30)</f>
        <v/>
      </c>
      <c r="CP30" s="149" t="str">
        <f>IF($B30=0,"",('MF Rollover'!CO30*($P30*(1+'Property Summary'!$L$22)^('MF Releasing'!CP$3-1)))*$C30)</f>
        <v/>
      </c>
      <c r="CQ30" s="149" t="str">
        <f>IF($B30=0,"",('MF Rollover'!CP30*($P30*(1+'Property Summary'!$L$22)^('MF Releasing'!CQ$3-1)))*$C30)</f>
        <v/>
      </c>
      <c r="CR30" s="149" t="str">
        <f>IF($B30=0,"",('MF Rollover'!CQ30*($P30*(1+'Property Summary'!$L$22)^('MF Releasing'!CR$3-1)))*$C30)</f>
        <v/>
      </c>
      <c r="CS30" s="149" t="str">
        <f>IF($B30=0,"",('MF Rollover'!CR30*($P30*(1+'Property Summary'!$L$22)^('MF Releasing'!CS$3-1)))*$C30)</f>
        <v/>
      </c>
      <c r="CT30" s="149" t="str">
        <f>IF($B30=0,"",('MF Rollover'!CS30*($P30*(1+'Property Summary'!$L$22)^('MF Releasing'!CT$3-1)))*$C30)</f>
        <v/>
      </c>
      <c r="CU30" s="149" t="str">
        <f>IF($B30=0,"",('MF Rollover'!CT30*($P30*(1+'Property Summary'!$L$22)^('MF Releasing'!CU$3-1)))*$C30)</f>
        <v/>
      </c>
      <c r="CV30" s="149" t="str">
        <f>IF($B30=0,"",('MF Rollover'!CU30*($P30*(1+'Property Summary'!$L$22)^('MF Releasing'!CV$3-1)))*$C30)</f>
        <v/>
      </c>
      <c r="CW30" s="149" t="str">
        <f>IF($B30=0,"",('MF Rollover'!CV30*($P30*(1+'Property Summary'!$L$22)^('MF Releasing'!CW$3-1)))*$C30)</f>
        <v/>
      </c>
      <c r="CX30" s="149" t="str">
        <f>IF($B30=0,"",('MF Rollover'!CW30*($P30*(1+'Property Summary'!$L$22)^('MF Releasing'!CX$3-1)))*$C30)</f>
        <v/>
      </c>
      <c r="CY30" s="149" t="str">
        <f>IF($B30=0,"",('MF Rollover'!CX30*($P30*(1+'Property Summary'!$L$22)^('MF Releasing'!CY$3-1)))*$C30)</f>
        <v/>
      </c>
      <c r="CZ30" s="149" t="str">
        <f>IF($B30=0,"",('MF Rollover'!CY30*($P30*(1+'Property Summary'!$L$22)^('MF Releasing'!CZ$3-1)))*$C30)</f>
        <v/>
      </c>
      <c r="DA30" s="149" t="str">
        <f>IF($B30=0,"",('MF Rollover'!CZ30*($P30*(1+'Property Summary'!$L$22)^('MF Releasing'!DA$3-1)))*$C30)</f>
        <v/>
      </c>
      <c r="DB30" s="149" t="str">
        <f>IF($B30=0,"",('MF Rollover'!DA30*($P30*(1+'Property Summary'!$L$22)^('MF Releasing'!DB$3-1)))*$C30)</f>
        <v/>
      </c>
      <c r="DC30" s="149" t="str">
        <f>IF($B30=0,"",('MF Rollover'!DB30*($P30*(1+'Property Summary'!$L$22)^('MF Releasing'!DC$3-1)))*$C30)</f>
        <v/>
      </c>
      <c r="DD30" s="149" t="str">
        <f>IF($B30=0,"",('MF Rollover'!DC30*($P30*(1+'Property Summary'!$L$22)^('MF Releasing'!DD$3-1)))*$C30)</f>
        <v/>
      </c>
      <c r="DE30" s="149" t="str">
        <f>IF($B30=0,"",('MF Rollover'!DD30*($P30*(1+'Property Summary'!$L$22)^('MF Releasing'!DE$3-1)))*$C30)</f>
        <v/>
      </c>
      <c r="DF30" s="149" t="str">
        <f>IF($B30=0,"",('MF Rollover'!DE30*($P30*(1+'Property Summary'!$L$22)^('MF Releasing'!DF$3-1)))*$C30)</f>
        <v/>
      </c>
      <c r="DG30" s="149" t="str">
        <f>IF($B30=0,"",('MF Rollover'!DF30*($P30*(1+'Property Summary'!$L$22)^('MF Releasing'!DG$3-1)))*$C30)</f>
        <v/>
      </c>
      <c r="DH30" s="149" t="str">
        <f>IF($B30=0,"",('MF Rollover'!DG30*($P30*(1+'Property Summary'!$L$22)^('MF Releasing'!DH$3-1)))*$C30)</f>
        <v/>
      </c>
      <c r="DI30" s="149" t="str">
        <f>IF($B30=0,"",('MF Rollover'!DH30*($P30*(1+'Property Summary'!$L$22)^('MF Releasing'!DI$3-1)))*$C30)</f>
        <v/>
      </c>
      <c r="DJ30" s="149" t="str">
        <f>IF($B30=0,"",('MF Rollover'!DI30*($P30*(1+'Property Summary'!$L$22)^('MF Releasing'!DJ$3-1)))*$C30)</f>
        <v/>
      </c>
      <c r="DK30" s="149" t="str">
        <f>IF($B30=0,"",('MF Rollover'!DJ30*($P30*(1+'Property Summary'!$L$22)^('MF Releasing'!DK$3-1)))*$C30)</f>
        <v/>
      </c>
      <c r="DL30" s="149" t="str">
        <f>IF($B30=0,"",('MF Rollover'!DK30*($P30*(1+'Property Summary'!$L$22)^('MF Releasing'!DL$3-1)))*$C30)</f>
        <v/>
      </c>
      <c r="DM30" s="149" t="str">
        <f>IF($B30=0,"",('MF Rollover'!DL30*($P30*(1+'Property Summary'!$L$22)^('MF Releasing'!DM$3-1)))*$C30)</f>
        <v/>
      </c>
      <c r="DN30" s="149" t="str">
        <f>IF($B30=0,"",('MF Rollover'!DM30*($P30*(1+'Property Summary'!$L$22)^('MF Releasing'!DN$3-1)))*$C30)</f>
        <v/>
      </c>
      <c r="DO30" s="149" t="str">
        <f>IF($B30=0,"",('MF Rollover'!DN30*($P30*(1+'Property Summary'!$L$22)^('MF Releasing'!DO$3-1)))*$C30)</f>
        <v/>
      </c>
      <c r="DP30" s="149" t="str">
        <f>IF($B30=0,"",('MF Rollover'!DO30*($P30*(1+'Property Summary'!$L$22)^('MF Releasing'!DP$3-1)))*$C30)</f>
        <v/>
      </c>
      <c r="DQ30" s="149" t="str">
        <f>IF($B30=0,"",('MF Rollover'!DP30*($P30*(1+'Property Summary'!$L$22)^('MF Releasing'!DQ$3-1)))*$C30)</f>
        <v/>
      </c>
      <c r="DR30" s="149" t="str">
        <f>IF($B30=0,"",('MF Rollover'!DQ30*($P30*(1+'Property Summary'!$L$22)^('MF Releasing'!DR$3-1)))*$C30)</f>
        <v/>
      </c>
      <c r="DS30" s="149" t="str">
        <f>IF($B30=0,"",('MF Rollover'!DR30*($P30*(1+'Property Summary'!$L$22)^('MF Releasing'!DS$3-1)))*$C30)</f>
        <v/>
      </c>
      <c r="DT30" s="149" t="str">
        <f>IF($B30=0,"",('MF Rollover'!DS30*($P30*(1+'Property Summary'!$L$22)^('MF Releasing'!DT$3-1)))*$C30)</f>
        <v/>
      </c>
      <c r="DU30" s="149" t="str">
        <f>IF($B30=0,"",('MF Rollover'!DT30*($P30*(1+'Property Summary'!$L$22)^('MF Releasing'!DU$3-1)))*$C30)</f>
        <v/>
      </c>
      <c r="DV30" s="149" t="str">
        <f>IF($B30=0,"",('MF Rollover'!DU30*($P30*(1+'Property Summary'!$L$22)^('MF Releasing'!DV$3-1)))*$C30)</f>
        <v/>
      </c>
      <c r="DW30" s="149" t="str">
        <f>IF($B30=0,"",('MF Rollover'!DV30*($P30*(1+'Property Summary'!$L$22)^('MF Releasing'!DW$3-1)))*$C30)</f>
        <v/>
      </c>
      <c r="DX30" s="149" t="str">
        <f>IF($B30=0,"",('MF Rollover'!DW30*($P30*(1+'Property Summary'!$L$22)^('MF Releasing'!DX$3-1)))*$C30)</f>
        <v/>
      </c>
      <c r="DY30" s="149" t="str">
        <f>IF($B30=0,"",('MF Rollover'!DX30*($P30*(1+'Property Summary'!$L$22)^('MF Releasing'!DY$3-1)))*$C30)</f>
        <v/>
      </c>
      <c r="DZ30" s="149" t="str">
        <f>IF($B30=0,"",('MF Rollover'!DY30*($P30*(1+'Property Summary'!$L$22)^('MF Releasing'!DZ$3-1)))*$C30)</f>
        <v/>
      </c>
      <c r="EA30" s="149" t="str">
        <f>IF($B30=0,"",('MF Rollover'!DZ30*($P30*(1+'Property Summary'!$L$22)^('MF Releasing'!EA$3-1)))*$C30)</f>
        <v/>
      </c>
      <c r="EB30" s="149" t="str">
        <f>IF($B30=0,"",('MF Rollover'!EA30*($P30*(1+'Property Summary'!$L$22)^('MF Releasing'!EB$3-1)))*$C30)</f>
        <v/>
      </c>
      <c r="EC30" s="149" t="str">
        <f>IF($B30=0,"",('MF Rollover'!EB30*($P30*(1+'Property Summary'!$L$22)^('MF Releasing'!EC$3-1)))*$C30)</f>
        <v/>
      </c>
      <c r="ED30" s="149" t="str">
        <f>IF($B30=0,"",('MF Rollover'!EC30*($P30*(1+'Property Summary'!$L$22)^('MF Releasing'!ED$3-1)))*$C30)</f>
        <v/>
      </c>
      <c r="EE30" s="149" t="str">
        <f>IF($B30=0,"",('MF Rollover'!ED30*($P30*(1+'Property Summary'!$L$22)^('MF Releasing'!EE$3-1)))*$C30)</f>
        <v/>
      </c>
      <c r="EF30" s="149" t="str">
        <f>IF($B30=0,"",('MF Rollover'!EE30*($P30*(1+'Property Summary'!$L$22)^('MF Releasing'!EF$3-1)))*$C30)</f>
        <v/>
      </c>
      <c r="EG30" s="149" t="str">
        <f>IF($B30=0,"",('MF Rollover'!EF30*($P30*(1+'Property Summary'!$L$22)^('MF Releasing'!EG$3-1)))*$C30)</f>
        <v/>
      </c>
      <c r="EH30" s="149" t="str">
        <f>IF($B30=0,"",('MF Rollover'!EG30*($P30*(1+'Property Summary'!$L$22)^('MF Releasing'!EH$3-1)))*$C30)</f>
        <v/>
      </c>
      <c r="EI30" s="149" t="str">
        <f>IF($B30=0,"",('MF Rollover'!EH30*($P30*(1+'Property Summary'!$L$22)^('MF Releasing'!EI$3-1)))*$C30)</f>
        <v/>
      </c>
      <c r="EJ30" s="149" t="str">
        <f>IF($B30=0,"",('MF Rollover'!EI30*($P30*(1+'Property Summary'!$L$22)^('MF Releasing'!EJ$3-1)))*$C30)</f>
        <v/>
      </c>
      <c r="EK30" s="149" t="str">
        <f>IF($B30=0,"",('MF Rollover'!EJ30*($P30*(1+'Property Summary'!$L$22)^('MF Releasing'!EK$3-1)))*$C30)</f>
        <v/>
      </c>
      <c r="EL30" s="149" t="str">
        <f>IF($B30=0,"",('MF Rollover'!EK30*($P30*(1+'Property Summary'!$L$22)^('MF Releasing'!EL$3-1)))*$C30)</f>
        <v/>
      </c>
      <c r="EM30" s="149" t="str">
        <f>IF($B30=0,"",('MF Rollover'!EL30*($P30*(1+'Property Summary'!$L$22)^('MF Releasing'!EM$3-1)))*$C30)</f>
        <v/>
      </c>
      <c r="EN30" s="149" t="str">
        <f>IF($B30=0,"",('MF Rollover'!EM30*($P30*(1+'Property Summary'!$L$22)^('MF Releasing'!EN$3-1)))*$C30)</f>
        <v/>
      </c>
      <c r="EO30" s="149" t="str">
        <f>IF($B30=0,"",('MF Rollover'!EN30*($P30*(1+'Property Summary'!$L$22)^('MF Releasing'!EO$3-1)))*$C30)</f>
        <v/>
      </c>
      <c r="EP30" s="149" t="str">
        <f>IF($B30=0,"",('MF Rollover'!EO30*($P30*(1+'Property Summary'!$L$22)^('MF Releasing'!EP$3-1)))*$C30)</f>
        <v/>
      </c>
      <c r="EQ30" s="149" t="str">
        <f>IF($B30=0,"",('MF Rollover'!EP30*($P30*(1+'Property Summary'!$L$22)^('MF Releasing'!EQ$3-1)))*$C30)</f>
        <v/>
      </c>
      <c r="ER30" s="149" t="str">
        <f>IF($B30=0,"",('MF Rollover'!EQ30*($P30*(1+'Property Summary'!$L$22)^('MF Releasing'!ER$3-1)))*$C30)</f>
        <v/>
      </c>
      <c r="ES30" s="149" t="str">
        <f>IF($B30=0,"",('MF Rollover'!ER30*($P30*(1+'Property Summary'!$L$22)^('MF Releasing'!ES$3-1)))*$C30)</f>
        <v/>
      </c>
      <c r="ET30" s="149" t="str">
        <f>IF($B30=0,"",('MF Rollover'!ES30*($P30*(1+'Property Summary'!$L$22)^('MF Releasing'!ET$3-1)))*$C30)</f>
        <v/>
      </c>
      <c r="EU30" s="149" t="str">
        <f>IF($B30=0,"",('MF Rollover'!ET30*($P30*(1+'Property Summary'!$L$22)^('MF Releasing'!EU$3-1)))*$C30)</f>
        <v/>
      </c>
      <c r="EV30" s="149" t="str">
        <f>IF($B30=0,"",('MF Rollover'!EU30*($P30*(1+'Property Summary'!$L$22)^('MF Releasing'!EV$3-1)))*$C30)</f>
        <v/>
      </c>
      <c r="EW30" s="149" t="str">
        <f>IF($B30=0,"",('MF Rollover'!EV30*($P30*(1+'Property Summary'!$L$22)^('MF Releasing'!EW$3-1)))*$C30)</f>
        <v/>
      </c>
      <c r="EX30" s="149" t="str">
        <f>IF($B30=0,"",('MF Rollover'!EW30*($P30*(1+'Property Summary'!$L$22)^('MF Releasing'!EX$3-1)))*$C30)</f>
        <v/>
      </c>
      <c r="EY30" s="149" t="str">
        <f>IF($B30=0,"",('MF Rollover'!EX30*($P30*(1+'Property Summary'!$L$22)^('MF Releasing'!EY$3-1)))*$C30)</f>
        <v/>
      </c>
      <c r="EZ30" s="149" t="str">
        <f>IF($B30=0,"",('MF Rollover'!EY30*($P30*(1+'Property Summary'!$L$22)^('MF Releasing'!EZ$3-1)))*$C30)</f>
        <v/>
      </c>
      <c r="FA30" s="149" t="str">
        <f>IF($B30=0,"",('MF Rollover'!EZ30*($P30*(1+'Property Summary'!$L$22)^('MF Releasing'!FA$3-1)))*$C30)</f>
        <v/>
      </c>
      <c r="FB30" s="149" t="str">
        <f>IF($B30=0,"",('MF Rollover'!FA30*($P30*(1+'Property Summary'!$L$22)^('MF Releasing'!FB$3-1)))*$C30)</f>
        <v/>
      </c>
      <c r="FC30" s="149" t="str">
        <f>IF($B30=0,"",('MF Rollover'!FB30*($P30*(1+'Property Summary'!$L$22)^('MF Releasing'!FC$3-1)))*$C30)</f>
        <v/>
      </c>
      <c r="FD30" s="149" t="str">
        <f>IF($B30=0,"",('MF Rollover'!FC30*($P30*(1+'Property Summary'!$L$22)^('MF Releasing'!FD$3-1)))*$C30)</f>
        <v/>
      </c>
      <c r="FE30" s="149" t="str">
        <f>IF($B30=0,"",('MF Rollover'!FD30*($P30*(1+'Property Summary'!$L$22)^('MF Releasing'!FE$3-1)))*$C30)</f>
        <v/>
      </c>
      <c r="FF30" s="149" t="str">
        <f>IF($B30=0,"",('MF Rollover'!FE30*($P30*(1+'Property Summary'!$L$22)^('MF Releasing'!FF$3-1)))*$C30)</f>
        <v/>
      </c>
      <c r="FG30" s="149" t="str">
        <f>IF($B30=0,"",('MF Rollover'!FF30*($P30*(1+'Property Summary'!$L$22)^('MF Releasing'!FG$3-1)))*$C30)</f>
        <v/>
      </c>
      <c r="FH30" s="149" t="str">
        <f>IF($B30=0,"",('MF Rollover'!FG30*($P30*(1+'Property Summary'!$L$22)^('MF Releasing'!FH$3-1)))*$C30)</f>
        <v/>
      </c>
      <c r="FI30" s="149" t="str">
        <f>IF($B30=0,"",('MF Rollover'!FH30*($P30*(1+'Property Summary'!$L$22)^('MF Releasing'!FI$3-1)))*$C30)</f>
        <v/>
      </c>
      <c r="FJ30" s="149" t="str">
        <f>IF($B30=0,"",('MF Rollover'!FI30*($P30*(1+'Property Summary'!$L$22)^('MF Releasing'!FJ$3-1)))*$C30)</f>
        <v/>
      </c>
      <c r="FK30" s="149" t="str">
        <f>IF($B30=0,"",('MF Rollover'!FJ30*($P30*(1+'Property Summary'!$L$22)^('MF Releasing'!FK$3-1)))*$C30)</f>
        <v/>
      </c>
      <c r="FL30" s="149" t="str">
        <f>IF($B30=0,"",('MF Rollover'!FK30*($P30*(1+'Property Summary'!$L$22)^('MF Releasing'!FL$3-1)))*$C30)</f>
        <v/>
      </c>
      <c r="FM30" s="149" t="str">
        <f>IF($B30=0,"",('MF Rollover'!FL30*($P30*(1+'Property Summary'!$L$22)^('MF Releasing'!FM$3-1)))*$C30)</f>
        <v/>
      </c>
      <c r="FN30" s="149" t="str">
        <f>IF($B30=0,"",('MF Rollover'!FM30*($P30*(1+'Property Summary'!$L$22)^('MF Releasing'!FN$3-1)))*$C30)</f>
        <v/>
      </c>
      <c r="FO30" s="149" t="str">
        <f>IF($B30=0,"",('MF Rollover'!FN30*($P30*(1+'Property Summary'!$L$22)^('MF Releasing'!FO$3-1)))*$C30)</f>
        <v/>
      </c>
      <c r="FP30" s="149" t="str">
        <f>IF($B30=0,"",('MF Rollover'!FO30*($P30*(1+'Property Summary'!$L$22)^('MF Releasing'!FP$3-1)))*$C30)</f>
        <v/>
      </c>
      <c r="FQ30" s="149" t="str">
        <f>IF($B30=0,"",('MF Rollover'!FP30*($P30*(1+'Property Summary'!$L$22)^('MF Releasing'!FQ$3-1)))*$C30)</f>
        <v/>
      </c>
      <c r="FR30" s="149" t="str">
        <f>IF($B30=0,"",('MF Rollover'!FQ30*($P30*(1+'Property Summary'!$L$22)^('MF Releasing'!FR$3-1)))*$C30)</f>
        <v/>
      </c>
      <c r="FS30" s="149" t="str">
        <f>IF($B30=0,"",('MF Rollover'!FR30*($P30*(1+'Property Summary'!$L$22)^('MF Releasing'!FS$3-1)))*$C30)</f>
        <v/>
      </c>
      <c r="FT30" s="149" t="str">
        <f>IF($B30=0,"",('MF Rollover'!FS30*($P30*(1+'Property Summary'!$L$22)^('MF Releasing'!FT$3-1)))*$C30)</f>
        <v/>
      </c>
      <c r="FU30" s="149" t="str">
        <f>IF($B30=0,"",('MF Rollover'!FT30*($P30*(1+'Property Summary'!$L$22)^('MF Releasing'!FU$3-1)))*$C30)</f>
        <v/>
      </c>
      <c r="FV30" s="149" t="str">
        <f>IF($B30=0,"",('MF Rollover'!FU30*($P30*(1+'Property Summary'!$L$22)^('MF Releasing'!FV$3-1)))*$C30)</f>
        <v/>
      </c>
      <c r="FW30" s="149" t="str">
        <f>IF($B30=0,"",('MF Rollover'!FV30*($P30*(1+'Property Summary'!$L$22)^('MF Releasing'!FW$3-1)))*$C30)</f>
        <v/>
      </c>
      <c r="FX30" s="149" t="str">
        <f>IF($B30=0,"",('MF Rollover'!FW30*($P30*(1+'Property Summary'!$L$22)^('MF Releasing'!FX$3-1)))*$C30)</f>
        <v/>
      </c>
      <c r="FY30" s="149" t="str">
        <f>IF($B30=0,"",('MF Rollover'!FX30*($P30*(1+'Property Summary'!$L$22)^('MF Releasing'!FY$3-1)))*$C30)</f>
        <v/>
      </c>
      <c r="FZ30" s="149" t="str">
        <f>IF($B30=0,"",('MF Rollover'!FY30*($P30*(1+'Property Summary'!$L$22)^('MF Releasing'!FZ$3-1)))*$C30)</f>
        <v/>
      </c>
      <c r="GA30" s="149" t="str">
        <f>IF($B30=0,"",('MF Rollover'!FZ30*($P30*(1+'Property Summary'!$L$22)^('MF Releasing'!GA$3-1)))*$C30)</f>
        <v/>
      </c>
      <c r="GB30" s="149" t="str">
        <f>IF($B30=0,"",('MF Rollover'!GA30*($P30*(1+'Property Summary'!$L$22)^('MF Releasing'!GB$3-1)))*$C30)</f>
        <v/>
      </c>
      <c r="GC30" s="149" t="str">
        <f>IF($B30=0,"",('MF Rollover'!GB30*($P30*(1+'Property Summary'!$L$22)^('MF Releasing'!GC$3-1)))*$C30)</f>
        <v/>
      </c>
      <c r="GD30" s="149" t="str">
        <f>IF($B30=0,"",('MF Rollover'!GC30*($P30*(1+'Property Summary'!$L$22)^('MF Releasing'!GD$3-1)))*$C30)</f>
        <v/>
      </c>
      <c r="GE30" s="149" t="str">
        <f>IF($B30=0,"",('MF Rollover'!GD30*($P30*(1+'Property Summary'!$L$22)^('MF Releasing'!GE$3-1)))*$C30)</f>
        <v/>
      </c>
      <c r="GF30" s="149" t="str">
        <f>IF($B30=0,"",('MF Rollover'!GE30*($P30*(1+'Property Summary'!$L$22)^('MF Releasing'!GF$3-1)))*$C30)</f>
        <v/>
      </c>
      <c r="GG30" s="149" t="str">
        <f>IF($B30=0,"",('MF Rollover'!GF30*($P30*(1+'Property Summary'!$L$22)^('MF Releasing'!GG$3-1)))*$C30)</f>
        <v/>
      </c>
      <c r="GH30" s="149" t="str">
        <f>IF($B30=0,"",('MF Rollover'!GG30*($P30*(1+'Property Summary'!$L$22)^('MF Releasing'!GH$3-1)))*$C30)</f>
        <v/>
      </c>
      <c r="GI30" s="149" t="str">
        <f>IF($B30=0,"",('MF Rollover'!GH30*($P30*(1+'Property Summary'!$L$22)^('MF Releasing'!GI$3-1)))*$C30)</f>
        <v/>
      </c>
      <c r="GJ30" s="149" t="str">
        <f>IF($B30=0,"",('MF Rollover'!GI30*($P30*(1+'Property Summary'!$L$22)^('MF Releasing'!GJ$3-1)))*$C30)</f>
        <v/>
      </c>
      <c r="GK30" s="149" t="str">
        <f>IF($B30=0,"",('MF Rollover'!GJ30*($P30*(1+'Property Summary'!$L$22)^('MF Releasing'!GK$3-1)))*$C30)</f>
        <v/>
      </c>
      <c r="GL30" s="149" t="str">
        <f>IF($B30=0,"",('MF Rollover'!GK30*($P30*(1+'Property Summary'!$L$22)^('MF Releasing'!GL$3-1)))*$C30)</f>
        <v/>
      </c>
      <c r="GM30" s="149" t="str">
        <f>IF($B30=0,"",('MF Rollover'!GL30*($P30*(1+'Property Summary'!$L$22)^('MF Releasing'!GM$3-1)))*$C30)</f>
        <v/>
      </c>
      <c r="GN30" s="149" t="str">
        <f>IF($B30=0,"",('MF Rollover'!GM30*($P30*(1+'Property Summary'!$L$22)^('MF Releasing'!GN$3-1)))*$C30)</f>
        <v/>
      </c>
      <c r="GO30" s="149" t="str">
        <f>IF($B30=0,"",('MF Rollover'!GN30*($P30*(1+'Property Summary'!$L$22)^('MF Releasing'!GO$3-1)))*$C30)</f>
        <v/>
      </c>
      <c r="GP30" s="149" t="str">
        <f>IF($B30=0,"",('MF Rollover'!GO30*($P30*(1+'Property Summary'!$L$22)^('MF Releasing'!GP$3-1)))*$C30)</f>
        <v/>
      </c>
    </row>
    <row r="31" spans="2:198" x14ac:dyDescent="0.3">
      <c r="B31" s="184">
        <f>'MF Rent Roll'!B30</f>
        <v>0</v>
      </c>
      <c r="C31" s="171">
        <f>'MF Rent Roll'!C30</f>
        <v>0</v>
      </c>
      <c r="D31" s="172">
        <f>'MF Rent Roll'!D30</f>
        <v>0</v>
      </c>
      <c r="E31" s="172">
        <f>'MF Rent Roll'!E30</f>
        <v>0</v>
      </c>
      <c r="F31" s="173">
        <f>'MF Rent Roll'!F30</f>
        <v>0</v>
      </c>
      <c r="G31" s="174">
        <f>'MF Rent Roll'!G30</f>
        <v>0</v>
      </c>
      <c r="H31" s="176">
        <f>'MF Rent Roll'!J30</f>
        <v>0</v>
      </c>
      <c r="I31" s="174">
        <f>'MF Rent Roll'!K30</f>
        <v>0</v>
      </c>
      <c r="J31" s="177">
        <f>'MF Rent Roll'!L30</f>
        <v>0</v>
      </c>
      <c r="K31" s="178">
        <f>'MF Rent Roll'!M30</f>
        <v>0</v>
      </c>
      <c r="L31" s="174">
        <f>'MF Rent Roll'!N30</f>
        <v>0</v>
      </c>
      <c r="M31" s="179">
        <f>'MF Rent Roll'!O30</f>
        <v>0</v>
      </c>
      <c r="N31" s="180" t="str">
        <f>'MF Rent Roll'!P30</f>
        <v/>
      </c>
      <c r="O31" s="181" t="str">
        <f>'MF Rent Roll'!Q30</f>
        <v/>
      </c>
      <c r="P31" s="104" t="str">
        <f>'MF Rent Roll'!R30</f>
        <v/>
      </c>
      <c r="S31" s="149" t="str">
        <f>IF($B31=0,"",('MF Rollover'!R31*($P31*(1+'Property Summary'!$L$22)^('MF Releasing'!S$3-1)))*$C31)</f>
        <v/>
      </c>
      <c r="T31" s="149" t="str">
        <f>IF($B31=0,"",('MF Rollover'!S31*($P31*(1+'Property Summary'!$L$22)^('MF Releasing'!T$3-1)))*$C31)</f>
        <v/>
      </c>
      <c r="U31" s="149" t="str">
        <f>IF($B31=0,"",('MF Rollover'!T31*($P31*(1+'Property Summary'!$L$22)^('MF Releasing'!U$3-1)))*$C31)</f>
        <v/>
      </c>
      <c r="V31" s="149" t="str">
        <f>IF($B31=0,"",('MF Rollover'!U31*($P31*(1+'Property Summary'!$L$22)^('MF Releasing'!V$3-1)))*$C31)</f>
        <v/>
      </c>
      <c r="W31" s="149" t="str">
        <f>IF($B31=0,"",('MF Rollover'!V31*($P31*(1+'Property Summary'!$L$22)^('MF Releasing'!W$3-1)))*$C31)</f>
        <v/>
      </c>
      <c r="X31" s="149" t="str">
        <f>IF($B31=0,"",('MF Rollover'!W31*($P31*(1+'Property Summary'!$L$22)^('MF Releasing'!X$3-1)))*$C31)</f>
        <v/>
      </c>
      <c r="Y31" s="149" t="str">
        <f>IF($B31=0,"",('MF Rollover'!X31*($P31*(1+'Property Summary'!$L$22)^('MF Releasing'!Y$3-1)))*$C31)</f>
        <v/>
      </c>
      <c r="Z31" s="149" t="str">
        <f>IF($B31=0,"",('MF Rollover'!Y31*($P31*(1+'Property Summary'!$L$22)^('MF Releasing'!Z$3-1)))*$C31)</f>
        <v/>
      </c>
      <c r="AA31" s="149" t="str">
        <f>IF($B31=0,"",('MF Rollover'!Z31*($P31*(1+'Property Summary'!$L$22)^('MF Releasing'!AA$3-1)))*$C31)</f>
        <v/>
      </c>
      <c r="AB31" s="149" t="str">
        <f>IF($B31=0,"",('MF Rollover'!AA31*($P31*(1+'Property Summary'!$L$22)^('MF Releasing'!AB$3-1)))*$C31)</f>
        <v/>
      </c>
      <c r="AC31" s="149" t="str">
        <f>IF($B31=0,"",('MF Rollover'!AB31*($P31*(1+'Property Summary'!$L$22)^('MF Releasing'!AC$3-1)))*$C31)</f>
        <v/>
      </c>
      <c r="AD31" s="149" t="str">
        <f>IF($B31=0,"",('MF Rollover'!AC31*($P31*(1+'Property Summary'!$L$22)^('MF Releasing'!AD$3-1)))*$C31)</f>
        <v/>
      </c>
      <c r="AE31" s="149" t="str">
        <f>IF($B31=0,"",('MF Rollover'!AD31*($P31*(1+'Property Summary'!$L$22)^('MF Releasing'!AE$3-1)))*$C31)</f>
        <v/>
      </c>
      <c r="AF31" s="149" t="str">
        <f>IF($B31=0,"",('MF Rollover'!AE31*($P31*(1+'Property Summary'!$L$22)^('MF Releasing'!AF$3-1)))*$C31)</f>
        <v/>
      </c>
      <c r="AG31" s="149" t="str">
        <f>IF($B31=0,"",('MF Rollover'!AF31*($P31*(1+'Property Summary'!$L$22)^('MF Releasing'!AG$3-1)))*$C31)</f>
        <v/>
      </c>
      <c r="AH31" s="149" t="str">
        <f>IF($B31=0,"",('MF Rollover'!AG31*($P31*(1+'Property Summary'!$L$22)^('MF Releasing'!AH$3-1)))*$C31)</f>
        <v/>
      </c>
      <c r="AI31" s="149" t="str">
        <f>IF($B31=0,"",('MF Rollover'!AH31*($P31*(1+'Property Summary'!$L$22)^('MF Releasing'!AI$3-1)))*$C31)</f>
        <v/>
      </c>
      <c r="AJ31" s="149" t="str">
        <f>IF($B31=0,"",('MF Rollover'!AI31*($P31*(1+'Property Summary'!$L$22)^('MF Releasing'!AJ$3-1)))*$C31)</f>
        <v/>
      </c>
      <c r="AK31" s="149" t="str">
        <f>IF($B31=0,"",('MF Rollover'!AJ31*($P31*(1+'Property Summary'!$L$22)^('MF Releasing'!AK$3-1)))*$C31)</f>
        <v/>
      </c>
      <c r="AL31" s="149" t="str">
        <f>IF($B31=0,"",('MF Rollover'!AK31*($P31*(1+'Property Summary'!$L$22)^('MF Releasing'!AL$3-1)))*$C31)</f>
        <v/>
      </c>
      <c r="AM31" s="149" t="str">
        <f>IF($B31=0,"",('MF Rollover'!AL31*($P31*(1+'Property Summary'!$L$22)^('MF Releasing'!AM$3-1)))*$C31)</f>
        <v/>
      </c>
      <c r="AN31" s="149" t="str">
        <f>IF($B31=0,"",('MF Rollover'!AM31*($P31*(1+'Property Summary'!$L$22)^('MF Releasing'!AN$3-1)))*$C31)</f>
        <v/>
      </c>
      <c r="AO31" s="149" t="str">
        <f>IF($B31=0,"",('MF Rollover'!AN31*($P31*(1+'Property Summary'!$L$22)^('MF Releasing'!AO$3-1)))*$C31)</f>
        <v/>
      </c>
      <c r="AP31" s="149" t="str">
        <f>IF($B31=0,"",('MF Rollover'!AO31*($P31*(1+'Property Summary'!$L$22)^('MF Releasing'!AP$3-1)))*$C31)</f>
        <v/>
      </c>
      <c r="AQ31" s="149" t="str">
        <f>IF($B31=0,"",('MF Rollover'!AP31*($P31*(1+'Property Summary'!$L$22)^('MF Releasing'!AQ$3-1)))*$C31)</f>
        <v/>
      </c>
      <c r="AR31" s="149" t="str">
        <f>IF($B31=0,"",('MF Rollover'!AQ31*($P31*(1+'Property Summary'!$L$22)^('MF Releasing'!AR$3-1)))*$C31)</f>
        <v/>
      </c>
      <c r="AS31" s="149" t="str">
        <f>IF($B31=0,"",('MF Rollover'!AR31*($P31*(1+'Property Summary'!$L$22)^('MF Releasing'!AS$3-1)))*$C31)</f>
        <v/>
      </c>
      <c r="AT31" s="149" t="str">
        <f>IF($B31=0,"",('MF Rollover'!AS31*($P31*(1+'Property Summary'!$L$22)^('MF Releasing'!AT$3-1)))*$C31)</f>
        <v/>
      </c>
      <c r="AU31" s="149" t="str">
        <f>IF($B31=0,"",('MF Rollover'!AT31*($P31*(1+'Property Summary'!$L$22)^('MF Releasing'!AU$3-1)))*$C31)</f>
        <v/>
      </c>
      <c r="AV31" s="149" t="str">
        <f>IF($B31=0,"",('MF Rollover'!AU31*($P31*(1+'Property Summary'!$L$22)^('MF Releasing'!AV$3-1)))*$C31)</f>
        <v/>
      </c>
      <c r="AW31" s="149" t="str">
        <f>IF($B31=0,"",('MF Rollover'!AV31*($P31*(1+'Property Summary'!$L$22)^('MF Releasing'!AW$3-1)))*$C31)</f>
        <v/>
      </c>
      <c r="AX31" s="149" t="str">
        <f>IF($B31=0,"",('MF Rollover'!AW31*($P31*(1+'Property Summary'!$L$22)^('MF Releasing'!AX$3-1)))*$C31)</f>
        <v/>
      </c>
      <c r="AY31" s="149" t="str">
        <f>IF($B31=0,"",('MF Rollover'!AX31*($P31*(1+'Property Summary'!$L$22)^('MF Releasing'!AY$3-1)))*$C31)</f>
        <v/>
      </c>
      <c r="AZ31" s="149" t="str">
        <f>IF($B31=0,"",('MF Rollover'!AY31*($P31*(1+'Property Summary'!$L$22)^('MF Releasing'!AZ$3-1)))*$C31)</f>
        <v/>
      </c>
      <c r="BA31" s="149" t="str">
        <f>IF($B31=0,"",('MF Rollover'!AZ31*($P31*(1+'Property Summary'!$L$22)^('MF Releasing'!BA$3-1)))*$C31)</f>
        <v/>
      </c>
      <c r="BB31" s="149" t="str">
        <f>IF($B31=0,"",('MF Rollover'!BA31*($P31*(1+'Property Summary'!$L$22)^('MF Releasing'!BB$3-1)))*$C31)</f>
        <v/>
      </c>
      <c r="BC31" s="149" t="str">
        <f>IF($B31=0,"",('MF Rollover'!BB31*($P31*(1+'Property Summary'!$L$22)^('MF Releasing'!BC$3-1)))*$C31)</f>
        <v/>
      </c>
      <c r="BD31" s="149" t="str">
        <f>IF($B31=0,"",('MF Rollover'!BC31*($P31*(1+'Property Summary'!$L$22)^('MF Releasing'!BD$3-1)))*$C31)</f>
        <v/>
      </c>
      <c r="BE31" s="149" t="str">
        <f>IF($B31=0,"",('MF Rollover'!BD31*($P31*(1+'Property Summary'!$L$22)^('MF Releasing'!BE$3-1)))*$C31)</f>
        <v/>
      </c>
      <c r="BF31" s="149" t="str">
        <f>IF($B31=0,"",('MF Rollover'!BE31*($P31*(1+'Property Summary'!$L$22)^('MF Releasing'!BF$3-1)))*$C31)</f>
        <v/>
      </c>
      <c r="BG31" s="149" t="str">
        <f>IF($B31=0,"",('MF Rollover'!BF31*($P31*(1+'Property Summary'!$L$22)^('MF Releasing'!BG$3-1)))*$C31)</f>
        <v/>
      </c>
      <c r="BH31" s="149" t="str">
        <f>IF($B31=0,"",('MF Rollover'!BG31*($P31*(1+'Property Summary'!$L$22)^('MF Releasing'!BH$3-1)))*$C31)</f>
        <v/>
      </c>
      <c r="BI31" s="149" t="str">
        <f>IF($B31=0,"",('MF Rollover'!BH31*($P31*(1+'Property Summary'!$L$22)^('MF Releasing'!BI$3-1)))*$C31)</f>
        <v/>
      </c>
      <c r="BJ31" s="149" t="str">
        <f>IF($B31=0,"",('MF Rollover'!BI31*($P31*(1+'Property Summary'!$L$22)^('MF Releasing'!BJ$3-1)))*$C31)</f>
        <v/>
      </c>
      <c r="BK31" s="149" t="str">
        <f>IF($B31=0,"",('MF Rollover'!BJ31*($P31*(1+'Property Summary'!$L$22)^('MF Releasing'!BK$3-1)))*$C31)</f>
        <v/>
      </c>
      <c r="BL31" s="149" t="str">
        <f>IF($B31=0,"",('MF Rollover'!BK31*($P31*(1+'Property Summary'!$L$22)^('MF Releasing'!BL$3-1)))*$C31)</f>
        <v/>
      </c>
      <c r="BM31" s="149" t="str">
        <f>IF($B31=0,"",('MF Rollover'!BL31*($P31*(1+'Property Summary'!$L$22)^('MF Releasing'!BM$3-1)))*$C31)</f>
        <v/>
      </c>
      <c r="BN31" s="149" t="str">
        <f>IF($B31=0,"",('MF Rollover'!BM31*($P31*(1+'Property Summary'!$L$22)^('MF Releasing'!BN$3-1)))*$C31)</f>
        <v/>
      </c>
      <c r="BO31" s="149" t="str">
        <f>IF($B31=0,"",('MF Rollover'!BN31*($P31*(1+'Property Summary'!$L$22)^('MF Releasing'!BO$3-1)))*$C31)</f>
        <v/>
      </c>
      <c r="BP31" s="149" t="str">
        <f>IF($B31=0,"",('MF Rollover'!BO31*($P31*(1+'Property Summary'!$L$22)^('MF Releasing'!BP$3-1)))*$C31)</f>
        <v/>
      </c>
      <c r="BQ31" s="149" t="str">
        <f>IF($B31=0,"",('MF Rollover'!BP31*($P31*(1+'Property Summary'!$L$22)^('MF Releasing'!BQ$3-1)))*$C31)</f>
        <v/>
      </c>
      <c r="BR31" s="149" t="str">
        <f>IF($B31=0,"",('MF Rollover'!BQ31*($P31*(1+'Property Summary'!$L$22)^('MF Releasing'!BR$3-1)))*$C31)</f>
        <v/>
      </c>
      <c r="BS31" s="149" t="str">
        <f>IF($B31=0,"",('MF Rollover'!BR31*($P31*(1+'Property Summary'!$L$22)^('MF Releasing'!BS$3-1)))*$C31)</f>
        <v/>
      </c>
      <c r="BT31" s="149" t="str">
        <f>IF($B31=0,"",('MF Rollover'!BS31*($P31*(1+'Property Summary'!$L$22)^('MF Releasing'!BT$3-1)))*$C31)</f>
        <v/>
      </c>
      <c r="BU31" s="149" t="str">
        <f>IF($B31=0,"",('MF Rollover'!BT31*($P31*(1+'Property Summary'!$L$22)^('MF Releasing'!BU$3-1)))*$C31)</f>
        <v/>
      </c>
      <c r="BV31" s="149" t="str">
        <f>IF($B31=0,"",('MF Rollover'!BU31*($P31*(1+'Property Summary'!$L$22)^('MF Releasing'!BV$3-1)))*$C31)</f>
        <v/>
      </c>
      <c r="BW31" s="149" t="str">
        <f>IF($B31=0,"",('MF Rollover'!BV31*($P31*(1+'Property Summary'!$L$22)^('MF Releasing'!BW$3-1)))*$C31)</f>
        <v/>
      </c>
      <c r="BX31" s="149" t="str">
        <f>IF($B31=0,"",('MF Rollover'!BW31*($P31*(1+'Property Summary'!$L$22)^('MF Releasing'!BX$3-1)))*$C31)</f>
        <v/>
      </c>
      <c r="BY31" s="149" t="str">
        <f>IF($B31=0,"",('MF Rollover'!BX31*($P31*(1+'Property Summary'!$L$22)^('MF Releasing'!BY$3-1)))*$C31)</f>
        <v/>
      </c>
      <c r="BZ31" s="149" t="str">
        <f>IF($B31=0,"",('MF Rollover'!BY31*($P31*(1+'Property Summary'!$L$22)^('MF Releasing'!BZ$3-1)))*$C31)</f>
        <v/>
      </c>
      <c r="CA31" s="149" t="str">
        <f>IF($B31=0,"",('MF Rollover'!BZ31*($P31*(1+'Property Summary'!$L$22)^('MF Releasing'!CA$3-1)))*$C31)</f>
        <v/>
      </c>
      <c r="CB31" s="149" t="str">
        <f>IF($B31=0,"",('MF Rollover'!CA31*($P31*(1+'Property Summary'!$L$22)^('MF Releasing'!CB$3-1)))*$C31)</f>
        <v/>
      </c>
      <c r="CC31" s="149" t="str">
        <f>IF($B31=0,"",('MF Rollover'!CB31*($P31*(1+'Property Summary'!$L$22)^('MF Releasing'!CC$3-1)))*$C31)</f>
        <v/>
      </c>
      <c r="CD31" s="149" t="str">
        <f>IF($B31=0,"",('MF Rollover'!CC31*($P31*(1+'Property Summary'!$L$22)^('MF Releasing'!CD$3-1)))*$C31)</f>
        <v/>
      </c>
      <c r="CE31" s="149" t="str">
        <f>IF($B31=0,"",('MF Rollover'!CD31*($P31*(1+'Property Summary'!$L$22)^('MF Releasing'!CE$3-1)))*$C31)</f>
        <v/>
      </c>
      <c r="CF31" s="149" t="str">
        <f>IF($B31=0,"",('MF Rollover'!CE31*($P31*(1+'Property Summary'!$L$22)^('MF Releasing'!CF$3-1)))*$C31)</f>
        <v/>
      </c>
      <c r="CG31" s="149" t="str">
        <f>IF($B31=0,"",('MF Rollover'!CF31*($P31*(1+'Property Summary'!$L$22)^('MF Releasing'!CG$3-1)))*$C31)</f>
        <v/>
      </c>
      <c r="CH31" s="149" t="str">
        <f>IF($B31=0,"",('MF Rollover'!CG31*($P31*(1+'Property Summary'!$L$22)^('MF Releasing'!CH$3-1)))*$C31)</f>
        <v/>
      </c>
      <c r="CI31" s="149" t="str">
        <f>IF($B31=0,"",('MF Rollover'!CH31*($P31*(1+'Property Summary'!$L$22)^('MF Releasing'!CI$3-1)))*$C31)</f>
        <v/>
      </c>
      <c r="CJ31" s="149" t="str">
        <f>IF($B31=0,"",('MF Rollover'!CI31*($P31*(1+'Property Summary'!$L$22)^('MF Releasing'!CJ$3-1)))*$C31)</f>
        <v/>
      </c>
      <c r="CK31" s="149" t="str">
        <f>IF($B31=0,"",('MF Rollover'!CJ31*($P31*(1+'Property Summary'!$L$22)^('MF Releasing'!CK$3-1)))*$C31)</f>
        <v/>
      </c>
      <c r="CL31" s="149" t="str">
        <f>IF($B31=0,"",('MF Rollover'!CK31*($P31*(1+'Property Summary'!$L$22)^('MF Releasing'!CL$3-1)))*$C31)</f>
        <v/>
      </c>
      <c r="CM31" s="149" t="str">
        <f>IF($B31=0,"",('MF Rollover'!CL31*($P31*(1+'Property Summary'!$L$22)^('MF Releasing'!CM$3-1)))*$C31)</f>
        <v/>
      </c>
      <c r="CN31" s="149" t="str">
        <f>IF($B31=0,"",('MF Rollover'!CM31*($P31*(1+'Property Summary'!$L$22)^('MF Releasing'!CN$3-1)))*$C31)</f>
        <v/>
      </c>
      <c r="CO31" s="149" t="str">
        <f>IF($B31=0,"",('MF Rollover'!CN31*($P31*(1+'Property Summary'!$L$22)^('MF Releasing'!CO$3-1)))*$C31)</f>
        <v/>
      </c>
      <c r="CP31" s="149" t="str">
        <f>IF($B31=0,"",('MF Rollover'!CO31*($P31*(1+'Property Summary'!$L$22)^('MF Releasing'!CP$3-1)))*$C31)</f>
        <v/>
      </c>
      <c r="CQ31" s="149" t="str">
        <f>IF($B31=0,"",('MF Rollover'!CP31*($P31*(1+'Property Summary'!$L$22)^('MF Releasing'!CQ$3-1)))*$C31)</f>
        <v/>
      </c>
      <c r="CR31" s="149" t="str">
        <f>IF($B31=0,"",('MF Rollover'!CQ31*($P31*(1+'Property Summary'!$L$22)^('MF Releasing'!CR$3-1)))*$C31)</f>
        <v/>
      </c>
      <c r="CS31" s="149" t="str">
        <f>IF($B31=0,"",('MF Rollover'!CR31*($P31*(1+'Property Summary'!$L$22)^('MF Releasing'!CS$3-1)))*$C31)</f>
        <v/>
      </c>
      <c r="CT31" s="149" t="str">
        <f>IF($B31=0,"",('MF Rollover'!CS31*($P31*(1+'Property Summary'!$L$22)^('MF Releasing'!CT$3-1)))*$C31)</f>
        <v/>
      </c>
      <c r="CU31" s="149" t="str">
        <f>IF($B31=0,"",('MF Rollover'!CT31*($P31*(1+'Property Summary'!$L$22)^('MF Releasing'!CU$3-1)))*$C31)</f>
        <v/>
      </c>
      <c r="CV31" s="149" t="str">
        <f>IF($B31=0,"",('MF Rollover'!CU31*($P31*(1+'Property Summary'!$L$22)^('MF Releasing'!CV$3-1)))*$C31)</f>
        <v/>
      </c>
      <c r="CW31" s="149" t="str">
        <f>IF($B31=0,"",('MF Rollover'!CV31*($P31*(1+'Property Summary'!$L$22)^('MF Releasing'!CW$3-1)))*$C31)</f>
        <v/>
      </c>
      <c r="CX31" s="149" t="str">
        <f>IF($B31=0,"",('MF Rollover'!CW31*($P31*(1+'Property Summary'!$L$22)^('MF Releasing'!CX$3-1)))*$C31)</f>
        <v/>
      </c>
      <c r="CY31" s="149" t="str">
        <f>IF($B31=0,"",('MF Rollover'!CX31*($P31*(1+'Property Summary'!$L$22)^('MF Releasing'!CY$3-1)))*$C31)</f>
        <v/>
      </c>
      <c r="CZ31" s="149" t="str">
        <f>IF($B31=0,"",('MF Rollover'!CY31*($P31*(1+'Property Summary'!$L$22)^('MF Releasing'!CZ$3-1)))*$C31)</f>
        <v/>
      </c>
      <c r="DA31" s="149" t="str">
        <f>IF($B31=0,"",('MF Rollover'!CZ31*($P31*(1+'Property Summary'!$L$22)^('MF Releasing'!DA$3-1)))*$C31)</f>
        <v/>
      </c>
      <c r="DB31" s="149" t="str">
        <f>IF($B31=0,"",('MF Rollover'!DA31*($P31*(1+'Property Summary'!$L$22)^('MF Releasing'!DB$3-1)))*$C31)</f>
        <v/>
      </c>
      <c r="DC31" s="149" t="str">
        <f>IF($B31=0,"",('MF Rollover'!DB31*($P31*(1+'Property Summary'!$L$22)^('MF Releasing'!DC$3-1)))*$C31)</f>
        <v/>
      </c>
      <c r="DD31" s="149" t="str">
        <f>IF($B31=0,"",('MF Rollover'!DC31*($P31*(1+'Property Summary'!$L$22)^('MF Releasing'!DD$3-1)))*$C31)</f>
        <v/>
      </c>
      <c r="DE31" s="149" t="str">
        <f>IF($B31=0,"",('MF Rollover'!DD31*($P31*(1+'Property Summary'!$L$22)^('MF Releasing'!DE$3-1)))*$C31)</f>
        <v/>
      </c>
      <c r="DF31" s="149" t="str">
        <f>IF($B31=0,"",('MF Rollover'!DE31*($P31*(1+'Property Summary'!$L$22)^('MF Releasing'!DF$3-1)))*$C31)</f>
        <v/>
      </c>
      <c r="DG31" s="149" t="str">
        <f>IF($B31=0,"",('MF Rollover'!DF31*($P31*(1+'Property Summary'!$L$22)^('MF Releasing'!DG$3-1)))*$C31)</f>
        <v/>
      </c>
      <c r="DH31" s="149" t="str">
        <f>IF($B31=0,"",('MF Rollover'!DG31*($P31*(1+'Property Summary'!$L$22)^('MF Releasing'!DH$3-1)))*$C31)</f>
        <v/>
      </c>
      <c r="DI31" s="149" t="str">
        <f>IF($B31=0,"",('MF Rollover'!DH31*($P31*(1+'Property Summary'!$L$22)^('MF Releasing'!DI$3-1)))*$C31)</f>
        <v/>
      </c>
      <c r="DJ31" s="149" t="str">
        <f>IF($B31=0,"",('MF Rollover'!DI31*($P31*(1+'Property Summary'!$L$22)^('MF Releasing'!DJ$3-1)))*$C31)</f>
        <v/>
      </c>
      <c r="DK31" s="149" t="str">
        <f>IF($B31=0,"",('MF Rollover'!DJ31*($P31*(1+'Property Summary'!$L$22)^('MF Releasing'!DK$3-1)))*$C31)</f>
        <v/>
      </c>
      <c r="DL31" s="149" t="str">
        <f>IF($B31=0,"",('MF Rollover'!DK31*($P31*(1+'Property Summary'!$L$22)^('MF Releasing'!DL$3-1)))*$C31)</f>
        <v/>
      </c>
      <c r="DM31" s="149" t="str">
        <f>IF($B31=0,"",('MF Rollover'!DL31*($P31*(1+'Property Summary'!$L$22)^('MF Releasing'!DM$3-1)))*$C31)</f>
        <v/>
      </c>
      <c r="DN31" s="149" t="str">
        <f>IF($B31=0,"",('MF Rollover'!DM31*($P31*(1+'Property Summary'!$L$22)^('MF Releasing'!DN$3-1)))*$C31)</f>
        <v/>
      </c>
      <c r="DO31" s="149" t="str">
        <f>IF($B31=0,"",('MF Rollover'!DN31*($P31*(1+'Property Summary'!$L$22)^('MF Releasing'!DO$3-1)))*$C31)</f>
        <v/>
      </c>
      <c r="DP31" s="149" t="str">
        <f>IF($B31=0,"",('MF Rollover'!DO31*($P31*(1+'Property Summary'!$L$22)^('MF Releasing'!DP$3-1)))*$C31)</f>
        <v/>
      </c>
      <c r="DQ31" s="149" t="str">
        <f>IF($B31=0,"",('MF Rollover'!DP31*($P31*(1+'Property Summary'!$L$22)^('MF Releasing'!DQ$3-1)))*$C31)</f>
        <v/>
      </c>
      <c r="DR31" s="149" t="str">
        <f>IF($B31=0,"",('MF Rollover'!DQ31*($P31*(1+'Property Summary'!$L$22)^('MF Releasing'!DR$3-1)))*$C31)</f>
        <v/>
      </c>
      <c r="DS31" s="149" t="str">
        <f>IF($B31=0,"",('MF Rollover'!DR31*($P31*(1+'Property Summary'!$L$22)^('MF Releasing'!DS$3-1)))*$C31)</f>
        <v/>
      </c>
      <c r="DT31" s="149" t="str">
        <f>IF($B31=0,"",('MF Rollover'!DS31*($P31*(1+'Property Summary'!$L$22)^('MF Releasing'!DT$3-1)))*$C31)</f>
        <v/>
      </c>
      <c r="DU31" s="149" t="str">
        <f>IF($B31=0,"",('MF Rollover'!DT31*($P31*(1+'Property Summary'!$L$22)^('MF Releasing'!DU$3-1)))*$C31)</f>
        <v/>
      </c>
      <c r="DV31" s="149" t="str">
        <f>IF($B31=0,"",('MF Rollover'!DU31*($P31*(1+'Property Summary'!$L$22)^('MF Releasing'!DV$3-1)))*$C31)</f>
        <v/>
      </c>
      <c r="DW31" s="149" t="str">
        <f>IF($B31=0,"",('MF Rollover'!DV31*($P31*(1+'Property Summary'!$L$22)^('MF Releasing'!DW$3-1)))*$C31)</f>
        <v/>
      </c>
      <c r="DX31" s="149" t="str">
        <f>IF($B31=0,"",('MF Rollover'!DW31*($P31*(1+'Property Summary'!$L$22)^('MF Releasing'!DX$3-1)))*$C31)</f>
        <v/>
      </c>
      <c r="DY31" s="149" t="str">
        <f>IF($B31=0,"",('MF Rollover'!DX31*($P31*(1+'Property Summary'!$L$22)^('MF Releasing'!DY$3-1)))*$C31)</f>
        <v/>
      </c>
      <c r="DZ31" s="149" t="str">
        <f>IF($B31=0,"",('MF Rollover'!DY31*($P31*(1+'Property Summary'!$L$22)^('MF Releasing'!DZ$3-1)))*$C31)</f>
        <v/>
      </c>
      <c r="EA31" s="149" t="str">
        <f>IF($B31=0,"",('MF Rollover'!DZ31*($P31*(1+'Property Summary'!$L$22)^('MF Releasing'!EA$3-1)))*$C31)</f>
        <v/>
      </c>
      <c r="EB31" s="149" t="str">
        <f>IF($B31=0,"",('MF Rollover'!EA31*($P31*(1+'Property Summary'!$L$22)^('MF Releasing'!EB$3-1)))*$C31)</f>
        <v/>
      </c>
      <c r="EC31" s="149" t="str">
        <f>IF($B31=0,"",('MF Rollover'!EB31*($P31*(1+'Property Summary'!$L$22)^('MF Releasing'!EC$3-1)))*$C31)</f>
        <v/>
      </c>
      <c r="ED31" s="149" t="str">
        <f>IF($B31=0,"",('MF Rollover'!EC31*($P31*(1+'Property Summary'!$L$22)^('MF Releasing'!ED$3-1)))*$C31)</f>
        <v/>
      </c>
      <c r="EE31" s="149" t="str">
        <f>IF($B31=0,"",('MF Rollover'!ED31*($P31*(1+'Property Summary'!$L$22)^('MF Releasing'!EE$3-1)))*$C31)</f>
        <v/>
      </c>
      <c r="EF31" s="149" t="str">
        <f>IF($B31=0,"",('MF Rollover'!EE31*($P31*(1+'Property Summary'!$L$22)^('MF Releasing'!EF$3-1)))*$C31)</f>
        <v/>
      </c>
      <c r="EG31" s="149" t="str">
        <f>IF($B31=0,"",('MF Rollover'!EF31*($P31*(1+'Property Summary'!$L$22)^('MF Releasing'!EG$3-1)))*$C31)</f>
        <v/>
      </c>
      <c r="EH31" s="149" t="str">
        <f>IF($B31=0,"",('MF Rollover'!EG31*($P31*(1+'Property Summary'!$L$22)^('MF Releasing'!EH$3-1)))*$C31)</f>
        <v/>
      </c>
      <c r="EI31" s="149" t="str">
        <f>IF($B31=0,"",('MF Rollover'!EH31*($P31*(1+'Property Summary'!$L$22)^('MF Releasing'!EI$3-1)))*$C31)</f>
        <v/>
      </c>
      <c r="EJ31" s="149" t="str">
        <f>IF($B31=0,"",('MF Rollover'!EI31*($P31*(1+'Property Summary'!$L$22)^('MF Releasing'!EJ$3-1)))*$C31)</f>
        <v/>
      </c>
      <c r="EK31" s="149" t="str">
        <f>IF($B31=0,"",('MF Rollover'!EJ31*($P31*(1+'Property Summary'!$L$22)^('MF Releasing'!EK$3-1)))*$C31)</f>
        <v/>
      </c>
      <c r="EL31" s="149" t="str">
        <f>IF($B31=0,"",('MF Rollover'!EK31*($P31*(1+'Property Summary'!$L$22)^('MF Releasing'!EL$3-1)))*$C31)</f>
        <v/>
      </c>
      <c r="EM31" s="149" t="str">
        <f>IF($B31=0,"",('MF Rollover'!EL31*($P31*(1+'Property Summary'!$L$22)^('MF Releasing'!EM$3-1)))*$C31)</f>
        <v/>
      </c>
      <c r="EN31" s="149" t="str">
        <f>IF($B31=0,"",('MF Rollover'!EM31*($P31*(1+'Property Summary'!$L$22)^('MF Releasing'!EN$3-1)))*$C31)</f>
        <v/>
      </c>
      <c r="EO31" s="149" t="str">
        <f>IF($B31=0,"",('MF Rollover'!EN31*($P31*(1+'Property Summary'!$L$22)^('MF Releasing'!EO$3-1)))*$C31)</f>
        <v/>
      </c>
      <c r="EP31" s="149" t="str">
        <f>IF($B31=0,"",('MF Rollover'!EO31*($P31*(1+'Property Summary'!$L$22)^('MF Releasing'!EP$3-1)))*$C31)</f>
        <v/>
      </c>
      <c r="EQ31" s="149" t="str">
        <f>IF($B31=0,"",('MF Rollover'!EP31*($P31*(1+'Property Summary'!$L$22)^('MF Releasing'!EQ$3-1)))*$C31)</f>
        <v/>
      </c>
      <c r="ER31" s="149" t="str">
        <f>IF($B31=0,"",('MF Rollover'!EQ31*($P31*(1+'Property Summary'!$L$22)^('MF Releasing'!ER$3-1)))*$C31)</f>
        <v/>
      </c>
      <c r="ES31" s="149" t="str">
        <f>IF($B31=0,"",('MF Rollover'!ER31*($P31*(1+'Property Summary'!$L$22)^('MF Releasing'!ES$3-1)))*$C31)</f>
        <v/>
      </c>
      <c r="ET31" s="149" t="str">
        <f>IF($B31=0,"",('MF Rollover'!ES31*($P31*(1+'Property Summary'!$L$22)^('MF Releasing'!ET$3-1)))*$C31)</f>
        <v/>
      </c>
      <c r="EU31" s="149" t="str">
        <f>IF($B31=0,"",('MF Rollover'!ET31*($P31*(1+'Property Summary'!$L$22)^('MF Releasing'!EU$3-1)))*$C31)</f>
        <v/>
      </c>
      <c r="EV31" s="149" t="str">
        <f>IF($B31=0,"",('MF Rollover'!EU31*($P31*(1+'Property Summary'!$L$22)^('MF Releasing'!EV$3-1)))*$C31)</f>
        <v/>
      </c>
      <c r="EW31" s="149" t="str">
        <f>IF($B31=0,"",('MF Rollover'!EV31*($P31*(1+'Property Summary'!$L$22)^('MF Releasing'!EW$3-1)))*$C31)</f>
        <v/>
      </c>
      <c r="EX31" s="149" t="str">
        <f>IF($B31=0,"",('MF Rollover'!EW31*($P31*(1+'Property Summary'!$L$22)^('MF Releasing'!EX$3-1)))*$C31)</f>
        <v/>
      </c>
      <c r="EY31" s="149" t="str">
        <f>IF($B31=0,"",('MF Rollover'!EX31*($P31*(1+'Property Summary'!$L$22)^('MF Releasing'!EY$3-1)))*$C31)</f>
        <v/>
      </c>
      <c r="EZ31" s="149" t="str">
        <f>IF($B31=0,"",('MF Rollover'!EY31*($P31*(1+'Property Summary'!$L$22)^('MF Releasing'!EZ$3-1)))*$C31)</f>
        <v/>
      </c>
      <c r="FA31" s="149" t="str">
        <f>IF($B31=0,"",('MF Rollover'!EZ31*($P31*(1+'Property Summary'!$L$22)^('MF Releasing'!FA$3-1)))*$C31)</f>
        <v/>
      </c>
      <c r="FB31" s="149" t="str">
        <f>IF($B31=0,"",('MF Rollover'!FA31*($P31*(1+'Property Summary'!$L$22)^('MF Releasing'!FB$3-1)))*$C31)</f>
        <v/>
      </c>
      <c r="FC31" s="149" t="str">
        <f>IF($B31=0,"",('MF Rollover'!FB31*($P31*(1+'Property Summary'!$L$22)^('MF Releasing'!FC$3-1)))*$C31)</f>
        <v/>
      </c>
      <c r="FD31" s="149" t="str">
        <f>IF($B31=0,"",('MF Rollover'!FC31*($P31*(1+'Property Summary'!$L$22)^('MF Releasing'!FD$3-1)))*$C31)</f>
        <v/>
      </c>
      <c r="FE31" s="149" t="str">
        <f>IF($B31=0,"",('MF Rollover'!FD31*($P31*(1+'Property Summary'!$L$22)^('MF Releasing'!FE$3-1)))*$C31)</f>
        <v/>
      </c>
      <c r="FF31" s="149" t="str">
        <f>IF($B31=0,"",('MF Rollover'!FE31*($P31*(1+'Property Summary'!$L$22)^('MF Releasing'!FF$3-1)))*$C31)</f>
        <v/>
      </c>
      <c r="FG31" s="149" t="str">
        <f>IF($B31=0,"",('MF Rollover'!FF31*($P31*(1+'Property Summary'!$L$22)^('MF Releasing'!FG$3-1)))*$C31)</f>
        <v/>
      </c>
      <c r="FH31" s="149" t="str">
        <f>IF($B31=0,"",('MF Rollover'!FG31*($P31*(1+'Property Summary'!$L$22)^('MF Releasing'!FH$3-1)))*$C31)</f>
        <v/>
      </c>
      <c r="FI31" s="149" t="str">
        <f>IF($B31=0,"",('MF Rollover'!FH31*($P31*(1+'Property Summary'!$L$22)^('MF Releasing'!FI$3-1)))*$C31)</f>
        <v/>
      </c>
      <c r="FJ31" s="149" t="str">
        <f>IF($B31=0,"",('MF Rollover'!FI31*($P31*(1+'Property Summary'!$L$22)^('MF Releasing'!FJ$3-1)))*$C31)</f>
        <v/>
      </c>
      <c r="FK31" s="149" t="str">
        <f>IF($B31=0,"",('MF Rollover'!FJ31*($P31*(1+'Property Summary'!$L$22)^('MF Releasing'!FK$3-1)))*$C31)</f>
        <v/>
      </c>
      <c r="FL31" s="149" t="str">
        <f>IF($B31=0,"",('MF Rollover'!FK31*($P31*(1+'Property Summary'!$L$22)^('MF Releasing'!FL$3-1)))*$C31)</f>
        <v/>
      </c>
      <c r="FM31" s="149" t="str">
        <f>IF($B31=0,"",('MF Rollover'!FL31*($P31*(1+'Property Summary'!$L$22)^('MF Releasing'!FM$3-1)))*$C31)</f>
        <v/>
      </c>
      <c r="FN31" s="149" t="str">
        <f>IF($B31=0,"",('MF Rollover'!FM31*($P31*(1+'Property Summary'!$L$22)^('MF Releasing'!FN$3-1)))*$C31)</f>
        <v/>
      </c>
      <c r="FO31" s="149" t="str">
        <f>IF($B31=0,"",('MF Rollover'!FN31*($P31*(1+'Property Summary'!$L$22)^('MF Releasing'!FO$3-1)))*$C31)</f>
        <v/>
      </c>
      <c r="FP31" s="149" t="str">
        <f>IF($B31=0,"",('MF Rollover'!FO31*($P31*(1+'Property Summary'!$L$22)^('MF Releasing'!FP$3-1)))*$C31)</f>
        <v/>
      </c>
      <c r="FQ31" s="149" t="str">
        <f>IF($B31=0,"",('MF Rollover'!FP31*($P31*(1+'Property Summary'!$L$22)^('MF Releasing'!FQ$3-1)))*$C31)</f>
        <v/>
      </c>
      <c r="FR31" s="149" t="str">
        <f>IF($B31=0,"",('MF Rollover'!FQ31*($P31*(1+'Property Summary'!$L$22)^('MF Releasing'!FR$3-1)))*$C31)</f>
        <v/>
      </c>
      <c r="FS31" s="149" t="str">
        <f>IF($B31=0,"",('MF Rollover'!FR31*($P31*(1+'Property Summary'!$L$22)^('MF Releasing'!FS$3-1)))*$C31)</f>
        <v/>
      </c>
      <c r="FT31" s="149" t="str">
        <f>IF($B31=0,"",('MF Rollover'!FS31*($P31*(1+'Property Summary'!$L$22)^('MF Releasing'!FT$3-1)))*$C31)</f>
        <v/>
      </c>
      <c r="FU31" s="149" t="str">
        <f>IF($B31=0,"",('MF Rollover'!FT31*($P31*(1+'Property Summary'!$L$22)^('MF Releasing'!FU$3-1)))*$C31)</f>
        <v/>
      </c>
      <c r="FV31" s="149" t="str">
        <f>IF($B31=0,"",('MF Rollover'!FU31*($P31*(1+'Property Summary'!$L$22)^('MF Releasing'!FV$3-1)))*$C31)</f>
        <v/>
      </c>
      <c r="FW31" s="149" t="str">
        <f>IF($B31=0,"",('MF Rollover'!FV31*($P31*(1+'Property Summary'!$L$22)^('MF Releasing'!FW$3-1)))*$C31)</f>
        <v/>
      </c>
      <c r="FX31" s="149" t="str">
        <f>IF($B31=0,"",('MF Rollover'!FW31*($P31*(1+'Property Summary'!$L$22)^('MF Releasing'!FX$3-1)))*$C31)</f>
        <v/>
      </c>
      <c r="FY31" s="149" t="str">
        <f>IF($B31=0,"",('MF Rollover'!FX31*($P31*(1+'Property Summary'!$L$22)^('MF Releasing'!FY$3-1)))*$C31)</f>
        <v/>
      </c>
      <c r="FZ31" s="149" t="str">
        <f>IF($B31=0,"",('MF Rollover'!FY31*($P31*(1+'Property Summary'!$L$22)^('MF Releasing'!FZ$3-1)))*$C31)</f>
        <v/>
      </c>
      <c r="GA31" s="149" t="str">
        <f>IF($B31=0,"",('MF Rollover'!FZ31*($P31*(1+'Property Summary'!$L$22)^('MF Releasing'!GA$3-1)))*$C31)</f>
        <v/>
      </c>
      <c r="GB31" s="149" t="str">
        <f>IF($B31=0,"",('MF Rollover'!GA31*($P31*(1+'Property Summary'!$L$22)^('MF Releasing'!GB$3-1)))*$C31)</f>
        <v/>
      </c>
      <c r="GC31" s="149" t="str">
        <f>IF($B31=0,"",('MF Rollover'!GB31*($P31*(1+'Property Summary'!$L$22)^('MF Releasing'!GC$3-1)))*$C31)</f>
        <v/>
      </c>
      <c r="GD31" s="149" t="str">
        <f>IF($B31=0,"",('MF Rollover'!GC31*($P31*(1+'Property Summary'!$L$22)^('MF Releasing'!GD$3-1)))*$C31)</f>
        <v/>
      </c>
      <c r="GE31" s="149" t="str">
        <f>IF($B31=0,"",('MF Rollover'!GD31*($P31*(1+'Property Summary'!$L$22)^('MF Releasing'!GE$3-1)))*$C31)</f>
        <v/>
      </c>
      <c r="GF31" s="149" t="str">
        <f>IF($B31=0,"",('MF Rollover'!GE31*($P31*(1+'Property Summary'!$L$22)^('MF Releasing'!GF$3-1)))*$C31)</f>
        <v/>
      </c>
      <c r="GG31" s="149" t="str">
        <f>IF($B31=0,"",('MF Rollover'!GF31*($P31*(1+'Property Summary'!$L$22)^('MF Releasing'!GG$3-1)))*$C31)</f>
        <v/>
      </c>
      <c r="GH31" s="149" t="str">
        <f>IF($B31=0,"",('MF Rollover'!GG31*($P31*(1+'Property Summary'!$L$22)^('MF Releasing'!GH$3-1)))*$C31)</f>
        <v/>
      </c>
      <c r="GI31" s="149" t="str">
        <f>IF($B31=0,"",('MF Rollover'!GH31*($P31*(1+'Property Summary'!$L$22)^('MF Releasing'!GI$3-1)))*$C31)</f>
        <v/>
      </c>
      <c r="GJ31" s="149" t="str">
        <f>IF($B31=0,"",('MF Rollover'!GI31*($P31*(1+'Property Summary'!$L$22)^('MF Releasing'!GJ$3-1)))*$C31)</f>
        <v/>
      </c>
      <c r="GK31" s="149" t="str">
        <f>IF($B31=0,"",('MF Rollover'!GJ31*($P31*(1+'Property Summary'!$L$22)^('MF Releasing'!GK$3-1)))*$C31)</f>
        <v/>
      </c>
      <c r="GL31" s="149" t="str">
        <f>IF($B31=0,"",('MF Rollover'!GK31*($P31*(1+'Property Summary'!$L$22)^('MF Releasing'!GL$3-1)))*$C31)</f>
        <v/>
      </c>
      <c r="GM31" s="149" t="str">
        <f>IF($B31=0,"",('MF Rollover'!GL31*($P31*(1+'Property Summary'!$L$22)^('MF Releasing'!GM$3-1)))*$C31)</f>
        <v/>
      </c>
      <c r="GN31" s="149" t="str">
        <f>IF($B31=0,"",('MF Rollover'!GM31*($P31*(1+'Property Summary'!$L$22)^('MF Releasing'!GN$3-1)))*$C31)</f>
        <v/>
      </c>
      <c r="GO31" s="149" t="str">
        <f>IF($B31=0,"",('MF Rollover'!GN31*($P31*(1+'Property Summary'!$L$22)^('MF Releasing'!GO$3-1)))*$C31)</f>
        <v/>
      </c>
      <c r="GP31" s="149" t="str">
        <f>IF($B31=0,"",('MF Rollover'!GO31*($P31*(1+'Property Summary'!$L$22)^('MF Releasing'!GP$3-1)))*$C31)</f>
        <v/>
      </c>
    </row>
    <row r="32" spans="2:198" x14ac:dyDescent="0.3">
      <c r="B32" s="184">
        <f>'MF Rent Roll'!B31</f>
        <v>0</v>
      </c>
      <c r="C32" s="171">
        <f>'MF Rent Roll'!C31</f>
        <v>0</v>
      </c>
      <c r="D32" s="172">
        <f>'MF Rent Roll'!D31</f>
        <v>0</v>
      </c>
      <c r="E32" s="172">
        <f>'MF Rent Roll'!E31</f>
        <v>0</v>
      </c>
      <c r="F32" s="173">
        <f>'MF Rent Roll'!F31</f>
        <v>0</v>
      </c>
      <c r="G32" s="174">
        <f>'MF Rent Roll'!G31</f>
        <v>0</v>
      </c>
      <c r="H32" s="176">
        <f>'MF Rent Roll'!J31</f>
        <v>0</v>
      </c>
      <c r="I32" s="174">
        <f>'MF Rent Roll'!K31</f>
        <v>0</v>
      </c>
      <c r="J32" s="177">
        <f>'MF Rent Roll'!L31</f>
        <v>0</v>
      </c>
      <c r="K32" s="178">
        <f>'MF Rent Roll'!M31</f>
        <v>0</v>
      </c>
      <c r="L32" s="174">
        <f>'MF Rent Roll'!N31</f>
        <v>0</v>
      </c>
      <c r="M32" s="179">
        <f>'MF Rent Roll'!O31</f>
        <v>0</v>
      </c>
      <c r="N32" s="180" t="str">
        <f>'MF Rent Roll'!P31</f>
        <v/>
      </c>
      <c r="O32" s="181" t="str">
        <f>'MF Rent Roll'!Q31</f>
        <v/>
      </c>
      <c r="P32" s="104" t="str">
        <f>'MF Rent Roll'!R31</f>
        <v/>
      </c>
      <c r="S32" s="149" t="str">
        <f>IF($B32=0,"",('MF Rollover'!R32*($P32*(1+'Property Summary'!$L$22)^('MF Releasing'!S$3-1)))*$C32)</f>
        <v/>
      </c>
      <c r="T32" s="149" t="str">
        <f>IF($B32=0,"",('MF Rollover'!S32*($P32*(1+'Property Summary'!$L$22)^('MF Releasing'!T$3-1)))*$C32)</f>
        <v/>
      </c>
      <c r="U32" s="149" t="str">
        <f>IF($B32=0,"",('MF Rollover'!T32*($P32*(1+'Property Summary'!$L$22)^('MF Releasing'!U$3-1)))*$C32)</f>
        <v/>
      </c>
      <c r="V32" s="149" t="str">
        <f>IF($B32=0,"",('MF Rollover'!U32*($P32*(1+'Property Summary'!$L$22)^('MF Releasing'!V$3-1)))*$C32)</f>
        <v/>
      </c>
      <c r="W32" s="149" t="str">
        <f>IF($B32=0,"",('MF Rollover'!V32*($P32*(1+'Property Summary'!$L$22)^('MF Releasing'!W$3-1)))*$C32)</f>
        <v/>
      </c>
      <c r="X32" s="149" t="str">
        <f>IF($B32=0,"",('MF Rollover'!W32*($P32*(1+'Property Summary'!$L$22)^('MF Releasing'!X$3-1)))*$C32)</f>
        <v/>
      </c>
      <c r="Y32" s="149" t="str">
        <f>IF($B32=0,"",('MF Rollover'!X32*($P32*(1+'Property Summary'!$L$22)^('MF Releasing'!Y$3-1)))*$C32)</f>
        <v/>
      </c>
      <c r="Z32" s="149" t="str">
        <f>IF($B32=0,"",('MF Rollover'!Y32*($P32*(1+'Property Summary'!$L$22)^('MF Releasing'!Z$3-1)))*$C32)</f>
        <v/>
      </c>
      <c r="AA32" s="149" t="str">
        <f>IF($B32=0,"",('MF Rollover'!Z32*($P32*(1+'Property Summary'!$L$22)^('MF Releasing'!AA$3-1)))*$C32)</f>
        <v/>
      </c>
      <c r="AB32" s="149" t="str">
        <f>IF($B32=0,"",('MF Rollover'!AA32*($P32*(1+'Property Summary'!$L$22)^('MF Releasing'!AB$3-1)))*$C32)</f>
        <v/>
      </c>
      <c r="AC32" s="149" t="str">
        <f>IF($B32=0,"",('MF Rollover'!AB32*($P32*(1+'Property Summary'!$L$22)^('MF Releasing'!AC$3-1)))*$C32)</f>
        <v/>
      </c>
      <c r="AD32" s="149" t="str">
        <f>IF($B32=0,"",('MF Rollover'!AC32*($P32*(1+'Property Summary'!$L$22)^('MF Releasing'!AD$3-1)))*$C32)</f>
        <v/>
      </c>
      <c r="AE32" s="149" t="str">
        <f>IF($B32=0,"",('MF Rollover'!AD32*($P32*(1+'Property Summary'!$L$22)^('MF Releasing'!AE$3-1)))*$C32)</f>
        <v/>
      </c>
      <c r="AF32" s="149" t="str">
        <f>IF($B32=0,"",('MF Rollover'!AE32*($P32*(1+'Property Summary'!$L$22)^('MF Releasing'!AF$3-1)))*$C32)</f>
        <v/>
      </c>
      <c r="AG32" s="149" t="str">
        <f>IF($B32=0,"",('MF Rollover'!AF32*($P32*(1+'Property Summary'!$L$22)^('MF Releasing'!AG$3-1)))*$C32)</f>
        <v/>
      </c>
      <c r="AH32" s="149" t="str">
        <f>IF($B32=0,"",('MF Rollover'!AG32*($P32*(1+'Property Summary'!$L$22)^('MF Releasing'!AH$3-1)))*$C32)</f>
        <v/>
      </c>
      <c r="AI32" s="149" t="str">
        <f>IF($B32=0,"",('MF Rollover'!AH32*($P32*(1+'Property Summary'!$L$22)^('MF Releasing'!AI$3-1)))*$C32)</f>
        <v/>
      </c>
      <c r="AJ32" s="149" t="str">
        <f>IF($B32=0,"",('MF Rollover'!AI32*($P32*(1+'Property Summary'!$L$22)^('MF Releasing'!AJ$3-1)))*$C32)</f>
        <v/>
      </c>
      <c r="AK32" s="149" t="str">
        <f>IF($B32=0,"",('MF Rollover'!AJ32*($P32*(1+'Property Summary'!$L$22)^('MF Releasing'!AK$3-1)))*$C32)</f>
        <v/>
      </c>
      <c r="AL32" s="149" t="str">
        <f>IF($B32=0,"",('MF Rollover'!AK32*($P32*(1+'Property Summary'!$L$22)^('MF Releasing'!AL$3-1)))*$C32)</f>
        <v/>
      </c>
      <c r="AM32" s="149" t="str">
        <f>IF($B32=0,"",('MF Rollover'!AL32*($P32*(1+'Property Summary'!$L$22)^('MF Releasing'!AM$3-1)))*$C32)</f>
        <v/>
      </c>
      <c r="AN32" s="149" t="str">
        <f>IF($B32=0,"",('MF Rollover'!AM32*($P32*(1+'Property Summary'!$L$22)^('MF Releasing'!AN$3-1)))*$C32)</f>
        <v/>
      </c>
      <c r="AO32" s="149" t="str">
        <f>IF($B32=0,"",('MF Rollover'!AN32*($P32*(1+'Property Summary'!$L$22)^('MF Releasing'!AO$3-1)))*$C32)</f>
        <v/>
      </c>
      <c r="AP32" s="149" t="str">
        <f>IF($B32=0,"",('MF Rollover'!AO32*($P32*(1+'Property Summary'!$L$22)^('MF Releasing'!AP$3-1)))*$C32)</f>
        <v/>
      </c>
      <c r="AQ32" s="149" t="str">
        <f>IF($B32=0,"",('MF Rollover'!AP32*($P32*(1+'Property Summary'!$L$22)^('MF Releasing'!AQ$3-1)))*$C32)</f>
        <v/>
      </c>
      <c r="AR32" s="149" t="str">
        <f>IF($B32=0,"",('MF Rollover'!AQ32*($P32*(1+'Property Summary'!$L$22)^('MF Releasing'!AR$3-1)))*$C32)</f>
        <v/>
      </c>
      <c r="AS32" s="149" t="str">
        <f>IF($B32=0,"",('MF Rollover'!AR32*($P32*(1+'Property Summary'!$L$22)^('MF Releasing'!AS$3-1)))*$C32)</f>
        <v/>
      </c>
      <c r="AT32" s="149" t="str">
        <f>IF($B32=0,"",('MF Rollover'!AS32*($P32*(1+'Property Summary'!$L$22)^('MF Releasing'!AT$3-1)))*$C32)</f>
        <v/>
      </c>
      <c r="AU32" s="149" t="str">
        <f>IF($B32=0,"",('MF Rollover'!AT32*($P32*(1+'Property Summary'!$L$22)^('MF Releasing'!AU$3-1)))*$C32)</f>
        <v/>
      </c>
      <c r="AV32" s="149" t="str">
        <f>IF($B32=0,"",('MF Rollover'!AU32*($P32*(1+'Property Summary'!$L$22)^('MF Releasing'!AV$3-1)))*$C32)</f>
        <v/>
      </c>
      <c r="AW32" s="149" t="str">
        <f>IF($B32=0,"",('MF Rollover'!AV32*($P32*(1+'Property Summary'!$L$22)^('MF Releasing'!AW$3-1)))*$C32)</f>
        <v/>
      </c>
      <c r="AX32" s="149" t="str">
        <f>IF($B32=0,"",('MF Rollover'!AW32*($P32*(1+'Property Summary'!$L$22)^('MF Releasing'!AX$3-1)))*$C32)</f>
        <v/>
      </c>
      <c r="AY32" s="149" t="str">
        <f>IF($B32=0,"",('MF Rollover'!AX32*($P32*(1+'Property Summary'!$L$22)^('MF Releasing'!AY$3-1)))*$C32)</f>
        <v/>
      </c>
      <c r="AZ32" s="149" t="str">
        <f>IF($B32=0,"",('MF Rollover'!AY32*($P32*(1+'Property Summary'!$L$22)^('MF Releasing'!AZ$3-1)))*$C32)</f>
        <v/>
      </c>
      <c r="BA32" s="149" t="str">
        <f>IF($B32=0,"",('MF Rollover'!AZ32*($P32*(1+'Property Summary'!$L$22)^('MF Releasing'!BA$3-1)))*$C32)</f>
        <v/>
      </c>
      <c r="BB32" s="149" t="str">
        <f>IF($B32=0,"",('MF Rollover'!BA32*($P32*(1+'Property Summary'!$L$22)^('MF Releasing'!BB$3-1)))*$C32)</f>
        <v/>
      </c>
      <c r="BC32" s="149" t="str">
        <f>IF($B32=0,"",('MF Rollover'!BB32*($P32*(1+'Property Summary'!$L$22)^('MF Releasing'!BC$3-1)))*$C32)</f>
        <v/>
      </c>
      <c r="BD32" s="149" t="str">
        <f>IF($B32=0,"",('MF Rollover'!BC32*($P32*(1+'Property Summary'!$L$22)^('MF Releasing'!BD$3-1)))*$C32)</f>
        <v/>
      </c>
      <c r="BE32" s="149" t="str">
        <f>IF($B32=0,"",('MF Rollover'!BD32*($P32*(1+'Property Summary'!$L$22)^('MF Releasing'!BE$3-1)))*$C32)</f>
        <v/>
      </c>
      <c r="BF32" s="149" t="str">
        <f>IF($B32=0,"",('MF Rollover'!BE32*($P32*(1+'Property Summary'!$L$22)^('MF Releasing'!BF$3-1)))*$C32)</f>
        <v/>
      </c>
      <c r="BG32" s="149" t="str">
        <f>IF($B32=0,"",('MF Rollover'!BF32*($P32*(1+'Property Summary'!$L$22)^('MF Releasing'!BG$3-1)))*$C32)</f>
        <v/>
      </c>
      <c r="BH32" s="149" t="str">
        <f>IF($B32=0,"",('MF Rollover'!BG32*($P32*(1+'Property Summary'!$L$22)^('MF Releasing'!BH$3-1)))*$C32)</f>
        <v/>
      </c>
      <c r="BI32" s="149" t="str">
        <f>IF($B32=0,"",('MF Rollover'!BH32*($P32*(1+'Property Summary'!$L$22)^('MF Releasing'!BI$3-1)))*$C32)</f>
        <v/>
      </c>
      <c r="BJ32" s="149" t="str">
        <f>IF($B32=0,"",('MF Rollover'!BI32*($P32*(1+'Property Summary'!$L$22)^('MF Releasing'!BJ$3-1)))*$C32)</f>
        <v/>
      </c>
      <c r="BK32" s="149" t="str">
        <f>IF($B32=0,"",('MF Rollover'!BJ32*($P32*(1+'Property Summary'!$L$22)^('MF Releasing'!BK$3-1)))*$C32)</f>
        <v/>
      </c>
      <c r="BL32" s="149" t="str">
        <f>IF($B32=0,"",('MF Rollover'!BK32*($P32*(1+'Property Summary'!$L$22)^('MF Releasing'!BL$3-1)))*$C32)</f>
        <v/>
      </c>
      <c r="BM32" s="149" t="str">
        <f>IF($B32=0,"",('MF Rollover'!BL32*($P32*(1+'Property Summary'!$L$22)^('MF Releasing'!BM$3-1)))*$C32)</f>
        <v/>
      </c>
      <c r="BN32" s="149" t="str">
        <f>IF($B32=0,"",('MF Rollover'!BM32*($P32*(1+'Property Summary'!$L$22)^('MF Releasing'!BN$3-1)))*$C32)</f>
        <v/>
      </c>
      <c r="BO32" s="149" t="str">
        <f>IF($B32=0,"",('MF Rollover'!BN32*($P32*(1+'Property Summary'!$L$22)^('MF Releasing'!BO$3-1)))*$C32)</f>
        <v/>
      </c>
      <c r="BP32" s="149" t="str">
        <f>IF($B32=0,"",('MF Rollover'!BO32*($P32*(1+'Property Summary'!$L$22)^('MF Releasing'!BP$3-1)))*$C32)</f>
        <v/>
      </c>
      <c r="BQ32" s="149" t="str">
        <f>IF($B32=0,"",('MF Rollover'!BP32*($P32*(1+'Property Summary'!$L$22)^('MF Releasing'!BQ$3-1)))*$C32)</f>
        <v/>
      </c>
      <c r="BR32" s="149" t="str">
        <f>IF($B32=0,"",('MF Rollover'!BQ32*($P32*(1+'Property Summary'!$L$22)^('MF Releasing'!BR$3-1)))*$C32)</f>
        <v/>
      </c>
      <c r="BS32" s="149" t="str">
        <f>IF($B32=0,"",('MF Rollover'!BR32*($P32*(1+'Property Summary'!$L$22)^('MF Releasing'!BS$3-1)))*$C32)</f>
        <v/>
      </c>
      <c r="BT32" s="149" t="str">
        <f>IF($B32=0,"",('MF Rollover'!BS32*($P32*(1+'Property Summary'!$L$22)^('MF Releasing'!BT$3-1)))*$C32)</f>
        <v/>
      </c>
      <c r="BU32" s="149" t="str">
        <f>IF($B32=0,"",('MF Rollover'!BT32*($P32*(1+'Property Summary'!$L$22)^('MF Releasing'!BU$3-1)))*$C32)</f>
        <v/>
      </c>
      <c r="BV32" s="149" t="str">
        <f>IF($B32=0,"",('MF Rollover'!BU32*($P32*(1+'Property Summary'!$L$22)^('MF Releasing'!BV$3-1)))*$C32)</f>
        <v/>
      </c>
      <c r="BW32" s="149" t="str">
        <f>IF($B32=0,"",('MF Rollover'!BV32*($P32*(1+'Property Summary'!$L$22)^('MF Releasing'!BW$3-1)))*$C32)</f>
        <v/>
      </c>
      <c r="BX32" s="149" t="str">
        <f>IF($B32=0,"",('MF Rollover'!BW32*($P32*(1+'Property Summary'!$L$22)^('MF Releasing'!BX$3-1)))*$C32)</f>
        <v/>
      </c>
      <c r="BY32" s="149" t="str">
        <f>IF($B32=0,"",('MF Rollover'!BX32*($P32*(1+'Property Summary'!$L$22)^('MF Releasing'!BY$3-1)))*$C32)</f>
        <v/>
      </c>
      <c r="BZ32" s="149" t="str">
        <f>IF($B32=0,"",('MF Rollover'!BY32*($P32*(1+'Property Summary'!$L$22)^('MF Releasing'!BZ$3-1)))*$C32)</f>
        <v/>
      </c>
      <c r="CA32" s="149" t="str">
        <f>IF($B32=0,"",('MF Rollover'!BZ32*($P32*(1+'Property Summary'!$L$22)^('MF Releasing'!CA$3-1)))*$C32)</f>
        <v/>
      </c>
      <c r="CB32" s="149" t="str">
        <f>IF($B32=0,"",('MF Rollover'!CA32*($P32*(1+'Property Summary'!$L$22)^('MF Releasing'!CB$3-1)))*$C32)</f>
        <v/>
      </c>
      <c r="CC32" s="149" t="str">
        <f>IF($B32=0,"",('MF Rollover'!CB32*($P32*(1+'Property Summary'!$L$22)^('MF Releasing'!CC$3-1)))*$C32)</f>
        <v/>
      </c>
      <c r="CD32" s="149" t="str">
        <f>IF($B32=0,"",('MF Rollover'!CC32*($P32*(1+'Property Summary'!$L$22)^('MF Releasing'!CD$3-1)))*$C32)</f>
        <v/>
      </c>
      <c r="CE32" s="149" t="str">
        <f>IF($B32=0,"",('MF Rollover'!CD32*($P32*(1+'Property Summary'!$L$22)^('MF Releasing'!CE$3-1)))*$C32)</f>
        <v/>
      </c>
      <c r="CF32" s="149" t="str">
        <f>IF($B32=0,"",('MF Rollover'!CE32*($P32*(1+'Property Summary'!$L$22)^('MF Releasing'!CF$3-1)))*$C32)</f>
        <v/>
      </c>
      <c r="CG32" s="149" t="str">
        <f>IF($B32=0,"",('MF Rollover'!CF32*($P32*(1+'Property Summary'!$L$22)^('MF Releasing'!CG$3-1)))*$C32)</f>
        <v/>
      </c>
      <c r="CH32" s="149" t="str">
        <f>IF($B32=0,"",('MF Rollover'!CG32*($P32*(1+'Property Summary'!$L$22)^('MF Releasing'!CH$3-1)))*$C32)</f>
        <v/>
      </c>
      <c r="CI32" s="149" t="str">
        <f>IF($B32=0,"",('MF Rollover'!CH32*($P32*(1+'Property Summary'!$L$22)^('MF Releasing'!CI$3-1)))*$C32)</f>
        <v/>
      </c>
      <c r="CJ32" s="149" t="str">
        <f>IF($B32=0,"",('MF Rollover'!CI32*($P32*(1+'Property Summary'!$L$22)^('MF Releasing'!CJ$3-1)))*$C32)</f>
        <v/>
      </c>
      <c r="CK32" s="149" t="str">
        <f>IF($B32=0,"",('MF Rollover'!CJ32*($P32*(1+'Property Summary'!$L$22)^('MF Releasing'!CK$3-1)))*$C32)</f>
        <v/>
      </c>
      <c r="CL32" s="149" t="str">
        <f>IF($B32=0,"",('MF Rollover'!CK32*($P32*(1+'Property Summary'!$L$22)^('MF Releasing'!CL$3-1)))*$C32)</f>
        <v/>
      </c>
      <c r="CM32" s="149" t="str">
        <f>IF($B32=0,"",('MF Rollover'!CL32*($P32*(1+'Property Summary'!$L$22)^('MF Releasing'!CM$3-1)))*$C32)</f>
        <v/>
      </c>
      <c r="CN32" s="149" t="str">
        <f>IF($B32=0,"",('MF Rollover'!CM32*($P32*(1+'Property Summary'!$L$22)^('MF Releasing'!CN$3-1)))*$C32)</f>
        <v/>
      </c>
      <c r="CO32" s="149" t="str">
        <f>IF($B32=0,"",('MF Rollover'!CN32*($P32*(1+'Property Summary'!$L$22)^('MF Releasing'!CO$3-1)))*$C32)</f>
        <v/>
      </c>
      <c r="CP32" s="149" t="str">
        <f>IF($B32=0,"",('MF Rollover'!CO32*($P32*(1+'Property Summary'!$L$22)^('MF Releasing'!CP$3-1)))*$C32)</f>
        <v/>
      </c>
      <c r="CQ32" s="149" t="str">
        <f>IF($B32=0,"",('MF Rollover'!CP32*($P32*(1+'Property Summary'!$L$22)^('MF Releasing'!CQ$3-1)))*$C32)</f>
        <v/>
      </c>
      <c r="CR32" s="149" t="str">
        <f>IF($B32=0,"",('MF Rollover'!CQ32*($P32*(1+'Property Summary'!$L$22)^('MF Releasing'!CR$3-1)))*$C32)</f>
        <v/>
      </c>
      <c r="CS32" s="149" t="str">
        <f>IF($B32=0,"",('MF Rollover'!CR32*($P32*(1+'Property Summary'!$L$22)^('MF Releasing'!CS$3-1)))*$C32)</f>
        <v/>
      </c>
      <c r="CT32" s="149" t="str">
        <f>IF($B32=0,"",('MF Rollover'!CS32*($P32*(1+'Property Summary'!$L$22)^('MF Releasing'!CT$3-1)))*$C32)</f>
        <v/>
      </c>
      <c r="CU32" s="149" t="str">
        <f>IF($B32=0,"",('MF Rollover'!CT32*($P32*(1+'Property Summary'!$L$22)^('MF Releasing'!CU$3-1)))*$C32)</f>
        <v/>
      </c>
      <c r="CV32" s="149" t="str">
        <f>IF($B32=0,"",('MF Rollover'!CU32*($P32*(1+'Property Summary'!$L$22)^('MF Releasing'!CV$3-1)))*$C32)</f>
        <v/>
      </c>
      <c r="CW32" s="149" t="str">
        <f>IF($B32=0,"",('MF Rollover'!CV32*($P32*(1+'Property Summary'!$L$22)^('MF Releasing'!CW$3-1)))*$C32)</f>
        <v/>
      </c>
      <c r="CX32" s="149" t="str">
        <f>IF($B32=0,"",('MF Rollover'!CW32*($P32*(1+'Property Summary'!$L$22)^('MF Releasing'!CX$3-1)))*$C32)</f>
        <v/>
      </c>
      <c r="CY32" s="149" t="str">
        <f>IF($B32=0,"",('MF Rollover'!CX32*($P32*(1+'Property Summary'!$L$22)^('MF Releasing'!CY$3-1)))*$C32)</f>
        <v/>
      </c>
      <c r="CZ32" s="149" t="str">
        <f>IF($B32=0,"",('MF Rollover'!CY32*($P32*(1+'Property Summary'!$L$22)^('MF Releasing'!CZ$3-1)))*$C32)</f>
        <v/>
      </c>
      <c r="DA32" s="149" t="str">
        <f>IF($B32=0,"",('MF Rollover'!CZ32*($P32*(1+'Property Summary'!$L$22)^('MF Releasing'!DA$3-1)))*$C32)</f>
        <v/>
      </c>
      <c r="DB32" s="149" t="str">
        <f>IF($B32=0,"",('MF Rollover'!DA32*($P32*(1+'Property Summary'!$L$22)^('MF Releasing'!DB$3-1)))*$C32)</f>
        <v/>
      </c>
      <c r="DC32" s="149" t="str">
        <f>IF($B32=0,"",('MF Rollover'!DB32*($P32*(1+'Property Summary'!$L$22)^('MF Releasing'!DC$3-1)))*$C32)</f>
        <v/>
      </c>
      <c r="DD32" s="149" t="str">
        <f>IF($B32=0,"",('MF Rollover'!DC32*($P32*(1+'Property Summary'!$L$22)^('MF Releasing'!DD$3-1)))*$C32)</f>
        <v/>
      </c>
      <c r="DE32" s="149" t="str">
        <f>IF($B32=0,"",('MF Rollover'!DD32*($P32*(1+'Property Summary'!$L$22)^('MF Releasing'!DE$3-1)))*$C32)</f>
        <v/>
      </c>
      <c r="DF32" s="149" t="str">
        <f>IF($B32=0,"",('MF Rollover'!DE32*($P32*(1+'Property Summary'!$L$22)^('MF Releasing'!DF$3-1)))*$C32)</f>
        <v/>
      </c>
      <c r="DG32" s="149" t="str">
        <f>IF($B32=0,"",('MF Rollover'!DF32*($P32*(1+'Property Summary'!$L$22)^('MF Releasing'!DG$3-1)))*$C32)</f>
        <v/>
      </c>
      <c r="DH32" s="149" t="str">
        <f>IF($B32=0,"",('MF Rollover'!DG32*($P32*(1+'Property Summary'!$L$22)^('MF Releasing'!DH$3-1)))*$C32)</f>
        <v/>
      </c>
      <c r="DI32" s="149" t="str">
        <f>IF($B32=0,"",('MF Rollover'!DH32*($P32*(1+'Property Summary'!$L$22)^('MF Releasing'!DI$3-1)))*$C32)</f>
        <v/>
      </c>
      <c r="DJ32" s="149" t="str">
        <f>IF($B32=0,"",('MF Rollover'!DI32*($P32*(1+'Property Summary'!$L$22)^('MF Releasing'!DJ$3-1)))*$C32)</f>
        <v/>
      </c>
      <c r="DK32" s="149" t="str">
        <f>IF($B32=0,"",('MF Rollover'!DJ32*($P32*(1+'Property Summary'!$L$22)^('MF Releasing'!DK$3-1)))*$C32)</f>
        <v/>
      </c>
      <c r="DL32" s="149" t="str">
        <f>IF($B32=0,"",('MF Rollover'!DK32*($P32*(1+'Property Summary'!$L$22)^('MF Releasing'!DL$3-1)))*$C32)</f>
        <v/>
      </c>
      <c r="DM32" s="149" t="str">
        <f>IF($B32=0,"",('MF Rollover'!DL32*($P32*(1+'Property Summary'!$L$22)^('MF Releasing'!DM$3-1)))*$C32)</f>
        <v/>
      </c>
      <c r="DN32" s="149" t="str">
        <f>IF($B32=0,"",('MF Rollover'!DM32*($P32*(1+'Property Summary'!$L$22)^('MF Releasing'!DN$3-1)))*$C32)</f>
        <v/>
      </c>
      <c r="DO32" s="149" t="str">
        <f>IF($B32=0,"",('MF Rollover'!DN32*($P32*(1+'Property Summary'!$L$22)^('MF Releasing'!DO$3-1)))*$C32)</f>
        <v/>
      </c>
      <c r="DP32" s="149" t="str">
        <f>IF($B32=0,"",('MF Rollover'!DO32*($P32*(1+'Property Summary'!$L$22)^('MF Releasing'!DP$3-1)))*$C32)</f>
        <v/>
      </c>
      <c r="DQ32" s="149" t="str">
        <f>IF($B32=0,"",('MF Rollover'!DP32*($P32*(1+'Property Summary'!$L$22)^('MF Releasing'!DQ$3-1)))*$C32)</f>
        <v/>
      </c>
      <c r="DR32" s="149" t="str">
        <f>IF($B32=0,"",('MF Rollover'!DQ32*($P32*(1+'Property Summary'!$L$22)^('MF Releasing'!DR$3-1)))*$C32)</f>
        <v/>
      </c>
      <c r="DS32" s="149" t="str">
        <f>IF($B32=0,"",('MF Rollover'!DR32*($P32*(1+'Property Summary'!$L$22)^('MF Releasing'!DS$3-1)))*$C32)</f>
        <v/>
      </c>
      <c r="DT32" s="149" t="str">
        <f>IF($B32=0,"",('MF Rollover'!DS32*($P32*(1+'Property Summary'!$L$22)^('MF Releasing'!DT$3-1)))*$C32)</f>
        <v/>
      </c>
      <c r="DU32" s="149" t="str">
        <f>IF($B32=0,"",('MF Rollover'!DT32*($P32*(1+'Property Summary'!$L$22)^('MF Releasing'!DU$3-1)))*$C32)</f>
        <v/>
      </c>
      <c r="DV32" s="149" t="str">
        <f>IF($B32=0,"",('MF Rollover'!DU32*($P32*(1+'Property Summary'!$L$22)^('MF Releasing'!DV$3-1)))*$C32)</f>
        <v/>
      </c>
      <c r="DW32" s="149" t="str">
        <f>IF($B32=0,"",('MF Rollover'!DV32*($P32*(1+'Property Summary'!$L$22)^('MF Releasing'!DW$3-1)))*$C32)</f>
        <v/>
      </c>
      <c r="DX32" s="149" t="str">
        <f>IF($B32=0,"",('MF Rollover'!DW32*($P32*(1+'Property Summary'!$L$22)^('MF Releasing'!DX$3-1)))*$C32)</f>
        <v/>
      </c>
      <c r="DY32" s="149" t="str">
        <f>IF($B32=0,"",('MF Rollover'!DX32*($P32*(1+'Property Summary'!$L$22)^('MF Releasing'!DY$3-1)))*$C32)</f>
        <v/>
      </c>
      <c r="DZ32" s="149" t="str">
        <f>IF($B32=0,"",('MF Rollover'!DY32*($P32*(1+'Property Summary'!$L$22)^('MF Releasing'!DZ$3-1)))*$C32)</f>
        <v/>
      </c>
      <c r="EA32" s="149" t="str">
        <f>IF($B32=0,"",('MF Rollover'!DZ32*($P32*(1+'Property Summary'!$L$22)^('MF Releasing'!EA$3-1)))*$C32)</f>
        <v/>
      </c>
      <c r="EB32" s="149" t="str">
        <f>IF($B32=0,"",('MF Rollover'!EA32*($P32*(1+'Property Summary'!$L$22)^('MF Releasing'!EB$3-1)))*$C32)</f>
        <v/>
      </c>
      <c r="EC32" s="149" t="str">
        <f>IF($B32=0,"",('MF Rollover'!EB32*($P32*(1+'Property Summary'!$L$22)^('MF Releasing'!EC$3-1)))*$C32)</f>
        <v/>
      </c>
      <c r="ED32" s="149" t="str">
        <f>IF($B32=0,"",('MF Rollover'!EC32*($P32*(1+'Property Summary'!$L$22)^('MF Releasing'!ED$3-1)))*$C32)</f>
        <v/>
      </c>
      <c r="EE32" s="149" t="str">
        <f>IF($B32=0,"",('MF Rollover'!ED32*($P32*(1+'Property Summary'!$L$22)^('MF Releasing'!EE$3-1)))*$C32)</f>
        <v/>
      </c>
      <c r="EF32" s="149" t="str">
        <f>IF($B32=0,"",('MF Rollover'!EE32*($P32*(1+'Property Summary'!$L$22)^('MF Releasing'!EF$3-1)))*$C32)</f>
        <v/>
      </c>
      <c r="EG32" s="149" t="str">
        <f>IF($B32=0,"",('MF Rollover'!EF32*($P32*(1+'Property Summary'!$L$22)^('MF Releasing'!EG$3-1)))*$C32)</f>
        <v/>
      </c>
      <c r="EH32" s="149" t="str">
        <f>IF($B32=0,"",('MF Rollover'!EG32*($P32*(1+'Property Summary'!$L$22)^('MF Releasing'!EH$3-1)))*$C32)</f>
        <v/>
      </c>
      <c r="EI32" s="149" t="str">
        <f>IF($B32=0,"",('MF Rollover'!EH32*($P32*(1+'Property Summary'!$L$22)^('MF Releasing'!EI$3-1)))*$C32)</f>
        <v/>
      </c>
      <c r="EJ32" s="149" t="str">
        <f>IF($B32=0,"",('MF Rollover'!EI32*($P32*(1+'Property Summary'!$L$22)^('MF Releasing'!EJ$3-1)))*$C32)</f>
        <v/>
      </c>
      <c r="EK32" s="149" t="str">
        <f>IF($B32=0,"",('MF Rollover'!EJ32*($P32*(1+'Property Summary'!$L$22)^('MF Releasing'!EK$3-1)))*$C32)</f>
        <v/>
      </c>
      <c r="EL32" s="149" t="str">
        <f>IF($B32=0,"",('MF Rollover'!EK32*($P32*(1+'Property Summary'!$L$22)^('MF Releasing'!EL$3-1)))*$C32)</f>
        <v/>
      </c>
      <c r="EM32" s="149" t="str">
        <f>IF($B32=0,"",('MF Rollover'!EL32*($P32*(1+'Property Summary'!$L$22)^('MF Releasing'!EM$3-1)))*$C32)</f>
        <v/>
      </c>
      <c r="EN32" s="149" t="str">
        <f>IF($B32=0,"",('MF Rollover'!EM32*($P32*(1+'Property Summary'!$L$22)^('MF Releasing'!EN$3-1)))*$C32)</f>
        <v/>
      </c>
      <c r="EO32" s="149" t="str">
        <f>IF($B32=0,"",('MF Rollover'!EN32*($P32*(1+'Property Summary'!$L$22)^('MF Releasing'!EO$3-1)))*$C32)</f>
        <v/>
      </c>
      <c r="EP32" s="149" t="str">
        <f>IF($B32=0,"",('MF Rollover'!EO32*($P32*(1+'Property Summary'!$L$22)^('MF Releasing'!EP$3-1)))*$C32)</f>
        <v/>
      </c>
      <c r="EQ32" s="149" t="str">
        <f>IF($B32=0,"",('MF Rollover'!EP32*($P32*(1+'Property Summary'!$L$22)^('MF Releasing'!EQ$3-1)))*$C32)</f>
        <v/>
      </c>
      <c r="ER32" s="149" t="str">
        <f>IF($B32=0,"",('MF Rollover'!EQ32*($P32*(1+'Property Summary'!$L$22)^('MF Releasing'!ER$3-1)))*$C32)</f>
        <v/>
      </c>
      <c r="ES32" s="149" t="str">
        <f>IF($B32=0,"",('MF Rollover'!ER32*($P32*(1+'Property Summary'!$L$22)^('MF Releasing'!ES$3-1)))*$C32)</f>
        <v/>
      </c>
      <c r="ET32" s="149" t="str">
        <f>IF($B32=0,"",('MF Rollover'!ES32*($P32*(1+'Property Summary'!$L$22)^('MF Releasing'!ET$3-1)))*$C32)</f>
        <v/>
      </c>
      <c r="EU32" s="149" t="str">
        <f>IF($B32=0,"",('MF Rollover'!ET32*($P32*(1+'Property Summary'!$L$22)^('MF Releasing'!EU$3-1)))*$C32)</f>
        <v/>
      </c>
      <c r="EV32" s="149" t="str">
        <f>IF($B32=0,"",('MF Rollover'!EU32*($P32*(1+'Property Summary'!$L$22)^('MF Releasing'!EV$3-1)))*$C32)</f>
        <v/>
      </c>
      <c r="EW32" s="149" t="str">
        <f>IF($B32=0,"",('MF Rollover'!EV32*($P32*(1+'Property Summary'!$L$22)^('MF Releasing'!EW$3-1)))*$C32)</f>
        <v/>
      </c>
      <c r="EX32" s="149" t="str">
        <f>IF($B32=0,"",('MF Rollover'!EW32*($P32*(1+'Property Summary'!$L$22)^('MF Releasing'!EX$3-1)))*$C32)</f>
        <v/>
      </c>
      <c r="EY32" s="149" t="str">
        <f>IF($B32=0,"",('MF Rollover'!EX32*($P32*(1+'Property Summary'!$L$22)^('MF Releasing'!EY$3-1)))*$C32)</f>
        <v/>
      </c>
      <c r="EZ32" s="149" t="str">
        <f>IF($B32=0,"",('MF Rollover'!EY32*($P32*(1+'Property Summary'!$L$22)^('MF Releasing'!EZ$3-1)))*$C32)</f>
        <v/>
      </c>
      <c r="FA32" s="149" t="str">
        <f>IF($B32=0,"",('MF Rollover'!EZ32*($P32*(1+'Property Summary'!$L$22)^('MF Releasing'!FA$3-1)))*$C32)</f>
        <v/>
      </c>
      <c r="FB32" s="149" t="str">
        <f>IF($B32=0,"",('MF Rollover'!FA32*($P32*(1+'Property Summary'!$L$22)^('MF Releasing'!FB$3-1)))*$C32)</f>
        <v/>
      </c>
      <c r="FC32" s="149" t="str">
        <f>IF($B32=0,"",('MF Rollover'!FB32*($P32*(1+'Property Summary'!$L$22)^('MF Releasing'!FC$3-1)))*$C32)</f>
        <v/>
      </c>
      <c r="FD32" s="149" t="str">
        <f>IF($B32=0,"",('MF Rollover'!FC32*($P32*(1+'Property Summary'!$L$22)^('MF Releasing'!FD$3-1)))*$C32)</f>
        <v/>
      </c>
      <c r="FE32" s="149" t="str">
        <f>IF($B32=0,"",('MF Rollover'!FD32*($P32*(1+'Property Summary'!$L$22)^('MF Releasing'!FE$3-1)))*$C32)</f>
        <v/>
      </c>
      <c r="FF32" s="149" t="str">
        <f>IF($B32=0,"",('MF Rollover'!FE32*($P32*(1+'Property Summary'!$L$22)^('MF Releasing'!FF$3-1)))*$C32)</f>
        <v/>
      </c>
      <c r="FG32" s="149" t="str">
        <f>IF($B32=0,"",('MF Rollover'!FF32*($P32*(1+'Property Summary'!$L$22)^('MF Releasing'!FG$3-1)))*$C32)</f>
        <v/>
      </c>
      <c r="FH32" s="149" t="str">
        <f>IF($B32=0,"",('MF Rollover'!FG32*($P32*(1+'Property Summary'!$L$22)^('MF Releasing'!FH$3-1)))*$C32)</f>
        <v/>
      </c>
      <c r="FI32" s="149" t="str">
        <f>IF($B32=0,"",('MF Rollover'!FH32*($P32*(1+'Property Summary'!$L$22)^('MF Releasing'!FI$3-1)))*$C32)</f>
        <v/>
      </c>
      <c r="FJ32" s="149" t="str">
        <f>IF($B32=0,"",('MF Rollover'!FI32*($P32*(1+'Property Summary'!$L$22)^('MF Releasing'!FJ$3-1)))*$C32)</f>
        <v/>
      </c>
      <c r="FK32" s="149" t="str">
        <f>IF($B32=0,"",('MF Rollover'!FJ32*($P32*(1+'Property Summary'!$L$22)^('MF Releasing'!FK$3-1)))*$C32)</f>
        <v/>
      </c>
      <c r="FL32" s="149" t="str">
        <f>IF($B32=0,"",('MF Rollover'!FK32*($P32*(1+'Property Summary'!$L$22)^('MF Releasing'!FL$3-1)))*$C32)</f>
        <v/>
      </c>
      <c r="FM32" s="149" t="str">
        <f>IF($B32=0,"",('MF Rollover'!FL32*($P32*(1+'Property Summary'!$L$22)^('MF Releasing'!FM$3-1)))*$C32)</f>
        <v/>
      </c>
      <c r="FN32" s="149" t="str">
        <f>IF($B32=0,"",('MF Rollover'!FM32*($P32*(1+'Property Summary'!$L$22)^('MF Releasing'!FN$3-1)))*$C32)</f>
        <v/>
      </c>
      <c r="FO32" s="149" t="str">
        <f>IF($B32=0,"",('MF Rollover'!FN32*($P32*(1+'Property Summary'!$L$22)^('MF Releasing'!FO$3-1)))*$C32)</f>
        <v/>
      </c>
      <c r="FP32" s="149" t="str">
        <f>IF($B32=0,"",('MF Rollover'!FO32*($P32*(1+'Property Summary'!$L$22)^('MF Releasing'!FP$3-1)))*$C32)</f>
        <v/>
      </c>
      <c r="FQ32" s="149" t="str">
        <f>IF($B32=0,"",('MF Rollover'!FP32*($P32*(1+'Property Summary'!$L$22)^('MF Releasing'!FQ$3-1)))*$C32)</f>
        <v/>
      </c>
      <c r="FR32" s="149" t="str">
        <f>IF($B32=0,"",('MF Rollover'!FQ32*($P32*(1+'Property Summary'!$L$22)^('MF Releasing'!FR$3-1)))*$C32)</f>
        <v/>
      </c>
      <c r="FS32" s="149" t="str">
        <f>IF($B32=0,"",('MF Rollover'!FR32*($P32*(1+'Property Summary'!$L$22)^('MF Releasing'!FS$3-1)))*$C32)</f>
        <v/>
      </c>
      <c r="FT32" s="149" t="str">
        <f>IF($B32=0,"",('MF Rollover'!FS32*($P32*(1+'Property Summary'!$L$22)^('MF Releasing'!FT$3-1)))*$C32)</f>
        <v/>
      </c>
      <c r="FU32" s="149" t="str">
        <f>IF($B32=0,"",('MF Rollover'!FT32*($P32*(1+'Property Summary'!$L$22)^('MF Releasing'!FU$3-1)))*$C32)</f>
        <v/>
      </c>
      <c r="FV32" s="149" t="str">
        <f>IF($B32=0,"",('MF Rollover'!FU32*($P32*(1+'Property Summary'!$L$22)^('MF Releasing'!FV$3-1)))*$C32)</f>
        <v/>
      </c>
      <c r="FW32" s="149" t="str">
        <f>IF($B32=0,"",('MF Rollover'!FV32*($P32*(1+'Property Summary'!$L$22)^('MF Releasing'!FW$3-1)))*$C32)</f>
        <v/>
      </c>
      <c r="FX32" s="149" t="str">
        <f>IF($B32=0,"",('MF Rollover'!FW32*($P32*(1+'Property Summary'!$L$22)^('MF Releasing'!FX$3-1)))*$C32)</f>
        <v/>
      </c>
      <c r="FY32" s="149" t="str">
        <f>IF($B32=0,"",('MF Rollover'!FX32*($P32*(1+'Property Summary'!$L$22)^('MF Releasing'!FY$3-1)))*$C32)</f>
        <v/>
      </c>
      <c r="FZ32" s="149" t="str">
        <f>IF($B32=0,"",('MF Rollover'!FY32*($P32*(1+'Property Summary'!$L$22)^('MF Releasing'!FZ$3-1)))*$C32)</f>
        <v/>
      </c>
      <c r="GA32" s="149" t="str">
        <f>IF($B32=0,"",('MF Rollover'!FZ32*($P32*(1+'Property Summary'!$L$22)^('MF Releasing'!GA$3-1)))*$C32)</f>
        <v/>
      </c>
      <c r="GB32" s="149" t="str">
        <f>IF($B32=0,"",('MF Rollover'!GA32*($P32*(1+'Property Summary'!$L$22)^('MF Releasing'!GB$3-1)))*$C32)</f>
        <v/>
      </c>
      <c r="GC32" s="149" t="str">
        <f>IF($B32=0,"",('MF Rollover'!GB32*($P32*(1+'Property Summary'!$L$22)^('MF Releasing'!GC$3-1)))*$C32)</f>
        <v/>
      </c>
      <c r="GD32" s="149" t="str">
        <f>IF($B32=0,"",('MF Rollover'!GC32*($P32*(1+'Property Summary'!$L$22)^('MF Releasing'!GD$3-1)))*$C32)</f>
        <v/>
      </c>
      <c r="GE32" s="149" t="str">
        <f>IF($B32=0,"",('MF Rollover'!GD32*($P32*(1+'Property Summary'!$L$22)^('MF Releasing'!GE$3-1)))*$C32)</f>
        <v/>
      </c>
      <c r="GF32" s="149" t="str">
        <f>IF($B32=0,"",('MF Rollover'!GE32*($P32*(1+'Property Summary'!$L$22)^('MF Releasing'!GF$3-1)))*$C32)</f>
        <v/>
      </c>
      <c r="GG32" s="149" t="str">
        <f>IF($B32=0,"",('MF Rollover'!GF32*($P32*(1+'Property Summary'!$L$22)^('MF Releasing'!GG$3-1)))*$C32)</f>
        <v/>
      </c>
      <c r="GH32" s="149" t="str">
        <f>IF($B32=0,"",('MF Rollover'!GG32*($P32*(1+'Property Summary'!$L$22)^('MF Releasing'!GH$3-1)))*$C32)</f>
        <v/>
      </c>
      <c r="GI32" s="149" t="str">
        <f>IF($B32=0,"",('MF Rollover'!GH32*($P32*(1+'Property Summary'!$L$22)^('MF Releasing'!GI$3-1)))*$C32)</f>
        <v/>
      </c>
      <c r="GJ32" s="149" t="str">
        <f>IF($B32=0,"",('MF Rollover'!GI32*($P32*(1+'Property Summary'!$L$22)^('MF Releasing'!GJ$3-1)))*$C32)</f>
        <v/>
      </c>
      <c r="GK32" s="149" t="str">
        <f>IF($B32=0,"",('MF Rollover'!GJ32*($P32*(1+'Property Summary'!$L$22)^('MF Releasing'!GK$3-1)))*$C32)</f>
        <v/>
      </c>
      <c r="GL32" s="149" t="str">
        <f>IF($B32=0,"",('MF Rollover'!GK32*($P32*(1+'Property Summary'!$L$22)^('MF Releasing'!GL$3-1)))*$C32)</f>
        <v/>
      </c>
      <c r="GM32" s="149" t="str">
        <f>IF($B32=0,"",('MF Rollover'!GL32*($P32*(1+'Property Summary'!$L$22)^('MF Releasing'!GM$3-1)))*$C32)</f>
        <v/>
      </c>
      <c r="GN32" s="149" t="str">
        <f>IF($B32=0,"",('MF Rollover'!GM32*($P32*(1+'Property Summary'!$L$22)^('MF Releasing'!GN$3-1)))*$C32)</f>
        <v/>
      </c>
      <c r="GO32" s="149" t="str">
        <f>IF($B32=0,"",('MF Rollover'!GN32*($P32*(1+'Property Summary'!$L$22)^('MF Releasing'!GO$3-1)))*$C32)</f>
        <v/>
      </c>
      <c r="GP32" s="149" t="str">
        <f>IF($B32=0,"",('MF Rollover'!GO32*($P32*(1+'Property Summary'!$L$22)^('MF Releasing'!GP$3-1)))*$C32)</f>
        <v/>
      </c>
    </row>
    <row r="33" spans="2:198" x14ac:dyDescent="0.3">
      <c r="B33" s="184">
        <f>'MF Rent Roll'!B32</f>
        <v>0</v>
      </c>
      <c r="C33" s="171">
        <f>'MF Rent Roll'!C32</f>
        <v>0</v>
      </c>
      <c r="D33" s="172">
        <f>'MF Rent Roll'!D32</f>
        <v>0</v>
      </c>
      <c r="E33" s="172">
        <f>'MF Rent Roll'!E32</f>
        <v>0</v>
      </c>
      <c r="F33" s="173">
        <f>'MF Rent Roll'!F32</f>
        <v>0</v>
      </c>
      <c r="G33" s="174">
        <f>'MF Rent Roll'!G32</f>
        <v>0</v>
      </c>
      <c r="H33" s="176">
        <f>'MF Rent Roll'!J32</f>
        <v>0</v>
      </c>
      <c r="I33" s="174">
        <f>'MF Rent Roll'!K32</f>
        <v>0</v>
      </c>
      <c r="J33" s="177">
        <f>'MF Rent Roll'!L32</f>
        <v>0</v>
      </c>
      <c r="K33" s="178">
        <f>'MF Rent Roll'!M32</f>
        <v>0</v>
      </c>
      <c r="L33" s="174">
        <f>'MF Rent Roll'!N32</f>
        <v>0</v>
      </c>
      <c r="M33" s="179">
        <f>'MF Rent Roll'!O32</f>
        <v>0</v>
      </c>
      <c r="N33" s="180" t="str">
        <f>'MF Rent Roll'!P32</f>
        <v/>
      </c>
      <c r="O33" s="181" t="str">
        <f>'MF Rent Roll'!Q32</f>
        <v/>
      </c>
      <c r="P33" s="104" t="str">
        <f>'MF Rent Roll'!R32</f>
        <v/>
      </c>
      <c r="S33" s="149" t="str">
        <f>IF($B33=0,"",('MF Rollover'!R33*($P33*(1+'Property Summary'!$L$22)^('MF Releasing'!S$3-1)))*$C33)</f>
        <v/>
      </c>
      <c r="T33" s="149" t="str">
        <f>IF($B33=0,"",('MF Rollover'!S33*($P33*(1+'Property Summary'!$L$22)^('MF Releasing'!T$3-1)))*$C33)</f>
        <v/>
      </c>
      <c r="U33" s="149" t="str">
        <f>IF($B33=0,"",('MF Rollover'!T33*($P33*(1+'Property Summary'!$L$22)^('MF Releasing'!U$3-1)))*$C33)</f>
        <v/>
      </c>
      <c r="V33" s="149" t="str">
        <f>IF($B33=0,"",('MF Rollover'!U33*($P33*(1+'Property Summary'!$L$22)^('MF Releasing'!V$3-1)))*$C33)</f>
        <v/>
      </c>
      <c r="W33" s="149" t="str">
        <f>IF($B33=0,"",('MF Rollover'!V33*($P33*(1+'Property Summary'!$L$22)^('MF Releasing'!W$3-1)))*$C33)</f>
        <v/>
      </c>
      <c r="X33" s="149" t="str">
        <f>IF($B33=0,"",('MF Rollover'!W33*($P33*(1+'Property Summary'!$L$22)^('MF Releasing'!X$3-1)))*$C33)</f>
        <v/>
      </c>
      <c r="Y33" s="149" t="str">
        <f>IF($B33=0,"",('MF Rollover'!X33*($P33*(1+'Property Summary'!$L$22)^('MF Releasing'!Y$3-1)))*$C33)</f>
        <v/>
      </c>
      <c r="Z33" s="149" t="str">
        <f>IF($B33=0,"",('MF Rollover'!Y33*($P33*(1+'Property Summary'!$L$22)^('MF Releasing'!Z$3-1)))*$C33)</f>
        <v/>
      </c>
      <c r="AA33" s="149" t="str">
        <f>IF($B33=0,"",('MF Rollover'!Z33*($P33*(1+'Property Summary'!$L$22)^('MF Releasing'!AA$3-1)))*$C33)</f>
        <v/>
      </c>
      <c r="AB33" s="149" t="str">
        <f>IF($B33=0,"",('MF Rollover'!AA33*($P33*(1+'Property Summary'!$L$22)^('MF Releasing'!AB$3-1)))*$C33)</f>
        <v/>
      </c>
      <c r="AC33" s="149" t="str">
        <f>IF($B33=0,"",('MF Rollover'!AB33*($P33*(1+'Property Summary'!$L$22)^('MF Releasing'!AC$3-1)))*$C33)</f>
        <v/>
      </c>
      <c r="AD33" s="149" t="str">
        <f>IF($B33=0,"",('MF Rollover'!AC33*($P33*(1+'Property Summary'!$L$22)^('MF Releasing'!AD$3-1)))*$C33)</f>
        <v/>
      </c>
      <c r="AE33" s="149" t="str">
        <f>IF($B33=0,"",('MF Rollover'!AD33*($P33*(1+'Property Summary'!$L$22)^('MF Releasing'!AE$3-1)))*$C33)</f>
        <v/>
      </c>
      <c r="AF33" s="149" t="str">
        <f>IF($B33=0,"",('MF Rollover'!AE33*($P33*(1+'Property Summary'!$L$22)^('MF Releasing'!AF$3-1)))*$C33)</f>
        <v/>
      </c>
      <c r="AG33" s="149" t="str">
        <f>IF($B33=0,"",('MF Rollover'!AF33*($P33*(1+'Property Summary'!$L$22)^('MF Releasing'!AG$3-1)))*$C33)</f>
        <v/>
      </c>
      <c r="AH33" s="149" t="str">
        <f>IF($B33=0,"",('MF Rollover'!AG33*($P33*(1+'Property Summary'!$L$22)^('MF Releasing'!AH$3-1)))*$C33)</f>
        <v/>
      </c>
      <c r="AI33" s="149" t="str">
        <f>IF($B33=0,"",('MF Rollover'!AH33*($P33*(1+'Property Summary'!$L$22)^('MF Releasing'!AI$3-1)))*$C33)</f>
        <v/>
      </c>
      <c r="AJ33" s="149" t="str">
        <f>IF($B33=0,"",('MF Rollover'!AI33*($P33*(1+'Property Summary'!$L$22)^('MF Releasing'!AJ$3-1)))*$C33)</f>
        <v/>
      </c>
      <c r="AK33" s="149" t="str">
        <f>IF($B33=0,"",('MF Rollover'!AJ33*($P33*(1+'Property Summary'!$L$22)^('MF Releasing'!AK$3-1)))*$C33)</f>
        <v/>
      </c>
      <c r="AL33" s="149" t="str">
        <f>IF($B33=0,"",('MF Rollover'!AK33*($P33*(1+'Property Summary'!$L$22)^('MF Releasing'!AL$3-1)))*$C33)</f>
        <v/>
      </c>
      <c r="AM33" s="149" t="str">
        <f>IF($B33=0,"",('MF Rollover'!AL33*($P33*(1+'Property Summary'!$L$22)^('MF Releasing'!AM$3-1)))*$C33)</f>
        <v/>
      </c>
      <c r="AN33" s="149" t="str">
        <f>IF($B33=0,"",('MF Rollover'!AM33*($P33*(1+'Property Summary'!$L$22)^('MF Releasing'!AN$3-1)))*$C33)</f>
        <v/>
      </c>
      <c r="AO33" s="149" t="str">
        <f>IF($B33=0,"",('MF Rollover'!AN33*($P33*(1+'Property Summary'!$L$22)^('MF Releasing'!AO$3-1)))*$C33)</f>
        <v/>
      </c>
      <c r="AP33" s="149" t="str">
        <f>IF($B33=0,"",('MF Rollover'!AO33*($P33*(1+'Property Summary'!$L$22)^('MF Releasing'!AP$3-1)))*$C33)</f>
        <v/>
      </c>
      <c r="AQ33" s="149" t="str">
        <f>IF($B33=0,"",('MF Rollover'!AP33*($P33*(1+'Property Summary'!$L$22)^('MF Releasing'!AQ$3-1)))*$C33)</f>
        <v/>
      </c>
      <c r="AR33" s="149" t="str">
        <f>IF($B33=0,"",('MF Rollover'!AQ33*($P33*(1+'Property Summary'!$L$22)^('MF Releasing'!AR$3-1)))*$C33)</f>
        <v/>
      </c>
      <c r="AS33" s="149" t="str">
        <f>IF($B33=0,"",('MF Rollover'!AR33*($P33*(1+'Property Summary'!$L$22)^('MF Releasing'!AS$3-1)))*$C33)</f>
        <v/>
      </c>
      <c r="AT33" s="149" t="str">
        <f>IF($B33=0,"",('MF Rollover'!AS33*($P33*(1+'Property Summary'!$L$22)^('MF Releasing'!AT$3-1)))*$C33)</f>
        <v/>
      </c>
      <c r="AU33" s="149" t="str">
        <f>IF($B33=0,"",('MF Rollover'!AT33*($P33*(1+'Property Summary'!$L$22)^('MF Releasing'!AU$3-1)))*$C33)</f>
        <v/>
      </c>
      <c r="AV33" s="149" t="str">
        <f>IF($B33=0,"",('MF Rollover'!AU33*($P33*(1+'Property Summary'!$L$22)^('MF Releasing'!AV$3-1)))*$C33)</f>
        <v/>
      </c>
      <c r="AW33" s="149" t="str">
        <f>IF($B33=0,"",('MF Rollover'!AV33*($P33*(1+'Property Summary'!$L$22)^('MF Releasing'!AW$3-1)))*$C33)</f>
        <v/>
      </c>
      <c r="AX33" s="149" t="str">
        <f>IF($B33=0,"",('MF Rollover'!AW33*($P33*(1+'Property Summary'!$L$22)^('MF Releasing'!AX$3-1)))*$C33)</f>
        <v/>
      </c>
      <c r="AY33" s="149" t="str">
        <f>IF($B33=0,"",('MF Rollover'!AX33*($P33*(1+'Property Summary'!$L$22)^('MF Releasing'!AY$3-1)))*$C33)</f>
        <v/>
      </c>
      <c r="AZ33" s="149" t="str">
        <f>IF($B33=0,"",('MF Rollover'!AY33*($P33*(1+'Property Summary'!$L$22)^('MF Releasing'!AZ$3-1)))*$C33)</f>
        <v/>
      </c>
      <c r="BA33" s="149" t="str">
        <f>IF($B33=0,"",('MF Rollover'!AZ33*($P33*(1+'Property Summary'!$L$22)^('MF Releasing'!BA$3-1)))*$C33)</f>
        <v/>
      </c>
      <c r="BB33" s="149" t="str">
        <f>IF($B33=0,"",('MF Rollover'!BA33*($P33*(1+'Property Summary'!$L$22)^('MF Releasing'!BB$3-1)))*$C33)</f>
        <v/>
      </c>
      <c r="BC33" s="149" t="str">
        <f>IF($B33=0,"",('MF Rollover'!BB33*($P33*(1+'Property Summary'!$L$22)^('MF Releasing'!BC$3-1)))*$C33)</f>
        <v/>
      </c>
      <c r="BD33" s="149" t="str">
        <f>IF($B33=0,"",('MF Rollover'!BC33*($P33*(1+'Property Summary'!$L$22)^('MF Releasing'!BD$3-1)))*$C33)</f>
        <v/>
      </c>
      <c r="BE33" s="149" t="str">
        <f>IF($B33=0,"",('MF Rollover'!BD33*($P33*(1+'Property Summary'!$L$22)^('MF Releasing'!BE$3-1)))*$C33)</f>
        <v/>
      </c>
      <c r="BF33" s="149" t="str">
        <f>IF($B33=0,"",('MF Rollover'!BE33*($P33*(1+'Property Summary'!$L$22)^('MF Releasing'!BF$3-1)))*$C33)</f>
        <v/>
      </c>
      <c r="BG33" s="149" t="str">
        <f>IF($B33=0,"",('MF Rollover'!BF33*($P33*(1+'Property Summary'!$L$22)^('MF Releasing'!BG$3-1)))*$C33)</f>
        <v/>
      </c>
      <c r="BH33" s="149" t="str">
        <f>IF($B33=0,"",('MF Rollover'!BG33*($P33*(1+'Property Summary'!$L$22)^('MF Releasing'!BH$3-1)))*$C33)</f>
        <v/>
      </c>
      <c r="BI33" s="149" t="str">
        <f>IF($B33=0,"",('MF Rollover'!BH33*($P33*(1+'Property Summary'!$L$22)^('MF Releasing'!BI$3-1)))*$C33)</f>
        <v/>
      </c>
      <c r="BJ33" s="149" t="str">
        <f>IF($B33=0,"",('MF Rollover'!BI33*($P33*(1+'Property Summary'!$L$22)^('MF Releasing'!BJ$3-1)))*$C33)</f>
        <v/>
      </c>
      <c r="BK33" s="149" t="str">
        <f>IF($B33=0,"",('MF Rollover'!BJ33*($P33*(1+'Property Summary'!$L$22)^('MF Releasing'!BK$3-1)))*$C33)</f>
        <v/>
      </c>
      <c r="BL33" s="149" t="str">
        <f>IF($B33=0,"",('MF Rollover'!BK33*($P33*(1+'Property Summary'!$L$22)^('MF Releasing'!BL$3-1)))*$C33)</f>
        <v/>
      </c>
      <c r="BM33" s="149" t="str">
        <f>IF($B33=0,"",('MF Rollover'!BL33*($P33*(1+'Property Summary'!$L$22)^('MF Releasing'!BM$3-1)))*$C33)</f>
        <v/>
      </c>
      <c r="BN33" s="149" t="str">
        <f>IF($B33=0,"",('MF Rollover'!BM33*($P33*(1+'Property Summary'!$L$22)^('MF Releasing'!BN$3-1)))*$C33)</f>
        <v/>
      </c>
      <c r="BO33" s="149" t="str">
        <f>IF($B33=0,"",('MF Rollover'!BN33*($P33*(1+'Property Summary'!$L$22)^('MF Releasing'!BO$3-1)))*$C33)</f>
        <v/>
      </c>
      <c r="BP33" s="149" t="str">
        <f>IF($B33=0,"",('MF Rollover'!BO33*($P33*(1+'Property Summary'!$L$22)^('MF Releasing'!BP$3-1)))*$C33)</f>
        <v/>
      </c>
      <c r="BQ33" s="149" t="str">
        <f>IF($B33=0,"",('MF Rollover'!BP33*($P33*(1+'Property Summary'!$L$22)^('MF Releasing'!BQ$3-1)))*$C33)</f>
        <v/>
      </c>
      <c r="BR33" s="149" t="str">
        <f>IF($B33=0,"",('MF Rollover'!BQ33*($P33*(1+'Property Summary'!$L$22)^('MF Releasing'!BR$3-1)))*$C33)</f>
        <v/>
      </c>
      <c r="BS33" s="149" t="str">
        <f>IF($B33=0,"",('MF Rollover'!BR33*($P33*(1+'Property Summary'!$L$22)^('MF Releasing'!BS$3-1)))*$C33)</f>
        <v/>
      </c>
      <c r="BT33" s="149" t="str">
        <f>IF($B33=0,"",('MF Rollover'!BS33*($P33*(1+'Property Summary'!$L$22)^('MF Releasing'!BT$3-1)))*$C33)</f>
        <v/>
      </c>
      <c r="BU33" s="149" t="str">
        <f>IF($B33=0,"",('MF Rollover'!BT33*($P33*(1+'Property Summary'!$L$22)^('MF Releasing'!BU$3-1)))*$C33)</f>
        <v/>
      </c>
      <c r="BV33" s="149" t="str">
        <f>IF($B33=0,"",('MF Rollover'!BU33*($P33*(1+'Property Summary'!$L$22)^('MF Releasing'!BV$3-1)))*$C33)</f>
        <v/>
      </c>
      <c r="BW33" s="149" t="str">
        <f>IF($B33=0,"",('MF Rollover'!BV33*($P33*(1+'Property Summary'!$L$22)^('MF Releasing'!BW$3-1)))*$C33)</f>
        <v/>
      </c>
      <c r="BX33" s="149" t="str">
        <f>IF($B33=0,"",('MF Rollover'!BW33*($P33*(1+'Property Summary'!$L$22)^('MF Releasing'!BX$3-1)))*$C33)</f>
        <v/>
      </c>
      <c r="BY33" s="149" t="str">
        <f>IF($B33=0,"",('MF Rollover'!BX33*($P33*(1+'Property Summary'!$L$22)^('MF Releasing'!BY$3-1)))*$C33)</f>
        <v/>
      </c>
      <c r="BZ33" s="149" t="str">
        <f>IF($B33=0,"",('MF Rollover'!BY33*($P33*(1+'Property Summary'!$L$22)^('MF Releasing'!BZ$3-1)))*$C33)</f>
        <v/>
      </c>
      <c r="CA33" s="149" t="str">
        <f>IF($B33=0,"",('MF Rollover'!BZ33*($P33*(1+'Property Summary'!$L$22)^('MF Releasing'!CA$3-1)))*$C33)</f>
        <v/>
      </c>
      <c r="CB33" s="149" t="str">
        <f>IF($B33=0,"",('MF Rollover'!CA33*($P33*(1+'Property Summary'!$L$22)^('MF Releasing'!CB$3-1)))*$C33)</f>
        <v/>
      </c>
      <c r="CC33" s="149" t="str">
        <f>IF($B33=0,"",('MF Rollover'!CB33*($P33*(1+'Property Summary'!$L$22)^('MF Releasing'!CC$3-1)))*$C33)</f>
        <v/>
      </c>
      <c r="CD33" s="149" t="str">
        <f>IF($B33=0,"",('MF Rollover'!CC33*($P33*(1+'Property Summary'!$L$22)^('MF Releasing'!CD$3-1)))*$C33)</f>
        <v/>
      </c>
      <c r="CE33" s="149" t="str">
        <f>IF($B33=0,"",('MF Rollover'!CD33*($P33*(1+'Property Summary'!$L$22)^('MF Releasing'!CE$3-1)))*$C33)</f>
        <v/>
      </c>
      <c r="CF33" s="149" t="str">
        <f>IF($B33=0,"",('MF Rollover'!CE33*($P33*(1+'Property Summary'!$L$22)^('MF Releasing'!CF$3-1)))*$C33)</f>
        <v/>
      </c>
      <c r="CG33" s="149" t="str">
        <f>IF($B33=0,"",('MF Rollover'!CF33*($P33*(1+'Property Summary'!$L$22)^('MF Releasing'!CG$3-1)))*$C33)</f>
        <v/>
      </c>
      <c r="CH33" s="149" t="str">
        <f>IF($B33=0,"",('MF Rollover'!CG33*($P33*(1+'Property Summary'!$L$22)^('MF Releasing'!CH$3-1)))*$C33)</f>
        <v/>
      </c>
      <c r="CI33" s="149" t="str">
        <f>IF($B33=0,"",('MF Rollover'!CH33*($P33*(1+'Property Summary'!$L$22)^('MF Releasing'!CI$3-1)))*$C33)</f>
        <v/>
      </c>
      <c r="CJ33" s="149" t="str">
        <f>IF($B33=0,"",('MF Rollover'!CI33*($P33*(1+'Property Summary'!$L$22)^('MF Releasing'!CJ$3-1)))*$C33)</f>
        <v/>
      </c>
      <c r="CK33" s="149" t="str">
        <f>IF($B33=0,"",('MF Rollover'!CJ33*($P33*(1+'Property Summary'!$L$22)^('MF Releasing'!CK$3-1)))*$C33)</f>
        <v/>
      </c>
      <c r="CL33" s="149" t="str">
        <f>IF($B33=0,"",('MF Rollover'!CK33*($P33*(1+'Property Summary'!$L$22)^('MF Releasing'!CL$3-1)))*$C33)</f>
        <v/>
      </c>
      <c r="CM33" s="149" t="str">
        <f>IF($B33=0,"",('MF Rollover'!CL33*($P33*(1+'Property Summary'!$L$22)^('MF Releasing'!CM$3-1)))*$C33)</f>
        <v/>
      </c>
      <c r="CN33" s="149" t="str">
        <f>IF($B33=0,"",('MF Rollover'!CM33*($P33*(1+'Property Summary'!$L$22)^('MF Releasing'!CN$3-1)))*$C33)</f>
        <v/>
      </c>
      <c r="CO33" s="149" t="str">
        <f>IF($B33=0,"",('MF Rollover'!CN33*($P33*(1+'Property Summary'!$L$22)^('MF Releasing'!CO$3-1)))*$C33)</f>
        <v/>
      </c>
      <c r="CP33" s="149" t="str">
        <f>IF($B33=0,"",('MF Rollover'!CO33*($P33*(1+'Property Summary'!$L$22)^('MF Releasing'!CP$3-1)))*$C33)</f>
        <v/>
      </c>
      <c r="CQ33" s="149" t="str">
        <f>IF($B33=0,"",('MF Rollover'!CP33*($P33*(1+'Property Summary'!$L$22)^('MF Releasing'!CQ$3-1)))*$C33)</f>
        <v/>
      </c>
      <c r="CR33" s="149" t="str">
        <f>IF($B33=0,"",('MF Rollover'!CQ33*($P33*(1+'Property Summary'!$L$22)^('MF Releasing'!CR$3-1)))*$C33)</f>
        <v/>
      </c>
      <c r="CS33" s="149" t="str">
        <f>IF($B33=0,"",('MF Rollover'!CR33*($P33*(1+'Property Summary'!$L$22)^('MF Releasing'!CS$3-1)))*$C33)</f>
        <v/>
      </c>
      <c r="CT33" s="149" t="str">
        <f>IF($B33=0,"",('MF Rollover'!CS33*($P33*(1+'Property Summary'!$L$22)^('MF Releasing'!CT$3-1)))*$C33)</f>
        <v/>
      </c>
      <c r="CU33" s="149" t="str">
        <f>IF($B33=0,"",('MF Rollover'!CT33*($P33*(1+'Property Summary'!$L$22)^('MF Releasing'!CU$3-1)))*$C33)</f>
        <v/>
      </c>
      <c r="CV33" s="149" t="str">
        <f>IF($B33=0,"",('MF Rollover'!CU33*($P33*(1+'Property Summary'!$L$22)^('MF Releasing'!CV$3-1)))*$C33)</f>
        <v/>
      </c>
      <c r="CW33" s="149" t="str">
        <f>IF($B33=0,"",('MF Rollover'!CV33*($P33*(1+'Property Summary'!$L$22)^('MF Releasing'!CW$3-1)))*$C33)</f>
        <v/>
      </c>
      <c r="CX33" s="149" t="str">
        <f>IF($B33=0,"",('MF Rollover'!CW33*($P33*(1+'Property Summary'!$L$22)^('MF Releasing'!CX$3-1)))*$C33)</f>
        <v/>
      </c>
      <c r="CY33" s="149" t="str">
        <f>IF($B33=0,"",('MF Rollover'!CX33*($P33*(1+'Property Summary'!$L$22)^('MF Releasing'!CY$3-1)))*$C33)</f>
        <v/>
      </c>
      <c r="CZ33" s="149" t="str">
        <f>IF($B33=0,"",('MF Rollover'!CY33*($P33*(1+'Property Summary'!$L$22)^('MF Releasing'!CZ$3-1)))*$C33)</f>
        <v/>
      </c>
      <c r="DA33" s="149" t="str">
        <f>IF($B33=0,"",('MF Rollover'!CZ33*($P33*(1+'Property Summary'!$L$22)^('MF Releasing'!DA$3-1)))*$C33)</f>
        <v/>
      </c>
      <c r="DB33" s="149" t="str">
        <f>IF($B33=0,"",('MF Rollover'!DA33*($P33*(1+'Property Summary'!$L$22)^('MF Releasing'!DB$3-1)))*$C33)</f>
        <v/>
      </c>
      <c r="DC33" s="149" t="str">
        <f>IF($B33=0,"",('MF Rollover'!DB33*($P33*(1+'Property Summary'!$L$22)^('MF Releasing'!DC$3-1)))*$C33)</f>
        <v/>
      </c>
      <c r="DD33" s="149" t="str">
        <f>IF($B33=0,"",('MF Rollover'!DC33*($P33*(1+'Property Summary'!$L$22)^('MF Releasing'!DD$3-1)))*$C33)</f>
        <v/>
      </c>
      <c r="DE33" s="149" t="str">
        <f>IF($B33=0,"",('MF Rollover'!DD33*($P33*(1+'Property Summary'!$L$22)^('MF Releasing'!DE$3-1)))*$C33)</f>
        <v/>
      </c>
      <c r="DF33" s="149" t="str">
        <f>IF($B33=0,"",('MF Rollover'!DE33*($P33*(1+'Property Summary'!$L$22)^('MF Releasing'!DF$3-1)))*$C33)</f>
        <v/>
      </c>
      <c r="DG33" s="149" t="str">
        <f>IF($B33=0,"",('MF Rollover'!DF33*($P33*(1+'Property Summary'!$L$22)^('MF Releasing'!DG$3-1)))*$C33)</f>
        <v/>
      </c>
      <c r="DH33" s="149" t="str">
        <f>IF($B33=0,"",('MF Rollover'!DG33*($P33*(1+'Property Summary'!$L$22)^('MF Releasing'!DH$3-1)))*$C33)</f>
        <v/>
      </c>
      <c r="DI33" s="149" t="str">
        <f>IF($B33=0,"",('MF Rollover'!DH33*($P33*(1+'Property Summary'!$L$22)^('MF Releasing'!DI$3-1)))*$C33)</f>
        <v/>
      </c>
      <c r="DJ33" s="149" t="str">
        <f>IF($B33=0,"",('MF Rollover'!DI33*($P33*(1+'Property Summary'!$L$22)^('MF Releasing'!DJ$3-1)))*$C33)</f>
        <v/>
      </c>
      <c r="DK33" s="149" t="str">
        <f>IF($B33=0,"",('MF Rollover'!DJ33*($P33*(1+'Property Summary'!$L$22)^('MF Releasing'!DK$3-1)))*$C33)</f>
        <v/>
      </c>
      <c r="DL33" s="149" t="str">
        <f>IF($B33=0,"",('MF Rollover'!DK33*($P33*(1+'Property Summary'!$L$22)^('MF Releasing'!DL$3-1)))*$C33)</f>
        <v/>
      </c>
      <c r="DM33" s="149" t="str">
        <f>IF($B33=0,"",('MF Rollover'!DL33*($P33*(1+'Property Summary'!$L$22)^('MF Releasing'!DM$3-1)))*$C33)</f>
        <v/>
      </c>
      <c r="DN33" s="149" t="str">
        <f>IF($B33=0,"",('MF Rollover'!DM33*($P33*(1+'Property Summary'!$L$22)^('MF Releasing'!DN$3-1)))*$C33)</f>
        <v/>
      </c>
      <c r="DO33" s="149" t="str">
        <f>IF($B33=0,"",('MF Rollover'!DN33*($P33*(1+'Property Summary'!$L$22)^('MF Releasing'!DO$3-1)))*$C33)</f>
        <v/>
      </c>
      <c r="DP33" s="149" t="str">
        <f>IF($B33=0,"",('MF Rollover'!DO33*($P33*(1+'Property Summary'!$L$22)^('MF Releasing'!DP$3-1)))*$C33)</f>
        <v/>
      </c>
      <c r="DQ33" s="149" t="str">
        <f>IF($B33=0,"",('MF Rollover'!DP33*($P33*(1+'Property Summary'!$L$22)^('MF Releasing'!DQ$3-1)))*$C33)</f>
        <v/>
      </c>
      <c r="DR33" s="149" t="str">
        <f>IF($B33=0,"",('MF Rollover'!DQ33*($P33*(1+'Property Summary'!$L$22)^('MF Releasing'!DR$3-1)))*$C33)</f>
        <v/>
      </c>
      <c r="DS33" s="149" t="str">
        <f>IF($B33=0,"",('MF Rollover'!DR33*($P33*(1+'Property Summary'!$L$22)^('MF Releasing'!DS$3-1)))*$C33)</f>
        <v/>
      </c>
      <c r="DT33" s="149" t="str">
        <f>IF($B33=0,"",('MF Rollover'!DS33*($P33*(1+'Property Summary'!$L$22)^('MF Releasing'!DT$3-1)))*$C33)</f>
        <v/>
      </c>
      <c r="DU33" s="149" t="str">
        <f>IF($B33=0,"",('MF Rollover'!DT33*($P33*(1+'Property Summary'!$L$22)^('MF Releasing'!DU$3-1)))*$C33)</f>
        <v/>
      </c>
      <c r="DV33" s="149" t="str">
        <f>IF($B33=0,"",('MF Rollover'!DU33*($P33*(1+'Property Summary'!$L$22)^('MF Releasing'!DV$3-1)))*$C33)</f>
        <v/>
      </c>
      <c r="DW33" s="149" t="str">
        <f>IF($B33=0,"",('MF Rollover'!DV33*($P33*(1+'Property Summary'!$L$22)^('MF Releasing'!DW$3-1)))*$C33)</f>
        <v/>
      </c>
      <c r="DX33" s="149" t="str">
        <f>IF($B33=0,"",('MF Rollover'!DW33*($P33*(1+'Property Summary'!$L$22)^('MF Releasing'!DX$3-1)))*$C33)</f>
        <v/>
      </c>
      <c r="DY33" s="149" t="str">
        <f>IF($B33=0,"",('MF Rollover'!DX33*($P33*(1+'Property Summary'!$L$22)^('MF Releasing'!DY$3-1)))*$C33)</f>
        <v/>
      </c>
      <c r="DZ33" s="149" t="str">
        <f>IF($B33=0,"",('MF Rollover'!DY33*($P33*(1+'Property Summary'!$L$22)^('MF Releasing'!DZ$3-1)))*$C33)</f>
        <v/>
      </c>
      <c r="EA33" s="149" t="str">
        <f>IF($B33=0,"",('MF Rollover'!DZ33*($P33*(1+'Property Summary'!$L$22)^('MF Releasing'!EA$3-1)))*$C33)</f>
        <v/>
      </c>
      <c r="EB33" s="149" t="str">
        <f>IF($B33=0,"",('MF Rollover'!EA33*($P33*(1+'Property Summary'!$L$22)^('MF Releasing'!EB$3-1)))*$C33)</f>
        <v/>
      </c>
      <c r="EC33" s="149" t="str">
        <f>IF($B33=0,"",('MF Rollover'!EB33*($P33*(1+'Property Summary'!$L$22)^('MF Releasing'!EC$3-1)))*$C33)</f>
        <v/>
      </c>
      <c r="ED33" s="149" t="str">
        <f>IF($B33=0,"",('MF Rollover'!EC33*($P33*(1+'Property Summary'!$L$22)^('MF Releasing'!ED$3-1)))*$C33)</f>
        <v/>
      </c>
      <c r="EE33" s="149" t="str">
        <f>IF($B33=0,"",('MF Rollover'!ED33*($P33*(1+'Property Summary'!$L$22)^('MF Releasing'!EE$3-1)))*$C33)</f>
        <v/>
      </c>
      <c r="EF33" s="149" t="str">
        <f>IF($B33=0,"",('MF Rollover'!EE33*($P33*(1+'Property Summary'!$L$22)^('MF Releasing'!EF$3-1)))*$C33)</f>
        <v/>
      </c>
      <c r="EG33" s="149" t="str">
        <f>IF($B33=0,"",('MF Rollover'!EF33*($P33*(1+'Property Summary'!$L$22)^('MF Releasing'!EG$3-1)))*$C33)</f>
        <v/>
      </c>
      <c r="EH33" s="149" t="str">
        <f>IF($B33=0,"",('MF Rollover'!EG33*($P33*(1+'Property Summary'!$L$22)^('MF Releasing'!EH$3-1)))*$C33)</f>
        <v/>
      </c>
      <c r="EI33" s="149" t="str">
        <f>IF($B33=0,"",('MF Rollover'!EH33*($P33*(1+'Property Summary'!$L$22)^('MF Releasing'!EI$3-1)))*$C33)</f>
        <v/>
      </c>
      <c r="EJ33" s="149" t="str">
        <f>IF($B33=0,"",('MF Rollover'!EI33*($P33*(1+'Property Summary'!$L$22)^('MF Releasing'!EJ$3-1)))*$C33)</f>
        <v/>
      </c>
      <c r="EK33" s="149" t="str">
        <f>IF($B33=0,"",('MF Rollover'!EJ33*($P33*(1+'Property Summary'!$L$22)^('MF Releasing'!EK$3-1)))*$C33)</f>
        <v/>
      </c>
      <c r="EL33" s="149" t="str">
        <f>IF($B33=0,"",('MF Rollover'!EK33*($P33*(1+'Property Summary'!$L$22)^('MF Releasing'!EL$3-1)))*$C33)</f>
        <v/>
      </c>
      <c r="EM33" s="149" t="str">
        <f>IF($B33=0,"",('MF Rollover'!EL33*($P33*(1+'Property Summary'!$L$22)^('MF Releasing'!EM$3-1)))*$C33)</f>
        <v/>
      </c>
      <c r="EN33" s="149" t="str">
        <f>IF($B33=0,"",('MF Rollover'!EM33*($P33*(1+'Property Summary'!$L$22)^('MF Releasing'!EN$3-1)))*$C33)</f>
        <v/>
      </c>
      <c r="EO33" s="149" t="str">
        <f>IF($B33=0,"",('MF Rollover'!EN33*($P33*(1+'Property Summary'!$L$22)^('MF Releasing'!EO$3-1)))*$C33)</f>
        <v/>
      </c>
      <c r="EP33" s="149" t="str">
        <f>IF($B33=0,"",('MF Rollover'!EO33*($P33*(1+'Property Summary'!$L$22)^('MF Releasing'!EP$3-1)))*$C33)</f>
        <v/>
      </c>
      <c r="EQ33" s="149" t="str">
        <f>IF($B33=0,"",('MF Rollover'!EP33*($P33*(1+'Property Summary'!$L$22)^('MF Releasing'!EQ$3-1)))*$C33)</f>
        <v/>
      </c>
      <c r="ER33" s="149" t="str">
        <f>IF($B33=0,"",('MF Rollover'!EQ33*($P33*(1+'Property Summary'!$L$22)^('MF Releasing'!ER$3-1)))*$C33)</f>
        <v/>
      </c>
      <c r="ES33" s="149" t="str">
        <f>IF($B33=0,"",('MF Rollover'!ER33*($P33*(1+'Property Summary'!$L$22)^('MF Releasing'!ES$3-1)))*$C33)</f>
        <v/>
      </c>
      <c r="ET33" s="149" t="str">
        <f>IF($B33=0,"",('MF Rollover'!ES33*($P33*(1+'Property Summary'!$L$22)^('MF Releasing'!ET$3-1)))*$C33)</f>
        <v/>
      </c>
      <c r="EU33" s="149" t="str">
        <f>IF($B33=0,"",('MF Rollover'!ET33*($P33*(1+'Property Summary'!$L$22)^('MF Releasing'!EU$3-1)))*$C33)</f>
        <v/>
      </c>
      <c r="EV33" s="149" t="str">
        <f>IF($B33=0,"",('MF Rollover'!EU33*($P33*(1+'Property Summary'!$L$22)^('MF Releasing'!EV$3-1)))*$C33)</f>
        <v/>
      </c>
      <c r="EW33" s="149" t="str">
        <f>IF($B33=0,"",('MF Rollover'!EV33*($P33*(1+'Property Summary'!$L$22)^('MF Releasing'!EW$3-1)))*$C33)</f>
        <v/>
      </c>
      <c r="EX33" s="149" t="str">
        <f>IF($B33=0,"",('MF Rollover'!EW33*($P33*(1+'Property Summary'!$L$22)^('MF Releasing'!EX$3-1)))*$C33)</f>
        <v/>
      </c>
      <c r="EY33" s="149" t="str">
        <f>IF($B33=0,"",('MF Rollover'!EX33*($P33*(1+'Property Summary'!$L$22)^('MF Releasing'!EY$3-1)))*$C33)</f>
        <v/>
      </c>
      <c r="EZ33" s="149" t="str">
        <f>IF($B33=0,"",('MF Rollover'!EY33*($P33*(1+'Property Summary'!$L$22)^('MF Releasing'!EZ$3-1)))*$C33)</f>
        <v/>
      </c>
      <c r="FA33" s="149" t="str">
        <f>IF($B33=0,"",('MF Rollover'!EZ33*($P33*(1+'Property Summary'!$L$22)^('MF Releasing'!FA$3-1)))*$C33)</f>
        <v/>
      </c>
      <c r="FB33" s="149" t="str">
        <f>IF($B33=0,"",('MF Rollover'!FA33*($P33*(1+'Property Summary'!$L$22)^('MF Releasing'!FB$3-1)))*$C33)</f>
        <v/>
      </c>
      <c r="FC33" s="149" t="str">
        <f>IF($B33=0,"",('MF Rollover'!FB33*($P33*(1+'Property Summary'!$L$22)^('MF Releasing'!FC$3-1)))*$C33)</f>
        <v/>
      </c>
      <c r="FD33" s="149" t="str">
        <f>IF($B33=0,"",('MF Rollover'!FC33*($P33*(1+'Property Summary'!$L$22)^('MF Releasing'!FD$3-1)))*$C33)</f>
        <v/>
      </c>
      <c r="FE33" s="149" t="str">
        <f>IF($B33=0,"",('MF Rollover'!FD33*($P33*(1+'Property Summary'!$L$22)^('MF Releasing'!FE$3-1)))*$C33)</f>
        <v/>
      </c>
      <c r="FF33" s="149" t="str">
        <f>IF($B33=0,"",('MF Rollover'!FE33*($P33*(1+'Property Summary'!$L$22)^('MF Releasing'!FF$3-1)))*$C33)</f>
        <v/>
      </c>
      <c r="FG33" s="149" t="str">
        <f>IF($B33=0,"",('MF Rollover'!FF33*($P33*(1+'Property Summary'!$L$22)^('MF Releasing'!FG$3-1)))*$C33)</f>
        <v/>
      </c>
      <c r="FH33" s="149" t="str">
        <f>IF($B33=0,"",('MF Rollover'!FG33*($P33*(1+'Property Summary'!$L$22)^('MF Releasing'!FH$3-1)))*$C33)</f>
        <v/>
      </c>
      <c r="FI33" s="149" t="str">
        <f>IF($B33=0,"",('MF Rollover'!FH33*($P33*(1+'Property Summary'!$L$22)^('MF Releasing'!FI$3-1)))*$C33)</f>
        <v/>
      </c>
      <c r="FJ33" s="149" t="str">
        <f>IF($B33=0,"",('MF Rollover'!FI33*($P33*(1+'Property Summary'!$L$22)^('MF Releasing'!FJ$3-1)))*$C33)</f>
        <v/>
      </c>
      <c r="FK33" s="149" t="str">
        <f>IF($B33=0,"",('MF Rollover'!FJ33*($P33*(1+'Property Summary'!$L$22)^('MF Releasing'!FK$3-1)))*$C33)</f>
        <v/>
      </c>
      <c r="FL33" s="149" t="str">
        <f>IF($B33=0,"",('MF Rollover'!FK33*($P33*(1+'Property Summary'!$L$22)^('MF Releasing'!FL$3-1)))*$C33)</f>
        <v/>
      </c>
      <c r="FM33" s="149" t="str">
        <f>IF($B33=0,"",('MF Rollover'!FL33*($P33*(1+'Property Summary'!$L$22)^('MF Releasing'!FM$3-1)))*$C33)</f>
        <v/>
      </c>
      <c r="FN33" s="149" t="str">
        <f>IF($B33=0,"",('MF Rollover'!FM33*($P33*(1+'Property Summary'!$L$22)^('MF Releasing'!FN$3-1)))*$C33)</f>
        <v/>
      </c>
      <c r="FO33" s="149" t="str">
        <f>IF($B33=0,"",('MF Rollover'!FN33*($P33*(1+'Property Summary'!$L$22)^('MF Releasing'!FO$3-1)))*$C33)</f>
        <v/>
      </c>
      <c r="FP33" s="149" t="str">
        <f>IF($B33=0,"",('MF Rollover'!FO33*($P33*(1+'Property Summary'!$L$22)^('MF Releasing'!FP$3-1)))*$C33)</f>
        <v/>
      </c>
      <c r="FQ33" s="149" t="str">
        <f>IF($B33=0,"",('MF Rollover'!FP33*($P33*(1+'Property Summary'!$L$22)^('MF Releasing'!FQ$3-1)))*$C33)</f>
        <v/>
      </c>
      <c r="FR33" s="149" t="str">
        <f>IF($B33=0,"",('MF Rollover'!FQ33*($P33*(1+'Property Summary'!$L$22)^('MF Releasing'!FR$3-1)))*$C33)</f>
        <v/>
      </c>
      <c r="FS33" s="149" t="str">
        <f>IF($B33=0,"",('MF Rollover'!FR33*($P33*(1+'Property Summary'!$L$22)^('MF Releasing'!FS$3-1)))*$C33)</f>
        <v/>
      </c>
      <c r="FT33" s="149" t="str">
        <f>IF($B33=0,"",('MF Rollover'!FS33*($P33*(1+'Property Summary'!$L$22)^('MF Releasing'!FT$3-1)))*$C33)</f>
        <v/>
      </c>
      <c r="FU33" s="149" t="str">
        <f>IF($B33=0,"",('MF Rollover'!FT33*($P33*(1+'Property Summary'!$L$22)^('MF Releasing'!FU$3-1)))*$C33)</f>
        <v/>
      </c>
      <c r="FV33" s="149" t="str">
        <f>IF($B33=0,"",('MF Rollover'!FU33*($P33*(1+'Property Summary'!$L$22)^('MF Releasing'!FV$3-1)))*$C33)</f>
        <v/>
      </c>
      <c r="FW33" s="149" t="str">
        <f>IF($B33=0,"",('MF Rollover'!FV33*($P33*(1+'Property Summary'!$L$22)^('MF Releasing'!FW$3-1)))*$C33)</f>
        <v/>
      </c>
      <c r="FX33" s="149" t="str">
        <f>IF($B33=0,"",('MF Rollover'!FW33*($P33*(1+'Property Summary'!$L$22)^('MF Releasing'!FX$3-1)))*$C33)</f>
        <v/>
      </c>
      <c r="FY33" s="149" t="str">
        <f>IF($B33=0,"",('MF Rollover'!FX33*($P33*(1+'Property Summary'!$L$22)^('MF Releasing'!FY$3-1)))*$C33)</f>
        <v/>
      </c>
      <c r="FZ33" s="149" t="str">
        <f>IF($B33=0,"",('MF Rollover'!FY33*($P33*(1+'Property Summary'!$L$22)^('MF Releasing'!FZ$3-1)))*$C33)</f>
        <v/>
      </c>
      <c r="GA33" s="149" t="str">
        <f>IF($B33=0,"",('MF Rollover'!FZ33*($P33*(1+'Property Summary'!$L$22)^('MF Releasing'!GA$3-1)))*$C33)</f>
        <v/>
      </c>
      <c r="GB33" s="149" t="str">
        <f>IF($B33=0,"",('MF Rollover'!GA33*($P33*(1+'Property Summary'!$L$22)^('MF Releasing'!GB$3-1)))*$C33)</f>
        <v/>
      </c>
      <c r="GC33" s="149" t="str">
        <f>IF($B33=0,"",('MF Rollover'!GB33*($P33*(1+'Property Summary'!$L$22)^('MF Releasing'!GC$3-1)))*$C33)</f>
        <v/>
      </c>
      <c r="GD33" s="149" t="str">
        <f>IF($B33=0,"",('MF Rollover'!GC33*($P33*(1+'Property Summary'!$L$22)^('MF Releasing'!GD$3-1)))*$C33)</f>
        <v/>
      </c>
      <c r="GE33" s="149" t="str">
        <f>IF($B33=0,"",('MF Rollover'!GD33*($P33*(1+'Property Summary'!$L$22)^('MF Releasing'!GE$3-1)))*$C33)</f>
        <v/>
      </c>
      <c r="GF33" s="149" t="str">
        <f>IF($B33=0,"",('MF Rollover'!GE33*($P33*(1+'Property Summary'!$L$22)^('MF Releasing'!GF$3-1)))*$C33)</f>
        <v/>
      </c>
      <c r="GG33" s="149" t="str">
        <f>IF($B33=0,"",('MF Rollover'!GF33*($P33*(1+'Property Summary'!$L$22)^('MF Releasing'!GG$3-1)))*$C33)</f>
        <v/>
      </c>
      <c r="GH33" s="149" t="str">
        <f>IF($B33=0,"",('MF Rollover'!GG33*($P33*(1+'Property Summary'!$L$22)^('MF Releasing'!GH$3-1)))*$C33)</f>
        <v/>
      </c>
      <c r="GI33" s="149" t="str">
        <f>IF($B33=0,"",('MF Rollover'!GH33*($P33*(1+'Property Summary'!$L$22)^('MF Releasing'!GI$3-1)))*$C33)</f>
        <v/>
      </c>
      <c r="GJ33" s="149" t="str">
        <f>IF($B33=0,"",('MF Rollover'!GI33*($P33*(1+'Property Summary'!$L$22)^('MF Releasing'!GJ$3-1)))*$C33)</f>
        <v/>
      </c>
      <c r="GK33" s="149" t="str">
        <f>IF($B33=0,"",('MF Rollover'!GJ33*($P33*(1+'Property Summary'!$L$22)^('MF Releasing'!GK$3-1)))*$C33)</f>
        <v/>
      </c>
      <c r="GL33" s="149" t="str">
        <f>IF($B33=0,"",('MF Rollover'!GK33*($P33*(1+'Property Summary'!$L$22)^('MF Releasing'!GL$3-1)))*$C33)</f>
        <v/>
      </c>
      <c r="GM33" s="149" t="str">
        <f>IF($B33=0,"",('MF Rollover'!GL33*($P33*(1+'Property Summary'!$L$22)^('MF Releasing'!GM$3-1)))*$C33)</f>
        <v/>
      </c>
      <c r="GN33" s="149" t="str">
        <f>IF($B33=0,"",('MF Rollover'!GM33*($P33*(1+'Property Summary'!$L$22)^('MF Releasing'!GN$3-1)))*$C33)</f>
        <v/>
      </c>
      <c r="GO33" s="149" t="str">
        <f>IF($B33=0,"",('MF Rollover'!GN33*($P33*(1+'Property Summary'!$L$22)^('MF Releasing'!GO$3-1)))*$C33)</f>
        <v/>
      </c>
      <c r="GP33" s="149" t="str">
        <f>IF($B33=0,"",('MF Rollover'!GO33*($P33*(1+'Property Summary'!$L$22)^('MF Releasing'!GP$3-1)))*$C33)</f>
        <v/>
      </c>
    </row>
    <row r="34" spans="2:198" x14ac:dyDescent="0.3">
      <c r="B34" s="184">
        <f>'MF Rent Roll'!B33</f>
        <v>0</v>
      </c>
      <c r="C34" s="171">
        <f>'MF Rent Roll'!C33</f>
        <v>0</v>
      </c>
      <c r="D34" s="172">
        <f>'MF Rent Roll'!D33</f>
        <v>0</v>
      </c>
      <c r="E34" s="172">
        <f>'MF Rent Roll'!E33</f>
        <v>0</v>
      </c>
      <c r="F34" s="173">
        <f>'MF Rent Roll'!F33</f>
        <v>0</v>
      </c>
      <c r="G34" s="174">
        <f>'MF Rent Roll'!G33</f>
        <v>0</v>
      </c>
      <c r="H34" s="176">
        <f>'MF Rent Roll'!J33</f>
        <v>0</v>
      </c>
      <c r="I34" s="174">
        <f>'MF Rent Roll'!K33</f>
        <v>0</v>
      </c>
      <c r="J34" s="177">
        <f>'MF Rent Roll'!L33</f>
        <v>0</v>
      </c>
      <c r="K34" s="178">
        <f>'MF Rent Roll'!M33</f>
        <v>0</v>
      </c>
      <c r="L34" s="174">
        <f>'MF Rent Roll'!N33</f>
        <v>0</v>
      </c>
      <c r="M34" s="179">
        <f>'MF Rent Roll'!O33</f>
        <v>0</v>
      </c>
      <c r="N34" s="180" t="str">
        <f>'MF Rent Roll'!P33</f>
        <v/>
      </c>
      <c r="O34" s="181" t="str">
        <f>'MF Rent Roll'!Q33</f>
        <v/>
      </c>
      <c r="P34" s="104" t="str">
        <f>'MF Rent Roll'!R33</f>
        <v/>
      </c>
      <c r="S34" s="149" t="str">
        <f>IF($B34=0,"",('MF Rollover'!R34*($P34*(1+'Property Summary'!$L$22)^('MF Releasing'!S$3-1)))*$C34)</f>
        <v/>
      </c>
      <c r="T34" s="149" t="str">
        <f>IF($B34=0,"",('MF Rollover'!S34*($P34*(1+'Property Summary'!$L$22)^('MF Releasing'!T$3-1)))*$C34)</f>
        <v/>
      </c>
      <c r="U34" s="149" t="str">
        <f>IF($B34=0,"",('MF Rollover'!T34*($P34*(1+'Property Summary'!$L$22)^('MF Releasing'!U$3-1)))*$C34)</f>
        <v/>
      </c>
      <c r="V34" s="149" t="str">
        <f>IF($B34=0,"",('MF Rollover'!U34*($P34*(1+'Property Summary'!$L$22)^('MF Releasing'!V$3-1)))*$C34)</f>
        <v/>
      </c>
      <c r="W34" s="149" t="str">
        <f>IF($B34=0,"",('MF Rollover'!V34*($P34*(1+'Property Summary'!$L$22)^('MF Releasing'!W$3-1)))*$C34)</f>
        <v/>
      </c>
      <c r="X34" s="149" t="str">
        <f>IF($B34=0,"",('MF Rollover'!W34*($P34*(1+'Property Summary'!$L$22)^('MF Releasing'!X$3-1)))*$C34)</f>
        <v/>
      </c>
      <c r="Y34" s="149" t="str">
        <f>IF($B34=0,"",('MF Rollover'!X34*($P34*(1+'Property Summary'!$L$22)^('MF Releasing'!Y$3-1)))*$C34)</f>
        <v/>
      </c>
      <c r="Z34" s="149" t="str">
        <f>IF($B34=0,"",('MF Rollover'!Y34*($P34*(1+'Property Summary'!$L$22)^('MF Releasing'!Z$3-1)))*$C34)</f>
        <v/>
      </c>
      <c r="AA34" s="149" t="str">
        <f>IF($B34=0,"",('MF Rollover'!Z34*($P34*(1+'Property Summary'!$L$22)^('MF Releasing'!AA$3-1)))*$C34)</f>
        <v/>
      </c>
      <c r="AB34" s="149" t="str">
        <f>IF($B34=0,"",('MF Rollover'!AA34*($P34*(1+'Property Summary'!$L$22)^('MF Releasing'!AB$3-1)))*$C34)</f>
        <v/>
      </c>
      <c r="AC34" s="149" t="str">
        <f>IF($B34=0,"",('MF Rollover'!AB34*($P34*(1+'Property Summary'!$L$22)^('MF Releasing'!AC$3-1)))*$C34)</f>
        <v/>
      </c>
      <c r="AD34" s="149" t="str">
        <f>IF($B34=0,"",('MF Rollover'!AC34*($P34*(1+'Property Summary'!$L$22)^('MF Releasing'!AD$3-1)))*$C34)</f>
        <v/>
      </c>
      <c r="AE34" s="149" t="str">
        <f>IF($B34=0,"",('MF Rollover'!AD34*($P34*(1+'Property Summary'!$L$22)^('MF Releasing'!AE$3-1)))*$C34)</f>
        <v/>
      </c>
      <c r="AF34" s="149" t="str">
        <f>IF($B34=0,"",('MF Rollover'!AE34*($P34*(1+'Property Summary'!$L$22)^('MF Releasing'!AF$3-1)))*$C34)</f>
        <v/>
      </c>
      <c r="AG34" s="149" t="str">
        <f>IF($B34=0,"",('MF Rollover'!AF34*($P34*(1+'Property Summary'!$L$22)^('MF Releasing'!AG$3-1)))*$C34)</f>
        <v/>
      </c>
      <c r="AH34" s="149" t="str">
        <f>IF($B34=0,"",('MF Rollover'!AG34*($P34*(1+'Property Summary'!$L$22)^('MF Releasing'!AH$3-1)))*$C34)</f>
        <v/>
      </c>
      <c r="AI34" s="149" t="str">
        <f>IF($B34=0,"",('MF Rollover'!AH34*($P34*(1+'Property Summary'!$L$22)^('MF Releasing'!AI$3-1)))*$C34)</f>
        <v/>
      </c>
      <c r="AJ34" s="149" t="str">
        <f>IF($B34=0,"",('MF Rollover'!AI34*($P34*(1+'Property Summary'!$L$22)^('MF Releasing'!AJ$3-1)))*$C34)</f>
        <v/>
      </c>
      <c r="AK34" s="149" t="str">
        <f>IF($B34=0,"",('MF Rollover'!AJ34*($P34*(1+'Property Summary'!$L$22)^('MF Releasing'!AK$3-1)))*$C34)</f>
        <v/>
      </c>
      <c r="AL34" s="149" t="str">
        <f>IF($B34=0,"",('MF Rollover'!AK34*($P34*(1+'Property Summary'!$L$22)^('MF Releasing'!AL$3-1)))*$C34)</f>
        <v/>
      </c>
      <c r="AM34" s="149" t="str">
        <f>IF($B34=0,"",('MF Rollover'!AL34*($P34*(1+'Property Summary'!$L$22)^('MF Releasing'!AM$3-1)))*$C34)</f>
        <v/>
      </c>
      <c r="AN34" s="149" t="str">
        <f>IF($B34=0,"",('MF Rollover'!AM34*($P34*(1+'Property Summary'!$L$22)^('MF Releasing'!AN$3-1)))*$C34)</f>
        <v/>
      </c>
      <c r="AO34" s="149" t="str">
        <f>IF($B34=0,"",('MF Rollover'!AN34*($P34*(1+'Property Summary'!$L$22)^('MF Releasing'!AO$3-1)))*$C34)</f>
        <v/>
      </c>
      <c r="AP34" s="149" t="str">
        <f>IF($B34=0,"",('MF Rollover'!AO34*($P34*(1+'Property Summary'!$L$22)^('MF Releasing'!AP$3-1)))*$C34)</f>
        <v/>
      </c>
      <c r="AQ34" s="149" t="str">
        <f>IF($B34=0,"",('MF Rollover'!AP34*($P34*(1+'Property Summary'!$L$22)^('MF Releasing'!AQ$3-1)))*$C34)</f>
        <v/>
      </c>
      <c r="AR34" s="149" t="str">
        <f>IF($B34=0,"",('MF Rollover'!AQ34*($P34*(1+'Property Summary'!$L$22)^('MF Releasing'!AR$3-1)))*$C34)</f>
        <v/>
      </c>
      <c r="AS34" s="149" t="str">
        <f>IF($B34=0,"",('MF Rollover'!AR34*($P34*(1+'Property Summary'!$L$22)^('MF Releasing'!AS$3-1)))*$C34)</f>
        <v/>
      </c>
      <c r="AT34" s="149" t="str">
        <f>IF($B34=0,"",('MF Rollover'!AS34*($P34*(1+'Property Summary'!$L$22)^('MF Releasing'!AT$3-1)))*$C34)</f>
        <v/>
      </c>
      <c r="AU34" s="149" t="str">
        <f>IF($B34=0,"",('MF Rollover'!AT34*($P34*(1+'Property Summary'!$L$22)^('MF Releasing'!AU$3-1)))*$C34)</f>
        <v/>
      </c>
      <c r="AV34" s="149" t="str">
        <f>IF($B34=0,"",('MF Rollover'!AU34*($P34*(1+'Property Summary'!$L$22)^('MF Releasing'!AV$3-1)))*$C34)</f>
        <v/>
      </c>
      <c r="AW34" s="149" t="str">
        <f>IF($B34=0,"",('MF Rollover'!AV34*($P34*(1+'Property Summary'!$L$22)^('MF Releasing'!AW$3-1)))*$C34)</f>
        <v/>
      </c>
      <c r="AX34" s="149" t="str">
        <f>IF($B34=0,"",('MF Rollover'!AW34*($P34*(1+'Property Summary'!$L$22)^('MF Releasing'!AX$3-1)))*$C34)</f>
        <v/>
      </c>
      <c r="AY34" s="149" t="str">
        <f>IF($B34=0,"",('MF Rollover'!AX34*($P34*(1+'Property Summary'!$L$22)^('MF Releasing'!AY$3-1)))*$C34)</f>
        <v/>
      </c>
      <c r="AZ34" s="149" t="str">
        <f>IF($B34=0,"",('MF Rollover'!AY34*($P34*(1+'Property Summary'!$L$22)^('MF Releasing'!AZ$3-1)))*$C34)</f>
        <v/>
      </c>
      <c r="BA34" s="149" t="str">
        <f>IF($B34=0,"",('MF Rollover'!AZ34*($P34*(1+'Property Summary'!$L$22)^('MF Releasing'!BA$3-1)))*$C34)</f>
        <v/>
      </c>
      <c r="BB34" s="149" t="str">
        <f>IF($B34=0,"",('MF Rollover'!BA34*($P34*(1+'Property Summary'!$L$22)^('MF Releasing'!BB$3-1)))*$C34)</f>
        <v/>
      </c>
      <c r="BC34" s="149" t="str">
        <f>IF($B34=0,"",('MF Rollover'!BB34*($P34*(1+'Property Summary'!$L$22)^('MF Releasing'!BC$3-1)))*$C34)</f>
        <v/>
      </c>
      <c r="BD34" s="149" t="str">
        <f>IF($B34=0,"",('MF Rollover'!BC34*($P34*(1+'Property Summary'!$L$22)^('MF Releasing'!BD$3-1)))*$C34)</f>
        <v/>
      </c>
      <c r="BE34" s="149" t="str">
        <f>IF($B34=0,"",('MF Rollover'!BD34*($P34*(1+'Property Summary'!$L$22)^('MF Releasing'!BE$3-1)))*$C34)</f>
        <v/>
      </c>
      <c r="BF34" s="149" t="str">
        <f>IF($B34=0,"",('MF Rollover'!BE34*($P34*(1+'Property Summary'!$L$22)^('MF Releasing'!BF$3-1)))*$C34)</f>
        <v/>
      </c>
      <c r="BG34" s="149" t="str">
        <f>IF($B34=0,"",('MF Rollover'!BF34*($P34*(1+'Property Summary'!$L$22)^('MF Releasing'!BG$3-1)))*$C34)</f>
        <v/>
      </c>
      <c r="BH34" s="149" t="str">
        <f>IF($B34=0,"",('MF Rollover'!BG34*($P34*(1+'Property Summary'!$L$22)^('MF Releasing'!BH$3-1)))*$C34)</f>
        <v/>
      </c>
      <c r="BI34" s="149" t="str">
        <f>IF($B34=0,"",('MF Rollover'!BH34*($P34*(1+'Property Summary'!$L$22)^('MF Releasing'!BI$3-1)))*$C34)</f>
        <v/>
      </c>
      <c r="BJ34" s="149" t="str">
        <f>IF($B34=0,"",('MF Rollover'!BI34*($P34*(1+'Property Summary'!$L$22)^('MF Releasing'!BJ$3-1)))*$C34)</f>
        <v/>
      </c>
      <c r="BK34" s="149" t="str">
        <f>IF($B34=0,"",('MF Rollover'!BJ34*($P34*(1+'Property Summary'!$L$22)^('MF Releasing'!BK$3-1)))*$C34)</f>
        <v/>
      </c>
      <c r="BL34" s="149" t="str">
        <f>IF($B34=0,"",('MF Rollover'!BK34*($P34*(1+'Property Summary'!$L$22)^('MF Releasing'!BL$3-1)))*$C34)</f>
        <v/>
      </c>
      <c r="BM34" s="149" t="str">
        <f>IF($B34=0,"",('MF Rollover'!BL34*($P34*(1+'Property Summary'!$L$22)^('MF Releasing'!BM$3-1)))*$C34)</f>
        <v/>
      </c>
      <c r="BN34" s="149" t="str">
        <f>IF($B34=0,"",('MF Rollover'!BM34*($P34*(1+'Property Summary'!$L$22)^('MF Releasing'!BN$3-1)))*$C34)</f>
        <v/>
      </c>
      <c r="BO34" s="149" t="str">
        <f>IF($B34=0,"",('MF Rollover'!BN34*($P34*(1+'Property Summary'!$L$22)^('MF Releasing'!BO$3-1)))*$C34)</f>
        <v/>
      </c>
      <c r="BP34" s="149" t="str">
        <f>IF($B34=0,"",('MF Rollover'!BO34*($P34*(1+'Property Summary'!$L$22)^('MF Releasing'!BP$3-1)))*$C34)</f>
        <v/>
      </c>
      <c r="BQ34" s="149" t="str">
        <f>IF($B34=0,"",('MF Rollover'!BP34*($P34*(1+'Property Summary'!$L$22)^('MF Releasing'!BQ$3-1)))*$C34)</f>
        <v/>
      </c>
      <c r="BR34" s="149" t="str">
        <f>IF($B34=0,"",('MF Rollover'!BQ34*($P34*(1+'Property Summary'!$L$22)^('MF Releasing'!BR$3-1)))*$C34)</f>
        <v/>
      </c>
      <c r="BS34" s="149" t="str">
        <f>IF($B34=0,"",('MF Rollover'!BR34*($P34*(1+'Property Summary'!$L$22)^('MF Releasing'!BS$3-1)))*$C34)</f>
        <v/>
      </c>
      <c r="BT34" s="149" t="str">
        <f>IF($B34=0,"",('MF Rollover'!BS34*($P34*(1+'Property Summary'!$L$22)^('MF Releasing'!BT$3-1)))*$C34)</f>
        <v/>
      </c>
      <c r="BU34" s="149" t="str">
        <f>IF($B34=0,"",('MF Rollover'!BT34*($P34*(1+'Property Summary'!$L$22)^('MF Releasing'!BU$3-1)))*$C34)</f>
        <v/>
      </c>
      <c r="BV34" s="149" t="str">
        <f>IF($B34=0,"",('MF Rollover'!BU34*($P34*(1+'Property Summary'!$L$22)^('MF Releasing'!BV$3-1)))*$C34)</f>
        <v/>
      </c>
      <c r="BW34" s="149" t="str">
        <f>IF($B34=0,"",('MF Rollover'!BV34*($P34*(1+'Property Summary'!$L$22)^('MF Releasing'!BW$3-1)))*$C34)</f>
        <v/>
      </c>
      <c r="BX34" s="149" t="str">
        <f>IF($B34=0,"",('MF Rollover'!BW34*($P34*(1+'Property Summary'!$L$22)^('MF Releasing'!BX$3-1)))*$C34)</f>
        <v/>
      </c>
      <c r="BY34" s="149" t="str">
        <f>IF($B34=0,"",('MF Rollover'!BX34*($P34*(1+'Property Summary'!$L$22)^('MF Releasing'!BY$3-1)))*$C34)</f>
        <v/>
      </c>
      <c r="BZ34" s="149" t="str">
        <f>IF($B34=0,"",('MF Rollover'!BY34*($P34*(1+'Property Summary'!$L$22)^('MF Releasing'!BZ$3-1)))*$C34)</f>
        <v/>
      </c>
      <c r="CA34" s="149" t="str">
        <f>IF($B34=0,"",('MF Rollover'!BZ34*($P34*(1+'Property Summary'!$L$22)^('MF Releasing'!CA$3-1)))*$C34)</f>
        <v/>
      </c>
      <c r="CB34" s="149" t="str">
        <f>IF($B34=0,"",('MF Rollover'!CA34*($P34*(1+'Property Summary'!$L$22)^('MF Releasing'!CB$3-1)))*$C34)</f>
        <v/>
      </c>
      <c r="CC34" s="149" t="str">
        <f>IF($B34=0,"",('MF Rollover'!CB34*($P34*(1+'Property Summary'!$L$22)^('MF Releasing'!CC$3-1)))*$C34)</f>
        <v/>
      </c>
      <c r="CD34" s="149" t="str">
        <f>IF($B34=0,"",('MF Rollover'!CC34*($P34*(1+'Property Summary'!$L$22)^('MF Releasing'!CD$3-1)))*$C34)</f>
        <v/>
      </c>
      <c r="CE34" s="149" t="str">
        <f>IF($B34=0,"",('MF Rollover'!CD34*($P34*(1+'Property Summary'!$L$22)^('MF Releasing'!CE$3-1)))*$C34)</f>
        <v/>
      </c>
      <c r="CF34" s="149" t="str">
        <f>IF($B34=0,"",('MF Rollover'!CE34*($P34*(1+'Property Summary'!$L$22)^('MF Releasing'!CF$3-1)))*$C34)</f>
        <v/>
      </c>
      <c r="CG34" s="149" t="str">
        <f>IF($B34=0,"",('MF Rollover'!CF34*($P34*(1+'Property Summary'!$L$22)^('MF Releasing'!CG$3-1)))*$C34)</f>
        <v/>
      </c>
      <c r="CH34" s="149" t="str">
        <f>IF($B34=0,"",('MF Rollover'!CG34*($P34*(1+'Property Summary'!$L$22)^('MF Releasing'!CH$3-1)))*$C34)</f>
        <v/>
      </c>
      <c r="CI34" s="149" t="str">
        <f>IF($B34=0,"",('MF Rollover'!CH34*($P34*(1+'Property Summary'!$L$22)^('MF Releasing'!CI$3-1)))*$C34)</f>
        <v/>
      </c>
      <c r="CJ34" s="149" t="str">
        <f>IF($B34=0,"",('MF Rollover'!CI34*($P34*(1+'Property Summary'!$L$22)^('MF Releasing'!CJ$3-1)))*$C34)</f>
        <v/>
      </c>
      <c r="CK34" s="149" t="str">
        <f>IF($B34=0,"",('MF Rollover'!CJ34*($P34*(1+'Property Summary'!$L$22)^('MF Releasing'!CK$3-1)))*$C34)</f>
        <v/>
      </c>
      <c r="CL34" s="149" t="str">
        <f>IF($B34=0,"",('MF Rollover'!CK34*($P34*(1+'Property Summary'!$L$22)^('MF Releasing'!CL$3-1)))*$C34)</f>
        <v/>
      </c>
      <c r="CM34" s="149" t="str">
        <f>IF($B34=0,"",('MF Rollover'!CL34*($P34*(1+'Property Summary'!$L$22)^('MF Releasing'!CM$3-1)))*$C34)</f>
        <v/>
      </c>
      <c r="CN34" s="149" t="str">
        <f>IF($B34=0,"",('MF Rollover'!CM34*($P34*(1+'Property Summary'!$L$22)^('MF Releasing'!CN$3-1)))*$C34)</f>
        <v/>
      </c>
      <c r="CO34" s="149" t="str">
        <f>IF($B34=0,"",('MF Rollover'!CN34*($P34*(1+'Property Summary'!$L$22)^('MF Releasing'!CO$3-1)))*$C34)</f>
        <v/>
      </c>
      <c r="CP34" s="149" t="str">
        <f>IF($B34=0,"",('MF Rollover'!CO34*($P34*(1+'Property Summary'!$L$22)^('MF Releasing'!CP$3-1)))*$C34)</f>
        <v/>
      </c>
      <c r="CQ34" s="149" t="str">
        <f>IF($B34=0,"",('MF Rollover'!CP34*($P34*(1+'Property Summary'!$L$22)^('MF Releasing'!CQ$3-1)))*$C34)</f>
        <v/>
      </c>
      <c r="CR34" s="149" t="str">
        <f>IF($B34=0,"",('MF Rollover'!CQ34*($P34*(1+'Property Summary'!$L$22)^('MF Releasing'!CR$3-1)))*$C34)</f>
        <v/>
      </c>
      <c r="CS34" s="149" t="str">
        <f>IF($B34=0,"",('MF Rollover'!CR34*($P34*(1+'Property Summary'!$L$22)^('MF Releasing'!CS$3-1)))*$C34)</f>
        <v/>
      </c>
      <c r="CT34" s="149" t="str">
        <f>IF($B34=0,"",('MF Rollover'!CS34*($P34*(1+'Property Summary'!$L$22)^('MF Releasing'!CT$3-1)))*$C34)</f>
        <v/>
      </c>
      <c r="CU34" s="149" t="str">
        <f>IF($B34=0,"",('MF Rollover'!CT34*($P34*(1+'Property Summary'!$L$22)^('MF Releasing'!CU$3-1)))*$C34)</f>
        <v/>
      </c>
      <c r="CV34" s="149" t="str">
        <f>IF($B34=0,"",('MF Rollover'!CU34*($P34*(1+'Property Summary'!$L$22)^('MF Releasing'!CV$3-1)))*$C34)</f>
        <v/>
      </c>
      <c r="CW34" s="149" t="str">
        <f>IF($B34=0,"",('MF Rollover'!CV34*($P34*(1+'Property Summary'!$L$22)^('MF Releasing'!CW$3-1)))*$C34)</f>
        <v/>
      </c>
      <c r="CX34" s="149" t="str">
        <f>IF($B34=0,"",('MF Rollover'!CW34*($P34*(1+'Property Summary'!$L$22)^('MF Releasing'!CX$3-1)))*$C34)</f>
        <v/>
      </c>
      <c r="CY34" s="149" t="str">
        <f>IF($B34=0,"",('MF Rollover'!CX34*($P34*(1+'Property Summary'!$L$22)^('MF Releasing'!CY$3-1)))*$C34)</f>
        <v/>
      </c>
      <c r="CZ34" s="149" t="str">
        <f>IF($B34=0,"",('MF Rollover'!CY34*($P34*(1+'Property Summary'!$L$22)^('MF Releasing'!CZ$3-1)))*$C34)</f>
        <v/>
      </c>
      <c r="DA34" s="149" t="str">
        <f>IF($B34=0,"",('MF Rollover'!CZ34*($P34*(1+'Property Summary'!$L$22)^('MF Releasing'!DA$3-1)))*$C34)</f>
        <v/>
      </c>
      <c r="DB34" s="149" t="str">
        <f>IF($B34=0,"",('MF Rollover'!DA34*($P34*(1+'Property Summary'!$L$22)^('MF Releasing'!DB$3-1)))*$C34)</f>
        <v/>
      </c>
      <c r="DC34" s="149" t="str">
        <f>IF($B34=0,"",('MF Rollover'!DB34*($P34*(1+'Property Summary'!$L$22)^('MF Releasing'!DC$3-1)))*$C34)</f>
        <v/>
      </c>
      <c r="DD34" s="149" t="str">
        <f>IF($B34=0,"",('MF Rollover'!DC34*($P34*(1+'Property Summary'!$L$22)^('MF Releasing'!DD$3-1)))*$C34)</f>
        <v/>
      </c>
      <c r="DE34" s="149" t="str">
        <f>IF($B34=0,"",('MF Rollover'!DD34*($P34*(1+'Property Summary'!$L$22)^('MF Releasing'!DE$3-1)))*$C34)</f>
        <v/>
      </c>
      <c r="DF34" s="149" t="str">
        <f>IF($B34=0,"",('MF Rollover'!DE34*($P34*(1+'Property Summary'!$L$22)^('MF Releasing'!DF$3-1)))*$C34)</f>
        <v/>
      </c>
      <c r="DG34" s="149" t="str">
        <f>IF($B34=0,"",('MF Rollover'!DF34*($P34*(1+'Property Summary'!$L$22)^('MF Releasing'!DG$3-1)))*$C34)</f>
        <v/>
      </c>
      <c r="DH34" s="149" t="str">
        <f>IF($B34=0,"",('MF Rollover'!DG34*($P34*(1+'Property Summary'!$L$22)^('MF Releasing'!DH$3-1)))*$C34)</f>
        <v/>
      </c>
      <c r="DI34" s="149" t="str">
        <f>IF($B34=0,"",('MF Rollover'!DH34*($P34*(1+'Property Summary'!$L$22)^('MF Releasing'!DI$3-1)))*$C34)</f>
        <v/>
      </c>
      <c r="DJ34" s="149" t="str">
        <f>IF($B34=0,"",('MF Rollover'!DI34*($P34*(1+'Property Summary'!$L$22)^('MF Releasing'!DJ$3-1)))*$C34)</f>
        <v/>
      </c>
      <c r="DK34" s="149" t="str">
        <f>IF($B34=0,"",('MF Rollover'!DJ34*($P34*(1+'Property Summary'!$L$22)^('MF Releasing'!DK$3-1)))*$C34)</f>
        <v/>
      </c>
      <c r="DL34" s="149" t="str">
        <f>IF($B34=0,"",('MF Rollover'!DK34*($P34*(1+'Property Summary'!$L$22)^('MF Releasing'!DL$3-1)))*$C34)</f>
        <v/>
      </c>
      <c r="DM34" s="149" t="str">
        <f>IF($B34=0,"",('MF Rollover'!DL34*($P34*(1+'Property Summary'!$L$22)^('MF Releasing'!DM$3-1)))*$C34)</f>
        <v/>
      </c>
      <c r="DN34" s="149" t="str">
        <f>IF($B34=0,"",('MF Rollover'!DM34*($P34*(1+'Property Summary'!$L$22)^('MF Releasing'!DN$3-1)))*$C34)</f>
        <v/>
      </c>
      <c r="DO34" s="149" t="str">
        <f>IF($B34=0,"",('MF Rollover'!DN34*($P34*(1+'Property Summary'!$L$22)^('MF Releasing'!DO$3-1)))*$C34)</f>
        <v/>
      </c>
      <c r="DP34" s="149" t="str">
        <f>IF($B34=0,"",('MF Rollover'!DO34*($P34*(1+'Property Summary'!$L$22)^('MF Releasing'!DP$3-1)))*$C34)</f>
        <v/>
      </c>
      <c r="DQ34" s="149" t="str">
        <f>IF($B34=0,"",('MF Rollover'!DP34*($P34*(1+'Property Summary'!$L$22)^('MF Releasing'!DQ$3-1)))*$C34)</f>
        <v/>
      </c>
      <c r="DR34" s="149" t="str">
        <f>IF($B34=0,"",('MF Rollover'!DQ34*($P34*(1+'Property Summary'!$L$22)^('MF Releasing'!DR$3-1)))*$C34)</f>
        <v/>
      </c>
      <c r="DS34" s="149" t="str">
        <f>IF($B34=0,"",('MF Rollover'!DR34*($P34*(1+'Property Summary'!$L$22)^('MF Releasing'!DS$3-1)))*$C34)</f>
        <v/>
      </c>
      <c r="DT34" s="149" t="str">
        <f>IF($B34=0,"",('MF Rollover'!DS34*($P34*(1+'Property Summary'!$L$22)^('MF Releasing'!DT$3-1)))*$C34)</f>
        <v/>
      </c>
      <c r="DU34" s="149" t="str">
        <f>IF($B34=0,"",('MF Rollover'!DT34*($P34*(1+'Property Summary'!$L$22)^('MF Releasing'!DU$3-1)))*$C34)</f>
        <v/>
      </c>
      <c r="DV34" s="149" t="str">
        <f>IF($B34=0,"",('MF Rollover'!DU34*($P34*(1+'Property Summary'!$L$22)^('MF Releasing'!DV$3-1)))*$C34)</f>
        <v/>
      </c>
      <c r="DW34" s="149" t="str">
        <f>IF($B34=0,"",('MF Rollover'!DV34*($P34*(1+'Property Summary'!$L$22)^('MF Releasing'!DW$3-1)))*$C34)</f>
        <v/>
      </c>
      <c r="DX34" s="149" t="str">
        <f>IF($B34=0,"",('MF Rollover'!DW34*($P34*(1+'Property Summary'!$L$22)^('MF Releasing'!DX$3-1)))*$C34)</f>
        <v/>
      </c>
      <c r="DY34" s="149" t="str">
        <f>IF($B34=0,"",('MF Rollover'!DX34*($P34*(1+'Property Summary'!$L$22)^('MF Releasing'!DY$3-1)))*$C34)</f>
        <v/>
      </c>
      <c r="DZ34" s="149" t="str">
        <f>IF($B34=0,"",('MF Rollover'!DY34*($P34*(1+'Property Summary'!$L$22)^('MF Releasing'!DZ$3-1)))*$C34)</f>
        <v/>
      </c>
      <c r="EA34" s="149" t="str">
        <f>IF($B34=0,"",('MF Rollover'!DZ34*($P34*(1+'Property Summary'!$L$22)^('MF Releasing'!EA$3-1)))*$C34)</f>
        <v/>
      </c>
      <c r="EB34" s="149" t="str">
        <f>IF($B34=0,"",('MF Rollover'!EA34*($P34*(1+'Property Summary'!$L$22)^('MF Releasing'!EB$3-1)))*$C34)</f>
        <v/>
      </c>
      <c r="EC34" s="149" t="str">
        <f>IF($B34=0,"",('MF Rollover'!EB34*($P34*(1+'Property Summary'!$L$22)^('MF Releasing'!EC$3-1)))*$C34)</f>
        <v/>
      </c>
      <c r="ED34" s="149" t="str">
        <f>IF($B34=0,"",('MF Rollover'!EC34*($P34*(1+'Property Summary'!$L$22)^('MF Releasing'!ED$3-1)))*$C34)</f>
        <v/>
      </c>
      <c r="EE34" s="149" t="str">
        <f>IF($B34=0,"",('MF Rollover'!ED34*($P34*(1+'Property Summary'!$L$22)^('MF Releasing'!EE$3-1)))*$C34)</f>
        <v/>
      </c>
      <c r="EF34" s="149" t="str">
        <f>IF($B34=0,"",('MF Rollover'!EE34*($P34*(1+'Property Summary'!$L$22)^('MF Releasing'!EF$3-1)))*$C34)</f>
        <v/>
      </c>
      <c r="EG34" s="149" t="str">
        <f>IF($B34=0,"",('MF Rollover'!EF34*($P34*(1+'Property Summary'!$L$22)^('MF Releasing'!EG$3-1)))*$C34)</f>
        <v/>
      </c>
      <c r="EH34" s="149" t="str">
        <f>IF($B34=0,"",('MF Rollover'!EG34*($P34*(1+'Property Summary'!$L$22)^('MF Releasing'!EH$3-1)))*$C34)</f>
        <v/>
      </c>
      <c r="EI34" s="149" t="str">
        <f>IF($B34=0,"",('MF Rollover'!EH34*($P34*(1+'Property Summary'!$L$22)^('MF Releasing'!EI$3-1)))*$C34)</f>
        <v/>
      </c>
      <c r="EJ34" s="149" t="str">
        <f>IF($B34=0,"",('MF Rollover'!EI34*($P34*(1+'Property Summary'!$L$22)^('MF Releasing'!EJ$3-1)))*$C34)</f>
        <v/>
      </c>
      <c r="EK34" s="149" t="str">
        <f>IF($B34=0,"",('MF Rollover'!EJ34*($P34*(1+'Property Summary'!$L$22)^('MF Releasing'!EK$3-1)))*$C34)</f>
        <v/>
      </c>
      <c r="EL34" s="149" t="str">
        <f>IF($B34=0,"",('MF Rollover'!EK34*($P34*(1+'Property Summary'!$L$22)^('MF Releasing'!EL$3-1)))*$C34)</f>
        <v/>
      </c>
      <c r="EM34" s="149" t="str">
        <f>IF($B34=0,"",('MF Rollover'!EL34*($P34*(1+'Property Summary'!$L$22)^('MF Releasing'!EM$3-1)))*$C34)</f>
        <v/>
      </c>
      <c r="EN34" s="149" t="str">
        <f>IF($B34=0,"",('MF Rollover'!EM34*($P34*(1+'Property Summary'!$L$22)^('MF Releasing'!EN$3-1)))*$C34)</f>
        <v/>
      </c>
      <c r="EO34" s="149" t="str">
        <f>IF($B34=0,"",('MF Rollover'!EN34*($P34*(1+'Property Summary'!$L$22)^('MF Releasing'!EO$3-1)))*$C34)</f>
        <v/>
      </c>
      <c r="EP34" s="149" t="str">
        <f>IF($B34=0,"",('MF Rollover'!EO34*($P34*(1+'Property Summary'!$L$22)^('MF Releasing'!EP$3-1)))*$C34)</f>
        <v/>
      </c>
      <c r="EQ34" s="149" t="str">
        <f>IF($B34=0,"",('MF Rollover'!EP34*($P34*(1+'Property Summary'!$L$22)^('MF Releasing'!EQ$3-1)))*$C34)</f>
        <v/>
      </c>
      <c r="ER34" s="149" t="str">
        <f>IF($B34=0,"",('MF Rollover'!EQ34*($P34*(1+'Property Summary'!$L$22)^('MF Releasing'!ER$3-1)))*$C34)</f>
        <v/>
      </c>
      <c r="ES34" s="149" t="str">
        <f>IF($B34=0,"",('MF Rollover'!ER34*($P34*(1+'Property Summary'!$L$22)^('MF Releasing'!ES$3-1)))*$C34)</f>
        <v/>
      </c>
      <c r="ET34" s="149" t="str">
        <f>IF($B34=0,"",('MF Rollover'!ES34*($P34*(1+'Property Summary'!$L$22)^('MF Releasing'!ET$3-1)))*$C34)</f>
        <v/>
      </c>
      <c r="EU34" s="149" t="str">
        <f>IF($B34=0,"",('MF Rollover'!ET34*($P34*(1+'Property Summary'!$L$22)^('MF Releasing'!EU$3-1)))*$C34)</f>
        <v/>
      </c>
      <c r="EV34" s="149" t="str">
        <f>IF($B34=0,"",('MF Rollover'!EU34*($P34*(1+'Property Summary'!$L$22)^('MF Releasing'!EV$3-1)))*$C34)</f>
        <v/>
      </c>
      <c r="EW34" s="149" t="str">
        <f>IF($B34=0,"",('MF Rollover'!EV34*($P34*(1+'Property Summary'!$L$22)^('MF Releasing'!EW$3-1)))*$C34)</f>
        <v/>
      </c>
      <c r="EX34" s="149" t="str">
        <f>IF($B34=0,"",('MF Rollover'!EW34*($P34*(1+'Property Summary'!$L$22)^('MF Releasing'!EX$3-1)))*$C34)</f>
        <v/>
      </c>
      <c r="EY34" s="149" t="str">
        <f>IF($B34=0,"",('MF Rollover'!EX34*($P34*(1+'Property Summary'!$L$22)^('MF Releasing'!EY$3-1)))*$C34)</f>
        <v/>
      </c>
      <c r="EZ34" s="149" t="str">
        <f>IF($B34=0,"",('MF Rollover'!EY34*($P34*(1+'Property Summary'!$L$22)^('MF Releasing'!EZ$3-1)))*$C34)</f>
        <v/>
      </c>
      <c r="FA34" s="149" t="str">
        <f>IF($B34=0,"",('MF Rollover'!EZ34*($P34*(1+'Property Summary'!$L$22)^('MF Releasing'!FA$3-1)))*$C34)</f>
        <v/>
      </c>
      <c r="FB34" s="149" t="str">
        <f>IF($B34=0,"",('MF Rollover'!FA34*($P34*(1+'Property Summary'!$L$22)^('MF Releasing'!FB$3-1)))*$C34)</f>
        <v/>
      </c>
      <c r="FC34" s="149" t="str">
        <f>IF($B34=0,"",('MF Rollover'!FB34*($P34*(1+'Property Summary'!$L$22)^('MF Releasing'!FC$3-1)))*$C34)</f>
        <v/>
      </c>
      <c r="FD34" s="149" t="str">
        <f>IF($B34=0,"",('MF Rollover'!FC34*($P34*(1+'Property Summary'!$L$22)^('MF Releasing'!FD$3-1)))*$C34)</f>
        <v/>
      </c>
      <c r="FE34" s="149" t="str">
        <f>IF($B34=0,"",('MF Rollover'!FD34*($P34*(1+'Property Summary'!$L$22)^('MF Releasing'!FE$3-1)))*$C34)</f>
        <v/>
      </c>
      <c r="FF34" s="149" t="str">
        <f>IF($B34=0,"",('MF Rollover'!FE34*($P34*(1+'Property Summary'!$L$22)^('MF Releasing'!FF$3-1)))*$C34)</f>
        <v/>
      </c>
      <c r="FG34" s="149" t="str">
        <f>IF($B34=0,"",('MF Rollover'!FF34*($P34*(1+'Property Summary'!$L$22)^('MF Releasing'!FG$3-1)))*$C34)</f>
        <v/>
      </c>
      <c r="FH34" s="149" t="str">
        <f>IF($B34=0,"",('MF Rollover'!FG34*($P34*(1+'Property Summary'!$L$22)^('MF Releasing'!FH$3-1)))*$C34)</f>
        <v/>
      </c>
      <c r="FI34" s="149" t="str">
        <f>IF($B34=0,"",('MF Rollover'!FH34*($P34*(1+'Property Summary'!$L$22)^('MF Releasing'!FI$3-1)))*$C34)</f>
        <v/>
      </c>
      <c r="FJ34" s="149" t="str">
        <f>IF($B34=0,"",('MF Rollover'!FI34*($P34*(1+'Property Summary'!$L$22)^('MF Releasing'!FJ$3-1)))*$C34)</f>
        <v/>
      </c>
      <c r="FK34" s="149" t="str">
        <f>IF($B34=0,"",('MF Rollover'!FJ34*($P34*(1+'Property Summary'!$L$22)^('MF Releasing'!FK$3-1)))*$C34)</f>
        <v/>
      </c>
      <c r="FL34" s="149" t="str">
        <f>IF($B34=0,"",('MF Rollover'!FK34*($P34*(1+'Property Summary'!$L$22)^('MF Releasing'!FL$3-1)))*$C34)</f>
        <v/>
      </c>
      <c r="FM34" s="149" t="str">
        <f>IF($B34=0,"",('MF Rollover'!FL34*($P34*(1+'Property Summary'!$L$22)^('MF Releasing'!FM$3-1)))*$C34)</f>
        <v/>
      </c>
      <c r="FN34" s="149" t="str">
        <f>IF($B34=0,"",('MF Rollover'!FM34*($P34*(1+'Property Summary'!$L$22)^('MF Releasing'!FN$3-1)))*$C34)</f>
        <v/>
      </c>
      <c r="FO34" s="149" t="str">
        <f>IF($B34=0,"",('MF Rollover'!FN34*($P34*(1+'Property Summary'!$L$22)^('MF Releasing'!FO$3-1)))*$C34)</f>
        <v/>
      </c>
      <c r="FP34" s="149" t="str">
        <f>IF($B34=0,"",('MF Rollover'!FO34*($P34*(1+'Property Summary'!$L$22)^('MF Releasing'!FP$3-1)))*$C34)</f>
        <v/>
      </c>
      <c r="FQ34" s="149" t="str">
        <f>IF($B34=0,"",('MF Rollover'!FP34*($P34*(1+'Property Summary'!$L$22)^('MF Releasing'!FQ$3-1)))*$C34)</f>
        <v/>
      </c>
      <c r="FR34" s="149" t="str">
        <f>IF($B34=0,"",('MF Rollover'!FQ34*($P34*(1+'Property Summary'!$L$22)^('MF Releasing'!FR$3-1)))*$C34)</f>
        <v/>
      </c>
      <c r="FS34" s="149" t="str">
        <f>IF($B34=0,"",('MF Rollover'!FR34*($P34*(1+'Property Summary'!$L$22)^('MF Releasing'!FS$3-1)))*$C34)</f>
        <v/>
      </c>
      <c r="FT34" s="149" t="str">
        <f>IF($B34=0,"",('MF Rollover'!FS34*($P34*(1+'Property Summary'!$L$22)^('MF Releasing'!FT$3-1)))*$C34)</f>
        <v/>
      </c>
      <c r="FU34" s="149" t="str">
        <f>IF($B34=0,"",('MF Rollover'!FT34*($P34*(1+'Property Summary'!$L$22)^('MF Releasing'!FU$3-1)))*$C34)</f>
        <v/>
      </c>
      <c r="FV34" s="149" t="str">
        <f>IF($B34=0,"",('MF Rollover'!FU34*($P34*(1+'Property Summary'!$L$22)^('MF Releasing'!FV$3-1)))*$C34)</f>
        <v/>
      </c>
      <c r="FW34" s="149" t="str">
        <f>IF($B34=0,"",('MF Rollover'!FV34*($P34*(1+'Property Summary'!$L$22)^('MF Releasing'!FW$3-1)))*$C34)</f>
        <v/>
      </c>
      <c r="FX34" s="149" t="str">
        <f>IF($B34=0,"",('MF Rollover'!FW34*($P34*(1+'Property Summary'!$L$22)^('MF Releasing'!FX$3-1)))*$C34)</f>
        <v/>
      </c>
      <c r="FY34" s="149" t="str">
        <f>IF($B34=0,"",('MF Rollover'!FX34*($P34*(1+'Property Summary'!$L$22)^('MF Releasing'!FY$3-1)))*$C34)</f>
        <v/>
      </c>
      <c r="FZ34" s="149" t="str">
        <f>IF($B34=0,"",('MF Rollover'!FY34*($P34*(1+'Property Summary'!$L$22)^('MF Releasing'!FZ$3-1)))*$C34)</f>
        <v/>
      </c>
      <c r="GA34" s="149" t="str">
        <f>IF($B34=0,"",('MF Rollover'!FZ34*($P34*(1+'Property Summary'!$L$22)^('MF Releasing'!GA$3-1)))*$C34)</f>
        <v/>
      </c>
      <c r="GB34" s="149" t="str">
        <f>IF($B34=0,"",('MF Rollover'!GA34*($P34*(1+'Property Summary'!$L$22)^('MF Releasing'!GB$3-1)))*$C34)</f>
        <v/>
      </c>
      <c r="GC34" s="149" t="str">
        <f>IF($B34=0,"",('MF Rollover'!GB34*($P34*(1+'Property Summary'!$L$22)^('MF Releasing'!GC$3-1)))*$C34)</f>
        <v/>
      </c>
      <c r="GD34" s="149" t="str">
        <f>IF($B34=0,"",('MF Rollover'!GC34*($P34*(1+'Property Summary'!$L$22)^('MF Releasing'!GD$3-1)))*$C34)</f>
        <v/>
      </c>
      <c r="GE34" s="149" t="str">
        <f>IF($B34=0,"",('MF Rollover'!GD34*($P34*(1+'Property Summary'!$L$22)^('MF Releasing'!GE$3-1)))*$C34)</f>
        <v/>
      </c>
      <c r="GF34" s="149" t="str">
        <f>IF($B34=0,"",('MF Rollover'!GE34*($P34*(1+'Property Summary'!$L$22)^('MF Releasing'!GF$3-1)))*$C34)</f>
        <v/>
      </c>
      <c r="GG34" s="149" t="str">
        <f>IF($B34=0,"",('MF Rollover'!GF34*($P34*(1+'Property Summary'!$L$22)^('MF Releasing'!GG$3-1)))*$C34)</f>
        <v/>
      </c>
      <c r="GH34" s="149" t="str">
        <f>IF($B34=0,"",('MF Rollover'!GG34*($P34*(1+'Property Summary'!$L$22)^('MF Releasing'!GH$3-1)))*$C34)</f>
        <v/>
      </c>
      <c r="GI34" s="149" t="str">
        <f>IF($B34=0,"",('MF Rollover'!GH34*($P34*(1+'Property Summary'!$L$22)^('MF Releasing'!GI$3-1)))*$C34)</f>
        <v/>
      </c>
      <c r="GJ34" s="149" t="str">
        <f>IF($B34=0,"",('MF Rollover'!GI34*($P34*(1+'Property Summary'!$L$22)^('MF Releasing'!GJ$3-1)))*$C34)</f>
        <v/>
      </c>
      <c r="GK34" s="149" t="str">
        <f>IF($B34=0,"",('MF Rollover'!GJ34*($P34*(1+'Property Summary'!$L$22)^('MF Releasing'!GK$3-1)))*$C34)</f>
        <v/>
      </c>
      <c r="GL34" s="149" t="str">
        <f>IF($B34=0,"",('MF Rollover'!GK34*($P34*(1+'Property Summary'!$L$22)^('MF Releasing'!GL$3-1)))*$C34)</f>
        <v/>
      </c>
      <c r="GM34" s="149" t="str">
        <f>IF($B34=0,"",('MF Rollover'!GL34*($P34*(1+'Property Summary'!$L$22)^('MF Releasing'!GM$3-1)))*$C34)</f>
        <v/>
      </c>
      <c r="GN34" s="149" t="str">
        <f>IF($B34=0,"",('MF Rollover'!GM34*($P34*(1+'Property Summary'!$L$22)^('MF Releasing'!GN$3-1)))*$C34)</f>
        <v/>
      </c>
      <c r="GO34" s="149" t="str">
        <f>IF($B34=0,"",('MF Rollover'!GN34*($P34*(1+'Property Summary'!$L$22)^('MF Releasing'!GO$3-1)))*$C34)</f>
        <v/>
      </c>
      <c r="GP34" s="149" t="str">
        <f>IF($B34=0,"",('MF Rollover'!GO34*($P34*(1+'Property Summary'!$L$22)^('MF Releasing'!GP$3-1)))*$C34)</f>
        <v/>
      </c>
    </row>
    <row r="35" spans="2:198" x14ac:dyDescent="0.3">
      <c r="B35" s="184">
        <f>'MF Rent Roll'!B34</f>
        <v>0</v>
      </c>
      <c r="C35" s="171">
        <f>'MF Rent Roll'!C34</f>
        <v>0</v>
      </c>
      <c r="D35" s="172">
        <f>'MF Rent Roll'!D34</f>
        <v>0</v>
      </c>
      <c r="E35" s="172">
        <f>'MF Rent Roll'!E34</f>
        <v>0</v>
      </c>
      <c r="F35" s="173">
        <f>'MF Rent Roll'!F34</f>
        <v>0</v>
      </c>
      <c r="G35" s="174">
        <f>'MF Rent Roll'!G34</f>
        <v>0</v>
      </c>
      <c r="H35" s="176">
        <f>'MF Rent Roll'!J34</f>
        <v>0</v>
      </c>
      <c r="I35" s="174">
        <f>'MF Rent Roll'!K34</f>
        <v>0</v>
      </c>
      <c r="J35" s="177">
        <f>'MF Rent Roll'!L34</f>
        <v>0</v>
      </c>
      <c r="K35" s="178">
        <f>'MF Rent Roll'!M34</f>
        <v>0</v>
      </c>
      <c r="L35" s="174">
        <f>'MF Rent Roll'!N34</f>
        <v>0</v>
      </c>
      <c r="M35" s="179">
        <f>'MF Rent Roll'!O34</f>
        <v>0</v>
      </c>
      <c r="N35" s="180" t="str">
        <f>'MF Rent Roll'!P34</f>
        <v/>
      </c>
      <c r="O35" s="181" t="str">
        <f>'MF Rent Roll'!Q34</f>
        <v/>
      </c>
      <c r="P35" s="104" t="str">
        <f>'MF Rent Roll'!R34</f>
        <v/>
      </c>
      <c r="S35" s="149" t="str">
        <f>IF($B35=0,"",('MF Rollover'!R35*($P35*(1+'Property Summary'!$L$22)^('MF Releasing'!S$3-1)))*$C35)</f>
        <v/>
      </c>
      <c r="T35" s="149" t="str">
        <f>IF($B35=0,"",('MF Rollover'!S35*($P35*(1+'Property Summary'!$L$22)^('MF Releasing'!T$3-1)))*$C35)</f>
        <v/>
      </c>
      <c r="U35" s="149" t="str">
        <f>IF($B35=0,"",('MF Rollover'!T35*($P35*(1+'Property Summary'!$L$22)^('MF Releasing'!U$3-1)))*$C35)</f>
        <v/>
      </c>
      <c r="V35" s="149" t="str">
        <f>IF($B35=0,"",('MF Rollover'!U35*($P35*(1+'Property Summary'!$L$22)^('MF Releasing'!V$3-1)))*$C35)</f>
        <v/>
      </c>
      <c r="W35" s="149" t="str">
        <f>IF($B35=0,"",('MF Rollover'!V35*($P35*(1+'Property Summary'!$L$22)^('MF Releasing'!W$3-1)))*$C35)</f>
        <v/>
      </c>
      <c r="X35" s="149" t="str">
        <f>IF($B35=0,"",('MF Rollover'!W35*($P35*(1+'Property Summary'!$L$22)^('MF Releasing'!X$3-1)))*$C35)</f>
        <v/>
      </c>
      <c r="Y35" s="149" t="str">
        <f>IF($B35=0,"",('MF Rollover'!X35*($P35*(1+'Property Summary'!$L$22)^('MF Releasing'!Y$3-1)))*$C35)</f>
        <v/>
      </c>
      <c r="Z35" s="149" t="str">
        <f>IF($B35=0,"",('MF Rollover'!Y35*($P35*(1+'Property Summary'!$L$22)^('MF Releasing'!Z$3-1)))*$C35)</f>
        <v/>
      </c>
      <c r="AA35" s="149" t="str">
        <f>IF($B35=0,"",('MF Rollover'!Z35*($P35*(1+'Property Summary'!$L$22)^('MF Releasing'!AA$3-1)))*$C35)</f>
        <v/>
      </c>
      <c r="AB35" s="149" t="str">
        <f>IF($B35=0,"",('MF Rollover'!AA35*($P35*(1+'Property Summary'!$L$22)^('MF Releasing'!AB$3-1)))*$C35)</f>
        <v/>
      </c>
      <c r="AC35" s="149" t="str">
        <f>IF($B35=0,"",('MF Rollover'!AB35*($P35*(1+'Property Summary'!$L$22)^('MF Releasing'!AC$3-1)))*$C35)</f>
        <v/>
      </c>
      <c r="AD35" s="149" t="str">
        <f>IF($B35=0,"",('MF Rollover'!AC35*($P35*(1+'Property Summary'!$L$22)^('MF Releasing'!AD$3-1)))*$C35)</f>
        <v/>
      </c>
      <c r="AE35" s="149" t="str">
        <f>IF($B35=0,"",('MF Rollover'!AD35*($P35*(1+'Property Summary'!$L$22)^('MF Releasing'!AE$3-1)))*$C35)</f>
        <v/>
      </c>
      <c r="AF35" s="149" t="str">
        <f>IF($B35=0,"",('MF Rollover'!AE35*($P35*(1+'Property Summary'!$L$22)^('MF Releasing'!AF$3-1)))*$C35)</f>
        <v/>
      </c>
      <c r="AG35" s="149" t="str">
        <f>IF($B35=0,"",('MF Rollover'!AF35*($P35*(1+'Property Summary'!$L$22)^('MF Releasing'!AG$3-1)))*$C35)</f>
        <v/>
      </c>
      <c r="AH35" s="149" t="str">
        <f>IF($B35=0,"",('MF Rollover'!AG35*($P35*(1+'Property Summary'!$L$22)^('MF Releasing'!AH$3-1)))*$C35)</f>
        <v/>
      </c>
      <c r="AI35" s="149" t="str">
        <f>IF($B35=0,"",('MF Rollover'!AH35*($P35*(1+'Property Summary'!$L$22)^('MF Releasing'!AI$3-1)))*$C35)</f>
        <v/>
      </c>
      <c r="AJ35" s="149" t="str">
        <f>IF($B35=0,"",('MF Rollover'!AI35*($P35*(1+'Property Summary'!$L$22)^('MF Releasing'!AJ$3-1)))*$C35)</f>
        <v/>
      </c>
      <c r="AK35" s="149" t="str">
        <f>IF($B35=0,"",('MF Rollover'!AJ35*($P35*(1+'Property Summary'!$L$22)^('MF Releasing'!AK$3-1)))*$C35)</f>
        <v/>
      </c>
      <c r="AL35" s="149" t="str">
        <f>IF($B35=0,"",('MF Rollover'!AK35*($P35*(1+'Property Summary'!$L$22)^('MF Releasing'!AL$3-1)))*$C35)</f>
        <v/>
      </c>
      <c r="AM35" s="149" t="str">
        <f>IF($B35=0,"",('MF Rollover'!AL35*($P35*(1+'Property Summary'!$L$22)^('MF Releasing'!AM$3-1)))*$C35)</f>
        <v/>
      </c>
      <c r="AN35" s="149" t="str">
        <f>IF($B35=0,"",('MF Rollover'!AM35*($P35*(1+'Property Summary'!$L$22)^('MF Releasing'!AN$3-1)))*$C35)</f>
        <v/>
      </c>
      <c r="AO35" s="149" t="str">
        <f>IF($B35=0,"",('MF Rollover'!AN35*($P35*(1+'Property Summary'!$L$22)^('MF Releasing'!AO$3-1)))*$C35)</f>
        <v/>
      </c>
      <c r="AP35" s="149" t="str">
        <f>IF($B35=0,"",('MF Rollover'!AO35*($P35*(1+'Property Summary'!$L$22)^('MF Releasing'!AP$3-1)))*$C35)</f>
        <v/>
      </c>
      <c r="AQ35" s="149" t="str">
        <f>IF($B35=0,"",('MF Rollover'!AP35*($P35*(1+'Property Summary'!$L$22)^('MF Releasing'!AQ$3-1)))*$C35)</f>
        <v/>
      </c>
      <c r="AR35" s="149" t="str">
        <f>IF($B35=0,"",('MF Rollover'!AQ35*($P35*(1+'Property Summary'!$L$22)^('MF Releasing'!AR$3-1)))*$C35)</f>
        <v/>
      </c>
      <c r="AS35" s="149" t="str">
        <f>IF($B35=0,"",('MF Rollover'!AR35*($P35*(1+'Property Summary'!$L$22)^('MF Releasing'!AS$3-1)))*$C35)</f>
        <v/>
      </c>
      <c r="AT35" s="149" t="str">
        <f>IF($B35=0,"",('MF Rollover'!AS35*($P35*(1+'Property Summary'!$L$22)^('MF Releasing'!AT$3-1)))*$C35)</f>
        <v/>
      </c>
      <c r="AU35" s="149" t="str">
        <f>IF($B35=0,"",('MF Rollover'!AT35*($P35*(1+'Property Summary'!$L$22)^('MF Releasing'!AU$3-1)))*$C35)</f>
        <v/>
      </c>
      <c r="AV35" s="149" t="str">
        <f>IF($B35=0,"",('MF Rollover'!AU35*($P35*(1+'Property Summary'!$L$22)^('MF Releasing'!AV$3-1)))*$C35)</f>
        <v/>
      </c>
      <c r="AW35" s="149" t="str">
        <f>IF($B35=0,"",('MF Rollover'!AV35*($P35*(1+'Property Summary'!$L$22)^('MF Releasing'!AW$3-1)))*$C35)</f>
        <v/>
      </c>
      <c r="AX35" s="149" t="str">
        <f>IF($B35=0,"",('MF Rollover'!AW35*($P35*(1+'Property Summary'!$L$22)^('MF Releasing'!AX$3-1)))*$C35)</f>
        <v/>
      </c>
      <c r="AY35" s="149" t="str">
        <f>IF($B35=0,"",('MF Rollover'!AX35*($P35*(1+'Property Summary'!$L$22)^('MF Releasing'!AY$3-1)))*$C35)</f>
        <v/>
      </c>
      <c r="AZ35" s="149" t="str">
        <f>IF($B35=0,"",('MF Rollover'!AY35*($P35*(1+'Property Summary'!$L$22)^('MF Releasing'!AZ$3-1)))*$C35)</f>
        <v/>
      </c>
      <c r="BA35" s="149" t="str">
        <f>IF($B35=0,"",('MF Rollover'!AZ35*($P35*(1+'Property Summary'!$L$22)^('MF Releasing'!BA$3-1)))*$C35)</f>
        <v/>
      </c>
      <c r="BB35" s="149" t="str">
        <f>IF($B35=0,"",('MF Rollover'!BA35*($P35*(1+'Property Summary'!$L$22)^('MF Releasing'!BB$3-1)))*$C35)</f>
        <v/>
      </c>
      <c r="BC35" s="149" t="str">
        <f>IF($B35=0,"",('MF Rollover'!BB35*($P35*(1+'Property Summary'!$L$22)^('MF Releasing'!BC$3-1)))*$C35)</f>
        <v/>
      </c>
      <c r="BD35" s="149" t="str">
        <f>IF($B35=0,"",('MF Rollover'!BC35*($P35*(1+'Property Summary'!$L$22)^('MF Releasing'!BD$3-1)))*$C35)</f>
        <v/>
      </c>
      <c r="BE35" s="149" t="str">
        <f>IF($B35=0,"",('MF Rollover'!BD35*($P35*(1+'Property Summary'!$L$22)^('MF Releasing'!BE$3-1)))*$C35)</f>
        <v/>
      </c>
      <c r="BF35" s="149" t="str">
        <f>IF($B35=0,"",('MF Rollover'!BE35*($P35*(1+'Property Summary'!$L$22)^('MF Releasing'!BF$3-1)))*$C35)</f>
        <v/>
      </c>
      <c r="BG35" s="149" t="str">
        <f>IF($B35=0,"",('MF Rollover'!BF35*($P35*(1+'Property Summary'!$L$22)^('MF Releasing'!BG$3-1)))*$C35)</f>
        <v/>
      </c>
      <c r="BH35" s="149" t="str">
        <f>IF($B35=0,"",('MF Rollover'!BG35*($P35*(1+'Property Summary'!$L$22)^('MF Releasing'!BH$3-1)))*$C35)</f>
        <v/>
      </c>
      <c r="BI35" s="149" t="str">
        <f>IF($B35=0,"",('MF Rollover'!BH35*($P35*(1+'Property Summary'!$L$22)^('MF Releasing'!BI$3-1)))*$C35)</f>
        <v/>
      </c>
      <c r="BJ35" s="149" t="str">
        <f>IF($B35=0,"",('MF Rollover'!BI35*($P35*(1+'Property Summary'!$L$22)^('MF Releasing'!BJ$3-1)))*$C35)</f>
        <v/>
      </c>
      <c r="BK35" s="149" t="str">
        <f>IF($B35=0,"",('MF Rollover'!BJ35*($P35*(1+'Property Summary'!$L$22)^('MF Releasing'!BK$3-1)))*$C35)</f>
        <v/>
      </c>
      <c r="BL35" s="149" t="str">
        <f>IF($B35=0,"",('MF Rollover'!BK35*($P35*(1+'Property Summary'!$L$22)^('MF Releasing'!BL$3-1)))*$C35)</f>
        <v/>
      </c>
      <c r="BM35" s="149" t="str">
        <f>IF($B35=0,"",('MF Rollover'!BL35*($P35*(1+'Property Summary'!$L$22)^('MF Releasing'!BM$3-1)))*$C35)</f>
        <v/>
      </c>
      <c r="BN35" s="149" t="str">
        <f>IF($B35=0,"",('MF Rollover'!BM35*($P35*(1+'Property Summary'!$L$22)^('MF Releasing'!BN$3-1)))*$C35)</f>
        <v/>
      </c>
      <c r="BO35" s="149" t="str">
        <f>IF($B35=0,"",('MF Rollover'!BN35*($P35*(1+'Property Summary'!$L$22)^('MF Releasing'!BO$3-1)))*$C35)</f>
        <v/>
      </c>
      <c r="BP35" s="149" t="str">
        <f>IF($B35=0,"",('MF Rollover'!BO35*($P35*(1+'Property Summary'!$L$22)^('MF Releasing'!BP$3-1)))*$C35)</f>
        <v/>
      </c>
      <c r="BQ35" s="149" t="str">
        <f>IF($B35=0,"",('MF Rollover'!BP35*($P35*(1+'Property Summary'!$L$22)^('MF Releasing'!BQ$3-1)))*$C35)</f>
        <v/>
      </c>
      <c r="BR35" s="149" t="str">
        <f>IF($B35=0,"",('MF Rollover'!BQ35*($P35*(1+'Property Summary'!$L$22)^('MF Releasing'!BR$3-1)))*$C35)</f>
        <v/>
      </c>
      <c r="BS35" s="149" t="str">
        <f>IF($B35=0,"",('MF Rollover'!BR35*($P35*(1+'Property Summary'!$L$22)^('MF Releasing'!BS$3-1)))*$C35)</f>
        <v/>
      </c>
      <c r="BT35" s="149" t="str">
        <f>IF($B35=0,"",('MF Rollover'!BS35*($P35*(1+'Property Summary'!$L$22)^('MF Releasing'!BT$3-1)))*$C35)</f>
        <v/>
      </c>
      <c r="BU35" s="149" t="str">
        <f>IF($B35=0,"",('MF Rollover'!BT35*($P35*(1+'Property Summary'!$L$22)^('MF Releasing'!BU$3-1)))*$C35)</f>
        <v/>
      </c>
      <c r="BV35" s="149" t="str">
        <f>IF($B35=0,"",('MF Rollover'!BU35*($P35*(1+'Property Summary'!$L$22)^('MF Releasing'!BV$3-1)))*$C35)</f>
        <v/>
      </c>
      <c r="BW35" s="149" t="str">
        <f>IF($B35=0,"",('MF Rollover'!BV35*($P35*(1+'Property Summary'!$L$22)^('MF Releasing'!BW$3-1)))*$C35)</f>
        <v/>
      </c>
      <c r="BX35" s="149" t="str">
        <f>IF($B35=0,"",('MF Rollover'!BW35*($P35*(1+'Property Summary'!$L$22)^('MF Releasing'!BX$3-1)))*$C35)</f>
        <v/>
      </c>
      <c r="BY35" s="149" t="str">
        <f>IF($B35=0,"",('MF Rollover'!BX35*($P35*(1+'Property Summary'!$L$22)^('MF Releasing'!BY$3-1)))*$C35)</f>
        <v/>
      </c>
      <c r="BZ35" s="149" t="str">
        <f>IF($B35=0,"",('MF Rollover'!BY35*($P35*(1+'Property Summary'!$L$22)^('MF Releasing'!BZ$3-1)))*$C35)</f>
        <v/>
      </c>
      <c r="CA35" s="149" t="str">
        <f>IF($B35=0,"",('MF Rollover'!BZ35*($P35*(1+'Property Summary'!$L$22)^('MF Releasing'!CA$3-1)))*$C35)</f>
        <v/>
      </c>
      <c r="CB35" s="149" t="str">
        <f>IF($B35=0,"",('MF Rollover'!CA35*($P35*(1+'Property Summary'!$L$22)^('MF Releasing'!CB$3-1)))*$C35)</f>
        <v/>
      </c>
      <c r="CC35" s="149" t="str">
        <f>IF($B35=0,"",('MF Rollover'!CB35*($P35*(1+'Property Summary'!$L$22)^('MF Releasing'!CC$3-1)))*$C35)</f>
        <v/>
      </c>
      <c r="CD35" s="149" t="str">
        <f>IF($B35=0,"",('MF Rollover'!CC35*($P35*(1+'Property Summary'!$L$22)^('MF Releasing'!CD$3-1)))*$C35)</f>
        <v/>
      </c>
      <c r="CE35" s="149" t="str">
        <f>IF($B35=0,"",('MF Rollover'!CD35*($P35*(1+'Property Summary'!$L$22)^('MF Releasing'!CE$3-1)))*$C35)</f>
        <v/>
      </c>
      <c r="CF35" s="149" t="str">
        <f>IF($B35=0,"",('MF Rollover'!CE35*($P35*(1+'Property Summary'!$L$22)^('MF Releasing'!CF$3-1)))*$C35)</f>
        <v/>
      </c>
      <c r="CG35" s="149" t="str">
        <f>IF($B35=0,"",('MF Rollover'!CF35*($P35*(1+'Property Summary'!$L$22)^('MF Releasing'!CG$3-1)))*$C35)</f>
        <v/>
      </c>
      <c r="CH35" s="149" t="str">
        <f>IF($B35=0,"",('MF Rollover'!CG35*($P35*(1+'Property Summary'!$L$22)^('MF Releasing'!CH$3-1)))*$C35)</f>
        <v/>
      </c>
      <c r="CI35" s="149" t="str">
        <f>IF($B35=0,"",('MF Rollover'!CH35*($P35*(1+'Property Summary'!$L$22)^('MF Releasing'!CI$3-1)))*$C35)</f>
        <v/>
      </c>
      <c r="CJ35" s="149" t="str">
        <f>IF($B35=0,"",('MF Rollover'!CI35*($P35*(1+'Property Summary'!$L$22)^('MF Releasing'!CJ$3-1)))*$C35)</f>
        <v/>
      </c>
      <c r="CK35" s="149" t="str">
        <f>IF($B35=0,"",('MF Rollover'!CJ35*($P35*(1+'Property Summary'!$L$22)^('MF Releasing'!CK$3-1)))*$C35)</f>
        <v/>
      </c>
      <c r="CL35" s="149" t="str">
        <f>IF($B35=0,"",('MF Rollover'!CK35*($P35*(1+'Property Summary'!$L$22)^('MF Releasing'!CL$3-1)))*$C35)</f>
        <v/>
      </c>
      <c r="CM35" s="149" t="str">
        <f>IF($B35=0,"",('MF Rollover'!CL35*($P35*(1+'Property Summary'!$L$22)^('MF Releasing'!CM$3-1)))*$C35)</f>
        <v/>
      </c>
      <c r="CN35" s="149" t="str">
        <f>IF($B35=0,"",('MF Rollover'!CM35*($P35*(1+'Property Summary'!$L$22)^('MF Releasing'!CN$3-1)))*$C35)</f>
        <v/>
      </c>
      <c r="CO35" s="149" t="str">
        <f>IF($B35=0,"",('MF Rollover'!CN35*($P35*(1+'Property Summary'!$L$22)^('MF Releasing'!CO$3-1)))*$C35)</f>
        <v/>
      </c>
      <c r="CP35" s="149" t="str">
        <f>IF($B35=0,"",('MF Rollover'!CO35*($P35*(1+'Property Summary'!$L$22)^('MF Releasing'!CP$3-1)))*$C35)</f>
        <v/>
      </c>
      <c r="CQ35" s="149" t="str">
        <f>IF($B35=0,"",('MF Rollover'!CP35*($P35*(1+'Property Summary'!$L$22)^('MF Releasing'!CQ$3-1)))*$C35)</f>
        <v/>
      </c>
      <c r="CR35" s="149" t="str">
        <f>IF($B35=0,"",('MF Rollover'!CQ35*($P35*(1+'Property Summary'!$L$22)^('MF Releasing'!CR$3-1)))*$C35)</f>
        <v/>
      </c>
      <c r="CS35" s="149" t="str">
        <f>IF($B35=0,"",('MF Rollover'!CR35*($P35*(1+'Property Summary'!$L$22)^('MF Releasing'!CS$3-1)))*$C35)</f>
        <v/>
      </c>
      <c r="CT35" s="149" t="str">
        <f>IF($B35=0,"",('MF Rollover'!CS35*($P35*(1+'Property Summary'!$L$22)^('MF Releasing'!CT$3-1)))*$C35)</f>
        <v/>
      </c>
      <c r="CU35" s="149" t="str">
        <f>IF($B35=0,"",('MF Rollover'!CT35*($P35*(1+'Property Summary'!$L$22)^('MF Releasing'!CU$3-1)))*$C35)</f>
        <v/>
      </c>
      <c r="CV35" s="149" t="str">
        <f>IF($B35=0,"",('MF Rollover'!CU35*($P35*(1+'Property Summary'!$L$22)^('MF Releasing'!CV$3-1)))*$C35)</f>
        <v/>
      </c>
      <c r="CW35" s="149" t="str">
        <f>IF($B35=0,"",('MF Rollover'!CV35*($P35*(1+'Property Summary'!$L$22)^('MF Releasing'!CW$3-1)))*$C35)</f>
        <v/>
      </c>
      <c r="CX35" s="149" t="str">
        <f>IF($B35=0,"",('MF Rollover'!CW35*($P35*(1+'Property Summary'!$L$22)^('MF Releasing'!CX$3-1)))*$C35)</f>
        <v/>
      </c>
      <c r="CY35" s="149" t="str">
        <f>IF($B35=0,"",('MF Rollover'!CX35*($P35*(1+'Property Summary'!$L$22)^('MF Releasing'!CY$3-1)))*$C35)</f>
        <v/>
      </c>
      <c r="CZ35" s="149" t="str">
        <f>IF($B35=0,"",('MF Rollover'!CY35*($P35*(1+'Property Summary'!$L$22)^('MF Releasing'!CZ$3-1)))*$C35)</f>
        <v/>
      </c>
      <c r="DA35" s="149" t="str">
        <f>IF($B35=0,"",('MF Rollover'!CZ35*($P35*(1+'Property Summary'!$L$22)^('MF Releasing'!DA$3-1)))*$C35)</f>
        <v/>
      </c>
      <c r="DB35" s="149" t="str">
        <f>IF($B35=0,"",('MF Rollover'!DA35*($P35*(1+'Property Summary'!$L$22)^('MF Releasing'!DB$3-1)))*$C35)</f>
        <v/>
      </c>
      <c r="DC35" s="149" t="str">
        <f>IF($B35=0,"",('MF Rollover'!DB35*($P35*(1+'Property Summary'!$L$22)^('MF Releasing'!DC$3-1)))*$C35)</f>
        <v/>
      </c>
      <c r="DD35" s="149" t="str">
        <f>IF($B35=0,"",('MF Rollover'!DC35*($P35*(1+'Property Summary'!$L$22)^('MF Releasing'!DD$3-1)))*$C35)</f>
        <v/>
      </c>
      <c r="DE35" s="149" t="str">
        <f>IF($B35=0,"",('MF Rollover'!DD35*($P35*(1+'Property Summary'!$L$22)^('MF Releasing'!DE$3-1)))*$C35)</f>
        <v/>
      </c>
      <c r="DF35" s="149" t="str">
        <f>IF($B35=0,"",('MF Rollover'!DE35*($P35*(1+'Property Summary'!$L$22)^('MF Releasing'!DF$3-1)))*$C35)</f>
        <v/>
      </c>
      <c r="DG35" s="149" t="str">
        <f>IF($B35=0,"",('MF Rollover'!DF35*($P35*(1+'Property Summary'!$L$22)^('MF Releasing'!DG$3-1)))*$C35)</f>
        <v/>
      </c>
      <c r="DH35" s="149" t="str">
        <f>IF($B35=0,"",('MF Rollover'!DG35*($P35*(1+'Property Summary'!$L$22)^('MF Releasing'!DH$3-1)))*$C35)</f>
        <v/>
      </c>
      <c r="DI35" s="149" t="str">
        <f>IF($B35=0,"",('MF Rollover'!DH35*($P35*(1+'Property Summary'!$L$22)^('MF Releasing'!DI$3-1)))*$C35)</f>
        <v/>
      </c>
      <c r="DJ35" s="149" t="str">
        <f>IF($B35=0,"",('MF Rollover'!DI35*($P35*(1+'Property Summary'!$L$22)^('MF Releasing'!DJ$3-1)))*$C35)</f>
        <v/>
      </c>
      <c r="DK35" s="149" t="str">
        <f>IF($B35=0,"",('MF Rollover'!DJ35*($P35*(1+'Property Summary'!$L$22)^('MF Releasing'!DK$3-1)))*$C35)</f>
        <v/>
      </c>
      <c r="DL35" s="149" t="str">
        <f>IF($B35=0,"",('MF Rollover'!DK35*($P35*(1+'Property Summary'!$L$22)^('MF Releasing'!DL$3-1)))*$C35)</f>
        <v/>
      </c>
      <c r="DM35" s="149" t="str">
        <f>IF($B35=0,"",('MF Rollover'!DL35*($P35*(1+'Property Summary'!$L$22)^('MF Releasing'!DM$3-1)))*$C35)</f>
        <v/>
      </c>
      <c r="DN35" s="149" t="str">
        <f>IF($B35=0,"",('MF Rollover'!DM35*($P35*(1+'Property Summary'!$L$22)^('MF Releasing'!DN$3-1)))*$C35)</f>
        <v/>
      </c>
      <c r="DO35" s="149" t="str">
        <f>IF($B35=0,"",('MF Rollover'!DN35*($P35*(1+'Property Summary'!$L$22)^('MF Releasing'!DO$3-1)))*$C35)</f>
        <v/>
      </c>
      <c r="DP35" s="149" t="str">
        <f>IF($B35=0,"",('MF Rollover'!DO35*($P35*(1+'Property Summary'!$L$22)^('MF Releasing'!DP$3-1)))*$C35)</f>
        <v/>
      </c>
      <c r="DQ35" s="149" t="str">
        <f>IF($B35=0,"",('MF Rollover'!DP35*($P35*(1+'Property Summary'!$L$22)^('MF Releasing'!DQ$3-1)))*$C35)</f>
        <v/>
      </c>
      <c r="DR35" s="149" t="str">
        <f>IF($B35=0,"",('MF Rollover'!DQ35*($P35*(1+'Property Summary'!$L$22)^('MF Releasing'!DR$3-1)))*$C35)</f>
        <v/>
      </c>
      <c r="DS35" s="149" t="str">
        <f>IF($B35=0,"",('MF Rollover'!DR35*($P35*(1+'Property Summary'!$L$22)^('MF Releasing'!DS$3-1)))*$C35)</f>
        <v/>
      </c>
      <c r="DT35" s="149" t="str">
        <f>IF($B35=0,"",('MF Rollover'!DS35*($P35*(1+'Property Summary'!$L$22)^('MF Releasing'!DT$3-1)))*$C35)</f>
        <v/>
      </c>
      <c r="DU35" s="149" t="str">
        <f>IF($B35=0,"",('MF Rollover'!DT35*($P35*(1+'Property Summary'!$L$22)^('MF Releasing'!DU$3-1)))*$C35)</f>
        <v/>
      </c>
      <c r="DV35" s="149" t="str">
        <f>IF($B35=0,"",('MF Rollover'!DU35*($P35*(1+'Property Summary'!$L$22)^('MF Releasing'!DV$3-1)))*$C35)</f>
        <v/>
      </c>
      <c r="DW35" s="149" t="str">
        <f>IF($B35=0,"",('MF Rollover'!DV35*($P35*(1+'Property Summary'!$L$22)^('MF Releasing'!DW$3-1)))*$C35)</f>
        <v/>
      </c>
      <c r="DX35" s="149" t="str">
        <f>IF($B35=0,"",('MF Rollover'!DW35*($P35*(1+'Property Summary'!$L$22)^('MF Releasing'!DX$3-1)))*$C35)</f>
        <v/>
      </c>
      <c r="DY35" s="149" t="str">
        <f>IF($B35=0,"",('MF Rollover'!DX35*($P35*(1+'Property Summary'!$L$22)^('MF Releasing'!DY$3-1)))*$C35)</f>
        <v/>
      </c>
      <c r="DZ35" s="149" t="str">
        <f>IF($B35=0,"",('MF Rollover'!DY35*($P35*(1+'Property Summary'!$L$22)^('MF Releasing'!DZ$3-1)))*$C35)</f>
        <v/>
      </c>
      <c r="EA35" s="149" t="str">
        <f>IF($B35=0,"",('MF Rollover'!DZ35*($P35*(1+'Property Summary'!$L$22)^('MF Releasing'!EA$3-1)))*$C35)</f>
        <v/>
      </c>
      <c r="EB35" s="149" t="str">
        <f>IF($B35=0,"",('MF Rollover'!EA35*($P35*(1+'Property Summary'!$L$22)^('MF Releasing'!EB$3-1)))*$C35)</f>
        <v/>
      </c>
      <c r="EC35" s="149" t="str">
        <f>IF($B35=0,"",('MF Rollover'!EB35*($P35*(1+'Property Summary'!$L$22)^('MF Releasing'!EC$3-1)))*$C35)</f>
        <v/>
      </c>
      <c r="ED35" s="149" t="str">
        <f>IF($B35=0,"",('MF Rollover'!EC35*($P35*(1+'Property Summary'!$L$22)^('MF Releasing'!ED$3-1)))*$C35)</f>
        <v/>
      </c>
      <c r="EE35" s="149" t="str">
        <f>IF($B35=0,"",('MF Rollover'!ED35*($P35*(1+'Property Summary'!$L$22)^('MF Releasing'!EE$3-1)))*$C35)</f>
        <v/>
      </c>
      <c r="EF35" s="149" t="str">
        <f>IF($B35=0,"",('MF Rollover'!EE35*($P35*(1+'Property Summary'!$L$22)^('MF Releasing'!EF$3-1)))*$C35)</f>
        <v/>
      </c>
      <c r="EG35" s="149" t="str">
        <f>IF($B35=0,"",('MF Rollover'!EF35*($P35*(1+'Property Summary'!$L$22)^('MF Releasing'!EG$3-1)))*$C35)</f>
        <v/>
      </c>
      <c r="EH35" s="149" t="str">
        <f>IF($B35=0,"",('MF Rollover'!EG35*($P35*(1+'Property Summary'!$L$22)^('MF Releasing'!EH$3-1)))*$C35)</f>
        <v/>
      </c>
      <c r="EI35" s="149" t="str">
        <f>IF($B35=0,"",('MF Rollover'!EH35*($P35*(1+'Property Summary'!$L$22)^('MF Releasing'!EI$3-1)))*$C35)</f>
        <v/>
      </c>
      <c r="EJ35" s="149" t="str">
        <f>IF($B35=0,"",('MF Rollover'!EI35*($P35*(1+'Property Summary'!$L$22)^('MF Releasing'!EJ$3-1)))*$C35)</f>
        <v/>
      </c>
      <c r="EK35" s="149" t="str">
        <f>IF($B35=0,"",('MF Rollover'!EJ35*($P35*(1+'Property Summary'!$L$22)^('MF Releasing'!EK$3-1)))*$C35)</f>
        <v/>
      </c>
      <c r="EL35" s="149" t="str">
        <f>IF($B35=0,"",('MF Rollover'!EK35*($P35*(1+'Property Summary'!$L$22)^('MF Releasing'!EL$3-1)))*$C35)</f>
        <v/>
      </c>
      <c r="EM35" s="149" t="str">
        <f>IF($B35=0,"",('MF Rollover'!EL35*($P35*(1+'Property Summary'!$L$22)^('MF Releasing'!EM$3-1)))*$C35)</f>
        <v/>
      </c>
      <c r="EN35" s="149" t="str">
        <f>IF($B35=0,"",('MF Rollover'!EM35*($P35*(1+'Property Summary'!$L$22)^('MF Releasing'!EN$3-1)))*$C35)</f>
        <v/>
      </c>
      <c r="EO35" s="149" t="str">
        <f>IF($B35=0,"",('MF Rollover'!EN35*($P35*(1+'Property Summary'!$L$22)^('MF Releasing'!EO$3-1)))*$C35)</f>
        <v/>
      </c>
      <c r="EP35" s="149" t="str">
        <f>IF($B35=0,"",('MF Rollover'!EO35*($P35*(1+'Property Summary'!$L$22)^('MF Releasing'!EP$3-1)))*$C35)</f>
        <v/>
      </c>
      <c r="EQ35" s="149" t="str">
        <f>IF($B35=0,"",('MF Rollover'!EP35*($P35*(1+'Property Summary'!$L$22)^('MF Releasing'!EQ$3-1)))*$C35)</f>
        <v/>
      </c>
      <c r="ER35" s="149" t="str">
        <f>IF($B35=0,"",('MF Rollover'!EQ35*($P35*(1+'Property Summary'!$L$22)^('MF Releasing'!ER$3-1)))*$C35)</f>
        <v/>
      </c>
      <c r="ES35" s="149" t="str">
        <f>IF($B35=0,"",('MF Rollover'!ER35*($P35*(1+'Property Summary'!$L$22)^('MF Releasing'!ES$3-1)))*$C35)</f>
        <v/>
      </c>
      <c r="ET35" s="149" t="str">
        <f>IF($B35=0,"",('MF Rollover'!ES35*($P35*(1+'Property Summary'!$L$22)^('MF Releasing'!ET$3-1)))*$C35)</f>
        <v/>
      </c>
      <c r="EU35" s="149" t="str">
        <f>IF($B35=0,"",('MF Rollover'!ET35*($P35*(1+'Property Summary'!$L$22)^('MF Releasing'!EU$3-1)))*$C35)</f>
        <v/>
      </c>
      <c r="EV35" s="149" t="str">
        <f>IF($B35=0,"",('MF Rollover'!EU35*($P35*(1+'Property Summary'!$L$22)^('MF Releasing'!EV$3-1)))*$C35)</f>
        <v/>
      </c>
      <c r="EW35" s="149" t="str">
        <f>IF($B35=0,"",('MF Rollover'!EV35*($P35*(1+'Property Summary'!$L$22)^('MF Releasing'!EW$3-1)))*$C35)</f>
        <v/>
      </c>
      <c r="EX35" s="149" t="str">
        <f>IF($B35=0,"",('MF Rollover'!EW35*($P35*(1+'Property Summary'!$L$22)^('MF Releasing'!EX$3-1)))*$C35)</f>
        <v/>
      </c>
      <c r="EY35" s="149" t="str">
        <f>IF($B35=0,"",('MF Rollover'!EX35*($P35*(1+'Property Summary'!$L$22)^('MF Releasing'!EY$3-1)))*$C35)</f>
        <v/>
      </c>
      <c r="EZ35" s="149" t="str">
        <f>IF($B35=0,"",('MF Rollover'!EY35*($P35*(1+'Property Summary'!$L$22)^('MF Releasing'!EZ$3-1)))*$C35)</f>
        <v/>
      </c>
      <c r="FA35" s="149" t="str">
        <f>IF($B35=0,"",('MF Rollover'!EZ35*($P35*(1+'Property Summary'!$L$22)^('MF Releasing'!FA$3-1)))*$C35)</f>
        <v/>
      </c>
      <c r="FB35" s="149" t="str">
        <f>IF($B35=0,"",('MF Rollover'!FA35*($P35*(1+'Property Summary'!$L$22)^('MF Releasing'!FB$3-1)))*$C35)</f>
        <v/>
      </c>
      <c r="FC35" s="149" t="str">
        <f>IF($B35=0,"",('MF Rollover'!FB35*($P35*(1+'Property Summary'!$L$22)^('MF Releasing'!FC$3-1)))*$C35)</f>
        <v/>
      </c>
      <c r="FD35" s="149" t="str">
        <f>IF($B35=0,"",('MF Rollover'!FC35*($P35*(1+'Property Summary'!$L$22)^('MF Releasing'!FD$3-1)))*$C35)</f>
        <v/>
      </c>
      <c r="FE35" s="149" t="str">
        <f>IF($B35=0,"",('MF Rollover'!FD35*($P35*(1+'Property Summary'!$L$22)^('MF Releasing'!FE$3-1)))*$C35)</f>
        <v/>
      </c>
      <c r="FF35" s="149" t="str">
        <f>IF($B35=0,"",('MF Rollover'!FE35*($P35*(1+'Property Summary'!$L$22)^('MF Releasing'!FF$3-1)))*$C35)</f>
        <v/>
      </c>
      <c r="FG35" s="149" t="str">
        <f>IF($B35=0,"",('MF Rollover'!FF35*($P35*(1+'Property Summary'!$L$22)^('MF Releasing'!FG$3-1)))*$C35)</f>
        <v/>
      </c>
      <c r="FH35" s="149" t="str">
        <f>IF($B35=0,"",('MF Rollover'!FG35*($P35*(1+'Property Summary'!$L$22)^('MF Releasing'!FH$3-1)))*$C35)</f>
        <v/>
      </c>
      <c r="FI35" s="149" t="str">
        <f>IF($B35=0,"",('MF Rollover'!FH35*($P35*(1+'Property Summary'!$L$22)^('MF Releasing'!FI$3-1)))*$C35)</f>
        <v/>
      </c>
      <c r="FJ35" s="149" t="str">
        <f>IF($B35=0,"",('MF Rollover'!FI35*($P35*(1+'Property Summary'!$L$22)^('MF Releasing'!FJ$3-1)))*$C35)</f>
        <v/>
      </c>
      <c r="FK35" s="149" t="str">
        <f>IF($B35=0,"",('MF Rollover'!FJ35*($P35*(1+'Property Summary'!$L$22)^('MF Releasing'!FK$3-1)))*$C35)</f>
        <v/>
      </c>
      <c r="FL35" s="149" t="str">
        <f>IF($B35=0,"",('MF Rollover'!FK35*($P35*(1+'Property Summary'!$L$22)^('MF Releasing'!FL$3-1)))*$C35)</f>
        <v/>
      </c>
      <c r="FM35" s="149" t="str">
        <f>IF($B35=0,"",('MF Rollover'!FL35*($P35*(1+'Property Summary'!$L$22)^('MF Releasing'!FM$3-1)))*$C35)</f>
        <v/>
      </c>
      <c r="FN35" s="149" t="str">
        <f>IF($B35=0,"",('MF Rollover'!FM35*($P35*(1+'Property Summary'!$L$22)^('MF Releasing'!FN$3-1)))*$C35)</f>
        <v/>
      </c>
      <c r="FO35" s="149" t="str">
        <f>IF($B35=0,"",('MF Rollover'!FN35*($P35*(1+'Property Summary'!$L$22)^('MF Releasing'!FO$3-1)))*$C35)</f>
        <v/>
      </c>
      <c r="FP35" s="149" t="str">
        <f>IF($B35=0,"",('MF Rollover'!FO35*($P35*(1+'Property Summary'!$L$22)^('MF Releasing'!FP$3-1)))*$C35)</f>
        <v/>
      </c>
      <c r="FQ35" s="149" t="str">
        <f>IF($B35=0,"",('MF Rollover'!FP35*($P35*(1+'Property Summary'!$L$22)^('MF Releasing'!FQ$3-1)))*$C35)</f>
        <v/>
      </c>
      <c r="FR35" s="149" t="str">
        <f>IF($B35=0,"",('MF Rollover'!FQ35*($P35*(1+'Property Summary'!$L$22)^('MF Releasing'!FR$3-1)))*$C35)</f>
        <v/>
      </c>
      <c r="FS35" s="149" t="str">
        <f>IF($B35=0,"",('MF Rollover'!FR35*($P35*(1+'Property Summary'!$L$22)^('MF Releasing'!FS$3-1)))*$C35)</f>
        <v/>
      </c>
      <c r="FT35" s="149" t="str">
        <f>IF($B35=0,"",('MF Rollover'!FS35*($P35*(1+'Property Summary'!$L$22)^('MF Releasing'!FT$3-1)))*$C35)</f>
        <v/>
      </c>
      <c r="FU35" s="149" t="str">
        <f>IF($B35=0,"",('MF Rollover'!FT35*($P35*(1+'Property Summary'!$L$22)^('MF Releasing'!FU$3-1)))*$C35)</f>
        <v/>
      </c>
      <c r="FV35" s="149" t="str">
        <f>IF($B35=0,"",('MF Rollover'!FU35*($P35*(1+'Property Summary'!$L$22)^('MF Releasing'!FV$3-1)))*$C35)</f>
        <v/>
      </c>
      <c r="FW35" s="149" t="str">
        <f>IF($B35=0,"",('MF Rollover'!FV35*($P35*(1+'Property Summary'!$L$22)^('MF Releasing'!FW$3-1)))*$C35)</f>
        <v/>
      </c>
      <c r="FX35" s="149" t="str">
        <f>IF($B35=0,"",('MF Rollover'!FW35*($P35*(1+'Property Summary'!$L$22)^('MF Releasing'!FX$3-1)))*$C35)</f>
        <v/>
      </c>
      <c r="FY35" s="149" t="str">
        <f>IF($B35=0,"",('MF Rollover'!FX35*($P35*(1+'Property Summary'!$L$22)^('MF Releasing'!FY$3-1)))*$C35)</f>
        <v/>
      </c>
      <c r="FZ35" s="149" t="str">
        <f>IF($B35=0,"",('MF Rollover'!FY35*($P35*(1+'Property Summary'!$L$22)^('MF Releasing'!FZ$3-1)))*$C35)</f>
        <v/>
      </c>
      <c r="GA35" s="149" t="str">
        <f>IF($B35=0,"",('MF Rollover'!FZ35*($P35*(1+'Property Summary'!$L$22)^('MF Releasing'!GA$3-1)))*$C35)</f>
        <v/>
      </c>
      <c r="GB35" s="149" t="str">
        <f>IF($B35=0,"",('MF Rollover'!GA35*($P35*(1+'Property Summary'!$L$22)^('MF Releasing'!GB$3-1)))*$C35)</f>
        <v/>
      </c>
      <c r="GC35" s="149" t="str">
        <f>IF($B35=0,"",('MF Rollover'!GB35*($P35*(1+'Property Summary'!$L$22)^('MF Releasing'!GC$3-1)))*$C35)</f>
        <v/>
      </c>
      <c r="GD35" s="149" t="str">
        <f>IF($B35=0,"",('MF Rollover'!GC35*($P35*(1+'Property Summary'!$L$22)^('MF Releasing'!GD$3-1)))*$C35)</f>
        <v/>
      </c>
      <c r="GE35" s="149" t="str">
        <f>IF($B35=0,"",('MF Rollover'!GD35*($P35*(1+'Property Summary'!$L$22)^('MF Releasing'!GE$3-1)))*$C35)</f>
        <v/>
      </c>
      <c r="GF35" s="149" t="str">
        <f>IF($B35=0,"",('MF Rollover'!GE35*($P35*(1+'Property Summary'!$L$22)^('MF Releasing'!GF$3-1)))*$C35)</f>
        <v/>
      </c>
      <c r="GG35" s="149" t="str">
        <f>IF($B35=0,"",('MF Rollover'!GF35*($P35*(1+'Property Summary'!$L$22)^('MF Releasing'!GG$3-1)))*$C35)</f>
        <v/>
      </c>
      <c r="GH35" s="149" t="str">
        <f>IF($B35=0,"",('MF Rollover'!GG35*($P35*(1+'Property Summary'!$L$22)^('MF Releasing'!GH$3-1)))*$C35)</f>
        <v/>
      </c>
      <c r="GI35" s="149" t="str">
        <f>IF($B35=0,"",('MF Rollover'!GH35*($P35*(1+'Property Summary'!$L$22)^('MF Releasing'!GI$3-1)))*$C35)</f>
        <v/>
      </c>
      <c r="GJ35" s="149" t="str">
        <f>IF($B35=0,"",('MF Rollover'!GI35*($P35*(1+'Property Summary'!$L$22)^('MF Releasing'!GJ$3-1)))*$C35)</f>
        <v/>
      </c>
      <c r="GK35" s="149" t="str">
        <f>IF($B35=0,"",('MF Rollover'!GJ35*($P35*(1+'Property Summary'!$L$22)^('MF Releasing'!GK$3-1)))*$C35)</f>
        <v/>
      </c>
      <c r="GL35" s="149" t="str">
        <f>IF($B35=0,"",('MF Rollover'!GK35*($P35*(1+'Property Summary'!$L$22)^('MF Releasing'!GL$3-1)))*$C35)</f>
        <v/>
      </c>
      <c r="GM35" s="149" t="str">
        <f>IF($B35=0,"",('MF Rollover'!GL35*($P35*(1+'Property Summary'!$L$22)^('MF Releasing'!GM$3-1)))*$C35)</f>
        <v/>
      </c>
      <c r="GN35" s="149" t="str">
        <f>IF($B35=0,"",('MF Rollover'!GM35*($P35*(1+'Property Summary'!$L$22)^('MF Releasing'!GN$3-1)))*$C35)</f>
        <v/>
      </c>
      <c r="GO35" s="149" t="str">
        <f>IF($B35=0,"",('MF Rollover'!GN35*($P35*(1+'Property Summary'!$L$22)^('MF Releasing'!GO$3-1)))*$C35)</f>
        <v/>
      </c>
      <c r="GP35" s="149" t="str">
        <f>IF($B35=0,"",('MF Rollover'!GO35*($P35*(1+'Property Summary'!$L$22)^('MF Releasing'!GP$3-1)))*$C35)</f>
        <v/>
      </c>
    </row>
    <row r="36" spans="2:198" x14ac:dyDescent="0.3">
      <c r="B36" s="184">
        <f>'MF Rent Roll'!B35</f>
        <v>0</v>
      </c>
      <c r="C36" s="171">
        <f>'MF Rent Roll'!C35</f>
        <v>0</v>
      </c>
      <c r="D36" s="172">
        <f>'MF Rent Roll'!D35</f>
        <v>0</v>
      </c>
      <c r="E36" s="172">
        <f>'MF Rent Roll'!E35</f>
        <v>0</v>
      </c>
      <c r="F36" s="173">
        <f>'MF Rent Roll'!F35</f>
        <v>0</v>
      </c>
      <c r="G36" s="174">
        <f>'MF Rent Roll'!G35</f>
        <v>0</v>
      </c>
      <c r="H36" s="176">
        <f>'MF Rent Roll'!J35</f>
        <v>0</v>
      </c>
      <c r="I36" s="174">
        <f>'MF Rent Roll'!K35</f>
        <v>0</v>
      </c>
      <c r="J36" s="177">
        <f>'MF Rent Roll'!L35</f>
        <v>0</v>
      </c>
      <c r="K36" s="178">
        <f>'MF Rent Roll'!M35</f>
        <v>0</v>
      </c>
      <c r="L36" s="174">
        <f>'MF Rent Roll'!N35</f>
        <v>0</v>
      </c>
      <c r="M36" s="179">
        <f>'MF Rent Roll'!O35</f>
        <v>0</v>
      </c>
      <c r="N36" s="180" t="str">
        <f>'MF Rent Roll'!P35</f>
        <v/>
      </c>
      <c r="O36" s="181" t="str">
        <f>'MF Rent Roll'!Q35</f>
        <v/>
      </c>
      <c r="P36" s="104" t="str">
        <f>'MF Rent Roll'!R35</f>
        <v/>
      </c>
      <c r="S36" s="149" t="str">
        <f>IF($B36=0,"",('MF Rollover'!R36*($P36*(1+'Property Summary'!$L$22)^('MF Releasing'!S$3-1)))*$C36)</f>
        <v/>
      </c>
      <c r="T36" s="149" t="str">
        <f>IF($B36=0,"",('MF Rollover'!S36*($P36*(1+'Property Summary'!$L$22)^('MF Releasing'!T$3-1)))*$C36)</f>
        <v/>
      </c>
      <c r="U36" s="149" t="str">
        <f>IF($B36=0,"",('MF Rollover'!T36*($P36*(1+'Property Summary'!$L$22)^('MF Releasing'!U$3-1)))*$C36)</f>
        <v/>
      </c>
      <c r="V36" s="149" t="str">
        <f>IF($B36=0,"",('MF Rollover'!U36*($P36*(1+'Property Summary'!$L$22)^('MF Releasing'!V$3-1)))*$C36)</f>
        <v/>
      </c>
      <c r="W36" s="149" t="str">
        <f>IF($B36=0,"",('MF Rollover'!V36*($P36*(1+'Property Summary'!$L$22)^('MF Releasing'!W$3-1)))*$C36)</f>
        <v/>
      </c>
      <c r="X36" s="149" t="str">
        <f>IF($B36=0,"",('MF Rollover'!W36*($P36*(1+'Property Summary'!$L$22)^('MF Releasing'!X$3-1)))*$C36)</f>
        <v/>
      </c>
      <c r="Y36" s="149" t="str">
        <f>IF($B36=0,"",('MF Rollover'!X36*($P36*(1+'Property Summary'!$L$22)^('MF Releasing'!Y$3-1)))*$C36)</f>
        <v/>
      </c>
      <c r="Z36" s="149" t="str">
        <f>IF($B36=0,"",('MF Rollover'!Y36*($P36*(1+'Property Summary'!$L$22)^('MF Releasing'!Z$3-1)))*$C36)</f>
        <v/>
      </c>
      <c r="AA36" s="149" t="str">
        <f>IF($B36=0,"",('MF Rollover'!Z36*($P36*(1+'Property Summary'!$L$22)^('MF Releasing'!AA$3-1)))*$C36)</f>
        <v/>
      </c>
      <c r="AB36" s="149" t="str">
        <f>IF($B36=0,"",('MF Rollover'!AA36*($P36*(1+'Property Summary'!$L$22)^('MF Releasing'!AB$3-1)))*$C36)</f>
        <v/>
      </c>
      <c r="AC36" s="149" t="str">
        <f>IF($B36=0,"",('MF Rollover'!AB36*($P36*(1+'Property Summary'!$L$22)^('MF Releasing'!AC$3-1)))*$C36)</f>
        <v/>
      </c>
      <c r="AD36" s="149" t="str">
        <f>IF($B36=0,"",('MF Rollover'!AC36*($P36*(1+'Property Summary'!$L$22)^('MF Releasing'!AD$3-1)))*$C36)</f>
        <v/>
      </c>
      <c r="AE36" s="149" t="str">
        <f>IF($B36=0,"",('MF Rollover'!AD36*($P36*(1+'Property Summary'!$L$22)^('MF Releasing'!AE$3-1)))*$C36)</f>
        <v/>
      </c>
      <c r="AF36" s="149" t="str">
        <f>IF($B36=0,"",('MF Rollover'!AE36*($P36*(1+'Property Summary'!$L$22)^('MF Releasing'!AF$3-1)))*$C36)</f>
        <v/>
      </c>
      <c r="AG36" s="149" t="str">
        <f>IF($B36=0,"",('MF Rollover'!AF36*($P36*(1+'Property Summary'!$L$22)^('MF Releasing'!AG$3-1)))*$C36)</f>
        <v/>
      </c>
      <c r="AH36" s="149" t="str">
        <f>IF($B36=0,"",('MF Rollover'!AG36*($P36*(1+'Property Summary'!$L$22)^('MF Releasing'!AH$3-1)))*$C36)</f>
        <v/>
      </c>
      <c r="AI36" s="149" t="str">
        <f>IF($B36=0,"",('MF Rollover'!AH36*($P36*(1+'Property Summary'!$L$22)^('MF Releasing'!AI$3-1)))*$C36)</f>
        <v/>
      </c>
      <c r="AJ36" s="149" t="str">
        <f>IF($B36=0,"",('MF Rollover'!AI36*($P36*(1+'Property Summary'!$L$22)^('MF Releasing'!AJ$3-1)))*$C36)</f>
        <v/>
      </c>
      <c r="AK36" s="149" t="str">
        <f>IF($B36=0,"",('MF Rollover'!AJ36*($P36*(1+'Property Summary'!$L$22)^('MF Releasing'!AK$3-1)))*$C36)</f>
        <v/>
      </c>
      <c r="AL36" s="149" t="str">
        <f>IF($B36=0,"",('MF Rollover'!AK36*($P36*(1+'Property Summary'!$L$22)^('MF Releasing'!AL$3-1)))*$C36)</f>
        <v/>
      </c>
      <c r="AM36" s="149" t="str">
        <f>IF($B36=0,"",('MF Rollover'!AL36*($P36*(1+'Property Summary'!$L$22)^('MF Releasing'!AM$3-1)))*$C36)</f>
        <v/>
      </c>
      <c r="AN36" s="149" t="str">
        <f>IF($B36=0,"",('MF Rollover'!AM36*($P36*(1+'Property Summary'!$L$22)^('MF Releasing'!AN$3-1)))*$C36)</f>
        <v/>
      </c>
      <c r="AO36" s="149" t="str">
        <f>IF($B36=0,"",('MF Rollover'!AN36*($P36*(1+'Property Summary'!$L$22)^('MF Releasing'!AO$3-1)))*$C36)</f>
        <v/>
      </c>
      <c r="AP36" s="149" t="str">
        <f>IF($B36=0,"",('MF Rollover'!AO36*($P36*(1+'Property Summary'!$L$22)^('MF Releasing'!AP$3-1)))*$C36)</f>
        <v/>
      </c>
      <c r="AQ36" s="149" t="str">
        <f>IF($B36=0,"",('MF Rollover'!AP36*($P36*(1+'Property Summary'!$L$22)^('MF Releasing'!AQ$3-1)))*$C36)</f>
        <v/>
      </c>
      <c r="AR36" s="149" t="str">
        <f>IF($B36=0,"",('MF Rollover'!AQ36*($P36*(1+'Property Summary'!$L$22)^('MF Releasing'!AR$3-1)))*$C36)</f>
        <v/>
      </c>
      <c r="AS36" s="149" t="str">
        <f>IF($B36=0,"",('MF Rollover'!AR36*($P36*(1+'Property Summary'!$L$22)^('MF Releasing'!AS$3-1)))*$C36)</f>
        <v/>
      </c>
      <c r="AT36" s="149" t="str">
        <f>IF($B36=0,"",('MF Rollover'!AS36*($P36*(1+'Property Summary'!$L$22)^('MF Releasing'!AT$3-1)))*$C36)</f>
        <v/>
      </c>
      <c r="AU36" s="149" t="str">
        <f>IF($B36=0,"",('MF Rollover'!AT36*($P36*(1+'Property Summary'!$L$22)^('MF Releasing'!AU$3-1)))*$C36)</f>
        <v/>
      </c>
      <c r="AV36" s="149" t="str">
        <f>IF($B36=0,"",('MF Rollover'!AU36*($P36*(1+'Property Summary'!$L$22)^('MF Releasing'!AV$3-1)))*$C36)</f>
        <v/>
      </c>
      <c r="AW36" s="149" t="str">
        <f>IF($B36=0,"",('MF Rollover'!AV36*($P36*(1+'Property Summary'!$L$22)^('MF Releasing'!AW$3-1)))*$C36)</f>
        <v/>
      </c>
      <c r="AX36" s="149" t="str">
        <f>IF($B36=0,"",('MF Rollover'!AW36*($P36*(1+'Property Summary'!$L$22)^('MF Releasing'!AX$3-1)))*$C36)</f>
        <v/>
      </c>
      <c r="AY36" s="149" t="str">
        <f>IF($B36=0,"",('MF Rollover'!AX36*($P36*(1+'Property Summary'!$L$22)^('MF Releasing'!AY$3-1)))*$C36)</f>
        <v/>
      </c>
      <c r="AZ36" s="149" t="str">
        <f>IF($B36=0,"",('MF Rollover'!AY36*($P36*(1+'Property Summary'!$L$22)^('MF Releasing'!AZ$3-1)))*$C36)</f>
        <v/>
      </c>
      <c r="BA36" s="149" t="str">
        <f>IF($B36=0,"",('MF Rollover'!AZ36*($P36*(1+'Property Summary'!$L$22)^('MF Releasing'!BA$3-1)))*$C36)</f>
        <v/>
      </c>
      <c r="BB36" s="149" t="str">
        <f>IF($B36=0,"",('MF Rollover'!BA36*($P36*(1+'Property Summary'!$L$22)^('MF Releasing'!BB$3-1)))*$C36)</f>
        <v/>
      </c>
      <c r="BC36" s="149" t="str">
        <f>IF($B36=0,"",('MF Rollover'!BB36*($P36*(1+'Property Summary'!$L$22)^('MF Releasing'!BC$3-1)))*$C36)</f>
        <v/>
      </c>
      <c r="BD36" s="149" t="str">
        <f>IF($B36=0,"",('MF Rollover'!BC36*($P36*(1+'Property Summary'!$L$22)^('MF Releasing'!BD$3-1)))*$C36)</f>
        <v/>
      </c>
      <c r="BE36" s="149" t="str">
        <f>IF($B36=0,"",('MF Rollover'!BD36*($P36*(1+'Property Summary'!$L$22)^('MF Releasing'!BE$3-1)))*$C36)</f>
        <v/>
      </c>
      <c r="BF36" s="149" t="str">
        <f>IF($B36=0,"",('MF Rollover'!BE36*($P36*(1+'Property Summary'!$L$22)^('MF Releasing'!BF$3-1)))*$C36)</f>
        <v/>
      </c>
      <c r="BG36" s="149" t="str">
        <f>IF($B36=0,"",('MF Rollover'!BF36*($P36*(1+'Property Summary'!$L$22)^('MF Releasing'!BG$3-1)))*$C36)</f>
        <v/>
      </c>
      <c r="BH36" s="149" t="str">
        <f>IF($B36=0,"",('MF Rollover'!BG36*($P36*(1+'Property Summary'!$L$22)^('MF Releasing'!BH$3-1)))*$C36)</f>
        <v/>
      </c>
      <c r="BI36" s="149" t="str">
        <f>IF($B36=0,"",('MF Rollover'!BH36*($P36*(1+'Property Summary'!$L$22)^('MF Releasing'!BI$3-1)))*$C36)</f>
        <v/>
      </c>
      <c r="BJ36" s="149" t="str">
        <f>IF($B36=0,"",('MF Rollover'!BI36*($P36*(1+'Property Summary'!$L$22)^('MF Releasing'!BJ$3-1)))*$C36)</f>
        <v/>
      </c>
      <c r="BK36" s="149" t="str">
        <f>IF($B36=0,"",('MF Rollover'!BJ36*($P36*(1+'Property Summary'!$L$22)^('MF Releasing'!BK$3-1)))*$C36)</f>
        <v/>
      </c>
      <c r="BL36" s="149" t="str">
        <f>IF($B36=0,"",('MF Rollover'!BK36*($P36*(1+'Property Summary'!$L$22)^('MF Releasing'!BL$3-1)))*$C36)</f>
        <v/>
      </c>
      <c r="BM36" s="149" t="str">
        <f>IF($B36=0,"",('MF Rollover'!BL36*($P36*(1+'Property Summary'!$L$22)^('MF Releasing'!BM$3-1)))*$C36)</f>
        <v/>
      </c>
      <c r="BN36" s="149" t="str">
        <f>IF($B36=0,"",('MF Rollover'!BM36*($P36*(1+'Property Summary'!$L$22)^('MF Releasing'!BN$3-1)))*$C36)</f>
        <v/>
      </c>
      <c r="BO36" s="149" t="str">
        <f>IF($B36=0,"",('MF Rollover'!BN36*($P36*(1+'Property Summary'!$L$22)^('MF Releasing'!BO$3-1)))*$C36)</f>
        <v/>
      </c>
      <c r="BP36" s="149" t="str">
        <f>IF($B36=0,"",('MF Rollover'!BO36*($P36*(1+'Property Summary'!$L$22)^('MF Releasing'!BP$3-1)))*$C36)</f>
        <v/>
      </c>
      <c r="BQ36" s="149" t="str">
        <f>IF($B36=0,"",('MF Rollover'!BP36*($P36*(1+'Property Summary'!$L$22)^('MF Releasing'!BQ$3-1)))*$C36)</f>
        <v/>
      </c>
      <c r="BR36" s="149" t="str">
        <f>IF($B36=0,"",('MF Rollover'!BQ36*($P36*(1+'Property Summary'!$L$22)^('MF Releasing'!BR$3-1)))*$C36)</f>
        <v/>
      </c>
      <c r="BS36" s="149" t="str">
        <f>IF($B36=0,"",('MF Rollover'!BR36*($P36*(1+'Property Summary'!$L$22)^('MF Releasing'!BS$3-1)))*$C36)</f>
        <v/>
      </c>
      <c r="BT36" s="149" t="str">
        <f>IF($B36=0,"",('MF Rollover'!BS36*($P36*(1+'Property Summary'!$L$22)^('MF Releasing'!BT$3-1)))*$C36)</f>
        <v/>
      </c>
      <c r="BU36" s="149" t="str">
        <f>IF($B36=0,"",('MF Rollover'!BT36*($P36*(1+'Property Summary'!$L$22)^('MF Releasing'!BU$3-1)))*$C36)</f>
        <v/>
      </c>
      <c r="BV36" s="149" t="str">
        <f>IF($B36=0,"",('MF Rollover'!BU36*($P36*(1+'Property Summary'!$L$22)^('MF Releasing'!BV$3-1)))*$C36)</f>
        <v/>
      </c>
      <c r="BW36" s="149" t="str">
        <f>IF($B36=0,"",('MF Rollover'!BV36*($P36*(1+'Property Summary'!$L$22)^('MF Releasing'!BW$3-1)))*$C36)</f>
        <v/>
      </c>
      <c r="BX36" s="149" t="str">
        <f>IF($B36=0,"",('MF Rollover'!BW36*($P36*(1+'Property Summary'!$L$22)^('MF Releasing'!BX$3-1)))*$C36)</f>
        <v/>
      </c>
      <c r="BY36" s="149" t="str">
        <f>IF($B36=0,"",('MF Rollover'!BX36*($P36*(1+'Property Summary'!$L$22)^('MF Releasing'!BY$3-1)))*$C36)</f>
        <v/>
      </c>
      <c r="BZ36" s="149" t="str">
        <f>IF($B36=0,"",('MF Rollover'!BY36*($P36*(1+'Property Summary'!$L$22)^('MF Releasing'!BZ$3-1)))*$C36)</f>
        <v/>
      </c>
      <c r="CA36" s="149" t="str">
        <f>IF($B36=0,"",('MF Rollover'!BZ36*($P36*(1+'Property Summary'!$L$22)^('MF Releasing'!CA$3-1)))*$C36)</f>
        <v/>
      </c>
      <c r="CB36" s="149" t="str">
        <f>IF($B36=0,"",('MF Rollover'!CA36*($P36*(1+'Property Summary'!$L$22)^('MF Releasing'!CB$3-1)))*$C36)</f>
        <v/>
      </c>
      <c r="CC36" s="149" t="str">
        <f>IF($B36=0,"",('MF Rollover'!CB36*($P36*(1+'Property Summary'!$L$22)^('MF Releasing'!CC$3-1)))*$C36)</f>
        <v/>
      </c>
      <c r="CD36" s="149" t="str">
        <f>IF($B36=0,"",('MF Rollover'!CC36*($P36*(1+'Property Summary'!$L$22)^('MF Releasing'!CD$3-1)))*$C36)</f>
        <v/>
      </c>
      <c r="CE36" s="149" t="str">
        <f>IF($B36=0,"",('MF Rollover'!CD36*($P36*(1+'Property Summary'!$L$22)^('MF Releasing'!CE$3-1)))*$C36)</f>
        <v/>
      </c>
      <c r="CF36" s="149" t="str">
        <f>IF($B36=0,"",('MF Rollover'!CE36*($P36*(1+'Property Summary'!$L$22)^('MF Releasing'!CF$3-1)))*$C36)</f>
        <v/>
      </c>
      <c r="CG36" s="149" t="str">
        <f>IF($B36=0,"",('MF Rollover'!CF36*($P36*(1+'Property Summary'!$L$22)^('MF Releasing'!CG$3-1)))*$C36)</f>
        <v/>
      </c>
      <c r="CH36" s="149" t="str">
        <f>IF($B36=0,"",('MF Rollover'!CG36*($P36*(1+'Property Summary'!$L$22)^('MF Releasing'!CH$3-1)))*$C36)</f>
        <v/>
      </c>
      <c r="CI36" s="149" t="str">
        <f>IF($B36=0,"",('MF Rollover'!CH36*($P36*(1+'Property Summary'!$L$22)^('MF Releasing'!CI$3-1)))*$C36)</f>
        <v/>
      </c>
      <c r="CJ36" s="149" t="str">
        <f>IF($B36=0,"",('MF Rollover'!CI36*($P36*(1+'Property Summary'!$L$22)^('MF Releasing'!CJ$3-1)))*$C36)</f>
        <v/>
      </c>
      <c r="CK36" s="149" t="str">
        <f>IF($B36=0,"",('MF Rollover'!CJ36*($P36*(1+'Property Summary'!$L$22)^('MF Releasing'!CK$3-1)))*$C36)</f>
        <v/>
      </c>
      <c r="CL36" s="149" t="str">
        <f>IF($B36=0,"",('MF Rollover'!CK36*($P36*(1+'Property Summary'!$L$22)^('MF Releasing'!CL$3-1)))*$C36)</f>
        <v/>
      </c>
      <c r="CM36" s="149" t="str">
        <f>IF($B36=0,"",('MF Rollover'!CL36*($P36*(1+'Property Summary'!$L$22)^('MF Releasing'!CM$3-1)))*$C36)</f>
        <v/>
      </c>
      <c r="CN36" s="149" t="str">
        <f>IF($B36=0,"",('MF Rollover'!CM36*($P36*(1+'Property Summary'!$L$22)^('MF Releasing'!CN$3-1)))*$C36)</f>
        <v/>
      </c>
      <c r="CO36" s="149" t="str">
        <f>IF($B36=0,"",('MF Rollover'!CN36*($P36*(1+'Property Summary'!$L$22)^('MF Releasing'!CO$3-1)))*$C36)</f>
        <v/>
      </c>
      <c r="CP36" s="149" t="str">
        <f>IF($B36=0,"",('MF Rollover'!CO36*($P36*(1+'Property Summary'!$L$22)^('MF Releasing'!CP$3-1)))*$C36)</f>
        <v/>
      </c>
      <c r="CQ36" s="149" t="str">
        <f>IF($B36=0,"",('MF Rollover'!CP36*($P36*(1+'Property Summary'!$L$22)^('MF Releasing'!CQ$3-1)))*$C36)</f>
        <v/>
      </c>
      <c r="CR36" s="149" t="str">
        <f>IF($B36=0,"",('MF Rollover'!CQ36*($P36*(1+'Property Summary'!$L$22)^('MF Releasing'!CR$3-1)))*$C36)</f>
        <v/>
      </c>
      <c r="CS36" s="149" t="str">
        <f>IF($B36=0,"",('MF Rollover'!CR36*($P36*(1+'Property Summary'!$L$22)^('MF Releasing'!CS$3-1)))*$C36)</f>
        <v/>
      </c>
      <c r="CT36" s="149" t="str">
        <f>IF($B36=0,"",('MF Rollover'!CS36*($P36*(1+'Property Summary'!$L$22)^('MF Releasing'!CT$3-1)))*$C36)</f>
        <v/>
      </c>
      <c r="CU36" s="149" t="str">
        <f>IF($B36=0,"",('MF Rollover'!CT36*($P36*(1+'Property Summary'!$L$22)^('MF Releasing'!CU$3-1)))*$C36)</f>
        <v/>
      </c>
      <c r="CV36" s="149" t="str">
        <f>IF($B36=0,"",('MF Rollover'!CU36*($P36*(1+'Property Summary'!$L$22)^('MF Releasing'!CV$3-1)))*$C36)</f>
        <v/>
      </c>
      <c r="CW36" s="149" t="str">
        <f>IF($B36=0,"",('MF Rollover'!CV36*($P36*(1+'Property Summary'!$L$22)^('MF Releasing'!CW$3-1)))*$C36)</f>
        <v/>
      </c>
      <c r="CX36" s="149" t="str">
        <f>IF($B36=0,"",('MF Rollover'!CW36*($P36*(1+'Property Summary'!$L$22)^('MF Releasing'!CX$3-1)))*$C36)</f>
        <v/>
      </c>
      <c r="CY36" s="149" t="str">
        <f>IF($B36=0,"",('MF Rollover'!CX36*($P36*(1+'Property Summary'!$L$22)^('MF Releasing'!CY$3-1)))*$C36)</f>
        <v/>
      </c>
      <c r="CZ36" s="149" t="str">
        <f>IF($B36=0,"",('MF Rollover'!CY36*($P36*(1+'Property Summary'!$L$22)^('MF Releasing'!CZ$3-1)))*$C36)</f>
        <v/>
      </c>
      <c r="DA36" s="149" t="str">
        <f>IF($B36=0,"",('MF Rollover'!CZ36*($P36*(1+'Property Summary'!$L$22)^('MF Releasing'!DA$3-1)))*$C36)</f>
        <v/>
      </c>
      <c r="DB36" s="149" t="str">
        <f>IF($B36=0,"",('MF Rollover'!DA36*($P36*(1+'Property Summary'!$L$22)^('MF Releasing'!DB$3-1)))*$C36)</f>
        <v/>
      </c>
      <c r="DC36" s="149" t="str">
        <f>IF($B36=0,"",('MF Rollover'!DB36*($P36*(1+'Property Summary'!$L$22)^('MF Releasing'!DC$3-1)))*$C36)</f>
        <v/>
      </c>
      <c r="DD36" s="149" t="str">
        <f>IF($B36=0,"",('MF Rollover'!DC36*($P36*(1+'Property Summary'!$L$22)^('MF Releasing'!DD$3-1)))*$C36)</f>
        <v/>
      </c>
      <c r="DE36" s="149" t="str">
        <f>IF($B36=0,"",('MF Rollover'!DD36*($P36*(1+'Property Summary'!$L$22)^('MF Releasing'!DE$3-1)))*$C36)</f>
        <v/>
      </c>
      <c r="DF36" s="149" t="str">
        <f>IF($B36=0,"",('MF Rollover'!DE36*($P36*(1+'Property Summary'!$L$22)^('MF Releasing'!DF$3-1)))*$C36)</f>
        <v/>
      </c>
      <c r="DG36" s="149" t="str">
        <f>IF($B36=0,"",('MF Rollover'!DF36*($P36*(1+'Property Summary'!$L$22)^('MF Releasing'!DG$3-1)))*$C36)</f>
        <v/>
      </c>
      <c r="DH36" s="149" t="str">
        <f>IF($B36=0,"",('MF Rollover'!DG36*($P36*(1+'Property Summary'!$L$22)^('MF Releasing'!DH$3-1)))*$C36)</f>
        <v/>
      </c>
      <c r="DI36" s="149" t="str">
        <f>IF($B36=0,"",('MF Rollover'!DH36*($P36*(1+'Property Summary'!$L$22)^('MF Releasing'!DI$3-1)))*$C36)</f>
        <v/>
      </c>
      <c r="DJ36" s="149" t="str">
        <f>IF($B36=0,"",('MF Rollover'!DI36*($P36*(1+'Property Summary'!$L$22)^('MF Releasing'!DJ$3-1)))*$C36)</f>
        <v/>
      </c>
      <c r="DK36" s="149" t="str">
        <f>IF($B36=0,"",('MF Rollover'!DJ36*($P36*(1+'Property Summary'!$L$22)^('MF Releasing'!DK$3-1)))*$C36)</f>
        <v/>
      </c>
      <c r="DL36" s="149" t="str">
        <f>IF($B36=0,"",('MF Rollover'!DK36*($P36*(1+'Property Summary'!$L$22)^('MF Releasing'!DL$3-1)))*$C36)</f>
        <v/>
      </c>
      <c r="DM36" s="149" t="str">
        <f>IF($B36=0,"",('MF Rollover'!DL36*($P36*(1+'Property Summary'!$L$22)^('MF Releasing'!DM$3-1)))*$C36)</f>
        <v/>
      </c>
      <c r="DN36" s="149" t="str">
        <f>IF($B36=0,"",('MF Rollover'!DM36*($P36*(1+'Property Summary'!$L$22)^('MF Releasing'!DN$3-1)))*$C36)</f>
        <v/>
      </c>
      <c r="DO36" s="149" t="str">
        <f>IF($B36=0,"",('MF Rollover'!DN36*($P36*(1+'Property Summary'!$L$22)^('MF Releasing'!DO$3-1)))*$C36)</f>
        <v/>
      </c>
      <c r="DP36" s="149" t="str">
        <f>IF($B36=0,"",('MF Rollover'!DO36*($P36*(1+'Property Summary'!$L$22)^('MF Releasing'!DP$3-1)))*$C36)</f>
        <v/>
      </c>
      <c r="DQ36" s="149" t="str">
        <f>IF($B36=0,"",('MF Rollover'!DP36*($P36*(1+'Property Summary'!$L$22)^('MF Releasing'!DQ$3-1)))*$C36)</f>
        <v/>
      </c>
      <c r="DR36" s="149" t="str">
        <f>IF($B36=0,"",('MF Rollover'!DQ36*($P36*(1+'Property Summary'!$L$22)^('MF Releasing'!DR$3-1)))*$C36)</f>
        <v/>
      </c>
      <c r="DS36" s="149" t="str">
        <f>IF($B36=0,"",('MF Rollover'!DR36*($P36*(1+'Property Summary'!$L$22)^('MF Releasing'!DS$3-1)))*$C36)</f>
        <v/>
      </c>
      <c r="DT36" s="149" t="str">
        <f>IF($B36=0,"",('MF Rollover'!DS36*($P36*(1+'Property Summary'!$L$22)^('MF Releasing'!DT$3-1)))*$C36)</f>
        <v/>
      </c>
      <c r="DU36" s="149" t="str">
        <f>IF($B36=0,"",('MF Rollover'!DT36*($P36*(1+'Property Summary'!$L$22)^('MF Releasing'!DU$3-1)))*$C36)</f>
        <v/>
      </c>
      <c r="DV36" s="149" t="str">
        <f>IF($B36=0,"",('MF Rollover'!DU36*($P36*(1+'Property Summary'!$L$22)^('MF Releasing'!DV$3-1)))*$C36)</f>
        <v/>
      </c>
      <c r="DW36" s="149" t="str">
        <f>IF($B36=0,"",('MF Rollover'!DV36*($P36*(1+'Property Summary'!$L$22)^('MF Releasing'!DW$3-1)))*$C36)</f>
        <v/>
      </c>
      <c r="DX36" s="149" t="str">
        <f>IF($B36=0,"",('MF Rollover'!DW36*($P36*(1+'Property Summary'!$L$22)^('MF Releasing'!DX$3-1)))*$C36)</f>
        <v/>
      </c>
      <c r="DY36" s="149" t="str">
        <f>IF($B36=0,"",('MF Rollover'!DX36*($P36*(1+'Property Summary'!$L$22)^('MF Releasing'!DY$3-1)))*$C36)</f>
        <v/>
      </c>
      <c r="DZ36" s="149" t="str">
        <f>IF($B36=0,"",('MF Rollover'!DY36*($P36*(1+'Property Summary'!$L$22)^('MF Releasing'!DZ$3-1)))*$C36)</f>
        <v/>
      </c>
      <c r="EA36" s="149" t="str">
        <f>IF($B36=0,"",('MF Rollover'!DZ36*($P36*(1+'Property Summary'!$L$22)^('MF Releasing'!EA$3-1)))*$C36)</f>
        <v/>
      </c>
      <c r="EB36" s="149" t="str">
        <f>IF($B36=0,"",('MF Rollover'!EA36*($P36*(1+'Property Summary'!$L$22)^('MF Releasing'!EB$3-1)))*$C36)</f>
        <v/>
      </c>
      <c r="EC36" s="149" t="str">
        <f>IF($B36=0,"",('MF Rollover'!EB36*($P36*(1+'Property Summary'!$L$22)^('MF Releasing'!EC$3-1)))*$C36)</f>
        <v/>
      </c>
      <c r="ED36" s="149" t="str">
        <f>IF($B36=0,"",('MF Rollover'!EC36*($P36*(1+'Property Summary'!$L$22)^('MF Releasing'!ED$3-1)))*$C36)</f>
        <v/>
      </c>
      <c r="EE36" s="149" t="str">
        <f>IF($B36=0,"",('MF Rollover'!ED36*($P36*(1+'Property Summary'!$L$22)^('MF Releasing'!EE$3-1)))*$C36)</f>
        <v/>
      </c>
      <c r="EF36" s="149" t="str">
        <f>IF($B36=0,"",('MF Rollover'!EE36*($P36*(1+'Property Summary'!$L$22)^('MF Releasing'!EF$3-1)))*$C36)</f>
        <v/>
      </c>
      <c r="EG36" s="149" t="str">
        <f>IF($B36=0,"",('MF Rollover'!EF36*($P36*(1+'Property Summary'!$L$22)^('MF Releasing'!EG$3-1)))*$C36)</f>
        <v/>
      </c>
      <c r="EH36" s="149" t="str">
        <f>IF($B36=0,"",('MF Rollover'!EG36*($P36*(1+'Property Summary'!$L$22)^('MF Releasing'!EH$3-1)))*$C36)</f>
        <v/>
      </c>
      <c r="EI36" s="149" t="str">
        <f>IF($B36=0,"",('MF Rollover'!EH36*($P36*(1+'Property Summary'!$L$22)^('MF Releasing'!EI$3-1)))*$C36)</f>
        <v/>
      </c>
      <c r="EJ36" s="149" t="str">
        <f>IF($B36=0,"",('MF Rollover'!EI36*($P36*(1+'Property Summary'!$L$22)^('MF Releasing'!EJ$3-1)))*$C36)</f>
        <v/>
      </c>
      <c r="EK36" s="149" t="str">
        <f>IF($B36=0,"",('MF Rollover'!EJ36*($P36*(1+'Property Summary'!$L$22)^('MF Releasing'!EK$3-1)))*$C36)</f>
        <v/>
      </c>
      <c r="EL36" s="149" t="str">
        <f>IF($B36=0,"",('MF Rollover'!EK36*($P36*(1+'Property Summary'!$L$22)^('MF Releasing'!EL$3-1)))*$C36)</f>
        <v/>
      </c>
      <c r="EM36" s="149" t="str">
        <f>IF($B36=0,"",('MF Rollover'!EL36*($P36*(1+'Property Summary'!$L$22)^('MF Releasing'!EM$3-1)))*$C36)</f>
        <v/>
      </c>
      <c r="EN36" s="149" t="str">
        <f>IF($B36=0,"",('MF Rollover'!EM36*($P36*(1+'Property Summary'!$L$22)^('MF Releasing'!EN$3-1)))*$C36)</f>
        <v/>
      </c>
      <c r="EO36" s="149" t="str">
        <f>IF($B36=0,"",('MF Rollover'!EN36*($P36*(1+'Property Summary'!$L$22)^('MF Releasing'!EO$3-1)))*$C36)</f>
        <v/>
      </c>
      <c r="EP36" s="149" t="str">
        <f>IF($B36=0,"",('MF Rollover'!EO36*($P36*(1+'Property Summary'!$L$22)^('MF Releasing'!EP$3-1)))*$C36)</f>
        <v/>
      </c>
      <c r="EQ36" s="149" t="str">
        <f>IF($B36=0,"",('MF Rollover'!EP36*($P36*(1+'Property Summary'!$L$22)^('MF Releasing'!EQ$3-1)))*$C36)</f>
        <v/>
      </c>
      <c r="ER36" s="149" t="str">
        <f>IF($B36=0,"",('MF Rollover'!EQ36*($P36*(1+'Property Summary'!$L$22)^('MF Releasing'!ER$3-1)))*$C36)</f>
        <v/>
      </c>
      <c r="ES36" s="149" t="str">
        <f>IF($B36=0,"",('MF Rollover'!ER36*($P36*(1+'Property Summary'!$L$22)^('MF Releasing'!ES$3-1)))*$C36)</f>
        <v/>
      </c>
      <c r="ET36" s="149" t="str">
        <f>IF($B36=0,"",('MF Rollover'!ES36*($P36*(1+'Property Summary'!$L$22)^('MF Releasing'!ET$3-1)))*$C36)</f>
        <v/>
      </c>
      <c r="EU36" s="149" t="str">
        <f>IF($B36=0,"",('MF Rollover'!ET36*($P36*(1+'Property Summary'!$L$22)^('MF Releasing'!EU$3-1)))*$C36)</f>
        <v/>
      </c>
      <c r="EV36" s="149" t="str">
        <f>IF($B36=0,"",('MF Rollover'!EU36*($P36*(1+'Property Summary'!$L$22)^('MF Releasing'!EV$3-1)))*$C36)</f>
        <v/>
      </c>
      <c r="EW36" s="149" t="str">
        <f>IF($B36=0,"",('MF Rollover'!EV36*($P36*(1+'Property Summary'!$L$22)^('MF Releasing'!EW$3-1)))*$C36)</f>
        <v/>
      </c>
      <c r="EX36" s="149" t="str">
        <f>IF($B36=0,"",('MF Rollover'!EW36*($P36*(1+'Property Summary'!$L$22)^('MF Releasing'!EX$3-1)))*$C36)</f>
        <v/>
      </c>
      <c r="EY36" s="149" t="str">
        <f>IF($B36=0,"",('MF Rollover'!EX36*($P36*(1+'Property Summary'!$L$22)^('MF Releasing'!EY$3-1)))*$C36)</f>
        <v/>
      </c>
      <c r="EZ36" s="149" t="str">
        <f>IF($B36=0,"",('MF Rollover'!EY36*($P36*(1+'Property Summary'!$L$22)^('MF Releasing'!EZ$3-1)))*$C36)</f>
        <v/>
      </c>
      <c r="FA36" s="149" t="str">
        <f>IF($B36=0,"",('MF Rollover'!EZ36*($P36*(1+'Property Summary'!$L$22)^('MF Releasing'!FA$3-1)))*$C36)</f>
        <v/>
      </c>
      <c r="FB36" s="149" t="str">
        <f>IF($B36=0,"",('MF Rollover'!FA36*($P36*(1+'Property Summary'!$L$22)^('MF Releasing'!FB$3-1)))*$C36)</f>
        <v/>
      </c>
      <c r="FC36" s="149" t="str">
        <f>IF($B36=0,"",('MF Rollover'!FB36*($P36*(1+'Property Summary'!$L$22)^('MF Releasing'!FC$3-1)))*$C36)</f>
        <v/>
      </c>
      <c r="FD36" s="149" t="str">
        <f>IF($B36=0,"",('MF Rollover'!FC36*($P36*(1+'Property Summary'!$L$22)^('MF Releasing'!FD$3-1)))*$C36)</f>
        <v/>
      </c>
      <c r="FE36" s="149" t="str">
        <f>IF($B36=0,"",('MF Rollover'!FD36*($P36*(1+'Property Summary'!$L$22)^('MF Releasing'!FE$3-1)))*$C36)</f>
        <v/>
      </c>
      <c r="FF36" s="149" t="str">
        <f>IF($B36=0,"",('MF Rollover'!FE36*($P36*(1+'Property Summary'!$L$22)^('MF Releasing'!FF$3-1)))*$C36)</f>
        <v/>
      </c>
      <c r="FG36" s="149" t="str">
        <f>IF($B36=0,"",('MF Rollover'!FF36*($P36*(1+'Property Summary'!$L$22)^('MF Releasing'!FG$3-1)))*$C36)</f>
        <v/>
      </c>
      <c r="FH36" s="149" t="str">
        <f>IF($B36=0,"",('MF Rollover'!FG36*($P36*(1+'Property Summary'!$L$22)^('MF Releasing'!FH$3-1)))*$C36)</f>
        <v/>
      </c>
      <c r="FI36" s="149" t="str">
        <f>IF($B36=0,"",('MF Rollover'!FH36*($P36*(1+'Property Summary'!$L$22)^('MF Releasing'!FI$3-1)))*$C36)</f>
        <v/>
      </c>
      <c r="FJ36" s="149" t="str">
        <f>IF($B36=0,"",('MF Rollover'!FI36*($P36*(1+'Property Summary'!$L$22)^('MF Releasing'!FJ$3-1)))*$C36)</f>
        <v/>
      </c>
      <c r="FK36" s="149" t="str">
        <f>IF($B36=0,"",('MF Rollover'!FJ36*($P36*(1+'Property Summary'!$L$22)^('MF Releasing'!FK$3-1)))*$C36)</f>
        <v/>
      </c>
      <c r="FL36" s="149" t="str">
        <f>IF($B36=0,"",('MF Rollover'!FK36*($P36*(1+'Property Summary'!$L$22)^('MF Releasing'!FL$3-1)))*$C36)</f>
        <v/>
      </c>
      <c r="FM36" s="149" t="str">
        <f>IF($B36=0,"",('MF Rollover'!FL36*($P36*(1+'Property Summary'!$L$22)^('MF Releasing'!FM$3-1)))*$C36)</f>
        <v/>
      </c>
      <c r="FN36" s="149" t="str">
        <f>IF($B36=0,"",('MF Rollover'!FM36*($P36*(1+'Property Summary'!$L$22)^('MF Releasing'!FN$3-1)))*$C36)</f>
        <v/>
      </c>
      <c r="FO36" s="149" t="str">
        <f>IF($B36=0,"",('MF Rollover'!FN36*($P36*(1+'Property Summary'!$L$22)^('MF Releasing'!FO$3-1)))*$C36)</f>
        <v/>
      </c>
      <c r="FP36" s="149" t="str">
        <f>IF($B36=0,"",('MF Rollover'!FO36*($P36*(1+'Property Summary'!$L$22)^('MF Releasing'!FP$3-1)))*$C36)</f>
        <v/>
      </c>
      <c r="FQ36" s="149" t="str">
        <f>IF($B36=0,"",('MF Rollover'!FP36*($P36*(1+'Property Summary'!$L$22)^('MF Releasing'!FQ$3-1)))*$C36)</f>
        <v/>
      </c>
      <c r="FR36" s="149" t="str">
        <f>IF($B36=0,"",('MF Rollover'!FQ36*($P36*(1+'Property Summary'!$L$22)^('MF Releasing'!FR$3-1)))*$C36)</f>
        <v/>
      </c>
      <c r="FS36" s="149" t="str">
        <f>IF($B36=0,"",('MF Rollover'!FR36*($P36*(1+'Property Summary'!$L$22)^('MF Releasing'!FS$3-1)))*$C36)</f>
        <v/>
      </c>
      <c r="FT36" s="149" t="str">
        <f>IF($B36=0,"",('MF Rollover'!FS36*($P36*(1+'Property Summary'!$L$22)^('MF Releasing'!FT$3-1)))*$C36)</f>
        <v/>
      </c>
      <c r="FU36" s="149" t="str">
        <f>IF($B36=0,"",('MF Rollover'!FT36*($P36*(1+'Property Summary'!$L$22)^('MF Releasing'!FU$3-1)))*$C36)</f>
        <v/>
      </c>
      <c r="FV36" s="149" t="str">
        <f>IF($B36=0,"",('MF Rollover'!FU36*($P36*(1+'Property Summary'!$L$22)^('MF Releasing'!FV$3-1)))*$C36)</f>
        <v/>
      </c>
      <c r="FW36" s="149" t="str">
        <f>IF($B36=0,"",('MF Rollover'!FV36*($P36*(1+'Property Summary'!$L$22)^('MF Releasing'!FW$3-1)))*$C36)</f>
        <v/>
      </c>
      <c r="FX36" s="149" t="str">
        <f>IF($B36=0,"",('MF Rollover'!FW36*($P36*(1+'Property Summary'!$L$22)^('MF Releasing'!FX$3-1)))*$C36)</f>
        <v/>
      </c>
      <c r="FY36" s="149" t="str">
        <f>IF($B36=0,"",('MF Rollover'!FX36*($P36*(1+'Property Summary'!$L$22)^('MF Releasing'!FY$3-1)))*$C36)</f>
        <v/>
      </c>
      <c r="FZ36" s="149" t="str">
        <f>IF($B36=0,"",('MF Rollover'!FY36*($P36*(1+'Property Summary'!$L$22)^('MF Releasing'!FZ$3-1)))*$C36)</f>
        <v/>
      </c>
      <c r="GA36" s="149" t="str">
        <f>IF($B36=0,"",('MF Rollover'!FZ36*($P36*(1+'Property Summary'!$L$22)^('MF Releasing'!GA$3-1)))*$C36)</f>
        <v/>
      </c>
      <c r="GB36" s="149" t="str">
        <f>IF($B36=0,"",('MF Rollover'!GA36*($P36*(1+'Property Summary'!$L$22)^('MF Releasing'!GB$3-1)))*$C36)</f>
        <v/>
      </c>
      <c r="GC36" s="149" t="str">
        <f>IF($B36=0,"",('MF Rollover'!GB36*($P36*(1+'Property Summary'!$L$22)^('MF Releasing'!GC$3-1)))*$C36)</f>
        <v/>
      </c>
      <c r="GD36" s="149" t="str">
        <f>IF($B36=0,"",('MF Rollover'!GC36*($P36*(1+'Property Summary'!$L$22)^('MF Releasing'!GD$3-1)))*$C36)</f>
        <v/>
      </c>
      <c r="GE36" s="149" t="str">
        <f>IF($B36=0,"",('MF Rollover'!GD36*($P36*(1+'Property Summary'!$L$22)^('MF Releasing'!GE$3-1)))*$C36)</f>
        <v/>
      </c>
      <c r="GF36" s="149" t="str">
        <f>IF($B36=0,"",('MF Rollover'!GE36*($P36*(1+'Property Summary'!$L$22)^('MF Releasing'!GF$3-1)))*$C36)</f>
        <v/>
      </c>
      <c r="GG36" s="149" t="str">
        <f>IF($B36=0,"",('MF Rollover'!GF36*($P36*(1+'Property Summary'!$L$22)^('MF Releasing'!GG$3-1)))*$C36)</f>
        <v/>
      </c>
      <c r="GH36" s="149" t="str">
        <f>IF($B36=0,"",('MF Rollover'!GG36*($P36*(1+'Property Summary'!$L$22)^('MF Releasing'!GH$3-1)))*$C36)</f>
        <v/>
      </c>
      <c r="GI36" s="149" t="str">
        <f>IF($B36=0,"",('MF Rollover'!GH36*($P36*(1+'Property Summary'!$L$22)^('MF Releasing'!GI$3-1)))*$C36)</f>
        <v/>
      </c>
      <c r="GJ36" s="149" t="str">
        <f>IF($B36=0,"",('MF Rollover'!GI36*($P36*(1+'Property Summary'!$L$22)^('MF Releasing'!GJ$3-1)))*$C36)</f>
        <v/>
      </c>
      <c r="GK36" s="149" t="str">
        <f>IF($B36=0,"",('MF Rollover'!GJ36*($P36*(1+'Property Summary'!$L$22)^('MF Releasing'!GK$3-1)))*$C36)</f>
        <v/>
      </c>
      <c r="GL36" s="149" t="str">
        <f>IF($B36=0,"",('MF Rollover'!GK36*($P36*(1+'Property Summary'!$L$22)^('MF Releasing'!GL$3-1)))*$C36)</f>
        <v/>
      </c>
      <c r="GM36" s="149" t="str">
        <f>IF($B36=0,"",('MF Rollover'!GL36*($P36*(1+'Property Summary'!$L$22)^('MF Releasing'!GM$3-1)))*$C36)</f>
        <v/>
      </c>
      <c r="GN36" s="149" t="str">
        <f>IF($B36=0,"",('MF Rollover'!GM36*($P36*(1+'Property Summary'!$L$22)^('MF Releasing'!GN$3-1)))*$C36)</f>
        <v/>
      </c>
      <c r="GO36" s="149" t="str">
        <f>IF($B36=0,"",('MF Rollover'!GN36*($P36*(1+'Property Summary'!$L$22)^('MF Releasing'!GO$3-1)))*$C36)</f>
        <v/>
      </c>
      <c r="GP36" s="149" t="str">
        <f>IF($B36=0,"",('MF Rollover'!GO36*($P36*(1+'Property Summary'!$L$22)^('MF Releasing'!GP$3-1)))*$C36)</f>
        <v/>
      </c>
    </row>
    <row r="37" spans="2:198" x14ac:dyDescent="0.3">
      <c r="B37" s="184">
        <f>'MF Rent Roll'!B36</f>
        <v>0</v>
      </c>
      <c r="C37" s="171">
        <f>'MF Rent Roll'!C36</f>
        <v>0</v>
      </c>
      <c r="D37" s="172">
        <f>'MF Rent Roll'!D36</f>
        <v>0</v>
      </c>
      <c r="E37" s="172">
        <f>'MF Rent Roll'!E36</f>
        <v>0</v>
      </c>
      <c r="F37" s="173">
        <f>'MF Rent Roll'!F36</f>
        <v>0</v>
      </c>
      <c r="G37" s="174">
        <f>'MF Rent Roll'!G36</f>
        <v>0</v>
      </c>
      <c r="H37" s="176">
        <f>'MF Rent Roll'!J36</f>
        <v>0</v>
      </c>
      <c r="I37" s="174">
        <f>'MF Rent Roll'!K36</f>
        <v>0</v>
      </c>
      <c r="J37" s="177">
        <f>'MF Rent Roll'!L36</f>
        <v>0</v>
      </c>
      <c r="K37" s="178">
        <f>'MF Rent Roll'!M36</f>
        <v>0</v>
      </c>
      <c r="L37" s="174">
        <f>'MF Rent Roll'!N36</f>
        <v>0</v>
      </c>
      <c r="M37" s="179">
        <f>'MF Rent Roll'!O36</f>
        <v>0</v>
      </c>
      <c r="N37" s="180" t="str">
        <f>'MF Rent Roll'!P36</f>
        <v/>
      </c>
      <c r="O37" s="181" t="str">
        <f>'MF Rent Roll'!Q36</f>
        <v/>
      </c>
      <c r="P37" s="104" t="str">
        <f>'MF Rent Roll'!R36</f>
        <v/>
      </c>
      <c r="S37" s="149" t="str">
        <f>IF($B37=0,"",('MF Rollover'!R37*($P37*(1+'Property Summary'!$L$22)^('MF Releasing'!S$3-1)))*$C37)</f>
        <v/>
      </c>
      <c r="T37" s="149" t="str">
        <f>IF($B37=0,"",('MF Rollover'!S37*($P37*(1+'Property Summary'!$L$22)^('MF Releasing'!T$3-1)))*$C37)</f>
        <v/>
      </c>
      <c r="U37" s="149" t="str">
        <f>IF($B37=0,"",('MF Rollover'!T37*($P37*(1+'Property Summary'!$L$22)^('MF Releasing'!U$3-1)))*$C37)</f>
        <v/>
      </c>
      <c r="V37" s="149" t="str">
        <f>IF($B37=0,"",('MF Rollover'!U37*($P37*(1+'Property Summary'!$L$22)^('MF Releasing'!V$3-1)))*$C37)</f>
        <v/>
      </c>
      <c r="W37" s="149" t="str">
        <f>IF($B37=0,"",('MF Rollover'!V37*($P37*(1+'Property Summary'!$L$22)^('MF Releasing'!W$3-1)))*$C37)</f>
        <v/>
      </c>
      <c r="X37" s="149" t="str">
        <f>IF($B37=0,"",('MF Rollover'!W37*($P37*(1+'Property Summary'!$L$22)^('MF Releasing'!X$3-1)))*$C37)</f>
        <v/>
      </c>
      <c r="Y37" s="149" t="str">
        <f>IF($B37=0,"",('MF Rollover'!X37*($P37*(1+'Property Summary'!$L$22)^('MF Releasing'!Y$3-1)))*$C37)</f>
        <v/>
      </c>
      <c r="Z37" s="149" t="str">
        <f>IF($B37=0,"",('MF Rollover'!Y37*($P37*(1+'Property Summary'!$L$22)^('MF Releasing'!Z$3-1)))*$C37)</f>
        <v/>
      </c>
      <c r="AA37" s="149" t="str">
        <f>IF($B37=0,"",('MF Rollover'!Z37*($P37*(1+'Property Summary'!$L$22)^('MF Releasing'!AA$3-1)))*$C37)</f>
        <v/>
      </c>
      <c r="AB37" s="149" t="str">
        <f>IF($B37=0,"",('MF Rollover'!AA37*($P37*(1+'Property Summary'!$L$22)^('MF Releasing'!AB$3-1)))*$C37)</f>
        <v/>
      </c>
      <c r="AC37" s="149" t="str">
        <f>IF($B37=0,"",('MF Rollover'!AB37*($P37*(1+'Property Summary'!$L$22)^('MF Releasing'!AC$3-1)))*$C37)</f>
        <v/>
      </c>
      <c r="AD37" s="149" t="str">
        <f>IF($B37=0,"",('MF Rollover'!AC37*($P37*(1+'Property Summary'!$L$22)^('MF Releasing'!AD$3-1)))*$C37)</f>
        <v/>
      </c>
      <c r="AE37" s="149" t="str">
        <f>IF($B37=0,"",('MF Rollover'!AD37*($P37*(1+'Property Summary'!$L$22)^('MF Releasing'!AE$3-1)))*$C37)</f>
        <v/>
      </c>
      <c r="AF37" s="149" t="str">
        <f>IF($B37=0,"",('MF Rollover'!AE37*($P37*(1+'Property Summary'!$L$22)^('MF Releasing'!AF$3-1)))*$C37)</f>
        <v/>
      </c>
      <c r="AG37" s="149" t="str">
        <f>IF($B37=0,"",('MF Rollover'!AF37*($P37*(1+'Property Summary'!$L$22)^('MF Releasing'!AG$3-1)))*$C37)</f>
        <v/>
      </c>
      <c r="AH37" s="149" t="str">
        <f>IF($B37=0,"",('MF Rollover'!AG37*($P37*(1+'Property Summary'!$L$22)^('MF Releasing'!AH$3-1)))*$C37)</f>
        <v/>
      </c>
      <c r="AI37" s="149" t="str">
        <f>IF($B37=0,"",('MF Rollover'!AH37*($P37*(1+'Property Summary'!$L$22)^('MF Releasing'!AI$3-1)))*$C37)</f>
        <v/>
      </c>
      <c r="AJ37" s="149" t="str">
        <f>IF($B37=0,"",('MF Rollover'!AI37*($P37*(1+'Property Summary'!$L$22)^('MF Releasing'!AJ$3-1)))*$C37)</f>
        <v/>
      </c>
      <c r="AK37" s="149" t="str">
        <f>IF($B37=0,"",('MF Rollover'!AJ37*($P37*(1+'Property Summary'!$L$22)^('MF Releasing'!AK$3-1)))*$C37)</f>
        <v/>
      </c>
      <c r="AL37" s="149" t="str">
        <f>IF($B37=0,"",('MF Rollover'!AK37*($P37*(1+'Property Summary'!$L$22)^('MF Releasing'!AL$3-1)))*$C37)</f>
        <v/>
      </c>
      <c r="AM37" s="149" t="str">
        <f>IF($B37=0,"",('MF Rollover'!AL37*($P37*(1+'Property Summary'!$L$22)^('MF Releasing'!AM$3-1)))*$C37)</f>
        <v/>
      </c>
      <c r="AN37" s="149" t="str">
        <f>IF($B37=0,"",('MF Rollover'!AM37*($P37*(1+'Property Summary'!$L$22)^('MF Releasing'!AN$3-1)))*$C37)</f>
        <v/>
      </c>
      <c r="AO37" s="149" t="str">
        <f>IF($B37=0,"",('MF Rollover'!AN37*($P37*(1+'Property Summary'!$L$22)^('MF Releasing'!AO$3-1)))*$C37)</f>
        <v/>
      </c>
      <c r="AP37" s="149" t="str">
        <f>IF($B37=0,"",('MF Rollover'!AO37*($P37*(1+'Property Summary'!$L$22)^('MF Releasing'!AP$3-1)))*$C37)</f>
        <v/>
      </c>
      <c r="AQ37" s="149" t="str">
        <f>IF($B37=0,"",('MF Rollover'!AP37*($P37*(1+'Property Summary'!$L$22)^('MF Releasing'!AQ$3-1)))*$C37)</f>
        <v/>
      </c>
      <c r="AR37" s="149" t="str">
        <f>IF($B37=0,"",('MF Rollover'!AQ37*($P37*(1+'Property Summary'!$L$22)^('MF Releasing'!AR$3-1)))*$C37)</f>
        <v/>
      </c>
      <c r="AS37" s="149" t="str">
        <f>IF($B37=0,"",('MF Rollover'!AR37*($P37*(1+'Property Summary'!$L$22)^('MF Releasing'!AS$3-1)))*$C37)</f>
        <v/>
      </c>
      <c r="AT37" s="149" t="str">
        <f>IF($B37=0,"",('MF Rollover'!AS37*($P37*(1+'Property Summary'!$L$22)^('MF Releasing'!AT$3-1)))*$C37)</f>
        <v/>
      </c>
      <c r="AU37" s="149" t="str">
        <f>IF($B37=0,"",('MF Rollover'!AT37*($P37*(1+'Property Summary'!$L$22)^('MF Releasing'!AU$3-1)))*$C37)</f>
        <v/>
      </c>
      <c r="AV37" s="149" t="str">
        <f>IF($B37=0,"",('MF Rollover'!AU37*($P37*(1+'Property Summary'!$L$22)^('MF Releasing'!AV$3-1)))*$C37)</f>
        <v/>
      </c>
      <c r="AW37" s="149" t="str">
        <f>IF($B37=0,"",('MF Rollover'!AV37*($P37*(1+'Property Summary'!$L$22)^('MF Releasing'!AW$3-1)))*$C37)</f>
        <v/>
      </c>
      <c r="AX37" s="149" t="str">
        <f>IF($B37=0,"",('MF Rollover'!AW37*($P37*(1+'Property Summary'!$L$22)^('MF Releasing'!AX$3-1)))*$C37)</f>
        <v/>
      </c>
      <c r="AY37" s="149" t="str">
        <f>IF($B37=0,"",('MF Rollover'!AX37*($P37*(1+'Property Summary'!$L$22)^('MF Releasing'!AY$3-1)))*$C37)</f>
        <v/>
      </c>
      <c r="AZ37" s="149" t="str">
        <f>IF($B37=0,"",('MF Rollover'!AY37*($P37*(1+'Property Summary'!$L$22)^('MF Releasing'!AZ$3-1)))*$C37)</f>
        <v/>
      </c>
      <c r="BA37" s="149" t="str">
        <f>IF($B37=0,"",('MF Rollover'!AZ37*($P37*(1+'Property Summary'!$L$22)^('MF Releasing'!BA$3-1)))*$C37)</f>
        <v/>
      </c>
      <c r="BB37" s="149" t="str">
        <f>IF($B37=0,"",('MF Rollover'!BA37*($P37*(1+'Property Summary'!$L$22)^('MF Releasing'!BB$3-1)))*$C37)</f>
        <v/>
      </c>
      <c r="BC37" s="149" t="str">
        <f>IF($B37=0,"",('MF Rollover'!BB37*($P37*(1+'Property Summary'!$L$22)^('MF Releasing'!BC$3-1)))*$C37)</f>
        <v/>
      </c>
      <c r="BD37" s="149" t="str">
        <f>IF($B37=0,"",('MF Rollover'!BC37*($P37*(1+'Property Summary'!$L$22)^('MF Releasing'!BD$3-1)))*$C37)</f>
        <v/>
      </c>
      <c r="BE37" s="149" t="str">
        <f>IF($B37=0,"",('MF Rollover'!BD37*($P37*(1+'Property Summary'!$L$22)^('MF Releasing'!BE$3-1)))*$C37)</f>
        <v/>
      </c>
      <c r="BF37" s="149" t="str">
        <f>IF($B37=0,"",('MF Rollover'!BE37*($P37*(1+'Property Summary'!$L$22)^('MF Releasing'!BF$3-1)))*$C37)</f>
        <v/>
      </c>
      <c r="BG37" s="149" t="str">
        <f>IF($B37=0,"",('MF Rollover'!BF37*($P37*(1+'Property Summary'!$L$22)^('MF Releasing'!BG$3-1)))*$C37)</f>
        <v/>
      </c>
      <c r="BH37" s="149" t="str">
        <f>IF($B37=0,"",('MF Rollover'!BG37*($P37*(1+'Property Summary'!$L$22)^('MF Releasing'!BH$3-1)))*$C37)</f>
        <v/>
      </c>
      <c r="BI37" s="149" t="str">
        <f>IF($B37=0,"",('MF Rollover'!BH37*($P37*(1+'Property Summary'!$L$22)^('MF Releasing'!BI$3-1)))*$C37)</f>
        <v/>
      </c>
      <c r="BJ37" s="149" t="str">
        <f>IF($B37=0,"",('MF Rollover'!BI37*($P37*(1+'Property Summary'!$L$22)^('MF Releasing'!BJ$3-1)))*$C37)</f>
        <v/>
      </c>
      <c r="BK37" s="149" t="str">
        <f>IF($B37=0,"",('MF Rollover'!BJ37*($P37*(1+'Property Summary'!$L$22)^('MF Releasing'!BK$3-1)))*$C37)</f>
        <v/>
      </c>
      <c r="BL37" s="149" t="str">
        <f>IF($B37=0,"",('MF Rollover'!BK37*($P37*(1+'Property Summary'!$L$22)^('MF Releasing'!BL$3-1)))*$C37)</f>
        <v/>
      </c>
      <c r="BM37" s="149" t="str">
        <f>IF($B37=0,"",('MF Rollover'!BL37*($P37*(1+'Property Summary'!$L$22)^('MF Releasing'!BM$3-1)))*$C37)</f>
        <v/>
      </c>
      <c r="BN37" s="149" t="str">
        <f>IF($B37=0,"",('MF Rollover'!BM37*($P37*(1+'Property Summary'!$L$22)^('MF Releasing'!BN$3-1)))*$C37)</f>
        <v/>
      </c>
      <c r="BO37" s="149" t="str">
        <f>IF($B37=0,"",('MF Rollover'!BN37*($P37*(1+'Property Summary'!$L$22)^('MF Releasing'!BO$3-1)))*$C37)</f>
        <v/>
      </c>
      <c r="BP37" s="149" t="str">
        <f>IF($B37=0,"",('MF Rollover'!BO37*($P37*(1+'Property Summary'!$L$22)^('MF Releasing'!BP$3-1)))*$C37)</f>
        <v/>
      </c>
      <c r="BQ37" s="149" t="str">
        <f>IF($B37=0,"",('MF Rollover'!BP37*($P37*(1+'Property Summary'!$L$22)^('MF Releasing'!BQ$3-1)))*$C37)</f>
        <v/>
      </c>
      <c r="BR37" s="149" t="str">
        <f>IF($B37=0,"",('MF Rollover'!BQ37*($P37*(1+'Property Summary'!$L$22)^('MF Releasing'!BR$3-1)))*$C37)</f>
        <v/>
      </c>
      <c r="BS37" s="149" t="str">
        <f>IF($B37=0,"",('MF Rollover'!BR37*($P37*(1+'Property Summary'!$L$22)^('MF Releasing'!BS$3-1)))*$C37)</f>
        <v/>
      </c>
      <c r="BT37" s="149" t="str">
        <f>IF($B37=0,"",('MF Rollover'!BS37*($P37*(1+'Property Summary'!$L$22)^('MF Releasing'!BT$3-1)))*$C37)</f>
        <v/>
      </c>
      <c r="BU37" s="149" t="str">
        <f>IF($B37=0,"",('MF Rollover'!BT37*($P37*(1+'Property Summary'!$L$22)^('MF Releasing'!BU$3-1)))*$C37)</f>
        <v/>
      </c>
      <c r="BV37" s="149" t="str">
        <f>IF($B37=0,"",('MF Rollover'!BU37*($P37*(1+'Property Summary'!$L$22)^('MF Releasing'!BV$3-1)))*$C37)</f>
        <v/>
      </c>
      <c r="BW37" s="149" t="str">
        <f>IF($B37=0,"",('MF Rollover'!BV37*($P37*(1+'Property Summary'!$L$22)^('MF Releasing'!BW$3-1)))*$C37)</f>
        <v/>
      </c>
      <c r="BX37" s="149" t="str">
        <f>IF($B37=0,"",('MF Rollover'!BW37*($P37*(1+'Property Summary'!$L$22)^('MF Releasing'!BX$3-1)))*$C37)</f>
        <v/>
      </c>
      <c r="BY37" s="149" t="str">
        <f>IF($B37=0,"",('MF Rollover'!BX37*($P37*(1+'Property Summary'!$L$22)^('MF Releasing'!BY$3-1)))*$C37)</f>
        <v/>
      </c>
      <c r="BZ37" s="149" t="str">
        <f>IF($B37=0,"",('MF Rollover'!BY37*($P37*(1+'Property Summary'!$L$22)^('MF Releasing'!BZ$3-1)))*$C37)</f>
        <v/>
      </c>
      <c r="CA37" s="149" t="str">
        <f>IF($B37=0,"",('MF Rollover'!BZ37*($P37*(1+'Property Summary'!$L$22)^('MF Releasing'!CA$3-1)))*$C37)</f>
        <v/>
      </c>
      <c r="CB37" s="149" t="str">
        <f>IF($B37=0,"",('MF Rollover'!CA37*($P37*(1+'Property Summary'!$L$22)^('MF Releasing'!CB$3-1)))*$C37)</f>
        <v/>
      </c>
      <c r="CC37" s="149" t="str">
        <f>IF($B37=0,"",('MF Rollover'!CB37*($P37*(1+'Property Summary'!$L$22)^('MF Releasing'!CC$3-1)))*$C37)</f>
        <v/>
      </c>
      <c r="CD37" s="149" t="str">
        <f>IF($B37=0,"",('MF Rollover'!CC37*($P37*(1+'Property Summary'!$L$22)^('MF Releasing'!CD$3-1)))*$C37)</f>
        <v/>
      </c>
      <c r="CE37" s="149" t="str">
        <f>IF($B37=0,"",('MF Rollover'!CD37*($P37*(1+'Property Summary'!$L$22)^('MF Releasing'!CE$3-1)))*$C37)</f>
        <v/>
      </c>
      <c r="CF37" s="149" t="str">
        <f>IF($B37=0,"",('MF Rollover'!CE37*($P37*(1+'Property Summary'!$L$22)^('MF Releasing'!CF$3-1)))*$C37)</f>
        <v/>
      </c>
      <c r="CG37" s="149" t="str">
        <f>IF($B37=0,"",('MF Rollover'!CF37*($P37*(1+'Property Summary'!$L$22)^('MF Releasing'!CG$3-1)))*$C37)</f>
        <v/>
      </c>
      <c r="CH37" s="149" t="str">
        <f>IF($B37=0,"",('MF Rollover'!CG37*($P37*(1+'Property Summary'!$L$22)^('MF Releasing'!CH$3-1)))*$C37)</f>
        <v/>
      </c>
      <c r="CI37" s="149" t="str">
        <f>IF($B37=0,"",('MF Rollover'!CH37*($P37*(1+'Property Summary'!$L$22)^('MF Releasing'!CI$3-1)))*$C37)</f>
        <v/>
      </c>
      <c r="CJ37" s="149" t="str">
        <f>IF($B37=0,"",('MF Rollover'!CI37*($P37*(1+'Property Summary'!$L$22)^('MF Releasing'!CJ$3-1)))*$C37)</f>
        <v/>
      </c>
      <c r="CK37" s="149" t="str">
        <f>IF($B37=0,"",('MF Rollover'!CJ37*($P37*(1+'Property Summary'!$L$22)^('MF Releasing'!CK$3-1)))*$C37)</f>
        <v/>
      </c>
      <c r="CL37" s="149" t="str">
        <f>IF($B37=0,"",('MF Rollover'!CK37*($P37*(1+'Property Summary'!$L$22)^('MF Releasing'!CL$3-1)))*$C37)</f>
        <v/>
      </c>
      <c r="CM37" s="149" t="str">
        <f>IF($B37=0,"",('MF Rollover'!CL37*($P37*(1+'Property Summary'!$L$22)^('MF Releasing'!CM$3-1)))*$C37)</f>
        <v/>
      </c>
      <c r="CN37" s="149" t="str">
        <f>IF($B37=0,"",('MF Rollover'!CM37*($P37*(1+'Property Summary'!$L$22)^('MF Releasing'!CN$3-1)))*$C37)</f>
        <v/>
      </c>
      <c r="CO37" s="149" t="str">
        <f>IF($B37=0,"",('MF Rollover'!CN37*($P37*(1+'Property Summary'!$L$22)^('MF Releasing'!CO$3-1)))*$C37)</f>
        <v/>
      </c>
      <c r="CP37" s="149" t="str">
        <f>IF($B37=0,"",('MF Rollover'!CO37*($P37*(1+'Property Summary'!$L$22)^('MF Releasing'!CP$3-1)))*$C37)</f>
        <v/>
      </c>
      <c r="CQ37" s="149" t="str">
        <f>IF($B37=0,"",('MF Rollover'!CP37*($P37*(1+'Property Summary'!$L$22)^('MF Releasing'!CQ$3-1)))*$C37)</f>
        <v/>
      </c>
      <c r="CR37" s="149" t="str">
        <f>IF($B37=0,"",('MF Rollover'!CQ37*($P37*(1+'Property Summary'!$L$22)^('MF Releasing'!CR$3-1)))*$C37)</f>
        <v/>
      </c>
      <c r="CS37" s="149" t="str">
        <f>IF($B37=0,"",('MF Rollover'!CR37*($P37*(1+'Property Summary'!$L$22)^('MF Releasing'!CS$3-1)))*$C37)</f>
        <v/>
      </c>
      <c r="CT37" s="149" t="str">
        <f>IF($B37=0,"",('MF Rollover'!CS37*($P37*(1+'Property Summary'!$L$22)^('MF Releasing'!CT$3-1)))*$C37)</f>
        <v/>
      </c>
      <c r="CU37" s="149" t="str">
        <f>IF($B37=0,"",('MF Rollover'!CT37*($P37*(1+'Property Summary'!$L$22)^('MF Releasing'!CU$3-1)))*$C37)</f>
        <v/>
      </c>
      <c r="CV37" s="149" t="str">
        <f>IF($B37=0,"",('MF Rollover'!CU37*($P37*(1+'Property Summary'!$L$22)^('MF Releasing'!CV$3-1)))*$C37)</f>
        <v/>
      </c>
      <c r="CW37" s="149" t="str">
        <f>IF($B37=0,"",('MF Rollover'!CV37*($P37*(1+'Property Summary'!$L$22)^('MF Releasing'!CW$3-1)))*$C37)</f>
        <v/>
      </c>
      <c r="CX37" s="149" t="str">
        <f>IF($B37=0,"",('MF Rollover'!CW37*($P37*(1+'Property Summary'!$L$22)^('MF Releasing'!CX$3-1)))*$C37)</f>
        <v/>
      </c>
      <c r="CY37" s="149" t="str">
        <f>IF($B37=0,"",('MF Rollover'!CX37*($P37*(1+'Property Summary'!$L$22)^('MF Releasing'!CY$3-1)))*$C37)</f>
        <v/>
      </c>
      <c r="CZ37" s="149" t="str">
        <f>IF($B37=0,"",('MF Rollover'!CY37*($P37*(1+'Property Summary'!$L$22)^('MF Releasing'!CZ$3-1)))*$C37)</f>
        <v/>
      </c>
      <c r="DA37" s="149" t="str">
        <f>IF($B37=0,"",('MF Rollover'!CZ37*($P37*(1+'Property Summary'!$L$22)^('MF Releasing'!DA$3-1)))*$C37)</f>
        <v/>
      </c>
      <c r="DB37" s="149" t="str">
        <f>IF($B37=0,"",('MF Rollover'!DA37*($P37*(1+'Property Summary'!$L$22)^('MF Releasing'!DB$3-1)))*$C37)</f>
        <v/>
      </c>
      <c r="DC37" s="149" t="str">
        <f>IF($B37=0,"",('MF Rollover'!DB37*($P37*(1+'Property Summary'!$L$22)^('MF Releasing'!DC$3-1)))*$C37)</f>
        <v/>
      </c>
      <c r="DD37" s="149" t="str">
        <f>IF($B37=0,"",('MF Rollover'!DC37*($P37*(1+'Property Summary'!$L$22)^('MF Releasing'!DD$3-1)))*$C37)</f>
        <v/>
      </c>
      <c r="DE37" s="149" t="str">
        <f>IF($B37=0,"",('MF Rollover'!DD37*($P37*(1+'Property Summary'!$L$22)^('MF Releasing'!DE$3-1)))*$C37)</f>
        <v/>
      </c>
      <c r="DF37" s="149" t="str">
        <f>IF($B37=0,"",('MF Rollover'!DE37*($P37*(1+'Property Summary'!$L$22)^('MF Releasing'!DF$3-1)))*$C37)</f>
        <v/>
      </c>
      <c r="DG37" s="149" t="str">
        <f>IF($B37=0,"",('MF Rollover'!DF37*($P37*(1+'Property Summary'!$L$22)^('MF Releasing'!DG$3-1)))*$C37)</f>
        <v/>
      </c>
      <c r="DH37" s="149" t="str">
        <f>IF($B37=0,"",('MF Rollover'!DG37*($P37*(1+'Property Summary'!$L$22)^('MF Releasing'!DH$3-1)))*$C37)</f>
        <v/>
      </c>
      <c r="DI37" s="149" t="str">
        <f>IF($B37=0,"",('MF Rollover'!DH37*($P37*(1+'Property Summary'!$L$22)^('MF Releasing'!DI$3-1)))*$C37)</f>
        <v/>
      </c>
      <c r="DJ37" s="149" t="str">
        <f>IF($B37=0,"",('MF Rollover'!DI37*($P37*(1+'Property Summary'!$L$22)^('MF Releasing'!DJ$3-1)))*$C37)</f>
        <v/>
      </c>
      <c r="DK37" s="149" t="str">
        <f>IF($B37=0,"",('MF Rollover'!DJ37*($P37*(1+'Property Summary'!$L$22)^('MF Releasing'!DK$3-1)))*$C37)</f>
        <v/>
      </c>
      <c r="DL37" s="149" t="str">
        <f>IF($B37=0,"",('MF Rollover'!DK37*($P37*(1+'Property Summary'!$L$22)^('MF Releasing'!DL$3-1)))*$C37)</f>
        <v/>
      </c>
      <c r="DM37" s="149" t="str">
        <f>IF($B37=0,"",('MF Rollover'!DL37*($P37*(1+'Property Summary'!$L$22)^('MF Releasing'!DM$3-1)))*$C37)</f>
        <v/>
      </c>
      <c r="DN37" s="149" t="str">
        <f>IF($B37=0,"",('MF Rollover'!DM37*($P37*(1+'Property Summary'!$L$22)^('MF Releasing'!DN$3-1)))*$C37)</f>
        <v/>
      </c>
      <c r="DO37" s="149" t="str">
        <f>IF($B37=0,"",('MF Rollover'!DN37*($P37*(1+'Property Summary'!$L$22)^('MF Releasing'!DO$3-1)))*$C37)</f>
        <v/>
      </c>
      <c r="DP37" s="149" t="str">
        <f>IF($B37=0,"",('MF Rollover'!DO37*($P37*(1+'Property Summary'!$L$22)^('MF Releasing'!DP$3-1)))*$C37)</f>
        <v/>
      </c>
      <c r="DQ37" s="149" t="str">
        <f>IF($B37=0,"",('MF Rollover'!DP37*($P37*(1+'Property Summary'!$L$22)^('MF Releasing'!DQ$3-1)))*$C37)</f>
        <v/>
      </c>
      <c r="DR37" s="149" t="str">
        <f>IF($B37=0,"",('MF Rollover'!DQ37*($P37*(1+'Property Summary'!$L$22)^('MF Releasing'!DR$3-1)))*$C37)</f>
        <v/>
      </c>
      <c r="DS37" s="149" t="str">
        <f>IF($B37=0,"",('MF Rollover'!DR37*($P37*(1+'Property Summary'!$L$22)^('MF Releasing'!DS$3-1)))*$C37)</f>
        <v/>
      </c>
      <c r="DT37" s="149" t="str">
        <f>IF($B37=0,"",('MF Rollover'!DS37*($P37*(1+'Property Summary'!$L$22)^('MF Releasing'!DT$3-1)))*$C37)</f>
        <v/>
      </c>
      <c r="DU37" s="149" t="str">
        <f>IF($B37=0,"",('MF Rollover'!DT37*($P37*(1+'Property Summary'!$L$22)^('MF Releasing'!DU$3-1)))*$C37)</f>
        <v/>
      </c>
      <c r="DV37" s="149" t="str">
        <f>IF($B37=0,"",('MF Rollover'!DU37*($P37*(1+'Property Summary'!$L$22)^('MF Releasing'!DV$3-1)))*$C37)</f>
        <v/>
      </c>
      <c r="DW37" s="149" t="str">
        <f>IF($B37=0,"",('MF Rollover'!DV37*($P37*(1+'Property Summary'!$L$22)^('MF Releasing'!DW$3-1)))*$C37)</f>
        <v/>
      </c>
      <c r="DX37" s="149" t="str">
        <f>IF($B37=0,"",('MF Rollover'!DW37*($P37*(1+'Property Summary'!$L$22)^('MF Releasing'!DX$3-1)))*$C37)</f>
        <v/>
      </c>
      <c r="DY37" s="149" t="str">
        <f>IF($B37=0,"",('MF Rollover'!DX37*($P37*(1+'Property Summary'!$L$22)^('MF Releasing'!DY$3-1)))*$C37)</f>
        <v/>
      </c>
      <c r="DZ37" s="149" t="str">
        <f>IF($B37=0,"",('MF Rollover'!DY37*($P37*(1+'Property Summary'!$L$22)^('MF Releasing'!DZ$3-1)))*$C37)</f>
        <v/>
      </c>
      <c r="EA37" s="149" t="str">
        <f>IF($B37=0,"",('MF Rollover'!DZ37*($P37*(1+'Property Summary'!$L$22)^('MF Releasing'!EA$3-1)))*$C37)</f>
        <v/>
      </c>
      <c r="EB37" s="149" t="str">
        <f>IF($B37=0,"",('MF Rollover'!EA37*($P37*(1+'Property Summary'!$L$22)^('MF Releasing'!EB$3-1)))*$C37)</f>
        <v/>
      </c>
      <c r="EC37" s="149" t="str">
        <f>IF($B37=0,"",('MF Rollover'!EB37*($P37*(1+'Property Summary'!$L$22)^('MF Releasing'!EC$3-1)))*$C37)</f>
        <v/>
      </c>
      <c r="ED37" s="149" t="str">
        <f>IF($B37=0,"",('MF Rollover'!EC37*($P37*(1+'Property Summary'!$L$22)^('MF Releasing'!ED$3-1)))*$C37)</f>
        <v/>
      </c>
      <c r="EE37" s="149" t="str">
        <f>IF($B37=0,"",('MF Rollover'!ED37*($P37*(1+'Property Summary'!$L$22)^('MF Releasing'!EE$3-1)))*$C37)</f>
        <v/>
      </c>
      <c r="EF37" s="149" t="str">
        <f>IF($B37=0,"",('MF Rollover'!EE37*($P37*(1+'Property Summary'!$L$22)^('MF Releasing'!EF$3-1)))*$C37)</f>
        <v/>
      </c>
      <c r="EG37" s="149" t="str">
        <f>IF($B37=0,"",('MF Rollover'!EF37*($P37*(1+'Property Summary'!$L$22)^('MF Releasing'!EG$3-1)))*$C37)</f>
        <v/>
      </c>
      <c r="EH37" s="149" t="str">
        <f>IF($B37=0,"",('MF Rollover'!EG37*($P37*(1+'Property Summary'!$L$22)^('MF Releasing'!EH$3-1)))*$C37)</f>
        <v/>
      </c>
      <c r="EI37" s="149" t="str">
        <f>IF($B37=0,"",('MF Rollover'!EH37*($P37*(1+'Property Summary'!$L$22)^('MF Releasing'!EI$3-1)))*$C37)</f>
        <v/>
      </c>
      <c r="EJ37" s="149" t="str">
        <f>IF($B37=0,"",('MF Rollover'!EI37*($P37*(1+'Property Summary'!$L$22)^('MF Releasing'!EJ$3-1)))*$C37)</f>
        <v/>
      </c>
      <c r="EK37" s="149" t="str">
        <f>IF($B37=0,"",('MF Rollover'!EJ37*($P37*(1+'Property Summary'!$L$22)^('MF Releasing'!EK$3-1)))*$C37)</f>
        <v/>
      </c>
      <c r="EL37" s="149" t="str">
        <f>IF($B37=0,"",('MF Rollover'!EK37*($P37*(1+'Property Summary'!$L$22)^('MF Releasing'!EL$3-1)))*$C37)</f>
        <v/>
      </c>
      <c r="EM37" s="149" t="str">
        <f>IF($B37=0,"",('MF Rollover'!EL37*($P37*(1+'Property Summary'!$L$22)^('MF Releasing'!EM$3-1)))*$C37)</f>
        <v/>
      </c>
      <c r="EN37" s="149" t="str">
        <f>IF($B37=0,"",('MF Rollover'!EM37*($P37*(1+'Property Summary'!$L$22)^('MF Releasing'!EN$3-1)))*$C37)</f>
        <v/>
      </c>
      <c r="EO37" s="149" t="str">
        <f>IF($B37=0,"",('MF Rollover'!EN37*($P37*(1+'Property Summary'!$L$22)^('MF Releasing'!EO$3-1)))*$C37)</f>
        <v/>
      </c>
      <c r="EP37" s="149" t="str">
        <f>IF($B37=0,"",('MF Rollover'!EO37*($P37*(1+'Property Summary'!$L$22)^('MF Releasing'!EP$3-1)))*$C37)</f>
        <v/>
      </c>
      <c r="EQ37" s="149" t="str">
        <f>IF($B37=0,"",('MF Rollover'!EP37*($P37*(1+'Property Summary'!$L$22)^('MF Releasing'!EQ$3-1)))*$C37)</f>
        <v/>
      </c>
      <c r="ER37" s="149" t="str">
        <f>IF($B37=0,"",('MF Rollover'!EQ37*($P37*(1+'Property Summary'!$L$22)^('MF Releasing'!ER$3-1)))*$C37)</f>
        <v/>
      </c>
      <c r="ES37" s="149" t="str">
        <f>IF($B37=0,"",('MF Rollover'!ER37*($P37*(1+'Property Summary'!$L$22)^('MF Releasing'!ES$3-1)))*$C37)</f>
        <v/>
      </c>
      <c r="ET37" s="149" t="str">
        <f>IF($B37=0,"",('MF Rollover'!ES37*($P37*(1+'Property Summary'!$L$22)^('MF Releasing'!ET$3-1)))*$C37)</f>
        <v/>
      </c>
      <c r="EU37" s="149" t="str">
        <f>IF($B37=0,"",('MF Rollover'!ET37*($P37*(1+'Property Summary'!$L$22)^('MF Releasing'!EU$3-1)))*$C37)</f>
        <v/>
      </c>
      <c r="EV37" s="149" t="str">
        <f>IF($B37=0,"",('MF Rollover'!EU37*($P37*(1+'Property Summary'!$L$22)^('MF Releasing'!EV$3-1)))*$C37)</f>
        <v/>
      </c>
      <c r="EW37" s="149" t="str">
        <f>IF($B37=0,"",('MF Rollover'!EV37*($P37*(1+'Property Summary'!$L$22)^('MF Releasing'!EW$3-1)))*$C37)</f>
        <v/>
      </c>
      <c r="EX37" s="149" t="str">
        <f>IF($B37=0,"",('MF Rollover'!EW37*($P37*(1+'Property Summary'!$L$22)^('MF Releasing'!EX$3-1)))*$C37)</f>
        <v/>
      </c>
      <c r="EY37" s="149" t="str">
        <f>IF($B37=0,"",('MF Rollover'!EX37*($P37*(1+'Property Summary'!$L$22)^('MF Releasing'!EY$3-1)))*$C37)</f>
        <v/>
      </c>
      <c r="EZ37" s="149" t="str">
        <f>IF($B37=0,"",('MF Rollover'!EY37*($P37*(1+'Property Summary'!$L$22)^('MF Releasing'!EZ$3-1)))*$C37)</f>
        <v/>
      </c>
      <c r="FA37" s="149" t="str">
        <f>IF($B37=0,"",('MF Rollover'!EZ37*($P37*(1+'Property Summary'!$L$22)^('MF Releasing'!FA$3-1)))*$C37)</f>
        <v/>
      </c>
      <c r="FB37" s="149" t="str">
        <f>IF($B37=0,"",('MF Rollover'!FA37*($P37*(1+'Property Summary'!$L$22)^('MF Releasing'!FB$3-1)))*$C37)</f>
        <v/>
      </c>
      <c r="FC37" s="149" t="str">
        <f>IF($B37=0,"",('MF Rollover'!FB37*($P37*(1+'Property Summary'!$L$22)^('MF Releasing'!FC$3-1)))*$C37)</f>
        <v/>
      </c>
      <c r="FD37" s="149" t="str">
        <f>IF($B37=0,"",('MF Rollover'!FC37*($P37*(1+'Property Summary'!$L$22)^('MF Releasing'!FD$3-1)))*$C37)</f>
        <v/>
      </c>
      <c r="FE37" s="149" t="str">
        <f>IF($B37=0,"",('MF Rollover'!FD37*($P37*(1+'Property Summary'!$L$22)^('MF Releasing'!FE$3-1)))*$C37)</f>
        <v/>
      </c>
      <c r="FF37" s="149" t="str">
        <f>IF($B37=0,"",('MF Rollover'!FE37*($P37*(1+'Property Summary'!$L$22)^('MF Releasing'!FF$3-1)))*$C37)</f>
        <v/>
      </c>
      <c r="FG37" s="149" t="str">
        <f>IF($B37=0,"",('MF Rollover'!FF37*($P37*(1+'Property Summary'!$L$22)^('MF Releasing'!FG$3-1)))*$C37)</f>
        <v/>
      </c>
      <c r="FH37" s="149" t="str">
        <f>IF($B37=0,"",('MF Rollover'!FG37*($P37*(1+'Property Summary'!$L$22)^('MF Releasing'!FH$3-1)))*$C37)</f>
        <v/>
      </c>
      <c r="FI37" s="149" t="str">
        <f>IF($B37=0,"",('MF Rollover'!FH37*($P37*(1+'Property Summary'!$L$22)^('MF Releasing'!FI$3-1)))*$C37)</f>
        <v/>
      </c>
      <c r="FJ37" s="149" t="str">
        <f>IF($B37=0,"",('MF Rollover'!FI37*($P37*(1+'Property Summary'!$L$22)^('MF Releasing'!FJ$3-1)))*$C37)</f>
        <v/>
      </c>
      <c r="FK37" s="149" t="str">
        <f>IF($B37=0,"",('MF Rollover'!FJ37*($P37*(1+'Property Summary'!$L$22)^('MF Releasing'!FK$3-1)))*$C37)</f>
        <v/>
      </c>
      <c r="FL37" s="149" t="str">
        <f>IF($B37=0,"",('MF Rollover'!FK37*($P37*(1+'Property Summary'!$L$22)^('MF Releasing'!FL$3-1)))*$C37)</f>
        <v/>
      </c>
      <c r="FM37" s="149" t="str">
        <f>IF($B37=0,"",('MF Rollover'!FL37*($P37*(1+'Property Summary'!$L$22)^('MF Releasing'!FM$3-1)))*$C37)</f>
        <v/>
      </c>
      <c r="FN37" s="149" t="str">
        <f>IF($B37=0,"",('MF Rollover'!FM37*($P37*(1+'Property Summary'!$L$22)^('MF Releasing'!FN$3-1)))*$C37)</f>
        <v/>
      </c>
      <c r="FO37" s="149" t="str">
        <f>IF($B37=0,"",('MF Rollover'!FN37*($P37*(1+'Property Summary'!$L$22)^('MF Releasing'!FO$3-1)))*$C37)</f>
        <v/>
      </c>
      <c r="FP37" s="149" t="str">
        <f>IF($B37=0,"",('MF Rollover'!FO37*($P37*(1+'Property Summary'!$L$22)^('MF Releasing'!FP$3-1)))*$C37)</f>
        <v/>
      </c>
      <c r="FQ37" s="149" t="str">
        <f>IF($B37=0,"",('MF Rollover'!FP37*($P37*(1+'Property Summary'!$L$22)^('MF Releasing'!FQ$3-1)))*$C37)</f>
        <v/>
      </c>
      <c r="FR37" s="149" t="str">
        <f>IF($B37=0,"",('MF Rollover'!FQ37*($P37*(1+'Property Summary'!$L$22)^('MF Releasing'!FR$3-1)))*$C37)</f>
        <v/>
      </c>
      <c r="FS37" s="149" t="str">
        <f>IF($B37=0,"",('MF Rollover'!FR37*($P37*(1+'Property Summary'!$L$22)^('MF Releasing'!FS$3-1)))*$C37)</f>
        <v/>
      </c>
      <c r="FT37" s="149" t="str">
        <f>IF($B37=0,"",('MF Rollover'!FS37*($P37*(1+'Property Summary'!$L$22)^('MF Releasing'!FT$3-1)))*$C37)</f>
        <v/>
      </c>
      <c r="FU37" s="149" t="str">
        <f>IF($B37=0,"",('MF Rollover'!FT37*($P37*(1+'Property Summary'!$L$22)^('MF Releasing'!FU$3-1)))*$C37)</f>
        <v/>
      </c>
      <c r="FV37" s="149" t="str">
        <f>IF($B37=0,"",('MF Rollover'!FU37*($P37*(1+'Property Summary'!$L$22)^('MF Releasing'!FV$3-1)))*$C37)</f>
        <v/>
      </c>
      <c r="FW37" s="149" t="str">
        <f>IF($B37=0,"",('MF Rollover'!FV37*($P37*(1+'Property Summary'!$L$22)^('MF Releasing'!FW$3-1)))*$C37)</f>
        <v/>
      </c>
      <c r="FX37" s="149" t="str">
        <f>IF($B37=0,"",('MF Rollover'!FW37*($P37*(1+'Property Summary'!$L$22)^('MF Releasing'!FX$3-1)))*$C37)</f>
        <v/>
      </c>
      <c r="FY37" s="149" t="str">
        <f>IF($B37=0,"",('MF Rollover'!FX37*($P37*(1+'Property Summary'!$L$22)^('MF Releasing'!FY$3-1)))*$C37)</f>
        <v/>
      </c>
      <c r="FZ37" s="149" t="str">
        <f>IF($B37=0,"",('MF Rollover'!FY37*($P37*(1+'Property Summary'!$L$22)^('MF Releasing'!FZ$3-1)))*$C37)</f>
        <v/>
      </c>
      <c r="GA37" s="149" t="str">
        <f>IF($B37=0,"",('MF Rollover'!FZ37*($P37*(1+'Property Summary'!$L$22)^('MF Releasing'!GA$3-1)))*$C37)</f>
        <v/>
      </c>
      <c r="GB37" s="149" t="str">
        <f>IF($B37=0,"",('MF Rollover'!GA37*($P37*(1+'Property Summary'!$L$22)^('MF Releasing'!GB$3-1)))*$C37)</f>
        <v/>
      </c>
      <c r="GC37" s="149" t="str">
        <f>IF($B37=0,"",('MF Rollover'!GB37*($P37*(1+'Property Summary'!$L$22)^('MF Releasing'!GC$3-1)))*$C37)</f>
        <v/>
      </c>
      <c r="GD37" s="149" t="str">
        <f>IF($B37=0,"",('MF Rollover'!GC37*($P37*(1+'Property Summary'!$L$22)^('MF Releasing'!GD$3-1)))*$C37)</f>
        <v/>
      </c>
      <c r="GE37" s="149" t="str">
        <f>IF($B37=0,"",('MF Rollover'!GD37*($P37*(1+'Property Summary'!$L$22)^('MF Releasing'!GE$3-1)))*$C37)</f>
        <v/>
      </c>
      <c r="GF37" s="149" t="str">
        <f>IF($B37=0,"",('MF Rollover'!GE37*($P37*(1+'Property Summary'!$L$22)^('MF Releasing'!GF$3-1)))*$C37)</f>
        <v/>
      </c>
      <c r="GG37" s="149" t="str">
        <f>IF($B37=0,"",('MF Rollover'!GF37*($P37*(1+'Property Summary'!$L$22)^('MF Releasing'!GG$3-1)))*$C37)</f>
        <v/>
      </c>
      <c r="GH37" s="149" t="str">
        <f>IF($B37=0,"",('MF Rollover'!GG37*($P37*(1+'Property Summary'!$L$22)^('MF Releasing'!GH$3-1)))*$C37)</f>
        <v/>
      </c>
      <c r="GI37" s="149" t="str">
        <f>IF($B37=0,"",('MF Rollover'!GH37*($P37*(1+'Property Summary'!$L$22)^('MF Releasing'!GI$3-1)))*$C37)</f>
        <v/>
      </c>
      <c r="GJ37" s="149" t="str">
        <f>IF($B37=0,"",('MF Rollover'!GI37*($P37*(1+'Property Summary'!$L$22)^('MF Releasing'!GJ$3-1)))*$C37)</f>
        <v/>
      </c>
      <c r="GK37" s="149" t="str">
        <f>IF($B37=0,"",('MF Rollover'!GJ37*($P37*(1+'Property Summary'!$L$22)^('MF Releasing'!GK$3-1)))*$C37)</f>
        <v/>
      </c>
      <c r="GL37" s="149" t="str">
        <f>IF($B37=0,"",('MF Rollover'!GK37*($P37*(1+'Property Summary'!$L$22)^('MF Releasing'!GL$3-1)))*$C37)</f>
        <v/>
      </c>
      <c r="GM37" s="149" t="str">
        <f>IF($B37=0,"",('MF Rollover'!GL37*($P37*(1+'Property Summary'!$L$22)^('MF Releasing'!GM$3-1)))*$C37)</f>
        <v/>
      </c>
      <c r="GN37" s="149" t="str">
        <f>IF($B37=0,"",('MF Rollover'!GM37*($P37*(1+'Property Summary'!$L$22)^('MF Releasing'!GN$3-1)))*$C37)</f>
        <v/>
      </c>
      <c r="GO37" s="149" t="str">
        <f>IF($B37=0,"",('MF Rollover'!GN37*($P37*(1+'Property Summary'!$L$22)^('MF Releasing'!GO$3-1)))*$C37)</f>
        <v/>
      </c>
      <c r="GP37" s="149" t="str">
        <f>IF($B37=0,"",('MF Rollover'!GO37*($P37*(1+'Property Summary'!$L$22)^('MF Releasing'!GP$3-1)))*$C37)</f>
        <v/>
      </c>
    </row>
    <row r="38" spans="2:198" x14ac:dyDescent="0.3">
      <c r="B38" s="184">
        <f>'MF Rent Roll'!B37</f>
        <v>0</v>
      </c>
      <c r="C38" s="171">
        <f>'MF Rent Roll'!C37</f>
        <v>0</v>
      </c>
      <c r="D38" s="172">
        <f>'MF Rent Roll'!D37</f>
        <v>0</v>
      </c>
      <c r="E38" s="172">
        <f>'MF Rent Roll'!E37</f>
        <v>0</v>
      </c>
      <c r="F38" s="173">
        <f>'MF Rent Roll'!F37</f>
        <v>0</v>
      </c>
      <c r="G38" s="174">
        <f>'MF Rent Roll'!G37</f>
        <v>0</v>
      </c>
      <c r="H38" s="176">
        <f>'MF Rent Roll'!J37</f>
        <v>0</v>
      </c>
      <c r="I38" s="174">
        <f>'MF Rent Roll'!K37</f>
        <v>0</v>
      </c>
      <c r="J38" s="177">
        <f>'MF Rent Roll'!L37</f>
        <v>0</v>
      </c>
      <c r="K38" s="178">
        <f>'MF Rent Roll'!M37</f>
        <v>0</v>
      </c>
      <c r="L38" s="174">
        <f>'MF Rent Roll'!N37</f>
        <v>0</v>
      </c>
      <c r="M38" s="179">
        <f>'MF Rent Roll'!O37</f>
        <v>0</v>
      </c>
      <c r="N38" s="180" t="str">
        <f>'MF Rent Roll'!P37</f>
        <v/>
      </c>
      <c r="O38" s="181" t="str">
        <f>'MF Rent Roll'!Q37</f>
        <v/>
      </c>
      <c r="P38" s="104" t="str">
        <f>'MF Rent Roll'!R37</f>
        <v/>
      </c>
      <c r="S38" s="149" t="str">
        <f>IF($B38=0,"",('MF Rollover'!R38*($P38*(1+'Property Summary'!$L$22)^('MF Releasing'!S$3-1)))*$C38)</f>
        <v/>
      </c>
      <c r="T38" s="149" t="str">
        <f>IF($B38=0,"",('MF Rollover'!S38*($P38*(1+'Property Summary'!$L$22)^('MF Releasing'!T$3-1)))*$C38)</f>
        <v/>
      </c>
      <c r="U38" s="149" t="str">
        <f>IF($B38=0,"",('MF Rollover'!T38*($P38*(1+'Property Summary'!$L$22)^('MF Releasing'!U$3-1)))*$C38)</f>
        <v/>
      </c>
      <c r="V38" s="149" t="str">
        <f>IF($B38=0,"",('MF Rollover'!U38*($P38*(1+'Property Summary'!$L$22)^('MF Releasing'!V$3-1)))*$C38)</f>
        <v/>
      </c>
      <c r="W38" s="149" t="str">
        <f>IF($B38=0,"",('MF Rollover'!V38*($P38*(1+'Property Summary'!$L$22)^('MF Releasing'!W$3-1)))*$C38)</f>
        <v/>
      </c>
      <c r="X38" s="149" t="str">
        <f>IF($B38=0,"",('MF Rollover'!W38*($P38*(1+'Property Summary'!$L$22)^('MF Releasing'!X$3-1)))*$C38)</f>
        <v/>
      </c>
      <c r="Y38" s="149" t="str">
        <f>IF($B38=0,"",('MF Rollover'!X38*($P38*(1+'Property Summary'!$L$22)^('MF Releasing'!Y$3-1)))*$C38)</f>
        <v/>
      </c>
      <c r="Z38" s="149" t="str">
        <f>IF($B38=0,"",('MF Rollover'!Y38*($P38*(1+'Property Summary'!$L$22)^('MF Releasing'!Z$3-1)))*$C38)</f>
        <v/>
      </c>
      <c r="AA38" s="149" t="str">
        <f>IF($B38=0,"",('MF Rollover'!Z38*($P38*(1+'Property Summary'!$L$22)^('MF Releasing'!AA$3-1)))*$C38)</f>
        <v/>
      </c>
      <c r="AB38" s="149" t="str">
        <f>IF($B38=0,"",('MF Rollover'!AA38*($P38*(1+'Property Summary'!$L$22)^('MF Releasing'!AB$3-1)))*$C38)</f>
        <v/>
      </c>
      <c r="AC38" s="149" t="str">
        <f>IF($B38=0,"",('MF Rollover'!AB38*($P38*(1+'Property Summary'!$L$22)^('MF Releasing'!AC$3-1)))*$C38)</f>
        <v/>
      </c>
      <c r="AD38" s="149" t="str">
        <f>IF($B38=0,"",('MF Rollover'!AC38*($P38*(1+'Property Summary'!$L$22)^('MF Releasing'!AD$3-1)))*$C38)</f>
        <v/>
      </c>
      <c r="AE38" s="149" t="str">
        <f>IF($B38=0,"",('MF Rollover'!AD38*($P38*(1+'Property Summary'!$L$22)^('MF Releasing'!AE$3-1)))*$C38)</f>
        <v/>
      </c>
      <c r="AF38" s="149" t="str">
        <f>IF($B38=0,"",('MF Rollover'!AE38*($P38*(1+'Property Summary'!$L$22)^('MF Releasing'!AF$3-1)))*$C38)</f>
        <v/>
      </c>
      <c r="AG38" s="149" t="str">
        <f>IF($B38=0,"",('MF Rollover'!AF38*($P38*(1+'Property Summary'!$L$22)^('MF Releasing'!AG$3-1)))*$C38)</f>
        <v/>
      </c>
      <c r="AH38" s="149" t="str">
        <f>IF($B38=0,"",('MF Rollover'!AG38*($P38*(1+'Property Summary'!$L$22)^('MF Releasing'!AH$3-1)))*$C38)</f>
        <v/>
      </c>
      <c r="AI38" s="149" t="str">
        <f>IF($B38=0,"",('MF Rollover'!AH38*($P38*(1+'Property Summary'!$L$22)^('MF Releasing'!AI$3-1)))*$C38)</f>
        <v/>
      </c>
      <c r="AJ38" s="149" t="str">
        <f>IF($B38=0,"",('MF Rollover'!AI38*($P38*(1+'Property Summary'!$L$22)^('MF Releasing'!AJ$3-1)))*$C38)</f>
        <v/>
      </c>
      <c r="AK38" s="149" t="str">
        <f>IF($B38=0,"",('MF Rollover'!AJ38*($P38*(1+'Property Summary'!$L$22)^('MF Releasing'!AK$3-1)))*$C38)</f>
        <v/>
      </c>
      <c r="AL38" s="149" t="str">
        <f>IF($B38=0,"",('MF Rollover'!AK38*($P38*(1+'Property Summary'!$L$22)^('MF Releasing'!AL$3-1)))*$C38)</f>
        <v/>
      </c>
      <c r="AM38" s="149" t="str">
        <f>IF($B38=0,"",('MF Rollover'!AL38*($P38*(1+'Property Summary'!$L$22)^('MF Releasing'!AM$3-1)))*$C38)</f>
        <v/>
      </c>
      <c r="AN38" s="149" t="str">
        <f>IF($B38=0,"",('MF Rollover'!AM38*($P38*(1+'Property Summary'!$L$22)^('MF Releasing'!AN$3-1)))*$C38)</f>
        <v/>
      </c>
      <c r="AO38" s="149" t="str">
        <f>IF($B38=0,"",('MF Rollover'!AN38*($P38*(1+'Property Summary'!$L$22)^('MF Releasing'!AO$3-1)))*$C38)</f>
        <v/>
      </c>
      <c r="AP38" s="149" t="str">
        <f>IF($B38=0,"",('MF Rollover'!AO38*($P38*(1+'Property Summary'!$L$22)^('MF Releasing'!AP$3-1)))*$C38)</f>
        <v/>
      </c>
      <c r="AQ38" s="149" t="str">
        <f>IF($B38=0,"",('MF Rollover'!AP38*($P38*(1+'Property Summary'!$L$22)^('MF Releasing'!AQ$3-1)))*$C38)</f>
        <v/>
      </c>
      <c r="AR38" s="149" t="str">
        <f>IF($B38=0,"",('MF Rollover'!AQ38*($P38*(1+'Property Summary'!$L$22)^('MF Releasing'!AR$3-1)))*$C38)</f>
        <v/>
      </c>
      <c r="AS38" s="149" t="str">
        <f>IF($B38=0,"",('MF Rollover'!AR38*($P38*(1+'Property Summary'!$L$22)^('MF Releasing'!AS$3-1)))*$C38)</f>
        <v/>
      </c>
      <c r="AT38" s="149" t="str">
        <f>IF($B38=0,"",('MF Rollover'!AS38*($P38*(1+'Property Summary'!$L$22)^('MF Releasing'!AT$3-1)))*$C38)</f>
        <v/>
      </c>
      <c r="AU38" s="149" t="str">
        <f>IF($B38=0,"",('MF Rollover'!AT38*($P38*(1+'Property Summary'!$L$22)^('MF Releasing'!AU$3-1)))*$C38)</f>
        <v/>
      </c>
      <c r="AV38" s="149" t="str">
        <f>IF($B38=0,"",('MF Rollover'!AU38*($P38*(1+'Property Summary'!$L$22)^('MF Releasing'!AV$3-1)))*$C38)</f>
        <v/>
      </c>
      <c r="AW38" s="149" t="str">
        <f>IF($B38=0,"",('MF Rollover'!AV38*($P38*(1+'Property Summary'!$L$22)^('MF Releasing'!AW$3-1)))*$C38)</f>
        <v/>
      </c>
      <c r="AX38" s="149" t="str">
        <f>IF($B38=0,"",('MF Rollover'!AW38*($P38*(1+'Property Summary'!$L$22)^('MF Releasing'!AX$3-1)))*$C38)</f>
        <v/>
      </c>
      <c r="AY38" s="149" t="str">
        <f>IF($B38=0,"",('MF Rollover'!AX38*($P38*(1+'Property Summary'!$L$22)^('MF Releasing'!AY$3-1)))*$C38)</f>
        <v/>
      </c>
      <c r="AZ38" s="149" t="str">
        <f>IF($B38=0,"",('MF Rollover'!AY38*($P38*(1+'Property Summary'!$L$22)^('MF Releasing'!AZ$3-1)))*$C38)</f>
        <v/>
      </c>
      <c r="BA38" s="149" t="str">
        <f>IF($B38=0,"",('MF Rollover'!AZ38*($P38*(1+'Property Summary'!$L$22)^('MF Releasing'!BA$3-1)))*$C38)</f>
        <v/>
      </c>
      <c r="BB38" s="149" t="str">
        <f>IF($B38=0,"",('MF Rollover'!BA38*($P38*(1+'Property Summary'!$L$22)^('MF Releasing'!BB$3-1)))*$C38)</f>
        <v/>
      </c>
      <c r="BC38" s="149" t="str">
        <f>IF($B38=0,"",('MF Rollover'!BB38*($P38*(1+'Property Summary'!$L$22)^('MF Releasing'!BC$3-1)))*$C38)</f>
        <v/>
      </c>
      <c r="BD38" s="149" t="str">
        <f>IF($B38=0,"",('MF Rollover'!BC38*($P38*(1+'Property Summary'!$L$22)^('MF Releasing'!BD$3-1)))*$C38)</f>
        <v/>
      </c>
      <c r="BE38" s="149" t="str">
        <f>IF($B38=0,"",('MF Rollover'!BD38*($P38*(1+'Property Summary'!$L$22)^('MF Releasing'!BE$3-1)))*$C38)</f>
        <v/>
      </c>
      <c r="BF38" s="149" t="str">
        <f>IF($B38=0,"",('MF Rollover'!BE38*($P38*(1+'Property Summary'!$L$22)^('MF Releasing'!BF$3-1)))*$C38)</f>
        <v/>
      </c>
      <c r="BG38" s="149" t="str">
        <f>IF($B38=0,"",('MF Rollover'!BF38*($P38*(1+'Property Summary'!$L$22)^('MF Releasing'!BG$3-1)))*$C38)</f>
        <v/>
      </c>
      <c r="BH38" s="149" t="str">
        <f>IF($B38=0,"",('MF Rollover'!BG38*($P38*(1+'Property Summary'!$L$22)^('MF Releasing'!BH$3-1)))*$C38)</f>
        <v/>
      </c>
      <c r="BI38" s="149" t="str">
        <f>IF($B38=0,"",('MF Rollover'!BH38*($P38*(1+'Property Summary'!$L$22)^('MF Releasing'!BI$3-1)))*$C38)</f>
        <v/>
      </c>
      <c r="BJ38" s="149" t="str">
        <f>IF($B38=0,"",('MF Rollover'!BI38*($P38*(1+'Property Summary'!$L$22)^('MF Releasing'!BJ$3-1)))*$C38)</f>
        <v/>
      </c>
      <c r="BK38" s="149" t="str">
        <f>IF($B38=0,"",('MF Rollover'!BJ38*($P38*(1+'Property Summary'!$L$22)^('MF Releasing'!BK$3-1)))*$C38)</f>
        <v/>
      </c>
      <c r="BL38" s="149" t="str">
        <f>IF($B38=0,"",('MF Rollover'!BK38*($P38*(1+'Property Summary'!$L$22)^('MF Releasing'!BL$3-1)))*$C38)</f>
        <v/>
      </c>
      <c r="BM38" s="149" t="str">
        <f>IF($B38=0,"",('MF Rollover'!BL38*($P38*(1+'Property Summary'!$L$22)^('MF Releasing'!BM$3-1)))*$C38)</f>
        <v/>
      </c>
      <c r="BN38" s="149" t="str">
        <f>IF($B38=0,"",('MF Rollover'!BM38*($P38*(1+'Property Summary'!$L$22)^('MF Releasing'!BN$3-1)))*$C38)</f>
        <v/>
      </c>
      <c r="BO38" s="149" t="str">
        <f>IF($B38=0,"",('MF Rollover'!BN38*($P38*(1+'Property Summary'!$L$22)^('MF Releasing'!BO$3-1)))*$C38)</f>
        <v/>
      </c>
      <c r="BP38" s="149" t="str">
        <f>IF($B38=0,"",('MF Rollover'!BO38*($P38*(1+'Property Summary'!$L$22)^('MF Releasing'!BP$3-1)))*$C38)</f>
        <v/>
      </c>
      <c r="BQ38" s="149" t="str">
        <f>IF($B38=0,"",('MF Rollover'!BP38*($P38*(1+'Property Summary'!$L$22)^('MF Releasing'!BQ$3-1)))*$C38)</f>
        <v/>
      </c>
      <c r="BR38" s="149" t="str">
        <f>IF($B38=0,"",('MF Rollover'!BQ38*($P38*(1+'Property Summary'!$L$22)^('MF Releasing'!BR$3-1)))*$C38)</f>
        <v/>
      </c>
      <c r="BS38" s="149" t="str">
        <f>IF($B38=0,"",('MF Rollover'!BR38*($P38*(1+'Property Summary'!$L$22)^('MF Releasing'!BS$3-1)))*$C38)</f>
        <v/>
      </c>
      <c r="BT38" s="149" t="str">
        <f>IF($B38=0,"",('MF Rollover'!BS38*($P38*(1+'Property Summary'!$L$22)^('MF Releasing'!BT$3-1)))*$C38)</f>
        <v/>
      </c>
      <c r="BU38" s="149" t="str">
        <f>IF($B38=0,"",('MF Rollover'!BT38*($P38*(1+'Property Summary'!$L$22)^('MF Releasing'!BU$3-1)))*$C38)</f>
        <v/>
      </c>
      <c r="BV38" s="149" t="str">
        <f>IF($B38=0,"",('MF Rollover'!BU38*($P38*(1+'Property Summary'!$L$22)^('MF Releasing'!BV$3-1)))*$C38)</f>
        <v/>
      </c>
      <c r="BW38" s="149" t="str">
        <f>IF($B38=0,"",('MF Rollover'!BV38*($P38*(1+'Property Summary'!$L$22)^('MF Releasing'!BW$3-1)))*$C38)</f>
        <v/>
      </c>
      <c r="BX38" s="149" t="str">
        <f>IF($B38=0,"",('MF Rollover'!BW38*($P38*(1+'Property Summary'!$L$22)^('MF Releasing'!BX$3-1)))*$C38)</f>
        <v/>
      </c>
      <c r="BY38" s="149" t="str">
        <f>IF($B38=0,"",('MF Rollover'!BX38*($P38*(1+'Property Summary'!$L$22)^('MF Releasing'!BY$3-1)))*$C38)</f>
        <v/>
      </c>
      <c r="BZ38" s="149" t="str">
        <f>IF($B38=0,"",('MF Rollover'!BY38*($P38*(1+'Property Summary'!$L$22)^('MF Releasing'!BZ$3-1)))*$C38)</f>
        <v/>
      </c>
      <c r="CA38" s="149" t="str">
        <f>IF($B38=0,"",('MF Rollover'!BZ38*($P38*(1+'Property Summary'!$L$22)^('MF Releasing'!CA$3-1)))*$C38)</f>
        <v/>
      </c>
      <c r="CB38" s="149" t="str">
        <f>IF($B38=0,"",('MF Rollover'!CA38*($P38*(1+'Property Summary'!$L$22)^('MF Releasing'!CB$3-1)))*$C38)</f>
        <v/>
      </c>
      <c r="CC38" s="149" t="str">
        <f>IF($B38=0,"",('MF Rollover'!CB38*($P38*(1+'Property Summary'!$L$22)^('MF Releasing'!CC$3-1)))*$C38)</f>
        <v/>
      </c>
      <c r="CD38" s="149" t="str">
        <f>IF($B38=0,"",('MF Rollover'!CC38*($P38*(1+'Property Summary'!$L$22)^('MF Releasing'!CD$3-1)))*$C38)</f>
        <v/>
      </c>
      <c r="CE38" s="149" t="str">
        <f>IF($B38=0,"",('MF Rollover'!CD38*($P38*(1+'Property Summary'!$L$22)^('MF Releasing'!CE$3-1)))*$C38)</f>
        <v/>
      </c>
      <c r="CF38" s="149" t="str">
        <f>IF($B38=0,"",('MF Rollover'!CE38*($P38*(1+'Property Summary'!$L$22)^('MF Releasing'!CF$3-1)))*$C38)</f>
        <v/>
      </c>
      <c r="CG38" s="149" t="str">
        <f>IF($B38=0,"",('MF Rollover'!CF38*($P38*(1+'Property Summary'!$L$22)^('MF Releasing'!CG$3-1)))*$C38)</f>
        <v/>
      </c>
      <c r="CH38" s="149" t="str">
        <f>IF($B38=0,"",('MF Rollover'!CG38*($P38*(1+'Property Summary'!$L$22)^('MF Releasing'!CH$3-1)))*$C38)</f>
        <v/>
      </c>
      <c r="CI38" s="149" t="str">
        <f>IF($B38=0,"",('MF Rollover'!CH38*($P38*(1+'Property Summary'!$L$22)^('MF Releasing'!CI$3-1)))*$C38)</f>
        <v/>
      </c>
      <c r="CJ38" s="149" t="str">
        <f>IF($B38=0,"",('MF Rollover'!CI38*($P38*(1+'Property Summary'!$L$22)^('MF Releasing'!CJ$3-1)))*$C38)</f>
        <v/>
      </c>
      <c r="CK38" s="149" t="str">
        <f>IF($B38=0,"",('MF Rollover'!CJ38*($P38*(1+'Property Summary'!$L$22)^('MF Releasing'!CK$3-1)))*$C38)</f>
        <v/>
      </c>
      <c r="CL38" s="149" t="str">
        <f>IF($B38=0,"",('MF Rollover'!CK38*($P38*(1+'Property Summary'!$L$22)^('MF Releasing'!CL$3-1)))*$C38)</f>
        <v/>
      </c>
      <c r="CM38" s="149" t="str">
        <f>IF($B38=0,"",('MF Rollover'!CL38*($P38*(1+'Property Summary'!$L$22)^('MF Releasing'!CM$3-1)))*$C38)</f>
        <v/>
      </c>
      <c r="CN38" s="149" t="str">
        <f>IF($B38=0,"",('MF Rollover'!CM38*($P38*(1+'Property Summary'!$L$22)^('MF Releasing'!CN$3-1)))*$C38)</f>
        <v/>
      </c>
      <c r="CO38" s="149" t="str">
        <f>IF($B38=0,"",('MF Rollover'!CN38*($P38*(1+'Property Summary'!$L$22)^('MF Releasing'!CO$3-1)))*$C38)</f>
        <v/>
      </c>
      <c r="CP38" s="149" t="str">
        <f>IF($B38=0,"",('MF Rollover'!CO38*($P38*(1+'Property Summary'!$L$22)^('MF Releasing'!CP$3-1)))*$C38)</f>
        <v/>
      </c>
      <c r="CQ38" s="149" t="str">
        <f>IF($B38=0,"",('MF Rollover'!CP38*($P38*(1+'Property Summary'!$L$22)^('MF Releasing'!CQ$3-1)))*$C38)</f>
        <v/>
      </c>
      <c r="CR38" s="149" t="str">
        <f>IF($B38=0,"",('MF Rollover'!CQ38*($P38*(1+'Property Summary'!$L$22)^('MF Releasing'!CR$3-1)))*$C38)</f>
        <v/>
      </c>
      <c r="CS38" s="149" t="str">
        <f>IF($B38=0,"",('MF Rollover'!CR38*($P38*(1+'Property Summary'!$L$22)^('MF Releasing'!CS$3-1)))*$C38)</f>
        <v/>
      </c>
      <c r="CT38" s="149" t="str">
        <f>IF($B38=0,"",('MF Rollover'!CS38*($P38*(1+'Property Summary'!$L$22)^('MF Releasing'!CT$3-1)))*$C38)</f>
        <v/>
      </c>
      <c r="CU38" s="149" t="str">
        <f>IF($B38=0,"",('MF Rollover'!CT38*($P38*(1+'Property Summary'!$L$22)^('MF Releasing'!CU$3-1)))*$C38)</f>
        <v/>
      </c>
      <c r="CV38" s="149" t="str">
        <f>IF($B38=0,"",('MF Rollover'!CU38*($P38*(1+'Property Summary'!$L$22)^('MF Releasing'!CV$3-1)))*$C38)</f>
        <v/>
      </c>
      <c r="CW38" s="149" t="str">
        <f>IF($B38=0,"",('MF Rollover'!CV38*($P38*(1+'Property Summary'!$L$22)^('MF Releasing'!CW$3-1)))*$C38)</f>
        <v/>
      </c>
      <c r="CX38" s="149" t="str">
        <f>IF($B38=0,"",('MF Rollover'!CW38*($P38*(1+'Property Summary'!$L$22)^('MF Releasing'!CX$3-1)))*$C38)</f>
        <v/>
      </c>
      <c r="CY38" s="149" t="str">
        <f>IF($B38=0,"",('MF Rollover'!CX38*($P38*(1+'Property Summary'!$L$22)^('MF Releasing'!CY$3-1)))*$C38)</f>
        <v/>
      </c>
      <c r="CZ38" s="149" t="str">
        <f>IF($B38=0,"",('MF Rollover'!CY38*($P38*(1+'Property Summary'!$L$22)^('MF Releasing'!CZ$3-1)))*$C38)</f>
        <v/>
      </c>
      <c r="DA38" s="149" t="str">
        <f>IF($B38=0,"",('MF Rollover'!CZ38*($P38*(1+'Property Summary'!$L$22)^('MF Releasing'!DA$3-1)))*$C38)</f>
        <v/>
      </c>
      <c r="DB38" s="149" t="str">
        <f>IF($B38=0,"",('MF Rollover'!DA38*($P38*(1+'Property Summary'!$L$22)^('MF Releasing'!DB$3-1)))*$C38)</f>
        <v/>
      </c>
      <c r="DC38" s="149" t="str">
        <f>IF($B38=0,"",('MF Rollover'!DB38*($P38*(1+'Property Summary'!$L$22)^('MF Releasing'!DC$3-1)))*$C38)</f>
        <v/>
      </c>
      <c r="DD38" s="149" t="str">
        <f>IF($B38=0,"",('MF Rollover'!DC38*($P38*(1+'Property Summary'!$L$22)^('MF Releasing'!DD$3-1)))*$C38)</f>
        <v/>
      </c>
      <c r="DE38" s="149" t="str">
        <f>IF($B38=0,"",('MF Rollover'!DD38*($P38*(1+'Property Summary'!$L$22)^('MF Releasing'!DE$3-1)))*$C38)</f>
        <v/>
      </c>
      <c r="DF38" s="149" t="str">
        <f>IF($B38=0,"",('MF Rollover'!DE38*($P38*(1+'Property Summary'!$L$22)^('MF Releasing'!DF$3-1)))*$C38)</f>
        <v/>
      </c>
      <c r="DG38" s="149" t="str">
        <f>IF($B38=0,"",('MF Rollover'!DF38*($P38*(1+'Property Summary'!$L$22)^('MF Releasing'!DG$3-1)))*$C38)</f>
        <v/>
      </c>
      <c r="DH38" s="149" t="str">
        <f>IF($B38=0,"",('MF Rollover'!DG38*($P38*(1+'Property Summary'!$L$22)^('MF Releasing'!DH$3-1)))*$C38)</f>
        <v/>
      </c>
      <c r="DI38" s="149" t="str">
        <f>IF($B38=0,"",('MF Rollover'!DH38*($P38*(1+'Property Summary'!$L$22)^('MF Releasing'!DI$3-1)))*$C38)</f>
        <v/>
      </c>
      <c r="DJ38" s="149" t="str">
        <f>IF($B38=0,"",('MF Rollover'!DI38*($P38*(1+'Property Summary'!$L$22)^('MF Releasing'!DJ$3-1)))*$C38)</f>
        <v/>
      </c>
      <c r="DK38" s="149" t="str">
        <f>IF($B38=0,"",('MF Rollover'!DJ38*($P38*(1+'Property Summary'!$L$22)^('MF Releasing'!DK$3-1)))*$C38)</f>
        <v/>
      </c>
      <c r="DL38" s="149" t="str">
        <f>IF($B38=0,"",('MF Rollover'!DK38*($P38*(1+'Property Summary'!$L$22)^('MF Releasing'!DL$3-1)))*$C38)</f>
        <v/>
      </c>
      <c r="DM38" s="149" t="str">
        <f>IF($B38=0,"",('MF Rollover'!DL38*($P38*(1+'Property Summary'!$L$22)^('MF Releasing'!DM$3-1)))*$C38)</f>
        <v/>
      </c>
      <c r="DN38" s="149" t="str">
        <f>IF($B38=0,"",('MF Rollover'!DM38*($P38*(1+'Property Summary'!$L$22)^('MF Releasing'!DN$3-1)))*$C38)</f>
        <v/>
      </c>
      <c r="DO38" s="149" t="str">
        <f>IF($B38=0,"",('MF Rollover'!DN38*($P38*(1+'Property Summary'!$L$22)^('MF Releasing'!DO$3-1)))*$C38)</f>
        <v/>
      </c>
      <c r="DP38" s="149" t="str">
        <f>IF($B38=0,"",('MF Rollover'!DO38*($P38*(1+'Property Summary'!$L$22)^('MF Releasing'!DP$3-1)))*$C38)</f>
        <v/>
      </c>
      <c r="DQ38" s="149" t="str">
        <f>IF($B38=0,"",('MF Rollover'!DP38*($P38*(1+'Property Summary'!$L$22)^('MF Releasing'!DQ$3-1)))*$C38)</f>
        <v/>
      </c>
      <c r="DR38" s="149" t="str">
        <f>IF($B38=0,"",('MF Rollover'!DQ38*($P38*(1+'Property Summary'!$L$22)^('MF Releasing'!DR$3-1)))*$C38)</f>
        <v/>
      </c>
      <c r="DS38" s="149" t="str">
        <f>IF($B38=0,"",('MF Rollover'!DR38*($P38*(1+'Property Summary'!$L$22)^('MF Releasing'!DS$3-1)))*$C38)</f>
        <v/>
      </c>
      <c r="DT38" s="149" t="str">
        <f>IF($B38=0,"",('MF Rollover'!DS38*($P38*(1+'Property Summary'!$L$22)^('MF Releasing'!DT$3-1)))*$C38)</f>
        <v/>
      </c>
      <c r="DU38" s="149" t="str">
        <f>IF($B38=0,"",('MF Rollover'!DT38*($P38*(1+'Property Summary'!$L$22)^('MF Releasing'!DU$3-1)))*$C38)</f>
        <v/>
      </c>
      <c r="DV38" s="149" t="str">
        <f>IF($B38=0,"",('MF Rollover'!DU38*($P38*(1+'Property Summary'!$L$22)^('MF Releasing'!DV$3-1)))*$C38)</f>
        <v/>
      </c>
      <c r="DW38" s="149" t="str">
        <f>IF($B38=0,"",('MF Rollover'!DV38*($P38*(1+'Property Summary'!$L$22)^('MF Releasing'!DW$3-1)))*$C38)</f>
        <v/>
      </c>
      <c r="DX38" s="149" t="str">
        <f>IF($B38=0,"",('MF Rollover'!DW38*($P38*(1+'Property Summary'!$L$22)^('MF Releasing'!DX$3-1)))*$C38)</f>
        <v/>
      </c>
      <c r="DY38" s="149" t="str">
        <f>IF($B38=0,"",('MF Rollover'!DX38*($P38*(1+'Property Summary'!$L$22)^('MF Releasing'!DY$3-1)))*$C38)</f>
        <v/>
      </c>
      <c r="DZ38" s="149" t="str">
        <f>IF($B38=0,"",('MF Rollover'!DY38*($P38*(1+'Property Summary'!$L$22)^('MF Releasing'!DZ$3-1)))*$C38)</f>
        <v/>
      </c>
      <c r="EA38" s="149" t="str">
        <f>IF($B38=0,"",('MF Rollover'!DZ38*($P38*(1+'Property Summary'!$L$22)^('MF Releasing'!EA$3-1)))*$C38)</f>
        <v/>
      </c>
      <c r="EB38" s="149" t="str">
        <f>IF($B38=0,"",('MF Rollover'!EA38*($P38*(1+'Property Summary'!$L$22)^('MF Releasing'!EB$3-1)))*$C38)</f>
        <v/>
      </c>
      <c r="EC38" s="149" t="str">
        <f>IF($B38=0,"",('MF Rollover'!EB38*($P38*(1+'Property Summary'!$L$22)^('MF Releasing'!EC$3-1)))*$C38)</f>
        <v/>
      </c>
      <c r="ED38" s="149" t="str">
        <f>IF($B38=0,"",('MF Rollover'!EC38*($P38*(1+'Property Summary'!$L$22)^('MF Releasing'!ED$3-1)))*$C38)</f>
        <v/>
      </c>
      <c r="EE38" s="149" t="str">
        <f>IF($B38=0,"",('MF Rollover'!ED38*($P38*(1+'Property Summary'!$L$22)^('MF Releasing'!EE$3-1)))*$C38)</f>
        <v/>
      </c>
      <c r="EF38" s="149" t="str">
        <f>IF($B38=0,"",('MF Rollover'!EE38*($P38*(1+'Property Summary'!$L$22)^('MF Releasing'!EF$3-1)))*$C38)</f>
        <v/>
      </c>
      <c r="EG38" s="149" t="str">
        <f>IF($B38=0,"",('MF Rollover'!EF38*($P38*(1+'Property Summary'!$L$22)^('MF Releasing'!EG$3-1)))*$C38)</f>
        <v/>
      </c>
      <c r="EH38" s="149" t="str">
        <f>IF($B38=0,"",('MF Rollover'!EG38*($P38*(1+'Property Summary'!$L$22)^('MF Releasing'!EH$3-1)))*$C38)</f>
        <v/>
      </c>
      <c r="EI38" s="149" t="str">
        <f>IF($B38=0,"",('MF Rollover'!EH38*($P38*(1+'Property Summary'!$L$22)^('MF Releasing'!EI$3-1)))*$C38)</f>
        <v/>
      </c>
      <c r="EJ38" s="149" t="str">
        <f>IF($B38=0,"",('MF Rollover'!EI38*($P38*(1+'Property Summary'!$L$22)^('MF Releasing'!EJ$3-1)))*$C38)</f>
        <v/>
      </c>
      <c r="EK38" s="149" t="str">
        <f>IF($B38=0,"",('MF Rollover'!EJ38*($P38*(1+'Property Summary'!$L$22)^('MF Releasing'!EK$3-1)))*$C38)</f>
        <v/>
      </c>
      <c r="EL38" s="149" t="str">
        <f>IF($B38=0,"",('MF Rollover'!EK38*($P38*(1+'Property Summary'!$L$22)^('MF Releasing'!EL$3-1)))*$C38)</f>
        <v/>
      </c>
      <c r="EM38" s="149" t="str">
        <f>IF($B38=0,"",('MF Rollover'!EL38*($P38*(1+'Property Summary'!$L$22)^('MF Releasing'!EM$3-1)))*$C38)</f>
        <v/>
      </c>
      <c r="EN38" s="149" t="str">
        <f>IF($B38=0,"",('MF Rollover'!EM38*($P38*(1+'Property Summary'!$L$22)^('MF Releasing'!EN$3-1)))*$C38)</f>
        <v/>
      </c>
      <c r="EO38" s="149" t="str">
        <f>IF($B38=0,"",('MF Rollover'!EN38*($P38*(1+'Property Summary'!$L$22)^('MF Releasing'!EO$3-1)))*$C38)</f>
        <v/>
      </c>
      <c r="EP38" s="149" t="str">
        <f>IF($B38=0,"",('MF Rollover'!EO38*($P38*(1+'Property Summary'!$L$22)^('MF Releasing'!EP$3-1)))*$C38)</f>
        <v/>
      </c>
      <c r="EQ38" s="149" t="str">
        <f>IF($B38=0,"",('MF Rollover'!EP38*($P38*(1+'Property Summary'!$L$22)^('MF Releasing'!EQ$3-1)))*$C38)</f>
        <v/>
      </c>
      <c r="ER38" s="149" t="str">
        <f>IF($B38=0,"",('MF Rollover'!EQ38*($P38*(1+'Property Summary'!$L$22)^('MF Releasing'!ER$3-1)))*$C38)</f>
        <v/>
      </c>
      <c r="ES38" s="149" t="str">
        <f>IF($B38=0,"",('MF Rollover'!ER38*($P38*(1+'Property Summary'!$L$22)^('MF Releasing'!ES$3-1)))*$C38)</f>
        <v/>
      </c>
      <c r="ET38" s="149" t="str">
        <f>IF($B38=0,"",('MF Rollover'!ES38*($P38*(1+'Property Summary'!$L$22)^('MF Releasing'!ET$3-1)))*$C38)</f>
        <v/>
      </c>
      <c r="EU38" s="149" t="str">
        <f>IF($B38=0,"",('MF Rollover'!ET38*($P38*(1+'Property Summary'!$L$22)^('MF Releasing'!EU$3-1)))*$C38)</f>
        <v/>
      </c>
      <c r="EV38" s="149" t="str">
        <f>IF($B38=0,"",('MF Rollover'!EU38*($P38*(1+'Property Summary'!$L$22)^('MF Releasing'!EV$3-1)))*$C38)</f>
        <v/>
      </c>
      <c r="EW38" s="149" t="str">
        <f>IF($B38=0,"",('MF Rollover'!EV38*($P38*(1+'Property Summary'!$L$22)^('MF Releasing'!EW$3-1)))*$C38)</f>
        <v/>
      </c>
      <c r="EX38" s="149" t="str">
        <f>IF($B38=0,"",('MF Rollover'!EW38*($P38*(1+'Property Summary'!$L$22)^('MF Releasing'!EX$3-1)))*$C38)</f>
        <v/>
      </c>
      <c r="EY38" s="149" t="str">
        <f>IF($B38=0,"",('MF Rollover'!EX38*($P38*(1+'Property Summary'!$L$22)^('MF Releasing'!EY$3-1)))*$C38)</f>
        <v/>
      </c>
      <c r="EZ38" s="149" t="str">
        <f>IF($B38=0,"",('MF Rollover'!EY38*($P38*(1+'Property Summary'!$L$22)^('MF Releasing'!EZ$3-1)))*$C38)</f>
        <v/>
      </c>
      <c r="FA38" s="149" t="str">
        <f>IF($B38=0,"",('MF Rollover'!EZ38*($P38*(1+'Property Summary'!$L$22)^('MF Releasing'!FA$3-1)))*$C38)</f>
        <v/>
      </c>
      <c r="FB38" s="149" t="str">
        <f>IF($B38=0,"",('MF Rollover'!FA38*($P38*(1+'Property Summary'!$L$22)^('MF Releasing'!FB$3-1)))*$C38)</f>
        <v/>
      </c>
      <c r="FC38" s="149" t="str">
        <f>IF($B38=0,"",('MF Rollover'!FB38*($P38*(1+'Property Summary'!$L$22)^('MF Releasing'!FC$3-1)))*$C38)</f>
        <v/>
      </c>
      <c r="FD38" s="149" t="str">
        <f>IF($B38=0,"",('MF Rollover'!FC38*($P38*(1+'Property Summary'!$L$22)^('MF Releasing'!FD$3-1)))*$C38)</f>
        <v/>
      </c>
      <c r="FE38" s="149" t="str">
        <f>IF($B38=0,"",('MF Rollover'!FD38*($P38*(1+'Property Summary'!$L$22)^('MF Releasing'!FE$3-1)))*$C38)</f>
        <v/>
      </c>
      <c r="FF38" s="149" t="str">
        <f>IF($B38=0,"",('MF Rollover'!FE38*($P38*(1+'Property Summary'!$L$22)^('MF Releasing'!FF$3-1)))*$C38)</f>
        <v/>
      </c>
      <c r="FG38" s="149" t="str">
        <f>IF($B38=0,"",('MF Rollover'!FF38*($P38*(1+'Property Summary'!$L$22)^('MF Releasing'!FG$3-1)))*$C38)</f>
        <v/>
      </c>
      <c r="FH38" s="149" t="str">
        <f>IF($B38=0,"",('MF Rollover'!FG38*($P38*(1+'Property Summary'!$L$22)^('MF Releasing'!FH$3-1)))*$C38)</f>
        <v/>
      </c>
      <c r="FI38" s="149" t="str">
        <f>IF($B38=0,"",('MF Rollover'!FH38*($P38*(1+'Property Summary'!$L$22)^('MF Releasing'!FI$3-1)))*$C38)</f>
        <v/>
      </c>
      <c r="FJ38" s="149" t="str">
        <f>IF($B38=0,"",('MF Rollover'!FI38*($P38*(1+'Property Summary'!$L$22)^('MF Releasing'!FJ$3-1)))*$C38)</f>
        <v/>
      </c>
      <c r="FK38" s="149" t="str">
        <f>IF($B38=0,"",('MF Rollover'!FJ38*($P38*(1+'Property Summary'!$L$22)^('MF Releasing'!FK$3-1)))*$C38)</f>
        <v/>
      </c>
      <c r="FL38" s="149" t="str">
        <f>IF($B38=0,"",('MF Rollover'!FK38*($P38*(1+'Property Summary'!$L$22)^('MF Releasing'!FL$3-1)))*$C38)</f>
        <v/>
      </c>
      <c r="FM38" s="149" t="str">
        <f>IF($B38=0,"",('MF Rollover'!FL38*($P38*(1+'Property Summary'!$L$22)^('MF Releasing'!FM$3-1)))*$C38)</f>
        <v/>
      </c>
      <c r="FN38" s="149" t="str">
        <f>IF($B38=0,"",('MF Rollover'!FM38*($P38*(1+'Property Summary'!$L$22)^('MF Releasing'!FN$3-1)))*$C38)</f>
        <v/>
      </c>
      <c r="FO38" s="149" t="str">
        <f>IF($B38=0,"",('MF Rollover'!FN38*($P38*(1+'Property Summary'!$L$22)^('MF Releasing'!FO$3-1)))*$C38)</f>
        <v/>
      </c>
      <c r="FP38" s="149" t="str">
        <f>IF($B38=0,"",('MF Rollover'!FO38*($P38*(1+'Property Summary'!$L$22)^('MF Releasing'!FP$3-1)))*$C38)</f>
        <v/>
      </c>
      <c r="FQ38" s="149" t="str">
        <f>IF($B38=0,"",('MF Rollover'!FP38*($P38*(1+'Property Summary'!$L$22)^('MF Releasing'!FQ$3-1)))*$C38)</f>
        <v/>
      </c>
      <c r="FR38" s="149" t="str">
        <f>IF($B38=0,"",('MF Rollover'!FQ38*($P38*(1+'Property Summary'!$L$22)^('MF Releasing'!FR$3-1)))*$C38)</f>
        <v/>
      </c>
      <c r="FS38" s="149" t="str">
        <f>IF($B38=0,"",('MF Rollover'!FR38*($P38*(1+'Property Summary'!$L$22)^('MF Releasing'!FS$3-1)))*$C38)</f>
        <v/>
      </c>
      <c r="FT38" s="149" t="str">
        <f>IF($B38=0,"",('MF Rollover'!FS38*($P38*(1+'Property Summary'!$L$22)^('MF Releasing'!FT$3-1)))*$C38)</f>
        <v/>
      </c>
      <c r="FU38" s="149" t="str">
        <f>IF($B38=0,"",('MF Rollover'!FT38*($P38*(1+'Property Summary'!$L$22)^('MF Releasing'!FU$3-1)))*$C38)</f>
        <v/>
      </c>
      <c r="FV38" s="149" t="str">
        <f>IF($B38=0,"",('MF Rollover'!FU38*($P38*(1+'Property Summary'!$L$22)^('MF Releasing'!FV$3-1)))*$C38)</f>
        <v/>
      </c>
      <c r="FW38" s="149" t="str">
        <f>IF($B38=0,"",('MF Rollover'!FV38*($P38*(1+'Property Summary'!$L$22)^('MF Releasing'!FW$3-1)))*$C38)</f>
        <v/>
      </c>
      <c r="FX38" s="149" t="str">
        <f>IF($B38=0,"",('MF Rollover'!FW38*($P38*(1+'Property Summary'!$L$22)^('MF Releasing'!FX$3-1)))*$C38)</f>
        <v/>
      </c>
      <c r="FY38" s="149" t="str">
        <f>IF($B38=0,"",('MF Rollover'!FX38*($P38*(1+'Property Summary'!$L$22)^('MF Releasing'!FY$3-1)))*$C38)</f>
        <v/>
      </c>
      <c r="FZ38" s="149" t="str">
        <f>IF($B38=0,"",('MF Rollover'!FY38*($P38*(1+'Property Summary'!$L$22)^('MF Releasing'!FZ$3-1)))*$C38)</f>
        <v/>
      </c>
      <c r="GA38" s="149" t="str">
        <f>IF($B38=0,"",('MF Rollover'!FZ38*($P38*(1+'Property Summary'!$L$22)^('MF Releasing'!GA$3-1)))*$C38)</f>
        <v/>
      </c>
      <c r="GB38" s="149" t="str">
        <f>IF($B38=0,"",('MF Rollover'!GA38*($P38*(1+'Property Summary'!$L$22)^('MF Releasing'!GB$3-1)))*$C38)</f>
        <v/>
      </c>
      <c r="GC38" s="149" t="str">
        <f>IF($B38=0,"",('MF Rollover'!GB38*($P38*(1+'Property Summary'!$L$22)^('MF Releasing'!GC$3-1)))*$C38)</f>
        <v/>
      </c>
      <c r="GD38" s="149" t="str">
        <f>IF($B38=0,"",('MF Rollover'!GC38*($P38*(1+'Property Summary'!$L$22)^('MF Releasing'!GD$3-1)))*$C38)</f>
        <v/>
      </c>
      <c r="GE38" s="149" t="str">
        <f>IF($B38=0,"",('MF Rollover'!GD38*($P38*(1+'Property Summary'!$L$22)^('MF Releasing'!GE$3-1)))*$C38)</f>
        <v/>
      </c>
      <c r="GF38" s="149" t="str">
        <f>IF($B38=0,"",('MF Rollover'!GE38*($P38*(1+'Property Summary'!$L$22)^('MF Releasing'!GF$3-1)))*$C38)</f>
        <v/>
      </c>
      <c r="GG38" s="149" t="str">
        <f>IF($B38=0,"",('MF Rollover'!GF38*($P38*(1+'Property Summary'!$L$22)^('MF Releasing'!GG$3-1)))*$C38)</f>
        <v/>
      </c>
      <c r="GH38" s="149" t="str">
        <f>IF($B38=0,"",('MF Rollover'!GG38*($P38*(1+'Property Summary'!$L$22)^('MF Releasing'!GH$3-1)))*$C38)</f>
        <v/>
      </c>
      <c r="GI38" s="149" t="str">
        <f>IF($B38=0,"",('MF Rollover'!GH38*($P38*(1+'Property Summary'!$L$22)^('MF Releasing'!GI$3-1)))*$C38)</f>
        <v/>
      </c>
      <c r="GJ38" s="149" t="str">
        <f>IF($B38=0,"",('MF Rollover'!GI38*($P38*(1+'Property Summary'!$L$22)^('MF Releasing'!GJ$3-1)))*$C38)</f>
        <v/>
      </c>
      <c r="GK38" s="149" t="str">
        <f>IF($B38=0,"",('MF Rollover'!GJ38*($P38*(1+'Property Summary'!$L$22)^('MF Releasing'!GK$3-1)))*$C38)</f>
        <v/>
      </c>
      <c r="GL38" s="149" t="str">
        <f>IF($B38=0,"",('MF Rollover'!GK38*($P38*(1+'Property Summary'!$L$22)^('MF Releasing'!GL$3-1)))*$C38)</f>
        <v/>
      </c>
      <c r="GM38" s="149" t="str">
        <f>IF($B38=0,"",('MF Rollover'!GL38*($P38*(1+'Property Summary'!$L$22)^('MF Releasing'!GM$3-1)))*$C38)</f>
        <v/>
      </c>
      <c r="GN38" s="149" t="str">
        <f>IF($B38=0,"",('MF Rollover'!GM38*($P38*(1+'Property Summary'!$L$22)^('MF Releasing'!GN$3-1)))*$C38)</f>
        <v/>
      </c>
      <c r="GO38" s="149" t="str">
        <f>IF($B38=0,"",('MF Rollover'!GN38*($P38*(1+'Property Summary'!$L$22)^('MF Releasing'!GO$3-1)))*$C38)</f>
        <v/>
      </c>
      <c r="GP38" s="149" t="str">
        <f>IF($B38=0,"",('MF Rollover'!GO38*($P38*(1+'Property Summary'!$L$22)^('MF Releasing'!GP$3-1)))*$C38)</f>
        <v/>
      </c>
    </row>
    <row r="39" spans="2:198" x14ac:dyDescent="0.3">
      <c r="B39" s="184">
        <f>'MF Rent Roll'!B38</f>
        <v>0</v>
      </c>
      <c r="C39" s="171">
        <f>'MF Rent Roll'!C38</f>
        <v>0</v>
      </c>
      <c r="D39" s="172">
        <f>'MF Rent Roll'!D38</f>
        <v>0</v>
      </c>
      <c r="E39" s="172">
        <f>'MF Rent Roll'!E38</f>
        <v>0</v>
      </c>
      <c r="F39" s="173">
        <f>'MF Rent Roll'!F38</f>
        <v>0</v>
      </c>
      <c r="G39" s="174">
        <f>'MF Rent Roll'!G38</f>
        <v>0</v>
      </c>
      <c r="H39" s="176">
        <f>'MF Rent Roll'!J38</f>
        <v>0</v>
      </c>
      <c r="I39" s="174">
        <f>'MF Rent Roll'!K38</f>
        <v>0</v>
      </c>
      <c r="J39" s="177">
        <f>'MF Rent Roll'!L38</f>
        <v>0</v>
      </c>
      <c r="K39" s="178">
        <f>'MF Rent Roll'!M38</f>
        <v>0</v>
      </c>
      <c r="L39" s="174">
        <f>'MF Rent Roll'!N38</f>
        <v>0</v>
      </c>
      <c r="M39" s="179">
        <f>'MF Rent Roll'!O38</f>
        <v>0</v>
      </c>
      <c r="N39" s="180" t="str">
        <f>'MF Rent Roll'!P38</f>
        <v/>
      </c>
      <c r="O39" s="181" t="str">
        <f>'MF Rent Roll'!Q38</f>
        <v/>
      </c>
      <c r="P39" s="104" t="str">
        <f>'MF Rent Roll'!R38</f>
        <v/>
      </c>
      <c r="S39" s="149" t="str">
        <f>IF($B39=0,"",('MF Rollover'!R39*($P39*(1+'Property Summary'!$L$22)^('MF Releasing'!S$3-1)))*$C39)</f>
        <v/>
      </c>
      <c r="T39" s="149" t="str">
        <f>IF($B39=0,"",('MF Rollover'!S39*($P39*(1+'Property Summary'!$L$22)^('MF Releasing'!T$3-1)))*$C39)</f>
        <v/>
      </c>
      <c r="U39" s="149" t="str">
        <f>IF($B39=0,"",('MF Rollover'!T39*($P39*(1+'Property Summary'!$L$22)^('MF Releasing'!U$3-1)))*$C39)</f>
        <v/>
      </c>
      <c r="V39" s="149" t="str">
        <f>IF($B39=0,"",('MF Rollover'!U39*($P39*(1+'Property Summary'!$L$22)^('MF Releasing'!V$3-1)))*$C39)</f>
        <v/>
      </c>
      <c r="W39" s="149" t="str">
        <f>IF($B39=0,"",('MF Rollover'!V39*($P39*(1+'Property Summary'!$L$22)^('MF Releasing'!W$3-1)))*$C39)</f>
        <v/>
      </c>
      <c r="X39" s="149" t="str">
        <f>IF($B39=0,"",('MF Rollover'!W39*($P39*(1+'Property Summary'!$L$22)^('MF Releasing'!X$3-1)))*$C39)</f>
        <v/>
      </c>
      <c r="Y39" s="149" t="str">
        <f>IF($B39=0,"",('MF Rollover'!X39*($P39*(1+'Property Summary'!$L$22)^('MF Releasing'!Y$3-1)))*$C39)</f>
        <v/>
      </c>
      <c r="Z39" s="149" t="str">
        <f>IF($B39=0,"",('MF Rollover'!Y39*($P39*(1+'Property Summary'!$L$22)^('MF Releasing'!Z$3-1)))*$C39)</f>
        <v/>
      </c>
      <c r="AA39" s="149" t="str">
        <f>IF($B39=0,"",('MF Rollover'!Z39*($P39*(1+'Property Summary'!$L$22)^('MF Releasing'!AA$3-1)))*$C39)</f>
        <v/>
      </c>
      <c r="AB39" s="149" t="str">
        <f>IF($B39=0,"",('MF Rollover'!AA39*($P39*(1+'Property Summary'!$L$22)^('MF Releasing'!AB$3-1)))*$C39)</f>
        <v/>
      </c>
      <c r="AC39" s="149" t="str">
        <f>IF($B39=0,"",('MF Rollover'!AB39*($P39*(1+'Property Summary'!$L$22)^('MF Releasing'!AC$3-1)))*$C39)</f>
        <v/>
      </c>
      <c r="AD39" s="149" t="str">
        <f>IF($B39=0,"",('MF Rollover'!AC39*($P39*(1+'Property Summary'!$L$22)^('MF Releasing'!AD$3-1)))*$C39)</f>
        <v/>
      </c>
      <c r="AE39" s="149" t="str">
        <f>IF($B39=0,"",('MF Rollover'!AD39*($P39*(1+'Property Summary'!$L$22)^('MF Releasing'!AE$3-1)))*$C39)</f>
        <v/>
      </c>
      <c r="AF39" s="149" t="str">
        <f>IF($B39=0,"",('MF Rollover'!AE39*($P39*(1+'Property Summary'!$L$22)^('MF Releasing'!AF$3-1)))*$C39)</f>
        <v/>
      </c>
      <c r="AG39" s="149" t="str">
        <f>IF($B39=0,"",('MF Rollover'!AF39*($P39*(1+'Property Summary'!$L$22)^('MF Releasing'!AG$3-1)))*$C39)</f>
        <v/>
      </c>
      <c r="AH39" s="149" t="str">
        <f>IF($B39=0,"",('MF Rollover'!AG39*($P39*(1+'Property Summary'!$L$22)^('MF Releasing'!AH$3-1)))*$C39)</f>
        <v/>
      </c>
      <c r="AI39" s="149" t="str">
        <f>IF($B39=0,"",('MF Rollover'!AH39*($P39*(1+'Property Summary'!$L$22)^('MF Releasing'!AI$3-1)))*$C39)</f>
        <v/>
      </c>
      <c r="AJ39" s="149" t="str">
        <f>IF($B39=0,"",('MF Rollover'!AI39*($P39*(1+'Property Summary'!$L$22)^('MF Releasing'!AJ$3-1)))*$C39)</f>
        <v/>
      </c>
      <c r="AK39" s="149" t="str">
        <f>IF($B39=0,"",('MF Rollover'!AJ39*($P39*(1+'Property Summary'!$L$22)^('MF Releasing'!AK$3-1)))*$C39)</f>
        <v/>
      </c>
      <c r="AL39" s="149" t="str">
        <f>IF($B39=0,"",('MF Rollover'!AK39*($P39*(1+'Property Summary'!$L$22)^('MF Releasing'!AL$3-1)))*$C39)</f>
        <v/>
      </c>
      <c r="AM39" s="149" t="str">
        <f>IF($B39=0,"",('MF Rollover'!AL39*($P39*(1+'Property Summary'!$L$22)^('MF Releasing'!AM$3-1)))*$C39)</f>
        <v/>
      </c>
      <c r="AN39" s="149" t="str">
        <f>IF($B39=0,"",('MF Rollover'!AM39*($P39*(1+'Property Summary'!$L$22)^('MF Releasing'!AN$3-1)))*$C39)</f>
        <v/>
      </c>
      <c r="AO39" s="149" t="str">
        <f>IF($B39=0,"",('MF Rollover'!AN39*($P39*(1+'Property Summary'!$L$22)^('MF Releasing'!AO$3-1)))*$C39)</f>
        <v/>
      </c>
      <c r="AP39" s="149" t="str">
        <f>IF($B39=0,"",('MF Rollover'!AO39*($P39*(1+'Property Summary'!$L$22)^('MF Releasing'!AP$3-1)))*$C39)</f>
        <v/>
      </c>
      <c r="AQ39" s="149" t="str">
        <f>IF($B39=0,"",('MF Rollover'!AP39*($P39*(1+'Property Summary'!$L$22)^('MF Releasing'!AQ$3-1)))*$C39)</f>
        <v/>
      </c>
      <c r="AR39" s="149" t="str">
        <f>IF($B39=0,"",('MF Rollover'!AQ39*($P39*(1+'Property Summary'!$L$22)^('MF Releasing'!AR$3-1)))*$C39)</f>
        <v/>
      </c>
      <c r="AS39" s="149" t="str">
        <f>IF($B39=0,"",('MF Rollover'!AR39*($P39*(1+'Property Summary'!$L$22)^('MF Releasing'!AS$3-1)))*$C39)</f>
        <v/>
      </c>
      <c r="AT39" s="149" t="str">
        <f>IF($B39=0,"",('MF Rollover'!AS39*($P39*(1+'Property Summary'!$L$22)^('MF Releasing'!AT$3-1)))*$C39)</f>
        <v/>
      </c>
      <c r="AU39" s="149" t="str">
        <f>IF($B39=0,"",('MF Rollover'!AT39*($P39*(1+'Property Summary'!$L$22)^('MF Releasing'!AU$3-1)))*$C39)</f>
        <v/>
      </c>
      <c r="AV39" s="149" t="str">
        <f>IF($B39=0,"",('MF Rollover'!AU39*($P39*(1+'Property Summary'!$L$22)^('MF Releasing'!AV$3-1)))*$C39)</f>
        <v/>
      </c>
      <c r="AW39" s="149" t="str">
        <f>IF($B39=0,"",('MF Rollover'!AV39*($P39*(1+'Property Summary'!$L$22)^('MF Releasing'!AW$3-1)))*$C39)</f>
        <v/>
      </c>
      <c r="AX39" s="149" t="str">
        <f>IF($B39=0,"",('MF Rollover'!AW39*($P39*(1+'Property Summary'!$L$22)^('MF Releasing'!AX$3-1)))*$C39)</f>
        <v/>
      </c>
      <c r="AY39" s="149" t="str">
        <f>IF($B39=0,"",('MF Rollover'!AX39*($P39*(1+'Property Summary'!$L$22)^('MF Releasing'!AY$3-1)))*$C39)</f>
        <v/>
      </c>
      <c r="AZ39" s="149" t="str">
        <f>IF($B39=0,"",('MF Rollover'!AY39*($P39*(1+'Property Summary'!$L$22)^('MF Releasing'!AZ$3-1)))*$C39)</f>
        <v/>
      </c>
      <c r="BA39" s="149" t="str">
        <f>IF($B39=0,"",('MF Rollover'!AZ39*($P39*(1+'Property Summary'!$L$22)^('MF Releasing'!BA$3-1)))*$C39)</f>
        <v/>
      </c>
      <c r="BB39" s="149" t="str">
        <f>IF($B39=0,"",('MF Rollover'!BA39*($P39*(1+'Property Summary'!$L$22)^('MF Releasing'!BB$3-1)))*$C39)</f>
        <v/>
      </c>
      <c r="BC39" s="149" t="str">
        <f>IF($B39=0,"",('MF Rollover'!BB39*($P39*(1+'Property Summary'!$L$22)^('MF Releasing'!BC$3-1)))*$C39)</f>
        <v/>
      </c>
      <c r="BD39" s="149" t="str">
        <f>IF($B39=0,"",('MF Rollover'!BC39*($P39*(1+'Property Summary'!$L$22)^('MF Releasing'!BD$3-1)))*$C39)</f>
        <v/>
      </c>
      <c r="BE39" s="149" t="str">
        <f>IF($B39=0,"",('MF Rollover'!BD39*($P39*(1+'Property Summary'!$L$22)^('MF Releasing'!BE$3-1)))*$C39)</f>
        <v/>
      </c>
      <c r="BF39" s="149" t="str">
        <f>IF($B39=0,"",('MF Rollover'!BE39*($P39*(1+'Property Summary'!$L$22)^('MF Releasing'!BF$3-1)))*$C39)</f>
        <v/>
      </c>
      <c r="BG39" s="149" t="str">
        <f>IF($B39=0,"",('MF Rollover'!BF39*($P39*(1+'Property Summary'!$L$22)^('MF Releasing'!BG$3-1)))*$C39)</f>
        <v/>
      </c>
      <c r="BH39" s="149" t="str">
        <f>IF($B39=0,"",('MF Rollover'!BG39*($P39*(1+'Property Summary'!$L$22)^('MF Releasing'!BH$3-1)))*$C39)</f>
        <v/>
      </c>
      <c r="BI39" s="149" t="str">
        <f>IF($B39=0,"",('MF Rollover'!BH39*($P39*(1+'Property Summary'!$L$22)^('MF Releasing'!BI$3-1)))*$C39)</f>
        <v/>
      </c>
      <c r="BJ39" s="149" t="str">
        <f>IF($B39=0,"",('MF Rollover'!BI39*($P39*(1+'Property Summary'!$L$22)^('MF Releasing'!BJ$3-1)))*$C39)</f>
        <v/>
      </c>
      <c r="BK39" s="149" t="str">
        <f>IF($B39=0,"",('MF Rollover'!BJ39*($P39*(1+'Property Summary'!$L$22)^('MF Releasing'!BK$3-1)))*$C39)</f>
        <v/>
      </c>
      <c r="BL39" s="149" t="str">
        <f>IF($B39=0,"",('MF Rollover'!BK39*($P39*(1+'Property Summary'!$L$22)^('MF Releasing'!BL$3-1)))*$C39)</f>
        <v/>
      </c>
      <c r="BM39" s="149" t="str">
        <f>IF($B39=0,"",('MF Rollover'!BL39*($P39*(1+'Property Summary'!$L$22)^('MF Releasing'!BM$3-1)))*$C39)</f>
        <v/>
      </c>
      <c r="BN39" s="149" t="str">
        <f>IF($B39=0,"",('MF Rollover'!BM39*($P39*(1+'Property Summary'!$L$22)^('MF Releasing'!BN$3-1)))*$C39)</f>
        <v/>
      </c>
      <c r="BO39" s="149" t="str">
        <f>IF($B39=0,"",('MF Rollover'!BN39*($P39*(1+'Property Summary'!$L$22)^('MF Releasing'!BO$3-1)))*$C39)</f>
        <v/>
      </c>
      <c r="BP39" s="149" t="str">
        <f>IF($B39=0,"",('MF Rollover'!BO39*($P39*(1+'Property Summary'!$L$22)^('MF Releasing'!BP$3-1)))*$C39)</f>
        <v/>
      </c>
      <c r="BQ39" s="149" t="str">
        <f>IF($B39=0,"",('MF Rollover'!BP39*($P39*(1+'Property Summary'!$L$22)^('MF Releasing'!BQ$3-1)))*$C39)</f>
        <v/>
      </c>
      <c r="BR39" s="149" t="str">
        <f>IF($B39=0,"",('MF Rollover'!BQ39*($P39*(1+'Property Summary'!$L$22)^('MF Releasing'!BR$3-1)))*$C39)</f>
        <v/>
      </c>
      <c r="BS39" s="149" t="str">
        <f>IF($B39=0,"",('MF Rollover'!BR39*($P39*(1+'Property Summary'!$L$22)^('MF Releasing'!BS$3-1)))*$C39)</f>
        <v/>
      </c>
      <c r="BT39" s="149" t="str">
        <f>IF($B39=0,"",('MF Rollover'!BS39*($P39*(1+'Property Summary'!$L$22)^('MF Releasing'!BT$3-1)))*$C39)</f>
        <v/>
      </c>
      <c r="BU39" s="149" t="str">
        <f>IF($B39=0,"",('MF Rollover'!BT39*($P39*(1+'Property Summary'!$L$22)^('MF Releasing'!BU$3-1)))*$C39)</f>
        <v/>
      </c>
      <c r="BV39" s="149" t="str">
        <f>IF($B39=0,"",('MF Rollover'!BU39*($P39*(1+'Property Summary'!$L$22)^('MF Releasing'!BV$3-1)))*$C39)</f>
        <v/>
      </c>
      <c r="BW39" s="149" t="str">
        <f>IF($B39=0,"",('MF Rollover'!BV39*($P39*(1+'Property Summary'!$L$22)^('MF Releasing'!BW$3-1)))*$C39)</f>
        <v/>
      </c>
      <c r="BX39" s="149" t="str">
        <f>IF($B39=0,"",('MF Rollover'!BW39*($P39*(1+'Property Summary'!$L$22)^('MF Releasing'!BX$3-1)))*$C39)</f>
        <v/>
      </c>
      <c r="BY39" s="149" t="str">
        <f>IF($B39=0,"",('MF Rollover'!BX39*($P39*(1+'Property Summary'!$L$22)^('MF Releasing'!BY$3-1)))*$C39)</f>
        <v/>
      </c>
      <c r="BZ39" s="149" t="str">
        <f>IF($B39=0,"",('MF Rollover'!BY39*($P39*(1+'Property Summary'!$L$22)^('MF Releasing'!BZ$3-1)))*$C39)</f>
        <v/>
      </c>
      <c r="CA39" s="149" t="str">
        <f>IF($B39=0,"",('MF Rollover'!BZ39*($P39*(1+'Property Summary'!$L$22)^('MF Releasing'!CA$3-1)))*$C39)</f>
        <v/>
      </c>
      <c r="CB39" s="149" t="str">
        <f>IF($B39=0,"",('MF Rollover'!CA39*($P39*(1+'Property Summary'!$L$22)^('MF Releasing'!CB$3-1)))*$C39)</f>
        <v/>
      </c>
      <c r="CC39" s="149" t="str">
        <f>IF($B39=0,"",('MF Rollover'!CB39*($P39*(1+'Property Summary'!$L$22)^('MF Releasing'!CC$3-1)))*$C39)</f>
        <v/>
      </c>
      <c r="CD39" s="149" t="str">
        <f>IF($B39=0,"",('MF Rollover'!CC39*($P39*(1+'Property Summary'!$L$22)^('MF Releasing'!CD$3-1)))*$C39)</f>
        <v/>
      </c>
      <c r="CE39" s="149" t="str">
        <f>IF($B39=0,"",('MF Rollover'!CD39*($P39*(1+'Property Summary'!$L$22)^('MF Releasing'!CE$3-1)))*$C39)</f>
        <v/>
      </c>
      <c r="CF39" s="149" t="str">
        <f>IF($B39=0,"",('MF Rollover'!CE39*($P39*(1+'Property Summary'!$L$22)^('MF Releasing'!CF$3-1)))*$C39)</f>
        <v/>
      </c>
      <c r="CG39" s="149" t="str">
        <f>IF($B39=0,"",('MF Rollover'!CF39*($P39*(1+'Property Summary'!$L$22)^('MF Releasing'!CG$3-1)))*$C39)</f>
        <v/>
      </c>
      <c r="CH39" s="149" t="str">
        <f>IF($B39=0,"",('MF Rollover'!CG39*($P39*(1+'Property Summary'!$L$22)^('MF Releasing'!CH$3-1)))*$C39)</f>
        <v/>
      </c>
      <c r="CI39" s="149" t="str">
        <f>IF($B39=0,"",('MF Rollover'!CH39*($P39*(1+'Property Summary'!$L$22)^('MF Releasing'!CI$3-1)))*$C39)</f>
        <v/>
      </c>
      <c r="CJ39" s="149" t="str">
        <f>IF($B39=0,"",('MF Rollover'!CI39*($P39*(1+'Property Summary'!$L$22)^('MF Releasing'!CJ$3-1)))*$C39)</f>
        <v/>
      </c>
      <c r="CK39" s="149" t="str">
        <f>IF($B39=0,"",('MF Rollover'!CJ39*($P39*(1+'Property Summary'!$L$22)^('MF Releasing'!CK$3-1)))*$C39)</f>
        <v/>
      </c>
      <c r="CL39" s="149" t="str">
        <f>IF($B39=0,"",('MF Rollover'!CK39*($P39*(1+'Property Summary'!$L$22)^('MF Releasing'!CL$3-1)))*$C39)</f>
        <v/>
      </c>
      <c r="CM39" s="149" t="str">
        <f>IF($B39=0,"",('MF Rollover'!CL39*($P39*(1+'Property Summary'!$L$22)^('MF Releasing'!CM$3-1)))*$C39)</f>
        <v/>
      </c>
      <c r="CN39" s="149" t="str">
        <f>IF($B39=0,"",('MF Rollover'!CM39*($P39*(1+'Property Summary'!$L$22)^('MF Releasing'!CN$3-1)))*$C39)</f>
        <v/>
      </c>
      <c r="CO39" s="149" t="str">
        <f>IF($B39=0,"",('MF Rollover'!CN39*($P39*(1+'Property Summary'!$L$22)^('MF Releasing'!CO$3-1)))*$C39)</f>
        <v/>
      </c>
      <c r="CP39" s="149" t="str">
        <f>IF($B39=0,"",('MF Rollover'!CO39*($P39*(1+'Property Summary'!$L$22)^('MF Releasing'!CP$3-1)))*$C39)</f>
        <v/>
      </c>
      <c r="CQ39" s="149" t="str">
        <f>IF($B39=0,"",('MF Rollover'!CP39*($P39*(1+'Property Summary'!$L$22)^('MF Releasing'!CQ$3-1)))*$C39)</f>
        <v/>
      </c>
      <c r="CR39" s="149" t="str">
        <f>IF($B39=0,"",('MF Rollover'!CQ39*($P39*(1+'Property Summary'!$L$22)^('MF Releasing'!CR$3-1)))*$C39)</f>
        <v/>
      </c>
      <c r="CS39" s="149" t="str">
        <f>IF($B39=0,"",('MF Rollover'!CR39*($P39*(1+'Property Summary'!$L$22)^('MF Releasing'!CS$3-1)))*$C39)</f>
        <v/>
      </c>
      <c r="CT39" s="149" t="str">
        <f>IF($B39=0,"",('MF Rollover'!CS39*($P39*(1+'Property Summary'!$L$22)^('MF Releasing'!CT$3-1)))*$C39)</f>
        <v/>
      </c>
      <c r="CU39" s="149" t="str">
        <f>IF($B39=0,"",('MF Rollover'!CT39*($P39*(1+'Property Summary'!$L$22)^('MF Releasing'!CU$3-1)))*$C39)</f>
        <v/>
      </c>
      <c r="CV39" s="149" t="str">
        <f>IF($B39=0,"",('MF Rollover'!CU39*($P39*(1+'Property Summary'!$L$22)^('MF Releasing'!CV$3-1)))*$C39)</f>
        <v/>
      </c>
      <c r="CW39" s="149" t="str">
        <f>IF($B39=0,"",('MF Rollover'!CV39*($P39*(1+'Property Summary'!$L$22)^('MF Releasing'!CW$3-1)))*$C39)</f>
        <v/>
      </c>
      <c r="CX39" s="149" t="str">
        <f>IF($B39=0,"",('MF Rollover'!CW39*($P39*(1+'Property Summary'!$L$22)^('MF Releasing'!CX$3-1)))*$C39)</f>
        <v/>
      </c>
      <c r="CY39" s="149" t="str">
        <f>IF($B39=0,"",('MF Rollover'!CX39*($P39*(1+'Property Summary'!$L$22)^('MF Releasing'!CY$3-1)))*$C39)</f>
        <v/>
      </c>
      <c r="CZ39" s="149" t="str">
        <f>IF($B39=0,"",('MF Rollover'!CY39*($P39*(1+'Property Summary'!$L$22)^('MF Releasing'!CZ$3-1)))*$C39)</f>
        <v/>
      </c>
      <c r="DA39" s="149" t="str">
        <f>IF($B39=0,"",('MF Rollover'!CZ39*($P39*(1+'Property Summary'!$L$22)^('MF Releasing'!DA$3-1)))*$C39)</f>
        <v/>
      </c>
      <c r="DB39" s="149" t="str">
        <f>IF($B39=0,"",('MF Rollover'!DA39*($P39*(1+'Property Summary'!$L$22)^('MF Releasing'!DB$3-1)))*$C39)</f>
        <v/>
      </c>
      <c r="DC39" s="149" t="str">
        <f>IF($B39=0,"",('MF Rollover'!DB39*($P39*(1+'Property Summary'!$L$22)^('MF Releasing'!DC$3-1)))*$C39)</f>
        <v/>
      </c>
      <c r="DD39" s="149" t="str">
        <f>IF($B39=0,"",('MF Rollover'!DC39*($P39*(1+'Property Summary'!$L$22)^('MF Releasing'!DD$3-1)))*$C39)</f>
        <v/>
      </c>
      <c r="DE39" s="149" t="str">
        <f>IF($B39=0,"",('MF Rollover'!DD39*($P39*(1+'Property Summary'!$L$22)^('MF Releasing'!DE$3-1)))*$C39)</f>
        <v/>
      </c>
      <c r="DF39" s="149" t="str">
        <f>IF($B39=0,"",('MF Rollover'!DE39*($P39*(1+'Property Summary'!$L$22)^('MF Releasing'!DF$3-1)))*$C39)</f>
        <v/>
      </c>
      <c r="DG39" s="149" t="str">
        <f>IF($B39=0,"",('MF Rollover'!DF39*($P39*(1+'Property Summary'!$L$22)^('MF Releasing'!DG$3-1)))*$C39)</f>
        <v/>
      </c>
      <c r="DH39" s="149" t="str">
        <f>IF($B39=0,"",('MF Rollover'!DG39*($P39*(1+'Property Summary'!$L$22)^('MF Releasing'!DH$3-1)))*$C39)</f>
        <v/>
      </c>
      <c r="DI39" s="149" t="str">
        <f>IF($B39=0,"",('MF Rollover'!DH39*($P39*(1+'Property Summary'!$L$22)^('MF Releasing'!DI$3-1)))*$C39)</f>
        <v/>
      </c>
      <c r="DJ39" s="149" t="str">
        <f>IF($B39=0,"",('MF Rollover'!DI39*($P39*(1+'Property Summary'!$L$22)^('MF Releasing'!DJ$3-1)))*$C39)</f>
        <v/>
      </c>
      <c r="DK39" s="149" t="str">
        <f>IF($B39=0,"",('MF Rollover'!DJ39*($P39*(1+'Property Summary'!$L$22)^('MF Releasing'!DK$3-1)))*$C39)</f>
        <v/>
      </c>
      <c r="DL39" s="149" t="str">
        <f>IF($B39=0,"",('MF Rollover'!DK39*($P39*(1+'Property Summary'!$L$22)^('MF Releasing'!DL$3-1)))*$C39)</f>
        <v/>
      </c>
      <c r="DM39" s="149" t="str">
        <f>IF($B39=0,"",('MF Rollover'!DL39*($P39*(1+'Property Summary'!$L$22)^('MF Releasing'!DM$3-1)))*$C39)</f>
        <v/>
      </c>
      <c r="DN39" s="149" t="str">
        <f>IF($B39=0,"",('MF Rollover'!DM39*($P39*(1+'Property Summary'!$L$22)^('MF Releasing'!DN$3-1)))*$C39)</f>
        <v/>
      </c>
      <c r="DO39" s="149" t="str">
        <f>IF($B39=0,"",('MF Rollover'!DN39*($P39*(1+'Property Summary'!$L$22)^('MF Releasing'!DO$3-1)))*$C39)</f>
        <v/>
      </c>
      <c r="DP39" s="149" t="str">
        <f>IF($B39=0,"",('MF Rollover'!DO39*($P39*(1+'Property Summary'!$L$22)^('MF Releasing'!DP$3-1)))*$C39)</f>
        <v/>
      </c>
      <c r="DQ39" s="149" t="str">
        <f>IF($B39=0,"",('MF Rollover'!DP39*($P39*(1+'Property Summary'!$L$22)^('MF Releasing'!DQ$3-1)))*$C39)</f>
        <v/>
      </c>
      <c r="DR39" s="149" t="str">
        <f>IF($B39=0,"",('MF Rollover'!DQ39*($P39*(1+'Property Summary'!$L$22)^('MF Releasing'!DR$3-1)))*$C39)</f>
        <v/>
      </c>
      <c r="DS39" s="149" t="str">
        <f>IF($B39=0,"",('MF Rollover'!DR39*($P39*(1+'Property Summary'!$L$22)^('MF Releasing'!DS$3-1)))*$C39)</f>
        <v/>
      </c>
      <c r="DT39" s="149" t="str">
        <f>IF($B39=0,"",('MF Rollover'!DS39*($P39*(1+'Property Summary'!$L$22)^('MF Releasing'!DT$3-1)))*$C39)</f>
        <v/>
      </c>
      <c r="DU39" s="149" t="str">
        <f>IF($B39=0,"",('MF Rollover'!DT39*($P39*(1+'Property Summary'!$L$22)^('MF Releasing'!DU$3-1)))*$C39)</f>
        <v/>
      </c>
      <c r="DV39" s="149" t="str">
        <f>IF($B39=0,"",('MF Rollover'!DU39*($P39*(1+'Property Summary'!$L$22)^('MF Releasing'!DV$3-1)))*$C39)</f>
        <v/>
      </c>
      <c r="DW39" s="149" t="str">
        <f>IF($B39=0,"",('MF Rollover'!DV39*($P39*(1+'Property Summary'!$L$22)^('MF Releasing'!DW$3-1)))*$C39)</f>
        <v/>
      </c>
      <c r="DX39" s="149" t="str">
        <f>IF($B39=0,"",('MF Rollover'!DW39*($P39*(1+'Property Summary'!$L$22)^('MF Releasing'!DX$3-1)))*$C39)</f>
        <v/>
      </c>
      <c r="DY39" s="149" t="str">
        <f>IF($B39=0,"",('MF Rollover'!DX39*($P39*(1+'Property Summary'!$L$22)^('MF Releasing'!DY$3-1)))*$C39)</f>
        <v/>
      </c>
      <c r="DZ39" s="149" t="str">
        <f>IF($B39=0,"",('MF Rollover'!DY39*($P39*(1+'Property Summary'!$L$22)^('MF Releasing'!DZ$3-1)))*$C39)</f>
        <v/>
      </c>
      <c r="EA39" s="149" t="str">
        <f>IF($B39=0,"",('MF Rollover'!DZ39*($P39*(1+'Property Summary'!$L$22)^('MF Releasing'!EA$3-1)))*$C39)</f>
        <v/>
      </c>
      <c r="EB39" s="149" t="str">
        <f>IF($B39=0,"",('MF Rollover'!EA39*($P39*(1+'Property Summary'!$L$22)^('MF Releasing'!EB$3-1)))*$C39)</f>
        <v/>
      </c>
      <c r="EC39" s="149" t="str">
        <f>IF($B39=0,"",('MF Rollover'!EB39*($P39*(1+'Property Summary'!$L$22)^('MF Releasing'!EC$3-1)))*$C39)</f>
        <v/>
      </c>
      <c r="ED39" s="149" t="str">
        <f>IF($B39=0,"",('MF Rollover'!EC39*($P39*(1+'Property Summary'!$L$22)^('MF Releasing'!ED$3-1)))*$C39)</f>
        <v/>
      </c>
      <c r="EE39" s="149" t="str">
        <f>IF($B39=0,"",('MF Rollover'!ED39*($P39*(1+'Property Summary'!$L$22)^('MF Releasing'!EE$3-1)))*$C39)</f>
        <v/>
      </c>
      <c r="EF39" s="149" t="str">
        <f>IF($B39=0,"",('MF Rollover'!EE39*($P39*(1+'Property Summary'!$L$22)^('MF Releasing'!EF$3-1)))*$C39)</f>
        <v/>
      </c>
      <c r="EG39" s="149" t="str">
        <f>IF($B39=0,"",('MF Rollover'!EF39*($P39*(1+'Property Summary'!$L$22)^('MF Releasing'!EG$3-1)))*$C39)</f>
        <v/>
      </c>
      <c r="EH39" s="149" t="str">
        <f>IF($B39=0,"",('MF Rollover'!EG39*($P39*(1+'Property Summary'!$L$22)^('MF Releasing'!EH$3-1)))*$C39)</f>
        <v/>
      </c>
      <c r="EI39" s="149" t="str">
        <f>IF($B39=0,"",('MF Rollover'!EH39*($P39*(1+'Property Summary'!$L$22)^('MF Releasing'!EI$3-1)))*$C39)</f>
        <v/>
      </c>
      <c r="EJ39" s="149" t="str">
        <f>IF($B39=0,"",('MF Rollover'!EI39*($P39*(1+'Property Summary'!$L$22)^('MF Releasing'!EJ$3-1)))*$C39)</f>
        <v/>
      </c>
      <c r="EK39" s="149" t="str">
        <f>IF($B39=0,"",('MF Rollover'!EJ39*($P39*(1+'Property Summary'!$L$22)^('MF Releasing'!EK$3-1)))*$C39)</f>
        <v/>
      </c>
      <c r="EL39" s="149" t="str">
        <f>IF($B39=0,"",('MF Rollover'!EK39*($P39*(1+'Property Summary'!$L$22)^('MF Releasing'!EL$3-1)))*$C39)</f>
        <v/>
      </c>
      <c r="EM39" s="149" t="str">
        <f>IF($B39=0,"",('MF Rollover'!EL39*($P39*(1+'Property Summary'!$L$22)^('MF Releasing'!EM$3-1)))*$C39)</f>
        <v/>
      </c>
      <c r="EN39" s="149" t="str">
        <f>IF($B39=0,"",('MF Rollover'!EM39*($P39*(1+'Property Summary'!$L$22)^('MF Releasing'!EN$3-1)))*$C39)</f>
        <v/>
      </c>
      <c r="EO39" s="149" t="str">
        <f>IF($B39=0,"",('MF Rollover'!EN39*($P39*(1+'Property Summary'!$L$22)^('MF Releasing'!EO$3-1)))*$C39)</f>
        <v/>
      </c>
      <c r="EP39" s="149" t="str">
        <f>IF($B39=0,"",('MF Rollover'!EO39*($P39*(1+'Property Summary'!$L$22)^('MF Releasing'!EP$3-1)))*$C39)</f>
        <v/>
      </c>
      <c r="EQ39" s="149" t="str">
        <f>IF($B39=0,"",('MF Rollover'!EP39*($P39*(1+'Property Summary'!$L$22)^('MF Releasing'!EQ$3-1)))*$C39)</f>
        <v/>
      </c>
      <c r="ER39" s="149" t="str">
        <f>IF($B39=0,"",('MF Rollover'!EQ39*($P39*(1+'Property Summary'!$L$22)^('MF Releasing'!ER$3-1)))*$C39)</f>
        <v/>
      </c>
      <c r="ES39" s="149" t="str">
        <f>IF($B39=0,"",('MF Rollover'!ER39*($P39*(1+'Property Summary'!$L$22)^('MF Releasing'!ES$3-1)))*$C39)</f>
        <v/>
      </c>
      <c r="ET39" s="149" t="str">
        <f>IF($B39=0,"",('MF Rollover'!ES39*($P39*(1+'Property Summary'!$L$22)^('MF Releasing'!ET$3-1)))*$C39)</f>
        <v/>
      </c>
      <c r="EU39" s="149" t="str">
        <f>IF($B39=0,"",('MF Rollover'!ET39*($P39*(1+'Property Summary'!$L$22)^('MF Releasing'!EU$3-1)))*$C39)</f>
        <v/>
      </c>
      <c r="EV39" s="149" t="str">
        <f>IF($B39=0,"",('MF Rollover'!EU39*($P39*(1+'Property Summary'!$L$22)^('MF Releasing'!EV$3-1)))*$C39)</f>
        <v/>
      </c>
      <c r="EW39" s="149" t="str">
        <f>IF($B39=0,"",('MF Rollover'!EV39*($P39*(1+'Property Summary'!$L$22)^('MF Releasing'!EW$3-1)))*$C39)</f>
        <v/>
      </c>
      <c r="EX39" s="149" t="str">
        <f>IF($B39=0,"",('MF Rollover'!EW39*($P39*(1+'Property Summary'!$L$22)^('MF Releasing'!EX$3-1)))*$C39)</f>
        <v/>
      </c>
      <c r="EY39" s="149" t="str">
        <f>IF($B39=0,"",('MF Rollover'!EX39*($P39*(1+'Property Summary'!$L$22)^('MF Releasing'!EY$3-1)))*$C39)</f>
        <v/>
      </c>
      <c r="EZ39" s="149" t="str">
        <f>IF($B39=0,"",('MF Rollover'!EY39*($P39*(1+'Property Summary'!$L$22)^('MF Releasing'!EZ$3-1)))*$C39)</f>
        <v/>
      </c>
      <c r="FA39" s="149" t="str">
        <f>IF($B39=0,"",('MF Rollover'!EZ39*($P39*(1+'Property Summary'!$L$22)^('MF Releasing'!FA$3-1)))*$C39)</f>
        <v/>
      </c>
      <c r="FB39" s="149" t="str">
        <f>IF($B39=0,"",('MF Rollover'!FA39*($P39*(1+'Property Summary'!$L$22)^('MF Releasing'!FB$3-1)))*$C39)</f>
        <v/>
      </c>
      <c r="FC39" s="149" t="str">
        <f>IF($B39=0,"",('MF Rollover'!FB39*($P39*(1+'Property Summary'!$L$22)^('MF Releasing'!FC$3-1)))*$C39)</f>
        <v/>
      </c>
      <c r="FD39" s="149" t="str">
        <f>IF($B39=0,"",('MF Rollover'!FC39*($P39*(1+'Property Summary'!$L$22)^('MF Releasing'!FD$3-1)))*$C39)</f>
        <v/>
      </c>
      <c r="FE39" s="149" t="str">
        <f>IF($B39=0,"",('MF Rollover'!FD39*($P39*(1+'Property Summary'!$L$22)^('MF Releasing'!FE$3-1)))*$C39)</f>
        <v/>
      </c>
      <c r="FF39" s="149" t="str">
        <f>IF($B39=0,"",('MF Rollover'!FE39*($P39*(1+'Property Summary'!$L$22)^('MF Releasing'!FF$3-1)))*$C39)</f>
        <v/>
      </c>
      <c r="FG39" s="149" t="str">
        <f>IF($B39=0,"",('MF Rollover'!FF39*($P39*(1+'Property Summary'!$L$22)^('MF Releasing'!FG$3-1)))*$C39)</f>
        <v/>
      </c>
      <c r="FH39" s="149" t="str">
        <f>IF($B39=0,"",('MF Rollover'!FG39*($P39*(1+'Property Summary'!$L$22)^('MF Releasing'!FH$3-1)))*$C39)</f>
        <v/>
      </c>
      <c r="FI39" s="149" t="str">
        <f>IF($B39=0,"",('MF Rollover'!FH39*($P39*(1+'Property Summary'!$L$22)^('MF Releasing'!FI$3-1)))*$C39)</f>
        <v/>
      </c>
      <c r="FJ39" s="149" t="str">
        <f>IF($B39=0,"",('MF Rollover'!FI39*($P39*(1+'Property Summary'!$L$22)^('MF Releasing'!FJ$3-1)))*$C39)</f>
        <v/>
      </c>
      <c r="FK39" s="149" t="str">
        <f>IF($B39=0,"",('MF Rollover'!FJ39*($P39*(1+'Property Summary'!$L$22)^('MF Releasing'!FK$3-1)))*$C39)</f>
        <v/>
      </c>
      <c r="FL39" s="149" t="str">
        <f>IF($B39=0,"",('MF Rollover'!FK39*($P39*(1+'Property Summary'!$L$22)^('MF Releasing'!FL$3-1)))*$C39)</f>
        <v/>
      </c>
      <c r="FM39" s="149" t="str">
        <f>IF($B39=0,"",('MF Rollover'!FL39*($P39*(1+'Property Summary'!$L$22)^('MF Releasing'!FM$3-1)))*$C39)</f>
        <v/>
      </c>
      <c r="FN39" s="149" t="str">
        <f>IF($B39=0,"",('MF Rollover'!FM39*($P39*(1+'Property Summary'!$L$22)^('MF Releasing'!FN$3-1)))*$C39)</f>
        <v/>
      </c>
      <c r="FO39" s="149" t="str">
        <f>IF($B39=0,"",('MF Rollover'!FN39*($P39*(1+'Property Summary'!$L$22)^('MF Releasing'!FO$3-1)))*$C39)</f>
        <v/>
      </c>
      <c r="FP39" s="149" t="str">
        <f>IF($B39=0,"",('MF Rollover'!FO39*($P39*(1+'Property Summary'!$L$22)^('MF Releasing'!FP$3-1)))*$C39)</f>
        <v/>
      </c>
      <c r="FQ39" s="149" t="str">
        <f>IF($B39=0,"",('MF Rollover'!FP39*($P39*(1+'Property Summary'!$L$22)^('MF Releasing'!FQ$3-1)))*$C39)</f>
        <v/>
      </c>
      <c r="FR39" s="149" t="str">
        <f>IF($B39=0,"",('MF Rollover'!FQ39*($P39*(1+'Property Summary'!$L$22)^('MF Releasing'!FR$3-1)))*$C39)</f>
        <v/>
      </c>
      <c r="FS39" s="149" t="str">
        <f>IF($B39=0,"",('MF Rollover'!FR39*($P39*(1+'Property Summary'!$L$22)^('MF Releasing'!FS$3-1)))*$C39)</f>
        <v/>
      </c>
      <c r="FT39" s="149" t="str">
        <f>IF($B39=0,"",('MF Rollover'!FS39*($P39*(1+'Property Summary'!$L$22)^('MF Releasing'!FT$3-1)))*$C39)</f>
        <v/>
      </c>
      <c r="FU39" s="149" t="str">
        <f>IF($B39=0,"",('MF Rollover'!FT39*($P39*(1+'Property Summary'!$L$22)^('MF Releasing'!FU$3-1)))*$C39)</f>
        <v/>
      </c>
      <c r="FV39" s="149" t="str">
        <f>IF($B39=0,"",('MF Rollover'!FU39*($P39*(1+'Property Summary'!$L$22)^('MF Releasing'!FV$3-1)))*$C39)</f>
        <v/>
      </c>
      <c r="FW39" s="149" t="str">
        <f>IF($B39=0,"",('MF Rollover'!FV39*($P39*(1+'Property Summary'!$L$22)^('MF Releasing'!FW$3-1)))*$C39)</f>
        <v/>
      </c>
      <c r="FX39" s="149" t="str">
        <f>IF($B39=0,"",('MF Rollover'!FW39*($P39*(1+'Property Summary'!$L$22)^('MF Releasing'!FX$3-1)))*$C39)</f>
        <v/>
      </c>
      <c r="FY39" s="149" t="str">
        <f>IF($B39=0,"",('MF Rollover'!FX39*($P39*(1+'Property Summary'!$L$22)^('MF Releasing'!FY$3-1)))*$C39)</f>
        <v/>
      </c>
      <c r="FZ39" s="149" t="str">
        <f>IF($B39=0,"",('MF Rollover'!FY39*($P39*(1+'Property Summary'!$L$22)^('MF Releasing'!FZ$3-1)))*$C39)</f>
        <v/>
      </c>
      <c r="GA39" s="149" t="str">
        <f>IF($B39=0,"",('MF Rollover'!FZ39*($P39*(1+'Property Summary'!$L$22)^('MF Releasing'!GA$3-1)))*$C39)</f>
        <v/>
      </c>
      <c r="GB39" s="149" t="str">
        <f>IF($B39=0,"",('MF Rollover'!GA39*($P39*(1+'Property Summary'!$L$22)^('MF Releasing'!GB$3-1)))*$C39)</f>
        <v/>
      </c>
      <c r="GC39" s="149" t="str">
        <f>IF($B39=0,"",('MF Rollover'!GB39*($P39*(1+'Property Summary'!$L$22)^('MF Releasing'!GC$3-1)))*$C39)</f>
        <v/>
      </c>
      <c r="GD39" s="149" t="str">
        <f>IF($B39=0,"",('MF Rollover'!GC39*($P39*(1+'Property Summary'!$L$22)^('MF Releasing'!GD$3-1)))*$C39)</f>
        <v/>
      </c>
      <c r="GE39" s="149" t="str">
        <f>IF($B39=0,"",('MF Rollover'!GD39*($P39*(1+'Property Summary'!$L$22)^('MF Releasing'!GE$3-1)))*$C39)</f>
        <v/>
      </c>
      <c r="GF39" s="149" t="str">
        <f>IF($B39=0,"",('MF Rollover'!GE39*($P39*(1+'Property Summary'!$L$22)^('MF Releasing'!GF$3-1)))*$C39)</f>
        <v/>
      </c>
      <c r="GG39" s="149" t="str">
        <f>IF($B39=0,"",('MF Rollover'!GF39*($P39*(1+'Property Summary'!$L$22)^('MF Releasing'!GG$3-1)))*$C39)</f>
        <v/>
      </c>
      <c r="GH39" s="149" t="str">
        <f>IF($B39=0,"",('MF Rollover'!GG39*($P39*(1+'Property Summary'!$L$22)^('MF Releasing'!GH$3-1)))*$C39)</f>
        <v/>
      </c>
      <c r="GI39" s="149" t="str">
        <f>IF($B39=0,"",('MF Rollover'!GH39*($P39*(1+'Property Summary'!$L$22)^('MF Releasing'!GI$3-1)))*$C39)</f>
        <v/>
      </c>
      <c r="GJ39" s="149" t="str">
        <f>IF($B39=0,"",('MF Rollover'!GI39*($P39*(1+'Property Summary'!$L$22)^('MF Releasing'!GJ$3-1)))*$C39)</f>
        <v/>
      </c>
      <c r="GK39" s="149" t="str">
        <f>IF($B39=0,"",('MF Rollover'!GJ39*($P39*(1+'Property Summary'!$L$22)^('MF Releasing'!GK$3-1)))*$C39)</f>
        <v/>
      </c>
      <c r="GL39" s="149" t="str">
        <f>IF($B39=0,"",('MF Rollover'!GK39*($P39*(1+'Property Summary'!$L$22)^('MF Releasing'!GL$3-1)))*$C39)</f>
        <v/>
      </c>
      <c r="GM39" s="149" t="str">
        <f>IF($B39=0,"",('MF Rollover'!GL39*($P39*(1+'Property Summary'!$L$22)^('MF Releasing'!GM$3-1)))*$C39)</f>
        <v/>
      </c>
      <c r="GN39" s="149" t="str">
        <f>IF($B39=0,"",('MF Rollover'!GM39*($P39*(1+'Property Summary'!$L$22)^('MF Releasing'!GN$3-1)))*$C39)</f>
        <v/>
      </c>
      <c r="GO39" s="149" t="str">
        <f>IF($B39=0,"",('MF Rollover'!GN39*($P39*(1+'Property Summary'!$L$22)^('MF Releasing'!GO$3-1)))*$C39)</f>
        <v/>
      </c>
      <c r="GP39" s="149" t="str">
        <f>IF($B39=0,"",('MF Rollover'!GO39*($P39*(1+'Property Summary'!$L$22)^('MF Releasing'!GP$3-1)))*$C39)</f>
        <v/>
      </c>
    </row>
    <row r="40" spans="2:198" x14ac:dyDescent="0.3">
      <c r="R40" s="89" t="s">
        <v>174</v>
      </c>
      <c r="S40" s="149">
        <f>SUM(S6:S39)</f>
        <v>0</v>
      </c>
      <c r="T40" s="149">
        <f t="shared" ref="T40:CE40" si="9">SUM(T6:T39)</f>
        <v>0</v>
      </c>
      <c r="U40" s="149">
        <f t="shared" si="9"/>
        <v>0</v>
      </c>
      <c r="V40" s="149">
        <f t="shared" si="9"/>
        <v>0</v>
      </c>
      <c r="W40" s="149">
        <f t="shared" si="9"/>
        <v>0</v>
      </c>
      <c r="X40" s="149">
        <f t="shared" si="9"/>
        <v>0</v>
      </c>
      <c r="Y40" s="149">
        <f t="shared" si="9"/>
        <v>0</v>
      </c>
      <c r="Z40" s="149">
        <f t="shared" si="9"/>
        <v>0</v>
      </c>
      <c r="AA40" s="149">
        <f t="shared" si="9"/>
        <v>0</v>
      </c>
      <c r="AB40" s="149">
        <f t="shared" si="9"/>
        <v>0</v>
      </c>
      <c r="AC40" s="149">
        <f t="shared" si="9"/>
        <v>0</v>
      </c>
      <c r="AD40" s="149">
        <f t="shared" si="9"/>
        <v>0</v>
      </c>
      <c r="AE40" s="149">
        <f t="shared" si="9"/>
        <v>16891.2</v>
      </c>
      <c r="AF40" s="149">
        <f t="shared" si="9"/>
        <v>0</v>
      </c>
      <c r="AG40" s="149">
        <f t="shared" si="9"/>
        <v>0</v>
      </c>
      <c r="AH40" s="149">
        <f t="shared" si="9"/>
        <v>0</v>
      </c>
      <c r="AI40" s="149">
        <f t="shared" si="9"/>
        <v>0</v>
      </c>
      <c r="AJ40" s="149">
        <f t="shared" si="9"/>
        <v>0</v>
      </c>
      <c r="AK40" s="149">
        <f t="shared" si="9"/>
        <v>0</v>
      </c>
      <c r="AL40" s="149">
        <f t="shared" si="9"/>
        <v>0</v>
      </c>
      <c r="AM40" s="149">
        <f t="shared" si="9"/>
        <v>0</v>
      </c>
      <c r="AN40" s="149">
        <f t="shared" si="9"/>
        <v>0</v>
      </c>
      <c r="AO40" s="149">
        <f t="shared" si="9"/>
        <v>0</v>
      </c>
      <c r="AP40" s="149">
        <f t="shared" si="9"/>
        <v>0</v>
      </c>
      <c r="AQ40" s="149">
        <f t="shared" si="9"/>
        <v>17229.023999999998</v>
      </c>
      <c r="AR40" s="149">
        <f t="shared" si="9"/>
        <v>0</v>
      </c>
      <c r="AS40" s="149">
        <f t="shared" si="9"/>
        <v>0</v>
      </c>
      <c r="AT40" s="149">
        <f t="shared" si="9"/>
        <v>0</v>
      </c>
      <c r="AU40" s="149">
        <f t="shared" si="9"/>
        <v>0</v>
      </c>
      <c r="AV40" s="149">
        <f t="shared" si="9"/>
        <v>0</v>
      </c>
      <c r="AW40" s="149">
        <f t="shared" si="9"/>
        <v>0</v>
      </c>
      <c r="AX40" s="149">
        <f t="shared" si="9"/>
        <v>0</v>
      </c>
      <c r="AY40" s="149">
        <f t="shared" si="9"/>
        <v>0</v>
      </c>
      <c r="AZ40" s="149">
        <f t="shared" si="9"/>
        <v>0</v>
      </c>
      <c r="BA40" s="149">
        <f t="shared" si="9"/>
        <v>0</v>
      </c>
      <c r="BB40" s="149">
        <f t="shared" si="9"/>
        <v>0</v>
      </c>
      <c r="BC40" s="149">
        <f t="shared" si="9"/>
        <v>17573.604479999998</v>
      </c>
      <c r="BD40" s="149">
        <f t="shared" si="9"/>
        <v>0</v>
      </c>
      <c r="BE40" s="149">
        <f t="shared" si="9"/>
        <v>0</v>
      </c>
      <c r="BF40" s="149">
        <f t="shared" si="9"/>
        <v>0</v>
      </c>
      <c r="BG40" s="149">
        <f t="shared" si="9"/>
        <v>0</v>
      </c>
      <c r="BH40" s="149">
        <f t="shared" si="9"/>
        <v>0</v>
      </c>
      <c r="BI40" s="149">
        <f t="shared" si="9"/>
        <v>0</v>
      </c>
      <c r="BJ40" s="149">
        <f t="shared" si="9"/>
        <v>0</v>
      </c>
      <c r="BK40" s="149">
        <f t="shared" si="9"/>
        <v>0</v>
      </c>
      <c r="BL40" s="149">
        <f t="shared" si="9"/>
        <v>0</v>
      </c>
      <c r="BM40" s="149">
        <f t="shared" si="9"/>
        <v>0</v>
      </c>
      <c r="BN40" s="149">
        <f t="shared" si="9"/>
        <v>0</v>
      </c>
      <c r="BO40" s="149">
        <f t="shared" si="9"/>
        <v>17925.076569600002</v>
      </c>
      <c r="BP40" s="149">
        <f t="shared" si="9"/>
        <v>0</v>
      </c>
      <c r="BQ40" s="149">
        <f t="shared" si="9"/>
        <v>0</v>
      </c>
      <c r="BR40" s="149">
        <f t="shared" si="9"/>
        <v>0</v>
      </c>
      <c r="BS40" s="149">
        <f t="shared" si="9"/>
        <v>0</v>
      </c>
      <c r="BT40" s="149">
        <f t="shared" si="9"/>
        <v>0</v>
      </c>
      <c r="BU40" s="149">
        <f t="shared" si="9"/>
        <v>0</v>
      </c>
      <c r="BV40" s="149">
        <f t="shared" si="9"/>
        <v>0</v>
      </c>
      <c r="BW40" s="149">
        <f t="shared" si="9"/>
        <v>0</v>
      </c>
      <c r="BX40" s="149">
        <f t="shared" si="9"/>
        <v>0</v>
      </c>
      <c r="BY40" s="149">
        <f t="shared" si="9"/>
        <v>0</v>
      </c>
      <c r="BZ40" s="149">
        <f t="shared" si="9"/>
        <v>0</v>
      </c>
      <c r="CA40" s="149">
        <f t="shared" si="9"/>
        <v>18283.578100992003</v>
      </c>
      <c r="CB40" s="149">
        <f t="shared" si="9"/>
        <v>0</v>
      </c>
      <c r="CC40" s="149">
        <f t="shared" si="9"/>
        <v>0</v>
      </c>
      <c r="CD40" s="149">
        <f t="shared" si="9"/>
        <v>0</v>
      </c>
      <c r="CE40" s="149">
        <f t="shared" si="9"/>
        <v>0</v>
      </c>
      <c r="CF40" s="149">
        <f t="shared" ref="CF40:EQ40" si="10">SUM(CF6:CF39)</f>
        <v>0</v>
      </c>
      <c r="CG40" s="149">
        <f t="shared" si="10"/>
        <v>0</v>
      </c>
      <c r="CH40" s="149">
        <f t="shared" si="10"/>
        <v>0</v>
      </c>
      <c r="CI40" s="149">
        <f t="shared" si="10"/>
        <v>0</v>
      </c>
      <c r="CJ40" s="149">
        <f t="shared" si="10"/>
        <v>0</v>
      </c>
      <c r="CK40" s="149">
        <f t="shared" si="10"/>
        <v>0</v>
      </c>
      <c r="CL40" s="149">
        <f t="shared" si="10"/>
        <v>0</v>
      </c>
      <c r="CM40" s="149">
        <f t="shared" si="10"/>
        <v>18649.249663011844</v>
      </c>
      <c r="CN40" s="149">
        <f t="shared" si="10"/>
        <v>0</v>
      </c>
      <c r="CO40" s="149">
        <f t="shared" si="10"/>
        <v>0</v>
      </c>
      <c r="CP40" s="149">
        <f t="shared" si="10"/>
        <v>0</v>
      </c>
      <c r="CQ40" s="149">
        <f t="shared" si="10"/>
        <v>0</v>
      </c>
      <c r="CR40" s="149">
        <f t="shared" si="10"/>
        <v>0</v>
      </c>
      <c r="CS40" s="149">
        <f t="shared" si="10"/>
        <v>0</v>
      </c>
      <c r="CT40" s="149">
        <f t="shared" si="10"/>
        <v>0</v>
      </c>
      <c r="CU40" s="149">
        <f t="shared" si="10"/>
        <v>0</v>
      </c>
      <c r="CV40" s="149">
        <f t="shared" si="10"/>
        <v>0</v>
      </c>
      <c r="CW40" s="149">
        <f t="shared" si="10"/>
        <v>0</v>
      </c>
      <c r="CX40" s="149">
        <f t="shared" si="10"/>
        <v>0</v>
      </c>
      <c r="CY40" s="149">
        <f t="shared" si="10"/>
        <v>19022.234656272074</v>
      </c>
      <c r="CZ40" s="149">
        <f t="shared" si="10"/>
        <v>0</v>
      </c>
      <c r="DA40" s="149">
        <f t="shared" si="10"/>
        <v>0</v>
      </c>
      <c r="DB40" s="149">
        <f t="shared" si="10"/>
        <v>0</v>
      </c>
      <c r="DC40" s="149">
        <f t="shared" si="10"/>
        <v>0</v>
      </c>
      <c r="DD40" s="149">
        <f t="shared" si="10"/>
        <v>0</v>
      </c>
      <c r="DE40" s="149">
        <f t="shared" si="10"/>
        <v>0</v>
      </c>
      <c r="DF40" s="149">
        <f t="shared" si="10"/>
        <v>0</v>
      </c>
      <c r="DG40" s="149">
        <f t="shared" si="10"/>
        <v>0</v>
      </c>
      <c r="DH40" s="149">
        <f t="shared" si="10"/>
        <v>0</v>
      </c>
      <c r="DI40" s="149">
        <f t="shared" si="10"/>
        <v>0</v>
      </c>
      <c r="DJ40" s="149">
        <f t="shared" si="10"/>
        <v>0</v>
      </c>
      <c r="DK40" s="149">
        <f t="shared" si="10"/>
        <v>19402.679349397516</v>
      </c>
      <c r="DL40" s="149">
        <f t="shared" si="10"/>
        <v>0</v>
      </c>
      <c r="DM40" s="149">
        <f t="shared" si="10"/>
        <v>0</v>
      </c>
      <c r="DN40" s="149">
        <f t="shared" si="10"/>
        <v>0</v>
      </c>
      <c r="DO40" s="149">
        <f t="shared" si="10"/>
        <v>0</v>
      </c>
      <c r="DP40" s="149">
        <f t="shared" si="10"/>
        <v>0</v>
      </c>
      <c r="DQ40" s="149">
        <f t="shared" si="10"/>
        <v>0</v>
      </c>
      <c r="DR40" s="149">
        <f t="shared" si="10"/>
        <v>0</v>
      </c>
      <c r="DS40" s="149">
        <f t="shared" si="10"/>
        <v>0</v>
      </c>
      <c r="DT40" s="149">
        <f t="shared" si="10"/>
        <v>0</v>
      </c>
      <c r="DU40" s="149">
        <f t="shared" si="10"/>
        <v>0</v>
      </c>
      <c r="DV40" s="149">
        <f t="shared" si="10"/>
        <v>0</v>
      </c>
      <c r="DW40" s="149">
        <f t="shared" si="10"/>
        <v>19790.732936385466</v>
      </c>
      <c r="DX40" s="149">
        <f t="shared" si="10"/>
        <v>0</v>
      </c>
      <c r="DY40" s="149">
        <f t="shared" si="10"/>
        <v>0</v>
      </c>
      <c r="DZ40" s="149">
        <f t="shared" si="10"/>
        <v>0</v>
      </c>
      <c r="EA40" s="149">
        <f t="shared" si="10"/>
        <v>0</v>
      </c>
      <c r="EB40" s="149">
        <f t="shared" si="10"/>
        <v>0</v>
      </c>
      <c r="EC40" s="149">
        <f t="shared" si="10"/>
        <v>0</v>
      </c>
      <c r="ED40" s="149">
        <f t="shared" si="10"/>
        <v>0</v>
      </c>
      <c r="EE40" s="149">
        <f t="shared" si="10"/>
        <v>0</v>
      </c>
      <c r="EF40" s="149">
        <f t="shared" si="10"/>
        <v>0</v>
      </c>
      <c r="EG40" s="149">
        <f t="shared" si="10"/>
        <v>0</v>
      </c>
      <c r="EH40" s="149">
        <f t="shared" si="10"/>
        <v>0</v>
      </c>
      <c r="EI40" s="149">
        <f t="shared" si="10"/>
        <v>20186.547595113178</v>
      </c>
      <c r="EJ40" s="149">
        <f t="shared" si="10"/>
        <v>0</v>
      </c>
      <c r="EK40" s="149">
        <f t="shared" si="10"/>
        <v>0</v>
      </c>
      <c r="EL40" s="149">
        <f t="shared" si="10"/>
        <v>0</v>
      </c>
      <c r="EM40" s="149">
        <f t="shared" si="10"/>
        <v>0</v>
      </c>
      <c r="EN40" s="149">
        <f t="shared" si="10"/>
        <v>0</v>
      </c>
      <c r="EO40" s="149">
        <f t="shared" si="10"/>
        <v>0</v>
      </c>
      <c r="EP40" s="149">
        <f t="shared" si="10"/>
        <v>0</v>
      </c>
      <c r="EQ40" s="149">
        <f t="shared" si="10"/>
        <v>0</v>
      </c>
      <c r="ER40" s="149">
        <f t="shared" ref="ER40:GP40" si="11">SUM(ER6:ER39)</f>
        <v>0</v>
      </c>
      <c r="ES40" s="149">
        <f t="shared" si="11"/>
        <v>0</v>
      </c>
      <c r="ET40" s="149">
        <f t="shared" si="11"/>
        <v>0</v>
      </c>
      <c r="EU40" s="149">
        <f t="shared" si="11"/>
        <v>20590.278547015434</v>
      </c>
      <c r="EV40" s="149">
        <f t="shared" si="11"/>
        <v>0</v>
      </c>
      <c r="EW40" s="149">
        <f t="shared" si="11"/>
        <v>0</v>
      </c>
      <c r="EX40" s="149">
        <f t="shared" si="11"/>
        <v>0</v>
      </c>
      <c r="EY40" s="149">
        <f t="shared" si="11"/>
        <v>0</v>
      </c>
      <c r="EZ40" s="149">
        <f t="shared" si="11"/>
        <v>0</v>
      </c>
      <c r="FA40" s="149">
        <f t="shared" si="11"/>
        <v>0</v>
      </c>
      <c r="FB40" s="149">
        <f t="shared" si="11"/>
        <v>0</v>
      </c>
      <c r="FC40" s="149">
        <f t="shared" si="11"/>
        <v>0</v>
      </c>
      <c r="FD40" s="149">
        <f t="shared" si="11"/>
        <v>0</v>
      </c>
      <c r="FE40" s="149">
        <f t="shared" si="11"/>
        <v>0</v>
      </c>
      <c r="FF40" s="149">
        <f t="shared" si="11"/>
        <v>0</v>
      </c>
      <c r="FG40" s="149">
        <f t="shared" si="11"/>
        <v>21002.08411795575</v>
      </c>
      <c r="FH40" s="149">
        <f t="shared" si="11"/>
        <v>0</v>
      </c>
      <c r="FI40" s="149">
        <f t="shared" si="11"/>
        <v>0</v>
      </c>
      <c r="FJ40" s="149">
        <f t="shared" si="11"/>
        <v>0</v>
      </c>
      <c r="FK40" s="149">
        <f t="shared" si="11"/>
        <v>0</v>
      </c>
      <c r="FL40" s="149">
        <f t="shared" si="11"/>
        <v>0</v>
      </c>
      <c r="FM40" s="149">
        <f t="shared" si="11"/>
        <v>0</v>
      </c>
      <c r="FN40" s="149">
        <f t="shared" si="11"/>
        <v>0</v>
      </c>
      <c r="FO40" s="149">
        <f t="shared" si="11"/>
        <v>0</v>
      </c>
      <c r="FP40" s="149">
        <f t="shared" si="11"/>
        <v>0</v>
      </c>
      <c r="FQ40" s="149">
        <f t="shared" si="11"/>
        <v>0</v>
      </c>
      <c r="FR40" s="149">
        <f t="shared" si="11"/>
        <v>0</v>
      </c>
      <c r="FS40" s="149">
        <f t="shared" si="11"/>
        <v>21422.125800314865</v>
      </c>
      <c r="FT40" s="149">
        <f t="shared" si="11"/>
        <v>0</v>
      </c>
      <c r="FU40" s="149">
        <f t="shared" si="11"/>
        <v>0</v>
      </c>
      <c r="FV40" s="149">
        <f t="shared" si="11"/>
        <v>0</v>
      </c>
      <c r="FW40" s="149">
        <f t="shared" si="11"/>
        <v>0</v>
      </c>
      <c r="FX40" s="149">
        <f t="shared" si="11"/>
        <v>0</v>
      </c>
      <c r="FY40" s="149">
        <f t="shared" si="11"/>
        <v>0</v>
      </c>
      <c r="FZ40" s="149">
        <f t="shared" si="11"/>
        <v>0</v>
      </c>
      <c r="GA40" s="149">
        <f t="shared" si="11"/>
        <v>0</v>
      </c>
      <c r="GB40" s="149">
        <f t="shared" si="11"/>
        <v>0</v>
      </c>
      <c r="GC40" s="149">
        <f t="shared" si="11"/>
        <v>0</v>
      </c>
      <c r="GD40" s="149">
        <f t="shared" si="11"/>
        <v>0</v>
      </c>
      <c r="GE40" s="149">
        <f t="shared" si="11"/>
        <v>21850.568316321165</v>
      </c>
      <c r="GF40" s="149">
        <f t="shared" si="11"/>
        <v>0</v>
      </c>
      <c r="GG40" s="149">
        <f t="shared" si="11"/>
        <v>0</v>
      </c>
      <c r="GH40" s="149">
        <f t="shared" si="11"/>
        <v>0</v>
      </c>
      <c r="GI40" s="149">
        <f t="shared" si="11"/>
        <v>0</v>
      </c>
      <c r="GJ40" s="149">
        <f t="shared" si="11"/>
        <v>0</v>
      </c>
      <c r="GK40" s="149">
        <f t="shared" si="11"/>
        <v>0</v>
      </c>
      <c r="GL40" s="149">
        <f t="shared" si="11"/>
        <v>0</v>
      </c>
      <c r="GM40" s="149">
        <f t="shared" si="11"/>
        <v>0</v>
      </c>
      <c r="GN40" s="149">
        <f t="shared" si="11"/>
        <v>0</v>
      </c>
      <c r="GO40" s="149">
        <f t="shared" si="11"/>
        <v>0</v>
      </c>
      <c r="GP40" s="149">
        <f t="shared" si="11"/>
        <v>0</v>
      </c>
    </row>
  </sheetData>
  <mergeCells count="1">
    <mergeCell ref="N4:P4"/>
  </mergeCells>
  <conditionalFormatting sqref="S6:GP39">
    <cfRule type="expression" dxfId="0" priority="1">
      <formula>S6=TRUE</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D12"/>
  <sheetViews>
    <sheetView workbookViewId="0">
      <selection activeCell="F7" sqref="F7"/>
    </sheetView>
  </sheetViews>
  <sheetFormatPr defaultColWidth="9.109375" defaultRowHeight="14.4" x14ac:dyDescent="0.3"/>
  <sheetData>
    <row r="2" spans="2:4" x14ac:dyDescent="0.3">
      <c r="B2" t="s">
        <v>115</v>
      </c>
    </row>
    <row r="3" spans="2:4" ht="15" thickBot="1" x14ac:dyDescent="0.35"/>
    <row r="4" spans="2:4" ht="15" thickTop="1" x14ac:dyDescent="0.3">
      <c r="B4" s="6" t="s">
        <v>116</v>
      </c>
      <c r="C4" s="7"/>
      <c r="D4" s="8"/>
    </row>
    <row r="5" spans="2:4" x14ac:dyDescent="0.3">
      <c r="B5" s="9" t="s">
        <v>55</v>
      </c>
      <c r="C5" s="10"/>
      <c r="D5" s="11">
        <f ca="1">'Property Summary'!D22</f>
        <v>7.4209223862406581E-2</v>
      </c>
    </row>
    <row r="6" spans="2:4" x14ac:dyDescent="0.3">
      <c r="B6" s="9" t="s">
        <v>56</v>
      </c>
      <c r="C6" s="10"/>
      <c r="D6" s="11">
        <f ca="1">'Property Summary'!D26</f>
        <v>0.10915007624475148</v>
      </c>
    </row>
    <row r="7" spans="2:4" x14ac:dyDescent="0.3">
      <c r="B7" s="9" t="s">
        <v>81</v>
      </c>
      <c r="C7" s="10"/>
      <c r="D7" s="12">
        <f ca="1">'Property Summary'!D27</f>
        <v>2.5205638314235852</v>
      </c>
    </row>
    <row r="8" spans="2:4" x14ac:dyDescent="0.3">
      <c r="B8" s="13"/>
      <c r="C8" s="10"/>
      <c r="D8" s="14"/>
    </row>
    <row r="9" spans="2:4" x14ac:dyDescent="0.3">
      <c r="B9" s="15" t="s">
        <v>117</v>
      </c>
      <c r="C9" s="10"/>
      <c r="D9" s="14"/>
    </row>
    <row r="10" spans="2:4" x14ac:dyDescent="0.3">
      <c r="B10" s="9" t="s">
        <v>57</v>
      </c>
      <c r="C10" s="10"/>
      <c r="D10" s="12">
        <f>'Property Summary'!D30</f>
        <v>1.5702769986236784</v>
      </c>
    </row>
    <row r="11" spans="2:4" ht="15" thickBot="1" x14ac:dyDescent="0.35">
      <c r="B11" s="16" t="s">
        <v>58</v>
      </c>
      <c r="C11" s="17"/>
      <c r="D11" s="18">
        <f>'Property Summary'!D31</f>
        <v>9.4287386876546239E-2</v>
      </c>
    </row>
    <row r="12" spans="2:4" ht="15" thickTop="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22</vt:i4>
      </vt:variant>
    </vt:vector>
  </HeadingPairs>
  <TitlesOfParts>
    <vt:vector size="39" baseType="lpstr">
      <vt:lpstr>Version</vt:lpstr>
      <vt:lpstr>Property Summary</vt:lpstr>
      <vt:lpstr>Property Assumptions</vt:lpstr>
      <vt:lpstr>MF Rent Roll</vt:lpstr>
      <vt:lpstr>Expenses</vt:lpstr>
      <vt:lpstr>Annual Cash Flow</vt:lpstr>
      <vt:lpstr>Property Returns</vt:lpstr>
      <vt:lpstr>Investor Returns</vt:lpstr>
      <vt:lpstr>Debt</vt:lpstr>
      <vt:lpstr>Calculation Modules--&gt;</vt:lpstr>
      <vt:lpstr>MF Rents</vt:lpstr>
      <vt:lpstr>MF CapEx</vt:lpstr>
      <vt:lpstr>MF Rollover</vt:lpstr>
      <vt:lpstr>MF Free Rent</vt:lpstr>
      <vt:lpstr>MF Vacancy</vt:lpstr>
      <vt:lpstr>MF Releasing</vt:lpstr>
      <vt:lpstr>Raw Data</vt:lpstr>
      <vt:lpstr>Analysis_Period</vt:lpstr>
      <vt:lpstr>Analysis_Start</vt:lpstr>
      <vt:lpstr>Basis</vt:lpstr>
      <vt:lpstr>Cap_Year</vt:lpstr>
      <vt:lpstr>Debt!CashFlow_Table</vt:lpstr>
      <vt:lpstr>Debt</vt:lpstr>
      <vt:lpstr>Debt_Table2</vt:lpstr>
      <vt:lpstr>Discount_Rate</vt:lpstr>
      <vt:lpstr>'Investor Returns'!Equity_Share_LP</vt:lpstr>
      <vt:lpstr>'Investor Returns'!Equity_Share_Sponsor</vt:lpstr>
      <vt:lpstr>Exit_Cap_Yr_1</vt:lpstr>
      <vt:lpstr>GP_Only?</vt:lpstr>
      <vt:lpstr>Initial_Equity</vt:lpstr>
      <vt:lpstr>Name</vt:lpstr>
      <vt:lpstr>P_List_Table</vt:lpstr>
      <vt:lpstr>P_List_Table_2</vt:lpstr>
      <vt:lpstr>'Investor Returns'!Preferred_Return</vt:lpstr>
      <vt:lpstr>'Investor Returns'!Promote_Structure</vt:lpstr>
      <vt:lpstr>Property_Number_List</vt:lpstr>
      <vt:lpstr>Purchase_Price</vt:lpstr>
      <vt:lpstr>Total_Equity</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Property Acquisition Model</dc:title>
  <dc:subject>Real Estate Financial Analysis</dc:subject>
  <dc:creator>Spencer Burton</dc:creator>
  <cp:keywords>retail, office, industrial, commercial real estate</cp:keywords>
  <cp:lastModifiedBy>Rebeca Lopez</cp:lastModifiedBy>
  <cp:lastPrinted>2015-04-17T19:16:36Z</cp:lastPrinted>
  <dcterms:created xsi:type="dcterms:W3CDTF">2015-04-17T17:17:24Z</dcterms:created>
  <dcterms:modified xsi:type="dcterms:W3CDTF">2025-10-03T20:15:42Z</dcterms:modified>
</cp:coreProperties>
</file>